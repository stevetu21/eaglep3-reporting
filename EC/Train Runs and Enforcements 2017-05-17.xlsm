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Enforcements!$A$6:$AC$60</definedName>
    <definedName name="_xlnm._FilterDatabase" localSheetId="2" hidden="1">'Missing Trips'!$A$2:$J$76</definedName>
    <definedName name="_xlnm._FilterDatabase" localSheetId="0" hidden="1">'Train Runs'!$A$12:$AG$269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64" i="1" l="1"/>
  <c r="X189" i="1"/>
  <c r="X190" i="1"/>
  <c r="X191" i="1"/>
  <c r="X192" i="1"/>
  <c r="X193" i="1"/>
  <c r="X194" i="1"/>
  <c r="X195" i="1"/>
  <c r="X196" i="1"/>
  <c r="X18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AA20" i="1" s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R22" i="3" s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AA38" i="1" s="1"/>
  <c r="W38" i="1" s="1"/>
  <c r="Z38" i="1"/>
  <c r="AB38" i="1"/>
  <c r="AC38" i="1"/>
  <c r="AD38" i="1"/>
  <c r="AG38" i="1" s="1"/>
  <c r="AE38" i="1"/>
  <c r="AF38" i="1"/>
  <c r="AH38" i="1"/>
  <c r="AI38" i="1"/>
  <c r="AM38" i="1"/>
  <c r="AN38" i="1"/>
  <c r="K39" i="1"/>
  <c r="L39" i="1"/>
  <c r="M39" i="1"/>
  <c r="N39" i="1" s="1"/>
  <c r="V39" i="1"/>
  <c r="Y39" i="1"/>
  <c r="AA39" i="1" s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AA47" i="1" s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I54" i="1" s="1"/>
  <c r="AB54" i="1"/>
  <c r="AC54" i="1"/>
  <c r="AD54" i="1"/>
  <c r="AG54" i="1" s="1"/>
  <c r="AE54" i="1"/>
  <c r="R15" i="3" s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/>
  <c r="V73" i="1"/>
  <c r="Y73" i="1"/>
  <c r="Z73" i="1"/>
  <c r="AA73" i="1" s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T75" i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AA76" i="1" s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S9" i="3" s="1"/>
  <c r="Y82" i="1"/>
  <c r="Z82" i="1"/>
  <c r="AB82" i="1"/>
  <c r="AC82" i="1"/>
  <c r="AD82" i="1"/>
  <c r="T82" i="1" s="1"/>
  <c r="AE82" i="1"/>
  <c r="R10" i="3" s="1"/>
  <c r="AF82" i="1"/>
  <c r="AH82" i="1"/>
  <c r="AM82" i="1"/>
  <c r="AN82" i="1"/>
  <c r="K83" i="1"/>
  <c r="L83" i="1"/>
  <c r="M83" i="1"/>
  <c r="N83" i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AA84" i="1" s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T86" i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S14" i="3" s="1"/>
  <c r="Y91" i="1"/>
  <c r="Z91" i="1"/>
  <c r="AB91" i="1"/>
  <c r="AC91" i="1"/>
  <c r="AD91" i="1"/>
  <c r="AE91" i="1"/>
  <c r="R20" i="3" s="1"/>
  <c r="AF91" i="1"/>
  <c r="AH91" i="1"/>
  <c r="AM91" i="1"/>
  <c r="AN91" i="1"/>
  <c r="K92" i="1"/>
  <c r="L92" i="1"/>
  <c r="M92" i="1"/>
  <c r="N92" i="1" s="1"/>
  <c r="V92" i="1"/>
  <c r="S11" i="3" s="1"/>
  <c r="Y92" i="1"/>
  <c r="Z92" i="1"/>
  <c r="AB92" i="1"/>
  <c r="AC92" i="1"/>
  <c r="AD92" i="1"/>
  <c r="AE92" i="1"/>
  <c r="R23" i="3" s="1"/>
  <c r="AF92" i="1"/>
  <c r="AH92" i="1"/>
  <c r="AM92" i="1"/>
  <c r="AN92" i="1"/>
  <c r="K93" i="1"/>
  <c r="L93" i="1"/>
  <c r="M93" i="1"/>
  <c r="N93" i="1"/>
  <c r="T93" i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S24" i="3" s="1"/>
  <c r="Y95" i="1"/>
  <c r="Z95" i="1"/>
  <c r="AA95" i="1" s="1"/>
  <c r="W95" i="1" s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G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P104" i="1" s="1"/>
  <c r="V104" i="1"/>
  <c r="Y104" i="1"/>
  <c r="AA104" i="1" s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S26" i="3" s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G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AA120" i="1" s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R27" i="3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T126" i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S16" i="3" s="1"/>
  <c r="Y129" i="1"/>
  <c r="Z129" i="1"/>
  <c r="AB129" i="1"/>
  <c r="AC129" i="1"/>
  <c r="AD129" i="1"/>
  <c r="AE129" i="1"/>
  <c r="R16" i="3" s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I130" i="1"/>
  <c r="AM130" i="1"/>
  <c r="AN130" i="1"/>
  <c r="K131" i="1"/>
  <c r="L131" i="1"/>
  <c r="M131" i="1"/>
  <c r="N131" i="1" s="1"/>
  <c r="V131" i="1"/>
  <c r="S21" i="3" s="1"/>
  <c r="Y131" i="1"/>
  <c r="Z131" i="1"/>
  <c r="AB131" i="1"/>
  <c r="AC131" i="1"/>
  <c r="AD131" i="1"/>
  <c r="AE131" i="1"/>
  <c r="R21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AA140" i="1" s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G145" i="1"/>
  <c r="U145" i="1" s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G149" i="1"/>
  <c r="AI149" i="1" s="1"/>
  <c r="AH149" i="1"/>
  <c r="AM149" i="1"/>
  <c r="AN149" i="1"/>
  <c r="K150" i="1"/>
  <c r="L150" i="1"/>
  <c r="M150" i="1"/>
  <c r="N150" i="1" s="1"/>
  <c r="V150" i="1"/>
  <c r="X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R28" i="3" s="1"/>
  <c r="AF151" i="1"/>
  <c r="AH151" i="1"/>
  <c r="AM151" i="1"/>
  <c r="AN151" i="1"/>
  <c r="K152" i="1"/>
  <c r="L152" i="1"/>
  <c r="M152" i="1"/>
  <c r="N152" i="1" s="1"/>
  <c r="V152" i="1"/>
  <c r="S19" i="3" s="1"/>
  <c r="Y152" i="1"/>
  <c r="Z152" i="1"/>
  <c r="AB152" i="1"/>
  <c r="AC152" i="1"/>
  <c r="AD152" i="1"/>
  <c r="T152" i="1" s="1"/>
  <c r="AE152" i="1"/>
  <c r="R19" i="3" s="1"/>
  <c r="AF152" i="1"/>
  <c r="AH152" i="1"/>
  <c r="AM152" i="1"/>
  <c r="AN152" i="1"/>
  <c r="K153" i="1"/>
  <c r="L153" i="1"/>
  <c r="M153" i="1"/>
  <c r="N153" i="1" s="1"/>
  <c r="V153" i="1"/>
  <c r="S12" i="3" s="1"/>
  <c r="Y153" i="1"/>
  <c r="Z153" i="1"/>
  <c r="AB153" i="1"/>
  <c r="AC153" i="1"/>
  <c r="AD153" i="1"/>
  <c r="AE153" i="1"/>
  <c r="R12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G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157" i="1"/>
  <c r="AM157" i="1"/>
  <c r="AN157" i="1"/>
  <c r="K204" i="1"/>
  <c r="L204" i="1"/>
  <c r="M204" i="1"/>
  <c r="N204" i="1" s="1"/>
  <c r="V204" i="1"/>
  <c r="Y204" i="1"/>
  <c r="Z204" i="1"/>
  <c r="AB204" i="1"/>
  <c r="AC204" i="1"/>
  <c r="AD204" i="1"/>
  <c r="X204" i="1" s="1"/>
  <c r="AE204" i="1"/>
  <c r="AF204" i="1"/>
  <c r="AH158" i="1"/>
  <c r="AM158" i="1"/>
  <c r="AN158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9" i="1"/>
  <c r="AM159" i="1"/>
  <c r="AN159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60" i="1"/>
  <c r="AM160" i="1"/>
  <c r="AN160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1" i="1"/>
  <c r="AM161" i="1"/>
  <c r="AN161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2" i="1"/>
  <c r="AM162" i="1"/>
  <c r="AN162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3" i="1"/>
  <c r="AM163" i="1"/>
  <c r="AN163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4" i="1"/>
  <c r="AM164" i="1"/>
  <c r="AN164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5" i="1"/>
  <c r="AM165" i="1"/>
  <c r="AN165" i="1"/>
  <c r="K212" i="1"/>
  <c r="L212" i="1"/>
  <c r="M212" i="1"/>
  <c r="N212" i="1" s="1"/>
  <c r="V212" i="1"/>
  <c r="X212" i="1"/>
  <c r="Y212" i="1"/>
  <c r="Z212" i="1"/>
  <c r="AB212" i="1"/>
  <c r="AC212" i="1"/>
  <c r="AD212" i="1"/>
  <c r="T212" i="1" s="1"/>
  <c r="AE212" i="1"/>
  <c r="AF212" i="1"/>
  <c r="AH166" i="1"/>
  <c r="AM166" i="1"/>
  <c r="AN166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7" i="1"/>
  <c r="AM167" i="1"/>
  <c r="AN167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8" i="1"/>
  <c r="AM168" i="1"/>
  <c r="AN168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G215" i="1"/>
  <c r="AH169" i="1"/>
  <c r="AM169" i="1"/>
  <c r="AN16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0" i="1"/>
  <c r="AM170" i="1"/>
  <c r="AN170" i="1"/>
  <c r="K223" i="1"/>
  <c r="L223" i="1"/>
  <c r="M223" i="1"/>
  <c r="N223" i="1" s="1"/>
  <c r="V223" i="1"/>
  <c r="Y223" i="1"/>
  <c r="AA223" i="1" s="1"/>
  <c r="Z223" i="1"/>
  <c r="AB223" i="1"/>
  <c r="AC223" i="1"/>
  <c r="AD223" i="1"/>
  <c r="T223" i="1" s="1"/>
  <c r="AE223" i="1"/>
  <c r="AF223" i="1"/>
  <c r="AH171" i="1"/>
  <c r="AM171" i="1"/>
  <c r="AN171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2" i="1"/>
  <c r="AM172" i="1"/>
  <c r="AN17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3" i="1"/>
  <c r="AM173" i="1"/>
  <c r="AN173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4" i="1"/>
  <c r="AM174" i="1"/>
  <c r="AN174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G227" i="1"/>
  <c r="AH175" i="1"/>
  <c r="AM175" i="1"/>
  <c r="AN175" i="1"/>
  <c r="K228" i="1"/>
  <c r="L228" i="1"/>
  <c r="M228" i="1"/>
  <c r="N228" i="1" s="1"/>
  <c r="V228" i="1"/>
  <c r="Y228" i="1"/>
  <c r="Z228" i="1"/>
  <c r="AB228" i="1"/>
  <c r="AC228" i="1"/>
  <c r="AD228" i="1"/>
  <c r="X228" i="1" s="1"/>
  <c r="AE228" i="1"/>
  <c r="AF228" i="1"/>
  <c r="AH176" i="1"/>
  <c r="AM176" i="1"/>
  <c r="AN176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7" i="1"/>
  <c r="AM177" i="1"/>
  <c r="AN177" i="1"/>
  <c r="K230" i="1"/>
  <c r="L230" i="1"/>
  <c r="M230" i="1"/>
  <c r="N230" i="1" s="1"/>
  <c r="V230" i="1"/>
  <c r="S37" i="3" s="1"/>
  <c r="Y230" i="1"/>
  <c r="Z230" i="1"/>
  <c r="AB230" i="1"/>
  <c r="AC230" i="1"/>
  <c r="AD230" i="1"/>
  <c r="AE230" i="1"/>
  <c r="AF230" i="1"/>
  <c r="AH178" i="1"/>
  <c r="AM178" i="1"/>
  <c r="AN178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9" i="1"/>
  <c r="AM179" i="1"/>
  <c r="AN179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80" i="1"/>
  <c r="AM180" i="1"/>
  <c r="AN180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1" i="1"/>
  <c r="AM181" i="1"/>
  <c r="AN181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184" i="1"/>
  <c r="AM184" i="1"/>
  <c r="AN184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5" i="1"/>
  <c r="AM185" i="1"/>
  <c r="AN185" i="1"/>
  <c r="K238" i="1"/>
  <c r="L238" i="1"/>
  <c r="M238" i="1"/>
  <c r="N238" i="1" s="1"/>
  <c r="V238" i="1"/>
  <c r="S34" i="3" s="1"/>
  <c r="Y238" i="1"/>
  <c r="Z238" i="1"/>
  <c r="AB238" i="1"/>
  <c r="AC238" i="1"/>
  <c r="AD238" i="1"/>
  <c r="AG238" i="1" s="1"/>
  <c r="AE238" i="1"/>
  <c r="AF238" i="1"/>
  <c r="AH186" i="1"/>
  <c r="AM186" i="1"/>
  <c r="AN186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R36" i="3" s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9" i="1"/>
  <c r="AM189" i="1"/>
  <c r="AN189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90" i="1"/>
  <c r="AM190" i="1"/>
  <c r="AN190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N193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94" i="1"/>
  <c r="AM194" i="1"/>
  <c r="AN1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G160" i="1"/>
  <c r="U160" i="1" s="1"/>
  <c r="S160" i="1" s="1"/>
  <c r="AH195" i="1"/>
  <c r="AM195" i="1"/>
  <c r="AN19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6" i="1"/>
  <c r="AM196" i="1"/>
  <c r="AN196" i="1"/>
  <c r="K162" i="1"/>
  <c r="L162" i="1"/>
  <c r="M162" i="1"/>
  <c r="N162" i="1" s="1"/>
  <c r="V162" i="1"/>
  <c r="S29" i="3" s="1"/>
  <c r="Y162" i="1"/>
  <c r="Z162" i="1"/>
  <c r="AB162" i="1"/>
  <c r="AC162" i="1"/>
  <c r="AD162" i="1"/>
  <c r="T162" i="1" s="1"/>
  <c r="AE162" i="1"/>
  <c r="R29" i="3" s="1"/>
  <c r="AF162" i="1"/>
  <c r="AH197" i="1"/>
  <c r="AM197" i="1"/>
  <c r="AN197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98" i="1"/>
  <c r="AM198" i="1"/>
  <c r="AN198" i="1"/>
  <c r="K164" i="1"/>
  <c r="L164" i="1"/>
  <c r="M164" i="1"/>
  <c r="V164" i="1"/>
  <c r="Y164" i="1"/>
  <c r="Z164" i="1"/>
  <c r="AB164" i="1"/>
  <c r="AC164" i="1"/>
  <c r="AD164" i="1"/>
  <c r="T164" i="1" s="1"/>
  <c r="AE164" i="1"/>
  <c r="AF164" i="1"/>
  <c r="AH199" i="1"/>
  <c r="AM199" i="1"/>
  <c r="AN199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0" i="1"/>
  <c r="AM200" i="1"/>
  <c r="AN200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201" i="1"/>
  <c r="AM201" i="1"/>
  <c r="AN201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202" i="1"/>
  <c r="AM202" i="1"/>
  <c r="AN202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203" i="1"/>
  <c r="AM203" i="1"/>
  <c r="AN203" i="1"/>
  <c r="K167" i="1"/>
  <c r="L167" i="1"/>
  <c r="M167" i="1"/>
  <c r="N167" i="1"/>
  <c r="V167" i="1"/>
  <c r="Y167" i="1"/>
  <c r="Z167" i="1"/>
  <c r="AB167" i="1"/>
  <c r="AC167" i="1"/>
  <c r="AD167" i="1"/>
  <c r="AE167" i="1"/>
  <c r="AF167" i="1"/>
  <c r="AH204" i="1"/>
  <c r="AM204" i="1"/>
  <c r="AN204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5" i="1"/>
  <c r="AM205" i="1"/>
  <c r="AN20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206" i="1"/>
  <c r="AM206" i="1"/>
  <c r="AN2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7" i="1"/>
  <c r="AM207" i="1"/>
  <c r="AN2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8" i="1"/>
  <c r="AM208" i="1"/>
  <c r="AN2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9" i="1"/>
  <c r="AM209" i="1"/>
  <c r="AN209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10" i="1"/>
  <c r="AM210" i="1"/>
  <c r="AN210" i="1"/>
  <c r="K174" i="1"/>
  <c r="L174" i="1"/>
  <c r="M174" i="1"/>
  <c r="N174" i="1" s="1"/>
  <c r="V174" i="1"/>
  <c r="Y174" i="1"/>
  <c r="AA174" i="1" s="1"/>
  <c r="Z174" i="1"/>
  <c r="AB174" i="1"/>
  <c r="AC174" i="1"/>
  <c r="AD174" i="1"/>
  <c r="T174" i="1" s="1"/>
  <c r="AE174" i="1"/>
  <c r="AF174" i="1"/>
  <c r="AH211" i="1"/>
  <c r="AM211" i="1"/>
  <c r="AN211" i="1"/>
  <c r="K175" i="1"/>
  <c r="L175" i="1"/>
  <c r="M175" i="1"/>
  <c r="N175" i="1"/>
  <c r="V175" i="1"/>
  <c r="Y175" i="1"/>
  <c r="Z175" i="1"/>
  <c r="AB175" i="1"/>
  <c r="AC175" i="1"/>
  <c r="AD175" i="1"/>
  <c r="AE175" i="1"/>
  <c r="AF175" i="1"/>
  <c r="AH212" i="1"/>
  <c r="AM212" i="1"/>
  <c r="AN2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3" i="1"/>
  <c r="AM213" i="1"/>
  <c r="AN2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4" i="1"/>
  <c r="AM214" i="1"/>
  <c r="AN2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5" i="1"/>
  <c r="AM215" i="1"/>
  <c r="AN215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6" i="1"/>
  <c r="AM216" i="1"/>
  <c r="AN21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7" i="1"/>
  <c r="AM217" i="1"/>
  <c r="AN217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18" i="1"/>
  <c r="AM218" i="1"/>
  <c r="AN21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9" i="1"/>
  <c r="AM219" i="1"/>
  <c r="AN219" i="1"/>
  <c r="K183" i="1"/>
  <c r="L183" i="1"/>
  <c r="M183" i="1"/>
  <c r="N183" i="1"/>
  <c r="V183" i="1"/>
  <c r="Y183" i="1"/>
  <c r="Z183" i="1"/>
  <c r="AB183" i="1"/>
  <c r="AC183" i="1"/>
  <c r="AD183" i="1"/>
  <c r="T183" i="1" s="1"/>
  <c r="AE183" i="1"/>
  <c r="AF183" i="1"/>
  <c r="AH220" i="1"/>
  <c r="AM220" i="1"/>
  <c r="AN220" i="1"/>
  <c r="K184" i="1"/>
  <c r="L184" i="1"/>
  <c r="M184" i="1"/>
  <c r="N184" i="1" s="1"/>
  <c r="V184" i="1"/>
  <c r="Y184" i="1"/>
  <c r="AA184" i="1" s="1"/>
  <c r="Z184" i="1"/>
  <c r="AB184" i="1"/>
  <c r="AC184" i="1"/>
  <c r="AD184" i="1"/>
  <c r="T184" i="1" s="1"/>
  <c r="AE184" i="1"/>
  <c r="AF184" i="1"/>
  <c r="AH221" i="1"/>
  <c r="AM221" i="1"/>
  <c r="AN221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22" i="1"/>
  <c r="AM222" i="1"/>
  <c r="AN222" i="1"/>
  <c r="K186" i="1"/>
  <c r="L186" i="1"/>
  <c r="M186" i="1"/>
  <c r="N186" i="1" s="1"/>
  <c r="V186" i="1"/>
  <c r="Y186" i="1"/>
  <c r="AA186" i="1" s="1"/>
  <c r="Z186" i="1"/>
  <c r="AB186" i="1"/>
  <c r="AC186" i="1"/>
  <c r="AD186" i="1"/>
  <c r="T186" i="1" s="1"/>
  <c r="AE186" i="1"/>
  <c r="AF186" i="1"/>
  <c r="AH223" i="1"/>
  <c r="AM223" i="1"/>
  <c r="AN223" i="1"/>
  <c r="AH224" i="1"/>
  <c r="AM224" i="1"/>
  <c r="AN22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5" i="1"/>
  <c r="AM225" i="1"/>
  <c r="AN225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26" i="1"/>
  <c r="AM226" i="1"/>
  <c r="AN226" i="1"/>
  <c r="K189" i="1"/>
  <c r="L189" i="1"/>
  <c r="M189" i="1"/>
  <c r="N189" i="1" s="1"/>
  <c r="V189" i="1"/>
  <c r="S32" i="3" s="1"/>
  <c r="Y189" i="1"/>
  <c r="Z189" i="1"/>
  <c r="AB189" i="1"/>
  <c r="AC189" i="1"/>
  <c r="AD189" i="1"/>
  <c r="T189" i="1" s="1"/>
  <c r="AE189" i="1"/>
  <c r="AF189" i="1"/>
  <c r="AG189" i="1"/>
  <c r="AH227" i="1"/>
  <c r="AM227" i="1"/>
  <c r="AN227" i="1"/>
  <c r="K190" i="1"/>
  <c r="L190" i="1"/>
  <c r="M190" i="1"/>
  <c r="N190" i="1" s="1"/>
  <c r="T190" i="1"/>
  <c r="V190" i="1"/>
  <c r="Y190" i="1"/>
  <c r="Z190" i="1"/>
  <c r="AB190" i="1"/>
  <c r="AC190" i="1"/>
  <c r="AD190" i="1"/>
  <c r="AE190" i="1"/>
  <c r="AF190" i="1"/>
  <c r="AH228" i="1"/>
  <c r="AM228" i="1"/>
  <c r="AN228" i="1"/>
  <c r="AH229" i="1"/>
  <c r="AM229" i="1"/>
  <c r="AN229" i="1"/>
  <c r="K191" i="1"/>
  <c r="L191" i="1"/>
  <c r="M191" i="1"/>
  <c r="N191" i="1" s="1"/>
  <c r="V191" i="1"/>
  <c r="S31" i="3" s="1"/>
  <c r="Y191" i="1"/>
  <c r="Z191" i="1"/>
  <c r="AB191" i="1"/>
  <c r="AC191" i="1"/>
  <c r="AD191" i="1"/>
  <c r="AG191" i="1" s="1"/>
  <c r="AE191" i="1"/>
  <c r="AF191" i="1"/>
  <c r="AH230" i="1"/>
  <c r="AM230" i="1"/>
  <c r="AN23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31" i="1"/>
  <c r="AM231" i="1"/>
  <c r="AN23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32" i="1"/>
  <c r="AM232" i="1"/>
  <c r="AN232" i="1"/>
  <c r="K194" i="1"/>
  <c r="L194" i="1"/>
  <c r="M194" i="1"/>
  <c r="N194" i="1" s="1"/>
  <c r="V194" i="1"/>
  <c r="S30" i="3" s="1"/>
  <c r="Y194" i="1"/>
  <c r="Z194" i="1"/>
  <c r="AB194" i="1"/>
  <c r="AC194" i="1"/>
  <c r="AD194" i="1"/>
  <c r="AG194" i="1" s="1"/>
  <c r="AE194" i="1"/>
  <c r="AF194" i="1"/>
  <c r="AH233" i="1"/>
  <c r="AM233" i="1"/>
  <c r="AN233" i="1"/>
  <c r="K195" i="1"/>
  <c r="L195" i="1"/>
  <c r="M195" i="1"/>
  <c r="N195" i="1" s="1"/>
  <c r="V195" i="1"/>
  <c r="S33" i="3" s="1"/>
  <c r="Y195" i="1"/>
  <c r="Z195" i="1"/>
  <c r="AB195" i="1"/>
  <c r="AC195" i="1"/>
  <c r="AD195" i="1"/>
  <c r="AG195" i="1" s="1"/>
  <c r="AE195" i="1"/>
  <c r="AF195" i="1"/>
  <c r="AH234" i="1"/>
  <c r="AM234" i="1"/>
  <c r="AN23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35" i="1"/>
  <c r="AM235" i="1"/>
  <c r="AN235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36" i="1"/>
  <c r="AM236" i="1"/>
  <c r="AN236" i="1"/>
  <c r="K198" i="1"/>
  <c r="L198" i="1"/>
  <c r="M198" i="1"/>
  <c r="N198" i="1" s="1"/>
  <c r="T198" i="1"/>
  <c r="V198" i="1"/>
  <c r="Y198" i="1"/>
  <c r="Z198" i="1"/>
  <c r="AB198" i="1"/>
  <c r="AC198" i="1"/>
  <c r="AD198" i="1"/>
  <c r="AG198" i="1" s="1"/>
  <c r="AE198" i="1"/>
  <c r="AF198" i="1"/>
  <c r="AH237" i="1"/>
  <c r="AM237" i="1"/>
  <c r="AN237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38" i="1"/>
  <c r="AM238" i="1"/>
  <c r="AN23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9" i="1"/>
  <c r="AM239" i="1"/>
  <c r="AN23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40" i="1"/>
  <c r="AM240" i="1"/>
  <c r="AN24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41" i="1"/>
  <c r="AM241" i="1"/>
  <c r="AN241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42" i="1"/>
  <c r="AM242" i="1"/>
  <c r="AN242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43" i="1"/>
  <c r="AM243" i="1"/>
  <c r="AN243" i="1"/>
  <c r="K218" i="1"/>
  <c r="L218" i="1"/>
  <c r="M218" i="1"/>
  <c r="N218" i="1"/>
  <c r="V218" i="1"/>
  <c r="Y218" i="1"/>
  <c r="Z218" i="1"/>
  <c r="AB218" i="1"/>
  <c r="AC218" i="1"/>
  <c r="AD218" i="1"/>
  <c r="AE218" i="1"/>
  <c r="AF218" i="1"/>
  <c r="AH244" i="1"/>
  <c r="AM244" i="1"/>
  <c r="AN244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45" i="1"/>
  <c r="AM245" i="1"/>
  <c r="AN245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46" i="1"/>
  <c r="AM246" i="1"/>
  <c r="AN246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47" i="1"/>
  <c r="AM247" i="1"/>
  <c r="AN247" i="1"/>
  <c r="M17" i="3"/>
  <c r="R17" i="3"/>
  <c r="S17" i="3"/>
  <c r="U17" i="3"/>
  <c r="T17" i="3" s="1"/>
  <c r="V17" i="3"/>
  <c r="W17" i="3"/>
  <c r="X17" i="3"/>
  <c r="M29" i="3"/>
  <c r="U29" i="3"/>
  <c r="T29" i="3" s="1"/>
  <c r="V29" i="3"/>
  <c r="W29" i="3"/>
  <c r="X29" i="3"/>
  <c r="AC29" i="3"/>
  <c r="M18" i="3"/>
  <c r="R18" i="3"/>
  <c r="S18" i="3"/>
  <c r="U18" i="3"/>
  <c r="AC18" i="3" s="1"/>
  <c r="V18" i="3"/>
  <c r="W18" i="3"/>
  <c r="Y18" i="3" s="1"/>
  <c r="X18" i="3"/>
  <c r="M22" i="3"/>
  <c r="S22" i="3"/>
  <c r="U22" i="3"/>
  <c r="AC22" i="3" s="1"/>
  <c r="V22" i="3"/>
  <c r="W22" i="3"/>
  <c r="Y22" i="3" s="1"/>
  <c r="X22" i="3"/>
  <c r="M15" i="3"/>
  <c r="S15" i="3"/>
  <c r="U15" i="3"/>
  <c r="AC15" i="3" s="1"/>
  <c r="V15" i="3"/>
  <c r="W15" i="3"/>
  <c r="X15" i="3"/>
  <c r="M37" i="3"/>
  <c r="R37" i="3"/>
  <c r="U37" i="3"/>
  <c r="T37" i="3" s="1"/>
  <c r="V37" i="3"/>
  <c r="W37" i="3"/>
  <c r="X37" i="3"/>
  <c r="AC37" i="3"/>
  <c r="M10" i="3"/>
  <c r="S10" i="3"/>
  <c r="U10" i="3"/>
  <c r="AC10" i="3" s="1"/>
  <c r="V10" i="3"/>
  <c r="W10" i="3"/>
  <c r="X10" i="3"/>
  <c r="M9" i="3"/>
  <c r="R9" i="3"/>
  <c r="U9" i="3"/>
  <c r="AC9" i="3" s="1"/>
  <c r="V9" i="3"/>
  <c r="W9" i="3"/>
  <c r="X9" i="3"/>
  <c r="AE15" i="3"/>
  <c r="M14" i="3"/>
  <c r="R14" i="3"/>
  <c r="U14" i="3"/>
  <c r="AC14" i="3" s="1"/>
  <c r="V14" i="3"/>
  <c r="W14" i="3"/>
  <c r="X14" i="3"/>
  <c r="M20" i="3"/>
  <c r="S20" i="3"/>
  <c r="U20" i="3"/>
  <c r="AD20" i="3" s="1"/>
  <c r="V20" i="3"/>
  <c r="W20" i="3"/>
  <c r="X20" i="3"/>
  <c r="AC20" i="3"/>
  <c r="M24" i="3"/>
  <c r="R24" i="3"/>
  <c r="U24" i="3"/>
  <c r="V24" i="3"/>
  <c r="W24" i="3"/>
  <c r="Y24" i="3" s="1"/>
  <c r="X24" i="3"/>
  <c r="AC24" i="3"/>
  <c r="M11" i="3"/>
  <c r="R11" i="3"/>
  <c r="U11" i="3"/>
  <c r="AC11" i="3" s="1"/>
  <c r="V11" i="3"/>
  <c r="W11" i="3"/>
  <c r="Y11" i="3" s="1"/>
  <c r="X11" i="3"/>
  <c r="M23" i="3"/>
  <c r="S23" i="3"/>
  <c r="U23" i="3"/>
  <c r="AC23" i="3" s="1"/>
  <c r="V23" i="3"/>
  <c r="W23" i="3"/>
  <c r="X23" i="3"/>
  <c r="M7" i="3"/>
  <c r="R7" i="3"/>
  <c r="S7" i="3"/>
  <c r="U7" i="3"/>
  <c r="T7" i="3" s="1"/>
  <c r="V7" i="3"/>
  <c r="W7" i="3"/>
  <c r="X7" i="3"/>
  <c r="AC7" i="3"/>
  <c r="M25" i="3"/>
  <c r="R25" i="3"/>
  <c r="S25" i="3"/>
  <c r="U25" i="3"/>
  <c r="AD22" i="3" s="1"/>
  <c r="V25" i="3"/>
  <c r="W25" i="3"/>
  <c r="X25" i="3"/>
  <c r="Y25" i="3"/>
  <c r="M26" i="3"/>
  <c r="R26" i="3"/>
  <c r="U26" i="3"/>
  <c r="AC26" i="3" s="1"/>
  <c r="V26" i="3"/>
  <c r="W26" i="3"/>
  <c r="X26" i="3"/>
  <c r="M34" i="3"/>
  <c r="R34" i="3"/>
  <c r="U34" i="3"/>
  <c r="AC34" i="3" s="1"/>
  <c r="V34" i="3"/>
  <c r="W34" i="3"/>
  <c r="X34" i="3"/>
  <c r="AD24" i="3"/>
  <c r="M35" i="3"/>
  <c r="R35" i="3"/>
  <c r="U35" i="3"/>
  <c r="AD35" i="3" s="1"/>
  <c r="V35" i="3"/>
  <c r="W35" i="3"/>
  <c r="X35" i="3"/>
  <c r="AC35" i="3"/>
  <c r="M32" i="3"/>
  <c r="R32" i="3"/>
  <c r="U32" i="3"/>
  <c r="V32" i="3"/>
  <c r="W32" i="3"/>
  <c r="Y32" i="3" s="1"/>
  <c r="X32" i="3"/>
  <c r="M8" i="3"/>
  <c r="R8" i="3"/>
  <c r="S8" i="3"/>
  <c r="U8" i="3"/>
  <c r="AC8" i="3" s="1"/>
  <c r="V8" i="3"/>
  <c r="W8" i="3"/>
  <c r="X8" i="3"/>
  <c r="M27" i="3"/>
  <c r="S27" i="3"/>
  <c r="T27" i="3"/>
  <c r="U27" i="3"/>
  <c r="AC27" i="3" s="1"/>
  <c r="V27" i="3"/>
  <c r="W27" i="3"/>
  <c r="X27" i="3"/>
  <c r="M31" i="3"/>
  <c r="R31" i="3"/>
  <c r="U31" i="3"/>
  <c r="AD29" i="3" s="1"/>
  <c r="V31" i="3"/>
  <c r="W31" i="3"/>
  <c r="X31" i="3"/>
  <c r="AC31" i="3"/>
  <c r="M36" i="3"/>
  <c r="S36" i="3"/>
  <c r="U36" i="3"/>
  <c r="V36" i="3"/>
  <c r="W36" i="3"/>
  <c r="X36" i="3"/>
  <c r="M16" i="3"/>
  <c r="U16" i="3"/>
  <c r="AC16" i="3" s="1"/>
  <c r="V16" i="3"/>
  <c r="W16" i="3"/>
  <c r="Y16" i="3" s="1"/>
  <c r="X16" i="3"/>
  <c r="M21" i="3"/>
  <c r="U21" i="3"/>
  <c r="AC21" i="3" s="1"/>
  <c r="V21" i="3"/>
  <c r="W21" i="3"/>
  <c r="X21" i="3"/>
  <c r="AD31" i="3"/>
  <c r="M30" i="3"/>
  <c r="R30" i="3"/>
  <c r="U30" i="3"/>
  <c r="T30" i="3" s="1"/>
  <c r="V30" i="3"/>
  <c r="AE32" i="3" s="1"/>
  <c r="W30" i="3"/>
  <c r="X30" i="3"/>
  <c r="AC30" i="3"/>
  <c r="AD32" i="3"/>
  <c r="AD33" i="3"/>
  <c r="M33" i="3"/>
  <c r="R33" i="3"/>
  <c r="U33" i="3"/>
  <c r="AC33" i="3" s="1"/>
  <c r="V33" i="3"/>
  <c r="W33" i="3"/>
  <c r="Y33" i="3" s="1"/>
  <c r="X33" i="3"/>
  <c r="M28" i="3"/>
  <c r="S28" i="3"/>
  <c r="U28" i="3"/>
  <c r="AC28" i="3" s="1"/>
  <c r="V28" i="3"/>
  <c r="W28" i="3"/>
  <c r="X28" i="3"/>
  <c r="M12" i="3"/>
  <c r="U12" i="3"/>
  <c r="T12" i="3" s="1"/>
  <c r="V12" i="3"/>
  <c r="W12" i="3"/>
  <c r="X12" i="3"/>
  <c r="AC12" i="3"/>
  <c r="M19" i="3"/>
  <c r="U19" i="3"/>
  <c r="AD37" i="3" s="1"/>
  <c r="V19" i="3"/>
  <c r="W19" i="3"/>
  <c r="X19" i="3"/>
  <c r="Y17" i="3" l="1"/>
  <c r="X197" i="1"/>
  <c r="Y19" i="3"/>
  <c r="Y8" i="3"/>
  <c r="AD17" i="3"/>
  <c r="T204" i="1"/>
  <c r="W149" i="1"/>
  <c r="T35" i="3"/>
  <c r="Y10" i="3"/>
  <c r="AA192" i="1"/>
  <c r="AG180" i="1"/>
  <c r="AA170" i="1"/>
  <c r="W170" i="1" s="1"/>
  <c r="AA158" i="1"/>
  <c r="AG231" i="1"/>
  <c r="U231" i="1" s="1"/>
  <c r="S231" i="1" s="1"/>
  <c r="AA227" i="1"/>
  <c r="AA204" i="1"/>
  <c r="AG138" i="1"/>
  <c r="AI138" i="1" s="1"/>
  <c r="AA134" i="1"/>
  <c r="W134" i="1" s="1"/>
  <c r="AA130" i="1"/>
  <c r="W130" i="1" s="1"/>
  <c r="AI114" i="1"/>
  <c r="AG98" i="1"/>
  <c r="AI98" i="1" s="1"/>
  <c r="AA85" i="1"/>
  <c r="AA78" i="1"/>
  <c r="AA66" i="1"/>
  <c r="AA64" i="1"/>
  <c r="AA45" i="1"/>
  <c r="W145" i="1"/>
  <c r="AI199" i="1"/>
  <c r="AA178" i="1"/>
  <c r="AG174" i="1"/>
  <c r="W174" i="1" s="1"/>
  <c r="AA173" i="1"/>
  <c r="AG203" i="1"/>
  <c r="AI203" i="1" s="1"/>
  <c r="AA153" i="1"/>
  <c r="AA143" i="1"/>
  <c r="AG112" i="1"/>
  <c r="AA111" i="1"/>
  <c r="AA101" i="1"/>
  <c r="AA86" i="1"/>
  <c r="W86" i="1" s="1"/>
  <c r="AG80" i="1"/>
  <c r="AI80" i="1" s="1"/>
  <c r="T73" i="1"/>
  <c r="AA52" i="1"/>
  <c r="W52" i="1" s="1"/>
  <c r="AA46" i="1"/>
  <c r="W46" i="1" s="1"/>
  <c r="AI30" i="1"/>
  <c r="AA23" i="1"/>
  <c r="AA19" i="1"/>
  <c r="X187" i="1"/>
  <c r="T20" i="3"/>
  <c r="AE25" i="3"/>
  <c r="AA219" i="1"/>
  <c r="Y12" i="3"/>
  <c r="AE35" i="3"/>
  <c r="AD26" i="3"/>
  <c r="Y7" i="3"/>
  <c r="T23" i="3"/>
  <c r="AD18" i="3"/>
  <c r="AE17" i="3"/>
  <c r="Y15" i="3"/>
  <c r="Y29" i="3"/>
  <c r="AA221" i="1"/>
  <c r="AG219" i="1"/>
  <c r="AG200" i="1"/>
  <c r="AI191" i="1"/>
  <c r="AG182" i="1"/>
  <c r="X176" i="1"/>
  <c r="X168" i="1"/>
  <c r="AI215" i="1"/>
  <c r="X214" i="1"/>
  <c r="T213" i="1"/>
  <c r="U213" i="1" s="1"/>
  <c r="S213" i="1" s="1"/>
  <c r="AA212" i="1"/>
  <c r="AA211" i="1"/>
  <c r="AA207" i="1"/>
  <c r="AI145" i="1"/>
  <c r="T118" i="1"/>
  <c r="T110" i="1"/>
  <c r="U110" i="1" s="1"/>
  <c r="S110" i="1" s="1"/>
  <c r="AA87" i="1"/>
  <c r="W87" i="1" s="1"/>
  <c r="AA79" i="1"/>
  <c r="AA67" i="1"/>
  <c r="W67" i="1" s="1"/>
  <c r="T54" i="1"/>
  <c r="U54" i="1" s="1"/>
  <c r="S54" i="1" s="1"/>
  <c r="AI50" i="1"/>
  <c r="AA43" i="1"/>
  <c r="AA34" i="1"/>
  <c r="X31" i="1"/>
  <c r="AA24" i="1"/>
  <c r="W24" i="1" s="1"/>
  <c r="AA22" i="1"/>
  <c r="AA16" i="1"/>
  <c r="AA244" i="1"/>
  <c r="W244" i="1" s="1"/>
  <c r="AA233" i="1"/>
  <c r="W227" i="1"/>
  <c r="T130" i="1"/>
  <c r="U130" i="1" s="1"/>
  <c r="S130" i="1" s="1"/>
  <c r="AA129" i="1"/>
  <c r="AA115" i="1"/>
  <c r="AA82" i="1"/>
  <c r="T66" i="1"/>
  <c r="U66" i="1" s="1"/>
  <c r="S66" i="1" s="1"/>
  <c r="AA65" i="1"/>
  <c r="AA62" i="1"/>
  <c r="AG56" i="1"/>
  <c r="X51" i="1"/>
  <c r="AA49" i="1"/>
  <c r="AI46" i="1"/>
  <c r="AA27" i="1"/>
  <c r="W27" i="1" s="1"/>
  <c r="AE20" i="3"/>
  <c r="AA202" i="1"/>
  <c r="W202" i="1" s="1"/>
  <c r="U227" i="1"/>
  <c r="AD30" i="3"/>
  <c r="AD25" i="3"/>
  <c r="Y14" i="3"/>
  <c r="T194" i="1"/>
  <c r="U194" i="1" s="1"/>
  <c r="S194" i="1" s="1"/>
  <c r="AA190" i="1"/>
  <c r="AA187" i="1"/>
  <c r="AG178" i="1"/>
  <c r="W178" i="1" s="1"/>
  <c r="AA177" i="1"/>
  <c r="AG170" i="1"/>
  <c r="AA169" i="1"/>
  <c r="W169" i="1" s="1"/>
  <c r="T166" i="1"/>
  <c r="U166" i="1" s="1"/>
  <c r="S166" i="1" s="1"/>
  <c r="AA165" i="1"/>
  <c r="AA163" i="1"/>
  <c r="W163" i="1" s="1"/>
  <c r="AA160" i="1"/>
  <c r="W160" i="1" s="1"/>
  <c r="AG241" i="1"/>
  <c r="AA239" i="1"/>
  <c r="W239" i="1" s="1"/>
  <c r="AA237" i="1"/>
  <c r="X234" i="1"/>
  <c r="AG233" i="1"/>
  <c r="AI233" i="1" s="1"/>
  <c r="AA226" i="1"/>
  <c r="AG147" i="1"/>
  <c r="U147" i="1" s="1"/>
  <c r="S147" i="1" s="1"/>
  <c r="AG128" i="1"/>
  <c r="AI128" i="1" s="1"/>
  <c r="AA108" i="1"/>
  <c r="W108" i="1" s="1"/>
  <c r="AA99" i="1"/>
  <c r="T87" i="1"/>
  <c r="AA72" i="1"/>
  <c r="W72" i="1" s="1"/>
  <c r="T67" i="1"/>
  <c r="U67" i="1" s="1"/>
  <c r="S67" i="1" s="1"/>
  <c r="X50" i="1"/>
  <c r="AA41" i="1"/>
  <c r="AA33" i="1"/>
  <c r="AA26" i="1"/>
  <c r="X21" i="1"/>
  <c r="AA199" i="1"/>
  <c r="W199" i="1" s="1"/>
  <c r="T199" i="1"/>
  <c r="U199" i="1" s="1"/>
  <c r="S199" i="1" s="1"/>
  <c r="AA197" i="1"/>
  <c r="T197" i="1"/>
  <c r="AA196" i="1"/>
  <c r="AA193" i="1"/>
  <c r="AA191" i="1"/>
  <c r="W191" i="1" s="1"/>
  <c r="AA188" i="1"/>
  <c r="AA181" i="1"/>
  <c r="W181" i="1" s="1"/>
  <c r="AA156" i="1"/>
  <c r="W156" i="1" s="1"/>
  <c r="AA148" i="1"/>
  <c r="AG103" i="1"/>
  <c r="T103" i="1"/>
  <c r="AA90" i="1"/>
  <c r="W90" i="1" s="1"/>
  <c r="AI90" i="1"/>
  <c r="AG26" i="1"/>
  <c r="AI26" i="1" s="1"/>
  <c r="T26" i="1"/>
  <c r="T153" i="1"/>
  <c r="AG153" i="1"/>
  <c r="T27" i="1"/>
  <c r="X27" i="1"/>
  <c r="AG27" i="1"/>
  <c r="AI27" i="1" s="1"/>
  <c r="AG223" i="1"/>
  <c r="U223" i="1" s="1"/>
  <c r="S223" i="1" s="1"/>
  <c r="AG141" i="1"/>
  <c r="AI141" i="1" s="1"/>
  <c r="X141" i="1"/>
  <c r="T124" i="1"/>
  <c r="AG124" i="1"/>
  <c r="AI124" i="1" s="1"/>
  <c r="AA124" i="1"/>
  <c r="X117" i="1"/>
  <c r="T117" i="1"/>
  <c r="AG102" i="1"/>
  <c r="AI102" i="1" s="1"/>
  <c r="T102" i="1"/>
  <c r="AG78" i="1"/>
  <c r="AI78" i="1" s="1"/>
  <c r="T78" i="1"/>
  <c r="U78" i="1" s="1"/>
  <c r="S78" i="1" s="1"/>
  <c r="AG70" i="1"/>
  <c r="AI70" i="1" s="1"/>
  <c r="T70" i="1"/>
  <c r="T60" i="1"/>
  <c r="AG60" i="1"/>
  <c r="U60" i="1" s="1"/>
  <c r="S60" i="1" s="1"/>
  <c r="AG16" i="1"/>
  <c r="AI16" i="1" s="1"/>
  <c r="X16" i="1"/>
  <c r="T108" i="1"/>
  <c r="AG108" i="1"/>
  <c r="AI108" i="1" s="1"/>
  <c r="T57" i="1"/>
  <c r="X57" i="1"/>
  <c r="AG221" i="1"/>
  <c r="U221" i="1" s="1"/>
  <c r="S221" i="1" s="1"/>
  <c r="AA217" i="1"/>
  <c r="AG202" i="1"/>
  <c r="U202" i="1" s="1"/>
  <c r="S202" i="1" s="1"/>
  <c r="X199" i="1"/>
  <c r="AA194" i="1"/>
  <c r="W194" i="1" s="1"/>
  <c r="AG172" i="1"/>
  <c r="AI172" i="1" s="1"/>
  <c r="AA247" i="1"/>
  <c r="AG162" i="1"/>
  <c r="U162" i="1" s="1"/>
  <c r="S162" i="1" s="1"/>
  <c r="T239" i="1"/>
  <c r="U239" i="1" s="1"/>
  <c r="S239" i="1" s="1"/>
  <c r="X218" i="1"/>
  <c r="AA201" i="1"/>
  <c r="AI195" i="1"/>
  <c r="T191" i="1"/>
  <c r="U191" i="1" s="1"/>
  <c r="S191" i="1" s="1"/>
  <c r="AA182" i="1"/>
  <c r="W182" i="1" s="1"/>
  <c r="X180" i="1"/>
  <c r="AG176" i="1"/>
  <c r="U176" i="1" s="1"/>
  <c r="S176" i="1" s="1"/>
  <c r="X172" i="1"/>
  <c r="T168" i="1"/>
  <c r="AG168" i="1"/>
  <c r="AI168" i="1" s="1"/>
  <c r="AG247" i="1"/>
  <c r="AA166" i="1"/>
  <c r="X162" i="1"/>
  <c r="X157" i="1"/>
  <c r="AG243" i="1"/>
  <c r="AI243" i="1" s="1"/>
  <c r="AA214" i="1"/>
  <c r="W214" i="1" s="1"/>
  <c r="T214" i="1"/>
  <c r="X142" i="1"/>
  <c r="AG142" i="1"/>
  <c r="U142" i="1" s="1"/>
  <c r="S142" i="1" s="1"/>
  <c r="X125" i="1"/>
  <c r="T125" i="1"/>
  <c r="T114" i="1"/>
  <c r="T76" i="1"/>
  <c r="AG76" i="1"/>
  <c r="AI76" i="1" s="1"/>
  <c r="U118" i="1"/>
  <c r="AA117" i="1"/>
  <c r="AA107" i="1"/>
  <c r="AA94" i="1"/>
  <c r="AA88" i="1"/>
  <c r="AA75" i="1"/>
  <c r="W75" i="1" s="1"/>
  <c r="AA74" i="1"/>
  <c r="AA68" i="1"/>
  <c r="AA59" i="1"/>
  <c r="AA56" i="1"/>
  <c r="W56" i="1" s="1"/>
  <c r="AA53" i="1"/>
  <c r="T46" i="1"/>
  <c r="AA42" i="1"/>
  <c r="AA30" i="1"/>
  <c r="W30" i="1" s="1"/>
  <c r="T21" i="1"/>
  <c r="AI56" i="1"/>
  <c r="W20" i="1"/>
  <c r="AA164" i="1"/>
  <c r="AI159" i="1"/>
  <c r="AA157" i="1"/>
  <c r="AA245" i="1"/>
  <c r="X243" i="1"/>
  <c r="AA241" i="1"/>
  <c r="AA235" i="1"/>
  <c r="AA232" i="1"/>
  <c r="W232" i="1" s="1"/>
  <c r="AA229" i="1"/>
  <c r="AA225" i="1"/>
  <c r="AA222" i="1"/>
  <c r="AA155" i="1"/>
  <c r="W155" i="1" s="1"/>
  <c r="AA152" i="1"/>
  <c r="AA151" i="1"/>
  <c r="X143" i="1"/>
  <c r="AA139" i="1"/>
  <c r="AA123" i="1"/>
  <c r="W123" i="1" s="1"/>
  <c r="AA103" i="1"/>
  <c r="AA100" i="1"/>
  <c r="AA97" i="1"/>
  <c r="AA96" i="1"/>
  <c r="W96" i="1" s="1"/>
  <c r="T95" i="1"/>
  <c r="AG82" i="1"/>
  <c r="U82" i="1" s="1"/>
  <c r="S82" i="1" s="1"/>
  <c r="AA77" i="1"/>
  <c r="AG62" i="1"/>
  <c r="AI62" i="1" s="1"/>
  <c r="AA61" i="1"/>
  <c r="AG58" i="1"/>
  <c r="U58" i="1" s="1"/>
  <c r="S58" i="1" s="1"/>
  <c r="X55" i="1"/>
  <c r="AA50" i="1"/>
  <c r="W50" i="1" s="1"/>
  <c r="AG47" i="1"/>
  <c r="AI47" i="1" s="1"/>
  <c r="X47" i="1"/>
  <c r="AA35" i="1"/>
  <c r="T31" i="1"/>
  <c r="T30" i="1"/>
  <c r="U30" i="1" s="1"/>
  <c r="S30" i="1" s="1"/>
  <c r="AA25" i="1"/>
  <c r="AG21" i="1"/>
  <c r="AI21" i="1" s="1"/>
  <c r="X20" i="1"/>
  <c r="AI235" i="1"/>
  <c r="AI181" i="1"/>
  <c r="T211" i="1"/>
  <c r="AG211" i="1"/>
  <c r="AI211" i="1" s="1"/>
  <c r="U155" i="1"/>
  <c r="S155" i="1" s="1"/>
  <c r="AI155" i="1"/>
  <c r="AG144" i="1"/>
  <c r="AI144" i="1" s="1"/>
  <c r="X144" i="1"/>
  <c r="AI134" i="1"/>
  <c r="U112" i="1"/>
  <c r="S112" i="1" s="1"/>
  <c r="AI112" i="1"/>
  <c r="X220" i="1"/>
  <c r="AA218" i="1"/>
  <c r="T218" i="1"/>
  <c r="AG217" i="1"/>
  <c r="AI217" i="1" s="1"/>
  <c r="AA216" i="1"/>
  <c r="W216" i="1" s="1"/>
  <c r="U198" i="1"/>
  <c r="S198" i="1" s="1"/>
  <c r="AA195" i="1"/>
  <c r="W195" i="1" s="1"/>
  <c r="U189" i="1"/>
  <c r="AA189" i="1"/>
  <c r="W189" i="1" s="1"/>
  <c r="AG187" i="1"/>
  <c r="U187" i="1" s="1"/>
  <c r="S187" i="1" s="1"/>
  <c r="AG186" i="1"/>
  <c r="AI186" i="1" s="1"/>
  <c r="AA185" i="1"/>
  <c r="W185" i="1" s="1"/>
  <c r="T185" i="1"/>
  <c r="U185" i="1" s="1"/>
  <c r="S185" i="1" s="1"/>
  <c r="AG184" i="1"/>
  <c r="AI184" i="1" s="1"/>
  <c r="X183" i="1"/>
  <c r="AA179" i="1"/>
  <c r="T179" i="1"/>
  <c r="AA176" i="1"/>
  <c r="X175" i="1"/>
  <c r="AA171" i="1"/>
  <c r="T171" i="1"/>
  <c r="AA168" i="1"/>
  <c r="X167" i="1"/>
  <c r="AA246" i="1"/>
  <c r="X166" i="1"/>
  <c r="AG164" i="1"/>
  <c r="AA161" i="1"/>
  <c r="T161" i="1"/>
  <c r="AG158" i="1"/>
  <c r="U158" i="1" s="1"/>
  <c r="AA243" i="1"/>
  <c r="X242" i="1"/>
  <c r="AA240" i="1"/>
  <c r="AA238" i="1"/>
  <c r="W238" i="1" s="1"/>
  <c r="X236" i="1"/>
  <c r="T235" i="1"/>
  <c r="U235" i="1" s="1"/>
  <c r="S235" i="1" s="1"/>
  <c r="AA234" i="1"/>
  <c r="T234" i="1"/>
  <c r="AA231" i="1"/>
  <c r="AG229" i="1"/>
  <c r="AG225" i="1"/>
  <c r="AI225" i="1" s="1"/>
  <c r="AA224" i="1"/>
  <c r="W224" i="1" s="1"/>
  <c r="T209" i="1"/>
  <c r="AA208" i="1"/>
  <c r="T207" i="1"/>
  <c r="AG207" i="1"/>
  <c r="X206" i="1"/>
  <c r="AA205" i="1"/>
  <c r="W205" i="1" s="1"/>
  <c r="AA203" i="1"/>
  <c r="W153" i="1"/>
  <c r="AG151" i="1"/>
  <c r="W151" i="1" s="1"/>
  <c r="T143" i="1"/>
  <c r="AG140" i="1"/>
  <c r="U140" i="1" s="1"/>
  <c r="AG132" i="1"/>
  <c r="AI132" i="1" s="1"/>
  <c r="U126" i="1"/>
  <c r="S126" i="1" s="1"/>
  <c r="AI126" i="1"/>
  <c r="T122" i="1"/>
  <c r="AG122" i="1"/>
  <c r="AI122" i="1" s="1"/>
  <c r="AA122" i="1"/>
  <c r="T100" i="1"/>
  <c r="AG100" i="1"/>
  <c r="AI100" i="1" s="1"/>
  <c r="T92" i="1"/>
  <c r="AG92" i="1"/>
  <c r="AI92" i="1" s="1"/>
  <c r="X39" i="1"/>
  <c r="AG39" i="1"/>
  <c r="T39" i="1"/>
  <c r="AG34" i="1"/>
  <c r="AI34" i="1" s="1"/>
  <c r="X34" i="1"/>
  <c r="T34" i="1"/>
  <c r="T17" i="1"/>
  <c r="U17" i="1" s="1"/>
  <c r="S17" i="1" s="1"/>
  <c r="X17" i="1"/>
  <c r="AG17" i="1"/>
  <c r="AI17" i="1" s="1"/>
  <c r="S189" i="1"/>
  <c r="W166" i="1"/>
  <c r="X165" i="1"/>
  <c r="AI188" i="1"/>
  <c r="W235" i="1"/>
  <c r="S227" i="1"/>
  <c r="T205" i="1"/>
  <c r="U205" i="1" s="1"/>
  <c r="S205" i="1" s="1"/>
  <c r="T144" i="1"/>
  <c r="X135" i="1"/>
  <c r="T134" i="1"/>
  <c r="U134" i="1" s="1"/>
  <c r="S134" i="1" s="1"/>
  <c r="T120" i="1"/>
  <c r="AG120" i="1"/>
  <c r="AG81" i="1"/>
  <c r="AI81" i="1" s="1"/>
  <c r="T81" i="1"/>
  <c r="X82" i="1"/>
  <c r="X81" i="1"/>
  <c r="T35" i="1"/>
  <c r="X35" i="1"/>
  <c r="AG35" i="1"/>
  <c r="AA220" i="1"/>
  <c r="W220" i="1" s="1"/>
  <c r="T220" i="1"/>
  <c r="U220" i="1" s="1"/>
  <c r="S220" i="1" s="1"/>
  <c r="AA200" i="1"/>
  <c r="W200" i="1" s="1"/>
  <c r="AA198" i="1"/>
  <c r="W198" i="1" s="1"/>
  <c r="AG196" i="1"/>
  <c r="U196" i="1" s="1"/>
  <c r="S196" i="1" s="1"/>
  <c r="AG192" i="1"/>
  <c r="U192" i="1" s="1"/>
  <c r="S192" i="1" s="1"/>
  <c r="X185" i="1"/>
  <c r="AA183" i="1"/>
  <c r="U182" i="1"/>
  <c r="S182" i="1" s="1"/>
  <c r="AA180" i="1"/>
  <c r="X179" i="1"/>
  <c r="AA175" i="1"/>
  <c r="T175" i="1"/>
  <c r="AA172" i="1"/>
  <c r="X171" i="1"/>
  <c r="AA167" i="1"/>
  <c r="T167" i="1"/>
  <c r="AA162" i="1"/>
  <c r="X161" i="1"/>
  <c r="AA159" i="1"/>
  <c r="W159" i="1" s="1"/>
  <c r="X158" i="1"/>
  <c r="AG245" i="1"/>
  <c r="AI245" i="1" s="1"/>
  <c r="AA242" i="1"/>
  <c r="T242" i="1"/>
  <c r="AA236" i="1"/>
  <c r="W236" i="1" s="1"/>
  <c r="T236" i="1"/>
  <c r="U236" i="1" s="1"/>
  <c r="S236" i="1" s="1"/>
  <c r="AG228" i="1"/>
  <c r="T228" i="1"/>
  <c r="X226" i="1"/>
  <c r="AA210" i="1"/>
  <c r="W210" i="1" s="1"/>
  <c r="AA209" i="1"/>
  <c r="W209" i="1" s="1"/>
  <c r="AA206" i="1"/>
  <c r="W206" i="1" s="1"/>
  <c r="T206" i="1"/>
  <c r="U206" i="1" s="1"/>
  <c r="S206" i="1" s="1"/>
  <c r="AG152" i="1"/>
  <c r="X152" i="1"/>
  <c r="AA146" i="1"/>
  <c r="AA144" i="1"/>
  <c r="AG143" i="1"/>
  <c r="AI143" i="1" s="1"/>
  <c r="T136" i="1"/>
  <c r="AG136" i="1"/>
  <c r="AA136" i="1"/>
  <c r="X133" i="1"/>
  <c r="AA132" i="1"/>
  <c r="AG127" i="1"/>
  <c r="T127" i="1"/>
  <c r="AA126" i="1"/>
  <c r="W126" i="1" s="1"/>
  <c r="AA125" i="1"/>
  <c r="T104" i="1"/>
  <c r="AG104" i="1"/>
  <c r="W104" i="1" s="1"/>
  <c r="T94" i="1"/>
  <c r="AG94" i="1"/>
  <c r="T88" i="1"/>
  <c r="AG88" i="1"/>
  <c r="AG74" i="1"/>
  <c r="T74" i="1"/>
  <c r="X75" i="1"/>
  <c r="T68" i="1"/>
  <c r="AG68" i="1"/>
  <c r="AA230" i="1"/>
  <c r="AA228" i="1"/>
  <c r="AA215" i="1"/>
  <c r="W215" i="1" s="1"/>
  <c r="AA213" i="1"/>
  <c r="W213" i="1" s="1"/>
  <c r="AA154" i="1"/>
  <c r="AA150" i="1"/>
  <c r="U149" i="1"/>
  <c r="S149" i="1" s="1"/>
  <c r="AA147" i="1"/>
  <c r="W147" i="1" s="1"/>
  <c r="AA142" i="1"/>
  <c r="AA138" i="1"/>
  <c r="AA135" i="1"/>
  <c r="W135" i="1" s="1"/>
  <c r="T135" i="1"/>
  <c r="U135" i="1" s="1"/>
  <c r="S135" i="1" s="1"/>
  <c r="AA128" i="1"/>
  <c r="W128" i="1" s="1"/>
  <c r="AA119" i="1"/>
  <c r="W119" i="1" s="1"/>
  <c r="T119" i="1"/>
  <c r="U116" i="1"/>
  <c r="S116" i="1" s="1"/>
  <c r="AA116" i="1"/>
  <c r="W116" i="1" s="1"/>
  <c r="AA113" i="1"/>
  <c r="AG111" i="1"/>
  <c r="AI111" i="1" s="1"/>
  <c r="X111" i="1"/>
  <c r="AA106" i="1"/>
  <c r="T90" i="1"/>
  <c r="AA89" i="1"/>
  <c r="X85" i="1"/>
  <c r="W78" i="1"/>
  <c r="T72" i="1"/>
  <c r="AG72" i="1"/>
  <c r="AA69" i="1"/>
  <c r="W69" i="1" s="1"/>
  <c r="X65" i="1"/>
  <c r="AG59" i="1"/>
  <c r="X59" i="1"/>
  <c r="AA54" i="1"/>
  <c r="W54" i="1" s="1"/>
  <c r="AA131" i="1"/>
  <c r="U128" i="1"/>
  <c r="S128" i="1" s="1"/>
  <c r="AA127" i="1"/>
  <c r="AA121" i="1"/>
  <c r="AI116" i="1"/>
  <c r="U96" i="1"/>
  <c r="S96" i="1" s="1"/>
  <c r="AI96" i="1"/>
  <c r="AI86" i="1"/>
  <c r="U86" i="1"/>
  <c r="S86" i="1" s="1"/>
  <c r="AI66" i="1"/>
  <c r="W66" i="1"/>
  <c r="AG42" i="1"/>
  <c r="AI42" i="1" s="1"/>
  <c r="X42" i="1"/>
  <c r="X119" i="1"/>
  <c r="AI118" i="1"/>
  <c r="AA118" i="1"/>
  <c r="W118" i="1" s="1"/>
  <c r="S118" i="1"/>
  <c r="T111" i="1"/>
  <c r="AI110" i="1"/>
  <c r="X109" i="1"/>
  <c r="AG106" i="1"/>
  <c r="AI106" i="1" s="1"/>
  <c r="AA102" i="1"/>
  <c r="X101" i="1"/>
  <c r="X93" i="1"/>
  <c r="AA92" i="1"/>
  <c r="X87" i="1"/>
  <c r="T85" i="1"/>
  <c r="AG84" i="1"/>
  <c r="AA71" i="1"/>
  <c r="X67" i="1"/>
  <c r="T65" i="1"/>
  <c r="AG64" i="1"/>
  <c r="T59" i="1"/>
  <c r="AG43" i="1"/>
  <c r="U43" i="1" s="1"/>
  <c r="S43" i="1" s="1"/>
  <c r="X43" i="1"/>
  <c r="AA70" i="1"/>
  <c r="AA55" i="1"/>
  <c r="T55" i="1"/>
  <c r="AA51" i="1"/>
  <c r="T38" i="1"/>
  <c r="U38" i="1" s="1"/>
  <c r="S38" i="1" s="1"/>
  <c r="AA31" i="1"/>
  <c r="T16" i="1"/>
  <c r="AA14" i="1"/>
  <c r="AA114" i="1"/>
  <c r="W114" i="1" s="1"/>
  <c r="AA112" i="1"/>
  <c r="W112" i="1" s="1"/>
  <c r="AA110" i="1"/>
  <c r="W110" i="1" s="1"/>
  <c r="AA109" i="1"/>
  <c r="AA105" i="1"/>
  <c r="X103" i="1"/>
  <c r="AA98" i="1"/>
  <c r="X95" i="1"/>
  <c r="AA91" i="1"/>
  <c r="AA83" i="1"/>
  <c r="AA81" i="1"/>
  <c r="U80" i="1"/>
  <c r="S80" i="1" s="1"/>
  <c r="AA80" i="1"/>
  <c r="W80" i="1" s="1"/>
  <c r="AA63" i="1"/>
  <c r="AA60" i="1"/>
  <c r="AA58" i="1"/>
  <c r="AA57" i="1"/>
  <c r="U56" i="1"/>
  <c r="S56" i="1" s="1"/>
  <c r="AG55" i="1"/>
  <c r="AG51" i="1"/>
  <c r="AI51" i="1" s="1"/>
  <c r="T50" i="1"/>
  <c r="U50" i="1" s="1"/>
  <c r="S50" i="1" s="1"/>
  <c r="AA37" i="1"/>
  <c r="AA36" i="1"/>
  <c r="W36" i="1" s="1"/>
  <c r="AG31" i="1"/>
  <c r="AI31" i="1" s="1"/>
  <c r="AA29" i="1"/>
  <c r="AA28" i="1"/>
  <c r="W28" i="1" s="1"/>
  <c r="AA21" i="1"/>
  <c r="T20" i="1"/>
  <c r="AA18" i="1"/>
  <c r="AA17" i="1"/>
  <c r="W17" i="1" s="1"/>
  <c r="AI239" i="1"/>
  <c r="AG193" i="1"/>
  <c r="AI193" i="1" s="1"/>
  <c r="AI194" i="1"/>
  <c r="AI246" i="1"/>
  <c r="X216" i="1"/>
  <c r="U200" i="1"/>
  <c r="S200" i="1" s="1"/>
  <c r="X198" i="1"/>
  <c r="AG197" i="1"/>
  <c r="T195" i="1"/>
  <c r="U195" i="1" s="1"/>
  <c r="S195" i="1" s="1"/>
  <c r="AI227" i="1"/>
  <c r="X184" i="1"/>
  <c r="AG183" i="1"/>
  <c r="AI183" i="1" s="1"/>
  <c r="T181" i="1"/>
  <c r="U181" i="1" s="1"/>
  <c r="S181" i="1" s="1"/>
  <c r="W180" i="1"/>
  <c r="U178" i="1"/>
  <c r="S178" i="1" s="1"/>
  <c r="AG177" i="1"/>
  <c r="AI177" i="1" s="1"/>
  <c r="T177" i="1"/>
  <c r="X177" i="1"/>
  <c r="U174" i="1"/>
  <c r="S174" i="1" s="1"/>
  <c r="AG173" i="1"/>
  <c r="W173" i="1" s="1"/>
  <c r="T173" i="1"/>
  <c r="X173" i="1"/>
  <c r="U170" i="1"/>
  <c r="S170" i="1" s="1"/>
  <c r="AI206" i="1"/>
  <c r="W246" i="1"/>
  <c r="W240" i="1"/>
  <c r="X202" i="1"/>
  <c r="AG201" i="1"/>
  <c r="AI213" i="1"/>
  <c r="AI209" i="1"/>
  <c r="AI202" i="1"/>
  <c r="X219" i="1"/>
  <c r="AG218" i="1"/>
  <c r="T216" i="1"/>
  <c r="U216" i="1" s="1"/>
  <c r="S216" i="1" s="1"/>
  <c r="X201" i="1"/>
  <c r="AI238" i="1"/>
  <c r="T193" i="1"/>
  <c r="AG190" i="1"/>
  <c r="W188" i="1"/>
  <c r="T188" i="1"/>
  <c r="U188" i="1" s="1"/>
  <c r="S188" i="1" s="1"/>
  <c r="X181" i="1"/>
  <c r="U180" i="1"/>
  <c r="S180" i="1" s="1"/>
  <c r="U172" i="1"/>
  <c r="S172" i="1" s="1"/>
  <c r="AI198" i="1"/>
  <c r="X169" i="1"/>
  <c r="T169" i="1"/>
  <c r="U169" i="1" s="1"/>
  <c r="S169" i="1" s="1"/>
  <c r="AI205" i="1"/>
  <c r="X246" i="1"/>
  <c r="T246" i="1"/>
  <c r="U246" i="1" s="1"/>
  <c r="S246" i="1" s="1"/>
  <c r="X163" i="1"/>
  <c r="T163" i="1"/>
  <c r="U163" i="1" s="1"/>
  <c r="S163" i="1" s="1"/>
  <c r="X159" i="1"/>
  <c r="T159" i="1"/>
  <c r="U159" i="1" s="1"/>
  <c r="S159" i="1" s="1"/>
  <c r="X244" i="1"/>
  <c r="T244" i="1"/>
  <c r="U244" i="1" s="1"/>
  <c r="S244" i="1" s="1"/>
  <c r="AI190" i="1"/>
  <c r="X240" i="1"/>
  <c r="T240" i="1"/>
  <c r="U240" i="1" s="1"/>
  <c r="S240" i="1" s="1"/>
  <c r="X238" i="1"/>
  <c r="T237" i="1"/>
  <c r="X237" i="1"/>
  <c r="X231" i="1"/>
  <c r="AG230" i="1"/>
  <c r="AI230" i="1" s="1"/>
  <c r="AI169" i="1"/>
  <c r="AI163" i="1"/>
  <c r="X209" i="1"/>
  <c r="AG208" i="1"/>
  <c r="AI156" i="1"/>
  <c r="AI153" i="1"/>
  <c r="AI147" i="1"/>
  <c r="X147" i="1"/>
  <c r="AG146" i="1"/>
  <c r="S145" i="1"/>
  <c r="AG139" i="1"/>
  <c r="T139" i="1"/>
  <c r="X139" i="1"/>
  <c r="AG123" i="1"/>
  <c r="T123" i="1"/>
  <c r="X123" i="1"/>
  <c r="AG115" i="1"/>
  <c r="X115" i="1"/>
  <c r="T115" i="1"/>
  <c r="U106" i="1"/>
  <c r="S106" i="1" s="1"/>
  <c r="AG99" i="1"/>
  <c r="X99" i="1"/>
  <c r="T99" i="1"/>
  <c r="U90" i="1"/>
  <c r="S90" i="1" s="1"/>
  <c r="X62" i="1"/>
  <c r="AG61" i="1"/>
  <c r="X61" i="1"/>
  <c r="T61" i="1"/>
  <c r="S35" i="3"/>
  <c r="X221" i="1"/>
  <c r="X217" i="1"/>
  <c r="X200" i="1"/>
  <c r="X186" i="1"/>
  <c r="X182" i="1"/>
  <c r="AG179" i="1"/>
  <c r="AI179" i="1" s="1"/>
  <c r="X178" i="1"/>
  <c r="AG175" i="1"/>
  <c r="AI175" i="1" s="1"/>
  <c r="X174" i="1"/>
  <c r="AG171" i="1"/>
  <c r="AI171" i="1" s="1"/>
  <c r="X170" i="1"/>
  <c r="AG167" i="1"/>
  <c r="AI167" i="1" s="1"/>
  <c r="X247" i="1"/>
  <c r="AG165" i="1"/>
  <c r="AI165" i="1" s="1"/>
  <c r="X164" i="1"/>
  <c r="AG161" i="1"/>
  <c r="AI161" i="1" s="1"/>
  <c r="X160" i="1"/>
  <c r="AG157" i="1"/>
  <c r="AI157" i="1" s="1"/>
  <c r="X245" i="1"/>
  <c r="AG242" i="1"/>
  <c r="AI242" i="1" s="1"/>
  <c r="X241" i="1"/>
  <c r="AG237" i="1"/>
  <c r="AI237" i="1" s="1"/>
  <c r="X235" i="1"/>
  <c r="AG234" i="1"/>
  <c r="AI234" i="1" s="1"/>
  <c r="T232" i="1"/>
  <c r="U232" i="1" s="1"/>
  <c r="S232" i="1" s="1"/>
  <c r="X230" i="1"/>
  <c r="U228" i="1"/>
  <c r="S228" i="1" s="1"/>
  <c r="AI173" i="1"/>
  <c r="X224" i="1"/>
  <c r="U215" i="1"/>
  <c r="S215" i="1" s="1"/>
  <c r="X213" i="1"/>
  <c r="AG212" i="1"/>
  <c r="T210" i="1"/>
  <c r="U210" i="1" s="1"/>
  <c r="S210" i="1" s="1"/>
  <c r="U209" i="1"/>
  <c r="S209" i="1" s="1"/>
  <c r="X208" i="1"/>
  <c r="AI160" i="1"/>
  <c r="X156" i="1"/>
  <c r="U153" i="1"/>
  <c r="S153" i="1" s="1"/>
  <c r="X151" i="1"/>
  <c r="AG150" i="1"/>
  <c r="W148" i="1"/>
  <c r="T148" i="1"/>
  <c r="U148" i="1" s="1"/>
  <c r="S148" i="1" s="1"/>
  <c r="X146" i="1"/>
  <c r="U144" i="1"/>
  <c r="S144" i="1" s="1"/>
  <c r="AA141" i="1"/>
  <c r="W141" i="1" s="1"/>
  <c r="AG137" i="1"/>
  <c r="X138" i="1"/>
  <c r="X137" i="1"/>
  <c r="T137" i="1"/>
  <c r="AG121" i="1"/>
  <c r="W121" i="1" s="1"/>
  <c r="X122" i="1"/>
  <c r="X121" i="1"/>
  <c r="T121" i="1"/>
  <c r="AG113" i="1"/>
  <c r="X114" i="1"/>
  <c r="T113" i="1"/>
  <c r="X113" i="1"/>
  <c r="AG97" i="1"/>
  <c r="X98" i="1"/>
  <c r="T97" i="1"/>
  <c r="X97" i="1"/>
  <c r="AG79" i="1"/>
  <c r="T79" i="1"/>
  <c r="X79" i="1"/>
  <c r="AG71" i="1"/>
  <c r="X71" i="1"/>
  <c r="T71" i="1"/>
  <c r="T40" i="1"/>
  <c r="X40" i="1"/>
  <c r="AG40" i="1"/>
  <c r="AI180" i="1"/>
  <c r="X223" i="1"/>
  <c r="AG222" i="1"/>
  <c r="W222" i="1" s="1"/>
  <c r="AI164" i="1"/>
  <c r="X155" i="1"/>
  <c r="AG154" i="1"/>
  <c r="AI148" i="1"/>
  <c r="AG131" i="1"/>
  <c r="X131" i="1"/>
  <c r="T131" i="1"/>
  <c r="U122" i="1"/>
  <c r="S122" i="1" s="1"/>
  <c r="U114" i="1"/>
  <c r="S114" i="1" s="1"/>
  <c r="AG107" i="1"/>
  <c r="T107" i="1"/>
  <c r="X107" i="1"/>
  <c r="AG91" i="1"/>
  <c r="W91" i="1" s="1"/>
  <c r="T91" i="1"/>
  <c r="X91" i="1"/>
  <c r="T25" i="1"/>
  <c r="X25" i="1"/>
  <c r="AG25" i="1"/>
  <c r="X26" i="1"/>
  <c r="X239" i="1"/>
  <c r="T238" i="1"/>
  <c r="U238" i="1" s="1"/>
  <c r="S238" i="1" s="1"/>
  <c r="X232" i="1"/>
  <c r="T230" i="1"/>
  <c r="X227" i="1"/>
  <c r="AG226" i="1"/>
  <c r="W226" i="1" s="1"/>
  <c r="T224" i="1"/>
  <c r="U224" i="1" s="1"/>
  <c r="S224" i="1" s="1"/>
  <c r="X222" i="1"/>
  <c r="U214" i="1"/>
  <c r="S214" i="1" s="1"/>
  <c r="X210" i="1"/>
  <c r="T208" i="1"/>
  <c r="X205" i="1"/>
  <c r="AG204" i="1"/>
  <c r="T156" i="1"/>
  <c r="U156" i="1" s="1"/>
  <c r="S156" i="1" s="1"/>
  <c r="X154" i="1"/>
  <c r="X148" i="1"/>
  <c r="T146" i="1"/>
  <c r="AG129" i="1"/>
  <c r="X130" i="1"/>
  <c r="T129" i="1"/>
  <c r="X129" i="1"/>
  <c r="AG105" i="1"/>
  <c r="X106" i="1"/>
  <c r="X105" i="1"/>
  <c r="T105" i="1"/>
  <c r="AG89" i="1"/>
  <c r="X90" i="1"/>
  <c r="X89" i="1"/>
  <c r="T89" i="1"/>
  <c r="AG83" i="1"/>
  <c r="X83" i="1"/>
  <c r="T83" i="1"/>
  <c r="T44" i="1"/>
  <c r="X44" i="1"/>
  <c r="AG44" i="1"/>
  <c r="AI36" i="1"/>
  <c r="X233" i="1"/>
  <c r="X229" i="1"/>
  <c r="X225" i="1"/>
  <c r="X215" i="1"/>
  <c r="X211" i="1"/>
  <c r="X207" i="1"/>
  <c r="X203" i="1"/>
  <c r="X153" i="1"/>
  <c r="X149" i="1"/>
  <c r="X145" i="1"/>
  <c r="AG133" i="1"/>
  <c r="X134" i="1"/>
  <c r="AI127" i="1"/>
  <c r="AG117" i="1"/>
  <c r="X118" i="1"/>
  <c r="U111" i="1"/>
  <c r="S111" i="1" s="1"/>
  <c r="AG101" i="1"/>
  <c r="X102" i="1"/>
  <c r="AI95" i="1"/>
  <c r="U95" i="1"/>
  <c r="S95" i="1" s="1"/>
  <c r="AG85" i="1"/>
  <c r="X86" i="1"/>
  <c r="X78" i="1"/>
  <c r="AG77" i="1"/>
  <c r="X77" i="1"/>
  <c r="T77" i="1"/>
  <c r="AI135" i="1"/>
  <c r="AG125" i="1"/>
  <c r="X126" i="1"/>
  <c r="AI119" i="1"/>
  <c r="U119" i="1"/>
  <c r="S119" i="1" s="1"/>
  <c r="AG109" i="1"/>
  <c r="X110" i="1"/>
  <c r="AI103" i="1"/>
  <c r="AG93" i="1"/>
  <c r="X94" i="1"/>
  <c r="AI87" i="1"/>
  <c r="U87" i="1"/>
  <c r="S87" i="1" s="1"/>
  <c r="X70" i="1"/>
  <c r="AG69" i="1"/>
  <c r="T69" i="1"/>
  <c r="X69" i="1"/>
  <c r="AG63" i="1"/>
  <c r="T63" i="1"/>
  <c r="X63" i="1"/>
  <c r="AI52" i="1"/>
  <c r="T29" i="1"/>
  <c r="X29" i="1"/>
  <c r="AG29" i="1"/>
  <c r="X30" i="1"/>
  <c r="X74" i="1"/>
  <c r="AG73" i="1"/>
  <c r="W73" i="1" s="1"/>
  <c r="AI67" i="1"/>
  <c r="X58" i="1"/>
  <c r="AG57" i="1"/>
  <c r="T53" i="1"/>
  <c r="X53" i="1"/>
  <c r="AG53" i="1"/>
  <c r="X54" i="1"/>
  <c r="T32" i="1"/>
  <c r="X32" i="1"/>
  <c r="AG32" i="1"/>
  <c r="AI28" i="1"/>
  <c r="X140" i="1"/>
  <c r="X136" i="1"/>
  <c r="X132" i="1"/>
  <c r="X128" i="1"/>
  <c r="X124" i="1"/>
  <c r="X120" i="1"/>
  <c r="X116" i="1"/>
  <c r="X112" i="1"/>
  <c r="X108" i="1"/>
  <c r="X104" i="1"/>
  <c r="X100" i="1"/>
  <c r="X96" i="1"/>
  <c r="X92" i="1"/>
  <c r="X88" i="1"/>
  <c r="X84" i="1"/>
  <c r="U75" i="1"/>
  <c r="S75" i="1"/>
  <c r="AI75" i="1"/>
  <c r="X66" i="1"/>
  <c r="AG65" i="1"/>
  <c r="U59" i="1"/>
  <c r="S59" i="1" s="1"/>
  <c r="T48" i="1"/>
  <c r="X48" i="1"/>
  <c r="AG48" i="1"/>
  <c r="AI43" i="1"/>
  <c r="T37" i="1"/>
  <c r="X37" i="1"/>
  <c r="AG37" i="1"/>
  <c r="X38" i="1"/>
  <c r="AI24" i="1"/>
  <c r="X80" i="1"/>
  <c r="X76" i="1"/>
  <c r="X72" i="1"/>
  <c r="X68" i="1"/>
  <c r="X64" i="1"/>
  <c r="X60" i="1"/>
  <c r="X56" i="1"/>
  <c r="AA48" i="1"/>
  <c r="U46" i="1"/>
  <c r="S46" i="1" s="1"/>
  <c r="T45" i="1"/>
  <c r="X45" i="1"/>
  <c r="AG45" i="1"/>
  <c r="AA40" i="1"/>
  <c r="T36" i="1"/>
  <c r="U36" i="1" s="1"/>
  <c r="S36" i="1" s="1"/>
  <c r="X36" i="1"/>
  <c r="T33" i="1"/>
  <c r="X33" i="1"/>
  <c r="AG33" i="1"/>
  <c r="T24" i="1"/>
  <c r="U24" i="1" s="1"/>
  <c r="S24" i="1" s="1"/>
  <c r="X24" i="1"/>
  <c r="T52" i="1"/>
  <c r="U52" i="1" s="1"/>
  <c r="S52" i="1" s="1"/>
  <c r="X52" i="1"/>
  <c r="U51" i="1"/>
  <c r="S51" i="1" s="1"/>
  <c r="T49" i="1"/>
  <c r="X49" i="1"/>
  <c r="AG49" i="1"/>
  <c r="X46" i="1"/>
  <c r="AA44" i="1"/>
  <c r="T41" i="1"/>
  <c r="X41" i="1"/>
  <c r="AG41" i="1"/>
  <c r="W41" i="1" s="1"/>
  <c r="AA32" i="1"/>
  <c r="T28" i="1"/>
  <c r="U28" i="1" s="1"/>
  <c r="S28" i="1" s="1"/>
  <c r="X28" i="1"/>
  <c r="U20" i="1"/>
  <c r="S20" i="1" s="1"/>
  <c r="AI20" i="1"/>
  <c r="AG22" i="1"/>
  <c r="AG18" i="1"/>
  <c r="AG14" i="1"/>
  <c r="AG23" i="1"/>
  <c r="X22" i="1"/>
  <c r="AG19" i="1"/>
  <c r="W19" i="1" s="1"/>
  <c r="X18" i="1"/>
  <c r="AG15" i="1"/>
  <c r="W15" i="1" s="1"/>
  <c r="X23" i="1"/>
  <c r="X19" i="1"/>
  <c r="X15" i="1"/>
  <c r="Y28" i="3"/>
  <c r="Y36" i="3"/>
  <c r="AE28" i="3"/>
  <c r="AC32" i="3"/>
  <c r="Y9" i="3"/>
  <c r="Y37" i="3"/>
  <c r="AD12" i="3"/>
  <c r="AD28" i="3"/>
  <c r="AD16" i="3"/>
  <c r="AE11" i="3"/>
  <c r="AD9" i="3"/>
  <c r="AE9" i="3"/>
  <c r="T28" i="3"/>
  <c r="Y21" i="3"/>
  <c r="Y27" i="3"/>
  <c r="Y26" i="3"/>
  <c r="Y23" i="3"/>
  <c r="T9" i="3"/>
  <c r="T22" i="3"/>
  <c r="AD8" i="3"/>
  <c r="AD36" i="3"/>
  <c r="AE36" i="3"/>
  <c r="Y30" i="3"/>
  <c r="AE31" i="3"/>
  <c r="AC36" i="3"/>
  <c r="T31" i="3"/>
  <c r="T34" i="3"/>
  <c r="AD21" i="3"/>
  <c r="AE21" i="3"/>
  <c r="Y20" i="3"/>
  <c r="AE16" i="3"/>
  <c r="T15" i="3"/>
  <c r="Y31" i="3"/>
  <c r="Y34" i="3"/>
  <c r="AC19" i="3"/>
  <c r="T21" i="3"/>
  <c r="AE29" i="3"/>
  <c r="Y35" i="3"/>
  <c r="AE24" i="3"/>
  <c r="AC25" i="3"/>
  <c r="T14" i="3"/>
  <c r="AE12" i="3"/>
  <c r="AE34" i="3"/>
  <c r="T33" i="3"/>
  <c r="T16" i="3"/>
  <c r="AE19" i="3"/>
  <c r="T11" i="3"/>
  <c r="AE27" i="3"/>
  <c r="T8" i="3"/>
  <c r="AE23" i="3"/>
  <c r="T26" i="3"/>
  <c r="AE37" i="3"/>
  <c r="T19" i="3"/>
  <c r="AD34" i="3"/>
  <c r="AE33" i="3"/>
  <c r="AE30" i="3"/>
  <c r="T36" i="3"/>
  <c r="AD27" i="3"/>
  <c r="AE26" i="3"/>
  <c r="T32" i="3"/>
  <c r="AD23" i="3"/>
  <c r="AE22" i="3"/>
  <c r="T25" i="3"/>
  <c r="AD19" i="3"/>
  <c r="AE18" i="3"/>
  <c r="T24" i="3"/>
  <c r="AD15" i="3"/>
  <c r="AE14" i="3"/>
  <c r="T10" i="3"/>
  <c r="AD11" i="3"/>
  <c r="AE10" i="3"/>
  <c r="T18" i="3"/>
  <c r="AC17" i="3"/>
  <c r="AD14" i="3"/>
  <c r="AD10" i="3"/>
  <c r="AE8" i="3"/>
  <c r="M13" i="3"/>
  <c r="U13" i="3"/>
  <c r="AD13" i="3" s="1"/>
  <c r="V13" i="3"/>
  <c r="W13" i="3"/>
  <c r="X13" i="3"/>
  <c r="W162" i="1" l="1"/>
  <c r="W57" i="1"/>
  <c r="U141" i="1"/>
  <c r="S141" i="1" s="1"/>
  <c r="W212" i="1"/>
  <c r="W218" i="1"/>
  <c r="W59" i="1"/>
  <c r="W88" i="1"/>
  <c r="U27" i="1"/>
  <c r="S27" i="1" s="1"/>
  <c r="AI59" i="1"/>
  <c r="U62" i="1"/>
  <c r="S62" i="1" s="1"/>
  <c r="U31" i="1"/>
  <c r="S31" i="1" s="1"/>
  <c r="W154" i="1"/>
  <c r="AI176" i="1"/>
  <c r="W201" i="1"/>
  <c r="W21" i="1"/>
  <c r="U16" i="1"/>
  <c r="S16" i="1" s="1"/>
  <c r="W138" i="1"/>
  <c r="W228" i="1"/>
  <c r="W35" i="1"/>
  <c r="U203" i="1"/>
  <c r="S203" i="1" s="1"/>
  <c r="U21" i="1"/>
  <c r="S21" i="1" s="1"/>
  <c r="AI231" i="1"/>
  <c r="W45" i="1"/>
  <c r="W25" i="1"/>
  <c r="U42" i="1"/>
  <c r="S42" i="1" s="1"/>
  <c r="AI142" i="1"/>
  <c r="U34" i="1"/>
  <c r="U98" i="1"/>
  <c r="S98" i="1" s="1"/>
  <c r="W197" i="1"/>
  <c r="AI223" i="1"/>
  <c r="U108" i="1"/>
  <c r="S108" i="1" s="1"/>
  <c r="W70" i="1"/>
  <c r="AI58" i="1"/>
  <c r="W102" i="1"/>
  <c r="U243" i="1"/>
  <c r="S243" i="1" s="1"/>
  <c r="W231" i="1"/>
  <c r="W23" i="1"/>
  <c r="W44" i="1"/>
  <c r="U70" i="1"/>
  <c r="S70" i="1" s="1"/>
  <c r="AI104" i="1"/>
  <c r="W105" i="1"/>
  <c r="W129" i="1"/>
  <c r="U138" i="1"/>
  <c r="S138" i="1" s="1"/>
  <c r="W193" i="1"/>
  <c r="W55" i="1"/>
  <c r="W98" i="1"/>
  <c r="W16" i="1"/>
  <c r="W124" i="1"/>
  <c r="U72" i="1"/>
  <c r="S72" i="1" s="1"/>
  <c r="W111" i="1"/>
  <c r="W152" i="1"/>
  <c r="W172" i="1"/>
  <c r="W203" i="1"/>
  <c r="U233" i="1"/>
  <c r="S233" i="1" s="1"/>
  <c r="W243" i="1"/>
  <c r="W176" i="1"/>
  <c r="W241" i="1"/>
  <c r="W247" i="1"/>
  <c r="U102" i="1"/>
  <c r="S102" i="1" s="1"/>
  <c r="W62" i="1"/>
  <c r="W233" i="1"/>
  <c r="W43" i="1"/>
  <c r="W219" i="1"/>
  <c r="W142" i="1"/>
  <c r="U124" i="1"/>
  <c r="S124" i="1" s="1"/>
  <c r="AI60" i="1"/>
  <c r="W99" i="1"/>
  <c r="W63" i="1"/>
  <c r="W71" i="1"/>
  <c r="W131" i="1"/>
  <c r="W229" i="1"/>
  <c r="W100" i="1"/>
  <c r="U219" i="1"/>
  <c r="S219" i="1" s="1"/>
  <c r="U241" i="1"/>
  <c r="S241" i="1" s="1"/>
  <c r="AI241" i="1"/>
  <c r="W14" i="1"/>
  <c r="W109" i="1"/>
  <c r="W89" i="1"/>
  <c r="U127" i="1"/>
  <c r="U136" i="1"/>
  <c r="S136" i="1" s="1"/>
  <c r="W230" i="1"/>
  <c r="W79" i="1"/>
  <c r="AI197" i="1"/>
  <c r="W58" i="1"/>
  <c r="W74" i="1"/>
  <c r="U81" i="1"/>
  <c r="S81" i="1" s="1"/>
  <c r="AI219" i="1"/>
  <c r="W164" i="1"/>
  <c r="W168" i="1"/>
  <c r="U132" i="1"/>
  <c r="S132" i="1" s="1"/>
  <c r="W103" i="1"/>
  <c r="W26" i="1"/>
  <c r="U26" i="1"/>
  <c r="S26" i="1" s="1"/>
  <c r="U103" i="1"/>
  <c r="S103" i="1" s="1"/>
  <c r="W217" i="1"/>
  <c r="AI82" i="1"/>
  <c r="W82" i="1"/>
  <c r="W113" i="1"/>
  <c r="W146" i="1"/>
  <c r="U168" i="1"/>
  <c r="S168" i="1" s="1"/>
  <c r="U47" i="1"/>
  <c r="S47" i="1" s="1"/>
  <c r="W47" i="1"/>
  <c r="AI88" i="1"/>
  <c r="U143" i="1"/>
  <c r="S143" i="1" s="1"/>
  <c r="AI222" i="1"/>
  <c r="AI187" i="1"/>
  <c r="U164" i="1"/>
  <c r="S164" i="1" s="1"/>
  <c r="W32" i="1"/>
  <c r="U152" i="1"/>
  <c r="S152" i="1" s="1"/>
  <c r="AI136" i="1"/>
  <c r="W61" i="1"/>
  <c r="U245" i="1"/>
  <c r="S245" i="1" s="1"/>
  <c r="W157" i="1"/>
  <c r="AI218" i="1"/>
  <c r="AI226" i="1"/>
  <c r="W60" i="1"/>
  <c r="W81" i="1"/>
  <c r="U76" i="1"/>
  <c r="S76" i="1" s="1"/>
  <c r="W132" i="1"/>
  <c r="U100" i="1"/>
  <c r="S100" i="1" s="1"/>
  <c r="W161" i="1"/>
  <c r="W76" i="1"/>
  <c r="U247" i="1"/>
  <c r="S247" i="1" s="1"/>
  <c r="AI247" i="1"/>
  <c r="W223" i="1"/>
  <c r="W187" i="1"/>
  <c r="AI201" i="1"/>
  <c r="U68" i="1"/>
  <c r="S68" i="1" s="1"/>
  <c r="W144" i="1"/>
  <c r="U39" i="1"/>
  <c r="S39" i="1" s="1"/>
  <c r="W122" i="1"/>
  <c r="W208" i="1"/>
  <c r="W221" i="1"/>
  <c r="U84" i="1"/>
  <c r="S84" i="1" s="1"/>
  <c r="AI84" i="1"/>
  <c r="AI94" i="1"/>
  <c r="U94" i="1"/>
  <c r="S94" i="1" s="1"/>
  <c r="U120" i="1"/>
  <c r="S120" i="1" s="1"/>
  <c r="AI120" i="1"/>
  <c r="U207" i="1"/>
  <c r="S207" i="1" s="1"/>
  <c r="AI207" i="1"/>
  <c r="W140" i="1"/>
  <c r="U225" i="1"/>
  <c r="S225" i="1" s="1"/>
  <c r="W196" i="1"/>
  <c r="AI35" i="1"/>
  <c r="W31" i="1"/>
  <c r="W34" i="1"/>
  <c r="AI68" i="1"/>
  <c r="S127" i="1"/>
  <c r="AI140" i="1"/>
  <c r="U35" i="1"/>
  <c r="S35" i="1" s="1"/>
  <c r="AI152" i="1"/>
  <c r="S140" i="1"/>
  <c r="W165" i="1"/>
  <c r="U64" i="1"/>
  <c r="S64" i="1" s="1"/>
  <c r="AI64" i="1"/>
  <c r="W68" i="1"/>
  <c r="U88" i="1"/>
  <c r="S88" i="1" s="1"/>
  <c r="W64" i="1"/>
  <c r="U92" i="1"/>
  <c r="S92" i="1" s="1"/>
  <c r="AI221" i="1"/>
  <c r="U184" i="1"/>
  <c r="S184" i="1" s="1"/>
  <c r="U211" i="1"/>
  <c r="W184" i="1"/>
  <c r="U217" i="1"/>
  <c r="S217" i="1" s="1"/>
  <c r="W143" i="1"/>
  <c r="W177" i="1"/>
  <c r="W127" i="1"/>
  <c r="W84" i="1"/>
  <c r="AI151" i="1"/>
  <c r="U151" i="1"/>
  <c r="S151" i="1" s="1"/>
  <c r="W158" i="1"/>
  <c r="W186" i="1"/>
  <c r="W245" i="1"/>
  <c r="W39" i="1"/>
  <c r="AI39" i="1"/>
  <c r="S34" i="1"/>
  <c r="S158" i="1"/>
  <c r="S211" i="1"/>
  <c r="U186" i="1"/>
  <c r="S186" i="1" s="1"/>
  <c r="W237" i="1"/>
  <c r="AI55" i="1"/>
  <c r="U55" i="1"/>
  <c r="S55" i="1" s="1"/>
  <c r="W51" i="1"/>
  <c r="W92" i="1"/>
  <c r="AI72" i="1"/>
  <c r="W106" i="1"/>
  <c r="AI74" i="1"/>
  <c r="U74" i="1"/>
  <c r="S74" i="1" s="1"/>
  <c r="W94" i="1"/>
  <c r="U104" i="1"/>
  <c r="S104" i="1" s="1"/>
  <c r="W136" i="1"/>
  <c r="W120" i="1"/>
  <c r="U229" i="1"/>
  <c r="S229" i="1" s="1"/>
  <c r="AI229" i="1"/>
  <c r="W42" i="1"/>
  <c r="W207" i="1"/>
  <c r="W225" i="1"/>
  <c r="W192" i="1"/>
  <c r="W211" i="1"/>
  <c r="U49" i="1"/>
  <c r="S49" i="1" s="1"/>
  <c r="AI49" i="1"/>
  <c r="AI65" i="1"/>
  <c r="U65" i="1"/>
  <c r="S65" i="1" s="1"/>
  <c r="U29" i="1"/>
  <c r="S29" i="1" s="1"/>
  <c r="AI29" i="1"/>
  <c r="U125" i="1"/>
  <c r="S125" i="1" s="1"/>
  <c r="AI125" i="1"/>
  <c r="AI77" i="1"/>
  <c r="U77" i="1"/>
  <c r="S77" i="1" s="1"/>
  <c r="U101" i="1"/>
  <c r="S101" i="1" s="1"/>
  <c r="AI101" i="1"/>
  <c r="U117" i="1"/>
  <c r="S117" i="1" s="1"/>
  <c r="AI117" i="1"/>
  <c r="U133" i="1"/>
  <c r="S133" i="1" s="1"/>
  <c r="AI133" i="1"/>
  <c r="S83" i="1"/>
  <c r="AI83" i="1"/>
  <c r="U83" i="1"/>
  <c r="AI158" i="1"/>
  <c r="U204" i="1"/>
  <c r="S204" i="1" s="1"/>
  <c r="W29" i="1"/>
  <c r="AI91" i="1"/>
  <c r="U91" i="1"/>
  <c r="S91" i="1" s="1"/>
  <c r="AI40" i="1"/>
  <c r="U40" i="1"/>
  <c r="S40" i="1" s="1"/>
  <c r="U79" i="1"/>
  <c r="S79" i="1" s="1"/>
  <c r="AI79" i="1"/>
  <c r="U137" i="1"/>
  <c r="S137" i="1" s="1"/>
  <c r="AI137" i="1"/>
  <c r="AI115" i="1"/>
  <c r="U115" i="1"/>
  <c r="S115" i="1" s="1"/>
  <c r="AI139" i="1"/>
  <c r="U139" i="1"/>
  <c r="S139" i="1" s="1"/>
  <c r="AI178" i="1"/>
  <c r="U230" i="1"/>
  <c r="S230" i="1" s="1"/>
  <c r="AI224" i="1"/>
  <c r="AI220" i="1"/>
  <c r="U183" i="1"/>
  <c r="S183" i="1" s="1"/>
  <c r="W183" i="1"/>
  <c r="U19" i="1"/>
  <c r="S19" i="1" s="1"/>
  <c r="AI19" i="1"/>
  <c r="AI18" i="1"/>
  <c r="U18" i="1"/>
  <c r="S18" i="1" s="1"/>
  <c r="W18" i="1"/>
  <c r="U33" i="1"/>
  <c r="S33" i="1" s="1"/>
  <c r="AI33" i="1"/>
  <c r="U45" i="1"/>
  <c r="S45" i="1" s="1"/>
  <c r="AI45" i="1"/>
  <c r="W48" i="1"/>
  <c r="U37" i="1"/>
  <c r="S37" i="1" s="1"/>
  <c r="AI37" i="1"/>
  <c r="W37" i="1"/>
  <c r="AI32" i="1"/>
  <c r="U32" i="1"/>
  <c r="S32" i="1" s="1"/>
  <c r="AI57" i="1"/>
  <c r="U57" i="1"/>
  <c r="S57" i="1" s="1"/>
  <c r="U63" i="1"/>
  <c r="S63" i="1" s="1"/>
  <c r="AI63" i="1"/>
  <c r="U109" i="1"/>
  <c r="S109" i="1" s="1"/>
  <c r="AI109" i="1"/>
  <c r="W139" i="1"/>
  <c r="U85" i="1"/>
  <c r="S85" i="1" s="1"/>
  <c r="AI85" i="1"/>
  <c r="W115" i="1"/>
  <c r="W137" i="1"/>
  <c r="W85" i="1"/>
  <c r="U105" i="1"/>
  <c r="S105" i="1" s="1"/>
  <c r="AI105" i="1"/>
  <c r="U25" i="1"/>
  <c r="S25" i="1" s="1"/>
  <c r="AI25" i="1"/>
  <c r="W49" i="1"/>
  <c r="AI154" i="1"/>
  <c r="U154" i="1"/>
  <c r="S154" i="1" s="1"/>
  <c r="U71" i="1"/>
  <c r="S71" i="1" s="1"/>
  <c r="AI71" i="1"/>
  <c r="U113" i="1"/>
  <c r="S113" i="1" s="1"/>
  <c r="AI113" i="1"/>
  <c r="W125" i="1"/>
  <c r="AI150" i="1"/>
  <c r="U150" i="1"/>
  <c r="S150" i="1" s="1"/>
  <c r="AI182" i="1"/>
  <c r="U234" i="1"/>
  <c r="S234" i="1" s="1"/>
  <c r="AI189" i="1"/>
  <c r="U242" i="1"/>
  <c r="S242" i="1" s="1"/>
  <c r="AI196" i="1"/>
  <c r="U161" i="1"/>
  <c r="S161" i="1" s="1"/>
  <c r="AI204" i="1"/>
  <c r="U167" i="1"/>
  <c r="S167" i="1" s="1"/>
  <c r="AI212" i="1"/>
  <c r="U175" i="1"/>
  <c r="S175" i="1" s="1"/>
  <c r="W150" i="1"/>
  <c r="W242" i="1"/>
  <c r="AI244" i="1"/>
  <c r="U218" i="1"/>
  <c r="S218" i="1" s="1"/>
  <c r="W175" i="1"/>
  <c r="AI14" i="1"/>
  <c r="U14" i="1"/>
  <c r="S14" i="1" s="1"/>
  <c r="U41" i="1"/>
  <c r="S41" i="1"/>
  <c r="AI41" i="1"/>
  <c r="AI48" i="1"/>
  <c r="U48" i="1"/>
  <c r="S48" i="1" s="1"/>
  <c r="U53" i="1"/>
  <c r="S53" i="1" s="1"/>
  <c r="AI53" i="1"/>
  <c r="W53" i="1"/>
  <c r="AI73" i="1"/>
  <c r="U73" i="1"/>
  <c r="S73" i="1" s="1"/>
  <c r="AI22" i="1"/>
  <c r="U22" i="1"/>
  <c r="S22" i="1" s="1"/>
  <c r="W77" i="1"/>
  <c r="W65" i="1"/>
  <c r="U93" i="1"/>
  <c r="S93" i="1" s="1"/>
  <c r="AI93" i="1"/>
  <c r="AI44" i="1"/>
  <c r="U44" i="1"/>
  <c r="S44" i="1" s="1"/>
  <c r="U129" i="1"/>
  <c r="S129" i="1" s="1"/>
  <c r="AI129" i="1"/>
  <c r="AI107" i="1"/>
  <c r="U107" i="1"/>
  <c r="S107" i="1" s="1"/>
  <c r="AI131" i="1"/>
  <c r="U131" i="1"/>
  <c r="S131" i="1" s="1"/>
  <c r="W93" i="1"/>
  <c r="U97" i="1"/>
  <c r="S97" i="1" s="1"/>
  <c r="AI97" i="1"/>
  <c r="W117" i="1"/>
  <c r="W133" i="1"/>
  <c r="AI99" i="1"/>
  <c r="U99" i="1"/>
  <c r="S99" i="1" s="1"/>
  <c r="AI146" i="1"/>
  <c r="U146" i="1"/>
  <c r="S146" i="1" s="1"/>
  <c r="AI228" i="1"/>
  <c r="U190" i="1"/>
  <c r="S190" i="1" s="1"/>
  <c r="W190" i="1"/>
  <c r="U173" i="1"/>
  <c r="S173" i="1" s="1"/>
  <c r="AI210" i="1"/>
  <c r="AI236" i="1"/>
  <c r="U197" i="1"/>
  <c r="S197" i="1" s="1"/>
  <c r="AI232" i="1"/>
  <c r="U193" i="1"/>
  <c r="S193" i="1" s="1"/>
  <c r="U15" i="1"/>
  <c r="S15" i="1" s="1"/>
  <c r="AI15" i="1"/>
  <c r="U23" i="1"/>
  <c r="S23" i="1" s="1"/>
  <c r="AI23" i="1"/>
  <c r="W40" i="1"/>
  <c r="W33" i="1"/>
  <c r="AI69" i="1"/>
  <c r="U69" i="1"/>
  <c r="S69" i="1" s="1"/>
  <c r="W97" i="1"/>
  <c r="W107" i="1"/>
  <c r="W83" i="1"/>
  <c r="U89" i="1"/>
  <c r="S89" i="1" s="1"/>
  <c r="AI89" i="1"/>
  <c r="AI174" i="1"/>
  <c r="U226" i="1"/>
  <c r="S226" i="1" s="1"/>
  <c r="W22" i="1"/>
  <c r="W204" i="1"/>
  <c r="AI170" i="1"/>
  <c r="U222" i="1"/>
  <c r="S222" i="1" s="1"/>
  <c r="U121" i="1"/>
  <c r="S121" i="1" s="1"/>
  <c r="AI121" i="1"/>
  <c r="AI166" i="1"/>
  <c r="U212" i="1"/>
  <c r="S212" i="1" s="1"/>
  <c r="AI185" i="1"/>
  <c r="U237" i="1"/>
  <c r="S237" i="1" s="1"/>
  <c r="AI192" i="1"/>
  <c r="U157" i="1"/>
  <c r="S157" i="1" s="1"/>
  <c r="AI200" i="1"/>
  <c r="U165" i="1"/>
  <c r="S165" i="1" s="1"/>
  <c r="AI208" i="1"/>
  <c r="U171" i="1"/>
  <c r="S171" i="1" s="1"/>
  <c r="AI216" i="1"/>
  <c r="U179" i="1"/>
  <c r="S179" i="1" s="1"/>
  <c r="AI61" i="1"/>
  <c r="U61" i="1"/>
  <c r="S61" i="1" s="1"/>
  <c r="W101" i="1"/>
  <c r="AI123" i="1"/>
  <c r="U123" i="1"/>
  <c r="S123" i="1" s="1"/>
  <c r="AI162" i="1"/>
  <c r="U208" i="1"/>
  <c r="S208" i="1" s="1"/>
  <c r="W234" i="1"/>
  <c r="W167" i="1"/>
  <c r="AI240" i="1"/>
  <c r="U201" i="1"/>
  <c r="S201" i="1" s="1"/>
  <c r="U177" i="1"/>
  <c r="S177" i="1" s="1"/>
  <c r="AI214" i="1"/>
  <c r="W171" i="1"/>
  <c r="W179" i="1"/>
  <c r="AE13" i="3"/>
  <c r="Y13" i="3"/>
  <c r="AC13" i="3"/>
  <c r="T13" i="3"/>
  <c r="B6" i="6" l="1"/>
  <c r="J6" i="6" s="1"/>
  <c r="B7" i="6" l="1"/>
  <c r="F6" i="6"/>
  <c r="I6" i="6"/>
  <c r="G6" i="6"/>
  <c r="G7" i="6" l="1"/>
  <c r="I7" i="6"/>
  <c r="J7" i="6"/>
  <c r="F7" i="6"/>
  <c r="B8" i="6"/>
  <c r="F8" i="6" l="1"/>
  <c r="G8" i="6"/>
  <c r="I8" i="6"/>
  <c r="J8" i="6"/>
  <c r="B9" i="6"/>
  <c r="O2" i="3"/>
  <c r="G9" i="6" l="1"/>
  <c r="I9" i="6"/>
  <c r="J9" i="6"/>
  <c r="F9" i="6"/>
  <c r="B10" i="6"/>
  <c r="M28" i="5"/>
  <c r="B11" i="6" l="1"/>
  <c r="F10" i="6"/>
  <c r="I10" i="6"/>
  <c r="G10" i="6"/>
  <c r="J10" i="6"/>
  <c r="M23" i="5"/>
  <c r="B12" i="6" l="1"/>
  <c r="G11" i="6"/>
  <c r="I11" i="6"/>
  <c r="J11" i="6"/>
  <c r="F11" i="6"/>
  <c r="AD7" i="3"/>
  <c r="AN13" i="1"/>
  <c r="F12" i="6" l="1"/>
  <c r="I12" i="6"/>
  <c r="G12" i="6"/>
  <c r="J12" i="6"/>
  <c r="B13" i="6"/>
  <c r="AE7" i="3"/>
  <c r="G13" i="6" l="1"/>
  <c r="I13" i="6"/>
  <c r="F13" i="6"/>
  <c r="J13" i="6"/>
  <c r="B14" i="6"/>
  <c r="K13" i="1"/>
  <c r="M13" i="1"/>
  <c r="N13" i="1" s="1"/>
  <c r="Y13" i="1"/>
  <c r="Z13" i="1"/>
  <c r="AB13" i="1"/>
  <c r="AC13" i="1"/>
  <c r="AD13" i="1"/>
  <c r="X14" i="1" s="1"/>
  <c r="AE13" i="1"/>
  <c r="R13" i="3" s="1"/>
  <c r="AM13" i="1"/>
  <c r="F14" i="6" l="1"/>
  <c r="I14" i="6"/>
  <c r="G14" i="6"/>
  <c r="J14" i="6"/>
  <c r="B15" i="6"/>
  <c r="AG13" i="1"/>
  <c r="AI13" i="1" s="1"/>
  <c r="X13" i="1"/>
  <c r="AA13" i="1"/>
  <c r="T13" i="1"/>
  <c r="G15" i="6" l="1"/>
  <c r="I15" i="6"/>
  <c r="J15" i="6"/>
  <c r="F15" i="6"/>
  <c r="B16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7" i="6" l="1"/>
  <c r="F16" i="6"/>
  <c r="G16" i="6"/>
  <c r="I16" i="6"/>
  <c r="J16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7" i="6" l="1"/>
  <c r="I17" i="6"/>
  <c r="J17" i="6"/>
  <c r="F17" i="6"/>
  <c r="B18" i="6"/>
  <c r="B87" i="9"/>
  <c r="B88" i="9"/>
  <c r="B89" i="9"/>
  <c r="B90" i="9"/>
  <c r="B91" i="9"/>
  <c r="B92" i="9"/>
  <c r="B19" i="6" l="1"/>
  <c r="F18" i="6"/>
  <c r="G18" i="6"/>
  <c r="I18" i="6"/>
  <c r="J18" i="6"/>
  <c r="C88" i="9"/>
  <c r="C92" i="9"/>
  <c r="C93" i="9"/>
  <c r="C90" i="9"/>
  <c r="C89" i="9"/>
  <c r="C91" i="9"/>
  <c r="B20" i="6" l="1"/>
  <c r="G19" i="6"/>
  <c r="I19" i="6"/>
  <c r="J19" i="6"/>
  <c r="F19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20" i="6" l="1"/>
  <c r="G20" i="6"/>
  <c r="I20" i="6"/>
  <c r="J20" i="6"/>
  <c r="B21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21" i="6" l="1"/>
  <c r="F21" i="6"/>
  <c r="G21" i="6"/>
  <c r="J21" i="6"/>
  <c r="B22" i="6"/>
  <c r="B55" i="9"/>
  <c r="B56" i="9"/>
  <c r="B57" i="9"/>
  <c r="B58" i="9"/>
  <c r="B59" i="9"/>
  <c r="B60" i="9"/>
  <c r="B61" i="9"/>
  <c r="B62" i="9"/>
  <c r="C63" i="9" s="1"/>
  <c r="F22" i="6" l="1"/>
  <c r="I22" i="6"/>
  <c r="G22" i="6"/>
  <c r="J22" i="6"/>
  <c r="B23" i="6"/>
  <c r="C61" i="9"/>
  <c r="C57" i="9"/>
  <c r="C59" i="9"/>
  <c r="C62" i="9"/>
  <c r="C60" i="9"/>
  <c r="C58" i="9"/>
  <c r="C56" i="9"/>
  <c r="G23" i="6" l="1"/>
  <c r="I23" i="6"/>
  <c r="J23" i="6"/>
  <c r="F23" i="6"/>
  <c r="B24" i="6"/>
  <c r="B50" i="9"/>
  <c r="B51" i="9"/>
  <c r="B52" i="9"/>
  <c r="B53" i="9"/>
  <c r="B54" i="9"/>
  <c r="F24" i="6" l="1"/>
  <c r="G24" i="6"/>
  <c r="I24" i="6"/>
  <c r="J24" i="6"/>
  <c r="B25" i="6"/>
  <c r="C52" i="9"/>
  <c r="C54" i="9"/>
  <c r="C55" i="9"/>
  <c r="C53" i="9"/>
  <c r="C51" i="9"/>
  <c r="G25" i="6" l="1"/>
  <c r="I25" i="6"/>
  <c r="J25" i="6"/>
  <c r="F25" i="6"/>
  <c r="B26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7" i="6" l="1"/>
  <c r="F26" i="6"/>
  <c r="G26" i="6"/>
  <c r="I26" i="6"/>
  <c r="J26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7" i="6" l="1"/>
  <c r="I27" i="6"/>
  <c r="J27" i="6"/>
  <c r="F27" i="6"/>
  <c r="B28" i="6"/>
  <c r="V13" i="1"/>
  <c r="S13" i="3" s="1"/>
  <c r="B31" i="9"/>
  <c r="B32" i="9"/>
  <c r="C33" i="9" s="1"/>
  <c r="F28" i="6" l="1"/>
  <c r="G28" i="6"/>
  <c r="I28" i="6"/>
  <c r="J28" i="6"/>
  <c r="B29" i="6"/>
  <c r="C32" i="9"/>
  <c r="G29" i="6" l="1"/>
  <c r="I29" i="6"/>
  <c r="F29" i="6"/>
  <c r="H29" i="6"/>
  <c r="J29" i="6"/>
  <c r="B30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17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N29" i="3" s="1"/>
  <c r="G59" i="4"/>
  <c r="G60" i="4"/>
  <c r="G61" i="4"/>
  <c r="G62" i="4"/>
  <c r="G63" i="4"/>
  <c r="G64" i="4"/>
  <c r="G65" i="4"/>
  <c r="G66" i="4"/>
  <c r="N22" i="3" s="1"/>
  <c r="G67" i="4"/>
  <c r="N18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H7" i="6" s="1"/>
  <c r="G87" i="4"/>
  <c r="G88" i="4"/>
  <c r="G89" i="4"/>
  <c r="G90" i="4"/>
  <c r="G91" i="4"/>
  <c r="G92" i="4"/>
  <c r="G93" i="4"/>
  <c r="N15" i="3" s="1"/>
  <c r="G94" i="4"/>
  <c r="G95" i="4"/>
  <c r="G96" i="4"/>
  <c r="G97" i="4"/>
  <c r="G98" i="4"/>
  <c r="G99" i="4"/>
  <c r="G100" i="4"/>
  <c r="G101" i="4"/>
  <c r="G102" i="4"/>
  <c r="G103" i="4"/>
  <c r="N37" i="3" s="1"/>
  <c r="G104" i="4"/>
  <c r="G105" i="4"/>
  <c r="G106" i="4"/>
  <c r="G107" i="4"/>
  <c r="G108" i="4"/>
  <c r="G109" i="4"/>
  <c r="G110" i="4"/>
  <c r="H10" i="6" s="1"/>
  <c r="G111" i="4"/>
  <c r="G112" i="4"/>
  <c r="G113" i="4"/>
  <c r="G114" i="4"/>
  <c r="H11" i="6" s="1"/>
  <c r="G115" i="4"/>
  <c r="G116" i="4"/>
  <c r="H12" i="6" s="1"/>
  <c r="G117" i="4"/>
  <c r="G118" i="4"/>
  <c r="H14" i="6" s="1"/>
  <c r="G119" i="4"/>
  <c r="G120" i="4"/>
  <c r="G121" i="4"/>
  <c r="G122" i="4"/>
  <c r="G123" i="4"/>
  <c r="G124" i="4"/>
  <c r="G125" i="4"/>
  <c r="G126" i="4"/>
  <c r="G127" i="4"/>
  <c r="G128" i="4"/>
  <c r="H20" i="6" s="1"/>
  <c r="G129" i="4"/>
  <c r="G130" i="4"/>
  <c r="G131" i="4"/>
  <c r="G132" i="4"/>
  <c r="G133" i="4"/>
  <c r="G134" i="4"/>
  <c r="G135" i="4"/>
  <c r="G136" i="4"/>
  <c r="G137" i="4"/>
  <c r="G138" i="4"/>
  <c r="G139" i="4"/>
  <c r="N24" i="3" s="1"/>
  <c r="G140" i="4"/>
  <c r="G141" i="4"/>
  <c r="G142" i="4"/>
  <c r="H26" i="6" s="1"/>
  <c r="G143" i="4"/>
  <c r="H23" i="6" s="1"/>
  <c r="G144" i="4"/>
  <c r="G145" i="4"/>
  <c r="G146" i="4"/>
  <c r="G147" i="4"/>
  <c r="G148" i="4"/>
  <c r="H28" i="6" s="1"/>
  <c r="G149" i="4"/>
  <c r="G150" i="4"/>
  <c r="G151" i="4"/>
  <c r="G152" i="4"/>
  <c r="G153" i="4"/>
  <c r="G154" i="4"/>
  <c r="G155" i="4"/>
  <c r="G156" i="4"/>
  <c r="G157" i="4"/>
  <c r="N25" i="3" s="1"/>
  <c r="G158" i="4"/>
  <c r="G159" i="4"/>
  <c r="G160" i="4"/>
  <c r="G161" i="4"/>
  <c r="G162" i="4"/>
  <c r="G163" i="4"/>
  <c r="G164" i="4"/>
  <c r="G165" i="4"/>
  <c r="G166" i="4"/>
  <c r="G167" i="4"/>
  <c r="G168" i="4"/>
  <c r="N26" i="3" s="1"/>
  <c r="G169" i="4"/>
  <c r="G170" i="4"/>
  <c r="G171" i="4"/>
  <c r="G172" i="4"/>
  <c r="G173" i="4"/>
  <c r="G174" i="4"/>
  <c r="G175" i="4"/>
  <c r="G176" i="4"/>
  <c r="N27" i="3" s="1"/>
  <c r="G177" i="4"/>
  <c r="G178" i="4"/>
  <c r="N32" i="3" s="1"/>
  <c r="G179" i="4"/>
  <c r="G180" i="4"/>
  <c r="G181" i="4"/>
  <c r="G182" i="4"/>
  <c r="G183" i="4"/>
  <c r="G184" i="4"/>
  <c r="N8" i="3" s="1"/>
  <c r="G185" i="4"/>
  <c r="G186" i="4"/>
  <c r="N31" i="3" s="1"/>
  <c r="G187" i="4"/>
  <c r="G188" i="4"/>
  <c r="G189" i="4"/>
  <c r="N36" i="3" s="1"/>
  <c r="G190" i="4"/>
  <c r="G191" i="4"/>
  <c r="G192" i="4"/>
  <c r="G193" i="4"/>
  <c r="N16" i="3" s="1"/>
  <c r="G194" i="4"/>
  <c r="G195" i="4"/>
  <c r="G196" i="4"/>
  <c r="N21" i="3" s="1"/>
  <c r="G197" i="4"/>
  <c r="G198" i="4"/>
  <c r="G199" i="4"/>
  <c r="G200" i="4"/>
  <c r="N33" i="3" s="1"/>
  <c r="G201" i="4"/>
  <c r="N13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N28" i="3" s="1"/>
  <c r="G245" i="4"/>
  <c r="G246" i="4"/>
  <c r="G247" i="4"/>
  <c r="N12" i="3" s="1"/>
  <c r="G248" i="4"/>
  <c r="N19" i="3" s="1"/>
  <c r="G249" i="4"/>
  <c r="G250" i="4"/>
  <c r="G251" i="4"/>
  <c r="G252" i="4"/>
  <c r="G253" i="4"/>
  <c r="G254" i="4"/>
  <c r="G255" i="4"/>
  <c r="G256" i="4"/>
  <c r="G257" i="4"/>
  <c r="G258" i="4"/>
  <c r="G2" i="4"/>
  <c r="H27" i="6" l="1"/>
  <c r="N7" i="3"/>
  <c r="N10" i="3"/>
  <c r="N9" i="3"/>
  <c r="N34" i="3"/>
  <c r="N35" i="3"/>
  <c r="N30" i="3"/>
  <c r="N14" i="3"/>
  <c r="N20" i="3"/>
  <c r="N11" i="3"/>
  <c r="N23" i="3"/>
  <c r="H21" i="6"/>
  <c r="H8" i="6"/>
  <c r="H18" i="6"/>
  <c r="H13" i="6"/>
  <c r="H6" i="6"/>
  <c r="H17" i="6"/>
  <c r="H19" i="6"/>
  <c r="H9" i="6"/>
  <c r="H16" i="6"/>
  <c r="H24" i="6"/>
  <c r="H25" i="6"/>
  <c r="H22" i="6"/>
  <c r="H15" i="6"/>
  <c r="F30" i="6"/>
  <c r="I30" i="6"/>
  <c r="G30" i="6"/>
  <c r="H30" i="6"/>
  <c r="J30" i="6"/>
  <c r="B31" i="6"/>
  <c r="L13" i="1"/>
  <c r="G31" i="6" l="1"/>
  <c r="I31" i="6"/>
  <c r="J31" i="6"/>
  <c r="F31" i="6"/>
  <c r="H31" i="6"/>
  <c r="B32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2" i="6" l="1"/>
  <c r="G32" i="6"/>
  <c r="I32" i="6"/>
  <c r="J32" i="6"/>
  <c r="H32" i="6"/>
  <c r="B33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3" i="6" l="1"/>
  <c r="H33" i="6"/>
  <c r="J33" i="6"/>
  <c r="I33" i="6"/>
  <c r="F33" i="6"/>
  <c r="B34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5" i="6" l="1"/>
  <c r="F34" i="6"/>
  <c r="G34" i="6"/>
  <c r="I34" i="6"/>
  <c r="H34" i="6"/>
  <c r="J34" i="6"/>
  <c r="M30" i="5"/>
  <c r="M29" i="5"/>
  <c r="M27" i="5"/>
  <c r="G35" i="6" l="1"/>
  <c r="I35" i="6"/>
  <c r="J35" i="6"/>
  <c r="H35" i="6"/>
  <c r="F35" i="6"/>
  <c r="B36" i="6"/>
  <c r="M26" i="5"/>
  <c r="B37" i="6" l="1"/>
  <c r="F36" i="6"/>
  <c r="G36" i="6"/>
  <c r="H36" i="6"/>
  <c r="J36" i="6"/>
  <c r="I36" i="6"/>
  <c r="AH13" i="1"/>
  <c r="J7" i="1"/>
  <c r="G37" i="6" l="1"/>
  <c r="F37" i="6"/>
  <c r="H37" i="6"/>
  <c r="J37" i="6"/>
  <c r="I37" i="6"/>
  <c r="B38" i="6"/>
  <c r="X6" i="1"/>
  <c r="W6" i="1"/>
  <c r="V6" i="1"/>
  <c r="S6" i="1"/>
  <c r="R2" i="1"/>
  <c r="I2" i="1"/>
  <c r="O6" i="1"/>
  <c r="N6" i="1"/>
  <c r="M6" i="1"/>
  <c r="J6" i="1"/>
  <c r="B39" i="6" l="1"/>
  <c r="I38" i="6"/>
  <c r="G38" i="6"/>
  <c r="H38" i="6"/>
  <c r="J38" i="6"/>
  <c r="F38" i="6"/>
  <c r="P3" i="5"/>
  <c r="G39" i="6" l="1"/>
  <c r="I39" i="6"/>
  <c r="J39" i="6"/>
  <c r="F39" i="6"/>
  <c r="H39" i="6"/>
  <c r="B40" i="6"/>
  <c r="M18" i="5"/>
  <c r="B41" i="6" l="1"/>
  <c r="F40" i="6"/>
  <c r="G40" i="6"/>
  <c r="I40" i="6"/>
  <c r="J40" i="6"/>
  <c r="H40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1" i="6" l="1"/>
  <c r="I41" i="6"/>
  <c r="J41" i="6"/>
  <c r="F41" i="6"/>
  <c r="H41" i="6"/>
  <c r="B42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3" i="6" l="1"/>
  <c r="F42" i="6"/>
  <c r="G42" i="6"/>
  <c r="I42" i="6"/>
  <c r="H42" i="6"/>
  <c r="J42" i="6"/>
  <c r="G259" i="4"/>
  <c r="G260" i="4"/>
  <c r="G261" i="4"/>
  <c r="G262" i="4"/>
  <c r="G263" i="4"/>
  <c r="G264" i="4"/>
  <c r="G265" i="4"/>
  <c r="B44" i="6" l="1"/>
  <c r="G43" i="6"/>
  <c r="I43" i="6"/>
  <c r="H43" i="6"/>
  <c r="J43" i="6"/>
  <c r="F43" i="6"/>
  <c r="M14" i="5"/>
  <c r="M13" i="5"/>
  <c r="M12" i="5"/>
  <c r="M11" i="5"/>
  <c r="M10" i="5"/>
  <c r="M9" i="5"/>
  <c r="M8" i="5"/>
  <c r="M7" i="5"/>
  <c r="M6" i="5"/>
  <c r="M5" i="5"/>
  <c r="M4" i="5"/>
  <c r="M3" i="5"/>
  <c r="F44" i="6" l="1"/>
  <c r="G44" i="6"/>
  <c r="I44" i="6"/>
  <c r="J44" i="6"/>
  <c r="H44" i="6"/>
  <c r="B45" i="6"/>
  <c r="U13" i="1"/>
  <c r="S13" i="1" s="1"/>
  <c r="O3" i="3"/>
  <c r="H45" i="6" l="1"/>
  <c r="I45" i="6"/>
  <c r="F45" i="6"/>
  <c r="G45" i="6"/>
  <c r="J45" i="6"/>
  <c r="B4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7" i="6" l="1"/>
  <c r="F47" i="6" s="1"/>
  <c r="F46" i="6"/>
  <c r="G46" i="6"/>
  <c r="I46" i="6"/>
  <c r="H46" i="6"/>
  <c r="J46" i="6"/>
  <c r="J8" i="1"/>
  <c r="J4" i="1"/>
  <c r="S8" i="1"/>
  <c r="S4" i="1"/>
  <c r="J47" i="6" l="1"/>
  <c r="I47" i="6"/>
  <c r="G47" i="6"/>
  <c r="H47" i="6"/>
  <c r="B48" i="6"/>
  <c r="S9" i="1"/>
  <c r="J9" i="1"/>
  <c r="B49" i="6" l="1"/>
  <c r="H48" i="6"/>
  <c r="J48" i="6"/>
  <c r="F48" i="6"/>
  <c r="G48" i="6"/>
  <c r="I48" i="6"/>
  <c r="S11" i="1"/>
  <c r="A11" i="1"/>
  <c r="B50" i="6" l="1"/>
  <c r="F49" i="6"/>
  <c r="I49" i="6"/>
  <c r="J49" i="6"/>
  <c r="G49" i="6"/>
  <c r="H49" i="6"/>
  <c r="B1" i="6"/>
  <c r="A5" i="3"/>
  <c r="B51" i="6" l="1"/>
  <c r="G50" i="6"/>
  <c r="H50" i="6"/>
  <c r="F50" i="6"/>
  <c r="I50" i="6"/>
  <c r="J50" i="6"/>
  <c r="G51" i="6" l="1"/>
  <c r="H51" i="6"/>
  <c r="I51" i="6"/>
  <c r="J51" i="6"/>
  <c r="F51" i="6"/>
  <c r="B52" i="6"/>
  <c r="H52" i="6" l="1"/>
  <c r="F52" i="6"/>
  <c r="G52" i="6"/>
  <c r="I52" i="6"/>
  <c r="J52" i="6"/>
  <c r="B53" i="6"/>
  <c r="B54" i="6" l="1"/>
  <c r="G53" i="6"/>
  <c r="H53" i="6"/>
  <c r="I53" i="6"/>
  <c r="J53" i="6"/>
  <c r="F53" i="6"/>
  <c r="B55" i="6" l="1"/>
  <c r="I54" i="6"/>
  <c r="G54" i="6"/>
  <c r="F54" i="6"/>
  <c r="H54" i="6"/>
  <c r="J54" i="6"/>
  <c r="B3" i="6"/>
  <c r="G55" i="6" l="1"/>
  <c r="F55" i="6"/>
  <c r="H55" i="6"/>
  <c r="I55" i="6"/>
  <c r="J55" i="6"/>
  <c r="B56" i="6"/>
  <c r="I3" i="6"/>
  <c r="F3" i="6"/>
  <c r="J3" i="6"/>
  <c r="G3" i="6"/>
  <c r="H3" i="6"/>
  <c r="B4" i="6"/>
  <c r="H56" i="6" l="1"/>
  <c r="J56" i="6"/>
  <c r="F56" i="6"/>
  <c r="G56" i="6"/>
  <c r="I56" i="6"/>
  <c r="B57" i="6"/>
  <c r="I4" i="6"/>
  <c r="F4" i="6"/>
  <c r="B5" i="6"/>
  <c r="G4" i="6"/>
  <c r="J4" i="6"/>
  <c r="H4" i="6"/>
  <c r="B58" i="6" l="1"/>
  <c r="F57" i="6"/>
  <c r="G57" i="6"/>
  <c r="I57" i="6"/>
  <c r="H57" i="6"/>
  <c r="J57" i="6"/>
  <c r="I5" i="6"/>
  <c r="F5" i="6"/>
  <c r="G5" i="6"/>
  <c r="J5" i="6"/>
  <c r="H5" i="6"/>
  <c r="F58" i="6" l="1"/>
  <c r="G58" i="6"/>
  <c r="J58" i="6"/>
  <c r="H58" i="6"/>
  <c r="I58" i="6"/>
  <c r="B59" i="6"/>
  <c r="G59" i="6" l="1"/>
  <c r="J59" i="6"/>
  <c r="F59" i="6"/>
  <c r="H59" i="6"/>
  <c r="I59" i="6"/>
  <c r="B60" i="6"/>
  <c r="B61" i="6" l="1"/>
  <c r="F60" i="6"/>
  <c r="G60" i="6"/>
  <c r="H60" i="6"/>
  <c r="I60" i="6"/>
  <c r="J60" i="6"/>
  <c r="B62" i="6" l="1"/>
  <c r="J61" i="6"/>
  <c r="F61" i="6"/>
  <c r="I61" i="6"/>
  <c r="G61" i="6"/>
  <c r="H61" i="6"/>
  <c r="B63" i="6" l="1"/>
  <c r="G62" i="6"/>
  <c r="H62" i="6"/>
  <c r="F62" i="6"/>
  <c r="I62" i="6"/>
  <c r="J62" i="6"/>
  <c r="G63" i="6" l="1"/>
  <c r="I63" i="6"/>
  <c r="J63" i="6"/>
  <c r="F63" i="6"/>
  <c r="H63" i="6"/>
  <c r="B64" i="6"/>
  <c r="B65" i="6" l="1"/>
  <c r="J64" i="6"/>
  <c r="F64" i="6"/>
  <c r="H64" i="6"/>
  <c r="G64" i="6"/>
  <c r="I64" i="6"/>
  <c r="B66" i="6" l="1"/>
  <c r="H65" i="6"/>
  <c r="F65" i="6"/>
  <c r="I65" i="6"/>
  <c r="J65" i="6"/>
  <c r="G65" i="6"/>
  <c r="B68" i="6" l="1"/>
  <c r="B67" i="6"/>
  <c r="G66" i="6"/>
  <c r="H66" i="6"/>
  <c r="F66" i="6"/>
  <c r="I66" i="6"/>
  <c r="J66" i="6"/>
  <c r="G67" i="6" l="1"/>
  <c r="H67" i="6"/>
  <c r="I67" i="6"/>
  <c r="J67" i="6"/>
  <c r="F67" i="6"/>
  <c r="H68" i="6"/>
  <c r="J68" i="6"/>
  <c r="G68" i="6"/>
  <c r="I68" i="6"/>
  <c r="F6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<sst xmlns="http://schemas.openxmlformats.org/spreadsheetml/2006/main" count="2877" uniqueCount="1022">
  <si>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</si>
  <si>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</si>
  <si>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</si>
  <si>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</si>
  <si>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</si>
  <si>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</si>
  <si>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</si>
  <si>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</si>
  <si>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</si>
  <si>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</si>
  <si>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</si>
  <si>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</si>
  <si>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</si>
  <si>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</si>
  <si>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</si>
  <si>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</si>
  <si>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</si>
  <si>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</si>
  <si>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</si>
  <si>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</si>
  <si>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</si>
  <si>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</si>
  <si>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</si>
  <si>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</si>
  <si>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</si>
  <si>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</si>
  <si>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</si>
  <si>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</si>
  <si>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</si>
  <si>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</si>
  <si>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</si>
  <si>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</si>
  <si>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</si>
  <si>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</si>
  <si>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</si>
  <si>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</si>
  <si>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</si>
  <si>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</si>
  <si>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</si>
  <si>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</si>
  <si>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</si>
  <si>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</si>
  <si>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</si>
  <si>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</si>
  <si>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</si>
  <si>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</si>
  <si>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</si>
  <si>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</si>
  <si>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</si>
  <si>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</si>
  <si>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</si>
  <si>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</si>
  <si>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</si>
  <si>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</si>
  <si>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</si>
  <si>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</si>
  <si>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</si>
  <si>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</si>
  <si>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</si>
  <si>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</si>
  <si>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</si>
  <si>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</si>
  <si>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</si>
  <si>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</si>
  <si>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</si>
  <si>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</si>
  <si>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</si>
  <si>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</si>
  <si>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</si>
  <si>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</si>
  <si>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</si>
  <si>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</si>
  <si>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</si>
  <si>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</si>
  <si>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</si>
  <si>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</si>
  <si>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</si>
  <si>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</si>
  <si>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</si>
  <si>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</si>
  <si>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</si>
  <si>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</si>
  <si>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</si>
  <si>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</si>
  <si>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</si>
  <si>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</si>
  <si>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</si>
  <si>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</si>
  <si>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</si>
  <si>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</si>
  <si>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</si>
  <si>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</si>
  <si>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</si>
  <si>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</si>
  <si>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</si>
  <si>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</si>
  <si>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</si>
  <si>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</si>
  <si>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</si>
  <si>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</si>
  <si>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</si>
  <si>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</si>
  <si>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</si>
  <si>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</si>
  <si>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</si>
  <si>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</si>
  <si>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</si>
  <si>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</si>
  <si>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</si>
  <si>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</si>
  <si>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</si>
  <si>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</si>
  <si>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</si>
  <si>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</si>
  <si>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</si>
  <si>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</si>
  <si>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</si>
  <si>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</si>
  <si>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</si>
  <si>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</si>
  <si>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</si>
  <si>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</si>
  <si>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</si>
  <si>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</si>
  <si>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</si>
  <si>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</si>
  <si>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</si>
  <si>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</si>
  <si>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</si>
  <si>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</si>
  <si>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</si>
  <si>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</si>
  <si>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</si>
  <si>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</si>
  <si>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</si>
  <si>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</si>
  <si>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</si>
  <si>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</si>
  <si>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</si>
  <si>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</si>
  <si>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</si>
  <si>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</si>
  <si>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</si>
  <si>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</si>
  <si>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</si>
  <si>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</si>
  <si>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</si>
  <si>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</si>
  <si>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</si>
  <si>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</si>
  <si>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</si>
  <si>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</si>
  <si>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</si>
  <si>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</si>
  <si>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</si>
  <si>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</si>
  <si>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</si>
  <si>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</si>
  <si>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</si>
  <si>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</si>
  <si>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</si>
  <si>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</si>
  <si>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</si>
  <si>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</si>
  <si>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</si>
  <si>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</si>
  <si>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</si>
  <si>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</si>
  <si>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</si>
  <si>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</si>
  <si>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</si>
  <si>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</si>
  <si>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</si>
  <si>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</si>
  <si>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</si>
  <si>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</si>
  <si>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</si>
  <si>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</si>
  <si>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</si>
  <si>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</si>
  <si>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</si>
  <si>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</si>
  <si>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</si>
  <si>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</si>
  <si>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</si>
  <si>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</si>
  <si>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</si>
  <si>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</si>
  <si>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</si>
  <si>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</si>
  <si>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</si>
  <si>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</si>
  <si>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</si>
  <si>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</si>
  <si>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</si>
  <si>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</si>
  <si>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</si>
  <si>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</si>
  <si>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</si>
  <si>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</si>
  <si>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</si>
  <si>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</si>
  <si>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</si>
  <si>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</si>
  <si>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</si>
  <si>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</si>
  <si>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</si>
  <si>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</si>
  <si>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</si>
  <si>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</si>
  <si>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</si>
  <si>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</si>
  <si>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</si>
  <si>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</si>
  <si>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</si>
  <si>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</si>
  <si>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</si>
  <si>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</si>
  <si>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</si>
  <si>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</si>
  <si>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</si>
  <si>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</si>
  <si>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</si>
  <si>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</si>
  <si>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</si>
  <si>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</si>
  <si>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</si>
  <si>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</si>
  <si>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</si>
  <si>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</si>
  <si>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</si>
  <si>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</si>
  <si>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</si>
  <si>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</si>
  <si>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</si>
  <si>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</si>
  <si>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</si>
  <si>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</si>
  <si>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</si>
  <si>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</si>
  <si>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</si>
  <si>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</si>
  <si>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</si>
  <si>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</si>
  <si>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</si>
  <si>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</si>
  <si>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</si>
  <si>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</si>
  <si>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</si>
  <si>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</si>
  <si>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</si>
  <si>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</si>
  <si>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</si>
  <si>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</si>
  <si>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</si>
  <si>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</si>
  <si>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</si>
  <si>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</si>
  <si>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</si>
  <si>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</si>
  <si>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</si>
  <si>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</si>
  <si>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</si>
  <si>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</si>
  <si>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</si>
  <si>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</si>
  <si>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</si>
  <si>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</si>
  <si>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</si>
  <si>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</si>
  <si>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</si>
  <si>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</si>
  <si>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</si>
  <si>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</si>
  <si>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</si>
  <si>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</si>
  <si>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</si>
  <si>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</si>
  <si>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</si>
  <si>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</si>
  <si>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</si>
  <si>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</si>
  <si>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</si>
  <si>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</si>
  <si>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</si>
  <si>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</si>
  <si>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</si>
  <si>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</si>
  <si>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</si>
  <si>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</si>
  <si>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</si>
  <si>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</si>
  <si>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</si>
  <si>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</si>
  <si>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</si>
  <si>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</si>
  <si>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</si>
  <si>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</si>
  <si>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</si>
  <si>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</si>
  <si>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</si>
  <si>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</si>
  <si>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</si>
  <si>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</si>
  <si>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</si>
  <si>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</si>
  <si>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</si>
  <si>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</si>
  <si>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</si>
  <si>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</si>
  <si>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</si>
  <si>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</si>
  <si>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</si>
  <si>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</si>
  <si>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</si>
  <si>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</si>
  <si>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</si>
  <si>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</si>
  <si>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</si>
  <si>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</si>
  <si>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</si>
  <si>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</si>
  <si>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</si>
  <si>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</si>
  <si>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</si>
  <si>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</si>
  <si>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</si>
  <si>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</si>
  <si>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</si>
  <si>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</si>
  <si>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</si>
  <si>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</si>
  <si>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</si>
  <si>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</si>
  <si>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</si>
  <si>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</si>
  <si>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</si>
  <si>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</si>
  <si>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</si>
  <si>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</si>
  <si>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</si>
  <si>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</si>
  <si>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</si>
  <si>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</si>
  <si>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</si>
  <si>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</si>
  <si>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</si>
  <si>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</si>
  <si>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</si>
  <si>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</si>
  <si>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</si>
  <si>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</si>
  <si>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</si>
  <si>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204:145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</si>
  <si>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</si>
  <si>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</si>
  <si>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</si>
  <si>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</si>
  <si>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</si>
  <si>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</si>
  <si>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</si>
  <si>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</si>
  <si>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</si>
  <si>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204:156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</si>
  <si>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</si>
  <si>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</si>
  <si>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</si>
  <si>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</si>
  <si>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</si>
  <si>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</si>
  <si>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</si>
  <si>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</si>
  <si>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</si>
  <si>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</si>
  <si>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rtdc.l.rtdc.4041:itc</t>
  </si>
  <si>
    <t>204:455</t>
  </si>
  <si>
    <t>rtdc.l.rtdc.4033:itc</t>
  </si>
  <si>
    <t>rtdc.l.rtdc.4034:itc</t>
  </si>
  <si>
    <t>partly-cloudy-day</t>
  </si>
  <si>
    <t>204:136</t>
  </si>
  <si>
    <t>204:232998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</si>
  <si>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</si>
  <si>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</si>
  <si>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</si>
  <si>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</si>
  <si>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</si>
  <si>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</si>
  <si>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</si>
  <si>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</si>
  <si>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</si>
  <si>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</si>
  <si>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</si>
  <si>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</si>
  <si>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</si>
  <si>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</si>
  <si>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</si>
  <si>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</si>
  <si>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</si>
  <si>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</si>
  <si>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</si>
  <si>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</si>
  <si>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</si>
  <si>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</si>
  <si>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</si>
  <si>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</si>
  <si>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</si>
  <si>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</si>
  <si>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</si>
  <si>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</si>
  <si>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</si>
  <si>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204:433</t>
  </si>
  <si>
    <t>204:233293</t>
  </si>
  <si>
    <t>204:233280</t>
  </si>
  <si>
    <t>204:477</t>
  </si>
  <si>
    <t>300:58617</t>
  </si>
  <si>
    <t>rtdc.l.rtdc.4006:itc</t>
  </si>
  <si>
    <t>SWANSON</t>
  </si>
  <si>
    <t>BRYCE</t>
  </si>
  <si>
    <t>FORTUNATO</t>
  </si>
  <si>
    <t>FRANK</t>
  </si>
  <si>
    <t>204:232973</t>
  </si>
  <si>
    <t>rtdc.l.rtdc.4015:itc</t>
  </si>
  <si>
    <t>rtdc.l.rtdc.4001:itc</t>
  </si>
  <si>
    <t>rtdc.l.rtdc.4016:itc</t>
  </si>
  <si>
    <t>BROWN</t>
  </si>
  <si>
    <t>JACOB</t>
  </si>
  <si>
    <t>SULLIVAN</t>
  </si>
  <si>
    <t>BRANDON</t>
  </si>
  <si>
    <t>204:233317</t>
  </si>
  <si>
    <t>300:23304</t>
  </si>
  <si>
    <t>rtdc.l.rtdc.4002:itc</t>
  </si>
  <si>
    <t>Partly Cloudy</t>
  </si>
  <si>
    <t>204:154</t>
  </si>
  <si>
    <t>204:233284</t>
  </si>
  <si>
    <t>300:58935</t>
  </si>
  <si>
    <t>Early arrival</t>
  </si>
  <si>
    <t>SANTIZO</t>
  </si>
  <si>
    <t>D. EDY</t>
  </si>
  <si>
    <t>MAELZER</t>
  </si>
  <si>
    <t>KURT</t>
  </si>
  <si>
    <t>DAVIS</t>
  </si>
  <si>
    <t>LEVIN</t>
  </si>
  <si>
    <t>SCOTT</t>
  </si>
  <si>
    <t>Mostly Cloudy</t>
  </si>
  <si>
    <t>partly-cloudy-night</t>
  </si>
  <si>
    <t>204:233297</t>
  </si>
  <si>
    <t>204:467</t>
  </si>
  <si>
    <t>204:233272</t>
  </si>
  <si>
    <t>204:233295</t>
  </si>
  <si>
    <t>204:233305</t>
  </si>
  <si>
    <t>204:232980</t>
  </si>
  <si>
    <t>204:232975</t>
  </si>
  <si>
    <t>204:232974</t>
  </si>
  <si>
    <t>204:232982</t>
  </si>
  <si>
    <t>204:233011</t>
  </si>
  <si>
    <t>204:232967</t>
  </si>
  <si>
    <t>204:473</t>
  </si>
  <si>
    <t>204:132</t>
  </si>
  <si>
    <t>300:58621</t>
  </si>
  <si>
    <t>300:58606</t>
  </si>
  <si>
    <t>300:58928</t>
  </si>
  <si>
    <t>rtdc.l.rtdc.4049:itc</t>
  </si>
  <si>
    <t>rtdc.l.rtdc.4030:itc</t>
  </si>
  <si>
    <t>rtdc.l.rtdc.4050:itc</t>
  </si>
  <si>
    <t>BONDS</t>
  </si>
  <si>
    <t>REYNALDO</t>
  </si>
  <si>
    <t>SPECTOR</t>
  </si>
  <si>
    <t>CLARK</t>
  </si>
  <si>
    <t>KATHLEEN</t>
  </si>
  <si>
    <t>THOMPSON</t>
  </si>
  <si>
    <t>LESTER</t>
  </si>
  <si>
    <t>204:233286</t>
  </si>
  <si>
    <t>204:232977</t>
  </si>
  <si>
    <t>204:180</t>
  </si>
  <si>
    <t>204:469</t>
  </si>
  <si>
    <t>204:233303</t>
  </si>
  <si>
    <t>204:232986</t>
  </si>
  <si>
    <t>204:232993</t>
  </si>
  <si>
    <t>204:232981</t>
  </si>
  <si>
    <t>204:233316</t>
  </si>
  <si>
    <t>204:121</t>
  </si>
  <si>
    <t>204:232969</t>
  </si>
  <si>
    <t>204:484</t>
  </si>
  <si>
    <t>204:233113</t>
  </si>
  <si>
    <t>204:232996</t>
  </si>
  <si>
    <t>204:233086</t>
  </si>
  <si>
    <t>300:23310</t>
  </si>
  <si>
    <t>300:58954</t>
  </si>
  <si>
    <t>300:58634</t>
  </si>
  <si>
    <t>300:58645</t>
  </si>
  <si>
    <t>204:677</t>
  </si>
  <si>
    <t>rtdc.l.rtdc.4017:itc</t>
  </si>
  <si>
    <t>rtdc.l.rtdc.4005:itc</t>
  </si>
  <si>
    <t>rtdc.l.rtdc.4008:itc</t>
  </si>
  <si>
    <t>rtdc.l.rtdc.4007:itc</t>
  </si>
  <si>
    <t>rtdc.l.rtdc.4018:itc</t>
  </si>
  <si>
    <t>rtdc.l.rtdc.4053:itc</t>
  </si>
  <si>
    <t>rtdc.l.rtdc.4054:itc</t>
  </si>
  <si>
    <t>rtdc.l.rtdc.4059:itc</t>
  </si>
  <si>
    <t>59-16</t>
  </si>
  <si>
    <t>243-16</t>
  </si>
  <si>
    <t>STARKS</t>
  </si>
  <si>
    <t>ANGELINA</t>
  </si>
  <si>
    <t>LOZA</t>
  </si>
  <si>
    <t>FIDEL</t>
  </si>
  <si>
    <t>ROCHA</t>
  </si>
  <si>
    <t>YAOTL</t>
  </si>
  <si>
    <t>rtdc.l.rtdc.4012:itc</t>
  </si>
  <si>
    <t>DE LA ROSA</t>
  </si>
  <si>
    <t>ALEX</t>
  </si>
  <si>
    <t>rtdc.l.rtdc.4011:itc</t>
  </si>
  <si>
    <t>66-16</t>
  </si>
  <si>
    <t>rtdc.l.rtdc.4060:itc</t>
  </si>
  <si>
    <t>60-16</t>
  </si>
  <si>
    <t>65-16</t>
  </si>
  <si>
    <t>908-16</t>
  </si>
  <si>
    <t>234-16</t>
  </si>
  <si>
    <t>237-16</t>
  </si>
  <si>
    <t>236-16</t>
  </si>
  <si>
    <t>239-16</t>
  </si>
  <si>
    <t>241-16</t>
  </si>
  <si>
    <t>238-16</t>
  </si>
  <si>
    <t>240-16</t>
  </si>
  <si>
    <t>315-16</t>
  </si>
  <si>
    <t>242-16</t>
  </si>
  <si>
    <t>309-16</t>
  </si>
  <si>
    <t>244-16</t>
  </si>
  <si>
    <t>311-16</t>
  </si>
  <si>
    <t>313-16</t>
  </si>
  <si>
    <t>Drizzle</t>
  </si>
  <si>
    <t>Light Rain</t>
  </si>
  <si>
    <t>204:233300</t>
  </si>
  <si>
    <t>204:233310</t>
  </si>
  <si>
    <t>204:233289</t>
  </si>
  <si>
    <t>204:233291</t>
  </si>
  <si>
    <t>204:233017</t>
  </si>
  <si>
    <t>204:471</t>
  </si>
  <si>
    <t>204:233314</t>
  </si>
  <si>
    <t>204:232992</t>
  </si>
  <si>
    <t>204:233312</t>
  </si>
  <si>
    <t>204:233311</t>
  </si>
  <si>
    <t>204:233000</t>
  </si>
  <si>
    <t>204:233329</t>
  </si>
  <si>
    <t>204:442</t>
  </si>
  <si>
    <t>204:233349</t>
  </si>
  <si>
    <t>204:233032</t>
  </si>
  <si>
    <t>204:233321</t>
  </si>
  <si>
    <t>204:233351</t>
  </si>
  <si>
    <t>204:232990</t>
  </si>
  <si>
    <t>204:233336</t>
  </si>
  <si>
    <t>204:233301</t>
  </si>
  <si>
    <t>204:232984</t>
  </si>
  <si>
    <t>204:233007</t>
  </si>
  <si>
    <t>204:233342</t>
  </si>
  <si>
    <t>204:233036</t>
  </si>
  <si>
    <t>204:233408</t>
  </si>
  <si>
    <t>204:233040</t>
  </si>
  <si>
    <t>204:232989</t>
  </si>
  <si>
    <t>300:23308</t>
  </si>
  <si>
    <t>204:478</t>
  </si>
  <si>
    <t>300:23425</t>
  </si>
  <si>
    <t>300:58619</t>
  </si>
  <si>
    <t>300:58632</t>
  </si>
  <si>
    <t>204:430</t>
  </si>
  <si>
    <t>204:723</t>
  </si>
  <si>
    <t>300:58948</t>
  </si>
  <si>
    <t>300:58939</t>
  </si>
  <si>
    <t>204:735</t>
  </si>
  <si>
    <t>204:737</t>
  </si>
  <si>
    <t>300:58967</t>
  </si>
  <si>
    <t>300:58941</t>
  </si>
  <si>
    <t>300:58624</t>
  </si>
  <si>
    <t>300:58660</t>
  </si>
  <si>
    <t>204:965</t>
  </si>
  <si>
    <t>300:58943</t>
  </si>
  <si>
    <t>204:988</t>
  </si>
  <si>
    <t>204:946</t>
  </si>
  <si>
    <t>300:58933</t>
  </si>
  <si>
    <t>300:58924</t>
  </si>
  <si>
    <t>204:981</t>
  </si>
  <si>
    <t>Onboard in-route failure</t>
  </si>
  <si>
    <t>101-17</t>
  </si>
  <si>
    <t>rtdc.l.rtdc.4045:itc</t>
  </si>
  <si>
    <t>110-17</t>
  </si>
  <si>
    <t>rtdc.l.rtdc.4056:itc</t>
  </si>
  <si>
    <t>805-17</t>
  </si>
  <si>
    <t>129-17</t>
  </si>
  <si>
    <t>122-17</t>
  </si>
  <si>
    <t>rtdc.l.rtdc.4029:itc</t>
  </si>
  <si>
    <t>142-17</t>
  </si>
  <si>
    <t>52-17</t>
  </si>
  <si>
    <t>170-17</t>
  </si>
  <si>
    <t>rtdc.l.rtdc.4046:itc</t>
  </si>
  <si>
    <t>179-17</t>
  </si>
  <si>
    <t>183-17</t>
  </si>
  <si>
    <t>180-17</t>
  </si>
  <si>
    <t>193-17</t>
  </si>
  <si>
    <t>197-17</t>
  </si>
  <si>
    <t>rtdc.l.rtdc.4024:itc</t>
  </si>
  <si>
    <t>203-17</t>
  </si>
  <si>
    <t>70-17</t>
  </si>
  <si>
    <t>rtdc.l.rtdc.4055:itc</t>
  </si>
  <si>
    <t>832-17</t>
  </si>
  <si>
    <t>213-17</t>
  </si>
  <si>
    <t>209-17</t>
  </si>
  <si>
    <t>835-17</t>
  </si>
  <si>
    <t>74-17</t>
  </si>
  <si>
    <t>217-17</t>
  </si>
  <si>
    <t>219-17</t>
  </si>
  <si>
    <t>838-17</t>
  </si>
  <si>
    <t>839-17</t>
  </si>
  <si>
    <t>239-17</t>
  </si>
  <si>
    <t>241-17</t>
  </si>
  <si>
    <t>240-17</t>
  </si>
  <si>
    <t>Y</t>
  </si>
  <si>
    <t>302-17</t>
  </si>
  <si>
    <t>BADERTSCHER</t>
  </si>
  <si>
    <t>DIANE</t>
  </si>
  <si>
    <t>304-17</t>
  </si>
  <si>
    <t>103-17</t>
  </si>
  <si>
    <t>rtdc.l.rtdc.4031:itc</t>
  </si>
  <si>
    <t>306-17</t>
  </si>
  <si>
    <t>GEBRETEKLE</t>
  </si>
  <si>
    <t>DAGNEW</t>
  </si>
  <si>
    <t>102-17</t>
  </si>
  <si>
    <t>308-17</t>
  </si>
  <si>
    <t>105-17</t>
  </si>
  <si>
    <t>310-17</t>
  </si>
  <si>
    <t>107-17</t>
  </si>
  <si>
    <t>104-17</t>
  </si>
  <si>
    <t>109-17</t>
  </si>
  <si>
    <t>901-17</t>
  </si>
  <si>
    <t>YORK</t>
  </si>
  <si>
    <t>EDGAR</t>
  </si>
  <si>
    <t>111-17</t>
  </si>
  <si>
    <t>113-17</t>
  </si>
  <si>
    <t>800-17</t>
  </si>
  <si>
    <t>106-17</t>
  </si>
  <si>
    <t>108-17</t>
  </si>
  <si>
    <t>115-17</t>
  </si>
  <si>
    <t>801-17</t>
  </si>
  <si>
    <t>117-17</t>
  </si>
  <si>
    <t>112-17</t>
  </si>
  <si>
    <t>119-17</t>
  </si>
  <si>
    <t>rtdc.l.rtdc.4032:itc</t>
  </si>
  <si>
    <t>50-17</t>
  </si>
  <si>
    <t>114-17</t>
  </si>
  <si>
    <t>rtdc.l.rtdc.4051:itc</t>
  </si>
  <si>
    <t>902-17</t>
  </si>
  <si>
    <t>802-17</t>
  </si>
  <si>
    <t>121-17</t>
  </si>
  <si>
    <t>rtdc.l.rtdc.4052:itc</t>
  </si>
  <si>
    <t>803-17</t>
  </si>
  <si>
    <t>123-17</t>
  </si>
  <si>
    <t>116-17</t>
  </si>
  <si>
    <t>118-17</t>
  </si>
  <si>
    <t>804-17</t>
  </si>
  <si>
    <t>125-17</t>
  </si>
  <si>
    <t>rtdc.l.rtdc.4023:itc</t>
  </si>
  <si>
    <t>120-17</t>
  </si>
  <si>
    <t>127-17</t>
  </si>
  <si>
    <t>806-17</t>
  </si>
  <si>
    <t>124-17</t>
  </si>
  <si>
    <t>807-17</t>
  </si>
  <si>
    <t>131-17</t>
  </si>
  <si>
    <t>809-17</t>
  </si>
  <si>
    <t>133-17</t>
  </si>
  <si>
    <t>808-17</t>
  </si>
  <si>
    <t>126-17</t>
  </si>
  <si>
    <t>128-17</t>
  </si>
  <si>
    <t>135-17</t>
  </si>
  <si>
    <t>811-17</t>
  </si>
  <si>
    <t>810-17</t>
  </si>
  <si>
    <t>137-17</t>
  </si>
  <si>
    <t>130-17</t>
  </si>
  <si>
    <t>132-17</t>
  </si>
  <si>
    <t>139-17</t>
  </si>
  <si>
    <t>903-17</t>
  </si>
  <si>
    <t>134-17</t>
  </si>
  <si>
    <t>812-17</t>
  </si>
  <si>
    <t>141-17</t>
  </si>
  <si>
    <t>136-17</t>
  </si>
  <si>
    <t>143-17</t>
  </si>
  <si>
    <t>138-17</t>
  </si>
  <si>
    <t>145-17</t>
  </si>
  <si>
    <t>813-17</t>
  </si>
  <si>
    <t>140-17</t>
  </si>
  <si>
    <t>147-17</t>
  </si>
  <si>
    <t>814-17</t>
  </si>
  <si>
    <t>149-17</t>
  </si>
  <si>
    <t>151-17</t>
  </si>
  <si>
    <t>144-17</t>
  </si>
  <si>
    <t>815-17</t>
  </si>
  <si>
    <t>146-17</t>
  </si>
  <si>
    <t>148-17</t>
  </si>
  <si>
    <t>153-17</t>
  </si>
  <si>
    <t>155-17</t>
  </si>
  <si>
    <t>150-17</t>
  </si>
  <si>
    <t>157-17</t>
  </si>
  <si>
    <t>816-17</t>
  </si>
  <si>
    <t>152-17</t>
  </si>
  <si>
    <t>159-17</t>
  </si>
  <si>
    <t>156-17</t>
  </si>
  <si>
    <t>154-17</t>
  </si>
  <si>
    <t>55-17</t>
  </si>
  <si>
    <t>161-17</t>
  </si>
  <si>
    <t>817-17</t>
  </si>
  <si>
    <t>158-17</t>
  </si>
  <si>
    <t>163-17</t>
  </si>
  <si>
    <t>818-17</t>
  </si>
  <si>
    <t>165-17</t>
  </si>
  <si>
    <t>HELVIE</t>
  </si>
  <si>
    <t>ADAM</t>
  </si>
  <si>
    <t>160-17</t>
  </si>
  <si>
    <t>167-17</t>
  </si>
  <si>
    <t>819-17</t>
  </si>
  <si>
    <t>162-17</t>
  </si>
  <si>
    <t>169-17</t>
  </si>
  <si>
    <t>164-17</t>
  </si>
  <si>
    <t>171-17</t>
  </si>
  <si>
    <t>166-17</t>
  </si>
  <si>
    <t>820-17</t>
  </si>
  <si>
    <t>168-17</t>
  </si>
  <si>
    <t>173-17</t>
  </si>
  <si>
    <t>175-17</t>
  </si>
  <si>
    <t>177-17</t>
  </si>
  <si>
    <t>172-17</t>
  </si>
  <si>
    <t>821-17</t>
  </si>
  <si>
    <t>MCREYNOLDS</t>
  </si>
  <si>
    <t>KYLE</t>
  </si>
  <si>
    <t>HOLCOMB</t>
  </si>
  <si>
    <t>KAMDEN</t>
  </si>
  <si>
    <t>174-17</t>
  </si>
  <si>
    <t>822-17</t>
  </si>
  <si>
    <t>181-17</t>
  </si>
  <si>
    <t>176-17</t>
  </si>
  <si>
    <t>178-17</t>
  </si>
  <si>
    <t>185-17</t>
  </si>
  <si>
    <t>823-17</t>
  </si>
  <si>
    <t>182-17</t>
  </si>
  <si>
    <t>187-17</t>
  </si>
  <si>
    <t>824-17</t>
  </si>
  <si>
    <t>189-17</t>
  </si>
  <si>
    <t>191-17</t>
  </si>
  <si>
    <t>184-17</t>
  </si>
  <si>
    <t>825-17</t>
  </si>
  <si>
    <t>186-17</t>
  </si>
  <si>
    <t>904-17</t>
  </si>
  <si>
    <t>188-17</t>
  </si>
  <si>
    <t>195-17</t>
  </si>
  <si>
    <t>826-17</t>
  </si>
  <si>
    <t>190-17</t>
  </si>
  <si>
    <t>192-17</t>
  </si>
  <si>
    <t>827-17</t>
  </si>
  <si>
    <t>199-17</t>
  </si>
  <si>
    <t>829-17</t>
  </si>
  <si>
    <t>194-17</t>
  </si>
  <si>
    <t>196-17</t>
  </si>
  <si>
    <t>828-17</t>
  </si>
  <si>
    <t>201-17</t>
  </si>
  <si>
    <t>198-17</t>
  </si>
  <si>
    <t>830-17</t>
  </si>
  <si>
    <t>200-17</t>
  </si>
  <si>
    <t>205-17</t>
  </si>
  <si>
    <t>831-17</t>
  </si>
  <si>
    <t>207-17</t>
  </si>
  <si>
    <t>833-17</t>
  </si>
  <si>
    <t>202-17</t>
  </si>
  <si>
    <t>71-17</t>
  </si>
  <si>
    <t>DELGADO</t>
  </si>
  <si>
    <t>DIANAH</t>
  </si>
  <si>
    <t>204-17</t>
  </si>
  <si>
    <t>211-17</t>
  </si>
  <si>
    <t>206-17</t>
  </si>
  <si>
    <t>834-17</t>
  </si>
  <si>
    <t>208-17</t>
  </si>
  <si>
    <t>215-17</t>
  </si>
  <si>
    <t>73-17</t>
  </si>
  <si>
    <t>210-17</t>
  </si>
  <si>
    <t>836-17</t>
  </si>
  <si>
    <t>837-17</t>
  </si>
  <si>
    <t>212-17</t>
  </si>
  <si>
    <t>214-17</t>
  </si>
  <si>
    <t>303-17</t>
  </si>
  <si>
    <t>78-17</t>
  </si>
  <si>
    <t>216-17</t>
  </si>
  <si>
    <t>221-17</t>
  </si>
  <si>
    <t>218-17</t>
  </si>
  <si>
    <t>79-17</t>
  </si>
  <si>
    <t>305-17</t>
  </si>
  <si>
    <t>906-17</t>
  </si>
  <si>
    <t>841-17</t>
  </si>
  <si>
    <t>220-17</t>
  </si>
  <si>
    <t>223-17</t>
  </si>
  <si>
    <t>840-17</t>
  </si>
  <si>
    <t>80-17</t>
  </si>
  <si>
    <t>307-17</t>
  </si>
  <si>
    <t>222-17</t>
  </si>
  <si>
    <t>225-17</t>
  </si>
  <si>
    <t>843-17</t>
  </si>
  <si>
    <t>81-17</t>
  </si>
  <si>
    <t>224-17</t>
  </si>
  <si>
    <t>227-17</t>
  </si>
  <si>
    <t>842-17</t>
  </si>
  <si>
    <t>226-17</t>
  </si>
  <si>
    <t>229-17</t>
  </si>
  <si>
    <t>228-17</t>
  </si>
  <si>
    <t>845-17</t>
  </si>
  <si>
    <t>231-17</t>
  </si>
  <si>
    <t>844-17</t>
  </si>
  <si>
    <t>230-17</t>
  </si>
  <si>
    <t>233-17</t>
  </si>
  <si>
    <t>232-17</t>
  </si>
  <si>
    <t>847-17</t>
  </si>
  <si>
    <t>4049-17</t>
  </si>
  <si>
    <t>235-17</t>
  </si>
  <si>
    <t>4050-17</t>
  </si>
  <si>
    <t>908-17</t>
  </si>
  <si>
    <t>237-17</t>
  </si>
  <si>
    <t>234-17</t>
  </si>
  <si>
    <t>236-17</t>
  </si>
  <si>
    <t>238-17</t>
  </si>
  <si>
    <t>243-17</t>
  </si>
  <si>
    <t>315-17</t>
  </si>
  <si>
    <t>242-17</t>
  </si>
  <si>
    <t>309-17</t>
  </si>
  <si>
    <t>244-17</t>
  </si>
  <si>
    <t>311-17</t>
  </si>
  <si>
    <t>313-17</t>
  </si>
  <si>
    <t>fog</t>
  </si>
  <si>
    <t>Foggy</t>
  </si>
  <si>
    <t>Rain</t>
  </si>
  <si>
    <t>204:233287</t>
  </si>
  <si>
    <t>204:232653</t>
  </si>
  <si>
    <t>204:130</t>
  </si>
  <si>
    <t>204:724</t>
  </si>
  <si>
    <t>204:233324</t>
  </si>
  <si>
    <t>204:232696</t>
  </si>
  <si>
    <t>204:763</t>
  </si>
  <si>
    <t>204:232685</t>
  </si>
  <si>
    <t>204:233283</t>
  </si>
  <si>
    <t>204:232964</t>
  </si>
  <si>
    <t>204:779</t>
  </si>
  <si>
    <t>204:233299</t>
  </si>
  <si>
    <t>204:420</t>
  </si>
  <si>
    <t>204:233325</t>
  </si>
  <si>
    <t>204:129</t>
  </si>
  <si>
    <t>204:743</t>
  </si>
  <si>
    <t>204:431</t>
  </si>
  <si>
    <t>204:233025</t>
  </si>
  <si>
    <t>204:770</t>
  </si>
  <si>
    <t>204:233370</t>
  </si>
  <si>
    <t>204:233026</t>
  </si>
  <si>
    <t>204:233309</t>
  </si>
  <si>
    <t>204:233298</t>
  </si>
  <si>
    <t>204:232991</t>
  </si>
  <si>
    <t>204:233353</t>
  </si>
  <si>
    <t>204:233368</t>
  </si>
  <si>
    <t>204:233327</t>
  </si>
  <si>
    <t>204:233010</t>
  </si>
  <si>
    <t>204:233034</t>
  </si>
  <si>
    <t>204:233230</t>
  </si>
  <si>
    <t>204:232987</t>
  </si>
  <si>
    <t>204:233306</t>
  </si>
  <si>
    <t>204:232959</t>
  </si>
  <si>
    <t>204:233006</t>
  </si>
  <si>
    <t>204:233059</t>
  </si>
  <si>
    <t>204:134</t>
  </si>
  <si>
    <t>204:233355</t>
  </si>
  <si>
    <t>204:233042</t>
  </si>
  <si>
    <t>204:194</t>
  </si>
  <si>
    <t>204:438</t>
  </si>
  <si>
    <t>204:233399</t>
  </si>
  <si>
    <t>204:233065</t>
  </si>
  <si>
    <t>204:103</t>
  </si>
  <si>
    <t>204:409</t>
  </si>
  <si>
    <t>204:233021</t>
  </si>
  <si>
    <t>204:493</t>
  </si>
  <si>
    <t>204:232955</t>
  </si>
  <si>
    <t>204:200</t>
  </si>
  <si>
    <t>204:233004</t>
  </si>
  <si>
    <t>204:233247</t>
  </si>
  <si>
    <t>204:232965</t>
  </si>
  <si>
    <t>204:36655</t>
  </si>
  <si>
    <t>204:429</t>
  </si>
  <si>
    <t>204:233067</t>
  </si>
  <si>
    <t>204:497</t>
  </si>
  <si>
    <t>204:232979</t>
  </si>
  <si>
    <t>204:170</t>
  </si>
  <si>
    <t>204:233008</t>
  </si>
  <si>
    <t>204:233376</t>
  </si>
  <si>
    <t>204:233062</t>
  </si>
  <si>
    <t>204:233343</t>
  </si>
  <si>
    <t>204:178</t>
  </si>
  <si>
    <t>204:233347</t>
  </si>
  <si>
    <t>204:233389</t>
  </si>
  <si>
    <t>204:233089</t>
  </si>
  <si>
    <t>204:119</t>
  </si>
  <si>
    <t>204:233382</t>
  </si>
  <si>
    <t>204:233326</t>
  </si>
  <si>
    <t>204:233420</t>
  </si>
  <si>
    <t>204:233101</t>
  </si>
  <si>
    <t>204:488</t>
  </si>
  <si>
    <t>300:23072</t>
  </si>
  <si>
    <t>300:23052</t>
  </si>
  <si>
    <t>300:23293</t>
  </si>
  <si>
    <t>300:23627</t>
  </si>
  <si>
    <t>204:475</t>
  </si>
  <si>
    <t>300:23306</t>
  </si>
  <si>
    <t>300:23377</t>
  </si>
  <si>
    <t>300:19453</t>
  </si>
  <si>
    <t>300:23299</t>
  </si>
  <si>
    <t>204:233087</t>
  </si>
  <si>
    <t>204:232150</t>
  </si>
  <si>
    <t>204:232141</t>
  </si>
  <si>
    <t>204:232462</t>
  </si>
  <si>
    <t>204:233381</t>
  </si>
  <si>
    <t>204:232468</t>
  </si>
  <si>
    <t>204:233398</t>
  </si>
  <si>
    <t>204:437</t>
  </si>
  <si>
    <t>300:23301</t>
  </si>
  <si>
    <t>204:3270</t>
  </si>
  <si>
    <t>204:1162</t>
  </si>
  <si>
    <t>204:3574</t>
  </si>
  <si>
    <t>300:23419</t>
  </si>
  <si>
    <t>204:869</t>
  </si>
  <si>
    <t>204:1186</t>
  </si>
  <si>
    <t>300:24220</t>
  </si>
  <si>
    <t>204:459</t>
  </si>
  <si>
    <t>300:23302</t>
  </si>
  <si>
    <t>300:23315</t>
  </si>
  <si>
    <t>204:164</t>
  </si>
  <si>
    <t>204:1481</t>
  </si>
  <si>
    <t>204:638</t>
  </si>
  <si>
    <t>204:923</t>
  </si>
  <si>
    <t>204:1233</t>
  </si>
  <si>
    <t>204:210666</t>
  </si>
  <si>
    <t>300:23502</t>
  </si>
  <si>
    <t>204:878</t>
  </si>
  <si>
    <t>204:755</t>
  </si>
  <si>
    <t>204:1023</t>
  </si>
  <si>
    <t>204:720</t>
  </si>
  <si>
    <t>204:979</t>
  </si>
  <si>
    <t>300:58611</t>
  </si>
  <si>
    <t>204:1011</t>
  </si>
  <si>
    <t>300:58937</t>
  </si>
  <si>
    <t>300:58615</t>
  </si>
  <si>
    <t>204:740</t>
  </si>
  <si>
    <t>204:685</t>
  </si>
  <si>
    <t>204:1034</t>
  </si>
  <si>
    <t>300:58920</t>
  </si>
  <si>
    <t>204:1201</t>
  </si>
  <si>
    <t>204:211025</t>
  </si>
  <si>
    <t>204:233466</t>
  </si>
  <si>
    <t>300:58604</t>
  </si>
  <si>
    <t>204:815</t>
  </si>
  <si>
    <t>204:682</t>
  </si>
  <si>
    <t>300:58944</t>
  </si>
  <si>
    <t>300:58623</t>
  </si>
  <si>
    <t>204:680</t>
  </si>
  <si>
    <t>300:58636</t>
  </si>
  <si>
    <t>204:666</t>
  </si>
  <si>
    <t>204:691</t>
  </si>
  <si>
    <t>204:974</t>
  </si>
  <si>
    <t>204:715</t>
  </si>
  <si>
    <t>204:995</t>
  </si>
  <si>
    <t>300:58609</t>
  </si>
  <si>
    <t>204:705</t>
  </si>
  <si>
    <t>300:58638</t>
  </si>
  <si>
    <t>204:960</t>
  </si>
  <si>
    <t>300:59007</t>
  </si>
  <si>
    <t>300:58690</t>
  </si>
  <si>
    <t>300:58961</t>
  </si>
  <si>
    <t>300:58647</t>
  </si>
  <si>
    <t>204:675</t>
  </si>
  <si>
    <t>204:964</t>
  </si>
  <si>
    <t>300:59001</t>
  </si>
  <si>
    <t>204:654</t>
  </si>
  <si>
    <t>204:967</t>
  </si>
  <si>
    <t>300:58681</t>
  </si>
  <si>
    <t>204:920</t>
  </si>
  <si>
    <t>204:4426</t>
  </si>
  <si>
    <t>204:951</t>
  </si>
  <si>
    <t>300:59008</t>
  </si>
  <si>
    <t>300:5348</t>
  </si>
  <si>
    <t>204:330</t>
  </si>
  <si>
    <t>204:684</t>
  </si>
  <si>
    <t>300:29934</t>
  </si>
  <si>
    <t>300:23334</t>
  </si>
  <si>
    <t>204:1116</t>
  </si>
  <si>
    <t>300:24231</t>
  </si>
  <si>
    <t>300:23300</t>
  </si>
  <si>
    <t>204:670</t>
  </si>
  <si>
    <t>204:664</t>
  </si>
  <si>
    <t>300:58692</t>
  </si>
  <si>
    <t>300:21543</t>
  </si>
  <si>
    <t>start /low /b %USERPROFILE%\Documents\GitHub\eaglep3\Utilities\DownloadLogsFromS3.py --loco 4039 --day 2017-05-17</t>
  </si>
  <si>
    <t>start /low /b %USERPROFILE%\Documents\GitHub\eaglep3\Utilities\DownloadLogsFromS3.py --loco 4052 --day 2017-05-17</t>
  </si>
  <si>
    <t>start /low /b %USERPROFILE%\Documents\GitHub\eaglep3\Utilities\DownloadLogsFromS3.py --loco 4051 --day 2017-05-17</t>
  </si>
  <si>
    <t>start /low /b %USERPROFILE%\Documents\GitHub\eaglep3\Utilities\DownloadLogsFromS3.py --loco 4053 --day 2017-05-17</t>
  </si>
  <si>
    <t>start /low /b %USERPROFILE%\Documents\GitHub\eaglep3\Utilities\DownloadLogsFromS3.py --loco 4046 --day 2017-05-17</t>
  </si>
  <si>
    <t>start /low /b %USERPROFILE%\Documents\GitHub\eaglep3\Utilities\DownloadLogsFromS3.py --loco 4042 --day 2017-05-17</t>
  </si>
  <si>
    <t>start /low /b %USERPROFILE%\Documents\GitHub\eaglep3\Utilities\DownloadLogsFromS3.py --loco 4029 --day 2017-05-17</t>
  </si>
  <si>
    <t>start /low /b %USERPROFILE%\Documents\GitHub\eaglep3\Utilities\DownloadLogsFromS3.py --loco 4045 --day 2017-05-17</t>
  </si>
  <si>
    <t>start /low /b %USERPROFILE%\Documents\GitHub\eaglep3\Utilities\DownloadLogsFromS3.py --loco 4024 --day 2017-05-18</t>
  </si>
  <si>
    <t>start /low /b %USERPROFILE%\Documents\GitHub\eaglep3\Utilities\DownloadLogsFromS3.py --loco 4016 --day 2017-05-17</t>
  </si>
  <si>
    <t>start /low /b %USERPROFILE%\Documents\GitHub\eaglep3\Utilities\DownloadLogsFromS3.py --loco 4041 --day 2017-05-18</t>
  </si>
  <si>
    <t>start /low /b %USERPROFILE%\Documents\GitHub\eaglep3\Utilities\DownloadLogsFromS3.py --loco 4040 --day 2017-05-18</t>
  </si>
  <si>
    <t>start /low /b %USERPROFILE%\Documents\GitHub\eaglep3\Utilities\DownloadLogsFromS3.py --loco 4030 --day 2017-05-17</t>
  </si>
  <si>
    <t>start /low /b %USERPROFILE%\Documents\GitHub\eaglep3\Utilities\DownloadLogsFromS3.py --loco 4024 --day 2017-05-17</t>
  </si>
  <si>
    <t>start /low /b %USERPROFILE%\Documents\GitHub\eaglep3\Utilities\DownloadLogsFromS3.py --loco 4042 --day 2017-05-18</t>
  </si>
  <si>
    <t>start /low /b %USERPROFILE%\Documents\GitHub\eaglep3\Utilities\DownloadLogsFromS3.py --loco 4056 --day 2017-05-17</t>
  </si>
  <si>
    <t>start /low /b %USERPROFILE%\Documents\GitHub\eaglep3\Utilities\DownloadLogsFromS3.py --loco 4053 --day 2017-05-18</t>
  </si>
  <si>
    <t>start /low /b %USERPROFILE%\Documents\GitHub\eaglep3\Utilities\DownloadLogsFromS3.py --loco 4055 --day 2017-05-17</t>
  </si>
  <si>
    <t>start /low /b %USERPROFILE%\Documents\GitHub\eaglep3\Utilities\DownloadLogsFromS3.py --loco 4056 --day 2017-05-18</t>
  </si>
  <si>
    <t>Cancelled due to propulsion fault</t>
  </si>
  <si>
    <t>APU propulsion fault as trip concluded</t>
  </si>
  <si>
    <t>Main 3 arrival</t>
  </si>
  <si>
    <t>Wi-MAX data drop</t>
  </si>
  <si>
    <t>DUS 28S flipping aspects</t>
  </si>
  <si>
    <t>Around 19:00, DUS 28S received clear requests from dispatch and flipped back and forth between CLEAR/STOP. Do logs show anything unusual?</t>
  </si>
  <si>
    <t>RESTRICTING aspect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</si>
</sst>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9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42872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42872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46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COUNTIFS($N$13:$N$9317,"&gt;0",$AG$13:$AG$9317,I1)</f>
        <v>143</v>
      </c>
      <c r="K5" s="39"/>
      <c r="L5" s="39"/>
      <c r="M5" s="40">
        <f>AVERAGEIFS($N$13:$N$9317,$AG$13:$AG$9317,I1)</f>
        <v>38.039976690352042</v>
      </c>
      <c r="N5" s="38">
        <f t="array" ref="N5">MIN(IF($AG$13:$AG$9317=I1,IF(ISNUMBER($N$13:$N$9317),IF($N$13:$N$9317&gt;0,$N$13:$N$9317))))</f>
        <v>34.65000000083819</v>
      </c>
      <c r="O5" s="3">
        <f t="array" ref="O5">MAX(IF($AG$13:$AG$9317=I1,IF(ISNUMBER($N$13:$N$9317),IF($N$13:$N$9317&gt;0,$N$13:$N$9317))))</f>
        <v>45.266666666138917</v>
      </c>
      <c r="P5" s="2"/>
      <c r="R5" s="177" t="s">
        <v>17</v>
      </c>
      <c r="S5" s="199">
        <f>COUNTIFS($N$13:$N$9317,"&gt;0",$AG$13:$AG$9317,R1)</f>
        <v>45</v>
      </c>
      <c r="T5" s="179"/>
      <c r="U5" s="179"/>
      <c r="V5" s="176">
        <f>AVERAGEIFS($N$13:$N$9317,$AG$13:$AG$9317,R1)</f>
        <v>14.7366666670423</v>
      </c>
      <c r="W5" s="177">
        <f t="array" ref="W5">MIN(IF($AG$13:$AG$9317=R1,IF(ISNUMBER($N$13:$N$9317),IF($N$13:$N$9317&gt;0,$N$13:$N$9317))))</f>
        <v>11.950000006472692</v>
      </c>
      <c r="X5" s="178">
        <f t="array" ref="X5">MAX(IF($AG$13:$AG$9317=R1,IF(ISNUMBER($N$13:$N$9317),IF($N$13:$N$9317&gt;0,$N$13:$N$9317))))</f>
        <v>18.816666664788499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COUNT($O$13:$O$114)</f>
        <v>0</v>
      </c>
      <c r="K6" s="39"/>
      <c r="L6" s="39"/>
      <c r="M6" s="40">
        <f>IFERROR(AVERAGE($O$13:$O$114),0)</f>
        <v>0</v>
      </c>
      <c r="N6" s="38">
        <f>MIN($O$13:$O$114)</f>
        <v>0</v>
      </c>
      <c r="O6" s="3">
        <f>MAX($O$13:$O$114)</f>
        <v>0</v>
      </c>
      <c r="P6" s="2"/>
      <c r="R6" s="180" t="s">
        <v>43</v>
      </c>
      <c r="S6" s="199">
        <f>COUNT($O$13:$O$114)</f>
        <v>0</v>
      </c>
      <c r="T6" s="179"/>
      <c r="U6" s="179"/>
      <c r="V6" s="176">
        <f>IFERROR(AVERAGE($O$13:$O$114),0)</f>
        <v>0</v>
      </c>
      <c r="W6" s="177">
        <f>MIN($O$13:$O$114)</f>
        <v>0</v>
      </c>
      <c r="X6" s="178">
        <f>MAX($O$13:$O$114)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COUNTIFS($P$13:$P$9317,"&gt;0",$AG$13:$AG$9317,I1)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COUNTIFS($P$13:$P$9317,"&gt;0",$AG$13:$AG$9317,R1)</f>
        <v>1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143</v>
      </c>
      <c r="K8" s="39"/>
      <c r="L8" s="39"/>
      <c r="M8" s="40">
        <f>M5</f>
        <v>38.039976690352042</v>
      </c>
      <c r="N8" s="38">
        <f>N5</f>
        <v>34.65000000083819</v>
      </c>
      <c r="O8" s="3">
        <f>O5</f>
        <v>45.266666666138917</v>
      </c>
      <c r="P8" s="2"/>
      <c r="R8" s="177" t="s">
        <v>16</v>
      </c>
      <c r="S8" s="199">
        <f>S5</f>
        <v>45</v>
      </c>
      <c r="T8" s="179"/>
      <c r="U8" s="179"/>
      <c r="V8" s="176">
        <f>V5</f>
        <v>14.7366666670423</v>
      </c>
      <c r="W8" s="177">
        <f>W5</f>
        <v>11.950000006472692</v>
      </c>
      <c r="X8" s="178">
        <f>X5</f>
        <v>18.816666664788499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0.99305555555555558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0.97826086956521741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- 2017-05-17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AVERAGE(S13:S90)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581</v>
      </c>
      <c r="B13" s="7">
        <v>4016</v>
      </c>
      <c r="C13" s="21" t="s">
        <v>206</v>
      </c>
      <c r="D13" s="21" t="s">
        <v>567</v>
      </c>
      <c r="E13" s="13">
        <v>42872.129247685189</v>
      </c>
      <c r="F13" s="13">
        <v>42872.135613425926</v>
      </c>
      <c r="G13" s="7">
        <v>1</v>
      </c>
      <c r="H13" s="21" t="s">
        <v>832</v>
      </c>
      <c r="I13" s="13">
        <v>42872.162719907406</v>
      </c>
      <c r="J13" s="7">
        <v>1</v>
      </c>
      <c r="K13" s="92" t="str">
        <f>IF(ISEVEN(B13),(B13-1)&amp;"/"&amp;B13,B13&amp;"/"&amp;(B13+1))</f>
        <v>4015/4016</v>
      </c>
      <c r="L13" s="21" t="str">
        <f>VLOOKUP(A13,'Trips&amp;Operators'!$C$1:$G$99999,5,FALSE)</f>
        <v>BADERTSCHER DIANE</v>
      </c>
      <c r="M13" s="6">
        <f>I13-F13</f>
        <v>2.7106481480586808E-2</v>
      </c>
      <c r="N13" s="7">
        <f>24*60*SUM($M13:$M13)</f>
        <v>39.033333332045004</v>
      </c>
      <c r="O13" s="7"/>
      <c r="P13" s="7"/>
      <c r="Q13" s="22"/>
      <c r="R13" s="190"/>
      <c r="S13" s="196">
        <f>SUM(U13:U13)/IF(AG13="EC",12,1)</f>
        <v>1</v>
      </c>
      <c r="T13" s="190" t="str">
        <f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-17T02:06:07-0600',mode:absolute,to:'2017-05-17T04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192" t="str">
        <f>IF(AA13&lt;IF(AG13="EC",23,5.65),"Y","N")</f>
        <v>N</v>
      </c>
      <c r="X13" s="192" t="e">
        <f>VALUE(LEFT(AD13,4))-VALUE(LEFT(AD12,4))</f>
        <v>#VALUE!</v>
      </c>
      <c r="Y13" s="192">
        <f>RIGHT(D13,LEN(D13)-4)/10000</f>
        <v>7.3499999999999996E-2</v>
      </c>
      <c r="Z13" s="192">
        <f>RIGHT(H13,LEN(H13)-4)/10000</f>
        <v>23.328700000000001</v>
      </c>
      <c r="AA13" s="192">
        <f>ABS(Z13-Y13)</f>
        <v>23.255200000000002</v>
      </c>
      <c r="AB13" s="57" t="str">
        <f>VLOOKUP(A13,Enforcements!$C$7:$K$13,8,0)</f>
        <v>Bulletin (2)</v>
      </c>
      <c r="AC13" s="53" t="str">
        <f>VLOOKUP(A13,Enforcements!$C$7:$E$13,3,0)</f>
        <v>GRADE CROSSING</v>
      </c>
      <c r="AD13" s="54" t="str">
        <f>IF(LEN(A13)=6,"0"&amp;A13,A13)</f>
        <v>0101-17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/stypes="app*4016*20170517*" /stext=" 09:.+((SYSTEM_STATE.+slice.+state.+changed )|(ment ac)|(multiple cpu faults)|(system.+state.+changed )|(\[timeout)|(PRM\|1\|D)|(kpr)|(kdp)|(train st.+moving)|(\|lc)|(penalty))"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4016 --swversion DE.1.0.9.0 --startMP 204:735 --initTime 2017-05-17T03:06:07 --startdatetime 2017-05-17T03:15:17 --delay 1 --endMP 204:233287 --enddatetime 2017-05-17T03:54:19 --enforcementcount 1 &gt;&gt;C:\Users\stu\Documents\GitHub\eaglep3-reporting\EC\2017-05-17-refined-times.txt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{"issue":{"subject":"","project_id":79,"tracker_id":40,"status_id":1,"priority_id":2,"assigned_to_id":23,"start_date":"2017-05-17","description":"","custom_fields":[{"id":1,"name":"Subdivision","value":"EC"},{"id":4,"name":"Milepost","value":"23.3287"},{"id":17,"name":"Train ID","value":"101-17"},{"id":16,"name":"Locomotive ID","value":"4016"},{"id":130,"name":"Impact","value":""},{"id":150,"name":"Time of Event (Mountain Time)","value":"03:54:19"},{"id":151,"name":"Denver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4016 --day 2017-05-17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09:54:19"},{"id":29,"name":"Sharepoint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624</v>
      </c>
      <c r="B14" s="7">
        <v>4029</v>
      </c>
      <c r="C14" s="21" t="s">
        <v>206</v>
      </c>
      <c r="D14" s="21" t="s">
        <v>833</v>
      </c>
      <c r="E14" s="13">
        <v>42872.169756944444</v>
      </c>
      <c r="F14" s="13">
        <v>42872.174479166664</v>
      </c>
      <c r="G14" s="7">
        <v>1</v>
      </c>
      <c r="H14" s="21" t="s">
        <v>834</v>
      </c>
      <c r="I14" s="13">
        <v>42872.202326388891</v>
      </c>
      <c r="J14" s="7">
        <v>1</v>
      </c>
      <c r="K14" s="92" t="str">
        <f>IF(ISEVEN(B14),(B14-1)&amp;"/"&amp;B14,B14&amp;"/"&amp;(B14+1))</f>
        <v>4029/4030</v>
      </c>
      <c r="L14" s="21" t="str">
        <f>VLOOKUP(A14,'Trips&amp;Operators'!$C$1:$G$99999,5,FALSE)</f>
        <v>BADERTSCHER DIANE</v>
      </c>
      <c r="M14" s="6">
        <f>I14-F14</f>
        <v>2.7847222227137536E-2</v>
      </c>
      <c r="N14" s="7">
        <f>24*60*SUM($M14:$M14)</f>
        <v>40.100000007078052</v>
      </c>
      <c r="O14" s="7"/>
      <c r="P14" s="7"/>
      <c r="Q14" s="22"/>
      <c r="R14" s="190"/>
      <c r="S14" s="196">
        <f>SUM(U14:U14)/IF(AG14="EC",12,1)</f>
        <v>1</v>
      </c>
      <c r="T14" s="190" t="str">
        <f>IF(ISEVEN(LEFT(AD14,4)),"Southbound","NorthBound")</f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-05-17T03:04:27-0600',mode:absolute,to:'2017-05-17T05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192" t="str">
        <f>IF(AA14&lt;IF(AG14="EC",23,5.65),"Y","N")</f>
        <v>N</v>
      </c>
      <c r="X14" s="192">
        <f>VALUE(LEFT(AD14,4))-VALUE(LEFT(AD13,4))</f>
        <v>1</v>
      </c>
      <c r="Y14" s="192">
        <f>RIGHT(D14,LEN(D14)-4)/10000</f>
        <v>23.2653</v>
      </c>
      <c r="Z14" s="192">
        <f>RIGHT(H14,LEN(H14)-4)/10000</f>
        <v>1.2999999999999999E-2</v>
      </c>
      <c r="AA14" s="192">
        <f>ABS(Z14-Y14)</f>
        <v>23.252299999999998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0102-17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/stypes="app*4029*20170517*" /stext=" 10:.+((SYSTEM_STATE.+slice.+state.+changed )|(ment ac)|(multiple cpu faults)|(system.+state.+changed )|(\[timeout)|(PRM\|1\|D)|(kpr)|(kdp)|(train st.+moving)|(\|lc)|(penalty))"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4029 --swversion DE.1.0.9.0 --startMP 204:232653 --initTime 2017-05-17T04:04:27 --startdatetime 2017-05-17T04:11:15 --delay 1 --endMP 204:130 --enddatetime 2017-05-17T04:51:21 --enforcementcount 1 &gt;&gt;C:\Users\stu\Documents\GitHub\eaglep3-reporting\EC\2017-05-17-refined-times.txt</v>
      </c>
      <c r="AI14" s="99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{"issue":{"subject":"","project_id":79,"tracker_id":40,"status_id":1,"priority_id":2,"assigned_to_id":23,"start_date":"2017-05-17","description":"","custom_fields":[{"id":1,"name":"Subdivision","value":"EC"},{"id":4,"name":"Milepost","value":"0.013"},{"id":17,"name":"Train ID","value":"102-17"},{"id":16,"name":"Locomotive ID","value":"4029"},{"id":130,"name":"Impact","value":""},{"id":150,"name":"Time of Event (Mountain Time)","value":"04:51:21"},{"id":151,"name":"Denver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6">"start /low /b "&amp;dls3logs&amp;" --loco "&amp;B14&amp;" --day "&amp;TEXT(F14,"YYYY-MM-DD")</f>
        <v>start /low /b %USERPROFILE%\Documents\GitHub\eaglep3\Utilities\DownloadLogsFromS3.py --loco 4029 --day 2017-05-17</v>
      </c>
      <c r="AN14" s="154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10:51:21"},{"id":29,"name":"Sharepoint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619</v>
      </c>
      <c r="B15" s="7">
        <v>4042</v>
      </c>
      <c r="C15" s="21" t="s">
        <v>206</v>
      </c>
      <c r="D15" s="21" t="s">
        <v>835</v>
      </c>
      <c r="E15" s="13">
        <v>42872.152442129627</v>
      </c>
      <c r="F15" s="13">
        <v>42872.156493055554</v>
      </c>
      <c r="G15" s="7">
        <v>1</v>
      </c>
      <c r="H15" s="21" t="s">
        <v>836</v>
      </c>
      <c r="I15" s="13">
        <v>42872.181203703702</v>
      </c>
      <c r="J15" s="7">
        <v>1</v>
      </c>
      <c r="K15" s="92" t="str">
        <f>IF(ISEVEN(B15),(B15-1)&amp;"/"&amp;B15,B15&amp;"/"&amp;(B15+1))</f>
        <v>4041/4042</v>
      </c>
      <c r="L15" s="21" t="str">
        <f>VLOOKUP(A15,'Trips&amp;Operators'!$C$1:$G$99999,5,FALSE)</f>
        <v>MAELZER KURT</v>
      </c>
      <c r="M15" s="6">
        <f>I15-F15</f>
        <v>2.47106481474475E-2</v>
      </c>
      <c r="N15" s="7">
        <f>24*60*SUM($M15:$M15)</f>
        <v>35.583333332324401</v>
      </c>
      <c r="O15" s="7"/>
      <c r="P15" s="7"/>
      <c r="Q15" s="22"/>
      <c r="R15" s="190"/>
      <c r="S15" s="196">
        <f>SUM(U15:U15)/IF(AG15="EC",12,1)</f>
        <v>1</v>
      </c>
      <c r="T15" s="190" t="str">
        <f>IF(ISEVEN(LEFT(AD15,4)),"Southbound","NorthBound")</f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-05-17T02:39:31-0600',mode:absolute,to:'2017-05-17T05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92" t="str">
        <f>IF(AA15&lt;IF(AG15="EC",23,5.65),"Y","N")</f>
        <v>N</v>
      </c>
      <c r="X15" s="192">
        <f>VALUE(LEFT(AD15,4))-VALUE(LEFT(AD14,4))</f>
        <v>1</v>
      </c>
      <c r="Y15" s="192">
        <f>RIGHT(D15,LEN(D15)-4)/10000</f>
        <v>7.2400000000000006E-2</v>
      </c>
      <c r="Z15" s="192">
        <f>RIGHT(H15,LEN(H15)-4)/10000</f>
        <v>23.3324</v>
      </c>
      <c r="AA15" s="192">
        <f>ABS(Z15-Y15)</f>
        <v>23.26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0103-17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/stypes="app*4042*20170517*" /stext=" 10:.+((SYSTEM_STATE.+slice.+state.+changed )|(ment ac)|(multiple cpu faults)|(system.+state.+changed )|(\[timeout)|(PRM\|1\|D)|(kpr)|(kdp)|(train st.+moving)|(\|lc)|(penalty))"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103-17 --locoid 4042 --swversion DE.1.0.9.0 --startMP 204:724 --initTime 2017-05-17T03:39:31 --startdatetime 2017-05-17T03:45:21 --delay 1 --endMP 204:233324 --enddatetime 2017-05-17T04:20:56 --enforcementcount 1 &gt;&gt;C:\Users\stu\Documents\GitHub\eaglep3-reporting\EC\2017-05-17-refined-times.txt</v>
      </c>
      <c r="AI15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{"issue":{"subject":"","project_id":79,"tracker_id":40,"status_id":1,"priority_id":2,"assigned_to_id":23,"start_date":"2017-05-17","description":"","custom_fields":[{"id":1,"name":"Subdivision","value":"EC"},{"id":4,"name":"Milepost","value":"23.3324"},{"id":17,"name":"Train ID","value":"103-17"},{"id":16,"name":"Locomotive ID","value":"4042"},{"id":130,"name":"Impact","value":""},{"id":150,"name":"Time of Event (Mountain Time)","value":"04:20:56"},{"id":151,"name":"Denver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4042 --day 2017-05-17</v>
      </c>
      <c r="AN15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10:20:56"},{"id":29,"name":"Sharepoint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629</v>
      </c>
      <c r="B16" s="7">
        <v>4011</v>
      </c>
      <c r="C16" s="21" t="s">
        <v>206</v>
      </c>
      <c r="D16" s="21" t="s">
        <v>837</v>
      </c>
      <c r="E16" s="13">
        <v>42872.187939814816</v>
      </c>
      <c r="F16" s="13">
        <v>42872.195347222223</v>
      </c>
      <c r="G16" s="7">
        <v>1</v>
      </c>
      <c r="H16" s="21" t="s">
        <v>357</v>
      </c>
      <c r="I16" s="13">
        <v>42872.222060185188</v>
      </c>
      <c r="J16" s="7">
        <v>1</v>
      </c>
      <c r="K16" s="92" t="str">
        <f>IF(ISEVEN(B16),(B16-1)&amp;"/"&amp;B16,B16&amp;"/"&amp;(B16+1))</f>
        <v>4011/4012</v>
      </c>
      <c r="L16" s="21" t="str">
        <f>VLOOKUP(A16,'Trips&amp;Operators'!$C$1:$G$99999,5,FALSE)</f>
        <v>MAELZER KURT</v>
      </c>
      <c r="M16" s="6">
        <f>I16-F16</f>
        <v>2.6712962964666076E-2</v>
      </c>
      <c r="N16" s="7">
        <f>24*60*SUM($M16:$M16)</f>
        <v>38.466666669119149</v>
      </c>
      <c r="O16" s="7"/>
      <c r="P16" s="7"/>
      <c r="Q16" s="22"/>
      <c r="R16" s="190"/>
      <c r="S16" s="196">
        <f>SUM(U16:U16)/IF(AG16="EC",12,1)</f>
        <v>1</v>
      </c>
      <c r="T16" s="190" t="str">
        <f>IF(ISEVEN(LEFT(AD16,4)),"Southbound","NorthBound")</f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-05-17T03:30:38-0600',mode:absolute,to:'2017-05-17T06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192" t="str">
        <f>IF(AA16&lt;IF(AG16="EC",23,5.65),"Y","N")</f>
        <v>N</v>
      </c>
      <c r="X16" s="192">
        <f>VALUE(LEFT(AD16,4))-VALUE(LEFT(AD15,4))</f>
        <v>1</v>
      </c>
      <c r="Y16" s="192">
        <f>RIGHT(D16,LEN(D16)-4)/10000</f>
        <v>23.269600000000001</v>
      </c>
      <c r="Z16" s="192">
        <f>RIGHT(H16,LEN(H16)-4)/10000</f>
        <v>1.49E-2</v>
      </c>
      <c r="AA16" s="192">
        <f>ABS(Z16-Y16)</f>
        <v>23.2547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>IF(LEN(A16)=6,"0"&amp;A16,A16)</f>
        <v>0104-17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s3://rtdc.mdm.uploadarchive.raw/RTDC4011/ "%USERPROFILE%\AppData\Local\Temp\OnboardLogs"\RTDC4011\2017-05-17 --exclude "*" --recursive --include "*20170517*" &amp; "%USERPROFILE%\Documents\GitHub\mrs-test-scripts\Headless Mode &amp; Sideloading\WalkAndUnGZ.bat" "%USERPROFILE%\AppData\Local\Temp\OnboardLogs"\RTDC4011\2017-05-17 &amp; 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/stypes="app*4011*20170517*" /stext=" 11:.+((SYSTEM_STATE.+slice.+state.+changed )|(ment ac)|(multiple cpu faults)|(system.+state.+changed )|(\[timeout)|(PRM\|1\|D)|(kpr)|(kdp)|(train st.+moving)|(\|lc)|(penalty))"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104-17 --locoid 4011 --swversion DE.1.0.9.0 --startMP 204:232696 --initTime 2017-05-17T04:30:38 --startdatetime 2017-05-17T04:41:18 --delay 1 --endMP 204:149 --enddatetime 2017-05-17T05:19:46 --enforcementcount 1 &gt;&gt;C:\Users\stu\Documents\GitHub\eaglep3-reporting\EC\2017-05-17-refined-times.txt</v>
      </c>
      <c r="AI16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{"issue":{"subject":"","project_id":79,"tracker_id":40,"status_id":1,"priority_id":2,"assigned_to_id":23,"start_date":"2017-05-17","description":"","custom_fields":[{"id":1,"name":"Subdivision","value":"EC"},{"id":4,"name":"Milepost","value":"0.0149"},{"id":17,"name":"Train ID","value":"104-17"},{"id":16,"name":"Locomotive ID","value":"4011"},{"id":130,"name":"Impact","value":""},{"id":150,"name":"Time of Event (Mountain Time)","value":"05:19:46"},{"id":151,"name":"Denver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4011 --day 2017-05-17</v>
      </c>
      <c r="AN16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11:19:46"},{"id":29,"name":"Sharepoint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626</v>
      </c>
      <c r="B17" s="7">
        <v>4024</v>
      </c>
      <c r="C17" s="21" t="s">
        <v>206</v>
      </c>
      <c r="D17" s="21" t="s">
        <v>838</v>
      </c>
      <c r="E17" s="13">
        <v>42872.171122685184</v>
      </c>
      <c r="F17" s="13">
        <v>42872.17728009259</v>
      </c>
      <c r="G17" s="7">
        <v>2</v>
      </c>
      <c r="H17" s="21" t="s">
        <v>542</v>
      </c>
      <c r="I17" s="13">
        <v>42872.202256944445</v>
      </c>
      <c r="J17" s="7">
        <v>1</v>
      </c>
      <c r="K17" s="92" t="str">
        <f>IF(ISEVEN(B17),(B17-1)&amp;"/"&amp;B17,B17&amp;"/"&amp;(B17+1))</f>
        <v>4023/4024</v>
      </c>
      <c r="L17" s="21" t="str">
        <f>VLOOKUP(A17,'Trips&amp;Operators'!$C$1:$G$99999,5,FALSE)</f>
        <v>GEBRETEKLE DAGNEW</v>
      </c>
      <c r="M17" s="6">
        <f>I17-F17</f>
        <v>2.4976851855171844E-2</v>
      </c>
      <c r="N17" s="7">
        <f>24*60*SUM($M17:$M17)</f>
        <v>35.966666671447456</v>
      </c>
      <c r="O17" s="7"/>
      <c r="P17" s="7"/>
      <c r="Q17" s="22"/>
      <c r="R17" s="190"/>
      <c r="S17" s="196">
        <f>SUM(U17:U17)/IF(AG17="EC",12,1)</f>
        <v>1</v>
      </c>
      <c r="T17" s="190" t="str">
        <f>IF(ISEVEN(LEFT(AD17,4)),"Southbound","NorthBound")</f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-05-17T03:06:25-0600',mode:absolute,to:'2017-05-17T05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" s="192" t="str">
        <f>IF(AA17&lt;IF(AG17="EC",23,5.65),"Y","N")</f>
        <v>N</v>
      </c>
      <c r="X17" s="192">
        <f>VALUE(LEFT(AD17,4))-VALUE(LEFT(AD16,4))</f>
        <v>1</v>
      </c>
      <c r="Y17" s="192">
        <f>RIGHT(D17,LEN(D17)-4)/10000</f>
        <v>7.6300000000000007E-2</v>
      </c>
      <c r="Z17" s="192">
        <f>RIGHT(H17,LEN(H17)-4)/10000</f>
        <v>23.332899999999999</v>
      </c>
      <c r="AA17" s="192">
        <f>ABS(Z17-Y17)</f>
        <v>23.256599999999999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>IF(LEN(A17)=6,"0"&amp;A17,A17)</f>
        <v>0105-17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/stypes="app*4024*20170517*" /stext=" 10:.+((SYSTEM_STATE.+slice.+state.+changed )|(ment ac)|(multiple cpu faults)|(system.+state.+changed )|(\[timeout)|(PRM\|1\|D)|(kpr)|(kdp)|(train st.+moving)|(\|lc)|(penalty))"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si="4"/>
        <v>"%USERPROFILE%\Documents\GitHub\eaglep3\Utilities\RefineRTDCRunTimes.py" --tripid 105-17 --locoid 4024 --swversion DE.1.0.9.0 --startMP 204:763 --initTime 2017-05-17T04:06:25 --startdatetime 2017-05-17T04:15:17 --delay 2 --endMP 204:233329 --enddatetime 2017-05-17T04:51:15 --enforcementcount 1 &gt;&gt;C:\Users\stu\Documents\GitHub\eaglep3-reporting\EC\2017-05-17-refined-times.txt</v>
      </c>
      <c r="AI17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{"issue":{"subject":"","project_id":79,"tracker_id":40,"status_id":1,"priority_id":2,"assigned_to_id":23,"start_date":"2017-05-17","description":"","custom_fields":[{"id":1,"name":"Subdivision","value":"EC"},{"id":4,"name":"Milepost","value":"23.3329"},{"id":17,"name":"Train ID","value":"105-17"},{"id":16,"name":"Locomotive ID","value":"4024"},{"id":130,"name":"Impact","value":""},{"id":150,"name":"Time of Event (Mountain Time)","value":"04:51:15"},{"id":151,"name":"Denver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6"/>
        <v>start /low /b %USERPROFILE%\Documents\GitHub\eaglep3\Utilities\DownloadLogsFromS3.py --loco 4024 --day 2017-05-17</v>
      </c>
      <c r="AN17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637</v>
      </c>
      <c r="B18" s="7">
        <v>4031</v>
      </c>
      <c r="C18" s="21" t="s">
        <v>206</v>
      </c>
      <c r="D18" s="21" t="s">
        <v>839</v>
      </c>
      <c r="E18" s="13">
        <v>42872.213530092595</v>
      </c>
      <c r="F18" s="13">
        <v>42872.216168981482</v>
      </c>
      <c r="G18" s="7">
        <v>2</v>
      </c>
      <c r="H18" s="21" t="s">
        <v>457</v>
      </c>
      <c r="I18" s="13">
        <v>42872.2424537037</v>
      </c>
      <c r="J18" s="7">
        <v>1</v>
      </c>
      <c r="K18" s="92" t="str">
        <f>IF(ISEVEN(B18),(B18-1)&amp;"/"&amp;B18,B18&amp;"/"&amp;(B18+1))</f>
        <v>4031/4032</v>
      </c>
      <c r="L18" s="21" t="str">
        <f>VLOOKUP(A18,'Trips&amp;Operators'!$C$1:$G$99999,5,FALSE)</f>
        <v>GEBRETEKLE DAGNEW</v>
      </c>
      <c r="M18" s="6">
        <f>I18-F18</f>
        <v>2.6284722218406387E-2</v>
      </c>
      <c r="N18" s="7">
        <f>24*60*SUM($M18:$M18)</f>
        <v>37.849999994505197</v>
      </c>
      <c r="O18" s="7"/>
      <c r="P18" s="7"/>
      <c r="Q18" s="22"/>
      <c r="R18" s="190"/>
      <c r="S18" s="196">
        <f>SUM(U18:U18)/IF(AG18="EC",12,1)</f>
        <v>1</v>
      </c>
      <c r="T18" s="190" t="str">
        <f>IF(ISEVEN(LEFT(AD18,4)),"Southbound","NorthBound")</f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-05-17T04:07:29-0600',mode:absolute,to:'2017-05-17T06:49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192" t="str">
        <f>IF(AA18&lt;IF(AG18="EC",23,5.65),"Y","N")</f>
        <v>N</v>
      </c>
      <c r="X18" s="192">
        <f>VALUE(LEFT(AD18,4))-VALUE(LEFT(AD17,4))</f>
        <v>1</v>
      </c>
      <c r="Y18" s="192">
        <f>RIGHT(D18,LEN(D18)-4)/10000</f>
        <v>23.2685</v>
      </c>
      <c r="Z18" s="192">
        <f>RIGHT(H18,LEN(H18)-4)/10000</f>
        <v>1.32E-2</v>
      </c>
      <c r="AA18" s="192">
        <f>ABS(Z18-Y18)</f>
        <v>23.255299999999998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>IF(LEN(A18)=6,"0"&amp;A18,A18)</f>
        <v>0106-17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s3://rtdc.mdm.uploadarchive.raw/RTDC4031/ "%USERPROFILE%\AppData\Local\Temp\OnboardLogs"\RTDC4031\2017-05-17 --exclude "*" --recursive --include "*20170517*" &amp; "%USERPROFILE%\Documents\GitHub\mrs-test-scripts\Headless Mode &amp; Sideloading\WalkAndUnGZ.bat" "%USERPROFILE%\AppData\Local\Temp\OnboardLogs"\RTDC4031\2017-05-17 &amp; aws s3 cp s3://rtdc.mdm.uploadarchive.raw/RTDC4031/ "%USERPROFILE%\AppData\Local\Temp\OnboardLogs"\RTDC4031\2017-05-18 --exclude "*" --recursive --include "*20170518*" &amp; "%USERPROFILE%\Documents\GitHub\mrs-test-scripts\Headless Mode &amp; Sideloading\WalkAndUnGZ.bat" "%USERPROFILE%\AppData\Local\Temp\OnboardLogs"\RTDC4031\2017-05-18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/stypes="app*4031*20170517*" /stext=" 11:.+((SYSTEM_STATE.+slice.+state.+changed )|(ment ac)|(multiple cpu faults)|(system.+state.+changed )|(\[timeout)|(PRM\|1\|D)|(kpr)|(kdp)|(train st.+moving)|(\|lc)|(penalty))"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106-17 --locoid 4031 --swversion DE.1.0.9.0 --startMP 204:232685 --initTime 2017-05-17T05:07:29 --startdatetime 2017-05-17T05:11:17 --delay 2 --endMP 204:132 --enddatetime 2017-05-17T05:49:08 --enforcementcount 1 &gt;&gt;C:\Users\stu\Documents\GitHub\eaglep3-reporting\EC\2017-05-17-refined-times.txt</v>
      </c>
      <c r="AI18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{"issue":{"subject":"","project_id":79,"tracker_id":40,"status_id":1,"priority_id":2,"assigned_to_id":23,"start_date":"2017-05-17","description":"","custom_fields":[{"id":1,"name":"Subdivision","value":"EC"},{"id":4,"name":"Milepost","value":"0.0132"},{"id":17,"name":"Train ID","value":"106-17"},{"id":16,"name":"Locomotive ID","value":"4031"},{"id":130,"name":"Impact","value":""},{"id":150,"name":"Time of Event (Mountain Time)","value":"05:49:08"},{"id":151,"name":"Denver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4031 --day 2017-05-17</v>
      </c>
      <c r="AN18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11:49:08"},{"id":29,"name":"Sharepoint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628</v>
      </c>
      <c r="B19" s="7">
        <v>4040</v>
      </c>
      <c r="C19" s="21" t="s">
        <v>206</v>
      </c>
      <c r="D19" s="21" t="s">
        <v>203</v>
      </c>
      <c r="E19" s="13">
        <v>42872.181689814817</v>
      </c>
      <c r="F19" s="13">
        <v>42872.187685185185</v>
      </c>
      <c r="G19" s="7">
        <v>1</v>
      </c>
      <c r="H19" s="21" t="s">
        <v>449</v>
      </c>
      <c r="I19" s="13">
        <v>42872.213310185187</v>
      </c>
      <c r="J19" s="7">
        <v>1</v>
      </c>
      <c r="K19" s="92" t="str">
        <f>IF(ISEVEN(B19),(B19-1)&amp;"/"&amp;B19,B19&amp;"/"&amp;(B19+1))</f>
        <v>4039/4040</v>
      </c>
      <c r="L19" s="21" t="str">
        <f>VLOOKUP(A19,'Trips&amp;Operators'!$C$1:$G$99999,5,FALSE)</f>
        <v>BONDS REYNALDO</v>
      </c>
      <c r="M19" s="6">
        <f>I19-F19</f>
        <v>2.5625000002037268E-2</v>
      </c>
      <c r="N19" s="7">
        <f>24*60*SUM($M19:$M19)</f>
        <v>36.900000002933666</v>
      </c>
      <c r="O19" s="7"/>
      <c r="P19" s="7"/>
      <c r="Q19" s="22"/>
      <c r="R19" s="190"/>
      <c r="S19" s="196">
        <f>SUM(U19:U19)/IF(AG19="EC",12,1)</f>
        <v>1</v>
      </c>
      <c r="T19" s="190" t="str">
        <f>IF(ISEVEN(LEFT(AD19,4)),"Southbound","NorthBound")</f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-05-17T03:21:38-0600',mode:absolute,to:'2017-05-17T06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192" t="str">
        <f>IF(AA19&lt;IF(AG19="EC",23,5.65),"Y","N")</f>
        <v>N</v>
      </c>
      <c r="X19" s="192">
        <f>VALUE(LEFT(AD19,4))-VALUE(LEFT(AD18,4))</f>
        <v>1</v>
      </c>
      <c r="Y19" s="192">
        <f>RIGHT(D19,LEN(D19)-4)/10000</f>
        <v>4.5999999999999999E-2</v>
      </c>
      <c r="Z19" s="192">
        <f>RIGHT(H19,LEN(H19)-4)/10000</f>
        <v>23.330500000000001</v>
      </c>
      <c r="AA19" s="192">
        <f>ABS(Z19-Y19)</f>
        <v>23.284500000000001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0107-17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 &amp; 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/stypes="app*4040*20170517*" /stext=" 11:.+((SYSTEM_STATE.+slice.+state.+changed )|(ment ac)|(multiple cpu faults)|(system.+state.+changed )|(\[timeout)|(PRM\|1\|D)|(kpr)|(kdp)|(train st.+moving)|(\|lc)|(penalty))"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107-17 --locoid 4040 --swversion DE.1.0.9.0 --startMP 204:460 --initTime 2017-05-17T04:21:38 --startdatetime 2017-05-17T04:30:16 --delay 1 --endMP 204:233305 --enddatetime 2017-05-17T05:07:10 --enforcementcount 1 &gt;&gt;C:\Users\stu\Documents\GitHub\eaglep3-reporting\EC\2017-05-17-refined-times.txt</v>
      </c>
      <c r="AI19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{"issue":{"subject":"","project_id":79,"tracker_id":40,"status_id":1,"priority_id":2,"assigned_to_id":23,"start_date":"2017-05-17","description":"","custom_fields":[{"id":1,"name":"Subdivision","value":"EC"},{"id":4,"name":"Milepost","value":"23.3305"},{"id":17,"name":"Train ID","value":"107-17"},{"id":16,"name":"Locomotive ID","value":"4040"},{"id":130,"name":"Impact","value":""},{"id":150,"name":"Time of Event (Mountain Time)","value":"05:07:10"},{"id":151,"name":"Denver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4040 --day 2017-05-17</v>
      </c>
      <c r="AN19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638</v>
      </c>
      <c r="B20" s="7">
        <v>4039</v>
      </c>
      <c r="C20" s="21" t="s">
        <v>206</v>
      </c>
      <c r="D20" s="21" t="s">
        <v>472</v>
      </c>
      <c r="E20" s="13">
        <v>42872.218425925923</v>
      </c>
      <c r="F20" s="13">
        <v>42872.2265625</v>
      </c>
      <c r="G20" s="7">
        <v>1</v>
      </c>
      <c r="H20" s="21" t="s">
        <v>356</v>
      </c>
      <c r="I20" s="13">
        <v>42872.253842592596</v>
      </c>
      <c r="J20" s="7">
        <v>1</v>
      </c>
      <c r="K20" s="92" t="str">
        <f>IF(ISEVEN(B20),(B20-1)&amp;"/"&amp;B20,B20&amp;"/"&amp;(B20+1))</f>
        <v>4039/4040</v>
      </c>
      <c r="L20" s="21" t="str">
        <f>VLOOKUP(A20,'Trips&amp;Operators'!$C$1:$G$99999,5,FALSE)</f>
        <v>BONDS REYNALDO</v>
      </c>
      <c r="M20" s="6">
        <f>I20-F20</f>
        <v>2.7280092595901806E-2</v>
      </c>
      <c r="N20" s="7">
        <f>24*60*SUM($M20:$M20)</f>
        <v>39.283333338098601</v>
      </c>
      <c r="O20" s="7"/>
      <c r="P20" s="7"/>
      <c r="Q20" s="22"/>
      <c r="R20" s="190"/>
      <c r="S20" s="196">
        <f>SUM(U20:U20)/IF(AG20="EC",12,1)</f>
        <v>1</v>
      </c>
      <c r="T20" s="190" t="str">
        <f>IF(ISEVEN(LEFT(AD20,4)),"Southbound","NorthBound")</f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-05-17T04:14:32-0600',mode:absolute,to:'2017-05-17T07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192" t="str">
        <f>IF(AA20&lt;IF(AG20="EC",23,5.65),"Y","N")</f>
        <v>N</v>
      </c>
      <c r="X20" s="192">
        <f>VALUE(LEFT(AD20,4))-VALUE(LEFT(AD19,4))</f>
        <v>1</v>
      </c>
      <c r="Y20" s="192">
        <f>RIGHT(D20,LEN(D20)-4)/10000</f>
        <v>23.297699999999999</v>
      </c>
      <c r="Z20" s="192">
        <f>RIGHT(H20,LEN(H20)-4)/10000</f>
        <v>1.4999999999999999E-2</v>
      </c>
      <c r="AA20" s="192">
        <f>ABS(Z20-Y20)</f>
        <v>23.282699999999998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>IF(LEN(A20)=6,"0"&amp;A20,A20)</f>
        <v>0108-17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/stypes="app*4039*20170517*" /stext=" 12:.+((SYSTEM_STATE.+slice.+state.+changed )|(ment ac)|(multiple cpu faults)|(system.+state.+changed )|(\[timeout)|(PRM\|1\|D)|(kpr)|(kdp)|(train st.+moving)|(\|lc)|(penalty))"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108-17 --locoid 4039 --swversion DE.1.0.9.0 --startMP 204:232977 --initTime 2017-05-17T05:14:32 --startdatetime 2017-05-17T05:26:15 --delay 1 --endMP 204:150 --enddatetime 2017-05-17T06:05:32 --enforcementcount 1 &gt;&gt;C:\Users\stu\Documents\GitHub\eaglep3-reporting\EC\2017-05-17-refined-times.txt</v>
      </c>
      <c r="AI20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{"issue":{"subject":"","project_id":79,"tracker_id":40,"status_id":1,"priority_id":2,"assigned_to_id":23,"start_date":"2017-05-17","description":"","custom_fields":[{"id":1,"name":"Subdivision","value":"EC"},{"id":4,"name":"Milepost","value":"0.015"},{"id":17,"name":"Train ID","value":"108-17"},{"id":16,"name":"Locomotive ID","value":"4039"},{"id":130,"name":"Impact","value":""},{"id":150,"name":"Time of Event (Mountain Time)","value":"06:05:32"},{"id":151,"name":"Denver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4039 --day 2017-05-17</v>
      </c>
      <c r="AN20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630</v>
      </c>
      <c r="B21" s="7">
        <v>4046</v>
      </c>
      <c r="C21" s="21" t="s">
        <v>206</v>
      </c>
      <c r="D21" s="21" t="s">
        <v>362</v>
      </c>
      <c r="E21" s="13">
        <v>42872.193564814814</v>
      </c>
      <c r="F21" s="13">
        <v>42872.198078703703</v>
      </c>
      <c r="G21" s="7">
        <v>1</v>
      </c>
      <c r="H21" s="21" t="s">
        <v>840</v>
      </c>
      <c r="I21" s="13">
        <v>42872.223101851851</v>
      </c>
      <c r="J21" s="7">
        <v>1</v>
      </c>
      <c r="K21" s="92" t="str">
        <f>IF(ISEVEN(B21),(B21-1)&amp;"/"&amp;B21,B21&amp;"/"&amp;(B21+1))</f>
        <v>4045/4046</v>
      </c>
      <c r="L21" s="21" t="str">
        <f>VLOOKUP(A21,'Trips&amp;Operators'!$C$1:$G$99999,5,FALSE)</f>
        <v>SANTIZO D. EDY</v>
      </c>
      <c r="M21" s="6">
        <f>I21-F21</f>
        <v>2.5023148147738539E-2</v>
      </c>
      <c r="N21" s="7">
        <f>24*60*SUM($M21:$M21)</f>
        <v>36.033333332743496</v>
      </c>
      <c r="O21" s="7"/>
      <c r="P21" s="7"/>
      <c r="Q21" s="22"/>
      <c r="R21" s="190"/>
      <c r="S21" s="196">
        <f>SUM(U21:U21)/IF(AG21="EC",12,1)</f>
        <v>1</v>
      </c>
      <c r="T21" s="190" t="str">
        <f>IF(ISEVEN(LEFT(AD21,4)),"Southbound","NorthBound")</f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-05-17T03:38:44-0600',mode:absolute,to:'2017-05-17T06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192" t="str">
        <f>IF(AA21&lt;IF(AG21="EC",23,5.65),"Y","N")</f>
        <v>N</v>
      </c>
      <c r="X21" s="192">
        <f>VALUE(LEFT(AD21,4))-VALUE(LEFT(AD20,4))</f>
        <v>1</v>
      </c>
      <c r="Y21" s="192">
        <f>RIGHT(D21,LEN(D21)-4)/10000</f>
        <v>4.6399999999999997E-2</v>
      </c>
      <c r="Z21" s="192">
        <f>RIGHT(H21,LEN(H21)-4)/10000</f>
        <v>23.328299999999999</v>
      </c>
      <c r="AA21" s="192">
        <f>ABS(Z21-Y21)</f>
        <v>23.2819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0109-17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s3://rtdc.mdm.uploadarchive.raw/RTDC4046/ "%USERPROFILE%\AppData\Local\Temp\OnboardLogs"\RTDC4046\2017-05-17 --exclude "*" --recursive --include "*20170517*" &amp; "%USERPROFILE%\Documents\GitHub\mrs-test-scripts\Headless Mode &amp; Sideloading\WalkAndUnGZ.bat" "%USERPROFILE%\AppData\Local\Temp\OnboardLogs"\RTDC4046\2017-05-17 &amp; aws s3 cp s3://rtdc.mdm.uploadarchive.raw/RTDC4046/ "%USERPROFILE%\AppData\Local\Temp\OnboardLogs"\RTDC4046\2017-05-18 --exclude "*" --recursive --include "*20170518*" &amp; "%USERPROFILE%\Documents\GitHub\mrs-test-scripts\Headless Mode &amp; Sideloading\WalkAndUnGZ.bat" "%USERPROFILE%\AppData\Local\Temp\OnboardLogs"\RTDC4046\2017-05-18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/stypes="app*4046*20170517*" /stext=" 11:.+((SYSTEM_STATE.+slice.+state.+changed )|(ment ac)|(multiple cpu faults)|(system.+state.+changed )|(\[timeout)|(PRM\|1\|D)|(kpr)|(kdp)|(train st.+moving)|(\|lc)|(penalty))"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109-17 --locoid 4046 --swversion DE.1.0.9.0 --startMP 204:464 --initTime 2017-05-17T04:38:44 --startdatetime 2017-05-17T04:45:14 --delay 1 --endMP 204:233283 --enddatetime 2017-05-17T05:21:16 --enforcementcount 1 &gt;&gt;C:\Users\stu\Documents\GitHub\eaglep3-reporting\EC\2017-05-17-refined-times.txt</v>
      </c>
      <c r="AI21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{"issue":{"subject":"","project_id":79,"tracker_id":40,"status_id":1,"priority_id":2,"assigned_to_id":23,"start_date":"2017-05-17","description":"","custom_fields":[{"id":1,"name":"Subdivision","value":"EC"},{"id":4,"name":"Milepost","value":"23.3283"},{"id":17,"name":"Train ID","value":"109-17"},{"id":16,"name":"Locomotive ID","value":"4046"},{"id":130,"name":"Impact","value":""},{"id":150,"name":"Time of Event (Mountain Time)","value":"05:21:16"},{"id":151,"name":"Denver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4046 --day 2017-05-17</v>
      </c>
      <c r="AN21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11:21:16"},{"id":29,"name":"Sharepoint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583</v>
      </c>
      <c r="B22" s="7">
        <v>4045</v>
      </c>
      <c r="C22" s="21" t="s">
        <v>206</v>
      </c>
      <c r="D22" s="21" t="s">
        <v>841</v>
      </c>
      <c r="E22" s="13">
        <v>42872.224143518521</v>
      </c>
      <c r="F22" s="13">
        <v>42872.237025462964</v>
      </c>
      <c r="G22" s="7">
        <v>1</v>
      </c>
      <c r="H22" s="21" t="s">
        <v>357</v>
      </c>
      <c r="I22" s="13">
        <v>42872.263356481482</v>
      </c>
      <c r="J22" s="7">
        <v>1</v>
      </c>
      <c r="K22" s="92" t="str">
        <f>IF(ISEVEN(B22),(B22-1)&amp;"/"&amp;B22,B22&amp;"/"&amp;(B22+1))</f>
        <v>4045/4046</v>
      </c>
      <c r="L22" s="21" t="str">
        <f>VLOOKUP(A22,'Trips&amp;Operators'!$C$1:$G$99999,5,FALSE)</f>
        <v>SANTIZO D. EDY</v>
      </c>
      <c r="M22" s="6">
        <f>I22-F22</f>
        <v>2.6331018518249039E-2</v>
      </c>
      <c r="N22" s="7">
        <f>24*60*SUM($M22:$M22)</f>
        <v>37.916666666278616</v>
      </c>
      <c r="O22" s="7"/>
      <c r="P22" s="7"/>
      <c r="Q22" s="22"/>
      <c r="R22" s="190"/>
      <c r="S22" s="196">
        <f>SUM(U22:U22)/IF(AG22="EC",12,1)</f>
        <v>1</v>
      </c>
      <c r="T22" s="190" t="str">
        <f>IF(ISEVEN(LEFT(AD22,4)),"Southbound","NorthBound")</f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-05-17T04:22:46-0600',mode:absolute,to:'2017-05-17T07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192" t="str">
        <f>IF(AA22&lt;IF(AG22="EC",23,5.65),"Y","N")</f>
        <v>N</v>
      </c>
      <c r="X22" s="192">
        <f>VALUE(LEFT(AD22,4))-VALUE(LEFT(AD21,4))</f>
        <v>1</v>
      </c>
      <c r="Y22" s="192">
        <f>RIGHT(D22,LEN(D22)-4)/10000</f>
        <v>23.296399999999998</v>
      </c>
      <c r="Z22" s="192">
        <f>RIGHT(H22,LEN(H22)-4)/10000</f>
        <v>1.49E-2</v>
      </c>
      <c r="AA22" s="192">
        <f>ABS(Z22-Y22)</f>
        <v>23.281499999999998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>IF(LEN(A22)=6,"0"&amp;A22,A22)</f>
        <v>0110-17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s3://rtdc.mdm.uploadarchive.raw/RTDC4045/ "%USERPROFILE%\AppData\Local\Temp\OnboardLogs"\RTDC4045\2017-05-17 --exclude "*" --recursive --include "*20170517*" &amp; "%USERPROFILE%\Documents\GitHub\mrs-test-scripts\Headless Mode &amp; Sideloading\WalkAndUnGZ.bat" "%USERPROFILE%\AppData\Local\Temp\OnboardLogs"\RTDC4045\2017-05-17 &amp; aws s3 cp s3://rtdc.mdm.uploadarchive.raw/RTDC4045/ "%USERPROFILE%\AppData\Local\Temp\OnboardLogs"\RTDC4045\2017-05-18 --exclude "*" --recursive --include "*20170518*" &amp; "%USERPROFILE%\Documents\GitHub\mrs-test-scripts\Headless Mode &amp; Sideloading\WalkAndUnGZ.bat" "%USERPROFILE%\AppData\Local\Temp\OnboardLogs"\RTDC4045\2017-05-18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/stypes="app*4045*20170517*" /stext=" 12:.+((SYSTEM_STATE.+slice.+state.+changed )|(ment ac)|(multiple cpu faults)|(system.+state.+changed )|(\[timeout)|(PRM\|1\|D)|(kpr)|(kdp)|(train st.+moving)|(\|lc)|(penalty))"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110-17 --locoid 4045 --swversion DE.1.0.9.0 --startMP 204:232964 --initTime 2017-05-17T05:22:46 --startdatetime 2017-05-17T05:41:19 --delay 1 --endMP 204:149 --enddatetime 2017-05-17T06:19:14 --enforcementcount 1 &gt;&gt;C:\Users\stu\Documents\GitHub\eaglep3-reporting\EC\2017-05-17-refined-times.txt</v>
      </c>
      <c r="AI22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{"issue":{"subject":"","project_id":79,"tracker_id":40,"status_id":1,"priority_id":2,"assigned_to_id":23,"start_date":"2017-05-17","description":"","custom_fields":[{"id":1,"name":"Subdivision","value":"EC"},{"id":4,"name":"Milepost","value":"0.0149"},{"id":17,"name":"Train ID","value":"110-17"},{"id":16,"name":"Locomotive ID","value":"4045"},{"id":130,"name":"Impact","value":""},{"id":150,"name":"Time of Event (Mountain Time)","value":"06:19:14"},{"id":151,"name":"Denver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4045 --day 2017-05-17</v>
      </c>
      <c r="AN22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634</v>
      </c>
      <c r="B23" s="7">
        <v>4016</v>
      </c>
      <c r="C23" s="21" t="s">
        <v>206</v>
      </c>
      <c r="D23" s="21" t="s">
        <v>842</v>
      </c>
      <c r="E23" s="13">
        <v>42872.205405092594</v>
      </c>
      <c r="F23" s="13">
        <v>42872.208611111113</v>
      </c>
      <c r="G23" s="7">
        <v>1</v>
      </c>
      <c r="H23" s="21" t="s">
        <v>843</v>
      </c>
      <c r="I23" s="13">
        <v>42872.232812499999</v>
      </c>
      <c r="J23" s="7">
        <v>1</v>
      </c>
      <c r="K23" s="92" t="str">
        <f>IF(ISEVEN(B23),(B23-1)&amp;"/"&amp;B23,B23&amp;"/"&amp;(B23+1))</f>
        <v>4015/4016</v>
      </c>
      <c r="L23" s="21" t="str">
        <f>VLOOKUP(A23,'Trips&amp;Operators'!$C$1:$G$99999,5,FALSE)</f>
        <v>ROCHA YAOTL</v>
      </c>
      <c r="M23" s="6">
        <f>I23-F23</f>
        <v>2.4201388885558117E-2</v>
      </c>
      <c r="N23" s="7">
        <f>24*60*SUM($M23:$M23)</f>
        <v>34.849999995203689</v>
      </c>
      <c r="O23" s="7"/>
      <c r="P23" s="7"/>
      <c r="Q23" s="22"/>
      <c r="R23" s="190"/>
      <c r="S23" s="196">
        <f>SUM(U23:U23)/IF(AG23="EC",12,1)</f>
        <v>1</v>
      </c>
      <c r="T23" s="190" t="str">
        <f>IF(ISEVEN(LEFT(AD23,4)),"Southbound","NorthBound")</f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-05-17T03:55:47-0600',mode:absolute,to:'2017-05-17T06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192" t="str">
        <f>IF(AA23&lt;IF(AG23="EC",23,5.65),"Y","N")</f>
        <v>N</v>
      </c>
      <c r="X23" s="192">
        <f>VALUE(LEFT(AD23,4))-VALUE(LEFT(AD22,4))</f>
        <v>1</v>
      </c>
      <c r="Y23" s="192">
        <f>RIGHT(D23,LEN(D23)-4)/10000</f>
        <v>7.7899999999999997E-2</v>
      </c>
      <c r="Z23" s="192">
        <f>RIGHT(H23,LEN(H23)-4)/10000</f>
        <v>23.329899999999999</v>
      </c>
      <c r="AA23" s="192">
        <f>ABS(Z23-Y23)</f>
        <v>23.251999999999999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0111-17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/stypes="app*4016*20170517*" /stext=" 11:.+((SYSTEM_STATE.+slice.+state.+changed )|(ment ac)|(multiple cpu faults)|(system.+state.+changed )|(\[timeout)|(PRM\|1\|D)|(kpr)|(kdp)|(train st.+moving)|(\|lc)|(penalty))"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111-17 --locoid 4016 --swversion DE.1.0.9.0 --startMP 204:779 --initTime 2017-05-17T04:55:47 --startdatetime 2017-05-17T05:00:24 --delay 1 --endMP 204:233299 --enddatetime 2017-05-17T05:35:15 --enforcementcount 1 &gt;&gt;C:\Users\stu\Documents\GitHub\eaglep3-reporting\EC\2017-05-17-refined-times.txt</v>
      </c>
      <c r="AI23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{"issue":{"subject":"","project_id":79,"tracker_id":40,"status_id":1,"priority_id":2,"assigned_to_id":23,"start_date":"2017-05-17","description":"","custom_fields":[{"id":1,"name":"Subdivision","value":"EC"},{"id":4,"name":"Milepost","value":"23.3299"},{"id":17,"name":"Train ID","value":"111-17"},{"id":16,"name":"Locomotive ID","value":"4016"},{"id":130,"name":"Impact","value":""},{"id":150,"name":"Time of Event (Mountain Time)","value":"05:35:15"},{"id":151,"name":"Denver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4016 --day 2017-05-17</v>
      </c>
      <c r="AN23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11:35:15"},{"id":29,"name":"Sharepoint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642</v>
      </c>
      <c r="B24" s="7">
        <v>4015</v>
      </c>
      <c r="C24" s="21" t="s">
        <v>206</v>
      </c>
      <c r="D24" s="21" t="s">
        <v>451</v>
      </c>
      <c r="E24" s="13">
        <v>42872.245405092595</v>
      </c>
      <c r="F24" s="13">
        <v>42872.247395833336</v>
      </c>
      <c r="G24" s="7">
        <v>1</v>
      </c>
      <c r="H24" s="21" t="s">
        <v>197</v>
      </c>
      <c r="I24" s="13">
        <v>42872.273101851853</v>
      </c>
      <c r="J24" s="7">
        <v>1</v>
      </c>
      <c r="K24" s="92" t="str">
        <f>IF(ISEVEN(B24),(B24-1)&amp;"/"&amp;B24,B24&amp;"/"&amp;(B24+1))</f>
        <v>4015/4016</v>
      </c>
      <c r="L24" s="21" t="str">
        <f>VLOOKUP(A24,'Trips&amp;Operators'!$C$1:$G$99999,5,FALSE)</f>
        <v>ROCHA YAOTL</v>
      </c>
      <c r="M24" s="6">
        <f>I24-F24</f>
        <v>2.5706018517666962E-2</v>
      </c>
      <c r="N24" s="7">
        <f>24*60*SUM($M24:$M24)</f>
        <v>37.016666665440425</v>
      </c>
      <c r="O24" s="7"/>
      <c r="P24" s="7"/>
      <c r="Q24" s="22"/>
      <c r="R24" s="190"/>
      <c r="S24" s="196">
        <f>SUM(U24:U24)/IF(AG24="EC",12,1)</f>
        <v>1</v>
      </c>
      <c r="T24" s="190" t="str">
        <f>IF(ISEVEN(LEFT(AD24,4)),"Southbound","NorthBound")</f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-05-17T04:53:23-0600',mode:absolute,to:'2017-05-17T07:33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192" t="str">
        <f>IF(AA24&lt;IF(AG24="EC",23,5.65),"Y","N")</f>
        <v>N</v>
      </c>
      <c r="X24" s="192">
        <f>VALUE(LEFT(AD24,4))-VALUE(LEFT(AD23,4))</f>
        <v>1</v>
      </c>
      <c r="Y24" s="192">
        <f>RIGHT(D24,LEN(D24)-4)/10000</f>
        <v>23.297499999999999</v>
      </c>
      <c r="Z24" s="192">
        <f>RIGHT(H24,LEN(H24)-4)/10000</f>
        <v>1.52E-2</v>
      </c>
      <c r="AA24" s="192">
        <f>ABS(Z24-Y24)</f>
        <v>23.282299999999999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>IF(LEN(A24)=6,"0"&amp;A24,A24)</f>
        <v>0112-17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s3://rtdc.mdm.uploadarchive.raw/RTDC4015/ "%USERPROFILE%\AppData\Local\Temp\OnboardLogs"\RTDC4015\2017-05-17 --exclude "*" --recursive --include "*20170517*" &amp; "%USERPROFILE%\Documents\GitHub\mrs-test-scripts\Headless Mode &amp; Sideloading\WalkAndUnGZ.bat" "%USERPROFILE%\AppData\Local\Temp\OnboardLogs"\RTDC4015\2017-05-17 &amp; aws s3 cp s3://rtdc.mdm.uploadarchive.raw/RTDC4015/ "%USERPROFILE%\AppData\Local\Temp\OnboardLogs"\RTDC4015\2017-05-18 --exclude "*" --recursive --include "*20170518*" &amp; "%USERPROFILE%\Documents\GitHub\mrs-test-scripts\Headless Mode &amp; Sideloading\WalkAndUnGZ.bat" "%USERPROFILE%\AppData\Local\Temp\OnboardLogs"\RTDC4015\2017-05-18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/stypes="app*4015*20170517*" /stext=" 12:.+((SYSTEM_STATE.+slice.+state.+changed )|(ment ac)|(multiple cpu faults)|(system.+state.+changed )|(\[timeout)|(PRM\|1\|D)|(kpr)|(kdp)|(train st.+moving)|(\|lc)|(penalty))"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112-17 --locoid 4015 --swversion DE.1.0.9.0 --startMP 204:232975 --initTime 2017-05-17T05:53:23 --startdatetime 2017-05-17T05:56:15 --delay 1 --endMP 204:152 --enddatetime 2017-05-17T06:33:16 --enforcementcount 1 &gt;&gt;C:\Users\stu\Documents\GitHub\eaglep3-reporting\EC\2017-05-17-refined-times.txt</v>
      </c>
      <c r="AI24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{"issue":{"subject":"","project_id":79,"tracker_id":40,"status_id":1,"priority_id":2,"assigned_to_id":23,"start_date":"2017-05-17","description":"","custom_fields":[{"id":1,"name":"Subdivision","value":"EC"},{"id":4,"name":"Milepost","value":"0.0152"},{"id":17,"name":"Train ID","value":"112-17"},{"id":16,"name":"Locomotive ID","value":"4015"},{"id":130,"name":"Impact","value":""},{"id":150,"name":"Time of Event (Mountain Time)","value":"06:33:16"},{"id":151,"name":"Denver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4015 --day 2017-05-17</v>
      </c>
      <c r="AN24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635</v>
      </c>
      <c r="B25" s="7">
        <v>4030</v>
      </c>
      <c r="C25" s="21" t="s">
        <v>206</v>
      </c>
      <c r="D25" s="21" t="s">
        <v>844</v>
      </c>
      <c r="E25" s="13">
        <v>42872.208668981482</v>
      </c>
      <c r="F25" s="13">
        <v>42872.218923611108</v>
      </c>
      <c r="G25" s="7">
        <v>2</v>
      </c>
      <c r="H25" s="21" t="s">
        <v>845</v>
      </c>
      <c r="I25" s="13">
        <v>42872.244490740741</v>
      </c>
      <c r="J25" s="7">
        <v>1</v>
      </c>
      <c r="K25" s="92" t="str">
        <f>IF(ISEVEN(B25),(B25-1)&amp;"/"&amp;B25,B25&amp;"/"&amp;(B25+1))</f>
        <v>4029/4030</v>
      </c>
      <c r="L25" s="21" t="str">
        <f>VLOOKUP(A25,'Trips&amp;Operators'!$C$1:$G$99999,5,FALSE)</f>
        <v>BADERTSCHER DIANE</v>
      </c>
      <c r="M25" s="6">
        <f>I25-F25</f>
        <v>2.5567129632690921E-2</v>
      </c>
      <c r="N25" s="7">
        <f>24*60*SUM($M25:$M25)</f>
        <v>36.816666671074927</v>
      </c>
      <c r="O25" s="7"/>
      <c r="P25" s="7"/>
      <c r="Q25" s="22"/>
      <c r="R25" s="190"/>
      <c r="S25" s="196">
        <f>SUM(U25:U25)/IF(AG25="EC",12,1)</f>
        <v>1</v>
      </c>
      <c r="T25" s="190" t="str">
        <f>IF(ISEVEN(LEFT(AD25,4)),"Southbound","NorthBound")</f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-05-17T04:00:29-0600',mode:absolute,to:'2017-05-17T06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" s="192" t="str">
        <f>IF(AA25&lt;IF(AG25="EC",23,5.65),"Y","N")</f>
        <v>N</v>
      </c>
      <c r="X25" s="192">
        <f>VALUE(LEFT(AD25,4))-VALUE(LEFT(AD24,4))</f>
        <v>1</v>
      </c>
      <c r="Y25" s="192">
        <f>RIGHT(D25,LEN(D25)-4)/10000</f>
        <v>4.2000000000000003E-2</v>
      </c>
      <c r="Z25" s="192">
        <f>RIGHT(H25,LEN(H25)-4)/10000</f>
        <v>23.3325</v>
      </c>
      <c r="AA25" s="192">
        <f>ABS(Z25-Y25)</f>
        <v>23.290499999999998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0113-17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s3://rtdc.mdm.uploadarchive.raw/RTDC4030/ "%USERPROFILE%\AppData\Local\Temp\OnboardLogs"\RTDC4030\2017-05-17 --exclude "*" --recursive --include "*20170517*" &amp; "%USERPROFILE%\Documents\GitHub\mrs-test-scripts\Headless Mode &amp; Sideloading\WalkAndUnGZ.bat" "%USERPROFILE%\AppData\Local\Temp\OnboardLogs"\RTDC4030\2017-05-17 &amp; 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/stypes="app*4030*20170517*" /stext=" 11:.+((SYSTEM_STATE.+slice.+state.+changed )|(ment ac)|(multiple cpu faults)|(system.+state.+changed )|(\[timeout)|(PRM\|1\|D)|(kpr)|(kdp)|(train st.+moving)|(\|lc)|(penalty))"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113-17 --locoid 4030 --swversion DE.1.0.9.0 --startMP 204:420 --initTime 2017-05-17T05:00:29 --startdatetime 2017-05-17T05:15:15 --delay 2 --endMP 204:233325 --enddatetime 2017-05-17T05:52:04 --enforcementcount 1 &gt;&gt;C:\Users\stu\Documents\GitHub\eaglep3-reporting\EC\2017-05-17-refined-times.txt</v>
      </c>
      <c r="AI25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{"issue":{"subject":"","project_id":79,"tracker_id":40,"status_id":1,"priority_id":2,"assigned_to_id":23,"start_date":"2017-05-17","description":"","custom_fields":[{"id":1,"name":"Subdivision","value":"EC"},{"id":4,"name":"Milepost","value":"23.3325"},{"id":17,"name":"Train ID","value":"113-17"},{"id":16,"name":"Locomotive ID","value":"4030"},{"id":130,"name":"Impact","value":""},{"id":150,"name":"Time of Event (Mountain Time)","value":"05:52:04"},{"id":151,"name":"Denver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4030 --day 2017-05-17</v>
      </c>
      <c r="AN25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11:52:04"},{"id":29,"name":"Sharepoint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646</v>
      </c>
      <c r="B26" s="7">
        <v>4029</v>
      </c>
      <c r="C26" s="21" t="s">
        <v>206</v>
      </c>
      <c r="D26" s="21" t="s">
        <v>535</v>
      </c>
      <c r="E26" s="13">
        <v>42872.247071759259</v>
      </c>
      <c r="F26" s="13">
        <v>42872.257870370369</v>
      </c>
      <c r="G26" s="7">
        <v>1</v>
      </c>
      <c r="H26" s="21" t="s">
        <v>846</v>
      </c>
      <c r="I26" s="13">
        <v>42872.28496527778</v>
      </c>
      <c r="J26" s="7">
        <v>1</v>
      </c>
      <c r="K26" s="92" t="str">
        <f>IF(ISEVEN(B26),(B26-1)&amp;"/"&amp;B26,B26&amp;"/"&amp;(B26+1))</f>
        <v>4029/4030</v>
      </c>
      <c r="L26" s="21" t="str">
        <f>VLOOKUP(A26,'Trips&amp;Operators'!$C$1:$G$99999,5,FALSE)</f>
        <v>BADERTSCHER DIANE</v>
      </c>
      <c r="M26" s="6">
        <f>I26-F26</f>
        <v>2.7094907411083113E-2</v>
      </c>
      <c r="N26" s="7">
        <f>24*60*SUM($M26:$M26)</f>
        <v>39.016666671959683</v>
      </c>
      <c r="O26" s="7"/>
      <c r="P26" s="7"/>
      <c r="Q26" s="22"/>
      <c r="R26" s="190"/>
      <c r="S26" s="196">
        <f>SUM(U26:U26)/IF(AG26="EC",12,1)</f>
        <v>1</v>
      </c>
      <c r="T26" s="190" t="str">
        <f>IF(ISEVEN(LEFT(AD26,4)),"Southbound","NorthBound")</f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-05-17T04:55:47-0600',mode:absolute,to:'2017-05-17T07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6" s="192" t="str">
        <f>IF(AA26&lt;IF(AG26="EC",23,5.65),"Y","N")</f>
        <v>N</v>
      </c>
      <c r="X26" s="192">
        <f>VALUE(LEFT(AD26,4))-VALUE(LEFT(AD25,4))</f>
        <v>1</v>
      </c>
      <c r="Y26" s="192">
        <f>RIGHT(D26,LEN(D26)-4)/10000</f>
        <v>23.3017</v>
      </c>
      <c r="Z26" s="192">
        <f>RIGHT(H26,LEN(H26)-4)/10000</f>
        <v>1.29E-2</v>
      </c>
      <c r="AA26" s="192">
        <f>ABS(Z26-Y26)</f>
        <v>23.288800000000002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0114-17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/stypes="app*4029*20170517*" /stext=" 12:.+((SYSTEM_STATE.+slice.+state.+changed )|(ment ac)|(multiple cpu faults)|(system.+state.+changed )|(\[timeout)|(PRM\|1\|D)|(kpr)|(kdp)|(train st.+moving)|(\|lc)|(penalty))"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114-17 --locoid 4029 --swversion DE.1.0.9.0 --startMP 204:233017 --initTime 2017-05-17T05:55:47 --startdatetime 2017-05-17T06:11:20 --delay 1 --endMP 204:129 --enddatetime 2017-05-17T06:50:21 --enforcementcount 1 &gt;&gt;C:\Users\stu\Documents\GitHub\eaglep3-reporting\EC\2017-05-17-refined-times.txt</v>
      </c>
      <c r="AI26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{"issue":{"subject":"","project_id":79,"tracker_id":40,"status_id":1,"priority_id":2,"assigned_to_id":23,"start_date":"2017-05-17","description":"","custom_fields":[{"id":1,"name":"Subdivision","value":"EC"},{"id":4,"name":"Milepost","value":"0.0129"},{"id":17,"name":"Train ID","value":"114-17"},{"id":16,"name":"Locomotive ID","value":"4029"},{"id":130,"name":"Impact","value":""},{"id":150,"name":"Time of Event (Mountain Time)","value":"06:50:21"},{"id":151,"name":"Denver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4029 --day 2017-05-17</v>
      </c>
      <c r="AN26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639</v>
      </c>
      <c r="B27" s="7">
        <v>4042</v>
      </c>
      <c r="C27" s="21" t="s">
        <v>206</v>
      </c>
      <c r="D27" s="21" t="s">
        <v>847</v>
      </c>
      <c r="E27" s="13">
        <v>42872.224270833336</v>
      </c>
      <c r="F27" s="13">
        <v>42872.229467592595</v>
      </c>
      <c r="G27" s="7">
        <v>2</v>
      </c>
      <c r="H27" s="21" t="s">
        <v>533</v>
      </c>
      <c r="I27" s="13">
        <v>42872.253935185188</v>
      </c>
      <c r="J27" s="7">
        <v>1</v>
      </c>
      <c r="K27" s="92" t="str">
        <f>IF(ISEVEN(B27),(B27-1)&amp;"/"&amp;B27,B27&amp;"/"&amp;(B27+1))</f>
        <v>4041/4042</v>
      </c>
      <c r="L27" s="21" t="str">
        <f>VLOOKUP(A27,'Trips&amp;Operators'!$C$1:$G$99999,5,FALSE)</f>
        <v>STARKS ANGELINA</v>
      </c>
      <c r="M27" s="6">
        <f>I27-F27</f>
        <v>2.4467592593282461E-2</v>
      </c>
      <c r="N27" s="7">
        <f>24*60*SUM($M27:$M27)</f>
        <v>35.233333334326744</v>
      </c>
      <c r="O27" s="7"/>
      <c r="P27" s="7"/>
      <c r="Q27" s="22"/>
      <c r="R27" s="190"/>
      <c r="S27" s="196">
        <f>SUM(U27:U27)/IF(AG27="EC",12,1)</f>
        <v>1</v>
      </c>
      <c r="T27" s="190" t="str">
        <f>IF(ISEVEN(LEFT(AD27,4)),"Southbound","NorthBound")</f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-05-17T04:22:57-0600',mode:absolute,to:'2017-05-17T07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192" t="str">
        <f>IF(AA27&lt;IF(AG27="EC",23,5.65),"Y","N")</f>
        <v>N</v>
      </c>
      <c r="X27" s="192">
        <f>VALUE(LEFT(AD27,4))-VALUE(LEFT(AD26,4))</f>
        <v>1</v>
      </c>
      <c r="Y27" s="192">
        <f>RIGHT(D27,LEN(D27)-4)/10000</f>
        <v>7.4300000000000005E-2</v>
      </c>
      <c r="Z27" s="192">
        <f>RIGHT(H27,LEN(H27)-4)/10000</f>
        <v>23.328900000000001</v>
      </c>
      <c r="AA27" s="192">
        <f>ABS(Z27-Y27)</f>
        <v>23.2546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0115-17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/stypes="app*4042*20170517*" /stext=" 12:.+((SYSTEM_STATE.+slice.+state.+changed )|(ment ac)|(multiple cpu faults)|(system.+state.+changed )|(\[timeout)|(PRM\|1\|D)|(kpr)|(kdp)|(train st.+moving)|(\|lc)|(penalty))"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115-17 --locoid 4042 --swversion DE.1.0.9.0 --startMP 204:743 --initTime 2017-05-17T05:22:57 --startdatetime 2017-05-17T05:30:26 --delay 2 --endMP 204:233289 --enddatetime 2017-05-17T06:05:40 --enforcementcount 1 &gt;&gt;C:\Users\stu\Documents\GitHub\eaglep3-reporting\EC\2017-05-17-refined-times.txt</v>
      </c>
      <c r="AI27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{"issue":{"subject":"","project_id":79,"tracker_id":40,"status_id":1,"priority_id":2,"assigned_to_id":23,"start_date":"2017-05-17","description":"","custom_fields":[{"id":1,"name":"Subdivision","value":"EC"},{"id":4,"name":"Milepost","value":"23.3289"},{"id":17,"name":"Train ID","value":"115-17"},{"id":16,"name":"Locomotive ID","value":"4042"},{"id":130,"name":"Impact","value":""},{"id":150,"name":"Time of Event (Mountain Time)","value":"06:05:40"},{"id":151,"name":"Denver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4042 --day 2017-05-17</v>
      </c>
      <c r="AN27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654</v>
      </c>
      <c r="B28" s="7">
        <v>4041</v>
      </c>
      <c r="C28" s="21" t="s">
        <v>206</v>
      </c>
      <c r="D28" s="21" t="s">
        <v>453</v>
      </c>
      <c r="E28" s="13">
        <v>42872.26667824074</v>
      </c>
      <c r="F28" s="13">
        <v>42872.268217592595</v>
      </c>
      <c r="G28" s="7">
        <v>1</v>
      </c>
      <c r="H28" s="21" t="s">
        <v>379</v>
      </c>
      <c r="I28" s="13">
        <v>42872.295138888891</v>
      </c>
      <c r="J28" s="7">
        <v>1</v>
      </c>
      <c r="K28" s="92" t="str">
        <f>IF(ISEVEN(B28),(B28-1)&amp;"/"&amp;B28,B28&amp;"/"&amp;(B28+1))</f>
        <v>4041/4042</v>
      </c>
      <c r="L28" s="21" t="str">
        <f>VLOOKUP(A28,'Trips&amp;Operators'!$C$1:$G$99999,5,FALSE)</f>
        <v>STARKS ANGELINA</v>
      </c>
      <c r="M28" s="6">
        <f>I28-F28</f>
        <v>2.6921296295768116E-2</v>
      </c>
      <c r="N28" s="7">
        <f>24*60*SUM($M28:$M28)</f>
        <v>38.766666665906087</v>
      </c>
      <c r="O28" s="7"/>
      <c r="P28" s="7"/>
      <c r="Q28" s="22"/>
      <c r="R28" s="190"/>
      <c r="S28" s="196">
        <f>SUM(U28:U28)/IF(AG28="EC",12,1)</f>
        <v>1</v>
      </c>
      <c r="T28" s="190" t="str">
        <f>IF(ISEVEN(LEFT(AD28,4)),"Southbound","NorthBound")</f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-05-17T05:24:01-0600',mode:absolute,to:'2017-05-17T08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192" t="str">
        <f>IF(AA28&lt;IF(AG28="EC",23,5.65),"Y","N")</f>
        <v>N</v>
      </c>
      <c r="X28" s="192">
        <f>VALUE(LEFT(AD28,4))-VALUE(LEFT(AD27,4))</f>
        <v>1</v>
      </c>
      <c r="Y28" s="192">
        <f>RIGHT(D28,LEN(D28)-4)/10000</f>
        <v>23.298200000000001</v>
      </c>
      <c r="Z28" s="192">
        <f>RIGHT(H28,LEN(H28)-4)/10000</f>
        <v>1.3599999999999999E-2</v>
      </c>
      <c r="AA28" s="192">
        <f>ABS(Z28-Y28)</f>
        <v>23.284600000000001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>IF(LEN(A28)=6,"0"&amp;A28,A28)</f>
        <v>0116-17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 &amp; aws s3 cp s3://rtdc.mdm.uploadarchive.raw/RTDC4041/ "%USERPROFILE%\AppData\Local\Temp\OnboardLogs"\RTDC4041\2017-05-18 --exclude "*" --recursive --include "*20170518*" &amp; "%USERPROFILE%\Documents\GitHub\mrs-test-scripts\Headless Mode &amp; Sideloading\WalkAndUnGZ.bat" "%USERPROFILE%\AppData\Local\Temp\OnboardLogs"\RTDC4041\2017-05-18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/stypes="app*4041*20170517*" /stext=" 13:.+((SYSTEM_STATE.+slice.+state.+changed )|(ment ac)|(multiple cpu faults)|(system.+state.+changed )|(\[timeout)|(PRM\|1\|D)|(kpr)|(kdp)|(train st.+moving)|(\|lc)|(penalty))"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116-17 --locoid 4041 --swversion DE.1.0.9.0 --startMP 204:232982 --initTime 2017-05-17T06:24:01 --startdatetime 2017-05-17T06:26:14 --delay 1 --endMP 204:136 --enddatetime 2017-05-17T07:05:00 --enforcementcount 1 &gt;&gt;C:\Users\stu\Documents\GitHub\eaglep3-reporting\EC\2017-05-17-refined-times.txt</v>
      </c>
      <c r="AI28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{"issue":{"subject":"","project_id":79,"tracker_id":40,"status_id":1,"priority_id":2,"assigned_to_id":23,"start_date":"2017-05-17","description":"","custom_fields":[{"id":1,"name":"Subdivision","value":"EC"},{"id":4,"name":"Milepost","value":"0.0136"},{"id":17,"name":"Train ID","value":"116-17"},{"id":16,"name":"Locomotive ID","value":"4041"},{"id":130,"name":"Impact","value":""},{"id":150,"name":"Time of Event (Mountain Time)","value":"07:05:00"},{"id":151,"name":"Denver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4041 --day 2017-05-17</v>
      </c>
      <c r="AN28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13:05:00"},{"id":29,"name":"Sharepoint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641</v>
      </c>
      <c r="B29" s="7">
        <v>4012</v>
      </c>
      <c r="C29" s="21" t="s">
        <v>206</v>
      </c>
      <c r="D29" s="21" t="s">
        <v>848</v>
      </c>
      <c r="E29" s="13">
        <v>42872.229120370372</v>
      </c>
      <c r="F29" s="13">
        <v>42872.24009259259</v>
      </c>
      <c r="G29" s="7">
        <v>1</v>
      </c>
      <c r="H29" s="21" t="s">
        <v>549</v>
      </c>
      <c r="I29" s="13">
        <v>42872.264722222222</v>
      </c>
      <c r="J29" s="7">
        <v>1</v>
      </c>
      <c r="K29" s="92" t="str">
        <f>IF(ISEVEN(B29),(B29-1)&amp;"/"&amp;B29,B29&amp;"/"&amp;(B29+1))</f>
        <v>4011/4012</v>
      </c>
      <c r="L29" s="21" t="str">
        <f>VLOOKUP(A29,'Trips&amp;Operators'!$C$1:$G$99999,5,FALSE)</f>
        <v>MAELZER KURT</v>
      </c>
      <c r="M29" s="6">
        <f>I29-F29</f>
        <v>2.4629629631817807E-2</v>
      </c>
      <c r="N29" s="7">
        <f>24*60*SUM($M29:$M29)</f>
        <v>35.466666669817641</v>
      </c>
      <c r="O29" s="7"/>
      <c r="P29" s="7"/>
      <c r="Q29" s="22"/>
      <c r="R29" s="190"/>
      <c r="S29" s="196">
        <f>SUM(U29:U29)/IF(AG29="EC",12,1)</f>
        <v>1</v>
      </c>
      <c r="T29" s="190" t="str">
        <f>IF(ISEVEN(LEFT(AD29,4)),"Southbound","NorthBound")</f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-05-17T04:29:56-0600',mode:absolute,to:'2017-05-17T07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9" s="192" t="str">
        <f>IF(AA29&lt;IF(AG29="EC",23,5.65),"Y","N")</f>
        <v>N</v>
      </c>
      <c r="X29" s="192">
        <f>VALUE(LEFT(AD29,4))-VALUE(LEFT(AD28,4))</f>
        <v>1</v>
      </c>
      <c r="Y29" s="192">
        <f>RIGHT(D29,LEN(D29)-4)/10000</f>
        <v>4.3099999999999999E-2</v>
      </c>
      <c r="Z29" s="192">
        <f>RIGHT(H29,LEN(H29)-4)/10000</f>
        <v>23.333600000000001</v>
      </c>
      <c r="AA29" s="192">
        <f>ABS(Z29-Y29)</f>
        <v>23.290500000000002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0117-17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s3://rtdc.mdm.uploadarchive.raw/RTDC4012/ "%USERPROFILE%\AppData\Local\Temp\OnboardLogs"\RTDC4012\2017-05-17 --exclude "*" --recursive --include "*20170517*" &amp; "%USERPROFILE%\Documents\GitHub\mrs-test-scripts\Headless Mode &amp; Sideloading\WalkAndUnGZ.bat" "%USERPROFILE%\AppData\Local\Temp\OnboardLogs"\RTDC4012\2017-05-17 &amp; 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/stypes="app*4012*20170517*" /stext=" 12:.+((SYSTEM_STATE.+slice.+state.+changed )|(ment ac)|(multiple cpu faults)|(system.+state.+changed )|(\[timeout)|(PRM\|1\|D)|(kpr)|(kdp)|(train st.+moving)|(\|lc)|(penalty))"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117-17 --locoid 4012 --swversion DE.1.0.9.0 --startMP 204:431 --initTime 2017-05-17T05:29:56 --startdatetime 2017-05-17T05:45:44 --delay 1 --endMP 204:233336 --enddatetime 2017-05-17T06:21:12 --enforcementcount 1 &gt;&gt;C:\Users\stu\Documents\GitHub\eaglep3-reporting\EC\2017-05-17-refined-times.txt</v>
      </c>
      <c r="AI29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{"issue":{"subject":"","project_id":79,"tracker_id":40,"status_id":1,"priority_id":2,"assigned_to_id":23,"start_date":"2017-05-17","description":"","custom_fields":[{"id":1,"name":"Subdivision","value":"EC"},{"id":4,"name":"Milepost","value":"23.3336"},{"id":17,"name":"Train ID","value":"117-17"},{"id":16,"name":"Locomotive ID","value":"4012"},{"id":130,"name":"Impact","value":""},{"id":150,"name":"Time of Event (Mountain Time)","value":"06:21:12"},{"id":151,"name":"Denver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4012 --day 2017-05-17</v>
      </c>
      <c r="AN29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655</v>
      </c>
      <c r="B30" s="7">
        <v>4011</v>
      </c>
      <c r="C30" s="21" t="s">
        <v>206</v>
      </c>
      <c r="D30" s="21" t="s">
        <v>849</v>
      </c>
      <c r="E30" s="13">
        <v>42872.27306712963</v>
      </c>
      <c r="F30" s="13">
        <v>42872.278715277775</v>
      </c>
      <c r="G30" s="7">
        <v>1</v>
      </c>
      <c r="H30" s="21" t="s">
        <v>369</v>
      </c>
      <c r="I30" s="13">
        <v>42872.305277777778</v>
      </c>
      <c r="J30" s="7">
        <v>1</v>
      </c>
      <c r="K30" s="92" t="str">
        <f>IF(ISEVEN(B30),(B30-1)&amp;"/"&amp;B30,B30&amp;"/"&amp;(B30+1))</f>
        <v>4011/4012</v>
      </c>
      <c r="L30" s="21" t="str">
        <f>VLOOKUP(A30,'Trips&amp;Operators'!$C$1:$G$99999,5,FALSE)</f>
        <v>MAELZER KURT</v>
      </c>
      <c r="M30" s="6">
        <f>I30-F30</f>
        <v>2.6562500002910383E-2</v>
      </c>
      <c r="N30" s="7">
        <f>24*60*SUM($M30:$M30)</f>
        <v>38.250000004190952</v>
      </c>
      <c r="O30" s="7"/>
      <c r="P30" s="7"/>
      <c r="Q30" s="22"/>
      <c r="R30" s="190"/>
      <c r="S30" s="196">
        <f>SUM(U30:U30)/IF(AG30="EC",12,1)</f>
        <v>1</v>
      </c>
      <c r="T30" s="190" t="str">
        <f>IF(ISEVEN(LEFT(AD30,4)),"Southbound","NorthBound")</f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-05-17T05:33:13-0600',mode:absolute,to:'2017-05-17T08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0" s="192" t="str">
        <f>IF(AA30&lt;IF(AG30="EC",23,5.65),"Y","N")</f>
        <v>N</v>
      </c>
      <c r="X30" s="192">
        <f>VALUE(LEFT(AD30,4))-VALUE(LEFT(AD29,4))</f>
        <v>1</v>
      </c>
      <c r="Y30" s="192">
        <f>RIGHT(D30,LEN(D30)-4)/10000</f>
        <v>23.302499999999998</v>
      </c>
      <c r="Z30" s="192">
        <f>RIGHT(H30,LEN(H30)-4)/10000</f>
        <v>1.41E-2</v>
      </c>
      <c r="AA30" s="192">
        <f>ABS(Z30-Y30)</f>
        <v>23.288399999999999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0118-17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s3://rtdc.mdm.uploadarchive.raw/RTDC4011/ "%USERPROFILE%\AppData\Local\Temp\OnboardLogs"\RTDC4011\2017-05-17 --exclude "*" --recursive --include "*20170517*" &amp; "%USERPROFILE%\Documents\GitHub\mrs-test-scripts\Headless Mode &amp; Sideloading\WalkAndUnGZ.bat" "%USERPROFILE%\AppData\Local\Temp\OnboardLogs"\RTDC4011\2017-05-17 &amp; 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/stypes="app*4011*20170517*" /stext=" 13:.+((SYSTEM_STATE.+slice.+state.+changed )|(ment ac)|(multiple cpu faults)|(system.+state.+changed )|(\[timeout)|(PRM\|1\|D)|(kpr)|(kdp)|(train st.+moving)|(\|lc)|(penalty))"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118-17 --locoid 4011 --swversion DE.1.0.9.0 --startMP 204:233025 --initTime 2017-05-17T06:33:13 --startdatetime 2017-05-17T06:41:21 --delay 1 --endMP 204:141 --enddatetime 2017-05-17T07:19:36 --enforcementcount 1 &gt;&gt;C:\Users\stu\Documents\GitHub\eaglep3-reporting\EC\2017-05-17-refined-times.txt</v>
      </c>
      <c r="AI30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{"issue":{"subject":"","project_id":79,"tracker_id":40,"status_id":1,"priority_id":2,"assigned_to_id":23,"start_date":"2017-05-17","description":"","custom_fields":[{"id":1,"name":"Subdivision","value":"EC"},{"id":4,"name":"Milepost","value":"0.0141"},{"id":17,"name":"Train ID","value":"118-17"},{"id":16,"name":"Locomotive ID","value":"4011"},{"id":130,"name":"Impact","value":""},{"id":150,"name":"Time of Event (Mountain Time)","value":"07:19:36"},{"id":151,"name":"Denver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4011 --day 2017-05-17</v>
      </c>
      <c r="AN30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13:19:36"},{"id":29,"name":"Sharepoint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643</v>
      </c>
      <c r="B31" s="7">
        <v>4024</v>
      </c>
      <c r="C31" s="21" t="s">
        <v>206</v>
      </c>
      <c r="D31" s="21" t="s">
        <v>850</v>
      </c>
      <c r="E31" s="13">
        <v>42872.245925925927</v>
      </c>
      <c r="F31" s="13">
        <v>42872.250173611108</v>
      </c>
      <c r="G31" s="7">
        <v>1</v>
      </c>
      <c r="H31" s="21" t="s">
        <v>851</v>
      </c>
      <c r="I31" s="13">
        <v>42872.27449074074</v>
      </c>
      <c r="J31" s="7">
        <v>1</v>
      </c>
      <c r="K31" s="92" t="str">
        <f>IF(ISEVEN(B31),(B31-1)&amp;"/"&amp;B31,B31&amp;"/"&amp;(B31+1))</f>
        <v>4023/4024</v>
      </c>
      <c r="L31" s="21" t="str">
        <f>VLOOKUP(A31,'Trips&amp;Operators'!$C$1:$G$99999,5,FALSE)</f>
        <v>GEBRETEKLE DAGNEW</v>
      </c>
      <c r="M31" s="6">
        <f>I31-F31</f>
        <v>2.4317129631526768E-2</v>
      </c>
      <c r="N31" s="7">
        <f>24*60*SUM($M31:$M31)</f>
        <v>35.016666669398546</v>
      </c>
      <c r="O31" s="7"/>
      <c r="P31" s="7"/>
      <c r="Q31" s="22"/>
      <c r="R31" s="190"/>
      <c r="S31" s="196">
        <f>SUM(U31:U31)/IF(AG31="EC",12,1)</f>
        <v>1</v>
      </c>
      <c r="T31" s="190" t="str">
        <f>IF(ISEVEN(LEFT(AD31,4)),"Southbound","NorthBound")</f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-05-17T04:54:08-0600',mode:absolute,to:'2017-05-17T07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1" s="192" t="str">
        <f>IF(AA31&lt;IF(AG31="EC",23,5.65),"Y","N")</f>
        <v>N</v>
      </c>
      <c r="X31" s="192">
        <f>VALUE(LEFT(AD31,4))-VALUE(LEFT(AD30,4))</f>
        <v>1</v>
      </c>
      <c r="Y31" s="192">
        <f>RIGHT(D31,LEN(D31)-4)/10000</f>
        <v>7.6999999999999999E-2</v>
      </c>
      <c r="Z31" s="192">
        <f>RIGHT(H31,LEN(H31)-4)/10000</f>
        <v>23.337</v>
      </c>
      <c r="AA31" s="192">
        <f>ABS(Z31-Y31)</f>
        <v>23.259999999999998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>IF(LEN(A31)=6,"0"&amp;A31,A31)</f>
        <v>0119-17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/stypes="app*4024*20170517*" /stext=" 12:.+((SYSTEM_STATE.+slice.+state.+changed )|(ment ac)|(multiple cpu faults)|(system.+state.+changed )|(\[timeout)|(PRM\|1\|D)|(kpr)|(kdp)|(train st.+moving)|(\|lc)|(penalty))"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119-17 --locoid 4024 --swversion DE.1.0.9.0 --startMP 204:770 --initTime 2017-05-17T05:54:08 --startdatetime 2017-05-17T06:00:15 --delay 1 --endMP 204:233370 --enddatetime 2017-05-17T06:35:16 --enforcementcount 1 &gt;&gt;C:\Users\stu\Documents\GitHub\eaglep3-reporting\EC\2017-05-17-refined-times.txt</v>
      </c>
      <c r="AI31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{"issue":{"subject":"","project_id":79,"tracker_id":40,"status_id":1,"priority_id":2,"assigned_to_id":23,"start_date":"2017-05-17","description":"","custom_fields":[{"id":1,"name":"Subdivision","value":"EC"},{"id":4,"name":"Milepost","value":"23.337"},{"id":17,"name":"Train ID","value":"119-17"},{"id":16,"name":"Locomotive ID","value":"4024"},{"id":130,"name":"Impact","value":""},{"id":150,"name":"Time of Event (Mountain Time)","value":"06:35:16"},{"id":151,"name":"Denver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4024 --day 2017-05-17</v>
      </c>
      <c r="AN31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659</v>
      </c>
      <c r="B32" s="7">
        <v>4023</v>
      </c>
      <c r="C32" s="21" t="s">
        <v>206</v>
      </c>
      <c r="D32" s="21" t="s">
        <v>852</v>
      </c>
      <c r="E32" s="13">
        <v>42872.285740740743</v>
      </c>
      <c r="F32" s="13">
        <v>42872.289074074077</v>
      </c>
      <c r="G32" s="7">
        <v>1</v>
      </c>
      <c r="H32" s="21" t="s">
        <v>370</v>
      </c>
      <c r="I32" s="13">
        <v>42872.315717592595</v>
      </c>
      <c r="J32" s="7">
        <v>1</v>
      </c>
      <c r="K32" s="92" t="str">
        <f>IF(ISEVEN(B32),(B32-1)&amp;"/"&amp;B32,B32&amp;"/"&amp;(B32+1))</f>
        <v>4023/4024</v>
      </c>
      <c r="L32" s="21" t="str">
        <f>VLOOKUP(A32,'Trips&amp;Operators'!$C$1:$G$99999,5,FALSE)</f>
        <v>GEBRETEKLE DAGNEW</v>
      </c>
      <c r="M32" s="6">
        <f>I32-F32</f>
        <v>2.6643518518540077E-2</v>
      </c>
      <c r="N32" s="7">
        <f>24*60*SUM($M32:$M32)</f>
        <v>38.366666666697711</v>
      </c>
      <c r="O32" s="7"/>
      <c r="P32" s="7"/>
      <c r="Q32" s="22"/>
      <c r="R32" s="190"/>
      <c r="S32" s="196">
        <f>SUM(U32:U32)/IF(AG32="EC",12,1)</f>
        <v>1</v>
      </c>
      <c r="T32" s="190" t="str">
        <f>IF(ISEVEN(LEFT(AD32,4)),"Southbound","NorthBound")</f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-05-17T05:51:28-0600',mode:absolute,to:'2017-05-17T08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2" s="192" t="str">
        <f>IF(AA32&lt;IF(AG32="EC",23,5.65),"Y","N")</f>
        <v>N</v>
      </c>
      <c r="X32" s="192">
        <f>VALUE(LEFT(AD32,4))-VALUE(LEFT(AD31,4))</f>
        <v>1</v>
      </c>
      <c r="Y32" s="192">
        <f>RIGHT(D32,LEN(D32)-4)/10000</f>
        <v>23.302600000000002</v>
      </c>
      <c r="Z32" s="192">
        <f>RIGHT(H32,LEN(H32)-4)/10000</f>
        <v>1.47E-2</v>
      </c>
      <c r="AA32" s="192">
        <f>ABS(Z32-Y32)</f>
        <v>23.2879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0120-17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s3://rtdc.mdm.uploadarchive.raw/RTDC4023/ "%USERPROFILE%\AppData\Local\Temp\OnboardLogs"\RTDC4023\2017-05-17 --exclude "*" --recursive --include "*20170517*" &amp; "%USERPROFILE%\Documents\GitHub\mrs-test-scripts\Headless Mode &amp; Sideloading\WalkAndUnGZ.bat" "%USERPROFILE%\AppData\Local\Temp\OnboardLogs"\RTDC4023\2017-05-17 &amp; 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/stypes="app*4023*20170517*" /stext=" 13:.+((SYSTEM_STATE.+slice.+state.+changed )|(ment ac)|(multiple cpu faults)|(system.+state.+changed )|(\[timeout)|(PRM\|1\|D)|(kpr)|(kdp)|(train st.+moving)|(\|lc)|(penalty))"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120-17 --locoid 4023 --swversion DE.1.0.9.0 --startMP 204:233026 --initTime 2017-05-17T06:51:28 --startdatetime 2017-05-17T06:56:16 --delay 1 --endMP 204:147 --enddatetime 2017-05-17T07:34:38 --enforcementcount 1 &gt;&gt;C:\Users\stu\Documents\GitHub\eaglep3-reporting\EC\2017-05-17-refined-times.txt</v>
      </c>
      <c r="AI32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{"issue":{"subject":"","project_id":79,"tracker_id":40,"status_id":1,"priority_id":2,"assigned_to_id":23,"start_date":"2017-05-17","description":"","custom_fields":[{"id":1,"name":"Subdivision","value":"EC"},{"id":4,"name":"Milepost","value":"0.0147"},{"id":17,"name":"Train ID","value":"120-17"},{"id":16,"name":"Locomotive ID","value":"4023"},{"id":130,"name":"Impact","value":""},{"id":150,"name":"Time of Event (Mountain Time)","value":"07:34:38"},{"id":151,"name":"Denver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4023 --day 2017-05-17</v>
      </c>
      <c r="AN32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13:34:38"},{"id":29,"name":"Sharepoint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650</v>
      </c>
      <c r="B33" s="7">
        <v>4040</v>
      </c>
      <c r="C33" s="21" t="s">
        <v>206</v>
      </c>
      <c r="D33" s="21" t="s">
        <v>202</v>
      </c>
      <c r="E33" s="13">
        <v>42872.255497685182</v>
      </c>
      <c r="F33" s="13">
        <v>42872.26059027778</v>
      </c>
      <c r="G33" s="7">
        <v>1</v>
      </c>
      <c r="H33" s="21" t="s">
        <v>542</v>
      </c>
      <c r="I33" s="13">
        <v>42872.286111111112</v>
      </c>
      <c r="J33" s="7">
        <v>1</v>
      </c>
      <c r="K33" s="92" t="str">
        <f>IF(ISEVEN(B33),(B33-1)&amp;"/"&amp;B33,B33&amp;"/"&amp;(B33+1))</f>
        <v>4039/4040</v>
      </c>
      <c r="L33" s="21" t="str">
        <f>VLOOKUP(A33,'Trips&amp;Operators'!$C$1:$G$99999,5,FALSE)</f>
        <v>BONDS REYNALDO</v>
      </c>
      <c r="M33" s="6">
        <f>I33-F33</f>
        <v>2.5520833332848269E-2</v>
      </c>
      <c r="N33" s="7">
        <f>24*60*SUM($M33:$M33)</f>
        <v>36.749999999301508</v>
      </c>
      <c r="O33" s="7"/>
      <c r="P33" s="7"/>
      <c r="Q33" s="22"/>
      <c r="R33" s="190"/>
      <c r="S33" s="196">
        <f>SUM(U33:U33)/IF(AG33="EC",12,1)</f>
        <v>1</v>
      </c>
      <c r="T33" s="190" t="str">
        <f>IF(ISEVEN(LEFT(AD33,4)),"Southbound","NorthBound")</f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-05-17T05:07:55-0600',mode:absolute,to:'2017-05-17T07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192" t="str">
        <f>IF(AA33&lt;IF(AG33="EC",23,5.65),"Y","N")</f>
        <v>N</v>
      </c>
      <c r="X33" s="192">
        <f>VALUE(LEFT(AD33,4))-VALUE(LEFT(AD32,4))</f>
        <v>1</v>
      </c>
      <c r="Y33" s="192">
        <f>RIGHT(D33,LEN(D33)-4)/10000</f>
        <v>4.5699999999999998E-2</v>
      </c>
      <c r="Z33" s="192">
        <f>RIGHT(H33,LEN(H33)-4)/10000</f>
        <v>23.332899999999999</v>
      </c>
      <c r="AA33" s="192">
        <f>ABS(Z33-Y33)</f>
        <v>23.287199999999999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0121-17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 &amp; 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/stypes="app*4040*20170517*" /stext=" 12:.+((SYSTEM_STATE.+slice.+state.+changed )|(ment ac)|(multiple cpu faults)|(system.+state.+changed )|(\[timeout)|(PRM\|1\|D)|(kpr)|(kdp)|(train st.+moving)|(\|lc)|(penalty))"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si="4"/>
        <v>"%USERPROFILE%\Documents\GitHub\eaglep3\Utilities\RefineRTDCRunTimes.py" --tripid 121-17 --locoid 4040 --swversion DE.1.0.9.0 --startMP 204:457 --initTime 2017-05-17T06:07:55 --startdatetime 2017-05-17T06:15:15 --delay 1 --endMP 204:233329 --enddatetime 2017-05-17T06:52:00 --enforcementcount 1 &gt;&gt;C:\Users\stu\Documents\GitHub\eaglep3-reporting\EC\2017-05-17-refined-times.txt</v>
      </c>
      <c r="AI33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{"issue":{"subject":"","project_id":79,"tracker_id":40,"status_id":1,"priority_id":2,"assigned_to_id":23,"start_date":"2017-05-17","description":"","custom_fields":[{"id":1,"name":"Subdivision","value":"EC"},{"id":4,"name":"Milepost","value":"23.3329"},{"id":17,"name":"Train ID","value":"121-17"},{"id":16,"name":"Locomotive ID","value":"4040"},{"id":130,"name":"Impact","value":""},{"id":150,"name":"Time of Event (Mountain Time)","value":"06:52:00"},{"id":151,"name":"Denver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6"/>
        <v>start /low /b %USERPROFILE%\Documents\GitHub\eaglep3\Utilities\DownloadLogsFromS3.py --loco 4040 --day 2017-05-17</v>
      </c>
      <c r="AN33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587</v>
      </c>
      <c r="B34" s="7">
        <v>4039</v>
      </c>
      <c r="C34" s="21" t="s">
        <v>206</v>
      </c>
      <c r="D34" s="21" t="s">
        <v>477</v>
      </c>
      <c r="E34" s="13">
        <v>42872.297905092593</v>
      </c>
      <c r="F34" s="13">
        <v>42872.30027777778</v>
      </c>
      <c r="G34" s="7">
        <v>1</v>
      </c>
      <c r="H34" s="21" t="s">
        <v>370</v>
      </c>
      <c r="I34" s="13">
        <v>42872.326944444445</v>
      </c>
      <c r="J34" s="7">
        <v>1</v>
      </c>
      <c r="K34" s="92" t="str">
        <f>IF(ISEVEN(B34),(B34-1)&amp;"/"&amp;B34,B34&amp;"/"&amp;(B34+1))</f>
        <v>4039/4040</v>
      </c>
      <c r="L34" s="21" t="str">
        <f>VLOOKUP(A34,'Trips&amp;Operators'!$C$1:$G$99999,5,FALSE)</f>
        <v>BONDS REYNALDO</v>
      </c>
      <c r="M34" s="6">
        <f>I34-F34</f>
        <v>2.6666666664823424E-2</v>
      </c>
      <c r="N34" s="7">
        <f>24*60*SUM($M34:$M34)</f>
        <v>38.399999997345731</v>
      </c>
      <c r="O34" s="7"/>
      <c r="P34" s="7"/>
      <c r="Q34" s="22"/>
      <c r="R34" s="190"/>
      <c r="S34" s="196">
        <f>SUM(U34:U34)/IF(AG34="EC",12,1)</f>
        <v>1</v>
      </c>
      <c r="T34" s="190" t="str">
        <f>IF(ISEVEN(LEFT(AD34,4)),"Southbound","NorthBound")</f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-05-17T06:08:59-0600',mode:absolute,to:'2017-05-17T08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192" t="str">
        <f>IF(AA34&lt;IF(AG34="EC",23,5.65),"Y","N")</f>
        <v>N</v>
      </c>
      <c r="X34" s="192">
        <f>VALUE(LEFT(AD34,4))-VALUE(LEFT(AD33,4))</f>
        <v>1</v>
      </c>
      <c r="Y34" s="192">
        <f>RIGHT(D34,LEN(D34)-4)/10000</f>
        <v>23.299299999999999</v>
      </c>
      <c r="Z34" s="192">
        <f>RIGHT(H34,LEN(H34)-4)/10000</f>
        <v>1.47E-2</v>
      </c>
      <c r="AA34" s="192">
        <f>ABS(Z34-Y34)</f>
        <v>23.284599999999998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>IF(LEN(A34)=6,"0"&amp;A34,A34)</f>
        <v>0122-17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/stypes="app*4039*20170517*" /stext=" 13:.+((SYSTEM_STATE.+slice.+state.+changed )|(ment ac)|(multiple cpu faults)|(system.+state.+changed )|(\[timeout)|(PRM\|1\|D)|(kpr)|(kdp)|(train st.+moving)|(\|lc)|(penalty))"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122-17 --locoid 4039 --swversion DE.1.0.9.0 --startMP 204:232993 --initTime 2017-05-17T07:08:59 --startdatetime 2017-05-17T07:12:24 --delay 1 --endMP 204:147 --enddatetime 2017-05-17T07:50:48 --enforcementcount 1 &gt;&gt;C:\Users\stu\Documents\GitHub\eaglep3-reporting\EC\2017-05-17-refined-times.txt</v>
      </c>
      <c r="AI34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{"issue":{"subject":"","project_id":79,"tracker_id":40,"status_id":1,"priority_id":2,"assigned_to_id":23,"start_date":"2017-05-17","description":"","custom_fields":[{"id":1,"name":"Subdivision","value":"EC"},{"id":4,"name":"Milepost","value":"0.0147"},{"id":17,"name":"Train ID","value":"122-17"},{"id":16,"name":"Locomotive ID","value":"4039"},{"id":130,"name":"Impact","value":""},{"id":150,"name":"Time of Event (Mountain Time)","value":"07:50:48"},{"id":151,"name":"Denver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4039 --day 2017-05-17</v>
      </c>
      <c r="AN34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13:50:48"},{"id":29,"name":"Sharepoint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653</v>
      </c>
      <c r="B35" s="7">
        <v>4046</v>
      </c>
      <c r="C35" s="21" t="s">
        <v>206</v>
      </c>
      <c r="D35" s="21" t="s">
        <v>360</v>
      </c>
      <c r="E35" s="13">
        <v>42872.264270833337</v>
      </c>
      <c r="F35" s="13">
        <v>42872.271006944444</v>
      </c>
      <c r="G35" s="7">
        <v>1</v>
      </c>
      <c r="H35" s="21" t="s">
        <v>540</v>
      </c>
      <c r="I35" s="13">
        <v>42872.295405092591</v>
      </c>
      <c r="J35" s="7">
        <v>1</v>
      </c>
      <c r="K35" s="92" t="str">
        <f>IF(ISEVEN(B35),(B35-1)&amp;"/"&amp;B35,B35&amp;"/"&amp;(B35+1))</f>
        <v>4045/4046</v>
      </c>
      <c r="L35" s="21" t="str">
        <f>VLOOKUP(A35,'Trips&amp;Operators'!$C$1:$G$99999,5,FALSE)</f>
        <v>SANTIZO D. EDY</v>
      </c>
      <c r="M35" s="6">
        <f>I35-F35</f>
        <v>2.4398148147156462E-2</v>
      </c>
      <c r="N35" s="7">
        <f>24*60*SUM($M35:$M35)</f>
        <v>35.133333331905305</v>
      </c>
      <c r="O35" s="7"/>
      <c r="P35" s="7"/>
      <c r="Q35" s="22"/>
      <c r="R35" s="190"/>
      <c r="S35" s="196">
        <f>SUM(U35:U35)/IF(AG35="EC",12,1)</f>
        <v>1</v>
      </c>
      <c r="T35" s="190" t="str">
        <f>IF(ISEVEN(LEFT(AD35,4)),"Southbound","NorthBound")</f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-05-17T05:20:33-0600',mode:absolute,to:'2017-05-17T08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5" s="192" t="str">
        <f>IF(AA35&lt;IF(AG35="EC",23,5.65),"Y","N")</f>
        <v>N</v>
      </c>
      <c r="X35" s="192">
        <f>VALUE(LEFT(AD35,4))-VALUE(LEFT(AD34,4))</f>
        <v>1</v>
      </c>
      <c r="Y35" s="192">
        <f>RIGHT(D35,LEN(D35)-4)/10000</f>
        <v>4.5100000000000001E-2</v>
      </c>
      <c r="Z35" s="192">
        <f>RIGHT(H35,LEN(H35)-4)/10000</f>
        <v>23.331099999999999</v>
      </c>
      <c r="AA35" s="192">
        <f>ABS(Z35-Y35)</f>
        <v>23.285999999999998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0123-17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s3://rtdc.mdm.uploadarchive.raw/RTDC4046/ "%USERPROFILE%\AppData\Local\Temp\OnboardLogs"\RTDC4046\2017-05-17 --exclude "*" --recursive --include "*20170517*" &amp; "%USERPROFILE%\Documents\GitHub\mrs-test-scripts\Headless Mode &amp; Sideloading\WalkAndUnGZ.bat" "%USERPROFILE%\AppData\Local\Temp\OnboardLogs"\RTDC4046\2017-05-17 &amp; aws s3 cp s3://rtdc.mdm.uploadarchive.raw/RTDC4046/ "%USERPROFILE%\AppData\Local\Temp\OnboardLogs"\RTDC4046\2017-05-18 --exclude "*" --recursive --include "*20170518*" &amp; "%USERPROFILE%\Documents\GitHub\mrs-test-scripts\Headless Mode &amp; Sideloading\WalkAndUnGZ.bat" "%USERPROFILE%\AppData\Local\Temp\OnboardLogs"\RTDC4046\2017-05-18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/stypes="app*4046*20170517*" /stext=" 13:.+((SYSTEM_STATE.+slice.+state.+changed )|(ment ac)|(multiple cpu faults)|(system.+state.+changed )|(\[timeout)|(PRM\|1\|D)|(kpr)|(kdp)|(train st.+moving)|(\|lc)|(penalty))"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123-17 --locoid 4046 --swversion DE.1.0.9.0 --startMP 204:451 --initTime 2017-05-17T06:20:33 --startdatetime 2017-05-17T06:30:15 --delay 1 --endMP 204:233311 --enddatetime 2017-05-17T07:05:23 --enforcementcount 1 &gt;&gt;C:\Users\stu\Documents\GitHub\eaglep3-reporting\EC\2017-05-17-refined-times.txt</v>
      </c>
      <c r="AI35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{"issue":{"subject":"","project_id":79,"tracker_id":40,"status_id":1,"priority_id":2,"assigned_to_id":23,"start_date":"2017-05-17","description":"","custom_fields":[{"id":1,"name":"Subdivision","value":"EC"},{"id":4,"name":"Milepost","value":"23.3311"},{"id":17,"name":"Train ID","value":"123-17"},{"id":16,"name":"Locomotive ID","value":"4046"},{"id":130,"name":"Impact","value":""},{"id":150,"name":"Time of Event (Mountain Time)","value":"07:05:23"},{"id":151,"name":"Denver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4046 --day 2017-05-17</v>
      </c>
      <c r="AN35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13:05:23"},{"id":29,"name":"Sharepoint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662</v>
      </c>
      <c r="B36" s="7">
        <v>4045</v>
      </c>
      <c r="C36" s="21" t="s">
        <v>206</v>
      </c>
      <c r="D36" s="21" t="s">
        <v>453</v>
      </c>
      <c r="E36" s="13">
        <v>42872.296354166669</v>
      </c>
      <c r="F36" s="13">
        <v>42872.309895833336</v>
      </c>
      <c r="G36" s="7">
        <v>1</v>
      </c>
      <c r="H36" s="21" t="s">
        <v>353</v>
      </c>
      <c r="I36" s="13">
        <v>42872.336180555554</v>
      </c>
      <c r="J36" s="7">
        <v>1</v>
      </c>
      <c r="K36" s="92" t="str">
        <f>IF(ISEVEN(B36),(B36-1)&amp;"/"&amp;B36,B36&amp;"/"&amp;(B36+1))</f>
        <v>4045/4046</v>
      </c>
      <c r="L36" s="21" t="str">
        <f>VLOOKUP(A36,'Trips&amp;Operators'!$C$1:$G$99999,5,FALSE)</f>
        <v>SANTIZO D. EDY</v>
      </c>
      <c r="M36" s="6">
        <f>I36-F36</f>
        <v>2.6284722218406387E-2</v>
      </c>
      <c r="N36" s="7">
        <f>24*60*SUM($M36:$M36)</f>
        <v>37.849999994505197</v>
      </c>
      <c r="O36" s="7"/>
      <c r="P36" s="7"/>
      <c r="Q36" s="22"/>
      <c r="R36" s="190"/>
      <c r="S36" s="196">
        <f>SUM(U36:U36)/IF(AG36="EC",12,1)</f>
        <v>1</v>
      </c>
      <c r="T36" s="190" t="str">
        <f>IF(ISEVEN(LEFT(AD36,4)),"Southbound","NorthBound")</f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-05-17T06:06:45-0600',mode:absolute,to:'2017-05-17T09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6" s="192" t="str">
        <f>IF(AA36&lt;IF(AG36="EC",23,5.65),"Y","N")</f>
        <v>N</v>
      </c>
      <c r="X36" s="192">
        <f>VALUE(LEFT(AD36,4))-VALUE(LEFT(AD35,4))</f>
        <v>1</v>
      </c>
      <c r="Y36" s="192">
        <f>RIGHT(D36,LEN(D36)-4)/10000</f>
        <v>23.298200000000001</v>
      </c>
      <c r="Z36" s="192">
        <f>RIGHT(H36,LEN(H36)-4)/10000</f>
        <v>1.4500000000000001E-2</v>
      </c>
      <c r="AA36" s="192">
        <f>ABS(Z36-Y36)</f>
        <v>23.2837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>IF(LEN(A36)=6,"0"&amp;A36,A36)</f>
        <v>0124-17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s3://rtdc.mdm.uploadarchive.raw/RTDC4045/ "%USERPROFILE%\AppData\Local\Temp\OnboardLogs"\RTDC4045\2017-05-17 --exclude "*" --recursive --include "*20170517*" &amp; "%USERPROFILE%\Documents\GitHub\mrs-test-scripts\Headless Mode &amp; Sideloading\WalkAndUnGZ.bat" "%USERPROFILE%\AppData\Local\Temp\OnboardLogs"\RTDC4045\2017-05-17 &amp; aws s3 cp s3://rtdc.mdm.uploadarchive.raw/RTDC4045/ "%USERPROFILE%\AppData\Local\Temp\OnboardLogs"\RTDC4045\2017-05-18 --exclude "*" --recursive --include "*20170518*" &amp; "%USERPROFILE%\Documents\GitHub\mrs-test-scripts\Headless Mode &amp; Sideloading\WalkAndUnGZ.bat" "%USERPROFILE%\AppData\Local\Temp\OnboardLogs"\RTDC4045\2017-05-18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/stypes="app*4045*20170517*" /stext=" 14:.+((SYSTEM_STATE.+slice.+state.+changed )|(ment ac)|(multiple cpu faults)|(system.+state.+changed )|(\[timeout)|(PRM\|1\|D)|(kpr)|(kdp)|(train st.+moving)|(\|lc)|(penalty))"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124-17 --locoid 4045 --swversion DE.1.0.9.0 --startMP 204:232982 --initTime 2017-05-17T07:06:45 --startdatetime 2017-05-17T07:26:15 --delay 1 --endMP 204:145 --enddatetime 2017-05-17T08:04:06 --enforcementcount 1 &gt;&gt;C:\Users\stu\Documents\GitHub\eaglep3-reporting\EC\2017-05-17-refined-times.txt</v>
      </c>
      <c r="AI36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{"issue":{"subject":"","project_id":79,"tracker_id":40,"status_id":1,"priority_id":2,"assigned_to_id":23,"start_date":"2017-05-17","description":"","custom_fields":[{"id":1,"name":"Subdivision","value":"EC"},{"id":4,"name":"Milepost","value":"0.0145"},{"id":17,"name":"Train ID","value":"124-17"},{"id":16,"name":"Locomotive ID","value":"4045"},{"id":130,"name":"Impact","value":""},{"id":150,"name":"Time of Event (Mountain Time)","value":"08:04:06"},{"id":151,"name":"Denver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4045 --day 2017-05-17</v>
      </c>
      <c r="AN36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657</v>
      </c>
      <c r="B37" s="7">
        <v>4016</v>
      </c>
      <c r="C37" s="21" t="s">
        <v>206</v>
      </c>
      <c r="D37" s="21" t="s">
        <v>202</v>
      </c>
      <c r="E37" s="13">
        <v>42872.27983796296</v>
      </c>
      <c r="F37" s="13">
        <v>42872.281458333331</v>
      </c>
      <c r="G37" s="7">
        <v>1</v>
      </c>
      <c r="H37" s="21" t="s">
        <v>428</v>
      </c>
      <c r="I37" s="13">
        <v>42872.306192129632</v>
      </c>
      <c r="J37" s="7">
        <v>1</v>
      </c>
      <c r="K37" s="92" t="str">
        <f>IF(ISEVEN(B37),(B37-1)&amp;"/"&amp;B37,B37&amp;"/"&amp;(B37+1))</f>
        <v>4015/4016</v>
      </c>
      <c r="L37" s="21" t="str">
        <f>VLOOKUP(A37,'Trips&amp;Operators'!$C$1:$G$99999,5,FALSE)</f>
        <v>ROCHA YAOTL</v>
      </c>
      <c r="M37" s="6">
        <f>I37-F37</f>
        <v>2.4733796301006805E-2</v>
      </c>
      <c r="N37" s="7">
        <f>24*60*SUM($M37:$M37)</f>
        <v>35.616666673449799</v>
      </c>
      <c r="O37" s="7"/>
      <c r="P37" s="7"/>
      <c r="Q37" s="22"/>
      <c r="R37" s="190"/>
      <c r="S37" s="196">
        <f>SUM(U37:U37)/IF(AG37="EC",12,1)</f>
        <v>1</v>
      </c>
      <c r="T37" s="190" t="str">
        <f>IF(ISEVEN(LEFT(AD37,4)),"Southbound","NorthBound")</f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-05-17T05:42:58-0600',mode:absolute,to:'2017-05-17T08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192" t="str">
        <f>IF(AA37&lt;IF(AG37="EC",23,5.65),"Y","N")</f>
        <v>N</v>
      </c>
      <c r="X37" s="192">
        <f>VALUE(LEFT(AD37,4))-VALUE(LEFT(AD36,4))</f>
        <v>1</v>
      </c>
      <c r="Y37" s="192">
        <f>RIGHT(D37,LEN(D37)-4)/10000</f>
        <v>4.5699999999999998E-2</v>
      </c>
      <c r="Z37" s="192">
        <f>RIGHT(H37,LEN(H37)-4)/10000</f>
        <v>23.331700000000001</v>
      </c>
      <c r="AA37" s="192">
        <f>ABS(Z37-Y37)</f>
        <v>23.286000000000001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0125-17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/stypes="app*4016*20170517*" /stext=" 13:.+((SYSTEM_STATE.+slice.+state.+changed )|(ment ac)|(multiple cpu faults)|(system.+state.+changed )|(\[timeout)|(PRM\|1\|D)|(kpr)|(kdp)|(train st.+moving)|(\|lc)|(penalty))"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125-17 --locoid 4016 --swversion DE.1.0.9.0 --startMP 204:457 --initTime 2017-05-17T06:42:58 --startdatetime 2017-05-17T06:45:18 --delay 1 --endMP 204:233317 --enddatetime 2017-05-17T07:20:55 --enforcementcount 1 &gt;&gt;C:\Users\stu\Documents\GitHub\eaglep3-reporting\EC\2017-05-17-refined-times.txt</v>
      </c>
      <c r="AI37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{"issue":{"subject":"","project_id":79,"tracker_id":40,"status_id":1,"priority_id":2,"assigned_to_id":23,"start_date":"2017-05-17","description":"","custom_fields":[{"id":1,"name":"Subdivision","value":"EC"},{"id":4,"name":"Milepost","value":"23.3317"},{"id":17,"name":"Train ID","value":"125-17"},{"id":16,"name":"Locomotive ID","value":"4016"},{"id":130,"name":"Impact","value":""},{"id":150,"name":"Time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4016 --day 2017-05-17</v>
      </c>
      <c r="AN37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13:20:55"},{"id":29,"name":"Sharepoint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668</v>
      </c>
      <c r="B38" s="7">
        <v>4015</v>
      </c>
      <c r="C38" s="21" t="s">
        <v>206</v>
      </c>
      <c r="D38" s="21" t="s">
        <v>380</v>
      </c>
      <c r="E38" s="13">
        <v>42872.319988425923</v>
      </c>
      <c r="F38" s="13">
        <v>42872.321238425924</v>
      </c>
      <c r="G38" s="7">
        <v>0</v>
      </c>
      <c r="H38" s="21" t="s">
        <v>367</v>
      </c>
      <c r="I38" s="13">
        <v>42872.347673611112</v>
      </c>
      <c r="J38" s="7">
        <v>1</v>
      </c>
      <c r="K38" s="92" t="str">
        <f>IF(ISEVEN(B38),(B38-1)&amp;"/"&amp;B38,B38&amp;"/"&amp;(B38+1))</f>
        <v>4015/4016</v>
      </c>
      <c r="L38" s="21" t="str">
        <f>VLOOKUP(A38,'Trips&amp;Operators'!$C$1:$G$99999,5,FALSE)</f>
        <v>ROCHA YAOTL</v>
      </c>
      <c r="M38" s="6">
        <f>I38-F38</f>
        <v>2.6435185187438037E-2</v>
      </c>
      <c r="N38" s="7">
        <f>24*60*SUM($M38:$M38)</f>
        <v>38.066666669910774</v>
      </c>
      <c r="O38" s="7"/>
      <c r="P38" s="7"/>
      <c r="Q38" s="22"/>
      <c r="R38" s="190"/>
      <c r="S38" s="196">
        <f>SUM(U38:U38)/IF(AG38="EC",12,1)</f>
        <v>1</v>
      </c>
      <c r="T38" s="190" t="str">
        <f>IF(ISEVEN(LEFT(AD38,4)),"Southbound","NorthBound")</f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-05-17T06:40:47-0600',mode:absolute,to:'2017-05-17T09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192" t="str">
        <f>IF(AA38&lt;IF(AG38="EC",23,5.65),"Y","N")</f>
        <v>N</v>
      </c>
      <c r="X38" s="192">
        <f>VALUE(LEFT(AD38,4))-VALUE(LEFT(AD37,4))</f>
        <v>1</v>
      </c>
      <c r="Y38" s="192">
        <f>RIGHT(D38,LEN(D38)-4)/10000</f>
        <v>23.299800000000001</v>
      </c>
      <c r="Z38" s="192">
        <f>RIGHT(H38,LEN(H38)-4)/10000</f>
        <v>1.3899999999999999E-2</v>
      </c>
      <c r="AA38" s="192">
        <f>ABS(Z38-Y38)</f>
        <v>23.285900000000002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>IF(LEN(A38)=6,"0"&amp;A38,A38)</f>
        <v>0126-17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s3://rtdc.mdm.uploadarchive.raw/RTDC4015/ "%USERPROFILE%\AppData\Local\Temp\OnboardLogs"\RTDC4015\2017-05-17 --exclude "*" --recursive --include "*20170517*" &amp; "%USERPROFILE%\Documents\GitHub\mrs-test-scripts\Headless Mode &amp; Sideloading\WalkAndUnGZ.bat" "%USERPROFILE%\AppData\Local\Temp\OnboardLogs"\RTDC4015\2017-05-17 &amp; aws s3 cp s3://rtdc.mdm.uploadarchive.raw/RTDC4015/ "%USERPROFILE%\AppData\Local\Temp\OnboardLogs"\RTDC4015\2017-05-18 --exclude "*" --recursive --include "*20170518*" &amp; "%USERPROFILE%\Documents\GitHub\mrs-test-scripts\Headless Mode &amp; Sideloading\WalkAndUnGZ.bat" "%USERPROFILE%\AppData\Local\Temp\OnboardLogs"\RTDC4015\2017-05-18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/stypes="app*4015*20170517*" /stext=" 14:.+((SYSTEM_STATE.+slice.+state.+changed )|(ment ac)|(multiple cpu faults)|(system.+state.+changed )|(\[timeout)|(PRM\|1\|D)|(kpr)|(kdp)|(train st.+moving)|(\|lc)|(penalty))"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126-17 --locoid 4015 --swversion DE.1.0.9.0 --startMP 204:232998 --initTime 2017-05-17T07:40:47 --startdatetime 2017-05-17T07:42:35 --delay 0 --endMP 204:139 --enddatetime 2017-05-17T08:20:39 --enforcementcount 1 &gt;&gt;C:\Users\stu\Documents\GitHub\eaglep3-reporting\EC\2017-05-17-refined-times.txt</v>
      </c>
      <c r="AI38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{"issue":{"subject":"","project_id":79,"tracker_id":40,"status_id":1,"priority_id":2,"assigned_to_id":23,"start_date":"2017-05-17","description":"","custom_fields":[{"id":1,"name":"Subdivision","value":"EC"},{"id":4,"name":"Milepost","value":"0.0139"},{"id":17,"name":"Train ID","value":"126-17"},{"id":16,"name":"Locomotive ID","value":"4015"},{"id":130,"name":"Impact","value":""},{"id":150,"name":"Time of Event (Mountain Time)","value":"08:20:39"},{"id":151,"name":"Denver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4015 --day 2017-05-17</v>
      </c>
      <c r="AN38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660</v>
      </c>
      <c r="B39" s="7">
        <v>4030</v>
      </c>
      <c r="C39" s="21" t="s">
        <v>206</v>
      </c>
      <c r="D39" s="21" t="s">
        <v>410</v>
      </c>
      <c r="E39" s="13">
        <v>42872.288217592592</v>
      </c>
      <c r="F39" s="13">
        <v>42872.292060185187</v>
      </c>
      <c r="G39" s="7">
        <v>1</v>
      </c>
      <c r="H39" s="21" t="s">
        <v>853</v>
      </c>
      <c r="I39" s="13">
        <v>42872.316736111112</v>
      </c>
      <c r="J39" s="7">
        <v>1</v>
      </c>
      <c r="K39" s="92" t="str">
        <f>IF(ISEVEN(B39),(B39-1)&amp;"/"&amp;B39,B39&amp;"/"&amp;(B39+1))</f>
        <v>4029/4030</v>
      </c>
      <c r="L39" s="21" t="str">
        <f>VLOOKUP(A39,'Trips&amp;Operators'!$C$1:$G$99999,5,FALSE)</f>
        <v>BADERTSCHER DIANE</v>
      </c>
      <c r="M39" s="6">
        <f>I39-F39</f>
        <v>2.4675925924384501E-2</v>
      </c>
      <c r="N39" s="7">
        <f>24*60*SUM($M39:$M39)</f>
        <v>35.533333331113681</v>
      </c>
      <c r="O39" s="7"/>
      <c r="P39" s="7"/>
      <c r="Q39" s="22"/>
      <c r="R39" s="190"/>
      <c r="S39" s="196">
        <f>SUM(U39:U39)/IF(AG39="EC",12,1)</f>
        <v>1</v>
      </c>
      <c r="T39" s="190" t="str">
        <f>IF(ISEVEN(LEFT(AD39,4)),"Southbound","NorthBound")</f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-05-17T05:55:02-0600',mode:absolute,to:'2017-05-17T08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192" t="str">
        <f>IF(AA39&lt;IF(AG39="EC",23,5.65),"Y","N")</f>
        <v>N</v>
      </c>
      <c r="X39" s="192">
        <f>VALUE(LEFT(AD39,4))-VALUE(LEFT(AD38,4))</f>
        <v>1</v>
      </c>
      <c r="Y39" s="192">
        <f>RIGHT(D39,LEN(D39)-4)/10000</f>
        <v>4.3299999999999998E-2</v>
      </c>
      <c r="Z39" s="192">
        <f>RIGHT(H39,LEN(H39)-4)/10000</f>
        <v>23.3309</v>
      </c>
      <c r="AA39" s="192">
        <f>ABS(Z39-Y39)</f>
        <v>23.287600000000001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0127-17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s3://rtdc.mdm.uploadarchive.raw/RTDC4030/ "%USERPROFILE%\AppData\Local\Temp\OnboardLogs"\RTDC4030\2017-05-17 --exclude "*" --recursive --include "*20170517*" &amp; "%USERPROFILE%\Documents\GitHub\mrs-test-scripts\Headless Mode &amp; Sideloading\WalkAndUnGZ.bat" "%USERPROFILE%\AppData\Local\Temp\OnboardLogs"\RTDC4030\2017-05-17 &amp; 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/stypes="app*4030*20170517*" /stext=" 13:.+((SYSTEM_STATE.+slice.+state.+changed )|(ment ac)|(multiple cpu faults)|(system.+state.+changed )|(\[timeout)|(PRM\|1\|D)|(kpr)|(kdp)|(train st.+moving)|(\|lc)|(penalty))"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127-17 --locoid 4030 --swversion DE.1.0.9.0 --startMP 204:433 --initTime 2017-05-17T06:55:02 --startdatetime 2017-05-17T07:00:34 --delay 1 --endMP 204:233309 --enddatetime 2017-05-17T07:36:06 --enforcementcount 1 &gt;&gt;C:\Users\stu\Documents\GitHub\eaglep3-reporting\EC\2017-05-17-refined-times.txt</v>
      </c>
      <c r="AI39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{"issue":{"subject":"","project_id":79,"tracker_id":40,"status_id":1,"priority_id":2,"assigned_to_id":23,"start_date":"2017-05-17","description":"","custom_fields":[{"id":1,"name":"Subdivision","value":"EC"},{"id":4,"name":"Milepost","value":"23.3309"},{"id":17,"name":"Train ID","value":"127-17"},{"id":16,"name":"Locomotive ID","value":"4030"},{"id":130,"name":"Impact","value":""},{"id":150,"name":"Time of Event (Mountain Time)","value":"07:36:06"},{"id":151,"name":"Denver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4030 --day 2017-05-17</v>
      </c>
      <c r="AN39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13:36:06"},{"id":29,"name":"Sharepoint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669</v>
      </c>
      <c r="B40" s="7">
        <v>4029</v>
      </c>
      <c r="C40" s="21" t="s">
        <v>206</v>
      </c>
      <c r="D40" s="21" t="s">
        <v>551</v>
      </c>
      <c r="E40" s="13">
        <v>42872.32402777778</v>
      </c>
      <c r="F40" s="13">
        <v>42872.330694444441</v>
      </c>
      <c r="G40" s="7">
        <v>1</v>
      </c>
      <c r="H40" s="21" t="s">
        <v>846</v>
      </c>
      <c r="I40" s="13">
        <v>42872.358067129629</v>
      </c>
      <c r="J40" s="7">
        <v>1</v>
      </c>
      <c r="K40" s="92" t="str">
        <f>IF(ISEVEN(B40),(B40-1)&amp;"/"&amp;B40,B40&amp;"/"&amp;(B40+1))</f>
        <v>4029/4030</v>
      </c>
      <c r="L40" s="21" t="str">
        <f>VLOOKUP(A40,'Trips&amp;Operators'!$C$1:$G$99999,5,FALSE)</f>
        <v>BADERTSCHER DIANE</v>
      </c>
      <c r="M40" s="6">
        <f>I40-F40</f>
        <v>2.7372685188311152E-2</v>
      </c>
      <c r="N40" s="7">
        <f>24*60*SUM($M40:$M40)</f>
        <v>39.416666671168059</v>
      </c>
      <c r="O40" s="7"/>
      <c r="P40" s="7"/>
      <c r="Q40" s="22"/>
      <c r="R40" s="190"/>
      <c r="S40" s="196">
        <f>SUM(U40:U40)/IF(AG40="EC",12,1)</f>
        <v>1</v>
      </c>
      <c r="T40" s="190" t="str">
        <f>IF(ISEVEN(LEFT(AD40,4)),"Southbound","NorthBound")</f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-05-17T06:46:36-0600',mode:absolute,to:'2017-05-17T09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192" t="str">
        <f>IF(AA40&lt;IF(AG40="EC",23,5.65),"Y","N")</f>
        <v>N</v>
      </c>
      <c r="X40" s="192">
        <f>VALUE(LEFT(AD40,4))-VALUE(LEFT(AD39,4))</f>
        <v>1</v>
      </c>
      <c r="Y40" s="192">
        <f>RIGHT(D40,LEN(D40)-4)/10000</f>
        <v>23.298400000000001</v>
      </c>
      <c r="Z40" s="192">
        <f>RIGHT(H40,LEN(H40)-4)/10000</f>
        <v>1.29E-2</v>
      </c>
      <c r="AA40" s="192">
        <f>ABS(Z40-Y40)</f>
        <v>23.285500000000003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>IF(LEN(A40)=6,"0"&amp;A40,A40)</f>
        <v>0128-17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/stypes="app*4029*20170517*" /stext=" 14:.+((SYSTEM_STATE.+slice.+state.+changed )|(ment ac)|(multiple cpu faults)|(system.+state.+changed )|(\[timeout)|(PRM\|1\|D)|(kpr)|(kdp)|(train st.+moving)|(\|lc)|(penalty))"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128-17 --locoid 4029 --swversion DE.1.0.9.0 --startMP 204:232984 --initTime 2017-05-17T07:46:36 --startdatetime 2017-05-17T07:56:12 --delay 1 --endMP 204:129 --enddatetime 2017-05-17T08:35:37 --enforcementcount 1 &gt;&gt;C:\Users\stu\Documents\GitHub\eaglep3-reporting\EC\2017-05-17-refined-times.txt</v>
      </c>
      <c r="AI40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{"issue":{"subject":"","project_id":79,"tracker_id":40,"status_id":1,"priority_id":2,"assigned_to_id":23,"start_date":"2017-05-17","description":"","custom_fields":[{"id":1,"name":"Subdivision","value":"EC"},{"id":4,"name":"Milepost","value":"0.0129"},{"id":17,"name":"Train ID","value":"128-17"},{"id":16,"name":"Locomotive ID","value":"4029"},{"id":130,"name":"Impact","value":""},{"id":150,"name":"Time of Event (Mountain Time)","value":"08:35:37"},{"id":151,"name":"Denver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4029 --day 2017-05-17</v>
      </c>
      <c r="AN40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586</v>
      </c>
      <c r="B41" s="7">
        <v>4042</v>
      </c>
      <c r="C41" s="21" t="s">
        <v>206</v>
      </c>
      <c r="D41" s="21" t="s">
        <v>365</v>
      </c>
      <c r="E41" s="13">
        <v>42872.29954861111</v>
      </c>
      <c r="F41" s="13">
        <v>42872.302256944444</v>
      </c>
      <c r="G41" s="7">
        <v>0</v>
      </c>
      <c r="H41" s="21" t="s">
        <v>854</v>
      </c>
      <c r="I41" s="13">
        <v>42872.328530092593</v>
      </c>
      <c r="J41" s="7">
        <v>1</v>
      </c>
      <c r="K41" s="92" t="str">
        <f>IF(ISEVEN(B41),(B41-1)&amp;"/"&amp;B41,B41&amp;"/"&amp;(B41+1))</f>
        <v>4041/4042</v>
      </c>
      <c r="L41" s="21" t="str">
        <f>VLOOKUP(A41,'Trips&amp;Operators'!$C$1:$G$99999,5,FALSE)</f>
        <v>STARKS ANGELINA</v>
      </c>
      <c r="M41" s="6">
        <f>I41-F41</f>
        <v>2.6273148148902692E-2</v>
      </c>
      <c r="N41" s="7">
        <f>24*60*SUM($M41:$M41)</f>
        <v>37.833333334419876</v>
      </c>
      <c r="O41" s="7"/>
      <c r="P41" s="7"/>
      <c r="Q41" s="22"/>
      <c r="R41" s="190"/>
      <c r="S41" s="196">
        <f>SUM(U41:U41)/IF(AG41="EC",12,1)</f>
        <v>1</v>
      </c>
      <c r="T41" s="190" t="str">
        <f>IF(ISEVEN(LEFT(AD41,4)),"Southbound","NorthBound")</f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-05-17T06:11:21-0600',mode:absolute,to:'2017-05-17T08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192" t="str">
        <f>IF(AA41&lt;IF(AG41="EC",23,5.65),"Y","N")</f>
        <v>N</v>
      </c>
      <c r="X41" s="192">
        <f>VALUE(LEFT(AD41,4))-VALUE(LEFT(AD40,4))</f>
        <v>1</v>
      </c>
      <c r="Y41" s="192">
        <f>RIGHT(D41,LEN(D41)-4)/10000</f>
        <v>4.4400000000000002E-2</v>
      </c>
      <c r="Z41" s="192">
        <f>RIGHT(H41,LEN(H41)-4)/10000</f>
        <v>23.329799999999999</v>
      </c>
      <c r="AA41" s="192">
        <f>ABS(Z41-Y41)</f>
        <v>23.285399999999999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>IF(LEN(A41)=6,"0"&amp;A41,A41)</f>
        <v>0129-17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/stypes="app*4042*20170517*" /stext=" 13:.+((SYSTEM_STATE.+slice.+state.+changed )|(ment ac)|(multiple cpu faults)|(system.+state.+changed )|(\[timeout)|(PRM\|1\|D)|(kpr)|(kdp)|(train st.+moving)|(\|lc)|(penalty))"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129-17 --locoid 4042 --swversion DE.1.0.9.0 --startMP 204:444 --initTime 2017-05-17T07:11:21 --startdatetime 2017-05-17T07:15:15 --delay 0 --endMP 204:233298 --enddatetime 2017-05-17T07:53:05 --enforcementcount 1 &gt;&gt;C:\Users\stu\Documents\GitHub\eaglep3-reporting\EC\2017-05-17-refined-times.txt</v>
      </c>
      <c r="AI41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{"issue":{"subject":"","project_id":79,"tracker_id":40,"status_id":1,"priority_id":2,"assigned_to_id":23,"start_date":"2017-05-17","description":"","custom_fields":[{"id":1,"name":"Subdivision","value":"EC"},{"id":4,"name":"Milepost","value":"23.3298"},{"id":17,"name":"Train ID","value":"129-17"},{"id":16,"name":"Locomotive ID","value":"4042"},{"id":130,"name":"Impact","value":""},{"id":150,"name":"Time of Event (Mountain Time)","value":"07:53:05"},{"id":151,"name":"Denver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4042 --day 2017-05-17</v>
      </c>
      <c r="AN41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13:53:05"},{"id":29,"name":"Sharepoint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674</v>
      </c>
      <c r="B42" s="7">
        <v>4041</v>
      </c>
      <c r="C42" s="21" t="s">
        <v>206</v>
      </c>
      <c r="D42" s="21" t="s">
        <v>855</v>
      </c>
      <c r="E42" s="13">
        <v>42872.33965277778</v>
      </c>
      <c r="F42" s="13">
        <v>42872.341145833336</v>
      </c>
      <c r="G42" s="7">
        <v>1</v>
      </c>
      <c r="H42" s="21" t="s">
        <v>363</v>
      </c>
      <c r="I42" s="13">
        <v>42872.367604166669</v>
      </c>
      <c r="J42" s="7">
        <v>1</v>
      </c>
      <c r="K42" s="92" t="str">
        <f>IF(ISEVEN(B42),(B42-1)&amp;"/"&amp;B42,B42&amp;"/"&amp;(B42+1))</f>
        <v>4041/4042</v>
      </c>
      <c r="L42" s="21" t="str">
        <f>VLOOKUP(A42,'Trips&amp;Operators'!$C$1:$G$99999,5,FALSE)</f>
        <v>STARKS ANGELINA</v>
      </c>
      <c r="M42" s="6">
        <f>I42-F42</f>
        <v>2.6458333333721384E-2</v>
      </c>
      <c r="N42" s="7">
        <f>24*60*SUM($M42:$M42)</f>
        <v>38.100000000558794</v>
      </c>
      <c r="O42" s="7"/>
      <c r="P42" s="7"/>
      <c r="Q42" s="22"/>
      <c r="R42" s="190"/>
      <c r="S42" s="196">
        <f>SUM(U42:U42)/IF(AG42="EC",12,1)</f>
        <v>1</v>
      </c>
      <c r="T42" s="190" t="str">
        <f>IF(ISEVEN(LEFT(AD42,4)),"Southbound","NorthBound")</f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-05-17T07:09:06-0600',mode:absolute,to:'2017-05-17T09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192" t="str">
        <f>IF(AA42&lt;IF(AG42="EC",23,5.65),"Y","N")</f>
        <v>N</v>
      </c>
      <c r="X42" s="192">
        <f>VALUE(LEFT(AD42,4))-VALUE(LEFT(AD41,4))</f>
        <v>1</v>
      </c>
      <c r="Y42" s="192">
        <f>RIGHT(D42,LEN(D42)-4)/10000</f>
        <v>23.299099999999999</v>
      </c>
      <c r="Z42" s="192">
        <f>RIGHT(H42,LEN(H42)-4)/10000</f>
        <v>1.5599999999999999E-2</v>
      </c>
      <c r="AA42" s="192">
        <f>ABS(Z42-Y42)</f>
        <v>23.2835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>IF(LEN(A42)=6,"0"&amp;A42,A42)</f>
        <v>0130-17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 &amp; aws s3 cp s3://rtdc.mdm.uploadarchive.raw/RTDC4041/ "%USERPROFILE%\AppData\Local\Temp\OnboardLogs"\RTDC4041\2017-05-18 --exclude "*" --recursive --include "*20170518*" &amp; "%USERPROFILE%\Documents\GitHub\mrs-test-scripts\Headless Mode &amp; Sideloading\WalkAndUnGZ.bat" "%USERPROFILE%\AppData\Local\Temp\OnboardLogs"\RTDC4041\2017-05-18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/stypes="app*4041*20170517*" /stext=" 14:.+((SYSTEM_STATE.+slice.+state.+changed )|(ment ac)|(multiple cpu faults)|(system.+state.+changed )|(\[timeout)|(PRM\|1\|D)|(kpr)|(kdp)|(train st.+moving)|(\|lc)|(penalty))"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130-17 --locoid 4041 --swversion DE.1.0.9.0 --startMP 204:232991 --initTime 2017-05-17T08:09:06 --startdatetime 2017-05-17T08:11:15 --delay 1 --endMP 204:156 --enddatetime 2017-05-17T08:49:21 --enforcementcount 1 &gt;&gt;C:\Users\stu\Documents\GitHub\eaglep3-reporting\EC\2017-05-17-refined-times.txt</v>
      </c>
      <c r="AI42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{"issue":{"subject":"","project_id":79,"tracker_id":40,"status_id":1,"priority_id":2,"assigned_to_id":23,"start_date":"2017-05-17","description":"","custom_fields":[{"id":1,"name":"Subdivision","value":"EC"},{"id":4,"name":"Milepost","value":"0.0156"},{"id":17,"name":"Train ID","value":"130-17"},{"id":16,"name":"Locomotive ID","value":"4041"},{"id":130,"name":"Impact","value":""},{"id":150,"name":"Time of Event (Mountain Time)","value":"08:49:21"},{"id":151,"name":"Denver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4041 --day 2017-05-17</v>
      </c>
      <c r="AN42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664</v>
      </c>
      <c r="B43" s="7">
        <v>4012</v>
      </c>
      <c r="C43" s="21" t="s">
        <v>206</v>
      </c>
      <c r="D43" s="21" t="s">
        <v>366</v>
      </c>
      <c r="E43" s="13">
        <v>42872.307037037041</v>
      </c>
      <c r="F43" s="13">
        <v>42872.3127662037</v>
      </c>
      <c r="G43" s="7">
        <v>1</v>
      </c>
      <c r="H43" s="21" t="s">
        <v>856</v>
      </c>
      <c r="I43" s="13">
        <v>42872.337141203701</v>
      </c>
      <c r="J43" s="7">
        <v>1</v>
      </c>
      <c r="K43" s="92" t="str">
        <f>IF(ISEVEN(B43),(B43-1)&amp;"/"&amp;B43,B43&amp;"/"&amp;(B43+1))</f>
        <v>4011/4012</v>
      </c>
      <c r="L43" s="21" t="str">
        <f>VLOOKUP(A43,'Trips&amp;Operators'!$C$1:$G$99999,5,FALSE)</f>
        <v>MAELZER KURT</v>
      </c>
      <c r="M43" s="6">
        <f>I43-F43</f>
        <v>2.4375000000873115E-2</v>
      </c>
      <c r="N43" s="7">
        <f>24*60*SUM($M43:$M43)</f>
        <v>35.100000001257285</v>
      </c>
      <c r="O43" s="7"/>
      <c r="P43" s="7"/>
      <c r="Q43" s="22"/>
      <c r="R43" s="190"/>
      <c r="S43" s="196">
        <f>SUM(U43:U43)/IF(AG43="EC",12,1)</f>
        <v>1</v>
      </c>
      <c r="T43" s="190" t="str">
        <f>IF(ISEVEN(LEFT(AD43,4)),"Southbound","NorthBound")</f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-05-17T06:22:08-0600',mode:absolute,to:'2017-05-17T09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3" s="192" t="str">
        <f>IF(AA43&lt;IF(AG43="EC",23,5.65),"Y","N")</f>
        <v>N</v>
      </c>
      <c r="X43" s="192">
        <f>VALUE(LEFT(AD43,4))-VALUE(LEFT(AD42,4))</f>
        <v>1</v>
      </c>
      <c r="Y43" s="192">
        <f>RIGHT(D43,LEN(D43)-4)/10000</f>
        <v>4.4699999999999997E-2</v>
      </c>
      <c r="Z43" s="192">
        <f>RIGHT(H43,LEN(H43)-4)/10000</f>
        <v>23.3353</v>
      </c>
      <c r="AA43" s="192">
        <f>ABS(Z43-Y43)</f>
        <v>23.290600000000001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0131-17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s3://rtdc.mdm.uploadarchive.raw/RTDC4012/ "%USERPROFILE%\AppData\Local\Temp\OnboardLogs"\RTDC4012\2017-05-17 --exclude "*" --recursive --include "*20170517*" &amp; "%USERPROFILE%\Documents\GitHub\mrs-test-scripts\Headless Mode &amp; Sideloading\WalkAndUnGZ.bat" "%USERPROFILE%\AppData\Local\Temp\OnboardLogs"\RTDC4012\2017-05-17 &amp; 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/stypes="app*4012*20170517*" /stext=" 14:.+((SYSTEM_STATE.+slice.+state.+changed )|(ment ac)|(multiple cpu faults)|(system.+state.+changed )|(\[timeout)|(PRM\|1\|D)|(kpr)|(kdp)|(train st.+moving)|(\|lc)|(penalty))"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131-17 --locoid 4012 --swversion DE.1.0.9.0 --startMP 204:447 --initTime 2017-05-17T07:22:08 --startdatetime 2017-05-17T07:30:23 --delay 1 --endMP 204:233353 --enddatetime 2017-05-17T08:05:29 --enforcementcount 1 &gt;&gt;C:\Users\stu\Documents\GitHub\eaglep3-reporting\EC\2017-05-17-refined-times.txt</v>
      </c>
      <c r="AI43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{"issue":{"subject":"","project_id":79,"tracker_id":40,"status_id":1,"priority_id":2,"assigned_to_id":23,"start_date":"2017-05-17","description":"","custom_fields":[{"id":1,"name":"Subdivision","value":"EC"},{"id":4,"name":"Milepost","value":"23.3353"},{"id":17,"name":"Train ID","value":"131-17"},{"id":16,"name":"Locomotive ID","value":"4012"},{"id":130,"name":"Impact","value":""},{"id":150,"name":"Time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4012 --day 2017-05-17</v>
      </c>
      <c r="AN43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675</v>
      </c>
      <c r="B44" s="7">
        <v>4011</v>
      </c>
      <c r="C44" s="21" t="s">
        <v>206</v>
      </c>
      <c r="D44" s="21" t="s">
        <v>545</v>
      </c>
      <c r="E44" s="13">
        <v>42872.343321759261</v>
      </c>
      <c r="F44" s="13">
        <v>42872.351620370369</v>
      </c>
      <c r="G44" s="7">
        <v>0</v>
      </c>
      <c r="H44" s="21" t="s">
        <v>358</v>
      </c>
      <c r="I44" s="13">
        <v>42872.378449074073</v>
      </c>
      <c r="J44" s="7">
        <v>1</v>
      </c>
      <c r="K44" s="92" t="str">
        <f>IF(ISEVEN(B44),(B44-1)&amp;"/"&amp;B44,B44&amp;"/"&amp;(B44+1))</f>
        <v>4011/4012</v>
      </c>
      <c r="L44" s="21" t="str">
        <f>VLOOKUP(A44,'Trips&amp;Operators'!$C$1:$G$99999,5,FALSE)</f>
        <v>MAELZER KURT</v>
      </c>
      <c r="M44" s="6">
        <f>I44-F44</f>
        <v>2.6828703703358769E-2</v>
      </c>
      <c r="N44" s="7">
        <f>24*60*SUM($M44:$M44)</f>
        <v>38.633333332836628</v>
      </c>
      <c r="O44" s="7"/>
      <c r="P44" s="7"/>
      <c r="Q44" s="22"/>
      <c r="R44" s="190"/>
      <c r="S44" s="196">
        <f>SUM(U44:U44)/IF(AG44="EC",12,1)</f>
        <v>1</v>
      </c>
      <c r="T44" s="190" t="str">
        <f>IF(ISEVEN(LEFT(AD44,4)),"Southbound","NorthBound")</f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-05-17T07:14:23-0600',mode:absolute,to:'2017-05-17T10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4" s="192" t="str">
        <f>IF(AA44&lt;IF(AG44="EC",23,5.65),"Y","N")</f>
        <v>N</v>
      </c>
      <c r="X44" s="192">
        <f>VALUE(LEFT(AD44,4))-VALUE(LEFT(AD43,4))</f>
        <v>1</v>
      </c>
      <c r="Y44" s="192">
        <f>RIGHT(D44,LEN(D44)-4)/10000</f>
        <v>23.3032</v>
      </c>
      <c r="Z44" s="192">
        <f>RIGHT(H44,LEN(H44)-4)/10000</f>
        <v>1.43E-2</v>
      </c>
      <c r="AA44" s="192">
        <f>ABS(Z44-Y44)</f>
        <v>23.288900000000002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>IF(LEN(A44)=6,"0"&amp;A44,A44)</f>
        <v>0132-17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s3://rtdc.mdm.uploadarchive.raw/RTDC4011/ "%USERPROFILE%\AppData\Local\Temp\OnboardLogs"\RTDC4011\2017-05-17 --exclude "*" --recursive --include "*20170517*" &amp; "%USERPROFILE%\Documents\GitHub\mrs-test-scripts\Headless Mode &amp; Sideloading\WalkAndUnGZ.bat" "%USERPROFILE%\AppData\Local\Temp\OnboardLogs"\RTDC4011\2017-05-17 &amp; 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/stypes="app*4011*20170517*" /stext=" 15:.+((SYSTEM_STATE.+slice.+state.+changed )|(ment ac)|(multiple cpu faults)|(system.+state.+changed )|(\[timeout)|(PRM\|1\|D)|(kpr)|(kdp)|(train st.+moving)|(\|lc)|(penalty))"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132-17 --locoid 4011 --swversion DE.1.0.9.0 --startMP 204:233032 --initTime 2017-05-17T08:14:23 --startdatetime 2017-05-17T08:26:20 --delay 0 --endMP 204:143 --enddatetime 2017-05-17T09:04:58 --enforcementcount 1 &gt;&gt;C:\Users\stu\Documents\GitHub\eaglep3-reporting\EC\2017-05-17-refined-times.txt</v>
      </c>
      <c r="AI44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{"issue":{"subject":"","project_id":79,"tracker_id":40,"status_id":1,"priority_id":2,"assigned_to_id":23,"start_date":"2017-05-17","description":"","custom_fields":[{"id":1,"name":"Subdivision","value":"EC"},{"id":4,"name":"Milepost","value":"0.0143"},{"id":17,"name":"Train ID","value":"132-17"},{"id":16,"name":"Locomotive ID","value":"4011"},{"id":130,"name":"Impact","value":""},{"id":150,"name":"Time of Event (Mountain Time)","value":"09:04:58"},{"id":151,"name":"Denver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4011 --day 2017-05-17</v>
      </c>
      <c r="AN44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15:04:58"},{"id":29,"name":"Sharepoint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666</v>
      </c>
      <c r="B45" s="7">
        <v>4024</v>
      </c>
      <c r="C45" s="21" t="s">
        <v>206</v>
      </c>
      <c r="D45" s="21" t="s">
        <v>543</v>
      </c>
      <c r="E45" s="13">
        <v>42872.31827546296</v>
      </c>
      <c r="F45" s="13">
        <v>42872.323078703703</v>
      </c>
      <c r="G45" s="7">
        <v>1</v>
      </c>
      <c r="H45" s="21" t="s">
        <v>857</v>
      </c>
      <c r="I45" s="13">
        <v>42872.347824074073</v>
      </c>
      <c r="J45" s="7">
        <v>1</v>
      </c>
      <c r="K45" s="92" t="str">
        <f>IF(ISEVEN(B45),(B45-1)&amp;"/"&amp;B45,B45&amp;"/"&amp;(B45+1))</f>
        <v>4023/4024</v>
      </c>
      <c r="L45" s="21" t="str">
        <f>VLOOKUP(A45,'Trips&amp;Operators'!$C$1:$G$99999,5,FALSE)</f>
        <v>GEBRETEKLE DAGNEW</v>
      </c>
      <c r="M45" s="6">
        <f>I45-F45</f>
        <v>2.47453703705105E-2</v>
      </c>
      <c r="N45" s="7">
        <f>24*60*SUM($M45:$M45)</f>
        <v>35.63333333353512</v>
      </c>
      <c r="O45" s="7"/>
      <c r="P45" s="7"/>
      <c r="Q45" s="22"/>
      <c r="R45" s="190"/>
      <c r="S45" s="196">
        <f>SUM(U45:U45)/IF(AG45="EC",12,1)</f>
        <v>1</v>
      </c>
      <c r="T45" s="190" t="str">
        <f>IF(ISEVEN(LEFT(AD45,4)),"Southbound","NorthBound")</f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-05-17T06:38:19-0600',mode:absolute,to:'2017-05-17T09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5" s="192" t="str">
        <f>IF(AA45&lt;IF(AG45="EC",23,5.65),"Y","N")</f>
        <v>N</v>
      </c>
      <c r="X45" s="192">
        <f>VALUE(LEFT(AD45,4))-VALUE(LEFT(AD44,4))</f>
        <v>1</v>
      </c>
      <c r="Y45" s="192">
        <f>RIGHT(D45,LEN(D45)-4)/10000</f>
        <v>4.4200000000000003E-2</v>
      </c>
      <c r="Z45" s="192">
        <f>RIGHT(H45,LEN(H45)-4)/10000</f>
        <v>23.3368</v>
      </c>
      <c r="AA45" s="192">
        <f>ABS(Z45-Y45)</f>
        <v>23.2926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0133-17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/stypes="app*4024*20170517*" /stext=" 14:.+((SYSTEM_STATE.+slice.+state.+changed )|(ment ac)|(multiple cpu faults)|(system.+state.+changed )|(\[timeout)|(PRM\|1\|D)|(kpr)|(kdp)|(train st.+moving)|(\|lc)|(penalty))"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133-17 --locoid 4024 --swversion DE.1.0.9.0 --startMP 204:442 --initTime 2017-05-17T07:38:19 --startdatetime 2017-05-17T07:45:14 --delay 1 --endMP 204:233368 --enddatetime 2017-05-17T08:20:52 --enforcementcount 1 &gt;&gt;C:\Users\stu\Documents\GitHub\eaglep3-reporting\EC\2017-05-17-refined-times.txt</v>
      </c>
      <c r="AI45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{"issue":{"subject":"","project_id":79,"tracker_id":40,"status_id":1,"priority_id":2,"assigned_to_id":23,"start_date":"2017-05-17","description":"","custom_fields":[{"id":1,"name":"Subdivision","value":"EC"},{"id":4,"name":"Milepost","value":"23.3368"},{"id":17,"name":"Train ID","value":"133-17"},{"id":16,"name":"Locomotive ID","value":"4024"},{"id":130,"name":"Impact","value":""},{"id":150,"name":"Time of Event (Mountain Time)","value":"08:20:52"},{"id":151,"name":"Denver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4024 --day 2017-05-17</v>
      </c>
      <c r="AN45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678</v>
      </c>
      <c r="B46" s="7">
        <v>4023</v>
      </c>
      <c r="C46" s="21" t="s">
        <v>206</v>
      </c>
      <c r="D46" s="21" t="s">
        <v>556</v>
      </c>
      <c r="E46" s="13">
        <v>42872.356446759259</v>
      </c>
      <c r="F46" s="13">
        <v>42872.361990740741</v>
      </c>
      <c r="G46" s="7">
        <v>1</v>
      </c>
      <c r="H46" s="21" t="s">
        <v>356</v>
      </c>
      <c r="I46" s="13">
        <v>42872.387800925928</v>
      </c>
      <c r="J46" s="7">
        <v>1</v>
      </c>
      <c r="K46" s="92" t="str">
        <f>IF(ISEVEN(B46),(B46-1)&amp;"/"&amp;B46,B46&amp;"/"&amp;(B46+1))</f>
        <v>4023/4024</v>
      </c>
      <c r="L46" s="21" t="str">
        <f>VLOOKUP(A46,'Trips&amp;Operators'!$C$1:$G$99999,5,FALSE)</f>
        <v>GEBRETEKLE DAGNEW</v>
      </c>
      <c r="M46" s="6">
        <f>I46-F46</f>
        <v>2.5810185186855961E-2</v>
      </c>
      <c r="N46" s="7">
        <f>24*60*SUM($M46:$M46)</f>
        <v>37.166666669072583</v>
      </c>
      <c r="O46" s="7"/>
      <c r="P46" s="7"/>
      <c r="Q46" s="22"/>
      <c r="R46" s="190"/>
      <c r="S46" s="196">
        <f>SUM(U46:U46)/IF(AG46="EC",12,1)</f>
        <v>1</v>
      </c>
      <c r="T46" s="190" t="str">
        <f>IF(ISEVEN(LEFT(AD46,4)),"Southbound","NorthBound")</f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-05-17T07:33:17-0600',mode:absolute,to:'2017-05-17T10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6" s="192" t="str">
        <f>IF(AA46&lt;IF(AG46="EC",23,5.65),"Y","N")</f>
        <v>N</v>
      </c>
      <c r="X46" s="192">
        <f>VALUE(LEFT(AD46,4))-VALUE(LEFT(AD45,4))</f>
        <v>1</v>
      </c>
      <c r="Y46" s="192">
        <f>RIGHT(D46,LEN(D46)-4)/10000</f>
        <v>23.303999999999998</v>
      </c>
      <c r="Z46" s="192">
        <f>RIGHT(H46,LEN(H46)-4)/10000</f>
        <v>1.4999999999999999E-2</v>
      </c>
      <c r="AA46" s="192">
        <f>ABS(Z46-Y46)</f>
        <v>23.288999999999998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>IF(LEN(A46)=6,"0"&amp;A46,A46)</f>
        <v>0134-17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s3://rtdc.mdm.uploadarchive.raw/RTDC4023/ "%USERPROFILE%\AppData\Local\Temp\OnboardLogs"\RTDC4023\2017-05-17 --exclude "*" --recursive --include "*20170517*" &amp; "%USERPROFILE%\Documents\GitHub\mrs-test-scripts\Headless Mode &amp; Sideloading\WalkAndUnGZ.bat" "%USERPROFILE%\AppData\Local\Temp\OnboardLogs"\RTDC4023\2017-05-17 &amp; 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/stypes="app*4023*20170517*" /stext=" 15:.+((SYSTEM_STATE.+slice.+state.+changed )|(ment ac)|(multiple cpu faults)|(system.+state.+changed )|(\[timeout)|(PRM\|1\|D)|(kpr)|(kdp)|(train st.+moving)|(\|lc)|(penalty))"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134-17 --locoid 4023 --swversion DE.1.0.9.0 --startMP 204:233040 --initTime 2017-05-17T08:33:17 --startdatetime 2017-05-17T08:41:16 --delay 1 --endMP 204:150 --enddatetime 2017-05-17T09:18:26 --enforcementcount 1 &gt;&gt;C:\Users\stu\Documents\GitHub\eaglep3-reporting\EC\2017-05-17-refined-times.txt</v>
      </c>
      <c r="AI46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{"issue":{"subject":"","project_id":79,"tracker_id":40,"status_id":1,"priority_id":2,"assigned_to_id":23,"start_date":"2017-05-17","description":"","custom_fields":[{"id":1,"name":"Subdivision","value":"EC"},{"id":4,"name":"Milepost","value":"0.015"},{"id":17,"name":"Train ID","value":"134-17"},{"id":16,"name":"Locomotive ID","value":"4023"},{"id":130,"name":"Impact","value":""},{"id":150,"name":"Time of Event (Mountain Time)","value":"09:18:26"},{"id":151,"name":"Denver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4023 --day 2017-05-17</v>
      </c>
      <c r="AN46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15:18:26"},{"id":29,"name":"Sharepoint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670</v>
      </c>
      <c r="B47" s="7">
        <v>4040</v>
      </c>
      <c r="C47" s="21" t="s">
        <v>206</v>
      </c>
      <c r="D47" s="21" t="s">
        <v>409</v>
      </c>
      <c r="E47" s="13">
        <v>42872.328726851854</v>
      </c>
      <c r="F47" s="13">
        <v>42872.333611111113</v>
      </c>
      <c r="G47" s="7">
        <v>1</v>
      </c>
      <c r="H47" s="21" t="s">
        <v>411</v>
      </c>
      <c r="I47" s="13">
        <v>42872.358900462961</v>
      </c>
      <c r="J47" s="7">
        <v>1</v>
      </c>
      <c r="K47" s="92" t="str">
        <f>IF(ISEVEN(B47),(B47-1)&amp;"/"&amp;B47,B47&amp;"/"&amp;(B47+1))</f>
        <v>4039/4040</v>
      </c>
      <c r="L47" s="21" t="str">
        <f>VLOOKUP(A47,'Trips&amp;Operators'!$C$1:$G$99999,5,FALSE)</f>
        <v>BONDS REYNALDO</v>
      </c>
      <c r="M47" s="6">
        <f>I47-F47</f>
        <v>2.5289351848186925E-2</v>
      </c>
      <c r="N47" s="7">
        <f>24*60*SUM($M47:$M47)</f>
        <v>36.416666661389172</v>
      </c>
      <c r="O47" s="7"/>
      <c r="P47" s="7"/>
      <c r="Q47" s="22"/>
      <c r="R47" s="190"/>
      <c r="S47" s="196">
        <f>SUM(U47:U47)/IF(AG47="EC",12,1)</f>
        <v>1</v>
      </c>
      <c r="T47" s="190" t="str">
        <f>IF(ISEVEN(LEFT(AD47,4)),"Southbound","NorthBound")</f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-05-17T06:53:22-0600',mode:absolute,to:'2017-05-17T09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7" s="192" t="str">
        <f>IF(AA47&lt;IF(AG47="EC",23,5.65),"Y","N")</f>
        <v>N</v>
      </c>
      <c r="X47" s="192">
        <f>VALUE(LEFT(AD47,4))-VALUE(LEFT(AD46,4))</f>
        <v>1</v>
      </c>
      <c r="Y47" s="192">
        <f>RIGHT(D47,LEN(D47)-4)/10000</f>
        <v>4.6199999999999998E-2</v>
      </c>
      <c r="Z47" s="192">
        <f>RIGHT(H47,LEN(H47)-4)/10000</f>
        <v>23.3293</v>
      </c>
      <c r="AA47" s="192">
        <f>ABS(Z47-Y47)</f>
        <v>23.283100000000001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0135-17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 &amp; 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/stypes="app*4040*20170517*" /stext=" 14:.+((SYSTEM_STATE.+slice.+state.+changed )|(ment ac)|(multiple cpu faults)|(system.+state.+changed )|(\[timeout)|(PRM\|1\|D)|(kpr)|(kdp)|(train st.+moving)|(\|lc)|(penalty))"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135-17 --locoid 4040 --swversion DE.1.0.9.0 --startMP 204:462 --initTime 2017-05-17T07:53:22 --startdatetime 2017-05-17T08:00:24 --delay 1 --endMP 204:233293 --enddatetime 2017-05-17T08:36:49 --enforcementcount 1 &gt;&gt;C:\Users\stu\Documents\GitHub\eaglep3-reporting\EC\2017-05-17-refined-times.txt</v>
      </c>
      <c r="AI47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{"issue":{"subject":"","project_id":79,"tracker_id":40,"status_id":1,"priority_id":2,"assigned_to_id":23,"start_date":"2017-05-17","description":"","custom_fields":[{"id":1,"name":"Subdivision","value":"EC"},{"id":4,"name":"Milepost","value":"23.3293"},{"id":17,"name":"Train ID","value":"135-17"},{"id":16,"name":"Locomotive ID","value":"4040"},{"id":130,"name":"Impact","value":""},{"id":150,"name":"Time of Event (Mountain Time)","value":"08:36:49"},{"id":151,"name":"Denver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4040 --day 2017-05-17</v>
      </c>
      <c r="AN47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681</v>
      </c>
      <c r="B48" s="7">
        <v>4039</v>
      </c>
      <c r="C48" s="21" t="s">
        <v>206</v>
      </c>
      <c r="D48" s="21" t="s">
        <v>450</v>
      </c>
      <c r="E48" s="13">
        <v>42872.368425925924</v>
      </c>
      <c r="F48" s="13">
        <v>42872.372395833336</v>
      </c>
      <c r="G48" s="7">
        <v>1</v>
      </c>
      <c r="H48" s="21" t="s">
        <v>369</v>
      </c>
      <c r="I48" s="13">
        <v>42872.399710648147</v>
      </c>
      <c r="J48" s="7">
        <v>1</v>
      </c>
      <c r="K48" s="92" t="str">
        <f>IF(ISEVEN(B48),(B48-1)&amp;"/"&amp;B48,B48&amp;"/"&amp;(B48+1))</f>
        <v>4039/4040</v>
      </c>
      <c r="L48" s="21" t="str">
        <f>VLOOKUP(A48,'Trips&amp;Operators'!$C$1:$G$99999,5,FALSE)</f>
        <v>BONDS REYNALDO</v>
      </c>
      <c r="M48" s="6">
        <f>I48-F48</f>
        <v>2.7314814811688848E-2</v>
      </c>
      <c r="N48" s="7">
        <f>24*60*SUM($M48:$M48)</f>
        <v>39.333333328831941</v>
      </c>
      <c r="O48" s="7"/>
      <c r="P48" s="7"/>
      <c r="Q48" s="22"/>
      <c r="R48" s="190"/>
      <c r="S48" s="196">
        <f>SUM(U48:U48)/IF(AG48="EC",12,1)</f>
        <v>1</v>
      </c>
      <c r="T48" s="190" t="str">
        <f>IF(ISEVEN(LEFT(AD48,4)),"Southbound","NorthBound")</f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-05-17T07:50:32-0600',mode:absolute,to:'2017-05-17T10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8" s="192" t="str">
        <f>IF(AA48&lt;IF(AG48="EC",23,5.65),"Y","N")</f>
        <v>N</v>
      </c>
      <c r="X48" s="192">
        <f>VALUE(LEFT(AD48,4))-VALUE(LEFT(AD47,4))</f>
        <v>1</v>
      </c>
      <c r="Y48" s="192">
        <f>RIGHT(D48,LEN(D48)-4)/10000</f>
        <v>23.297999999999998</v>
      </c>
      <c r="Z48" s="192">
        <f>RIGHT(H48,LEN(H48)-4)/10000</f>
        <v>1.41E-2</v>
      </c>
      <c r="AA48" s="192">
        <f>ABS(Z48-Y48)</f>
        <v>23.283899999999999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>IF(LEN(A48)=6,"0"&amp;A48,A48)</f>
        <v>0136-17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/stypes="app*4039*20170517*" /stext=" 15:.+((SYSTEM_STATE.+slice.+state.+changed )|(ment ac)|(multiple cpu faults)|(system.+state.+changed )|(\[timeout)|(PRM\|1\|D)|(kpr)|(kdp)|(train st.+moving)|(\|lc)|(penalty))"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136-17 --locoid 4039 --swversion DE.1.0.9.0 --startMP 204:232980 --initTime 2017-05-17T08:50:32 --startdatetime 2017-05-17T08:56:15 --delay 1 --endMP 204:141 --enddatetime 2017-05-17T09:35:35 --enforcementcount 1 &gt;&gt;C:\Users\stu\Documents\GitHub\eaglep3-reporting\EC\2017-05-17-refined-times.txt</v>
      </c>
      <c r="AI48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{"issue":{"subject":"","project_id":79,"tracker_id":40,"status_id":1,"priority_id":2,"assigned_to_id":23,"start_date":"2017-05-17","description":"","custom_fields":[{"id":1,"name":"Subdivision","value":"EC"},{"id":4,"name":"Milepost","value":"0.0141"},{"id":17,"name":"Train ID","value":"136-17"},{"id":16,"name":"Locomotive ID","value":"4039"},{"id":130,"name":"Impact","value":""},{"id":150,"name":"Time of Event (Mountain Time)","value":"09:35:35"},{"id":151,"name":"Denver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4039 --day 2017-05-17</v>
      </c>
      <c r="AN48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15:35:35"},{"id":29,"name":"Sharepoint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673</v>
      </c>
      <c r="B49" s="7">
        <v>4046</v>
      </c>
      <c r="C49" s="21" t="s">
        <v>206</v>
      </c>
      <c r="D49" s="21" t="s">
        <v>365</v>
      </c>
      <c r="E49" s="13">
        <v>42872.338252314818</v>
      </c>
      <c r="F49" s="13">
        <v>42872.343923611108</v>
      </c>
      <c r="G49" s="7">
        <v>1</v>
      </c>
      <c r="H49" s="21" t="s">
        <v>445</v>
      </c>
      <c r="I49" s="13">
        <v>42872.368888888886</v>
      </c>
      <c r="J49" s="7">
        <v>1</v>
      </c>
      <c r="K49" s="92" t="str">
        <f>IF(ISEVEN(B49),(B49-1)&amp;"/"&amp;B49,B49&amp;"/"&amp;(B49+1))</f>
        <v>4045/4046</v>
      </c>
      <c r="L49" s="21" t="str">
        <f>VLOOKUP(A49,'Trips&amp;Operators'!$C$1:$G$99999,5,FALSE)</f>
        <v>SANTIZO D. EDY</v>
      </c>
      <c r="M49" s="6">
        <f>I49-F49</f>
        <v>2.4965277778392192E-2</v>
      </c>
      <c r="N49" s="7">
        <f>24*60*SUM($M49:$M49)</f>
        <v>35.950000000884756</v>
      </c>
      <c r="O49" s="7"/>
      <c r="P49" s="7"/>
      <c r="Q49" s="22"/>
      <c r="R49" s="190"/>
      <c r="S49" s="196">
        <f>SUM(U49:U49)/IF(AG49="EC",12,1)</f>
        <v>1</v>
      </c>
      <c r="T49" s="190" t="str">
        <f>IF(ISEVEN(LEFT(AD49,4)),"Southbound","NorthBound")</f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-05-17T07:07:05-0600',mode:absolute,to:'2017-05-17T09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9" s="192" t="str">
        <f>IF(AA49&lt;IF(AG49="EC",23,5.65),"Y","N")</f>
        <v>N</v>
      </c>
      <c r="X49" s="192">
        <f>VALUE(LEFT(AD49,4))-VALUE(LEFT(AD48,4))</f>
        <v>1</v>
      </c>
      <c r="Y49" s="192">
        <f>RIGHT(D49,LEN(D49)-4)/10000</f>
        <v>4.4400000000000002E-2</v>
      </c>
      <c r="Z49" s="192">
        <f>RIGHT(H49,LEN(H49)-4)/10000</f>
        <v>23.329699999999999</v>
      </c>
      <c r="AA49" s="192">
        <f>ABS(Z49-Y49)</f>
        <v>23.285299999999999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>IF(LEN(A49)=6,"0"&amp;A49,A49)</f>
        <v>0137-17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s3://rtdc.mdm.uploadarchive.raw/RTDC4046/ "%USERPROFILE%\AppData\Local\Temp\OnboardLogs"\RTDC4046\2017-05-17 --exclude "*" --recursive --include "*20170517*" &amp; "%USERPROFILE%\Documents\GitHub\mrs-test-scripts\Headless Mode &amp; Sideloading\WalkAndUnGZ.bat" "%USERPROFILE%\AppData\Local\Temp\OnboardLogs"\RTDC4046\2017-05-17 &amp; aws s3 cp s3://rtdc.mdm.uploadarchive.raw/RTDC4046/ "%USERPROFILE%\AppData\Local\Temp\OnboardLogs"\RTDC4046\2017-05-18 --exclude "*" --recursive --include "*20170518*" &amp; "%USERPROFILE%\Documents\GitHub\mrs-test-scripts\Headless Mode &amp; Sideloading\WalkAndUnGZ.bat" "%USERPROFILE%\AppData\Local\Temp\OnboardLogs"\RTDC4046\2017-05-18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/stypes="app*4046*20170517*" /stext=" 14:.+((SYSTEM_STATE.+slice.+state.+changed )|(ment ac)|(multiple cpu faults)|(system.+state.+changed )|(\[timeout)|(PRM\|1\|D)|(kpr)|(kdp)|(train st.+moving)|(\|lc)|(penalty))"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137-17 --locoid 4046 --swversion DE.1.0.9.0 --startMP 204:444 --initTime 2017-05-17T08:07:05 --startdatetime 2017-05-17T08:15:15 --delay 1 --endMP 204:233297 --enddatetime 2017-05-17T08:51:12 --enforcementcount 1 &gt;&gt;C:\Users\stu\Documents\GitHub\eaglep3-reporting\EC\2017-05-17-refined-times.txt</v>
      </c>
      <c r="AI49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{"issue":{"subject":"","project_id":79,"tracker_id":40,"status_id":1,"priority_id":2,"assigned_to_id":23,"start_date":"2017-05-17","description":"","custom_fields":[{"id":1,"name":"Subdivision","value":"EC"},{"id":4,"name":"Milepost","value":"23.3297"},{"id":17,"name":"Train ID","value":"137-17"},{"id":16,"name":"Locomotive ID","value":"4046"},{"id":130,"name":"Impact","value":""},{"id":150,"name":"Time of Event (Mountain Time)","value":"08:51:12"},{"id":151,"name":"Denver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4046 --day 2017-05-17</v>
      </c>
      <c r="AN49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683</v>
      </c>
      <c r="B50" s="7">
        <v>4045</v>
      </c>
      <c r="C50" s="21" t="s">
        <v>206</v>
      </c>
      <c r="D50" s="21" t="s">
        <v>541</v>
      </c>
      <c r="E50" s="13">
        <v>42872.370208333334</v>
      </c>
      <c r="F50" s="13">
        <v>42872.382939814815</v>
      </c>
      <c r="G50" s="7">
        <v>1</v>
      </c>
      <c r="H50" s="21" t="s">
        <v>357</v>
      </c>
      <c r="I50" s="13">
        <v>42872.40896990741</v>
      </c>
      <c r="J50" s="7">
        <v>1</v>
      </c>
      <c r="K50" s="92" t="str">
        <f>IF(ISEVEN(B50),(B50-1)&amp;"/"&amp;B50,B50&amp;"/"&amp;(B50+1))</f>
        <v>4045/4046</v>
      </c>
      <c r="L50" s="21" t="str">
        <f>VLOOKUP(A50,'Trips&amp;Operators'!$C$1:$G$99999,5,FALSE)</f>
        <v>SANTIZO D. EDY</v>
      </c>
      <c r="M50" s="6">
        <f>I50-F50</f>
        <v>2.6030092594737653E-2</v>
      </c>
      <c r="N50" s="7">
        <f>24*60*SUM($M50:$M50)</f>
        <v>37.48333333642222</v>
      </c>
      <c r="O50" s="7"/>
      <c r="P50" s="7"/>
      <c r="Q50" s="22"/>
      <c r="R50" s="190"/>
      <c r="S50" s="196">
        <f>SUM(U50:U50)/IF(AG50="EC",12,1)</f>
        <v>1</v>
      </c>
      <c r="T50" s="190" t="str">
        <f>IF(ISEVEN(LEFT(AD50,4)),"Southbound","NorthBound")</f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-05-17T07:53:06-0600',mode:absolute,to:'2017-05-17T10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0" s="192" t="str">
        <f>IF(AA50&lt;IF(AG50="EC",23,5.65),"Y","N")</f>
        <v>N</v>
      </c>
      <c r="X50" s="192">
        <f>VALUE(LEFT(AD50,4))-VALUE(LEFT(AD49,4))</f>
        <v>1</v>
      </c>
      <c r="Y50" s="192">
        <f>RIGHT(D50,LEN(D50)-4)/10000</f>
        <v>23.3</v>
      </c>
      <c r="Z50" s="192">
        <f>RIGHT(H50,LEN(H50)-4)/10000</f>
        <v>1.49E-2</v>
      </c>
      <c r="AA50" s="192">
        <f>ABS(Z50-Y50)</f>
        <v>23.2851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0138-17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s3://rtdc.mdm.uploadarchive.raw/RTDC4045/ "%USERPROFILE%\AppData\Local\Temp\OnboardLogs"\RTDC4045\2017-05-17 --exclude "*" --recursive --include "*20170517*" &amp; "%USERPROFILE%\Documents\GitHub\mrs-test-scripts\Headless Mode &amp; Sideloading\WalkAndUnGZ.bat" "%USERPROFILE%\AppData\Local\Temp\OnboardLogs"\RTDC4045\2017-05-17 &amp; aws s3 cp s3://rtdc.mdm.uploadarchive.raw/RTDC4045/ "%USERPROFILE%\AppData\Local\Temp\OnboardLogs"\RTDC4045\2017-05-18 --exclude "*" --recursive --include "*20170518*" &amp; "%USERPROFILE%\Documents\GitHub\mrs-test-scripts\Headless Mode &amp; Sideloading\WalkAndUnGZ.bat" "%USERPROFILE%\AppData\Local\Temp\OnboardLogs"\RTDC4045\2017-05-18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/stypes="app*4045*20170517*" /stext=" 15:.+((SYSTEM_STATE.+slice.+state.+changed )|(ment ac)|(multiple cpu faults)|(system.+state.+changed )|(\[timeout)|(PRM\|1\|D)|(kpr)|(kdp)|(train st.+moving)|(\|lc)|(penalty))"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138-17 --locoid 4045 --swversion DE.1.0.9.0 --startMP 204:233000 --initTime 2017-05-17T08:53:06 --startdatetime 2017-05-17T09:11:26 --delay 1 --endMP 204:149 --enddatetime 2017-05-17T09:48:55 --enforcementcount 1 &gt;&gt;C:\Users\stu\Documents\GitHub\eaglep3-reporting\EC\2017-05-17-refined-times.txt</v>
      </c>
      <c r="AI50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{"issue":{"subject":"","project_id":79,"tracker_id":40,"status_id":1,"priority_id":2,"assigned_to_id":23,"start_date":"2017-05-17","description":"","custom_fields":[{"id":1,"name":"Subdivision","value":"EC"},{"id":4,"name":"Milepost","value":"0.0149"},{"id":17,"name":"Train ID","value":"138-17"},{"id":16,"name":"Locomotive ID","value":"4045"},{"id":130,"name":"Impact","value":""},{"id":150,"name":"Time of Event (Mountain Time)","value":"09:48:55"},{"id":151,"name":"Denver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4045 --day 2017-05-17</v>
      </c>
      <c r="AN50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15:48:55"},{"id":29,"name":"Sharepoint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676</v>
      </c>
      <c r="B51" s="7">
        <v>4016</v>
      </c>
      <c r="C51" s="21" t="s">
        <v>206</v>
      </c>
      <c r="D51" s="21" t="s">
        <v>352</v>
      </c>
      <c r="E51" s="13">
        <v>42872.348912037036</v>
      </c>
      <c r="F51" s="13">
        <v>42872.354328703703</v>
      </c>
      <c r="G51" s="7">
        <v>0</v>
      </c>
      <c r="H51" s="21" t="s">
        <v>550</v>
      </c>
      <c r="I51" s="13">
        <v>42872.378576388888</v>
      </c>
      <c r="J51" s="7">
        <v>1</v>
      </c>
      <c r="K51" s="92" t="str">
        <f>IF(ISEVEN(B51),(B51-1)&amp;"/"&amp;B51,B51&amp;"/"&amp;(B51+1))</f>
        <v>4015/4016</v>
      </c>
      <c r="L51" s="21" t="str">
        <f>VLOOKUP(A51,'Trips&amp;Operators'!$C$1:$G$99999,5,FALSE)</f>
        <v>ROCHA YAOTL</v>
      </c>
      <c r="M51" s="6">
        <f>I51-F51</f>
        <v>2.4247685185400769E-2</v>
      </c>
      <c r="N51" s="7">
        <f>24*60*SUM($M51:$M51)</f>
        <v>34.916666666977108</v>
      </c>
      <c r="O51" s="7"/>
      <c r="P51" s="7"/>
      <c r="Q51" s="22"/>
      <c r="R51" s="190"/>
      <c r="S51" s="196">
        <f>SUM(U51:U51)/IF(AG51="EC",12,1)</f>
        <v>1</v>
      </c>
      <c r="T51" s="190" t="str">
        <f>IF(ISEVEN(LEFT(AD51,4)),"Southbound","NorthBound")</f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-05-17T07:22:26-0600',mode:absolute,to:'2017-05-17T10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192" t="str">
        <f>IF(AA51&lt;IF(AG51="EC",23,5.65),"Y","N")</f>
        <v>N</v>
      </c>
      <c r="X51" s="192">
        <f>VALUE(LEFT(AD51,4))-VALUE(LEFT(AD50,4))</f>
        <v>1</v>
      </c>
      <c r="Y51" s="192">
        <f>RIGHT(D51,LEN(D51)-4)/10000</f>
        <v>4.4600000000000001E-2</v>
      </c>
      <c r="Z51" s="192">
        <f>RIGHT(H51,LEN(H51)-4)/10000</f>
        <v>23.330100000000002</v>
      </c>
      <c r="AA51" s="192">
        <f>ABS(Z51-Y51)</f>
        <v>23.285500000000003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0139-17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/stypes="app*4016*20170517*" /stext=" 15:.+((SYSTEM_STATE.+slice.+state.+changed )|(ment ac)|(multiple cpu faults)|(system.+state.+changed )|(\[timeout)|(PRM\|1\|D)|(kpr)|(kdp)|(train st.+moving)|(\|lc)|(penalty))"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139-17 --locoid 4016 --swversion DE.1.0.9.0 --startMP 204:446 --initTime 2017-05-17T08:22:26 --startdatetime 2017-05-17T08:30:14 --delay 0 --endMP 204:233301 --enddatetime 2017-05-17T09:05:09 --enforcementcount 1 &gt;&gt;C:\Users\stu\Documents\GitHub\eaglep3-reporting\EC\2017-05-17-refined-times.txt</v>
      </c>
      <c r="AI51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{"issue":{"subject":"","project_id":79,"tracker_id":40,"status_id":1,"priority_id":2,"assigned_to_id":23,"start_date":"2017-05-17","description":"","custom_fields":[{"id":1,"name":"Subdivision","value":"EC"},{"id":4,"name":"Milepost","value":"23.3301"},{"id":17,"name":"Train ID","value":"139-17"},{"id":16,"name":"Locomotive ID","value":"4016"},{"id":130,"name":"Impact","value":""},{"id":150,"name":"Time of Event (Mountain Time)","value":"09:05:09"},{"id":151,"name":"Denver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4016 --day 2017-05-17</v>
      </c>
      <c r="AN51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15:05:09"},{"id":29,"name":"Sharepoint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686</v>
      </c>
      <c r="B52" s="7">
        <v>4015</v>
      </c>
      <c r="C52" s="21" t="s">
        <v>206</v>
      </c>
      <c r="D52" s="21" t="s">
        <v>451</v>
      </c>
      <c r="E52" s="13">
        <v>42872.389432870368</v>
      </c>
      <c r="F52" s="13">
        <v>42872.393252314818</v>
      </c>
      <c r="G52" s="7">
        <v>1</v>
      </c>
      <c r="H52" s="21" t="s">
        <v>354</v>
      </c>
      <c r="I52" s="13">
        <v>42872.420578703706</v>
      </c>
      <c r="J52" s="7">
        <v>1</v>
      </c>
      <c r="K52" s="92" t="str">
        <f>IF(ISEVEN(B52),(B52-1)&amp;"/"&amp;B52,B52&amp;"/"&amp;(B52+1))</f>
        <v>4015/4016</v>
      </c>
      <c r="L52" s="21" t="str">
        <f>VLOOKUP(A52,'Trips&amp;Operators'!$C$1:$G$99999,5,FALSE)</f>
        <v>ROCHA YAOTL</v>
      </c>
      <c r="M52" s="6">
        <f>I52-F52</f>
        <v>2.73263888884685E-2</v>
      </c>
      <c r="N52" s="7">
        <f>24*60*SUM($M52:$M52)</f>
        <v>39.34999999939464</v>
      </c>
      <c r="O52" s="7"/>
      <c r="P52" s="7"/>
      <c r="Q52" s="22"/>
      <c r="R52" s="190"/>
      <c r="S52" s="196">
        <f>SUM(U52:U52)/IF(AG52="EC",12,1)</f>
        <v>1</v>
      </c>
      <c r="T52" s="190" t="str">
        <f>IF(ISEVEN(LEFT(AD52,4)),"Southbound","NorthBound")</f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-05-17T08:20:47-0600',mode:absolute,to:'2017-05-17T11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192" t="str">
        <f>IF(AA52&lt;IF(AG52="EC",23,5.65),"Y","N")</f>
        <v>N</v>
      </c>
      <c r="X52" s="192">
        <f>VALUE(LEFT(AD52,4))-VALUE(LEFT(AD51,4))</f>
        <v>1</v>
      </c>
      <c r="Y52" s="192">
        <f>RIGHT(D52,LEN(D52)-4)/10000</f>
        <v>23.297499999999999</v>
      </c>
      <c r="Z52" s="192">
        <f>RIGHT(H52,LEN(H52)-4)/10000</f>
        <v>1.6E-2</v>
      </c>
      <c r="AA52" s="192">
        <f>ABS(Z52-Y52)</f>
        <v>23.281500000000001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>IF(LEN(A52)=6,"0"&amp;A52,A52)</f>
        <v>0140-17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s3://rtdc.mdm.uploadarchive.raw/RTDC4015/ "%USERPROFILE%\AppData\Local\Temp\OnboardLogs"\RTDC4015\2017-05-17 --exclude "*" --recursive --include "*20170517*" &amp; "%USERPROFILE%\Documents\GitHub\mrs-test-scripts\Headless Mode &amp; Sideloading\WalkAndUnGZ.bat" "%USERPROFILE%\AppData\Local\Temp\OnboardLogs"\RTDC4015\2017-05-17 &amp; aws s3 cp s3://rtdc.mdm.uploadarchive.raw/RTDC4015/ "%USERPROFILE%\AppData\Local\Temp\OnboardLogs"\RTDC4015\2017-05-18 --exclude "*" --recursive --include "*20170518*" &amp; "%USERPROFILE%\Documents\GitHub\mrs-test-scripts\Headless Mode &amp; Sideloading\WalkAndUnGZ.bat" "%USERPROFILE%\AppData\Local\Temp\OnboardLogs"\RTDC4015\2017-05-18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/stypes="app*4015*20170517*" /stext=" 16:.+((SYSTEM_STATE.+slice.+state.+changed )|(ment ac)|(multiple cpu faults)|(system.+state.+changed )|(\[timeout)|(PRM\|1\|D)|(kpr)|(kdp)|(train st.+moving)|(\|lc)|(penalty))"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140-17 --locoid 4015 --swversion DE.1.0.9.0 --startMP 204:232975 --initTime 2017-05-17T09:20:47 --startdatetime 2017-05-17T09:26:17 --delay 1 --endMP 204:160 --enddatetime 2017-05-17T10:05:38 --enforcementcount 1 &gt;&gt;C:\Users\stu\Documents\GitHub\eaglep3-reporting\EC\2017-05-17-refined-times.txt</v>
      </c>
      <c r="AI52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{"issue":{"subject":"","project_id":79,"tracker_id":40,"status_id":1,"priority_id":2,"assigned_to_id":23,"start_date":"2017-05-17","description":"","custom_fields":[{"id":1,"name":"Subdivision","value":"EC"},{"id":4,"name":"Milepost","value":"0.016"},{"id":17,"name":"Train ID","value":"140-17"},{"id":16,"name":"Locomotive ID","value":"4015"},{"id":130,"name":"Impact","value":""},{"id":150,"name":"Time of Event (Mountain Time)","value":"10:05:38"},{"id":151,"name":"Denver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4015 --day 2017-05-17</v>
      </c>
      <c r="AN52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16:05:38"},{"id":29,"name":"Sharepoint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680</v>
      </c>
      <c r="B53" s="7">
        <v>4030</v>
      </c>
      <c r="C53" s="21" t="s">
        <v>206</v>
      </c>
      <c r="D53" s="21" t="s">
        <v>375</v>
      </c>
      <c r="E53" s="13">
        <v>42872.360439814816</v>
      </c>
      <c r="F53" s="13">
        <v>42872.364814814813</v>
      </c>
      <c r="G53" s="7">
        <v>1</v>
      </c>
      <c r="H53" s="21" t="s">
        <v>858</v>
      </c>
      <c r="I53" s="13">
        <v>42872.38994212963</v>
      </c>
      <c r="J53" s="7">
        <v>1</v>
      </c>
      <c r="K53" s="92" t="str">
        <f>IF(ISEVEN(B53),(B53-1)&amp;"/"&amp;B53,B53&amp;"/"&amp;(B53+1))</f>
        <v>4029/4030</v>
      </c>
      <c r="L53" s="21" t="str">
        <f>VLOOKUP(A53,'Trips&amp;Operators'!$C$1:$G$99999,5,FALSE)</f>
        <v>BADERTSCHER DIANE</v>
      </c>
      <c r="M53" s="6">
        <f>I53-F53</f>
        <v>2.5127314816927537E-2</v>
      </c>
      <c r="N53" s="7">
        <f>24*60*SUM($M53:$M53)</f>
        <v>36.183333336375654</v>
      </c>
      <c r="O53" s="7"/>
      <c r="P53" s="7"/>
      <c r="Q53" s="22"/>
      <c r="R53" s="190"/>
      <c r="S53" s="196">
        <f>SUM(U53:U53)/IF(AG53="EC",12,1)</f>
        <v>1</v>
      </c>
      <c r="T53" s="190" t="str">
        <f>IF(ISEVEN(LEFT(AD53,4)),"Southbound","NorthBound")</f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-05-17T07:39:02-0600',mode:absolute,to:'2017-05-17T10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3" s="192" t="str">
        <f>IF(AA53&lt;IF(AG53="EC",23,5.65),"Y","N")</f>
        <v>N</v>
      </c>
      <c r="X53" s="192">
        <f>VALUE(LEFT(AD53,4))-VALUE(LEFT(AD52,4))</f>
        <v>1</v>
      </c>
      <c r="Y53" s="192">
        <f>RIGHT(D53,LEN(D53)-4)/10000</f>
        <v>4.5499999999999999E-2</v>
      </c>
      <c r="Z53" s="192">
        <f>RIGHT(H53,LEN(H53)-4)/10000</f>
        <v>23.332699999999999</v>
      </c>
      <c r="AA53" s="192">
        <f>ABS(Z53-Y53)</f>
        <v>23.287199999999999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0141-17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s3://rtdc.mdm.uploadarchive.raw/RTDC4030/ "%USERPROFILE%\AppData\Local\Temp\OnboardLogs"\RTDC4030\2017-05-17 --exclude "*" --recursive --include "*20170517*" &amp; "%USERPROFILE%\Documents\GitHub\mrs-test-scripts\Headless Mode &amp; Sideloading\WalkAndUnGZ.bat" "%USERPROFILE%\AppData\Local\Temp\OnboardLogs"\RTDC4030\2017-05-17 &amp; 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/stypes="app*4030*20170517*" /stext=" 15:.+((SYSTEM_STATE.+slice.+state.+changed )|(ment ac)|(multiple cpu faults)|(system.+state.+changed )|(\[timeout)|(PRM\|1\|D)|(kpr)|(kdp)|(train st.+moving)|(\|lc)|(penalty))"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141-17 --locoid 4030 --swversion DE.1.0.9.0 --startMP 204:455 --initTime 2017-05-17T08:39:02 --startdatetime 2017-05-17T08:45:20 --delay 1 --endMP 204:233327 --enddatetime 2017-05-17T09:21:31 --enforcementcount 1 &gt;&gt;C:\Users\stu\Documents\GitHub\eaglep3-reporting\EC\2017-05-17-refined-times.txt</v>
      </c>
      <c r="AI53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{"issue":{"subject":"","project_id":79,"tracker_id":40,"status_id":1,"priority_id":2,"assigned_to_id":23,"start_date":"2017-05-17","description":"","custom_fields":[{"id":1,"name":"Subdivision","value":"EC"},{"id":4,"name":"Milepost","value":"23.3327"},{"id":17,"name":"Train ID","value":"141-17"},{"id":16,"name":"Locomotive ID","value":"4030"},{"id":130,"name":"Impact","value":""},{"id":150,"name":"Time of Event (Mountain Time)","value":"09:21:31"},{"id":151,"name":"Denver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4030 --day 2017-05-17</v>
      </c>
      <c r="AN53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15:21:31"},{"id":29,"name":"Sharepoint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589</v>
      </c>
      <c r="B54" s="7">
        <v>4029</v>
      </c>
      <c r="C54" s="21" t="s">
        <v>206</v>
      </c>
      <c r="D54" s="21" t="s">
        <v>541</v>
      </c>
      <c r="E54" s="13">
        <v>42872.395694444444</v>
      </c>
      <c r="F54" s="13">
        <v>42872.403611111113</v>
      </c>
      <c r="G54" s="7">
        <v>1</v>
      </c>
      <c r="H54" s="21" t="s">
        <v>357</v>
      </c>
      <c r="I54" s="13">
        <v>42872.431620370371</v>
      </c>
      <c r="J54" s="7">
        <v>1</v>
      </c>
      <c r="K54" s="92" t="str">
        <f>IF(ISEVEN(B54),(B54-1)&amp;"/"&amp;B54,B54&amp;"/"&amp;(B54+1))</f>
        <v>4029/4030</v>
      </c>
      <c r="L54" s="21" t="str">
        <f>VLOOKUP(A54,'Trips&amp;Operators'!$C$1:$G$99999,5,FALSE)</f>
        <v>BADERTSCHER DIANE</v>
      </c>
      <c r="M54" s="6">
        <f>I54-F54</f>
        <v>2.8009259258396924E-2</v>
      </c>
      <c r="N54" s="7">
        <f>24*60*SUM($M54:$M54)</f>
        <v>40.33333333209157</v>
      </c>
      <c r="O54" s="7"/>
      <c r="P54" s="7"/>
      <c r="Q54" s="22"/>
      <c r="R54" s="190"/>
      <c r="S54" s="196">
        <f>SUM(U54:U54)/IF(AG54="EC",12,1)</f>
        <v>1</v>
      </c>
      <c r="T54" s="190" t="str">
        <f>IF(ISEVEN(LEFT(AD54,4)),"Southbound","NorthBound")</f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-05-17T08:29:48-0600',mode:absolute,to:'2017-05-17T11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192" t="str">
        <f>IF(AA54&lt;IF(AG54="EC",23,5.65),"Y","N")</f>
        <v>N</v>
      </c>
      <c r="X54" s="192">
        <f>VALUE(LEFT(AD54,4))-VALUE(LEFT(AD53,4))</f>
        <v>1</v>
      </c>
      <c r="Y54" s="192">
        <f>RIGHT(D54,LEN(D54)-4)/10000</f>
        <v>23.3</v>
      </c>
      <c r="Z54" s="192">
        <f>RIGHT(H54,LEN(H54)-4)/10000</f>
        <v>1.49E-2</v>
      </c>
      <c r="AA54" s="192">
        <f>ABS(Z54-Y54)</f>
        <v>23.2851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>IF(LEN(A54)=6,"0"&amp;A54,A54)</f>
        <v>0142-17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/stypes="app*4029*20170517*" /stext=" 16:.+((SYSTEM_STATE.+slice.+state.+changed )|(ment ac)|(multiple cpu faults)|(system.+state.+changed )|(\[timeout)|(PRM\|1\|D)|(kpr)|(kdp)|(train st.+moving)|(\|lc)|(penalty))"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142-17 --locoid 4029 --swversion DE.1.0.9.0 --startMP 204:233000 --initTime 2017-05-17T09:29:48 --startdatetime 2017-05-17T09:41:12 --delay 1 --endMP 204:149 --enddatetime 2017-05-17T10:21:32 --enforcementcount 1 &gt;&gt;C:\Users\stu\Documents\GitHub\eaglep3-reporting\EC\2017-05-17-refined-times.txt</v>
      </c>
      <c r="AI54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{"issue":{"subject":"","project_id":79,"tracker_id":40,"status_id":1,"priority_id":2,"assigned_to_id":23,"start_date":"2017-05-17","description":"","custom_fields":[{"id":1,"name":"Subdivision","value":"EC"},{"id":4,"name":"Milepost","value":"0.0149"},{"id":17,"name":"Train ID","value":"142-17"},{"id":16,"name":"Locomotive ID","value":"4029"},{"id":130,"name":"Impact","value":""},{"id":150,"name":"Time of Event (Mountain Time)","value":"10:21:32"},{"id":151,"name":"Denver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4029 --day 2017-05-17</v>
      </c>
      <c r="AN54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16:21:32"},{"id":29,"name":"Sharepoint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682</v>
      </c>
      <c r="B55" s="7">
        <v>4042</v>
      </c>
      <c r="C55" s="21" t="s">
        <v>206</v>
      </c>
      <c r="D55" s="21" t="s">
        <v>352</v>
      </c>
      <c r="E55" s="13">
        <v>42872.369212962964</v>
      </c>
      <c r="F55" s="13">
        <v>42872.375833333332</v>
      </c>
      <c r="G55" s="7">
        <v>1</v>
      </c>
      <c r="H55" s="21" t="s">
        <v>448</v>
      </c>
      <c r="I55" s="13">
        <v>42872.400081018517</v>
      </c>
      <c r="J55" s="7">
        <v>1</v>
      </c>
      <c r="K55" s="92" t="str">
        <f>IF(ISEVEN(B55),(B55-1)&amp;"/"&amp;B55,B55&amp;"/"&amp;(B55+1))</f>
        <v>4041/4042</v>
      </c>
      <c r="L55" s="21" t="str">
        <f>VLOOKUP(A55,'Trips&amp;Operators'!$C$1:$G$99999,5,FALSE)</f>
        <v>STARKS ANGELINA</v>
      </c>
      <c r="M55" s="6">
        <f>I55-F55</f>
        <v>2.4247685185400769E-2</v>
      </c>
      <c r="N55" s="7">
        <f>24*60*SUM($M55:$M55)</f>
        <v>34.916666666977108</v>
      </c>
      <c r="O55" s="7"/>
      <c r="P55" s="7"/>
      <c r="Q55" s="22"/>
      <c r="R55" s="190"/>
      <c r="S55" s="196">
        <f>SUM(U55:U55)/IF(AG55="EC",12,1)</f>
        <v>1</v>
      </c>
      <c r="T55" s="190" t="str">
        <f>IF(ISEVEN(LEFT(AD55,4)),"Southbound","NorthBound")</f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-05-17T07:51:40-0600',mode:absolute,to:'2017-05-17T10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192" t="str">
        <f>IF(AA55&lt;IF(AG55="EC",23,5.65),"Y","N")</f>
        <v>N</v>
      </c>
      <c r="X55" s="192">
        <f>VALUE(LEFT(AD55,4))-VALUE(LEFT(AD54,4))</f>
        <v>1</v>
      </c>
      <c r="Y55" s="192">
        <f>RIGHT(D55,LEN(D55)-4)/10000</f>
        <v>4.4600000000000001E-2</v>
      </c>
      <c r="Z55" s="192">
        <f>RIGHT(H55,LEN(H55)-4)/10000</f>
        <v>23.329499999999999</v>
      </c>
      <c r="AA55" s="192">
        <f>ABS(Z55-Y55)</f>
        <v>23.2849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0143-17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/stypes="app*4042*20170517*" /stext=" 15:.+((SYSTEM_STATE.+slice.+state.+changed )|(ment ac)|(multiple cpu faults)|(system.+state.+changed )|(\[timeout)|(PRM\|1\|D)|(kpr)|(kdp)|(train st.+moving)|(\|lc)|(penalty))"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143-17 --locoid 4042 --swversion DE.1.0.9.0 --startMP 204:446 --initTime 2017-05-17T08:51:40 --startdatetime 2017-05-17T09:01:12 --delay 1 --endMP 204:233295 --enddatetime 2017-05-17T09:36:07 --enforcementcount 1 &gt;&gt;C:\Users\stu\Documents\GitHub\eaglep3-reporting\EC\2017-05-17-refined-times.txt</v>
      </c>
      <c r="AI55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{"issue":{"subject":"","project_id":79,"tracker_id":40,"status_id":1,"priority_id":2,"assigned_to_id":23,"start_date":"2017-05-17","description":"","custom_fields":[{"id":1,"name":"Subdivision","value":"EC"},{"id":4,"name":"Milepost","value":"23.3295"},{"id":17,"name":"Train ID","value":"143-17"},{"id":16,"name":"Locomotive ID","value":"4042"},{"id":130,"name":"Impact","value":""},{"id":150,"name":"Time of Event (Mountain Time)","value":"09:36:07"},{"id":151,"name":"Denver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4042 --day 2017-05-17</v>
      </c>
      <c r="AN55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15:36:07"},{"id":29,"name":"Sharepoint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691</v>
      </c>
      <c r="B56" s="7">
        <v>4041</v>
      </c>
      <c r="C56" s="21" t="s">
        <v>206</v>
      </c>
      <c r="D56" s="21" t="s">
        <v>551</v>
      </c>
      <c r="E56" s="13">
        <v>42872.410567129627</v>
      </c>
      <c r="F56" s="13">
        <v>42872.414120370369</v>
      </c>
      <c r="G56" s="7">
        <v>1</v>
      </c>
      <c r="H56" s="21" t="s">
        <v>348</v>
      </c>
      <c r="I56" s="13">
        <v>42872.440682870372</v>
      </c>
      <c r="J56" s="7">
        <v>1</v>
      </c>
      <c r="K56" s="92" t="str">
        <f>IF(ISEVEN(B56),(B56-1)&amp;"/"&amp;B56,B56&amp;"/"&amp;(B56+1))</f>
        <v>4041/4042</v>
      </c>
      <c r="L56" s="21" t="str">
        <f>VLOOKUP(A56,'Trips&amp;Operators'!$C$1:$G$99999,5,FALSE)</f>
        <v>STARKS ANGELINA</v>
      </c>
      <c r="M56" s="6">
        <f>I56-F56</f>
        <v>2.6562500002910383E-2</v>
      </c>
      <c r="N56" s="7">
        <f>24*60*SUM($M56:$M56)</f>
        <v>38.250000004190952</v>
      </c>
      <c r="O56" s="7"/>
      <c r="P56" s="7"/>
      <c r="Q56" s="22"/>
      <c r="R56" s="190"/>
      <c r="S56" s="196">
        <f>SUM(U56:U56)/IF(AG56="EC",12,1)</f>
        <v>1</v>
      </c>
      <c r="T56" s="190" t="str">
        <f>IF(ISEVEN(LEFT(AD56,4)),"Southbound","NorthBound")</f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-05-17T08:51:13-0600',mode:absolute,to:'2017-05-17T11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6" s="192" t="str">
        <f>IF(AA56&lt;IF(AG56="EC",23,5.65),"Y","N")</f>
        <v>N</v>
      </c>
      <c r="X56" s="192">
        <f>VALUE(LEFT(AD56,4))-VALUE(LEFT(AD55,4))</f>
        <v>1</v>
      </c>
      <c r="Y56" s="192">
        <f>RIGHT(D56,LEN(D56)-4)/10000</f>
        <v>23.298400000000001</v>
      </c>
      <c r="Z56" s="192">
        <f>RIGHT(H56,LEN(H56)-4)/10000</f>
        <v>1.38E-2</v>
      </c>
      <c r="AA56" s="192">
        <f>ABS(Z56-Y56)</f>
        <v>23.284600000000001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>IF(LEN(A56)=6,"0"&amp;A56,A56)</f>
        <v>0144-17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 &amp; aws s3 cp s3://rtdc.mdm.uploadarchive.raw/RTDC4041/ "%USERPROFILE%\AppData\Local\Temp\OnboardLogs"\RTDC4041\2017-05-18 --exclude "*" --recursive --include "*20170518*" &amp; "%USERPROFILE%\Documents\GitHub\mrs-test-scripts\Headless Mode &amp; Sideloading\WalkAndUnGZ.bat" "%USERPROFILE%\AppData\Local\Temp\OnboardLogs"\RTDC4041\2017-05-18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/stypes="app*4041*20170517*" /stext=" 16:.+((SYSTEM_STATE.+slice.+state.+changed )|(ment ac)|(multiple cpu faults)|(system.+state.+changed )|(\[timeout)|(PRM\|1\|D)|(kpr)|(kdp)|(train st.+moving)|(\|lc)|(penalty))"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144-17 --locoid 4041 --swversion DE.1.0.9.0 --startMP 204:232984 --initTime 2017-05-17T09:51:13 --startdatetime 2017-05-17T09:56:20 --delay 1 --endMP 204:138 --enddatetime 2017-05-17T10:34:35 --enforcementcount 1 &gt;&gt;C:\Users\stu\Documents\GitHub\eaglep3-reporting\EC\2017-05-17-refined-times.txt</v>
      </c>
      <c r="AI56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{"issue":{"subject":"","project_id":79,"tracker_id":40,"status_id":1,"priority_id":2,"assigned_to_id":23,"start_date":"2017-05-17","description":"","custom_fields":[{"id":1,"name":"Subdivision","value":"EC"},{"id":4,"name":"Milepost","value":"0.0138"},{"id":17,"name":"Train ID","value":"144-17"},{"id":16,"name":"Locomotive ID","value":"4041"},{"id":130,"name":"Impact","value":""},{"id":150,"name":"Time of Event (Mountain Time)","value":"10:34:35"},{"id":151,"name":"Denver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4041 --day 2017-05-17</v>
      </c>
      <c r="AN56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16:34:35"},{"id":29,"name":"Sharepoint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684</v>
      </c>
      <c r="B57" s="7">
        <v>4012</v>
      </c>
      <c r="C57" s="21" t="s">
        <v>206</v>
      </c>
      <c r="D57" s="21" t="s">
        <v>202</v>
      </c>
      <c r="E57" s="13">
        <v>42872.381805555553</v>
      </c>
      <c r="F57" s="13">
        <v>42872.385659722226</v>
      </c>
      <c r="G57" s="7">
        <v>1</v>
      </c>
      <c r="H57" s="21" t="s">
        <v>532</v>
      </c>
      <c r="I57" s="13">
        <v>42872.410439814812</v>
      </c>
      <c r="J57" s="7">
        <v>1</v>
      </c>
      <c r="K57" s="92" t="str">
        <f>IF(ISEVEN(B57),(B57-1)&amp;"/"&amp;B57,B57&amp;"/"&amp;(B57+1))</f>
        <v>4011/4012</v>
      </c>
      <c r="L57" s="21" t="str">
        <f>VLOOKUP(A57,'Trips&amp;Operators'!$C$1:$G$99999,5,FALSE)</f>
        <v>MAELZER KURT</v>
      </c>
      <c r="M57" s="6">
        <f>I57-F57</f>
        <v>2.4780092586297542E-2</v>
      </c>
      <c r="N57" s="7">
        <f>24*60*SUM($M57:$M57)</f>
        <v>35.68333332426846</v>
      </c>
      <c r="O57" s="7"/>
      <c r="P57" s="7"/>
      <c r="Q57" s="22"/>
      <c r="R57" s="190"/>
      <c r="S57" s="196">
        <f>SUM(U57:U57)/IF(AG57="EC",12,1)</f>
        <v>1</v>
      </c>
      <c r="T57" s="190" t="str">
        <f>IF(ISEVEN(LEFT(AD57,4)),"Southbound","NorthBound")</f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-05-17T08:09:48-0600',mode:absolute,to:'2017-05-17T10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7" s="192" t="str">
        <f>IF(AA57&lt;IF(AG57="EC",23,5.65),"Y","N")</f>
        <v>N</v>
      </c>
      <c r="X57" s="192">
        <f>VALUE(LEFT(AD57,4))-VALUE(LEFT(AD56,4))</f>
        <v>1</v>
      </c>
      <c r="Y57" s="192">
        <f>RIGHT(D57,LEN(D57)-4)/10000</f>
        <v>4.5699999999999998E-2</v>
      </c>
      <c r="Z57" s="192">
        <f>RIGHT(H57,LEN(H57)-4)/10000</f>
        <v>23.331</v>
      </c>
      <c r="AA57" s="192">
        <f>ABS(Z57-Y57)</f>
        <v>23.285299999999999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>IF(LEN(A57)=6,"0"&amp;A57,A57)</f>
        <v>0145-17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s3://rtdc.mdm.uploadarchive.raw/RTDC4012/ "%USERPROFILE%\AppData\Local\Temp\OnboardLogs"\RTDC4012\2017-05-17 --exclude "*" --recursive --include "*20170517*" &amp; "%USERPROFILE%\Documents\GitHub\mrs-test-scripts\Headless Mode &amp; Sideloading\WalkAndUnGZ.bat" "%USERPROFILE%\AppData\Local\Temp\OnboardLogs"\RTDC4012\2017-05-17 &amp; 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/stypes="app*4012*20170517*" /stext=" 15:.+((SYSTEM_STATE.+slice.+state.+changed )|(ment ac)|(multiple cpu faults)|(system.+state.+changed )|(\[timeout)|(PRM\|1\|D)|(kpr)|(kdp)|(train st.+moving)|(\|lc)|(penalty))"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si="4"/>
        <v>"%USERPROFILE%\Documents\GitHub\eaglep3\Utilities\RefineRTDCRunTimes.py" --tripid 145-17 --locoid 4012 --swversion DE.1.0.9.0 --startMP 204:457 --initTime 2017-05-17T09:09:48 --startdatetime 2017-05-17T09:15:21 --delay 1 --endMP 204:233310 --enddatetime 2017-05-17T09:51:02 --enforcementcount 1 &gt;&gt;C:\Users\stu\Documents\GitHub\eaglep3-reporting\EC\2017-05-17-refined-times.txt</v>
      </c>
      <c r="AI57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{"issue":{"subject":"","project_id":79,"tracker_id":40,"status_id":1,"priority_id":2,"assigned_to_id":23,"start_date":"2017-05-17","description":"","custom_fields":[{"id":1,"name":"Subdivision","value":"EC"},{"id":4,"name":"Milepost","value":"23.331"},{"id":17,"name":"Train ID","value":"145-17"},{"id":16,"name":"Locomotive ID","value":"4012"},{"id":130,"name":"Impact","value":""},{"id":150,"name":"Time of Event (Mountain Time)","value":"09:51:02"},{"id":151,"name":"Denver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6"/>
        <v>start /low /b %USERPROFILE%\Documents\GitHub\eaglep3\Utilities\DownloadLogsFromS3.py --loco 4012 --day 2017-05-17</v>
      </c>
      <c r="AN57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15:51:02"},{"id":29,"name":"Sharepoint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693</v>
      </c>
      <c r="B58" s="7">
        <v>4011</v>
      </c>
      <c r="C58" s="21" t="s">
        <v>206</v>
      </c>
      <c r="D58" s="21" t="s">
        <v>859</v>
      </c>
      <c r="E58" s="13">
        <v>42872.419212962966</v>
      </c>
      <c r="F58" s="13">
        <v>42872.424618055556</v>
      </c>
      <c r="G58" s="7">
        <v>0</v>
      </c>
      <c r="H58" s="21" t="s">
        <v>363</v>
      </c>
      <c r="I58" s="13">
        <v>42872.450995370367</v>
      </c>
      <c r="J58" s="7">
        <v>1</v>
      </c>
      <c r="K58" s="92" t="str">
        <f>IF(ISEVEN(B58),(B58-1)&amp;"/"&amp;B58,B58&amp;"/"&amp;(B58+1))</f>
        <v>4011/4012</v>
      </c>
      <c r="L58" s="21" t="str">
        <f>VLOOKUP(A58,'Trips&amp;Operators'!$C$1:$G$99999,5,FALSE)</f>
        <v>MAELZER KURT</v>
      </c>
      <c r="M58" s="6">
        <f>I58-F58</f>
        <v>2.6377314810815733E-2</v>
      </c>
      <c r="N58" s="7">
        <f>24*60*SUM($M58:$M58)</f>
        <v>37.983333327574655</v>
      </c>
      <c r="O58" s="7"/>
      <c r="P58" s="7"/>
      <c r="Q58" s="22"/>
      <c r="R58" s="190"/>
      <c r="S58" s="196">
        <f>SUM(U58:U58)/IF(AG58="EC",12,1)</f>
        <v>1</v>
      </c>
      <c r="T58" s="190" t="str">
        <f>IF(ISEVEN(LEFT(AD58,4)),"Southbound","NorthBound")</f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-05-17T09:03:40-0600',mode:absolute,to:'2017-05-17T11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8" s="192" t="str">
        <f>IF(AA58&lt;IF(AG58="EC",23,5.65),"Y","N")</f>
        <v>N</v>
      </c>
      <c r="X58" s="192">
        <f>VALUE(LEFT(AD58,4))-VALUE(LEFT(AD57,4))</f>
        <v>1</v>
      </c>
      <c r="Y58" s="192">
        <f>RIGHT(D58,LEN(D58)-4)/10000</f>
        <v>23.300999999999998</v>
      </c>
      <c r="Z58" s="192">
        <f>RIGHT(H58,LEN(H58)-4)/10000</f>
        <v>1.5599999999999999E-2</v>
      </c>
      <c r="AA58" s="192">
        <f>ABS(Z58-Y58)</f>
        <v>23.285399999999999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>IF(LEN(A58)=6,"0"&amp;A58,A58)</f>
        <v>0146-17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s3://rtdc.mdm.uploadarchive.raw/RTDC4011/ "%USERPROFILE%\AppData\Local\Temp\OnboardLogs"\RTDC4011\2017-05-17 --exclude "*" --recursive --include "*20170517*" &amp; "%USERPROFILE%\Documents\GitHub\mrs-test-scripts\Headless Mode &amp; Sideloading\WalkAndUnGZ.bat" "%USERPROFILE%\AppData\Local\Temp\OnboardLogs"\RTDC4011\2017-05-17 &amp; 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/stypes="app*4011*20170517*" /stext=" 16:.+((SYSTEM_STATE.+slice.+state.+changed )|(ment ac)|(multiple cpu faults)|(system.+state.+changed )|(\[timeout)|(PRM\|1\|D)|(kpr)|(kdp)|(train st.+moving)|(\|lc)|(penalty))"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146-17 --locoid 4011 --swversion DE.1.0.9.0 --startMP 204:233010 --initTime 2017-05-17T10:03:40 --startdatetime 2017-05-17T10:11:27 --delay 0 --endMP 204:156 --enddatetime 2017-05-17T10:49:26 --enforcementcount 1 &gt;&gt;C:\Users\stu\Documents\GitHub\eaglep3-reporting\EC\2017-05-17-refined-times.txt</v>
      </c>
      <c r="AI58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{"issue":{"subject":"","project_id":79,"tracker_id":40,"status_id":1,"priority_id":2,"assigned_to_id":23,"start_date":"2017-05-17","description":"","custom_fields":[{"id":1,"name":"Subdivision","value":"EC"},{"id":4,"name":"Milepost","value":"0.0156"},{"id":17,"name":"Train ID","value":"146-17"},{"id":16,"name":"Locomotive ID","value":"4011"},{"id":130,"name":"Impact","value":""},{"id":150,"name":"Time of Event (Mountain Time)","value":"10:49:26"},{"id":151,"name":"Denver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4011 --day 2017-05-17</v>
      </c>
      <c r="AN58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16:49:26"},{"id":29,"name":"Sharepoint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687</v>
      </c>
      <c r="B59" s="7">
        <v>4024</v>
      </c>
      <c r="C59" s="21" t="s">
        <v>206</v>
      </c>
      <c r="D59" s="21" t="s">
        <v>413</v>
      </c>
      <c r="E59" s="13">
        <v>42872.389675925922</v>
      </c>
      <c r="F59" s="13">
        <v>42872.396006944444</v>
      </c>
      <c r="G59" s="7">
        <v>1</v>
      </c>
      <c r="H59" s="21" t="s">
        <v>547</v>
      </c>
      <c r="I59" s="13">
        <v>42872.420312499999</v>
      </c>
      <c r="J59" s="7">
        <v>1</v>
      </c>
      <c r="K59" s="92" t="str">
        <f>IF(ISEVEN(B59),(B59-1)&amp;"/"&amp;B59,B59&amp;"/"&amp;(B59+1))</f>
        <v>4023/4024</v>
      </c>
      <c r="L59" s="21" t="str">
        <f>VLOOKUP(A59,'Trips&amp;Operators'!$C$1:$G$99999,5,FALSE)</f>
        <v>GEBRETEKLE DAGNEW</v>
      </c>
      <c r="M59" s="6">
        <f>I59-F59</f>
        <v>2.4305555554747116E-2</v>
      </c>
      <c r="N59" s="7">
        <f>24*60*SUM($M59:$M59)</f>
        <v>34.999999998835847</v>
      </c>
      <c r="O59" s="7"/>
      <c r="P59" s="7"/>
      <c r="Q59" s="22"/>
      <c r="R59" s="190"/>
      <c r="S59" s="196">
        <f>SUM(U59:U59)/IF(AG59="EC",12,1)</f>
        <v>1</v>
      </c>
      <c r="T59" s="190" t="str">
        <f>IF(ISEVEN(LEFT(AD59,4)),"Southbound","NorthBound")</f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-05-17T08:21:08-0600',mode:absolute,to:'2017-05-17T11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9" s="192" t="str">
        <f>IF(AA59&lt;IF(AG59="EC",23,5.65),"Y","N")</f>
        <v>N</v>
      </c>
      <c r="X59" s="192">
        <f>VALUE(LEFT(AD59,4))-VALUE(LEFT(AD58,4))</f>
        <v>1</v>
      </c>
      <c r="Y59" s="192">
        <f>RIGHT(D59,LEN(D59)-4)/10000</f>
        <v>4.7699999999999999E-2</v>
      </c>
      <c r="Z59" s="192">
        <f>RIGHT(H59,LEN(H59)-4)/10000</f>
        <v>23.335100000000001</v>
      </c>
      <c r="AA59" s="192">
        <f>ABS(Z59-Y59)</f>
        <v>23.287400000000002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>IF(LEN(A59)=6,"0"&amp;A59,A59)</f>
        <v>0147-17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/stypes="app*4024*20170517*" /stext=" 16:.+((SYSTEM_STATE.+slice.+state.+changed )|(ment ac)|(multiple cpu faults)|(system.+state.+changed )|(\[timeout)|(PRM\|1\|D)|(kpr)|(kdp)|(train st.+moving)|(\|lc)|(penalty))"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147-17 --locoid 4024 --swversion DE.1.0.9.0 --startMP 204:477 --initTime 2017-05-17T09:21:08 --startdatetime 2017-05-17T09:30:15 --delay 1 --endMP 204:233351 --enddatetime 2017-05-17T10:05:15 --enforcementcount 1 &gt;&gt;C:\Users\stu\Documents\GitHub\eaglep3-reporting\EC\2017-05-17-refined-times.txt</v>
      </c>
      <c r="AI59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{"issue":{"subject":"","project_id":79,"tracker_id":40,"status_id":1,"priority_id":2,"assigned_to_id":23,"start_date":"2017-05-17","description":"","custom_fields":[{"id":1,"name":"Subdivision","value":"EC"},{"id":4,"name":"Milepost","value":"23.3351"},{"id":17,"name":"Train ID","value":"147-17"},{"id":16,"name":"Locomotive ID","value":"4024"},{"id":130,"name":"Impact","value":""},{"id":150,"name":"Time of Event (Mountain Time)","value":"10:05:15"},{"id":151,"name":"Denver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4024 --day 2017-05-17</v>
      </c>
      <c r="AN59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16:05:15"},{"id":29,"name":"Sharepoint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694</v>
      </c>
      <c r="B60" s="7">
        <v>4023</v>
      </c>
      <c r="C60" s="21" t="s">
        <v>206</v>
      </c>
      <c r="D60" s="21" t="s">
        <v>860</v>
      </c>
      <c r="E60" s="13">
        <v>42872.422662037039</v>
      </c>
      <c r="F60" s="13">
        <v>42872.434907407405</v>
      </c>
      <c r="G60" s="7">
        <v>1</v>
      </c>
      <c r="H60" s="21" t="s">
        <v>432</v>
      </c>
      <c r="I60" s="13">
        <v>42872.460810185185</v>
      </c>
      <c r="J60" s="7">
        <v>1</v>
      </c>
      <c r="K60" s="92" t="str">
        <f>IF(ISEVEN(B60),(B60-1)&amp;"/"&amp;B60,B60&amp;"/"&amp;(B60+1))</f>
        <v>4023/4024</v>
      </c>
      <c r="L60" s="21" t="str">
        <f>VLOOKUP(A60,'Trips&amp;Operators'!$C$1:$G$99999,5,FALSE)</f>
        <v>GEBRETEKLE DAGNEW</v>
      </c>
      <c r="M60" s="6">
        <f>I60-F60</f>
        <v>2.5902777779265307E-2</v>
      </c>
      <c r="N60" s="7">
        <f>24*60*SUM($M60:$M60)</f>
        <v>37.300000002142042</v>
      </c>
      <c r="O60" s="7"/>
      <c r="P60" s="7"/>
      <c r="Q60" s="22"/>
      <c r="R60" s="190"/>
      <c r="S60" s="196">
        <f>SUM(U60:U60)/IF(AG60="EC",12,1)</f>
        <v>1</v>
      </c>
      <c r="T60" s="190" t="str">
        <f>IF(ISEVEN(LEFT(AD60,4)),"Southbound","NorthBound")</f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-05-17T09:08:38-0600',mode:absolute,to:'2017-05-17T12:03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0" s="192" t="str">
        <f>IF(AA60&lt;IF(AG60="EC",23,5.65),"Y","N")</f>
        <v>N</v>
      </c>
      <c r="X60" s="192">
        <f>VALUE(LEFT(AD60,4))-VALUE(LEFT(AD59,4))</f>
        <v>1</v>
      </c>
      <c r="Y60" s="192">
        <f>RIGHT(D60,LEN(D60)-4)/10000</f>
        <v>23.3034</v>
      </c>
      <c r="Z60" s="192">
        <f>RIGHT(H60,LEN(H60)-4)/10000</f>
        <v>1.54E-2</v>
      </c>
      <c r="AA60" s="192">
        <f>ABS(Z60-Y60)</f>
        <v>23.288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>IF(LEN(A60)=6,"0"&amp;A60,A60)</f>
        <v>0148-17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s3://rtdc.mdm.uploadarchive.raw/RTDC4023/ "%USERPROFILE%\AppData\Local\Temp\OnboardLogs"\RTDC4023\2017-05-17 --exclude "*" --recursive --include "*20170517*" &amp; "%USERPROFILE%\Documents\GitHub\mrs-test-scripts\Headless Mode &amp; Sideloading\WalkAndUnGZ.bat" "%USERPROFILE%\AppData\Local\Temp\OnboardLogs"\RTDC4023\2017-05-17 &amp; 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/stypes="app*4023*20170517*" /stext=" 17:.+((SYSTEM_STATE.+slice.+state.+changed )|(ment ac)|(multiple cpu faults)|(system.+state.+changed )|(\[timeout)|(PRM\|1\|D)|(kpr)|(kdp)|(train st.+moving)|(\|lc)|(penalty))"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148-17 --locoid 4023 --swversion DE.1.0.9.0 --startMP 204:233034 --initTime 2017-05-17T10:08:38 --startdatetime 2017-05-17T10:26:16 --delay 1 --endMP 204:154 --enddatetime 2017-05-17T11:03:34 --enforcementcount 1 &gt;&gt;C:\Users\stu\Documents\GitHub\eaglep3-reporting\EC\2017-05-17-refined-times.txt</v>
      </c>
      <c r="AI60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{"issue":{"subject":"","project_id":79,"tracker_id":40,"status_id":1,"priority_id":2,"assigned_to_id":23,"start_date":"2017-05-17","description":"","custom_fields":[{"id":1,"name":"Subdivision","value":"EC"},{"id":4,"name":"Milepost","value":"0.0154"},{"id":17,"name":"Train ID","value":"148-17"},{"id":16,"name":"Locomotive ID","value":"4023"},{"id":130,"name":"Impact","value":""},{"id":150,"name":"Time of Event (Mountain Time)","value":"11:03:34"},{"id":151,"name":"Denver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4023 --day 2017-05-17</v>
      </c>
      <c r="AN60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17:03:34"},{"id":29,"name":"Sharepoint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689</v>
      </c>
      <c r="B61" s="7">
        <v>4040</v>
      </c>
      <c r="C61" s="21" t="s">
        <v>206</v>
      </c>
      <c r="D61" s="21" t="s">
        <v>202</v>
      </c>
      <c r="E61" s="13">
        <v>42872.401412037034</v>
      </c>
      <c r="F61" s="13">
        <v>42872.406435185185</v>
      </c>
      <c r="G61" s="7">
        <v>1</v>
      </c>
      <c r="H61" s="21" t="s">
        <v>861</v>
      </c>
      <c r="I61" s="13">
        <v>42872.431851851848</v>
      </c>
      <c r="J61" s="7">
        <v>1</v>
      </c>
      <c r="K61" s="92" t="str">
        <f>IF(ISEVEN(B61),(B61-1)&amp;"/"&amp;B61,B61&amp;"/"&amp;(B61+1))</f>
        <v>4039/4040</v>
      </c>
      <c r="L61" s="21" t="str">
        <f>VLOOKUP(A61,'Trips&amp;Operators'!$C$1:$G$99999,5,FALSE)</f>
        <v>BONDS REYNALDO</v>
      </c>
      <c r="M61" s="6">
        <f>I61-F61</f>
        <v>2.5416666663659271E-2</v>
      </c>
      <c r="N61" s="7">
        <f>24*60*SUM($M61:$M61)</f>
        <v>36.59999999566935</v>
      </c>
      <c r="O61" s="7"/>
      <c r="P61" s="7"/>
      <c r="Q61" s="22"/>
      <c r="R61" s="190"/>
      <c r="S61" s="196">
        <f>SUM(U61:U61)/IF(AG61="EC",12,1)</f>
        <v>1</v>
      </c>
      <c r="T61" s="190" t="str">
        <f>IF(ISEVEN(LEFT(AD61,4)),"Southbound","NorthBound")</f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-05-17T08:38:02-0600',mode:absolute,to:'2017-05-17T11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1" s="192" t="str">
        <f>IF(AA61&lt;IF(AG61="EC",23,5.65),"Y","N")</f>
        <v>N</v>
      </c>
      <c r="X61" s="192">
        <f>VALUE(LEFT(AD61,4))-VALUE(LEFT(AD60,4))</f>
        <v>1</v>
      </c>
      <c r="Y61" s="192">
        <f>RIGHT(D61,LEN(D61)-4)/10000</f>
        <v>4.5699999999999998E-2</v>
      </c>
      <c r="Z61" s="192">
        <f>RIGHT(H61,LEN(H61)-4)/10000</f>
        <v>23.323</v>
      </c>
      <c r="AA61" s="192">
        <f>ABS(Z61-Y61)</f>
        <v>23.2773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0149-17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 &amp; 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/stypes="app*4040*20170517*" /stext=" 16:.+((SYSTEM_STATE.+slice.+state.+changed )|(ment ac)|(multiple cpu faults)|(system.+state.+changed )|(\[timeout)|(PRM\|1\|D)|(kpr)|(kdp)|(train st.+moving)|(\|lc)|(penalty))"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149-17 --locoid 4040 --swversion DE.1.0.9.0 --startMP 204:457 --initTime 2017-05-17T09:38:02 --startdatetime 2017-05-17T09:45:16 --delay 1 --endMP 204:233230 --enddatetime 2017-05-17T10:21:52 --enforcementcount 1 &gt;&gt;C:\Users\stu\Documents\GitHub\eaglep3-reporting\EC\2017-05-17-refined-times.txt</v>
      </c>
      <c r="AI61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{"issue":{"subject":"","project_id":79,"tracker_id":40,"status_id":1,"priority_id":2,"assigned_to_id":23,"start_date":"2017-05-17","description":"","custom_fields":[{"id":1,"name":"Subdivision","value":"EC"},{"id":4,"name":"Milepost","value":"23.323"},{"id":17,"name":"Train ID","value":"149-17"},{"id":16,"name":"Locomotive ID","value":"4040"},{"id":130,"name":"Impact","value":""},{"id":150,"name":"Time of Event (Mountain Time)","value":"10:21:52"},{"id":151,"name":"Denver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4040 --day 2017-05-17</v>
      </c>
      <c r="AN61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16:21:52"},{"id":29,"name":"Sharepoint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697</v>
      </c>
      <c r="B62" s="7">
        <v>4039</v>
      </c>
      <c r="C62" s="21" t="s">
        <v>206</v>
      </c>
      <c r="D62" s="21" t="s">
        <v>557</v>
      </c>
      <c r="E62" s="13">
        <v>42872.441886574074</v>
      </c>
      <c r="F62" s="13">
        <v>42872.4453125</v>
      </c>
      <c r="G62" s="7">
        <v>1</v>
      </c>
      <c r="H62" s="21" t="s">
        <v>197</v>
      </c>
      <c r="I62" s="13">
        <v>42872.472280092596</v>
      </c>
      <c r="J62" s="7">
        <v>1</v>
      </c>
      <c r="K62" s="92" t="str">
        <f>IF(ISEVEN(B62),(B62-1)&amp;"/"&amp;B62,B62&amp;"/"&amp;(B62+1))</f>
        <v>4039/4040</v>
      </c>
      <c r="L62" s="21" t="str">
        <f>VLOOKUP(A62,'Trips&amp;Operators'!$C$1:$G$99999,5,FALSE)</f>
        <v>BONDS REYNALDO</v>
      </c>
      <c r="M62" s="6">
        <f>I62-F62</f>
        <v>2.6967592595610768E-2</v>
      </c>
      <c r="N62" s="7">
        <f>24*60*SUM($M62:$M62)</f>
        <v>38.833333337679505</v>
      </c>
      <c r="O62" s="7"/>
      <c r="P62" s="7"/>
      <c r="Q62" s="22"/>
      <c r="R62" s="190"/>
      <c r="S62" s="196">
        <f>SUM(U62:U62)/IF(AG62="EC",12,1)</f>
        <v>1</v>
      </c>
      <c r="T62" s="190" t="str">
        <f>IF(ISEVEN(LEFT(AD62,4)),"Southbound","NorthBound")</f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-05-17T09:36:19-0600',mode:absolute,to:'2017-05-17T12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2" s="192" t="str">
        <f>IF(AA62&lt;IF(AG62="EC",23,5.65),"Y","N")</f>
        <v>N</v>
      </c>
      <c r="X62" s="192">
        <f>VALUE(LEFT(AD62,4))-VALUE(LEFT(AD61,4))</f>
        <v>1</v>
      </c>
      <c r="Y62" s="192">
        <f>RIGHT(D62,LEN(D62)-4)/10000</f>
        <v>23.2989</v>
      </c>
      <c r="Z62" s="192">
        <f>RIGHT(H62,LEN(H62)-4)/10000</f>
        <v>1.52E-2</v>
      </c>
      <c r="AA62" s="192">
        <f>ABS(Z62-Y62)</f>
        <v>23.2837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0150-17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/stypes="app*4039*20170517*" /stext=" 17:.+((SYSTEM_STATE.+slice.+state.+changed )|(ment ac)|(multiple cpu faults)|(system.+state.+changed )|(\[timeout)|(PRM\|1\|D)|(kpr)|(kdp)|(train st.+moving)|(\|lc)|(penalty))"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150-17 --locoid 4039 --swversion DE.1.0.9.0 --startMP 204:232989 --initTime 2017-05-17T10:36:19 --startdatetime 2017-05-17T10:41:15 --delay 1 --endMP 204:152 --enddatetime 2017-05-17T11:20:05 --enforcementcount 1 &gt;&gt;C:\Users\stu\Documents\GitHub\eaglep3-reporting\EC\2017-05-17-refined-times.txt</v>
      </c>
      <c r="AI62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{"issue":{"subject":"","project_id":79,"tracker_id":40,"status_id":1,"priority_id":2,"assigned_to_id":23,"start_date":"2017-05-17","description":"","custom_fields":[{"id":1,"name":"Subdivision","value":"EC"},{"id":4,"name":"Milepost","value":"0.0152"},{"id":17,"name":"Train ID","value":"150-17"},{"id":16,"name":"Locomotive ID","value":"4039"},{"id":130,"name":"Impact","value":""},{"id":150,"name":"Time of Event (Mountain Time)","value":"11:20:05"},{"id":151,"name":"Denver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4039 --day 2017-05-17</v>
      </c>
      <c r="AN62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17:20:05"},{"id":29,"name":"Sharepoint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690</v>
      </c>
      <c r="B63" s="7">
        <v>4046</v>
      </c>
      <c r="C63" s="21" t="s">
        <v>206</v>
      </c>
      <c r="D63" s="21" t="s">
        <v>536</v>
      </c>
      <c r="E63" s="13">
        <v>42872.409930555557</v>
      </c>
      <c r="F63" s="13">
        <v>42872.416909722226</v>
      </c>
      <c r="G63" s="7">
        <v>0</v>
      </c>
      <c r="H63" s="21" t="s">
        <v>843</v>
      </c>
      <c r="I63" s="13">
        <v>42872.441469907404</v>
      </c>
      <c r="J63" s="7">
        <v>1</v>
      </c>
      <c r="K63" s="92" t="str">
        <f>IF(ISEVEN(B63),(B63-1)&amp;"/"&amp;B63,B63&amp;"/"&amp;(B63+1))</f>
        <v>4045/4046</v>
      </c>
      <c r="L63" s="21" t="str">
        <f>VLOOKUP(A63,'Trips&amp;Operators'!$C$1:$G$99999,5,FALSE)</f>
        <v>SANTIZO D. EDY</v>
      </c>
      <c r="M63" s="6">
        <f>I63-F63</f>
        <v>2.456018517841585E-2</v>
      </c>
      <c r="N63" s="7">
        <f>24*60*SUM($M63:$M63)</f>
        <v>35.366666656918824</v>
      </c>
      <c r="O63" s="7"/>
      <c r="P63" s="7"/>
      <c r="Q63" s="22"/>
      <c r="R63" s="190"/>
      <c r="S63" s="196">
        <f>SUM(U63:U63)/IF(AG63="EC",12,1)</f>
        <v>1</v>
      </c>
      <c r="T63" s="190" t="str">
        <f>IF(ISEVEN(LEFT(AD63,4)),"Southbound","NorthBound")</f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-05-17T08:50:18-0600',mode:absolute,to:'2017-05-17T11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3" s="192" t="str">
        <f>IF(AA63&lt;IF(AG63="EC",23,5.65),"Y","N")</f>
        <v>N</v>
      </c>
      <c r="X63" s="192">
        <f>VALUE(LEFT(AD63,4))-VALUE(LEFT(AD62,4))</f>
        <v>1</v>
      </c>
      <c r="Y63" s="192">
        <f>RIGHT(D63,LEN(D63)-4)/10000</f>
        <v>4.7100000000000003E-2</v>
      </c>
      <c r="Z63" s="192">
        <f>RIGHT(H63,LEN(H63)-4)/10000</f>
        <v>23.329899999999999</v>
      </c>
      <c r="AA63" s="192">
        <f>ABS(Z63-Y63)</f>
        <v>23.282799999999998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>IF(LEN(A63)=6,"0"&amp;A63,A63)</f>
        <v>0151-17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s3://rtdc.mdm.uploadarchive.raw/RTDC4046/ "%USERPROFILE%\AppData\Local\Temp\OnboardLogs"\RTDC4046\2017-05-17 --exclude "*" --recursive --include "*20170517*" &amp; "%USERPROFILE%\Documents\GitHub\mrs-test-scripts\Headless Mode &amp; Sideloading\WalkAndUnGZ.bat" "%USERPROFILE%\AppData\Local\Temp\OnboardLogs"\RTDC4046\2017-05-17 &amp; aws s3 cp s3://rtdc.mdm.uploadarchive.raw/RTDC4046/ "%USERPROFILE%\AppData\Local\Temp\OnboardLogs"\RTDC4046\2017-05-18 --exclude "*" --recursive --include "*20170518*" &amp; "%USERPROFILE%\Documents\GitHub\mrs-test-scripts\Headless Mode &amp; Sideloading\WalkAndUnGZ.bat" "%USERPROFILE%\AppData\Local\Temp\OnboardLogs"\RTDC4046\2017-05-18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/stypes="app*4046*20170517*" /stext=" 16:.+((SYSTEM_STATE.+slice.+state.+changed )|(ment ac)|(multiple cpu faults)|(system.+state.+changed )|(\[timeout)|(PRM\|1\|D)|(kpr)|(kdp)|(train st.+moving)|(\|lc)|(penalty))"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151-17 --locoid 4046 --swversion DE.1.0.9.0 --startMP 204:471 --initTime 2017-05-17T09:50:18 --startdatetime 2017-05-17T10:00:21 --delay 0 --endMP 204:233299 --enddatetime 2017-05-17T10:35:43 --enforcementcount 1 &gt;&gt;C:\Users\stu\Documents\GitHub\eaglep3-reporting\EC\2017-05-17-refined-times.txt</v>
      </c>
      <c r="AI63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{"issue":{"subject":"","project_id":79,"tracker_id":40,"status_id":1,"priority_id":2,"assigned_to_id":23,"start_date":"2017-05-17","description":"","custom_fields":[{"id":1,"name":"Subdivision","value":"EC"},{"id":4,"name":"Milepost","value":"23.3299"},{"id":17,"name":"Train ID","value":"151-17"},{"id":16,"name":"Locomotive ID","value":"4046"},{"id":130,"name":"Impact","value":""},{"id":150,"name":"Time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4046 --day 2017-05-17</v>
      </c>
      <c r="AN63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16:35:43"},{"id":29,"name":"Sharepoint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700</v>
      </c>
      <c r="B64" s="7">
        <v>4045</v>
      </c>
      <c r="C64" s="21" t="s">
        <v>206</v>
      </c>
      <c r="D64" s="21" t="s">
        <v>420</v>
      </c>
      <c r="E64" s="13">
        <v>42872.442407407405</v>
      </c>
      <c r="F64" s="13">
        <v>42872.455763888887</v>
      </c>
      <c r="G64" s="7">
        <v>1</v>
      </c>
      <c r="H64" s="21" t="s">
        <v>432</v>
      </c>
      <c r="I64" s="13">
        <v>42872.48165509259</v>
      </c>
      <c r="J64" s="7">
        <v>1</v>
      </c>
      <c r="K64" s="92" t="str">
        <f>IF(ISEVEN(B64),(B64-1)&amp;"/"&amp;B64,B64&amp;"/"&amp;(B64+1))</f>
        <v>4045/4046</v>
      </c>
      <c r="L64" s="21" t="str">
        <f>VLOOKUP(A64,'Trips&amp;Operators'!$C$1:$G$99999,5,FALSE)</f>
        <v>SANTIZO D. EDY</v>
      </c>
      <c r="M64" s="6">
        <f>I64-F64</f>
        <v>2.5891203702485655E-2</v>
      </c>
      <c r="N64" s="7">
        <f>24*60*SUM($M64:$M64)</f>
        <v>37.283333331579342</v>
      </c>
      <c r="O64" s="7"/>
      <c r="P64" s="7"/>
      <c r="Q64" s="22"/>
      <c r="R64" s="190"/>
      <c r="S64" s="196">
        <f>SUM(U64:U64)/IF(AG64="EC",12,1)</f>
        <v>1</v>
      </c>
      <c r="T64" s="190" t="str">
        <f>IF(ISEVEN(LEFT(AD64,4)),"Southbound","NorthBound")</f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-05-17T09:37:04-0600',mode:absolute,to:'2017-05-17T12:33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4" s="192" t="str">
        <f>IF(AA64&lt;IF(AG64="EC",23,5.65),"Y","N")</f>
        <v>N</v>
      </c>
      <c r="X64" s="192">
        <f>VALUE(LEFT(AD64,4))-VALUE(LEFT(AD63,4))</f>
        <v>1</v>
      </c>
      <c r="Y64" s="192">
        <f>RIGHT(D64,LEN(D64)-4)/10000</f>
        <v>23.2973</v>
      </c>
      <c r="Z64" s="192">
        <f>RIGHT(H64,LEN(H64)-4)/10000</f>
        <v>1.54E-2</v>
      </c>
      <c r="AA64" s="192">
        <f>ABS(Z64-Y64)</f>
        <v>23.2819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>IF(LEN(A64)=6,"0"&amp;A64,A64)</f>
        <v>0152-17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s3://rtdc.mdm.uploadarchive.raw/RTDC4045/ "%USERPROFILE%\AppData\Local\Temp\OnboardLogs"\RTDC4045\2017-05-17 --exclude "*" --recursive --include "*20170517*" &amp; "%USERPROFILE%\Documents\GitHub\mrs-test-scripts\Headless Mode &amp; Sideloading\WalkAndUnGZ.bat" "%USERPROFILE%\AppData\Local\Temp\OnboardLogs"\RTDC4045\2017-05-17 &amp; aws s3 cp s3://rtdc.mdm.uploadarchive.raw/RTDC4045/ "%USERPROFILE%\AppData\Local\Temp\OnboardLogs"\RTDC4045\2017-05-18 --exclude "*" --recursive --include "*20170518*" &amp; "%USERPROFILE%\Documents\GitHub\mrs-test-scripts\Headless Mode &amp; Sideloading\WalkAndUnGZ.bat" "%USERPROFILE%\AppData\Local\Temp\OnboardLogs"\RTDC4045\2017-05-18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/stypes="app*4045*20170517*" /stext=" 17:.+((SYSTEM_STATE.+slice.+state.+changed )|(ment ac)|(multiple cpu faults)|(system.+state.+changed )|(\[timeout)|(PRM\|1\|D)|(kpr)|(kdp)|(train st.+moving)|(\|lc)|(penalty))"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152-17 --locoid 4045 --swversion DE.1.0.9.0 --startMP 204:232973 --initTime 2017-05-17T10:37:04 --startdatetime 2017-05-17T10:56:18 --delay 1 --endMP 204:154 --enddatetime 2017-05-17T11:33:35 --enforcementcount 1 &gt;&gt;C:\Users\stu\Documents\GitHub\eaglep3-reporting\EC\2017-05-17-refined-times.txt</v>
      </c>
      <c r="AI64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{"issue":{"subject":"","project_id":79,"tracker_id":40,"status_id":1,"priority_id":2,"assigned_to_id":23,"start_date":"2017-05-17","description":"","custom_fields":[{"id":1,"name":"Subdivision","value":"EC"},{"id":4,"name":"Milepost","value":"0.0154"},{"id":17,"name":"Train ID","value":"152-17"},{"id":16,"name":"Locomotive ID","value":"4045"},{"id":130,"name":"Impact","value":""},{"id":150,"name":"Time of Event (Mountain Time)","value":"11:33:35"},{"id":151,"name":"Denver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4045 --day 2017-05-17</v>
      </c>
      <c r="AN64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17:33:35"},{"id":29,"name":"Sharepoint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695</v>
      </c>
      <c r="B65" s="7">
        <v>4016</v>
      </c>
      <c r="C65" s="21" t="s">
        <v>206</v>
      </c>
      <c r="D65" s="21" t="s">
        <v>409</v>
      </c>
      <c r="E65" s="13">
        <v>42872.423356481479</v>
      </c>
      <c r="F65" s="13">
        <v>42872.427245370367</v>
      </c>
      <c r="G65" s="7">
        <v>1</v>
      </c>
      <c r="H65" s="21" t="s">
        <v>539</v>
      </c>
      <c r="I65" s="13">
        <v>42872.451886574076</v>
      </c>
      <c r="J65" s="7">
        <v>1</v>
      </c>
      <c r="K65" s="92" t="str">
        <f>IF(ISEVEN(B65),(B65-1)&amp;"/"&amp;B65,B65&amp;"/"&amp;(B65+1))</f>
        <v>4015/4016</v>
      </c>
      <c r="L65" s="21" t="str">
        <f>VLOOKUP(A65,'Trips&amp;Operators'!$C$1:$G$99999,5,FALSE)</f>
        <v>ROCHA YAOTL</v>
      </c>
      <c r="M65" s="6">
        <f>I65-F65</f>
        <v>2.4641203708597459E-2</v>
      </c>
      <c r="N65" s="7">
        <f>24*60*SUM($M65:$M65)</f>
        <v>35.483333340380341</v>
      </c>
      <c r="O65" s="7"/>
      <c r="P65" s="7"/>
      <c r="Q65" s="22"/>
      <c r="R65" s="190"/>
      <c r="S65" s="196">
        <f>SUM(U65:U65)/IF(AG65="EC",12,1)</f>
        <v>1</v>
      </c>
      <c r="T65" s="190" t="str">
        <f>IF(ISEVEN(LEFT(AD65,4)),"Southbound","NorthBound")</f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-05-17T09:09:38-0600',mode:absolute,to:'2017-05-17T11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192" t="str">
        <f>IF(AA65&lt;IF(AG65="EC",23,5.65),"Y","N")</f>
        <v>N</v>
      </c>
      <c r="X65" s="192">
        <f>VALUE(LEFT(AD65,4))-VALUE(LEFT(AD64,4))</f>
        <v>1</v>
      </c>
      <c r="Y65" s="192">
        <f>RIGHT(D65,LEN(D65)-4)/10000</f>
        <v>4.6199999999999998E-2</v>
      </c>
      <c r="Z65" s="192">
        <f>RIGHT(H65,LEN(H65)-4)/10000</f>
        <v>23.331199999999999</v>
      </c>
      <c r="AA65" s="192">
        <f>ABS(Z65-Y65)</f>
        <v>23.285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>IF(LEN(A65)=6,"0"&amp;A65,A65)</f>
        <v>0153-17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/stypes="app*4016*20170517*" /stext=" 16:.+((SYSTEM_STATE.+slice.+state.+changed )|(ment ac)|(multiple cpu faults)|(system.+state.+changed )|(\[timeout)|(PRM\|1\|D)|(kpr)|(kdp)|(train st.+moving)|(\|lc)|(penalty))"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153-17 --locoid 4016 --swversion DE.1.0.9.0 --startMP 204:462 --initTime 2017-05-17T10:09:38 --startdatetime 2017-05-17T10:15:14 --delay 1 --endMP 204:233312 --enddatetime 2017-05-17T10:50:43 --enforcementcount 1 &gt;&gt;C:\Users\stu\Documents\GitHub\eaglep3-reporting\EC\2017-05-17-refined-times.txt</v>
      </c>
      <c r="AI65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{"issue":{"subject":"","project_id":79,"tracker_id":40,"status_id":1,"priority_id":2,"assigned_to_id":23,"start_date":"2017-05-17","description":"","custom_fields":[{"id":1,"name":"Subdivision","value":"EC"},{"id":4,"name":"Milepost","value":"23.3312"},{"id":17,"name":"Train ID","value":"153-17"},{"id":16,"name":"Locomotive ID","value":"4016"},{"id":130,"name":"Impact","value":""},{"id":150,"name":"Time of Event (Mountain Time)","value":"10:50:43"},{"id":151,"name":"Denver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4016 --day 2017-05-17</v>
      </c>
      <c r="AN65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16:50:43"},{"id":29,"name":"Sharepoint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703</v>
      </c>
      <c r="B66" s="7">
        <v>4015</v>
      </c>
      <c r="C66" s="21" t="s">
        <v>206</v>
      </c>
      <c r="D66" s="21" t="s">
        <v>862</v>
      </c>
      <c r="E66" s="13">
        <v>42872.464305555557</v>
      </c>
      <c r="F66" s="13">
        <v>42872.466157407405</v>
      </c>
      <c r="G66" s="7">
        <v>1</v>
      </c>
      <c r="H66" s="21" t="s">
        <v>369</v>
      </c>
      <c r="I66" s="13">
        <v>42872.494363425925</v>
      </c>
      <c r="J66" s="7">
        <v>1</v>
      </c>
      <c r="K66" s="92" t="str">
        <f>IF(ISEVEN(B66),(B66-1)&amp;"/"&amp;B66,B66&amp;"/"&amp;(B66+1))</f>
        <v>4015/4016</v>
      </c>
      <c r="L66" s="21" t="str">
        <f>VLOOKUP(A66,'Trips&amp;Operators'!$C$1:$G$99999,5,FALSE)</f>
        <v>ROCHA YAOTL</v>
      </c>
      <c r="M66" s="6">
        <f>I66-F66</f>
        <v>2.8206018519995268E-2</v>
      </c>
      <c r="N66" s="7">
        <f>24*60*SUM($M66:$M66)</f>
        <v>40.616666668793187</v>
      </c>
      <c r="O66" s="7"/>
      <c r="P66" s="7"/>
      <c r="Q66" s="22"/>
      <c r="R66" s="190"/>
      <c r="S66" s="196">
        <f>SUM(U66:U66)/IF(AG66="EC",12,1)</f>
        <v>1</v>
      </c>
      <c r="T66" s="190" t="str">
        <f>IF(ISEVEN(LEFT(AD66,4)),"Southbound","NorthBound")</f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-05-17T10:08:36-0600',mode:absolute,to:'2017-05-17T12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192" t="str">
        <f>IF(AA66&lt;IF(AG66="EC",23,5.65),"Y","N")</f>
        <v>N</v>
      </c>
      <c r="X66" s="192">
        <f>VALUE(LEFT(AD66,4))-VALUE(LEFT(AD65,4))</f>
        <v>1</v>
      </c>
      <c r="Y66" s="192">
        <f>RIGHT(D66,LEN(D66)-4)/10000</f>
        <v>23.2987</v>
      </c>
      <c r="Z66" s="192">
        <f>RIGHT(H66,LEN(H66)-4)/10000</f>
        <v>1.41E-2</v>
      </c>
      <c r="AA66" s="192">
        <f>ABS(Z66-Y66)</f>
        <v>23.284600000000001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>IF(LEN(A66)=6,"0"&amp;A66,A66)</f>
        <v>0154-17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s3://rtdc.mdm.uploadarchive.raw/RTDC4015/ "%USERPROFILE%\AppData\Local\Temp\OnboardLogs"\RTDC4015\2017-05-17 --exclude "*" --recursive --include "*20170517*" &amp; "%USERPROFILE%\Documents\GitHub\mrs-test-scripts\Headless Mode &amp; Sideloading\WalkAndUnGZ.bat" "%USERPROFILE%\AppData\Local\Temp\OnboardLogs"\RTDC4015\2017-05-17 &amp; aws s3 cp s3://rtdc.mdm.uploadarchive.raw/RTDC4015/ "%USERPROFILE%\AppData\Local\Temp\OnboardLogs"\RTDC4015\2017-05-18 --exclude "*" --recursive --include "*20170518*" &amp; "%USERPROFILE%\Documents\GitHub\mrs-test-scripts\Headless Mode &amp; Sideloading\WalkAndUnGZ.bat" "%USERPROFILE%\AppData\Local\Temp\OnboardLogs"\RTDC4015\2017-05-18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/stypes="app*4015*20170517*" /stext=" 17:.+((SYSTEM_STATE.+slice.+state.+changed )|(ment ac)|(multiple cpu faults)|(system.+state.+changed )|(\[timeout)|(PRM\|1\|D)|(kpr)|(kdp)|(train st.+moving)|(\|lc)|(penalty))"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154-17 --locoid 4015 --swversion DE.1.0.9.0 --startMP 204:232987 --initTime 2017-05-17T11:08:36 --startdatetime 2017-05-17T11:11:16 --delay 1 --endMP 204:141 --enddatetime 2017-05-17T11:51:53 --enforcementcount 1 &gt;&gt;C:\Users\stu\Documents\GitHub\eaglep3-reporting\EC\2017-05-17-refined-times.txt</v>
      </c>
      <c r="AI66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{"issue":{"subject":"","project_id":79,"tracker_id":40,"status_id":1,"priority_id":2,"assigned_to_id":23,"start_date":"2017-05-17","description":"","custom_fields":[{"id":1,"name":"Subdivision","value":"EC"},{"id":4,"name":"Milepost","value":"0.0141"},{"id":17,"name":"Train ID","value":"154-17"},{"id":16,"name":"Locomotive ID","value":"4015"},{"id":130,"name":"Impact","value":""},{"id":150,"name":"Time of Event (Mountain Time)","value":"11:51:53"},{"id":151,"name":"Denver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4015 --day 2017-05-17</v>
      </c>
      <c r="AN66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17:51:53"},{"id":29,"name":"Sharepoint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696</v>
      </c>
      <c r="B67" s="7">
        <v>4030</v>
      </c>
      <c r="C67" s="21" t="s">
        <v>206</v>
      </c>
      <c r="D67" s="21" t="s">
        <v>202</v>
      </c>
      <c r="E67" s="13">
        <v>42872.433148148149</v>
      </c>
      <c r="F67" s="13">
        <v>42872.437754629631</v>
      </c>
      <c r="G67" s="7">
        <v>1</v>
      </c>
      <c r="H67" s="21" t="s">
        <v>448</v>
      </c>
      <c r="I67" s="13">
        <v>42872.461921296293</v>
      </c>
      <c r="J67" s="7">
        <v>1</v>
      </c>
      <c r="K67" s="92" t="str">
        <f>IF(ISEVEN(B67),(B67-1)&amp;"/"&amp;B67,B67&amp;"/"&amp;(B67+1))</f>
        <v>4029/4030</v>
      </c>
      <c r="L67" s="21" t="str">
        <f>VLOOKUP(A67,'Trips&amp;Operators'!$C$1:$G$99999,5,FALSE)</f>
        <v>YORK EDGAR</v>
      </c>
      <c r="M67" s="6">
        <f>I67-F67</f>
        <v>2.4166666662495118E-2</v>
      </c>
      <c r="N67" s="7">
        <f>24*60*SUM($M67:$M67)</f>
        <v>34.799999993992969</v>
      </c>
      <c r="O67" s="7"/>
      <c r="P67" s="7"/>
      <c r="Q67" s="22"/>
      <c r="R67" s="190"/>
      <c r="S67" s="196">
        <f>SUM(U67:U67)/IF(AG67="EC",12,1)</f>
        <v>1</v>
      </c>
      <c r="T67" s="190" t="str">
        <f>IF(ISEVEN(LEFT(AD67,4)),"Southbound","NorthBound")</f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-05-17T09:23:44-0600',mode:absolute,to:'2017-05-17T12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7" s="192" t="str">
        <f>IF(AA67&lt;IF(AG67="EC",23,5.65),"Y","N")</f>
        <v>N</v>
      </c>
      <c r="X67" s="192">
        <f>VALUE(LEFT(AD67,4))-VALUE(LEFT(AD66,4))</f>
        <v>1</v>
      </c>
      <c r="Y67" s="192">
        <f>RIGHT(D67,LEN(D67)-4)/10000</f>
        <v>4.5699999999999998E-2</v>
      </c>
      <c r="Z67" s="192">
        <f>RIGHT(H67,LEN(H67)-4)/10000</f>
        <v>23.329499999999999</v>
      </c>
      <c r="AA67" s="192">
        <f>ABS(Z67-Y67)</f>
        <v>23.283799999999999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>IF(LEN(A67)=6,"0"&amp;A67,A67)</f>
        <v>0155-17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s3://rtdc.mdm.uploadarchive.raw/RTDC4030/ "%USERPROFILE%\AppData\Local\Temp\OnboardLogs"\RTDC4030\2017-05-17 --exclude "*" --recursive --include "*20170517*" &amp; "%USERPROFILE%\Documents\GitHub\mrs-test-scripts\Headless Mode &amp; Sideloading\WalkAndUnGZ.bat" "%USERPROFILE%\AppData\Local\Temp\OnboardLogs"\RTDC4030\2017-05-17 &amp; 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/stypes="app*4030*20170517*" /stext=" 17:.+((SYSTEM_STATE.+slice.+state.+changed )|(ment ac)|(multiple cpu faults)|(system.+state.+changed )|(\[timeout)|(PRM\|1\|D)|(kpr)|(kdp)|(train st.+moving)|(\|lc)|(penalty))"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155-17 --locoid 4030 --swversion DE.1.0.9.0 --startMP 204:457 --initTime 2017-05-17T10:23:44 --startdatetime 2017-05-17T10:30:22 --delay 1 --endMP 204:233295 --enddatetime 2017-05-17T11:05:10 --enforcementcount 1 &gt;&gt;C:\Users\stu\Documents\GitHub\eaglep3-reporting\EC\2017-05-17-refined-times.txt</v>
      </c>
      <c r="AI67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{"issue":{"subject":"","project_id":79,"tracker_id":40,"status_id":1,"priority_id":2,"assigned_to_id":23,"start_date":"2017-05-17","description":"","custom_fields":[{"id":1,"name":"Subdivision","value":"EC"},{"id":4,"name":"Milepost","value":"23.3295"},{"id":17,"name":"Train ID","value":"155-17"},{"id":16,"name":"Locomotive ID","value":"4030"},{"id":130,"name":"Impact","value":""},{"id":150,"name":"Time of Event (Mountain Time)","value":"11:05:10"},{"id":151,"name":"Denver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4030 --day 2017-05-17</v>
      </c>
      <c r="AN67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17:05:10"},{"id":29,"name":"Sharepoint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702</v>
      </c>
      <c r="B68" s="7">
        <v>4029</v>
      </c>
      <c r="C68" s="21" t="s">
        <v>206</v>
      </c>
      <c r="D68" s="21" t="s">
        <v>455</v>
      </c>
      <c r="E68" s="13">
        <v>42872.462997685187</v>
      </c>
      <c r="F68" s="13">
        <v>42872.476631944446</v>
      </c>
      <c r="G68" s="7">
        <v>1</v>
      </c>
      <c r="H68" s="21" t="s">
        <v>354</v>
      </c>
      <c r="I68" s="13">
        <v>42872.50271990741</v>
      </c>
      <c r="J68" s="7">
        <v>1</v>
      </c>
      <c r="K68" s="92" t="str">
        <f>IF(ISEVEN(B68),(B68-1)&amp;"/"&amp;B68,B68&amp;"/"&amp;(B68+1))</f>
        <v>4029/4030</v>
      </c>
      <c r="L68" s="21" t="str">
        <f>VLOOKUP(A68,'Trips&amp;Operators'!$C$1:$G$99999,5,FALSE)</f>
        <v>YORK EDGAR</v>
      </c>
      <c r="M68" s="6">
        <f>I68-F68</f>
        <v>2.6087962964083999E-2</v>
      </c>
      <c r="N68" s="7">
        <f>24*60*SUM($M68:$M68)</f>
        <v>37.566666668280959</v>
      </c>
      <c r="O68" s="7"/>
      <c r="P68" s="7"/>
      <c r="Q68" s="22"/>
      <c r="R68" s="190"/>
      <c r="S68" s="196">
        <f>SUM(U68:U68)/IF(AG68="EC",12,1)</f>
        <v>1</v>
      </c>
      <c r="T68" s="190" t="str">
        <f>IF(ISEVEN(LEFT(AD68,4)),"Southbound","NorthBound")</f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-05-17T10:06:43-0600',mode:absolute,to:'2017-05-17T13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192" t="str">
        <f>IF(AA68&lt;IF(AG68="EC",23,5.65),"Y","N")</f>
        <v>N</v>
      </c>
      <c r="X68" s="192">
        <f>VALUE(LEFT(AD68,4))-VALUE(LEFT(AD67,4))</f>
        <v>1</v>
      </c>
      <c r="Y68" s="192">
        <f>RIGHT(D68,LEN(D68)-4)/10000</f>
        <v>23.296700000000001</v>
      </c>
      <c r="Z68" s="192">
        <f>RIGHT(H68,LEN(H68)-4)/10000</f>
        <v>1.6E-2</v>
      </c>
      <c r="AA68" s="192">
        <f>ABS(Z68-Y68)</f>
        <v>23.280700000000003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0156-17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/stypes="app*4029*20170517*" /stext=" 18:.+((SYSTEM_STATE.+slice.+state.+changed )|(ment ac)|(multiple cpu faults)|(system.+state.+changed )|(\[timeout)|(PRM\|1\|D)|(kpr)|(kdp)|(train st.+moving)|(\|lc)|(penalty))"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156-17 --locoid 4029 --swversion DE.1.0.9.0 --startMP 204:232967 --initTime 2017-05-17T11:06:43 --startdatetime 2017-05-17T11:26:21 --delay 1 --endMP 204:160 --enddatetime 2017-05-17T12:03:55 --enforcementcount 1 &gt;&gt;C:\Users\stu\Documents\GitHub\eaglep3-reporting\EC\2017-05-17-refined-times.txt</v>
      </c>
      <c r="AI68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{"issue":{"subject":"","project_id":79,"tracker_id":40,"status_id":1,"priority_id":2,"assigned_to_id":23,"start_date":"2017-05-17","description":"","custom_fields":[{"id":1,"name":"Subdivision","value":"EC"},{"id":4,"name":"Milepost","value":"0.016"},{"id":17,"name":"Train ID","value":"156-17"},{"id":16,"name":"Locomotive ID","value":"4029"},{"id":130,"name":"Impact","value":""},{"id":150,"name":"Time of Event (Mountain Time)","value":"12:03:55"},{"id":151,"name":"Denver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4029 --day 2017-05-17</v>
      </c>
      <c r="AN68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18:03:55"},{"id":29,"name":"Sharepoint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698</v>
      </c>
      <c r="B69" s="7">
        <v>4042</v>
      </c>
      <c r="C69" s="21" t="s">
        <v>206</v>
      </c>
      <c r="D69" s="21" t="s">
        <v>410</v>
      </c>
      <c r="E69" s="13">
        <v>42872.442013888889</v>
      </c>
      <c r="F69" s="13">
        <v>42872.448078703703</v>
      </c>
      <c r="G69" s="7">
        <v>1</v>
      </c>
      <c r="H69" s="21" t="s">
        <v>863</v>
      </c>
      <c r="I69" s="13">
        <v>42872.473182870373</v>
      </c>
      <c r="J69" s="7">
        <v>1</v>
      </c>
      <c r="K69" s="92" t="str">
        <f>IF(ISEVEN(B69),(B69-1)&amp;"/"&amp;B69,B69&amp;"/"&amp;(B69+1))</f>
        <v>4041/4042</v>
      </c>
      <c r="L69" s="21" t="str">
        <f>VLOOKUP(A69,'Trips&amp;Operators'!$C$1:$G$99999,5,FALSE)</f>
        <v>STARKS ANGELINA</v>
      </c>
      <c r="M69" s="6">
        <f>I69-F69</f>
        <v>2.510416667064419E-2</v>
      </c>
      <c r="N69" s="7">
        <f>24*60*SUM($M69:$M69)</f>
        <v>36.150000005727634</v>
      </c>
      <c r="O69" s="7"/>
      <c r="P69" s="7"/>
      <c r="Q69" s="22"/>
      <c r="R69" s="190"/>
      <c r="S69" s="196">
        <f>SUM(U69:U69)/IF(AG69="EC",12,1)</f>
        <v>1</v>
      </c>
      <c r="T69" s="190" t="str">
        <f>IF(ISEVEN(LEFT(AD69,4)),"Southbound","NorthBound")</f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-05-17T09:36:30-0600',mode:absolute,to:'2017-05-17T12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9" s="192" t="str">
        <f>IF(AA69&lt;IF(AG69="EC",23,5.65),"Y","N")</f>
        <v>N</v>
      </c>
      <c r="X69" s="192">
        <f>VALUE(LEFT(AD69,4))-VALUE(LEFT(AD68,4))</f>
        <v>1</v>
      </c>
      <c r="Y69" s="192">
        <f>RIGHT(D69,LEN(D69)-4)/10000</f>
        <v>4.3299999999999998E-2</v>
      </c>
      <c r="Z69" s="192">
        <f>RIGHT(H69,LEN(H69)-4)/10000</f>
        <v>23.3306</v>
      </c>
      <c r="AA69" s="192">
        <f>ABS(Z69-Y69)</f>
        <v>23.287300000000002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>IF(LEN(A69)=6,"0"&amp;A69,A69)</f>
        <v>0157-17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/stypes="app*4042*20170517*" /stext=" 17:.+((SYSTEM_STATE.+slice.+state.+changed )|(ment ac)|(multiple cpu faults)|(system.+state.+changed )|(\[timeout)|(PRM\|1\|D)|(kpr)|(kdp)|(train st.+moving)|(\|lc)|(penalty))"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157-17 --locoid 4042 --swversion DE.1.0.9.0 --startMP 204:433 --initTime 2017-05-17T10:36:30 --startdatetime 2017-05-17T10:45:14 --delay 1 --endMP 204:233306 --enddatetime 2017-05-17T11:21:23 --enforcementcount 1 &gt;&gt;C:\Users\stu\Documents\GitHub\eaglep3-reporting\EC\2017-05-17-refined-times.txt</v>
      </c>
      <c r="AI69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{"issue":{"subject":"","project_id":79,"tracker_id":40,"status_id":1,"priority_id":2,"assigned_to_id":23,"start_date":"2017-05-17","description":"","custom_fields":[{"id":1,"name":"Subdivision","value":"EC"},{"id":4,"name":"Milepost","value":"23.3306"},{"id":17,"name":"Train ID","value":"157-17"},{"id":16,"name":"Locomotive ID","value":"4042"},{"id":130,"name":"Impact","value":""},{"id":150,"name":"Time of Event (Mountain Time)","value":"11:21:23"},{"id":151,"name":"Denver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4042 --day 2017-05-17</v>
      </c>
      <c r="AN69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17:21:23"},{"id":29,"name":"Sharepoint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707</v>
      </c>
      <c r="B70" s="7">
        <v>4041</v>
      </c>
      <c r="C70" s="21" t="s">
        <v>206</v>
      </c>
      <c r="D70" s="21" t="s">
        <v>862</v>
      </c>
      <c r="E70" s="13">
        <v>42872.475115740737</v>
      </c>
      <c r="F70" s="13">
        <v>42872.486979166664</v>
      </c>
      <c r="G70" s="7">
        <v>1</v>
      </c>
      <c r="H70" s="21" t="s">
        <v>363</v>
      </c>
      <c r="I70" s="13">
        <v>42872.515428240738</v>
      </c>
      <c r="J70" s="7">
        <v>1</v>
      </c>
      <c r="K70" s="92" t="str">
        <f>IF(ISEVEN(B70),(B70-1)&amp;"/"&amp;B70,B70&amp;"/"&amp;(B70+1))</f>
        <v>4041/4042</v>
      </c>
      <c r="L70" s="21" t="str">
        <f>VLOOKUP(A70,'Trips&amp;Operators'!$C$1:$G$99999,5,FALSE)</f>
        <v>STARKS ANGELINA</v>
      </c>
      <c r="M70" s="6">
        <f>I70-F70</f>
        <v>2.8449074074160308E-2</v>
      </c>
      <c r="N70" s="7">
        <f>24*60*SUM($M70:$M70)</f>
        <v>40.966666666790843</v>
      </c>
      <c r="O70" s="7"/>
      <c r="P70" s="7"/>
      <c r="Q70" s="22"/>
      <c r="R70" s="190"/>
      <c r="S70" s="196">
        <f>SUM(U70:U70)/IF(AG70="EC",12,1)</f>
        <v>1</v>
      </c>
      <c r="T70" s="190" t="str">
        <f>IF(ISEVEN(LEFT(AD70,4)),"Southbound","NorthBound")</f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-05-17T10:24:10-0600',mode:absolute,to:'2017-05-17T13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0" s="192" t="str">
        <f>IF(AA70&lt;IF(AG70="EC",23,5.65),"Y","N")</f>
        <v>N</v>
      </c>
      <c r="X70" s="192">
        <f>VALUE(LEFT(AD70,4))-VALUE(LEFT(AD69,4))</f>
        <v>1</v>
      </c>
      <c r="Y70" s="192">
        <f>RIGHT(D70,LEN(D70)-4)/10000</f>
        <v>23.2987</v>
      </c>
      <c r="Z70" s="192">
        <f>RIGHT(H70,LEN(H70)-4)/10000</f>
        <v>1.5599999999999999E-2</v>
      </c>
      <c r="AA70" s="192">
        <f>ABS(Z70-Y70)</f>
        <v>23.283100000000001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>IF(LEN(A70)=6,"0"&amp;A70,A70)</f>
        <v>0158-17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 &amp; aws s3 cp s3://rtdc.mdm.uploadarchive.raw/RTDC4041/ "%USERPROFILE%\AppData\Local\Temp\OnboardLogs"\RTDC4041\2017-05-18 --exclude "*" --recursive --include "*20170518*" &amp; "%USERPROFILE%\Documents\GitHub\mrs-test-scripts\Headless Mode &amp; Sideloading\WalkAndUnGZ.bat" "%USERPROFILE%\AppData\Local\Temp\OnboardLogs"\RTDC4041\2017-05-18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/stypes="app*4041*20170517*" /stext=" 18:.+((SYSTEM_STATE.+slice.+state.+changed )|(ment ac)|(multiple cpu faults)|(system.+state.+changed )|(\[timeout)|(PRM\|1\|D)|(kpr)|(kdp)|(train st.+moving)|(\|lc)|(penalty))"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158-17 --locoid 4041 --swversion DE.1.0.9.0 --startMP 204:232987 --initTime 2017-05-17T11:24:10 --startdatetime 2017-05-17T11:41:15 --delay 1 --endMP 204:156 --enddatetime 2017-05-17T12:22:13 --enforcementcount 1 &gt;&gt;C:\Users\stu\Documents\GitHub\eaglep3-reporting\EC\2017-05-17-refined-times.txt</v>
      </c>
      <c r="AI70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{"issue":{"subject":"","project_id":79,"tracker_id":40,"status_id":1,"priority_id":2,"assigned_to_id":23,"start_date":"2017-05-17","description":"","custom_fields":[{"id":1,"name":"Subdivision","value":"EC"},{"id":4,"name":"Milepost","value":"0.0156"},{"id":17,"name":"Train ID","value":"158-17"},{"id":16,"name":"Locomotive ID","value":"4041"},{"id":130,"name":"Impact","value":""},{"id":150,"name":"Time of Event (Mountain Time)","value":"12:22:13"},{"id":151,"name":"Denver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4041 --day 2017-05-17</v>
      </c>
      <c r="AN70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18:22:13"},{"id":29,"name":"Sharepoint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701</v>
      </c>
      <c r="B71" s="7">
        <v>4012</v>
      </c>
      <c r="C71" s="21" t="s">
        <v>206</v>
      </c>
      <c r="D71" s="21" t="s">
        <v>543</v>
      </c>
      <c r="E71" s="13">
        <v>42872.452847222223</v>
      </c>
      <c r="F71" s="13">
        <v>42872.458692129629</v>
      </c>
      <c r="G71" s="7">
        <v>3</v>
      </c>
      <c r="H71" s="21" t="s">
        <v>471</v>
      </c>
      <c r="I71" s="13">
        <v>42872.490127314813</v>
      </c>
      <c r="J71" s="7">
        <v>1</v>
      </c>
      <c r="K71" s="92" t="str">
        <f>IF(ISEVEN(B71),(B71-1)&amp;"/"&amp;B71,B71&amp;"/"&amp;(B71+1))</f>
        <v>4011/4012</v>
      </c>
      <c r="L71" s="21" t="str">
        <f>VLOOKUP(A71,'Trips&amp;Operators'!$C$1:$G$99999,5,FALSE)</f>
        <v>DE LA ROSA ALEX</v>
      </c>
      <c r="M71" s="6">
        <f>I71-F71</f>
        <v>3.1435185184818693E-2</v>
      </c>
      <c r="N71" s="7">
        <f>24*60*SUM($M71:$M71)</f>
        <v>45.266666666138917</v>
      </c>
      <c r="O71" s="7"/>
      <c r="P71" s="7"/>
      <c r="Q71" s="22"/>
      <c r="R71" s="190"/>
      <c r="S71" s="196">
        <f>SUM(U71:U71)/IF(AG71="EC",12,1)</f>
        <v>1</v>
      </c>
      <c r="T71" s="190" t="str">
        <f>IF(ISEVEN(LEFT(AD71,4)),"Southbound","NorthBound")</f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-05-17T09:52:06-0600',mode:absolute,to:'2017-05-17T12:45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192" t="str">
        <f>IF(AA71&lt;IF(AG71="EC",23,5.65),"Y","N")</f>
        <v>N</v>
      </c>
      <c r="X71" s="192">
        <f>VALUE(LEFT(AD71,4))-VALUE(LEFT(AD70,4))</f>
        <v>1</v>
      </c>
      <c r="Y71" s="192">
        <f>RIGHT(D71,LEN(D71)-4)/10000</f>
        <v>4.4200000000000003E-2</v>
      </c>
      <c r="Z71" s="192">
        <f>RIGHT(H71,LEN(H71)-4)/10000</f>
        <v>23.328600000000002</v>
      </c>
      <c r="AA71" s="192">
        <f>ABS(Z71-Y71)</f>
        <v>23.284400000000002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0159-17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s3://rtdc.mdm.uploadarchive.raw/RTDC4012/ "%USERPROFILE%\AppData\Local\Temp\OnboardLogs"\RTDC4012\2017-05-17 --exclude "*" --recursive --include "*20170517*" &amp; "%USERPROFILE%\Documents\GitHub\mrs-test-scripts\Headless Mode &amp; Sideloading\WalkAndUnGZ.bat" "%USERPROFILE%\AppData\Local\Temp\OnboardLogs"\RTDC4012\2017-05-17 &amp; 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/stypes="app*4012*20170517*" /stext=" 17:.+((SYSTEM_STATE.+slice.+state.+changed )|(ment ac)|(multiple cpu faults)|(system.+state.+changed )|(\[timeout)|(PRM\|1\|D)|(kpr)|(kdp)|(train st.+moving)|(\|lc)|(penalty))"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si="4"/>
        <v>"%USERPROFILE%\Documents\GitHub\eaglep3\Utilities\RefineRTDCRunTimes.py" --tripid 159-17 --locoid 4012 --swversion DE.1.0.9.0 --startMP 204:442 --initTime 2017-05-17T10:52:06 --startdatetime 2017-05-17T11:00:31 --delay 3 --endMP 204:233286 --enddatetime 2017-05-17T11:45:47 --enforcementcount 1 &gt;&gt;C:\Users\stu\Documents\GitHub\eaglep3-reporting\EC\2017-05-17-refined-times.txt</v>
      </c>
      <c r="AI71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{"issue":{"subject":"","project_id":79,"tracker_id":40,"status_id":1,"priority_id":2,"assigned_to_id":23,"start_date":"2017-05-17","description":"","custom_fields":[{"id":1,"name":"Subdivision","value":"EC"},{"id":4,"name":"Milepost","value":"23.3286"},{"id":17,"name":"Train ID","value":"159-17"},{"id":16,"name":"Locomotive ID","value":"4012"},{"id":130,"name":"Impact","value":""},{"id":150,"name":"Time of Event (Mountain Time)","value":"11:45:47"},{"id":151,"name":"Denver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6"/>
        <v>start /low /b %USERPROFILE%\Documents\GitHub\eaglep3\Utilities\DownloadLogsFromS3.py --loco 4012 --day 2017-05-17</v>
      </c>
      <c r="AN71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17:45:47"},{"id":29,"name":"Sharepoint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713</v>
      </c>
      <c r="B72" s="7">
        <v>4011</v>
      </c>
      <c r="C72" s="21" t="s">
        <v>206</v>
      </c>
      <c r="D72" s="21" t="s">
        <v>864</v>
      </c>
      <c r="E72" s="13">
        <v>42872.492245370369</v>
      </c>
      <c r="F72" s="13">
        <v>42872.497569444444</v>
      </c>
      <c r="G72" s="7">
        <v>1</v>
      </c>
      <c r="H72" s="21" t="s">
        <v>432</v>
      </c>
      <c r="I72" s="13">
        <v>42872.525856481479</v>
      </c>
      <c r="J72" s="7">
        <v>1</v>
      </c>
      <c r="K72" s="92" t="str">
        <f>IF(ISEVEN(B72),(B72-1)&amp;"/"&amp;B72,B72&amp;"/"&amp;(B72+1))</f>
        <v>4011/4012</v>
      </c>
      <c r="L72" s="21" t="str">
        <f>VLOOKUP(A72,'Trips&amp;Operators'!$C$1:$G$99999,5,FALSE)</f>
        <v>DE LA ROSA ALEX</v>
      </c>
      <c r="M72" s="6">
        <f>I72-F72</f>
        <v>2.8287037035624962E-2</v>
      </c>
      <c r="N72" s="7">
        <f>24*60*SUM($M72:$M72)</f>
        <v>40.733333331299946</v>
      </c>
      <c r="O72" s="7"/>
      <c r="P72" s="7"/>
      <c r="Q72" s="22"/>
      <c r="R72" s="190"/>
      <c r="S72" s="196">
        <f>SUM(U72:U72)/IF(AG72="EC",12,1)</f>
        <v>1</v>
      </c>
      <c r="T72" s="190" t="str">
        <f>IF(ISEVEN(LEFT(AD72,4)),"Southbound","NorthBound")</f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-05-17T10:48:50-0600',mode:absolute,to:'2017-05-17T13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2" s="192" t="str">
        <f>IF(AA72&lt;IF(AG72="EC",23,5.65),"Y","N")</f>
        <v>N</v>
      </c>
      <c r="X72" s="192">
        <f>VALUE(LEFT(AD72,4))-VALUE(LEFT(AD71,4))</f>
        <v>1</v>
      </c>
      <c r="Y72" s="192">
        <f>RIGHT(D72,LEN(D72)-4)/10000</f>
        <v>23.2959</v>
      </c>
      <c r="Z72" s="192">
        <f>RIGHT(H72,LEN(H72)-4)/10000</f>
        <v>1.54E-2</v>
      </c>
      <c r="AA72" s="192">
        <f>ABS(Z72-Y72)</f>
        <v>23.2805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0160-17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s3://rtdc.mdm.uploadarchive.raw/RTDC4011/ "%USERPROFILE%\AppData\Local\Temp\OnboardLogs"\RTDC4011\2017-05-17 --exclude "*" --recursive --include "*20170517*" &amp; "%USERPROFILE%\Documents\GitHub\mrs-test-scripts\Headless Mode &amp; Sideloading\WalkAndUnGZ.bat" "%USERPROFILE%\AppData\Local\Temp\OnboardLogs"\RTDC4011\2017-05-17 &amp; 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/stypes="app*4011*20170517*" /stext=" 18:.+((SYSTEM_STATE.+slice.+state.+changed )|(ment ac)|(multiple cpu faults)|(system.+state.+changed )|(\[timeout)|(PRM\|1\|D)|(kpr)|(kdp)|(train st.+moving)|(\|lc)|(penalty))"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160-17 --locoid 4011 --swversion DE.1.0.9.0 --startMP 204:232959 --initTime 2017-05-17T11:48:50 --startdatetime 2017-05-17T11:56:30 --delay 1 --endMP 204:154 --enddatetime 2017-05-17T12:37:14 --enforcementcount 1 &gt;&gt;C:\Users\stu\Documents\GitHub\eaglep3-reporting\EC\2017-05-17-refined-times.txt</v>
      </c>
      <c r="AI72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{"issue":{"subject":"","project_id":79,"tracker_id":40,"status_id":1,"priority_id":2,"assigned_to_id":23,"start_date":"2017-05-17","description":"","custom_fields":[{"id":1,"name":"Subdivision","value":"EC"},{"id":4,"name":"Milepost","value":"0.0154"},{"id":17,"name":"Train ID","value":"160-17"},{"id":16,"name":"Locomotive ID","value":"4011"},{"id":130,"name":"Impact","value":""},{"id":150,"name":"Time of Event (Mountain Time)","value":"12:37:14"},{"id":151,"name":"Denver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4011 --day 2017-05-17</v>
      </c>
      <c r="AN72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18:37:14"},{"id":29,"name":"Sharepoint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705</v>
      </c>
      <c r="B73" s="7">
        <v>4024</v>
      </c>
      <c r="C73" s="21" t="s">
        <v>206</v>
      </c>
      <c r="D73" s="21" t="s">
        <v>347</v>
      </c>
      <c r="E73" s="13">
        <v>42872.464409722219</v>
      </c>
      <c r="F73" s="13">
        <v>42872.469027777777</v>
      </c>
      <c r="G73" s="7">
        <v>2</v>
      </c>
      <c r="H73" s="21" t="s">
        <v>539</v>
      </c>
      <c r="I73" s="13">
        <v>42872.494837962964</v>
      </c>
      <c r="J73" s="7">
        <v>1</v>
      </c>
      <c r="K73" s="92" t="str">
        <f>IF(ISEVEN(B73),(B73-1)&amp;"/"&amp;B73,B73&amp;"/"&amp;(B73+1))</f>
        <v>4023/4024</v>
      </c>
      <c r="L73" s="21" t="str">
        <f>VLOOKUP(A73,'Trips&amp;Operators'!$C$1:$G$99999,5,FALSE)</f>
        <v>DAVIS MICHAEL</v>
      </c>
      <c r="M73" s="6">
        <f>I73-F73</f>
        <v>2.5810185186855961E-2</v>
      </c>
      <c r="N73" s="7">
        <f>24*60*SUM($M73:$M73)</f>
        <v>37.166666669072583</v>
      </c>
      <c r="O73" s="7"/>
      <c r="P73" s="7"/>
      <c r="Q73" s="22"/>
      <c r="R73" s="190"/>
      <c r="S73" s="196">
        <f>SUM(U73:U73)/IF(AG73="EC",12,1)</f>
        <v>1</v>
      </c>
      <c r="T73" s="190" t="str">
        <f>IF(ISEVEN(LEFT(AD73,4)),"Southbound","NorthBound")</f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-05-17T10:08:45-0600',mode:absolute,to:'2017-05-17T12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3" s="192" t="str">
        <f>IF(AA73&lt;IF(AG73="EC",23,5.65),"Y","N")</f>
        <v>N</v>
      </c>
      <c r="X73" s="192">
        <f>VALUE(LEFT(AD73,4))-VALUE(LEFT(AD72,4))</f>
        <v>1</v>
      </c>
      <c r="Y73" s="192">
        <f>RIGHT(D73,LEN(D73)-4)/10000</f>
        <v>4.4900000000000002E-2</v>
      </c>
      <c r="Z73" s="192">
        <f>RIGHT(H73,LEN(H73)-4)/10000</f>
        <v>23.331199999999999</v>
      </c>
      <c r="AA73" s="192">
        <f>ABS(Z73-Y73)</f>
        <v>23.286300000000001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0161-17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/stypes="app*4024*20170517*" /stext=" 17:.+((SYSTEM_STATE.+slice.+state.+changed )|(ment ac)|(multiple cpu faults)|(system.+state.+changed )|(\[timeout)|(PRM\|1\|D)|(kpr)|(kdp)|(train st.+moving)|(\|lc)|(penalty))"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161-17 --locoid 4024 --swversion DE.1.0.9.0 --startMP 204:449 --initTime 2017-05-17T11:08:45 --startdatetime 2017-05-17T11:15:24 --delay 2 --endMP 204:233312 --enddatetime 2017-05-17T11:52:34 --enforcementcount 1 &gt;&gt;C:\Users\stu\Documents\GitHub\eaglep3-reporting\EC\2017-05-17-refined-times.txt</v>
      </c>
      <c r="AI73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{"issue":{"subject":"","project_id":79,"tracker_id":40,"status_id":1,"priority_id":2,"assigned_to_id":23,"start_date":"2017-05-17","description":"","custom_fields":[{"id":1,"name":"Subdivision","value":"EC"},{"id":4,"name":"Milepost","value":"23.3312"},{"id":17,"name":"Train ID","value":"161-17"},{"id":16,"name":"Locomotive ID","value":"4024"},{"id":130,"name":"Impact","value":""},{"id":150,"name":"Time of Event (Mountain Time)","value":"11:52:34"},{"id":151,"name":"Denver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4024 --day 2017-05-17</v>
      </c>
      <c r="AN73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17:52:34"},{"id":29,"name":"Sharepoint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716</v>
      </c>
      <c r="B74" s="7">
        <v>4023</v>
      </c>
      <c r="C74" s="21" t="s">
        <v>206</v>
      </c>
      <c r="D74" s="21" t="s">
        <v>865</v>
      </c>
      <c r="E74" s="13">
        <v>42872.505428240744</v>
      </c>
      <c r="F74" s="13">
        <v>42872.507974537039</v>
      </c>
      <c r="G74" s="7">
        <v>1</v>
      </c>
      <c r="H74" s="21" t="s">
        <v>370</v>
      </c>
      <c r="I74" s="13">
        <v>42872.535358796296</v>
      </c>
      <c r="J74" s="7">
        <v>1</v>
      </c>
      <c r="K74" s="92" t="str">
        <f>IF(ISEVEN(B74),(B74-1)&amp;"/"&amp;B74,B74&amp;"/"&amp;(B74+1))</f>
        <v>4023/4024</v>
      </c>
      <c r="L74" s="21" t="str">
        <f>VLOOKUP(A74,'Trips&amp;Operators'!$C$1:$G$99999,5,FALSE)</f>
        <v>DAVIS MICHAEL</v>
      </c>
      <c r="M74" s="6">
        <f>I74-F74</f>
        <v>2.7384259257814847E-2</v>
      </c>
      <c r="N74" s="7">
        <f>24*60*SUM($M74:$M74)</f>
        <v>39.43333333125338</v>
      </c>
      <c r="O74" s="7"/>
      <c r="P74" s="7"/>
      <c r="Q74" s="22"/>
      <c r="R74" s="190"/>
      <c r="S74" s="196">
        <f>SUM(U74:U74)/IF(AG74="EC",12,1)</f>
        <v>1</v>
      </c>
      <c r="T74" s="190" t="str">
        <f>IF(ISEVEN(LEFT(AD74,4)),"Southbound","NorthBound")</f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-05-17T11:07:49-0600',mode:absolute,to:'2017-05-17T13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4" s="192" t="str">
        <f>IF(AA74&lt;IF(AG74="EC",23,5.65),"Y","N")</f>
        <v>N</v>
      </c>
      <c r="X74" s="192">
        <f>VALUE(LEFT(AD74,4))-VALUE(LEFT(AD73,4))</f>
        <v>1</v>
      </c>
      <c r="Y74" s="192">
        <f>RIGHT(D74,LEN(D74)-4)/10000</f>
        <v>23.300599999999999</v>
      </c>
      <c r="Z74" s="192">
        <f>RIGHT(H74,LEN(H74)-4)/10000</f>
        <v>1.47E-2</v>
      </c>
      <c r="AA74" s="192">
        <f>ABS(Z74-Y74)</f>
        <v>23.285899999999998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0162-17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s3://rtdc.mdm.uploadarchive.raw/RTDC4023/ "%USERPROFILE%\AppData\Local\Temp\OnboardLogs"\RTDC4023\2017-05-17 --exclude "*" --recursive --include "*20170517*" &amp; "%USERPROFILE%\Documents\GitHub\mrs-test-scripts\Headless Mode &amp; Sideloading\WalkAndUnGZ.bat" "%USERPROFILE%\AppData\Local\Temp\OnboardLogs"\RTDC4023\2017-05-17 &amp; 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/stypes="app*4023*20170517*" /stext=" 18:.+((SYSTEM_STATE.+slice.+state.+changed )|(ment ac)|(multiple cpu faults)|(system.+state.+changed )|(\[timeout)|(PRM\|1\|D)|(kpr)|(kdp)|(train st.+moving)|(\|lc)|(penalty))"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162-17 --locoid 4023 --swversion DE.1.0.9.0 --startMP 204:233006 --initTime 2017-05-17T12:07:49 --startdatetime 2017-05-17T12:11:29 --delay 1 --endMP 204:147 --enddatetime 2017-05-17T12:50:55 --enforcementcount 1 &gt;&gt;C:\Users\stu\Documents\GitHub\eaglep3-reporting\EC\2017-05-17-refined-times.txt</v>
      </c>
      <c r="AI74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{"issue":{"subject":"","project_id":79,"tracker_id":40,"status_id":1,"priority_id":2,"assigned_to_id":23,"start_date":"2017-05-17","description":"","custom_fields":[{"id":1,"name":"Subdivision","value":"EC"},{"id":4,"name":"Milepost","value":"0.0147"},{"id":17,"name":"Train ID","value":"162-17"},{"id":16,"name":"Locomotive ID","value":"4023"},{"id":130,"name":"Impact","value":""},{"id":150,"name":"Time of Event (Mountain Time)","value":"12:50:55"},{"id":151,"name":"Denver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4023 --day 2017-05-17</v>
      </c>
      <c r="AN74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18:50:55"},{"id":29,"name":"Sharepoint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708</v>
      </c>
      <c r="B75" s="7">
        <v>4040</v>
      </c>
      <c r="C75" s="21" t="s">
        <v>206</v>
      </c>
      <c r="D75" s="21" t="s">
        <v>352</v>
      </c>
      <c r="E75" s="13">
        <v>42872.475370370368</v>
      </c>
      <c r="F75" s="13">
        <v>42872.479386574072</v>
      </c>
      <c r="G75" s="7">
        <v>1</v>
      </c>
      <c r="H75" s="21" t="s">
        <v>433</v>
      </c>
      <c r="I75" s="13">
        <v>42872.506678240738</v>
      </c>
      <c r="J75" s="7">
        <v>1</v>
      </c>
      <c r="K75" s="92" t="str">
        <f>IF(ISEVEN(B75),(B75-1)&amp;"/"&amp;B75,B75&amp;"/"&amp;(B75+1))</f>
        <v>4039/4040</v>
      </c>
      <c r="L75" s="21" t="str">
        <f>VLOOKUP(A75,'Trips&amp;Operators'!$C$1:$G$99999,5,FALSE)</f>
        <v>THOMPSON LESTER</v>
      </c>
      <c r="M75" s="6">
        <f>I75-F75</f>
        <v>2.7291666665405501E-2</v>
      </c>
      <c r="N75" s="7">
        <f>24*60*SUM($M75:$M75)</f>
        <v>39.299999998183921</v>
      </c>
      <c r="O75" s="7"/>
      <c r="P75" s="7"/>
      <c r="Q75" s="22"/>
      <c r="R75" s="190"/>
      <c r="S75" s="196">
        <f>SUM(U75:U75)/IF(AG75="EC",12,1)</f>
        <v>1</v>
      </c>
      <c r="T75" s="190" t="str">
        <f>IF(ISEVEN(LEFT(AD75,4)),"Southbound","NorthBound")</f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-05-17T10:24:32-0600',mode:absolute,to:'2017-05-17T13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5" s="192" t="str">
        <f>IF(AA75&lt;IF(AG75="EC",23,5.65),"Y","N")</f>
        <v>N</v>
      </c>
      <c r="X75" s="192">
        <f>VALUE(LEFT(AD75,4))-VALUE(LEFT(AD74,4))</f>
        <v>1</v>
      </c>
      <c r="Y75" s="192">
        <f>RIGHT(D75,LEN(D75)-4)/10000</f>
        <v>4.4600000000000001E-2</v>
      </c>
      <c r="Z75" s="192">
        <f>RIGHT(H75,LEN(H75)-4)/10000</f>
        <v>23.328399999999998</v>
      </c>
      <c r="AA75" s="192">
        <f>ABS(Z75-Y75)</f>
        <v>23.283799999999999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0163-17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 &amp; 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/stypes="app*4040*20170517*" /stext=" 18:.+((SYSTEM_STATE.+slice.+state.+changed )|(ment ac)|(multiple cpu faults)|(system.+state.+changed )|(\[timeout)|(PRM\|1\|D)|(kpr)|(kdp)|(train st.+moving)|(\|lc)|(penalty))"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163-17 --locoid 4040 --swversion DE.1.0.9.0 --startMP 204:446 --initTime 2017-05-17T11:24:32 --startdatetime 2017-05-17T11:30:19 --delay 1 --endMP 204:233284 --enddatetime 2017-05-17T12:09:37 --enforcementcount 1 &gt;&gt;C:\Users\stu\Documents\GitHub\eaglep3-reporting\EC\2017-05-17-refined-times.txt</v>
      </c>
      <c r="AI75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{"issue":{"subject":"","project_id":79,"tracker_id":40,"status_id":1,"priority_id":2,"assigned_to_id":23,"start_date":"2017-05-17","description":"","custom_fields":[{"id":1,"name":"Subdivision","value":"EC"},{"id":4,"name":"Milepost","value":"23.3284"},{"id":17,"name":"Train ID","value":"163-17"},{"id":16,"name":"Locomotive ID","value":"4040"},{"id":130,"name":"Impact","value":""},{"id":150,"name":"Time of Event (Mountain Time)","value":"12:09:37"},{"id":151,"name":"Denver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4040 --day 2017-05-17</v>
      </c>
      <c r="AN75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18:09:37"},{"id":29,"name":"Sharepoint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718</v>
      </c>
      <c r="B76" s="7">
        <v>4039</v>
      </c>
      <c r="C76" s="21" t="s">
        <v>206</v>
      </c>
      <c r="D76" s="21" t="s">
        <v>453</v>
      </c>
      <c r="E76" s="13">
        <v>42872.513923611114</v>
      </c>
      <c r="F76" s="13">
        <v>42872.518333333333</v>
      </c>
      <c r="G76" s="7">
        <v>1</v>
      </c>
      <c r="H76" s="21" t="s">
        <v>473</v>
      </c>
      <c r="I76" s="13">
        <v>42872.545590277776</v>
      </c>
      <c r="J76" s="7">
        <v>1</v>
      </c>
      <c r="K76" s="92" t="str">
        <f>IF(ISEVEN(B76),(B76-1)&amp;"/"&amp;B76,B76&amp;"/"&amp;(B76+1))</f>
        <v>4039/4040</v>
      </c>
      <c r="L76" s="21" t="str">
        <f>VLOOKUP(A76,'Trips&amp;Operators'!$C$1:$G$99999,5,FALSE)</f>
        <v>THOMPSON LESTER</v>
      </c>
      <c r="M76" s="6">
        <f>I76-F76</f>
        <v>2.7256944442342501E-2</v>
      </c>
      <c r="N76" s="7">
        <f>24*60*SUM($M76:$M76)</f>
        <v>39.249999996973202</v>
      </c>
      <c r="O76" s="7"/>
      <c r="P76" s="7"/>
      <c r="Q76" s="22"/>
      <c r="R76" s="190"/>
      <c r="S76" s="196">
        <f>SUM(U76:U76)/IF(AG76="EC",12,1)</f>
        <v>1</v>
      </c>
      <c r="T76" s="190" t="str">
        <f>IF(ISEVEN(LEFT(AD76,4)),"Southbound","NorthBound")</f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-05-17T11:20:03-0600',mode:absolute,to:'2017-05-17T14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6" s="192" t="str">
        <f>IF(AA76&lt;IF(AG76="EC",23,5.65),"Y","N")</f>
        <v>N</v>
      </c>
      <c r="X76" s="192">
        <f>VALUE(LEFT(AD76,4))-VALUE(LEFT(AD75,4))</f>
        <v>1</v>
      </c>
      <c r="Y76" s="192">
        <f>RIGHT(D76,LEN(D76)-4)/10000</f>
        <v>23.298200000000001</v>
      </c>
      <c r="Z76" s="192">
        <f>RIGHT(H76,LEN(H76)-4)/10000</f>
        <v>1.7999999999999999E-2</v>
      </c>
      <c r="AA76" s="192">
        <f>ABS(Z76-Y76)</f>
        <v>23.280200000000001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0164-17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/stypes="app*4039*20170517*" /stext=" 19:.+((SYSTEM_STATE.+slice.+state.+changed )|(ment ac)|(multiple cpu faults)|(system.+state.+changed )|(\[timeout)|(PRM\|1\|D)|(kpr)|(kdp)|(train st.+moving)|(\|lc)|(penalty))"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164-17 --locoid 4039 --swversion DE.1.0.9.0 --startMP 204:232982 --initTime 2017-05-17T12:20:03 --startdatetime 2017-05-17T12:26:24 --delay 1 --endMP 204:180 --enddatetime 2017-05-17T13:05:39 --enforcementcount 1 &gt;&gt;C:\Users\stu\Documents\GitHub\eaglep3-reporting\EC\2017-05-17-refined-times.txt</v>
      </c>
      <c r="AI76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{"issue":{"subject":"","project_id":79,"tracker_id":40,"status_id":1,"priority_id":2,"assigned_to_id":23,"start_date":"2017-05-17","description":"","custom_fields":[{"id":1,"name":"Subdivision","value":"EC"},{"id":4,"name":"Milepost","value":"0.018"},{"id":17,"name":"Train ID","value":"164-17"},{"id":16,"name":"Locomotive ID","value":"4039"},{"id":130,"name":"Impact","value":""},{"id":150,"name":"Time of Event (Mountain Time)","value":"13:05:39"},{"id":151,"name":"Denver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4039 --day 2017-05-17</v>
      </c>
      <c r="AN76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19:05:39"},{"id":29,"name":"Sharepoint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710</v>
      </c>
      <c r="B77" s="7">
        <v>4046</v>
      </c>
      <c r="C77" s="21" t="s">
        <v>206</v>
      </c>
      <c r="D77" s="21" t="s">
        <v>375</v>
      </c>
      <c r="E77" s="13">
        <v>42872.484965277778</v>
      </c>
      <c r="F77" s="13">
        <v>42872.489745370367</v>
      </c>
      <c r="G77" s="7">
        <v>1</v>
      </c>
      <c r="H77" s="21" t="s">
        <v>553</v>
      </c>
      <c r="I77" s="13">
        <v>42872.514421296299</v>
      </c>
      <c r="J77" s="7">
        <v>1</v>
      </c>
      <c r="K77" s="92" t="str">
        <f>IF(ISEVEN(B77),(B77-1)&amp;"/"&amp;B77,B77&amp;"/"&amp;(B77+1))</f>
        <v>4045/4046</v>
      </c>
      <c r="L77" s="21" t="str">
        <f>VLOOKUP(A77,'Trips&amp;Operators'!$C$1:$G$99999,5,FALSE)</f>
        <v>HELVIE ADAM</v>
      </c>
      <c r="M77" s="6">
        <f>I77-F77</f>
        <v>2.4675925931660458E-2</v>
      </c>
      <c r="N77" s="7">
        <f>24*60*SUM($M77:$M77)</f>
        <v>35.53333334159106</v>
      </c>
      <c r="O77" s="7"/>
      <c r="P77" s="7"/>
      <c r="Q77" s="22"/>
      <c r="R77" s="190"/>
      <c r="S77" s="196">
        <f>SUM(U77:U77)/IF(AG77="EC",12,1)</f>
        <v>1</v>
      </c>
      <c r="T77" s="190" t="str">
        <f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-17T10:38:21-0600',mode:absolute,to:'2017-05-17T13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7" s="192" t="str">
        <f>IF(AA77&lt;IF(AG77="EC",23,5.65),"Y","N")</f>
        <v>N</v>
      </c>
      <c r="X77" s="192">
        <f>VALUE(LEFT(AD77,4))-VALUE(LEFT(AD76,4))</f>
        <v>1</v>
      </c>
      <c r="Y77" s="192">
        <f>RIGHT(D77,LEN(D77)-4)/10000</f>
        <v>4.5499999999999999E-2</v>
      </c>
      <c r="Z77" s="192">
        <f>RIGHT(H77,LEN(H77)-4)/10000</f>
        <v>23.334199999999999</v>
      </c>
      <c r="AA77" s="192">
        <f>ABS(Z77-Y77)</f>
        <v>23.288699999999999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0165-17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s3://rtdc.mdm.uploadarchive.raw/RTDC4046/ "%USERPROFILE%\AppData\Local\Temp\OnboardLogs"\RTDC4046\2017-05-17 --exclude "*" --recursive --include "*20170517*" &amp; "%USERPROFILE%\Documents\GitHub\mrs-test-scripts\Headless Mode &amp; Sideloading\WalkAndUnGZ.bat" "%USERPROFILE%\AppData\Local\Temp\OnboardLogs"\RTDC4046\2017-05-17 &amp; aws s3 cp s3://rtdc.mdm.uploadarchive.raw/RTDC4046/ "%USERPROFILE%\AppData\Local\Temp\OnboardLogs"\RTDC4046\2017-05-18 --exclude "*" --recursive --include "*20170518*" &amp; "%USERPROFILE%\Documents\GitHub\mrs-test-scripts\Headless Mode &amp; Sideloading\WalkAndUnGZ.bat" "%USERPROFILE%\AppData\Local\Temp\OnboardLogs"\RTDC4046\2017-05-18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/stypes="app*4046*20170517*" /stext=" 18:.+((SYSTEM_STATE.+slice.+state.+changed )|(ment ac)|(multiple cpu faults)|(system.+state.+changed )|(\[timeout)|(PRM\|1\|D)|(kpr)|(kdp)|(train st.+moving)|(\|lc)|(penalty))"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si="4"/>
        <v>"%USERPROFILE%\Documents\GitHub\eaglep3\Utilities\RefineRTDCRunTimes.py" --tripid 165-17 --locoid 4046 --swversion DE.1.0.9.0 --startMP 204:455 --initTime 2017-05-17T11:38:21 --startdatetime 2017-05-17T11:45:14 --delay 1 --endMP 204:233342 --enddatetime 2017-05-17T12:20:46 --enforcementcount 1 &gt;&gt;C:\Users\stu\Documents\GitHub\eaglep3-reporting\EC\2017-05-17-refined-times.txt</v>
      </c>
      <c r="AI77" s="99" t="str">
        <f t="shared" si="5"/>
        <v>echo {"issue":{"subject":"","project_id":79,"tracker_id":40,"status_id":1,"priority_id":2,"assigned_to_id":23,"start_date":"2017-05-17","description":"","custom_fields":[{"id":1,"name":"Subdivision","value":"EC"},{"id":4,"name":"Milepost","value":"23.3342"},{"id":17,"name":"Train ID","value":"165-17"},{"id":16,"name":"Locomotive ID","value":"4046"},{"id":130,"name":"Impact","value":""},{"id":150,"name":"Time of Event (Mountain Time)","value":"12:20:46"},{"id":151,"name":"Denver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6"/>
        <v>start /low /b %USERPROFILE%\Documents\GitHub\eaglep3\Utilities\DownloadLogsFromS3.py --loco 4046 --day 2017-05-17</v>
      </c>
      <c r="AN77" s="154" t="str">
        <f t="shared" si="7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18:20:46"},{"id":29,"name":"Sharepoint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720</v>
      </c>
      <c r="B78" s="7">
        <v>4045</v>
      </c>
      <c r="C78" s="21" t="s">
        <v>206</v>
      </c>
      <c r="D78" s="21" t="s">
        <v>554</v>
      </c>
      <c r="E78" s="13">
        <v>42872.524050925924</v>
      </c>
      <c r="F78" s="13">
        <v>42872.528657407405</v>
      </c>
      <c r="G78" s="7">
        <v>2</v>
      </c>
      <c r="H78" s="21" t="s">
        <v>370</v>
      </c>
      <c r="I78" s="13">
        <v>42872.555243055554</v>
      </c>
      <c r="J78" s="7">
        <v>1</v>
      </c>
      <c r="K78" s="92" t="str">
        <f>IF(ISEVEN(B78),(B78-1)&amp;"/"&amp;B78,B78&amp;"/"&amp;(B78+1))</f>
        <v>4045/4046</v>
      </c>
      <c r="L78" s="21" t="str">
        <f>VLOOKUP(A78,'Trips&amp;Operators'!$C$1:$G$99999,5,FALSE)</f>
        <v>HELVIE ADAM</v>
      </c>
      <c r="M78" s="6">
        <f>I78-F78</f>
        <v>2.658564814919373E-2</v>
      </c>
      <c r="N78" s="7">
        <f>24*60*SUM($M78:$M78)</f>
        <v>38.283333334838971</v>
      </c>
      <c r="O78" s="7"/>
      <c r="P78" s="7"/>
      <c r="Q78" s="22"/>
      <c r="R78" s="190"/>
      <c r="S78" s="196">
        <f>SUM(U78:U78)/IF(AG78="EC",12,1)</f>
        <v>1</v>
      </c>
      <c r="T78" s="190" t="str">
        <f>IF(ISEVEN(LEFT(AD78,4)),"Southbound","NorthBound")</f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-05-17T11:34:38-0600',mode:absolute,to:'2017-05-17T14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8" s="192" t="str">
        <f>IF(AA78&lt;IF(AG78="EC",23,5.65),"Y","N")</f>
        <v>N</v>
      </c>
      <c r="X78" s="192">
        <f>VALUE(LEFT(AD78,4))-VALUE(LEFT(AD77,4))</f>
        <v>1</v>
      </c>
      <c r="Y78" s="192">
        <f>RIGHT(D78,LEN(D78)-4)/10000</f>
        <v>23.303599999999999</v>
      </c>
      <c r="Z78" s="192">
        <f>RIGHT(H78,LEN(H78)-4)/10000</f>
        <v>1.47E-2</v>
      </c>
      <c r="AA78" s="192">
        <f>ABS(Z78-Y78)</f>
        <v>23.288899999999998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>IF(LEN(A78)=6,"0"&amp;A78,A78)</f>
        <v>0166-17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s3://rtdc.mdm.uploadarchive.raw/RTDC4045/ "%USERPROFILE%\AppData\Local\Temp\OnboardLogs"\RTDC4045\2017-05-17 --exclude "*" --recursive --include "*20170517*" &amp; "%USERPROFILE%\Documents\GitHub\mrs-test-scripts\Headless Mode &amp; Sideloading\WalkAndUnGZ.bat" "%USERPROFILE%\AppData\Local\Temp\OnboardLogs"\RTDC4045\2017-05-17 &amp; aws s3 cp s3://rtdc.mdm.uploadarchive.raw/RTDC4045/ "%USERPROFILE%\AppData\Local\Temp\OnboardLogs"\RTDC4045\2017-05-18 --exclude "*" --recursive --include "*20170518*" &amp; "%USERPROFILE%\Documents\GitHub\mrs-test-scripts\Headless Mode &amp; Sideloading\WalkAndUnGZ.bat" "%USERPROFILE%\AppData\Local\Temp\OnboardLogs"\RTDC4045\2017-05-18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/stypes="app*4045*20170517*" /stext=" 19:.+((SYSTEM_STATE.+slice.+state.+changed )|(ment ac)|(multiple cpu faults)|(system.+state.+changed )|(\[timeout)|(PRM\|1\|D)|(kpr)|(kdp)|(train st.+moving)|(\|lc)|(penalty))"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ref="AH78:AH141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166-17 --locoid 4045 --swversion DE.1.0.9.0 --startMP 204:233036 --initTime 2017-05-17T12:34:38 --startdatetime 2017-05-17T12:41:16 --delay 2 --endMP 204:147 --enddatetime 2017-05-17T13:19:33 --enforcementcount 1 &gt;&gt;C:\Users\stu\Documents\GitHub\eaglep3-reporting\EC\2017-05-17-refined-times.txt</v>
      </c>
      <c r="AI78" s="99" t="str">
        <f t="shared" ref="AI78:AI141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{"issue":{"subject":"","project_id":79,"tracker_id":40,"status_id":1,"priority_id":2,"assigned_to_id":23,"start_date":"2017-05-17","description":"","custom_fields":[{"id":1,"name":"Subdivision","value":"EC"},{"id":4,"name":"Milepost","value":"0.0147"},{"id":17,"name":"Train ID","value":"166-17"},{"id":16,"name":"Locomotive ID","value":"4045"},{"id":130,"name":"Impact","value":""},{"id":150,"name":"Time of Event (Mountain Time)","value":"13:19:33"},{"id":151,"name":"Denver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10">"start /low /b "&amp;dls3logs&amp;" --loco "&amp;B78&amp;" --day "&amp;TEXT(F78,"YYYY-MM-DD")</f>
        <v>start /low /b %USERPROFILE%\Documents\GitHub\eaglep3\Utilities\DownloadLogsFromS3.py --loco 4045 --day 2017-05-17</v>
      </c>
      <c r="AN78" s="154" t="str">
        <f t="shared" ref="AN78:AN141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19:19:33"},{"id":29,"name":"Sharepoint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714</v>
      </c>
      <c r="B79" s="7">
        <v>4016</v>
      </c>
      <c r="C79" s="21" t="s">
        <v>206</v>
      </c>
      <c r="D79" s="21" t="s">
        <v>364</v>
      </c>
      <c r="E79" s="13">
        <v>42872.497835648152</v>
      </c>
      <c r="F79" s="13">
        <v>42872.500185185185</v>
      </c>
      <c r="G79" s="7">
        <v>1</v>
      </c>
      <c r="H79" s="21" t="s">
        <v>544</v>
      </c>
      <c r="I79" s="13">
        <v>42872.524247685185</v>
      </c>
      <c r="J79" s="7">
        <v>1</v>
      </c>
      <c r="K79" s="92" t="str">
        <f>IF(ISEVEN(B79),(B79-1)&amp;"/"&amp;B79,B79&amp;"/"&amp;(B79+1))</f>
        <v>4015/4016</v>
      </c>
      <c r="L79" s="21" t="str">
        <f>VLOOKUP(A79,'Trips&amp;Operators'!$C$1:$G$99999,5,FALSE)</f>
        <v>LAMAR NEKESHA</v>
      </c>
      <c r="M79" s="6">
        <f>I79-F79</f>
        <v>2.4062500000582077E-2</v>
      </c>
      <c r="N79" s="7">
        <f>24*60*SUM($M79:$M79)</f>
        <v>34.65000000083819</v>
      </c>
      <c r="O79" s="7"/>
      <c r="P79" s="7"/>
      <c r="Q79" s="22"/>
      <c r="R79" s="190"/>
      <c r="S79" s="196">
        <f>SUM(U79:U79)/IF(AG79="EC",12,1)</f>
        <v>1</v>
      </c>
      <c r="T79" s="190" t="str">
        <f>IF(ISEVEN(LEFT(AD79,4)),"Southbound","NorthBound")</f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-05-17T10:56:53-0600',mode:absolute,to:'2017-05-17T13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192" t="str">
        <f>IF(AA79&lt;IF(AG79="EC",23,5.65),"Y","N")</f>
        <v>N</v>
      </c>
      <c r="X79" s="192">
        <f>VALUE(LEFT(AD79,4))-VALUE(LEFT(AD78,4))</f>
        <v>1</v>
      </c>
      <c r="Y79" s="192">
        <f>RIGHT(D79,LEN(D79)-4)/10000</f>
        <v>4.53E-2</v>
      </c>
      <c r="Z79" s="192">
        <f>RIGHT(H79,LEN(H79)-4)/10000</f>
        <v>23.334900000000001</v>
      </c>
      <c r="AA79" s="192">
        <f>ABS(Z79-Y79)</f>
        <v>23.2896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0167-17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/stypes="app*4016*20170517*" /stext=" 18:.+((SYSTEM_STATE.+slice.+state.+changed )|(ment ac)|(multiple cpu faults)|(system.+state.+changed )|(\[timeout)|(PRM\|1\|D)|(kpr)|(kdp)|(train st.+moving)|(\|lc)|(penalty))"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si="8"/>
        <v>"%USERPROFILE%\Documents\GitHub\eaglep3\Utilities\RefineRTDCRunTimes.py" --tripid 167-17 --locoid 4016 --swversion DE.1.0.9.0 --startMP 204:453 --initTime 2017-05-17T11:56:53 --startdatetime 2017-05-17T12:00:16 --delay 1 --endMP 204:233349 --enddatetime 2017-05-17T12:34:55 --enforcementcount 1 &gt;&gt;C:\Users\stu\Documents\GitHub\eaglep3-reporting\EC\2017-05-17-refined-times.txt</v>
      </c>
      <c r="AI79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{"issue":{"subject":"","project_id":79,"tracker_id":40,"status_id":1,"priority_id":2,"assigned_to_id":23,"start_date":"2017-05-17","description":"","custom_fields":[{"id":1,"name":"Subdivision","value":"EC"},{"id":4,"name":"Milepost","value":"23.3349"},{"id":17,"name":"Train ID","value":"167-17"},{"id":16,"name":"Locomotive ID","value":"4016"},{"id":130,"name":"Impact","value":""},{"id":150,"name":"Time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10"/>
        <v>start /low /b %USERPROFILE%\Documents\GitHub\eaglep3\Utilities\DownloadLogsFromS3.py --loco 4016 --day 2017-05-17</v>
      </c>
      <c r="AN79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18:34:55"},{"id":29,"name":"Sharepoint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722</v>
      </c>
      <c r="B80" s="7">
        <v>4015</v>
      </c>
      <c r="C80" s="21" t="s">
        <v>206</v>
      </c>
      <c r="D80" s="21" t="s">
        <v>852</v>
      </c>
      <c r="E80" s="13">
        <v>42872.526099537034</v>
      </c>
      <c r="F80" s="13">
        <v>42872.539050925923</v>
      </c>
      <c r="G80" s="7">
        <v>3</v>
      </c>
      <c r="H80" s="21" t="s">
        <v>369</v>
      </c>
      <c r="I80" s="13">
        <v>42872.566712962966</v>
      </c>
      <c r="J80" s="7">
        <v>1</v>
      </c>
      <c r="K80" s="92" t="str">
        <f>IF(ISEVEN(B80),(B80-1)&amp;"/"&amp;B80,B80&amp;"/"&amp;(B80+1))</f>
        <v>4015/4016</v>
      </c>
      <c r="L80" s="21" t="str">
        <f>VLOOKUP(A80,'Trips&amp;Operators'!$C$1:$G$99999,5,FALSE)</f>
        <v>LAMAR NEKESHA</v>
      </c>
      <c r="M80" s="6">
        <f>I80-F80</f>
        <v>2.7662037042318843E-2</v>
      </c>
      <c r="N80" s="7">
        <f>24*60*SUM($M80:$M80)</f>
        <v>39.833333340939134</v>
      </c>
      <c r="O80" s="7"/>
      <c r="P80" s="7"/>
      <c r="Q80" s="22"/>
      <c r="R80" s="190"/>
      <c r="S80" s="196">
        <f>SUM(U80:U80)/IF(AG80="EC",12,1)</f>
        <v>1</v>
      </c>
      <c r="T80" s="190" t="str">
        <f>IF(ISEVEN(LEFT(AD80,4)),"Southbound","NorthBound")</f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-05-17T11:37:35-0600',mode:absolute,to:'2017-05-17T14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192" t="str">
        <f>IF(AA80&lt;IF(AG80="EC",23,5.65),"Y","N")</f>
        <v>N</v>
      </c>
      <c r="X80" s="192">
        <f>VALUE(LEFT(AD80,4))-VALUE(LEFT(AD79,4))</f>
        <v>1</v>
      </c>
      <c r="Y80" s="192">
        <f>RIGHT(D80,LEN(D80)-4)/10000</f>
        <v>23.302600000000002</v>
      </c>
      <c r="Z80" s="192">
        <f>RIGHT(H80,LEN(H80)-4)/10000</f>
        <v>1.41E-2</v>
      </c>
      <c r="AA80" s="192">
        <f>ABS(Z80-Y80)</f>
        <v>23.288500000000003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>IF(LEN(A80)=6,"0"&amp;A80,A80)</f>
        <v>0168-17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s3://rtdc.mdm.uploadarchive.raw/RTDC4015/ "%USERPROFILE%\AppData\Local\Temp\OnboardLogs"\RTDC4015\2017-05-17 --exclude "*" --recursive --include "*20170517*" &amp; "%USERPROFILE%\Documents\GitHub\mrs-test-scripts\Headless Mode &amp; Sideloading\WalkAndUnGZ.bat" "%USERPROFILE%\AppData\Local\Temp\OnboardLogs"\RTDC4015\2017-05-17 &amp; aws s3 cp s3://rtdc.mdm.uploadarchive.raw/RTDC4015/ "%USERPROFILE%\AppData\Local\Temp\OnboardLogs"\RTDC4015\2017-05-18 --exclude "*" --recursive --include "*20170518*" &amp; "%USERPROFILE%\Documents\GitHub\mrs-test-scripts\Headless Mode &amp; Sideloading\WalkAndUnGZ.bat" "%USERPROFILE%\AppData\Local\Temp\OnboardLogs"\RTDC4015\2017-05-18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/stypes="app*4015*20170517*" /stext=" 19:.+((SYSTEM_STATE.+slice.+state.+changed )|(ment ac)|(multiple cpu faults)|(system.+state.+changed )|(\[timeout)|(PRM\|1\|D)|(kpr)|(kdp)|(train st.+moving)|(\|lc)|(penalty))"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8"/>
        <v>"%USERPROFILE%\Documents\GitHub\eaglep3\Utilities\RefineRTDCRunTimes.py" --tripid 168-17 --locoid 4015 --swversion DE.1.0.9.0 --startMP 204:233026 --initTime 2017-05-17T12:37:35 --startdatetime 2017-05-17T12:56:14 --delay 3 --endMP 204:141 --enddatetime 2017-05-17T13:36:04 --enforcementcount 1 &gt;&gt;C:\Users\stu\Documents\GitHub\eaglep3-reporting\EC\2017-05-17-refined-times.txt</v>
      </c>
      <c r="AI80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{"issue":{"subject":"","project_id":79,"tracker_id":40,"status_id":1,"priority_id":2,"assigned_to_id":23,"start_date":"2017-05-17","description":"","custom_fields":[{"id":1,"name":"Subdivision","value":"EC"},{"id":4,"name":"Milepost","value":"0.0141"},{"id":17,"name":"Train ID","value":"168-17"},{"id":16,"name":"Locomotive ID","value":"4015"},{"id":130,"name":"Impact","value":""},{"id":150,"name":"Time of Event (Mountain Time)","value":"13:36:04"},{"id":151,"name":"Denver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10"/>
        <v>start /low /b %USERPROFILE%\Documents\GitHub\eaglep3\Utilities\DownloadLogsFromS3.py --loco 4015 --day 2017-05-17</v>
      </c>
      <c r="AN80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19:36:04"},{"id":29,"name":"Sharepoint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717</v>
      </c>
      <c r="B81" s="7">
        <v>4030</v>
      </c>
      <c r="C81" s="21" t="s">
        <v>206</v>
      </c>
      <c r="D81" s="21" t="s">
        <v>482</v>
      </c>
      <c r="E81" s="13">
        <v>42872.50545138889</v>
      </c>
      <c r="F81" s="13">
        <v>42872.510613425926</v>
      </c>
      <c r="G81" s="7">
        <v>1</v>
      </c>
      <c r="H81" s="21" t="s">
        <v>547</v>
      </c>
      <c r="I81" s="13">
        <v>42872.535312499997</v>
      </c>
      <c r="J81" s="7">
        <v>1</v>
      </c>
      <c r="K81" s="92" t="str">
        <f>IF(ISEVEN(B81),(B81-1)&amp;"/"&amp;B81,B81&amp;"/"&amp;(B81+1))</f>
        <v>4029/4030</v>
      </c>
      <c r="L81" s="21" t="str">
        <f>VLOOKUP(A81,'Trips&amp;Operators'!$C$1:$G$99999,5,FALSE)</f>
        <v>LEVIN SCOTT</v>
      </c>
      <c r="M81" s="6">
        <f>I81-F81</f>
        <v>2.4699074070667848E-2</v>
      </c>
      <c r="N81" s="7">
        <f>24*60*SUM($M81:$M81)</f>
        <v>35.566666661761701</v>
      </c>
      <c r="O81" s="7"/>
      <c r="P81" s="7"/>
      <c r="Q81" s="22"/>
      <c r="R81" s="190"/>
      <c r="S81" s="196">
        <f>SUM(U81:U81)/IF(AG81="EC",12,1)</f>
        <v>1</v>
      </c>
      <c r="T81" s="190" t="str">
        <f>IF(ISEVEN(LEFT(AD81,4)),"Southbound","NorthBound")</f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-05-17T11:07:51-0600',mode:absolute,to:'2017-05-17T13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1" s="192" t="str">
        <f>IF(AA81&lt;IF(AG81="EC",23,5.65),"Y","N")</f>
        <v>N</v>
      </c>
      <c r="X81" s="192">
        <f>VALUE(LEFT(AD81,4))-VALUE(LEFT(AD80,4))</f>
        <v>1</v>
      </c>
      <c r="Y81" s="192">
        <f>RIGHT(D81,LEN(D81)-4)/10000</f>
        <v>4.8399999999999999E-2</v>
      </c>
      <c r="Z81" s="192">
        <f>RIGHT(H81,LEN(H81)-4)/10000</f>
        <v>23.335100000000001</v>
      </c>
      <c r="AA81" s="192">
        <f>ABS(Z81-Y81)</f>
        <v>23.2867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0169-17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s3://rtdc.mdm.uploadarchive.raw/RTDC4030/ "%USERPROFILE%\AppData\Local\Temp\OnboardLogs"\RTDC4030\2017-05-17 --exclude "*" --recursive --include "*20170517*" &amp; "%USERPROFILE%\Documents\GitHub\mrs-test-scripts\Headless Mode &amp; Sideloading\WalkAndUnGZ.bat" "%USERPROFILE%\AppData\Local\Temp\OnboardLogs"\RTDC4030\2017-05-17 &amp; 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/stypes="app*4030*20170517*" /stext=" 18:.+((SYSTEM_STATE.+slice.+state.+changed )|(ment ac)|(multiple cpu faults)|(system.+state.+changed )|(\[timeout)|(PRM\|1\|D)|(kpr)|(kdp)|(train st.+moving)|(\|lc)|(penalty))"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8"/>
        <v>"%USERPROFILE%\Documents\GitHub\eaglep3\Utilities\RefineRTDCRunTimes.py" --tripid 169-17 --locoid 4030 --swversion DE.1.0.9.0 --startMP 204:484 --initTime 2017-05-17T12:07:51 --startdatetime 2017-05-17T12:15:17 --delay 1 --endMP 204:233351 --enddatetime 2017-05-17T12:50:51 --enforcementcount 1 &gt;&gt;C:\Users\stu\Documents\GitHub\eaglep3-reporting\EC\2017-05-17-refined-times.txt</v>
      </c>
      <c r="AI81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{"issue":{"subject":"","project_id":79,"tracker_id":40,"status_id":1,"priority_id":2,"assigned_to_id":23,"start_date":"2017-05-17","description":"","custom_fields":[{"id":1,"name":"Subdivision","value":"EC"},{"id":4,"name":"Milepost","value":"23.3351"},{"id":17,"name":"Train ID","value":"169-17"},{"id":16,"name":"Locomotive ID","value":"4030"},{"id":130,"name":"Impact","value":""},{"id":150,"name":"Time of Event (Mountain Time)","value":"12:50:51"},{"id":151,"name":"Denver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10"/>
        <v>start /low /b %USERPROFILE%\Documents\GitHub\eaglep3\Utilities\DownloadLogsFromS3.py --loco 4030 --day 2017-05-17</v>
      </c>
      <c r="AN81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18:50:51"},{"id":29,"name":"Sharepoint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591</v>
      </c>
      <c r="B82" s="7">
        <v>4029</v>
      </c>
      <c r="C82" s="21" t="s">
        <v>206</v>
      </c>
      <c r="D82" s="21" t="s">
        <v>866</v>
      </c>
      <c r="E82" s="13">
        <v>42872.546087962961</v>
      </c>
      <c r="F82" s="13">
        <v>42872.549502314818</v>
      </c>
      <c r="G82" s="7">
        <v>1</v>
      </c>
      <c r="H82" s="21" t="s">
        <v>867</v>
      </c>
      <c r="I82" s="13">
        <v>42872.577187499999</v>
      </c>
      <c r="J82" s="7">
        <v>1</v>
      </c>
      <c r="K82" s="92" t="str">
        <f>IF(ISEVEN(B82),(B82-1)&amp;"/"&amp;B82,B82&amp;"/"&amp;(B82+1))</f>
        <v>4029/4030</v>
      </c>
      <c r="L82" s="21" t="str">
        <f>VLOOKUP(A82,'Trips&amp;Operators'!$C$1:$G$99999,5,FALSE)</f>
        <v>LEVIN SCOTT</v>
      </c>
      <c r="M82" s="6">
        <f>I82-F82</f>
        <v>2.7685185181326233E-2</v>
      </c>
      <c r="N82" s="7">
        <f>24*60*SUM($M82:$M82)</f>
        <v>39.866666661109775</v>
      </c>
      <c r="O82" s="7"/>
      <c r="P82" s="7"/>
      <c r="Q82" s="22"/>
      <c r="R82" s="190"/>
      <c r="S82" s="196">
        <f>SUM(U82:U82)/IF(AG82="EC",12,1)</f>
        <v>1</v>
      </c>
      <c r="T82" s="190" t="str">
        <f>IF(ISEVEN(LEFT(AD82,4)),"Southbound","NorthBound")</f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-05-17T12:06:22-0600',mode:absolute,to:'2017-05-17T14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192" t="str">
        <f>IF(AA82&lt;IF(AG82="EC",23,5.65),"Y","N")</f>
        <v>N</v>
      </c>
      <c r="X82" s="192">
        <f>VALUE(LEFT(AD82,4))-VALUE(LEFT(AD81,4))</f>
        <v>1</v>
      </c>
      <c r="Y82" s="192">
        <f>RIGHT(D82,LEN(D82)-4)/10000</f>
        <v>23.305900000000001</v>
      </c>
      <c r="Z82" s="192">
        <f>RIGHT(H82,LEN(H82)-4)/10000</f>
        <v>1.34E-2</v>
      </c>
      <c r="AA82" s="192">
        <f>ABS(Z82-Y82)</f>
        <v>23.2925</v>
      </c>
      <c r="AB82" s="57" t="str">
        <f>VLOOKUP(A82,Enforcements!$C$7:$K$13,8,0)</f>
        <v>Bulletin (2)</v>
      </c>
      <c r="AC82" s="53" t="str">
        <f>VLOOKUP(A82,Enforcements!$C$7:$E$13,3,0)</f>
        <v>GRADE CROSSING</v>
      </c>
      <c r="AD82" s="54" t="str">
        <f>IF(LEN(A82)=6,"0"&amp;A82,A82)</f>
        <v>0170-17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/stypes="app*4029*20170517*" /stext=" 19:.+((SYSTEM_STATE.+slice.+state.+changed )|(ment ac)|(multiple cpu faults)|(system.+state.+changed )|(\[timeout)|(PRM\|1\|D)|(kpr)|(kdp)|(train st.+moving)|(\|lc)|(penalty))"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8"/>
        <v>"%USERPROFILE%\Documents\GitHub\eaglep3\Utilities\RefineRTDCRunTimes.py" --tripid 170-17 --locoid 4029 --swversion DE.1.0.9.0 --startMP 204:233059 --initTime 2017-05-17T13:06:22 --startdatetime 2017-05-17T13:11:17 --delay 1 --endMP 204:134 --enddatetime 2017-05-17T13:51:09 --enforcementcount 1 &gt;&gt;C:\Users\stu\Documents\GitHub\eaglep3-reporting\EC\2017-05-17-refined-times.txt</v>
      </c>
      <c r="AI82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{"issue":{"subject":"","project_id":79,"tracker_id":40,"status_id":1,"priority_id":2,"assigned_to_id":23,"start_date":"2017-05-17","description":"","custom_fields":[{"id":1,"name":"Subdivision","value":"EC"},{"id":4,"name":"Milepost","value":"0.0134"},{"id":17,"name":"Train ID","value":"170-17"},{"id":16,"name":"Locomotive ID","value":"4029"},{"id":130,"name":"Impact","value":""},{"id":150,"name":"Time of Event (Mountain Time)","value":"13:51:09"},{"id":151,"name":"Denver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10"/>
        <v>start /low /b %USERPROFILE%\Documents\GitHub\eaglep3\Utilities\DownloadLogsFromS3.py --loco 4029 --day 2017-05-17</v>
      </c>
      <c r="AN82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19:51:09"},{"id":29,"name":"Sharepoint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719</v>
      </c>
      <c r="B83" s="7">
        <v>4042</v>
      </c>
      <c r="C83" s="21" t="s">
        <v>206</v>
      </c>
      <c r="D83" s="21" t="s">
        <v>347</v>
      </c>
      <c r="E83" s="13">
        <v>42872.518761574072</v>
      </c>
      <c r="F83" s="13">
        <v>42872.521087962959</v>
      </c>
      <c r="G83" s="7">
        <v>2</v>
      </c>
      <c r="H83" s="21" t="s">
        <v>868</v>
      </c>
      <c r="I83" s="13">
        <v>42872.548055555555</v>
      </c>
      <c r="J83" s="7">
        <v>1</v>
      </c>
      <c r="K83" s="92" t="str">
        <f>IF(ISEVEN(B83),(B83-1)&amp;"/"&amp;B83,B83&amp;"/"&amp;(B83+1))</f>
        <v>4041/4042</v>
      </c>
      <c r="L83" s="21" t="str">
        <f>VLOOKUP(A83,'Trips&amp;Operators'!$C$1:$G$99999,5,FALSE)</f>
        <v>ZEWDU DEREJE</v>
      </c>
      <c r="M83" s="6">
        <f>I83-F83</f>
        <v>2.6967592595610768E-2</v>
      </c>
      <c r="N83" s="7">
        <f>24*60*SUM($M83:$M83)</f>
        <v>38.833333337679505</v>
      </c>
      <c r="O83" s="7"/>
      <c r="P83" s="7"/>
      <c r="Q83" s="22"/>
      <c r="R83" s="190"/>
      <c r="S83" s="196">
        <f>SUM(U83:U83)/IF(AG83="EC",12,1)</f>
        <v>1</v>
      </c>
      <c r="T83" s="190" t="str">
        <f>IF(ISEVEN(LEFT(AD83,4)),"Southbound","NorthBound")</f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-05-17T11:27:01-0600',mode:absolute,to:'2017-05-17T14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3" s="192" t="str">
        <f>IF(AA83&lt;IF(AG83="EC",23,5.65),"Y","N")</f>
        <v>N</v>
      </c>
      <c r="X83" s="192">
        <f>VALUE(LEFT(AD83,4))-VALUE(LEFT(AD82,4))</f>
        <v>1</v>
      </c>
      <c r="Y83" s="192">
        <f>RIGHT(D83,LEN(D83)-4)/10000</f>
        <v>4.4900000000000002E-2</v>
      </c>
      <c r="Z83" s="192">
        <f>RIGHT(H83,LEN(H83)-4)/10000</f>
        <v>23.3355</v>
      </c>
      <c r="AA83" s="192">
        <f>ABS(Z83-Y83)</f>
        <v>23.290600000000001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0171-17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/stypes="app*4042*20170517*" /stext=" 19:.+((SYSTEM_STATE.+slice.+state.+changed )|(ment ac)|(multiple cpu faults)|(system.+state.+changed )|(\[timeout)|(PRM\|1\|D)|(kpr)|(kdp)|(train st.+moving)|(\|lc)|(penalty))"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8"/>
        <v>"%USERPROFILE%\Documents\GitHub\eaglep3\Utilities\RefineRTDCRunTimes.py" --tripid 171-17 --locoid 4042 --swversion DE.1.0.9.0 --startMP 204:449 --initTime 2017-05-17T12:27:01 --startdatetime 2017-05-17T12:30:22 --delay 2 --endMP 204:233355 --enddatetime 2017-05-17T13:09:12 --enforcementcount 1 &gt;&gt;C:\Users\stu\Documents\GitHub\eaglep3-reporting\EC\2017-05-17-refined-times.txt</v>
      </c>
      <c r="AI83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{"issue":{"subject":"","project_id":79,"tracker_id":40,"status_id":1,"priority_id":2,"assigned_to_id":23,"start_date":"2017-05-17","description":"","custom_fields":[{"id":1,"name":"Subdivision","value":"EC"},{"id":4,"name":"Milepost","value":"23.3355"},{"id":17,"name":"Train ID","value":"171-17"},{"id":16,"name":"Locomotive ID","value":"4042"},{"id":130,"name":"Impact","value":""},{"id":150,"name":"Time of Event (Mountain Time)","value":"13:09:12"},{"id":151,"name":"Denver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10"/>
        <v>start /low /b %USERPROFILE%\Documents\GitHub\eaglep3\Utilities\DownloadLogsFromS3.py --loco 4042 --day 2017-05-17</v>
      </c>
      <c r="AN83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19:09:12"},{"id":29,"name":"Sharepoint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726</v>
      </c>
      <c r="B84" s="7">
        <v>4041</v>
      </c>
      <c r="C84" s="21" t="s">
        <v>206</v>
      </c>
      <c r="D84" s="21" t="s">
        <v>869</v>
      </c>
      <c r="E84" s="13">
        <v>42872.551493055558</v>
      </c>
      <c r="F84" s="13">
        <v>42872.559907407405</v>
      </c>
      <c r="G84" s="7">
        <v>1</v>
      </c>
      <c r="H84" s="21" t="s">
        <v>432</v>
      </c>
      <c r="I84" s="13">
        <v>42872.587523148148</v>
      </c>
      <c r="J84" s="7">
        <v>1</v>
      </c>
      <c r="K84" s="92" t="str">
        <f>IF(ISEVEN(B84),(B84-1)&amp;"/"&amp;B84,B84&amp;"/"&amp;(B84+1))</f>
        <v>4041/4042</v>
      </c>
      <c r="L84" s="21" t="str">
        <f>VLOOKUP(A84,'Trips&amp;Operators'!$C$1:$G$99999,5,FALSE)</f>
        <v>ZEWDU DEREJE</v>
      </c>
      <c r="M84" s="6">
        <f>I84-F84</f>
        <v>2.7615740742476191E-2</v>
      </c>
      <c r="N84" s="7">
        <f>24*60*SUM($M84:$M84)</f>
        <v>39.766666669165716</v>
      </c>
      <c r="O84" s="7"/>
      <c r="P84" s="7"/>
      <c r="Q84" s="22"/>
      <c r="R84" s="190"/>
      <c r="S84" s="196">
        <f>SUM(U84:U84)/IF(AG84="EC",12,1)</f>
        <v>1</v>
      </c>
      <c r="T84" s="190" t="str">
        <f>IF(ISEVEN(LEFT(AD84,4)),"Southbound","NorthBound")</f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-05-17T12:14:09-0600',mode:absolute,to:'2017-05-17T15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4" s="192" t="str">
        <f>IF(AA84&lt;IF(AG84="EC",23,5.65),"Y","N")</f>
        <v>N</v>
      </c>
      <c r="X84" s="192">
        <f>VALUE(LEFT(AD84,4))-VALUE(LEFT(AD83,4))</f>
        <v>1</v>
      </c>
      <c r="Y84" s="192">
        <f>RIGHT(D84,LEN(D84)-4)/10000</f>
        <v>23.304200000000002</v>
      </c>
      <c r="Z84" s="192">
        <f>RIGHT(H84,LEN(H84)-4)/10000</f>
        <v>1.54E-2</v>
      </c>
      <c r="AA84" s="192">
        <f>ABS(Z84-Y84)</f>
        <v>23.288800000000002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>IF(LEN(A84)=6,"0"&amp;A84,A84)</f>
        <v>0172-17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 &amp; aws s3 cp s3://rtdc.mdm.uploadarchive.raw/RTDC4041/ "%USERPROFILE%\AppData\Local\Temp\OnboardLogs"\RTDC4041\2017-05-18 --exclude "*" --recursive --include "*20170518*" &amp; "%USERPROFILE%\Documents\GitHub\mrs-test-scripts\Headless Mode &amp; Sideloading\WalkAndUnGZ.bat" "%USERPROFILE%\AppData\Local\Temp\OnboardLogs"\RTDC4041\2017-05-18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/stypes="app*4041*20170517*" /stext=" 20:.+((SYSTEM_STATE.+slice.+state.+changed )|(ment ac)|(multiple cpu faults)|(system.+state.+changed )|(\[timeout)|(PRM\|1\|D)|(kpr)|(kdp)|(train st.+moving)|(\|lc)|(penalty))"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8"/>
        <v>"%USERPROFILE%\Documents\GitHub\eaglep3\Utilities\RefineRTDCRunTimes.py" --tripid 172-17 --locoid 4041 --swversion DE.1.0.9.0 --startMP 204:233042 --initTime 2017-05-17T13:14:09 --startdatetime 2017-05-17T13:26:16 --delay 1 --endMP 204:154 --enddatetime 2017-05-17T14:06:02 --enforcementcount 1 &gt;&gt;C:\Users\stu\Documents\GitHub\eaglep3-reporting\EC\2017-05-17-refined-times.txt</v>
      </c>
      <c r="AI84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{"issue":{"subject":"","project_id":79,"tracker_id":40,"status_id":1,"priority_id":2,"assigned_to_id":23,"start_date":"2017-05-17","description":"","custom_fields":[{"id":1,"name":"Subdivision","value":"EC"},{"id":4,"name":"Milepost","value":"0.0154"},{"id":17,"name":"Train ID","value":"172-17"},{"id":16,"name":"Locomotive ID","value":"4041"},{"id":130,"name":"Impact","value":""},{"id":150,"name":"Time of Event (Mountain Time)","value":"14:06:02"},{"id":151,"name":"Denver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10"/>
        <v>start /low /b %USERPROFILE%\Documents\GitHub\eaglep3\Utilities\DownloadLogsFromS3.py --loco 4041 --day 2017-05-17</v>
      </c>
      <c r="AN84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20:06:02"},{"id":29,"name":"Sharepoint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723</v>
      </c>
      <c r="B85" s="7">
        <v>4012</v>
      </c>
      <c r="C85" s="21" t="s">
        <v>206</v>
      </c>
      <c r="D85" s="21" t="s">
        <v>536</v>
      </c>
      <c r="E85" s="13">
        <v>42872.527673611112</v>
      </c>
      <c r="F85" s="13">
        <v>42872.531423611108</v>
      </c>
      <c r="G85" s="7">
        <v>1</v>
      </c>
      <c r="H85" s="21" t="s">
        <v>411</v>
      </c>
      <c r="I85" s="13">
        <v>42872.557534722226</v>
      </c>
      <c r="J85" s="7">
        <v>1</v>
      </c>
      <c r="K85" s="92" t="str">
        <f>IF(ISEVEN(B85),(B85-1)&amp;"/"&amp;B85,B85&amp;"/"&amp;(B85+1))</f>
        <v>4011/4012</v>
      </c>
      <c r="L85" s="21" t="str">
        <f>VLOOKUP(A85,'Trips&amp;Operators'!$C$1:$G$99999,5,FALSE)</f>
        <v>CLARK KATHLEEN</v>
      </c>
      <c r="M85" s="6">
        <f>I85-F85</f>
        <v>2.6111111117643304E-2</v>
      </c>
      <c r="N85" s="7">
        <f>24*60*SUM($M85:$M85)</f>
        <v>37.600000009406358</v>
      </c>
      <c r="O85" s="7"/>
      <c r="P85" s="7"/>
      <c r="Q85" s="22"/>
      <c r="R85" s="190"/>
      <c r="S85" s="196">
        <f>SUM(U85:U85)/IF(AG85="EC",12,1)</f>
        <v>1</v>
      </c>
      <c r="T85" s="190" t="str">
        <f>IF(ISEVEN(LEFT(AD85,4)),"Southbound","NorthBound")</f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-05-17T11:39:51-0600',mode:absolute,to:'2017-05-17T14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192" t="str">
        <f>IF(AA85&lt;IF(AG85="EC",23,5.65),"Y","N")</f>
        <v>N</v>
      </c>
      <c r="X85" s="192">
        <f>VALUE(LEFT(AD85,4))-VALUE(LEFT(AD84,4))</f>
        <v>1</v>
      </c>
      <c r="Y85" s="192">
        <f>RIGHT(D85,LEN(D85)-4)/10000</f>
        <v>4.7100000000000003E-2</v>
      </c>
      <c r="Z85" s="192">
        <f>RIGHT(H85,LEN(H85)-4)/10000</f>
        <v>23.3293</v>
      </c>
      <c r="AA85" s="192">
        <f>ABS(Z85-Y85)</f>
        <v>23.2822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0173-17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s3://rtdc.mdm.uploadarchive.raw/RTDC4012/ "%USERPROFILE%\AppData\Local\Temp\OnboardLogs"\RTDC4012\2017-05-17 --exclude "*" --recursive --include "*20170517*" &amp; "%USERPROFILE%\Documents\GitHub\mrs-test-scripts\Headless Mode &amp; Sideloading\WalkAndUnGZ.bat" "%USERPROFILE%\AppData\Local\Temp\OnboardLogs"\RTDC4012\2017-05-17 &amp; 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/stypes="app*4012*20170517*" /stext=" 19:.+((SYSTEM_STATE.+slice.+state.+changed )|(ment ac)|(multiple cpu faults)|(system.+state.+changed )|(\[timeout)|(PRM\|1\|D)|(kpr)|(kdp)|(train st.+moving)|(\|lc)|(penalty))"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8"/>
        <v>"%USERPROFILE%\Documents\GitHub\eaglep3\Utilities\RefineRTDCRunTimes.py" --tripid 173-17 --locoid 4012 --swversion DE.1.0.9.0 --startMP 204:471 --initTime 2017-05-17T12:39:51 --startdatetime 2017-05-17T12:45:15 --delay 1 --endMP 204:233293 --enddatetime 2017-05-17T13:22:51 --enforcementcount 1 &gt;&gt;C:\Users\stu\Documents\GitHub\eaglep3-reporting\EC\2017-05-17-refined-times.txt</v>
      </c>
      <c r="AI85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{"issue":{"subject":"","project_id":79,"tracker_id":40,"status_id":1,"priority_id":2,"assigned_to_id":23,"start_date":"2017-05-17","description":"","custom_fields":[{"id":1,"name":"Subdivision","value":"EC"},{"id":4,"name":"Milepost","value":"23.3293"},{"id":17,"name":"Train ID","value":"173-17"},{"id":16,"name":"Locomotive ID","value":"4012"},{"id":130,"name":"Impact","value":""},{"id":150,"name":"Time of Event (Mountain Time)","value":"13:22:51"},{"id":151,"name":"Denver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10"/>
        <v>start /low /b %USERPROFILE%\Documents\GitHub\eaglep3\Utilities\DownloadLogsFromS3.py --loco 4012 --day 2017-05-17</v>
      </c>
      <c r="AN85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19:22:51"},{"id":29,"name":"Sharepoint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732</v>
      </c>
      <c r="B86" s="7">
        <v>4011</v>
      </c>
      <c r="C86" s="21" t="s">
        <v>206</v>
      </c>
      <c r="D86" s="21" t="s">
        <v>472</v>
      </c>
      <c r="E86" s="13">
        <v>42872.567175925928</v>
      </c>
      <c r="F86" s="13">
        <v>42872.570289351854</v>
      </c>
      <c r="G86" s="7">
        <v>1</v>
      </c>
      <c r="H86" s="21" t="s">
        <v>870</v>
      </c>
      <c r="I86" s="13">
        <v>42872.598171296297</v>
      </c>
      <c r="J86" s="7">
        <v>1</v>
      </c>
      <c r="K86" s="92" t="str">
        <f>IF(ISEVEN(B86),(B86-1)&amp;"/"&amp;B86,B86&amp;"/"&amp;(B86+1))</f>
        <v>4011/4012</v>
      </c>
      <c r="L86" s="21" t="str">
        <f>VLOOKUP(A86,'Trips&amp;Operators'!$C$1:$G$99999,5,FALSE)</f>
        <v>CLARK KATHLEEN</v>
      </c>
      <c r="M86" s="6">
        <f>I86-F86</f>
        <v>2.7881944442924578E-2</v>
      </c>
      <c r="N86" s="7">
        <f>24*60*SUM($M86:$M86)</f>
        <v>40.149999997811392</v>
      </c>
      <c r="O86" s="7"/>
      <c r="P86" s="7"/>
      <c r="Q86" s="22"/>
      <c r="R86" s="190"/>
      <c r="S86" s="196">
        <f>SUM(U86:U86)/IF(AG86="EC",12,1)</f>
        <v>1</v>
      </c>
      <c r="T86" s="190" t="str">
        <f>IF(ISEVEN(LEFT(AD86,4)),"Southbound","NorthBound")</f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-05-17T12:36:44-0600',mode:absolute,to:'2017-05-17T15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6" s="192" t="str">
        <f>IF(AA86&lt;IF(AG86="EC",23,5.65),"Y","N")</f>
        <v>N</v>
      </c>
      <c r="X86" s="192">
        <f>VALUE(LEFT(AD86,4))-VALUE(LEFT(AD85,4))</f>
        <v>1</v>
      </c>
      <c r="Y86" s="192">
        <f>RIGHT(D86,LEN(D86)-4)/10000</f>
        <v>23.297699999999999</v>
      </c>
      <c r="Z86" s="192">
        <f>RIGHT(H86,LEN(H86)-4)/10000</f>
        <v>1.9400000000000001E-2</v>
      </c>
      <c r="AA86" s="192">
        <f>ABS(Z86-Y86)</f>
        <v>23.278299999999998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0174-17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s3://rtdc.mdm.uploadarchive.raw/RTDC4011/ "%USERPROFILE%\AppData\Local\Temp\OnboardLogs"\RTDC4011\2017-05-17 --exclude "*" --recursive --include "*20170517*" &amp; "%USERPROFILE%\Documents\GitHub\mrs-test-scripts\Headless Mode &amp; Sideloading\WalkAndUnGZ.bat" "%USERPROFILE%\AppData\Local\Temp\OnboardLogs"\RTDC4011\2017-05-17 &amp; 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/stypes="app*4011*20170517*" /stext=" 20:.+((SYSTEM_STATE.+slice.+state.+changed )|(ment ac)|(multiple cpu faults)|(system.+state.+changed )|(\[timeout)|(PRM\|1\|D)|(kpr)|(kdp)|(train st.+moving)|(\|lc)|(penalty))"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8"/>
        <v>"%USERPROFILE%\Documents\GitHub\eaglep3\Utilities\RefineRTDCRunTimes.py" --tripid 174-17 --locoid 4011 --swversion DE.1.0.9.0 --startMP 204:232977 --initTime 2017-05-17T13:36:44 --startdatetime 2017-05-17T13:41:13 --delay 1 --endMP 204:194 --enddatetime 2017-05-17T14:21:22 --enforcementcount 1 &gt;&gt;C:\Users\stu\Documents\GitHub\eaglep3-reporting\EC\2017-05-17-refined-times.txt</v>
      </c>
      <c r="AI86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{"issue":{"subject":"","project_id":79,"tracker_id":40,"status_id":1,"priority_id":2,"assigned_to_id":23,"start_date":"2017-05-17","description":"","custom_fields":[{"id":1,"name":"Subdivision","value":"EC"},{"id":4,"name":"Milepost","value":"0.0194"},{"id":17,"name":"Train ID","value":"174-17"},{"id":16,"name":"Locomotive ID","value":"4011"},{"id":130,"name":"Impact","value":""},{"id":150,"name":"Time of Event (Mountain Time)","value":"14:21:22"},{"id":151,"name":"Denver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10"/>
        <v>start /low /b %USERPROFILE%\Documents\GitHub\eaglep3\Utilities\DownloadLogsFromS3.py --loco 4011 --day 2017-05-17</v>
      </c>
      <c r="AN86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20:21:22"},{"id":29,"name":"Sharepoint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2" t="s">
        <v>724</v>
      </c>
      <c r="B87" s="7">
        <v>4024</v>
      </c>
      <c r="C87" s="21" t="s">
        <v>206</v>
      </c>
      <c r="D87" s="21" t="s">
        <v>446</v>
      </c>
      <c r="E87" s="13">
        <v>42872.5387962963</v>
      </c>
      <c r="F87" s="13">
        <v>42872.542210648149</v>
      </c>
      <c r="G87" s="7">
        <v>1</v>
      </c>
      <c r="H87" s="21" t="s">
        <v>544</v>
      </c>
      <c r="I87" s="13">
        <v>42872.567546296297</v>
      </c>
      <c r="J87" s="7">
        <v>1</v>
      </c>
      <c r="K87" s="92" t="str">
        <f>IF(ISEVEN(B87),(B87-1)&amp;"/"&amp;B87,B87&amp;"/"&amp;(B87+1))</f>
        <v>4023/4024</v>
      </c>
      <c r="L87" s="21" t="str">
        <f>VLOOKUP(A87,'Trips&amp;Operators'!$C$1:$G$99999,5,FALSE)</f>
        <v>DAVIS MICHAEL</v>
      </c>
      <c r="M87" s="6">
        <f>I87-F87</f>
        <v>2.5335648148029577E-2</v>
      </c>
      <c r="N87" s="7">
        <f>24*60*SUM($M87:$M87)</f>
        <v>36.483333333162591</v>
      </c>
      <c r="O87" s="7"/>
      <c r="P87" s="7"/>
      <c r="Q87" s="22"/>
      <c r="R87" s="190"/>
      <c r="S87" s="196">
        <f>SUM(U87:U87)/IF(AG87="EC",12,1)</f>
        <v>1</v>
      </c>
      <c r="T87" s="190" t="str">
        <f>IF(ISEVEN(LEFT(AD87,4)),"Southbound","NorthBound")</f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-05-17T11:55:52-0600',mode:absolute,to:'2017-05-17T14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7" s="192" t="str">
        <f>IF(AA87&lt;IF(AG87="EC",23,5.65),"Y","N")</f>
        <v>N</v>
      </c>
      <c r="X87" s="192">
        <f>VALUE(LEFT(AD87,4))-VALUE(LEFT(AD86,4))</f>
        <v>1</v>
      </c>
      <c r="Y87" s="192">
        <f>RIGHT(D87,LEN(D87)-4)/10000</f>
        <v>4.6699999999999998E-2</v>
      </c>
      <c r="Z87" s="192">
        <f>RIGHT(H87,LEN(H87)-4)/10000</f>
        <v>23.334900000000001</v>
      </c>
      <c r="AA87" s="192">
        <f>ABS(Z87-Y87)</f>
        <v>23.2882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0175-17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/stypes="app*4024*20170517*" /stext=" 19:.+((SYSTEM_STATE.+slice.+state.+changed )|(ment ac)|(multiple cpu faults)|(system.+state.+changed )|(\[timeout)|(PRM\|1\|D)|(kpr)|(kdp)|(train st.+moving)|(\|lc)|(penalty))"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8"/>
        <v>"%USERPROFILE%\Documents\GitHub\eaglep3\Utilities\RefineRTDCRunTimes.py" --tripid 175-17 --locoid 4024 --swversion DE.1.0.9.0 --startMP 204:467 --initTime 2017-05-17T12:55:52 --startdatetime 2017-05-17T13:00:47 --delay 1 --endMP 204:233349 --enddatetime 2017-05-17T13:37:16 --enforcementcount 1 &gt;&gt;C:\Users\stu\Documents\GitHub\eaglep3-reporting\EC\2017-05-17-refined-times.txt</v>
      </c>
      <c r="AI87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{"issue":{"subject":"","project_id":79,"tracker_id":40,"status_id":1,"priority_id":2,"assigned_to_id":23,"start_date":"2017-05-17","description":"","custom_fields":[{"id":1,"name":"Subdivision","value":"EC"},{"id":4,"name":"Milepost","value":"23.3349"},{"id":17,"name":"Train ID","value":"175-17"},{"id":16,"name":"Locomotive ID","value":"4024"},{"id":130,"name":"Impact","value":""},{"id":150,"name":"Time of Event (Mountain Time)","value":"13:37:16"},{"id":151,"name":"Denver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10"/>
        <v>start /low /b %USERPROFILE%\Documents\GitHub\eaglep3\Utilities\DownloadLogsFromS3.py --loco 4024 --day 2017-05-17</v>
      </c>
      <c r="AN87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19:37:16"},{"id":29,"name":"Sharepoint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20" customFormat="1" x14ac:dyDescent="0.25">
      <c r="A88" s="32" t="s">
        <v>735</v>
      </c>
      <c r="B88" s="7">
        <v>4023</v>
      </c>
      <c r="C88" s="21" t="s">
        <v>206</v>
      </c>
      <c r="D88" s="21" t="s">
        <v>541</v>
      </c>
      <c r="E88" s="13">
        <v>42872.578784722224</v>
      </c>
      <c r="F88" s="13">
        <v>42872.580787037034</v>
      </c>
      <c r="G88" s="7">
        <v>1</v>
      </c>
      <c r="H88" s="21" t="s">
        <v>353</v>
      </c>
      <c r="I88" s="13">
        <v>42872.608634259261</v>
      </c>
      <c r="J88" s="7">
        <v>1</v>
      </c>
      <c r="K88" s="92" t="str">
        <f>IF(ISEVEN(B88),(B88-1)&amp;"/"&amp;B88,B88&amp;"/"&amp;(B88+1))</f>
        <v>4023/4024</v>
      </c>
      <c r="L88" s="21" t="str">
        <f>VLOOKUP(A88,'Trips&amp;Operators'!$C$1:$G$99999,5,FALSE)</f>
        <v>DAVIS MICHAEL</v>
      </c>
      <c r="M88" s="6">
        <f>I88-F88</f>
        <v>2.7847222227137536E-2</v>
      </c>
      <c r="N88" s="7">
        <f>24*60*SUM($M88:$M88)</f>
        <v>40.100000007078052</v>
      </c>
      <c r="O88" s="7"/>
      <c r="P88" s="7"/>
      <c r="Q88" s="22"/>
      <c r="R88" s="190"/>
      <c r="S88" s="196">
        <f>SUM(U88:U88)/IF(AG88="EC",12,1)</f>
        <v>1</v>
      </c>
      <c r="T88" s="190" t="str">
        <f>IF(ISEVEN(LEFT(AD88,4)),"Southbound","NorthBound")</f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-05-17T12:53:27-0600',mode:absolute,to:'2017-05-17T15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8" s="192" t="str">
        <f>IF(AA88&lt;IF(AG88="EC",23,5.65),"Y","N")</f>
        <v>N</v>
      </c>
      <c r="X88" s="192">
        <f>VALUE(LEFT(AD88,4))-VALUE(LEFT(AD87,4))</f>
        <v>1</v>
      </c>
      <c r="Y88" s="192">
        <f>RIGHT(D88,LEN(D88)-4)/10000</f>
        <v>23.3</v>
      </c>
      <c r="Z88" s="192">
        <f>RIGHT(H88,LEN(H88)-4)/10000</f>
        <v>1.4500000000000001E-2</v>
      </c>
      <c r="AA88" s="192">
        <f>ABS(Z88-Y88)</f>
        <v>23.285499999999999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>IF(LEN(A88)=6,"0"&amp;A88,A88)</f>
        <v>0176-17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s3://rtdc.mdm.uploadarchive.raw/RTDC4023/ "%USERPROFILE%\AppData\Local\Temp\OnboardLogs"\RTDC4023\2017-05-17 --exclude "*" --recursive --include "*20170517*" &amp; "%USERPROFILE%\Documents\GitHub\mrs-test-scripts\Headless Mode &amp; Sideloading\WalkAndUnGZ.bat" "%USERPROFILE%\AppData\Local\Temp\OnboardLogs"\RTDC4023\2017-05-17 &amp; 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/stypes="app*4023*20170517*" /stext=" 20:.+((SYSTEM_STATE.+slice.+state.+changed )|(ment ac)|(multiple cpu faults)|(system.+state.+changed )|(\[timeout)|(PRM\|1\|D)|(kpr)|(kdp)|(train st.+moving)|(\|lc)|(penalty))"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8"/>
        <v>"%USERPROFILE%\Documents\GitHub\eaglep3\Utilities\RefineRTDCRunTimes.py" --tripid 176-17 --locoid 4023 --swversion DE.1.0.9.0 --startMP 204:233000 --initTime 2017-05-17T13:53:27 --startdatetime 2017-05-17T13:56:20 --delay 1 --endMP 204:145 --enddatetime 2017-05-17T14:36:26 --enforcementcount 1 &gt;&gt;C:\Users\stu\Documents\GitHub\eaglep3-reporting\EC\2017-05-17-refined-times.txt</v>
      </c>
      <c r="AI88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{"issue":{"subject":"","project_id":79,"tracker_id":40,"status_id":1,"priority_id":2,"assigned_to_id":23,"start_date":"2017-05-17","description":"","custom_fields":[{"id":1,"name":"Subdivision","value":"EC"},{"id":4,"name":"Milepost","value":"0.0145"},{"id":17,"name":"Train ID","value":"176-17"},{"id":16,"name":"Locomotive ID","value":"4023"},{"id":130,"name":"Impact","value":""},{"id":150,"name":"Time of Event (Mountain Time)","value":"14:36:26"},{"id":151,"name":"Denver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10"/>
        <v>start /low /b %USERPROFILE%\Documents\GitHub\eaglep3\Utilities\DownloadLogsFromS3.py --loco 4023 --day 2017-05-17</v>
      </c>
      <c r="AN88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20:36:26"},{"id":29,"name":"Sharepoint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725</v>
      </c>
      <c r="B89" s="7">
        <v>4040</v>
      </c>
      <c r="C89" s="21" t="s">
        <v>206</v>
      </c>
      <c r="D89" s="21" t="s">
        <v>559</v>
      </c>
      <c r="E89" s="13">
        <v>42872.546932870369</v>
      </c>
      <c r="F89" s="13">
        <v>42872.552384259259</v>
      </c>
      <c r="G89" s="7">
        <v>1</v>
      </c>
      <c r="H89" s="21" t="s">
        <v>542</v>
      </c>
      <c r="I89" s="13">
        <v>42872.577766203707</v>
      </c>
      <c r="J89" s="7">
        <v>1</v>
      </c>
      <c r="K89" s="92" t="str">
        <f>IF(ISEVEN(B89),(B89-1)&amp;"/"&amp;B89,B89&amp;"/"&amp;(B89+1))</f>
        <v>4039/4040</v>
      </c>
      <c r="L89" s="21" t="str">
        <f>VLOOKUP(A89,'Trips&amp;Operators'!$C$1:$G$99999,5,FALSE)</f>
        <v>THOMPSON LESTER</v>
      </c>
      <c r="M89" s="6">
        <f>I89-F89</f>
        <v>2.5381944447872229E-2</v>
      </c>
      <c r="N89" s="7">
        <f>24*60*SUM($M89:$M89)</f>
        <v>36.55000000493601</v>
      </c>
      <c r="O89" s="7"/>
      <c r="P89" s="7"/>
      <c r="Q89" s="22"/>
      <c r="R89" s="190"/>
      <c r="S89" s="196">
        <f>SUM(U89:U89)/IF(AG89="EC",12,1)</f>
        <v>1</v>
      </c>
      <c r="T89" s="190" t="str">
        <f>IF(ISEVEN(LEFT(AD89,4)),"Southbound","NorthBound")</f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-05-17T12:07:35-0600',mode:absolute,to:'2017-05-17T14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9" s="192" t="str">
        <f>IF(AA89&lt;IF(AG89="EC",23,5.65),"Y","N")</f>
        <v>N</v>
      </c>
      <c r="X89" s="192">
        <f>VALUE(LEFT(AD89,4))-VALUE(LEFT(AD88,4))</f>
        <v>1</v>
      </c>
      <c r="Y89" s="192">
        <f>RIGHT(D89,LEN(D89)-4)/10000</f>
        <v>4.7800000000000002E-2</v>
      </c>
      <c r="Z89" s="192">
        <f>RIGHT(H89,LEN(H89)-4)/10000</f>
        <v>23.332899999999999</v>
      </c>
      <c r="AA89" s="192">
        <f>ABS(Z89-Y89)</f>
        <v>23.2851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>IF(LEN(A89)=6,"0"&amp;A89,A89)</f>
        <v>0177-17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 &amp; 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/stypes="app*4040*20170517*" /stext=" 19:.+((SYSTEM_STATE.+slice.+state.+changed )|(ment ac)|(multiple cpu faults)|(system.+state.+changed )|(\[timeout)|(PRM\|1\|D)|(kpr)|(kdp)|(train st.+moving)|(\|lc)|(penalty))"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8"/>
        <v>"%USERPROFILE%\Documents\GitHub\eaglep3\Utilities\RefineRTDCRunTimes.py" --tripid 177-17 --locoid 4040 --swversion DE.1.0.9.0 --startMP 204:478 --initTime 2017-05-17T13:07:35 --startdatetime 2017-05-17T13:15:26 --delay 1 --endMP 204:233329 --enddatetime 2017-05-17T13:51:59 --enforcementcount 1 &gt;&gt;C:\Users\stu\Documents\GitHub\eaglep3-reporting\EC\2017-05-17-refined-times.txt</v>
      </c>
      <c r="AI89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{"issue":{"subject":"","project_id":79,"tracker_id":40,"status_id":1,"priority_id":2,"assigned_to_id":23,"start_date":"2017-05-17","description":"","custom_fields":[{"id":1,"name":"Subdivision","value":"EC"},{"id":4,"name":"Milepost","value":"23.3329"},{"id":17,"name":"Train ID","value":"177-17"},{"id":16,"name":"Locomotive ID","value":"4040"},{"id":130,"name":"Impact","value":""},{"id":150,"name":"Time of Event (Mountain Time)","value":"13:51:59"},{"id":151,"name":"Denver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10"/>
        <v>start /low /b %USERPROFILE%\Documents\GitHub\eaglep3\Utilities\DownloadLogsFromS3.py --loco 4040 --day 2017-05-17</v>
      </c>
      <c r="AN89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19:51:59"},{"id":29,"name":"Sharepoint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736</v>
      </c>
      <c r="B90" s="7">
        <v>4039</v>
      </c>
      <c r="C90" s="21" t="s">
        <v>206</v>
      </c>
      <c r="D90" s="21" t="s">
        <v>865</v>
      </c>
      <c r="E90" s="13">
        <v>42872.583483796298</v>
      </c>
      <c r="F90" s="13">
        <v>42872.591145833336</v>
      </c>
      <c r="G90" s="7">
        <v>1</v>
      </c>
      <c r="H90" s="21" t="s">
        <v>358</v>
      </c>
      <c r="I90" s="13">
        <v>42872.618090277778</v>
      </c>
      <c r="J90" s="7">
        <v>1</v>
      </c>
      <c r="K90" s="92" t="str">
        <f>IF(ISEVEN(B90),(B90-1)&amp;"/"&amp;B90,B90&amp;"/"&amp;(B90+1))</f>
        <v>4039/4040</v>
      </c>
      <c r="L90" s="21" t="str">
        <f>VLOOKUP(A90,'Trips&amp;Operators'!$C$1:$G$99999,5,FALSE)</f>
        <v>THOMPSON LESTER</v>
      </c>
      <c r="M90" s="6">
        <f>I90-F90</f>
        <v>2.6944444442051463E-2</v>
      </c>
      <c r="N90" s="7">
        <f>24*60*SUM($M90:$M90)</f>
        <v>38.799999996554106</v>
      </c>
      <c r="O90" s="7"/>
      <c r="P90" s="7"/>
      <c r="Q90" s="22"/>
      <c r="R90" s="190"/>
      <c r="S90" s="196">
        <f>SUM(U90:U90)/IF(AG90="EC",12,1)</f>
        <v>1</v>
      </c>
      <c r="T90" s="190" t="str">
        <f>IF(ISEVEN(LEFT(AD90,4)),"Southbound","NorthBound")</f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-05-17T13:00:13-0600',mode:absolute,to:'2017-05-17T15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0" s="192" t="str">
        <f>IF(AA90&lt;IF(AG90="EC",23,5.65),"Y","N")</f>
        <v>N</v>
      </c>
      <c r="X90" s="192">
        <f>VALUE(LEFT(AD90,4))-VALUE(LEFT(AD89,4))</f>
        <v>1</v>
      </c>
      <c r="Y90" s="192">
        <f>RIGHT(D90,LEN(D90)-4)/10000</f>
        <v>23.300599999999999</v>
      </c>
      <c r="Z90" s="192">
        <f>RIGHT(H90,LEN(H90)-4)/10000</f>
        <v>1.43E-2</v>
      </c>
      <c r="AA90" s="192">
        <f>ABS(Z90-Y90)</f>
        <v>23.286300000000001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0178-17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/stypes="app*4039*20170517*" /stext=" 20:.+((SYSTEM_STATE.+slice.+state.+changed )|(ment ac)|(multiple cpu faults)|(system.+state.+changed )|(\[timeout)|(PRM\|1\|D)|(kpr)|(kdp)|(train st.+moving)|(\|lc)|(penalty))"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8"/>
        <v>"%USERPROFILE%\Documents\GitHub\eaglep3\Utilities\RefineRTDCRunTimes.py" --tripid 178-17 --locoid 4039 --swversion DE.1.0.9.0 --startMP 204:233006 --initTime 2017-05-17T14:00:13 --startdatetime 2017-05-17T14:11:15 --delay 1 --endMP 204:143 --enddatetime 2017-05-17T14:50:03 --enforcementcount 1 &gt;&gt;C:\Users\stu\Documents\GitHub\eaglep3-reporting\EC\2017-05-17-refined-times.txt</v>
      </c>
      <c r="AI90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{"issue":{"subject":"","project_id":79,"tracker_id":40,"status_id":1,"priority_id":2,"assigned_to_id":23,"start_date":"2017-05-17","description":"","custom_fields":[{"id":1,"name":"Subdivision","value":"EC"},{"id":4,"name":"Milepost","value":"0.0143"},{"id":17,"name":"Train ID","value":"178-17"},{"id":16,"name":"Locomotive ID","value":"4039"},{"id":130,"name":"Impact","value":""},{"id":150,"name":"Time of Event (Mountain Time)","value":"14:50:03"},{"id":151,"name":"Denver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10"/>
        <v>start /low /b %USERPROFILE%\Documents\GitHub\eaglep3\Utilities\DownloadLogsFromS3.py --loco 4039 --day 2017-05-17</v>
      </c>
      <c r="AN90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20:50:03"},{"id":29,"name":"Sharepoint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593</v>
      </c>
      <c r="B91" s="7">
        <v>4046</v>
      </c>
      <c r="C91" s="21" t="s">
        <v>206</v>
      </c>
      <c r="D91" s="21" t="s">
        <v>409</v>
      </c>
      <c r="E91" s="13">
        <v>42872.559861111113</v>
      </c>
      <c r="F91" s="13">
        <v>42872.562743055554</v>
      </c>
      <c r="G91" s="7">
        <v>1</v>
      </c>
      <c r="H91" s="21" t="s">
        <v>843</v>
      </c>
      <c r="I91" s="13">
        <v>42872.588101851848</v>
      </c>
      <c r="J91" s="7">
        <v>1</v>
      </c>
      <c r="K91" s="92" t="str">
        <f>IF(ISEVEN(B91),(B91-1)&amp;"/"&amp;B91,B91&amp;"/"&amp;(B91+1))</f>
        <v>4045/4046</v>
      </c>
      <c r="L91" s="21" t="str">
        <f>VLOOKUP(A91,'Trips&amp;Operators'!$C$1:$G$99999,5,FALSE)</f>
        <v>HOLCOMB KAMDEN</v>
      </c>
      <c r="M91" s="6">
        <f>I91-F91</f>
        <v>2.5358796294312924E-2</v>
      </c>
      <c r="N91" s="7">
        <f>24*60*SUM($M91:$M91)</f>
        <v>36.516666663810611</v>
      </c>
      <c r="O91" s="7"/>
      <c r="P91" s="7"/>
      <c r="Q91" s="22"/>
      <c r="R91" s="190"/>
      <c r="S91" s="196">
        <f>SUM(U91:U91)/IF(AG91="EC",12,1)</f>
        <v>1</v>
      </c>
      <c r="T91" s="190" t="str">
        <f>IF(ISEVEN(LEFT(AD91,4)),"Southbound","NorthBound")</f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-05-17T12:26:12-0600',mode:absolute,to:'2017-05-17T15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1" s="192" t="str">
        <f>IF(AA91&lt;IF(AG91="EC",23,5.65),"Y","N")</f>
        <v>N</v>
      </c>
      <c r="X91" s="192">
        <f>VALUE(LEFT(AD91,4))-VALUE(LEFT(AD90,4))</f>
        <v>1</v>
      </c>
      <c r="Y91" s="192">
        <f>RIGHT(D91,LEN(D91)-4)/10000</f>
        <v>4.6199999999999998E-2</v>
      </c>
      <c r="Z91" s="192">
        <f>RIGHT(H91,LEN(H91)-4)/10000</f>
        <v>23.329899999999999</v>
      </c>
      <c r="AA91" s="192">
        <f>ABS(Z91-Y91)</f>
        <v>23.2837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0179-17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s3://rtdc.mdm.uploadarchive.raw/RTDC4046/ "%USERPROFILE%\AppData\Local\Temp\OnboardLogs"\RTDC4046\2017-05-17 --exclude "*" --recursive --include "*20170517*" &amp; "%USERPROFILE%\Documents\GitHub\mrs-test-scripts\Headless Mode &amp; Sideloading\WalkAndUnGZ.bat" "%USERPROFILE%\AppData\Local\Temp\OnboardLogs"\RTDC4046\2017-05-17 &amp; aws s3 cp s3://rtdc.mdm.uploadarchive.raw/RTDC4046/ "%USERPROFILE%\AppData\Local\Temp\OnboardLogs"\RTDC4046\2017-05-18 --exclude "*" --recursive --include "*20170518*" &amp; "%USERPROFILE%\Documents\GitHub\mrs-test-scripts\Headless Mode &amp; Sideloading\WalkAndUnGZ.bat" "%USERPROFILE%\AppData\Local\Temp\OnboardLogs"\RTDC4046\2017-05-18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/stypes="app*4046*20170517*" /stext=" 20:.+((SYSTEM_STATE.+slice.+state.+changed )|(ment ac)|(multiple cpu faults)|(system.+state.+changed )|(\[timeout)|(PRM\|1\|D)|(kpr)|(kdp)|(train st.+moving)|(\|lc)|(penalty))"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8"/>
        <v>"%USERPROFILE%\Documents\GitHub\eaglep3\Utilities\RefineRTDCRunTimes.py" --tripid 179-17 --locoid 4046 --swversion DE.1.0.9.0 --startMP 204:462 --initTime 2017-05-17T13:26:12 --startdatetime 2017-05-17T13:30:21 --delay 1 --endMP 204:233299 --enddatetime 2017-05-17T14:06:52 --enforcementcount 1 &gt;&gt;C:\Users\stu\Documents\GitHub\eaglep3-reporting\EC\2017-05-17-refined-times.txt</v>
      </c>
      <c r="AI91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{"issue":{"subject":"","project_id":79,"tracker_id":40,"status_id":1,"priority_id":2,"assigned_to_id":23,"start_date":"2017-05-17","description":"","custom_fields":[{"id":1,"name":"Subdivision","value":"EC"},{"id":4,"name":"Milepost","value":"23.3299"},{"id":17,"name":"Train ID","value":"179-17"},{"id":16,"name":"Locomotive ID","value":"4046"},{"id":130,"name":"Impact","value":""},{"id":150,"name":"Time of Event (Mountain Time)","value":"14:06:52"},{"id":151,"name":"Denver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10"/>
        <v>start /low /b %USERPROFILE%\Documents\GitHub\eaglep3\Utilities\DownloadLogsFromS3.py --loco 4046 --day 2017-05-17</v>
      </c>
      <c r="AN91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595</v>
      </c>
      <c r="B92" s="7">
        <v>4045</v>
      </c>
      <c r="C92" s="21" t="s">
        <v>206</v>
      </c>
      <c r="D92" s="21" t="s">
        <v>481</v>
      </c>
      <c r="E92" s="13">
        <v>42872.589548611111</v>
      </c>
      <c r="F92" s="13">
        <v>42872.601620370369</v>
      </c>
      <c r="G92" s="7">
        <v>1</v>
      </c>
      <c r="H92" s="21" t="s">
        <v>867</v>
      </c>
      <c r="I92" s="13">
        <v>42872.628680555557</v>
      </c>
      <c r="J92" s="7">
        <v>1</v>
      </c>
      <c r="K92" s="92" t="str">
        <f>IF(ISEVEN(B92),(B92-1)&amp;"/"&amp;B92,B92&amp;"/"&amp;(B92+1))</f>
        <v>4045/4046</v>
      </c>
      <c r="L92" s="21" t="str">
        <f>VLOOKUP(A92,'Trips&amp;Operators'!$C$1:$G$99999,5,FALSE)</f>
        <v>HOLCOMB KAMDEN</v>
      </c>
      <c r="M92" s="6">
        <f>I92-F92</f>
        <v>2.7060185188020114E-2</v>
      </c>
      <c r="N92" s="7">
        <f>24*60*SUM($M92:$M92)</f>
        <v>38.966666670748964</v>
      </c>
      <c r="O92" s="7"/>
      <c r="P92" s="7"/>
      <c r="Q92" s="22"/>
      <c r="R92" s="190"/>
      <c r="S92" s="196">
        <f>SUM(U92:U92)/IF(AG92="EC",12,1)</f>
        <v>1</v>
      </c>
      <c r="T92" s="190" t="str">
        <f>IF(ISEVEN(LEFT(AD92,4)),"Southbound","NorthBound")</f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-05-17T13:08:57-0600',mode:absolute,to:'2017-05-17T16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2" s="192" t="str">
        <f>IF(AA92&lt;IF(AG92="EC",23,5.65),"Y","N")</f>
        <v>N</v>
      </c>
      <c r="X92" s="192">
        <f>VALUE(LEFT(AD92,4))-VALUE(LEFT(AD91,4))</f>
        <v>1</v>
      </c>
      <c r="Y92" s="192">
        <f>RIGHT(D92,LEN(D92)-4)/10000</f>
        <v>23.296900000000001</v>
      </c>
      <c r="Z92" s="192">
        <f>RIGHT(H92,LEN(H92)-4)/10000</f>
        <v>1.34E-2</v>
      </c>
      <c r="AA92" s="192">
        <f>ABS(Z92-Y92)</f>
        <v>23.2835</v>
      </c>
      <c r="AB92" s="57" t="str">
        <f>VLOOKUP(A92,Enforcements!$C$7:$K$13,8,0)</f>
        <v>Bulletin (2)</v>
      </c>
      <c r="AC92" s="53" t="str">
        <f>VLOOKUP(A92,Enforcements!$C$7:$E$13,3,0)</f>
        <v>GRADE CROSSING</v>
      </c>
      <c r="AD92" s="54" t="str">
        <f>IF(LEN(A92)=6,"0"&amp;A92,A92)</f>
        <v>0180-17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s3://rtdc.mdm.uploadarchive.raw/RTDC4045/ "%USERPROFILE%\AppData\Local\Temp\OnboardLogs"\RTDC4045\2017-05-17 --exclude "*" --recursive --include "*20170517*" &amp; "%USERPROFILE%\Documents\GitHub\mrs-test-scripts\Headless Mode &amp; Sideloading\WalkAndUnGZ.bat" "%USERPROFILE%\AppData\Local\Temp\OnboardLogs"\RTDC4045\2017-05-17 &amp; aws s3 cp s3://rtdc.mdm.uploadarchive.raw/RTDC4045/ "%USERPROFILE%\AppData\Local\Temp\OnboardLogs"\RTDC4045\2017-05-18 --exclude "*" --recursive --include "*20170518*" &amp; "%USERPROFILE%\Documents\GitHub\mrs-test-scripts\Headless Mode &amp; Sideloading\WalkAndUnGZ.bat" "%USERPROFILE%\AppData\Local\Temp\OnboardLogs"\RTDC4045\2017-05-18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/stypes="app*4045*20170517*" /stext=" 21:.+((SYSTEM_STATE.+slice.+state.+changed )|(ment ac)|(multiple cpu faults)|(system.+state.+changed )|(\[timeout)|(PRM\|1\|D)|(kpr)|(kdp)|(train st.+moving)|(\|lc)|(penalty))"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8"/>
        <v>"%USERPROFILE%\Documents\GitHub\eaglep3\Utilities\RefineRTDCRunTimes.py" --tripid 180-17 --locoid 4045 --swversion DE.1.0.9.0 --startMP 204:232969 --initTime 2017-05-17T14:08:57 --startdatetime 2017-05-17T14:26:20 --delay 1 --endMP 204:134 --enddatetime 2017-05-17T15:05:18 --enforcementcount 1 &gt;&gt;C:\Users\stu\Documents\GitHub\eaglep3-reporting\EC\2017-05-17-refined-times.txt</v>
      </c>
      <c r="AI92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{"issue":{"subject":"","project_id":79,"tracker_id":40,"status_id":1,"priority_id":2,"assigned_to_id":23,"start_date":"2017-05-17","description":"","custom_fields":[{"id":1,"name":"Subdivision","value":"EC"},{"id":4,"name":"Milepost","value":"0.0134"},{"id":17,"name":"Train ID","value":"180-17"},{"id":16,"name":"Locomotive ID","value":"4045"},{"id":130,"name":"Impact","value":""},{"id":150,"name":"Time of Event (Mountain Time)","value":"15:05:18"},{"id":151,"name":"Denver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10"/>
        <v>start /low /b %USERPROFILE%\Documents\GitHub\eaglep3\Utilities\DownloadLogsFromS3.py --loco 4045 --day 2017-05-17</v>
      </c>
      <c r="AN92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21:05:18"},{"id":29,"name":"Sharepoint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734</v>
      </c>
      <c r="B93" s="7">
        <v>4016</v>
      </c>
      <c r="C93" s="21" t="s">
        <v>206</v>
      </c>
      <c r="D93" s="21" t="s">
        <v>364</v>
      </c>
      <c r="E93" s="13">
        <v>42872.569027777776</v>
      </c>
      <c r="F93" s="13">
        <v>42872.573310185187</v>
      </c>
      <c r="G93" s="7">
        <v>2</v>
      </c>
      <c r="H93" s="21" t="s">
        <v>531</v>
      </c>
      <c r="I93" s="13">
        <v>42872.598113425927</v>
      </c>
      <c r="J93" s="7">
        <v>1</v>
      </c>
      <c r="K93" s="92" t="str">
        <f>IF(ISEVEN(B93),(B93-1)&amp;"/"&amp;B93,B93&amp;"/"&amp;(B93+1))</f>
        <v>4015/4016</v>
      </c>
      <c r="L93" s="21" t="str">
        <f>VLOOKUP(A93,'Trips&amp;Operators'!$C$1:$G$99999,5,FALSE)</f>
        <v>LAMAR NEKESHA</v>
      </c>
      <c r="M93" s="6">
        <f>I93-F93</f>
        <v>2.4803240739856847E-2</v>
      </c>
      <c r="N93" s="7">
        <f>24*60*SUM($M93:$M93)</f>
        <v>35.716666665393859</v>
      </c>
      <c r="O93" s="7"/>
      <c r="P93" s="7"/>
      <c r="Q93" s="22"/>
      <c r="R93" s="190"/>
      <c r="S93" s="196">
        <f>SUM(U93:U93)/IF(AG93="EC",12,1)</f>
        <v>1</v>
      </c>
      <c r="T93" s="190" t="str">
        <f>IF(ISEVEN(LEFT(AD93,4)),"Southbound","NorthBound")</f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-05-17T12:39:24-0600',mode:absolute,to:'2017-05-17T15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3" s="192" t="str">
        <f>IF(AA93&lt;IF(AG93="EC",23,5.65),"Y","N")</f>
        <v>N</v>
      </c>
      <c r="X93" s="192">
        <f>VALUE(LEFT(AD93,4))-VALUE(LEFT(AD92,4))</f>
        <v>1</v>
      </c>
      <c r="Y93" s="192">
        <f>RIGHT(D93,LEN(D93)-4)/10000</f>
        <v>4.53E-2</v>
      </c>
      <c r="Z93" s="192">
        <f>RIGHT(H93,LEN(H93)-4)/10000</f>
        <v>23.33</v>
      </c>
      <c r="AA93" s="192">
        <f>ABS(Z93-Y93)</f>
        <v>23.284699999999997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0181-17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/stypes="app*4016*20170517*" /stext=" 20:.+((SYSTEM_STATE.+slice.+state.+changed )|(ment ac)|(multiple cpu faults)|(system.+state.+changed )|(\[timeout)|(PRM\|1\|D)|(kpr)|(kdp)|(train st.+moving)|(\|lc)|(penalty))"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8"/>
        <v>"%USERPROFILE%\Documents\GitHub\eaglep3\Utilities\RefineRTDCRunTimes.py" --tripid 181-17 --locoid 4016 --swversion DE.1.0.9.0 --startMP 204:453 --initTime 2017-05-17T13:39:24 --startdatetime 2017-05-17T13:45:34 --delay 2 --endMP 204:233300 --enddatetime 2017-05-17T14:21:17 --enforcementcount 1 &gt;&gt;C:\Users\stu\Documents\GitHub\eaglep3-reporting\EC\2017-05-17-refined-times.txt</v>
      </c>
      <c r="AI93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{"issue":{"subject":"","project_id":79,"tracker_id":40,"status_id":1,"priority_id":2,"assigned_to_id":23,"start_date":"2017-05-17","description":"","custom_fields":[{"id":1,"name":"Subdivision","value":"EC"},{"id":4,"name":"Milepost","value":"23.33"},{"id":17,"name":"Train ID","value":"181-17"},{"id":16,"name":"Locomotive ID","value":"4016"},{"id":130,"name":"Impact","value":""},{"id":150,"name":"Time of Event (Mountain Time)","value":"14:21:17"},{"id":151,"name":"Denver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10"/>
        <v>start /low /b %USERPROFILE%\Documents\GitHub\eaglep3\Utilities\DownloadLogsFromS3.py --loco 4016 --day 2017-05-17</v>
      </c>
      <c r="AN93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20:21:17"},{"id":29,"name":"Sharepoint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739</v>
      </c>
      <c r="B94" s="7">
        <v>4015</v>
      </c>
      <c r="C94" s="21" t="s">
        <v>206</v>
      </c>
      <c r="D94" s="21" t="s">
        <v>477</v>
      </c>
      <c r="E94" s="13">
        <v>42872.599618055552</v>
      </c>
      <c r="F94" s="13">
        <v>42872.611956018518</v>
      </c>
      <c r="G94" s="7">
        <v>1</v>
      </c>
      <c r="H94" s="21" t="s">
        <v>198</v>
      </c>
      <c r="I94" s="13">
        <v>42872.63858796296</v>
      </c>
      <c r="J94" s="7">
        <v>1</v>
      </c>
      <c r="K94" s="92" t="str">
        <f>IF(ISEVEN(B94),(B94-1)&amp;"/"&amp;B94,B94&amp;"/"&amp;(B94+1))</f>
        <v>4015/4016</v>
      </c>
      <c r="L94" s="21" t="str">
        <f>VLOOKUP(A94,'Trips&amp;Operators'!$C$1:$G$99999,5,FALSE)</f>
        <v>LAMAR NEKESHA</v>
      </c>
      <c r="M94" s="6">
        <f>I94-F94</f>
        <v>2.6631944441760425E-2</v>
      </c>
      <c r="N94" s="7">
        <f>24*60*SUM($M94:$M94)</f>
        <v>38.349999996135011</v>
      </c>
      <c r="O94" s="7"/>
      <c r="P94" s="7"/>
      <c r="Q94" s="22"/>
      <c r="R94" s="190"/>
      <c r="S94" s="196">
        <f>SUM(U94:U94)/IF(AG94="EC",12,1)</f>
        <v>1</v>
      </c>
      <c r="T94" s="190" t="str">
        <f>IF(ISEVEN(LEFT(AD94,4)),"Southbound","NorthBound")</f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-05-17T13:23:27-0600',mode:absolute,to:'2017-05-17T16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4" s="192" t="str">
        <f>IF(AA94&lt;IF(AG94="EC",23,5.65),"Y","N")</f>
        <v>N</v>
      </c>
      <c r="X94" s="192">
        <f>VALUE(LEFT(AD94,4))-VALUE(LEFT(AD93,4))</f>
        <v>1</v>
      </c>
      <c r="Y94" s="192">
        <f>RIGHT(D94,LEN(D94)-4)/10000</f>
        <v>23.299299999999999</v>
      </c>
      <c r="Z94" s="192">
        <f>RIGHT(H94,LEN(H94)-4)/10000</f>
        <v>1.5800000000000002E-2</v>
      </c>
      <c r="AA94" s="192">
        <f>ABS(Z94-Y94)</f>
        <v>23.2835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0182-17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s3://rtdc.mdm.uploadarchive.raw/RTDC4015/ "%USERPROFILE%\AppData\Local\Temp\OnboardLogs"\RTDC4015\2017-05-17 --exclude "*" --recursive --include "*20170517*" &amp; "%USERPROFILE%\Documents\GitHub\mrs-test-scripts\Headless Mode &amp; Sideloading\WalkAndUnGZ.bat" "%USERPROFILE%\AppData\Local\Temp\OnboardLogs"\RTDC4015\2017-05-17 &amp; aws s3 cp s3://rtdc.mdm.uploadarchive.raw/RTDC4015/ "%USERPROFILE%\AppData\Local\Temp\OnboardLogs"\RTDC4015\2017-05-18 --exclude "*" --recursive --include "*20170518*" &amp; "%USERPROFILE%\Documents\GitHub\mrs-test-scripts\Headless Mode &amp; Sideloading\WalkAndUnGZ.bat" "%USERPROFILE%\AppData\Local\Temp\OnboardLogs"\RTDC4015\2017-05-18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/stypes="app*4015*20170517*" /stext=" 21:.+((SYSTEM_STATE.+slice.+state.+changed )|(ment ac)|(multiple cpu faults)|(system.+state.+changed )|(\[timeout)|(PRM\|1\|D)|(kpr)|(kdp)|(train st.+moving)|(\|lc)|(penalty))"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8"/>
        <v>"%USERPROFILE%\Documents\GitHub\eaglep3\Utilities\RefineRTDCRunTimes.py" --tripid 182-17 --locoid 4015 --swversion DE.1.0.9.0 --startMP 204:232993 --initTime 2017-05-17T14:23:27 --startdatetime 2017-05-17T14:41:13 --delay 1 --endMP 204:158 --enddatetime 2017-05-17T15:19:34 --enforcementcount 1 &gt;&gt;C:\Users\stu\Documents\GitHub\eaglep3-reporting\EC\2017-05-17-refined-times.txt</v>
      </c>
      <c r="AI94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{"issue":{"subject":"","project_id":79,"tracker_id":40,"status_id":1,"priority_id":2,"assigned_to_id":23,"start_date":"2017-05-17","description":"","custom_fields":[{"id":1,"name":"Subdivision","value":"EC"},{"id":4,"name":"Milepost","value":"0.0158"},{"id":17,"name":"Train ID","value":"182-17"},{"id":16,"name":"Locomotive ID","value":"4015"},{"id":130,"name":"Impact","value":""},{"id":150,"name":"Time of Event (Mountain Time)","value":"15:19:34"},{"id":151,"name":"Denver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10"/>
        <v>start /low /b %USERPROFILE%\Documents\GitHub\eaglep3\Utilities\DownloadLogsFromS3.py --loco 4015 --day 2017-05-17</v>
      </c>
      <c r="AN94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21:19:34"},{"id":29,"name":"Sharepoint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594</v>
      </c>
      <c r="B95" s="7">
        <v>4030</v>
      </c>
      <c r="C95" s="21" t="s">
        <v>206</v>
      </c>
      <c r="D95" s="21" t="s">
        <v>871</v>
      </c>
      <c r="E95" s="13">
        <v>42872.580706018518</v>
      </c>
      <c r="F95" s="13">
        <v>42872.58353009259</v>
      </c>
      <c r="G95" s="7">
        <v>1</v>
      </c>
      <c r="H95" s="21" t="s">
        <v>872</v>
      </c>
      <c r="I95" s="13">
        <v>42872.60864583333</v>
      </c>
      <c r="J95" s="7">
        <v>1</v>
      </c>
      <c r="K95" s="92" t="str">
        <f>IF(ISEVEN(B95),(B95-1)&amp;"/"&amp;B95,B95&amp;"/"&amp;(B95+1))</f>
        <v>4029/4030</v>
      </c>
      <c r="L95" s="21" t="str">
        <f>VLOOKUP(A95,'Trips&amp;Operators'!$C$1:$G$99999,5,FALSE)</f>
        <v>LEVIN SCOTT</v>
      </c>
      <c r="M95" s="6">
        <f>I95-F95</f>
        <v>2.5115740740147885E-2</v>
      </c>
      <c r="N95" s="7">
        <f>24*60*SUM($M95:$M95)</f>
        <v>36.166666665812954</v>
      </c>
      <c r="O95" s="7"/>
      <c r="P95" s="7"/>
      <c r="Q95" s="22"/>
      <c r="R95" s="190"/>
      <c r="S95" s="196">
        <f>SUM(U95:U95)/IF(AG95="EC",12,1)</f>
        <v>1</v>
      </c>
      <c r="T95" s="190" t="str">
        <f>IF(ISEVEN(LEFT(AD95,4)),"Southbound","NorthBound")</f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-05-17T12:56:13-0600',mode:absolute,to:'2017-05-17T15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5" s="192" t="str">
        <f>IF(AA95&lt;IF(AG95="EC",23,5.65),"Y","N")</f>
        <v>N</v>
      </c>
      <c r="X95" s="192">
        <f>VALUE(LEFT(AD95,4))-VALUE(LEFT(AD94,4))</f>
        <v>1</v>
      </c>
      <c r="Y95" s="192">
        <f>RIGHT(D95,LEN(D95)-4)/10000</f>
        <v>4.3799999999999999E-2</v>
      </c>
      <c r="Z95" s="192">
        <f>RIGHT(H95,LEN(H95)-4)/10000</f>
        <v>23.3399</v>
      </c>
      <c r="AA95" s="192">
        <f>ABS(Z95-Y95)</f>
        <v>23.296099999999999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0183-17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s3://rtdc.mdm.uploadarchive.raw/RTDC4030/ "%USERPROFILE%\AppData\Local\Temp\OnboardLogs"\RTDC4030\2017-05-17 --exclude "*" --recursive --include "*20170517*" &amp; "%USERPROFILE%\Documents\GitHub\mrs-test-scripts\Headless Mode &amp; Sideloading\WalkAndUnGZ.bat" "%USERPROFILE%\AppData\Local\Temp\OnboardLogs"\RTDC4030\2017-05-17 &amp; 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/stypes="app*4030*20170517*" /stext=" 20:.+((SYSTEM_STATE.+slice.+state.+changed )|(ment ac)|(multiple cpu faults)|(system.+state.+changed )|(\[timeout)|(PRM\|1\|D)|(kpr)|(kdp)|(train st.+moving)|(\|lc)|(penalty))"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8"/>
        <v>"%USERPROFILE%\Documents\GitHub\eaglep3\Utilities\RefineRTDCRunTimes.py" --tripid 183-17 --locoid 4030 --swversion DE.1.0.9.0 --startMP 204:438 --initTime 2017-05-17T13:56:13 --startdatetime 2017-05-17T14:00:17 --delay 1 --endMP 204:233399 --enddatetime 2017-05-17T14:36:27 --enforcementcount 1 &gt;&gt;C:\Users\stu\Documents\GitHub\eaglep3-reporting\EC\2017-05-17-refined-times.txt</v>
      </c>
      <c r="AI95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{"issue":{"subject":"","project_id":79,"tracker_id":40,"status_id":1,"priority_id":2,"assigned_to_id":23,"start_date":"2017-05-17","description":"","custom_fields":[{"id":1,"name":"Subdivision","value":"EC"},{"id":4,"name":"Milepost","value":"23.3399"},{"id":17,"name":"Train ID","value":"183-17"},{"id":16,"name":"Locomotive ID","value":"4030"},{"id":130,"name":"Impact","value":""},{"id":150,"name":"Time of Event (Mountain Time)","value":"14:36:27"},{"id":151,"name":"Denver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0"/>
        <v>start /low /b %USERPROFILE%\Documents\GitHub\eaglep3\Utilities\DownloadLogsFromS3.py --loco 4030 --day 2017-05-17</v>
      </c>
      <c r="AN95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20:36:27"},{"id":29,"name":"Sharepoint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744</v>
      </c>
      <c r="B96" s="7">
        <v>4029</v>
      </c>
      <c r="C96" s="21" t="s">
        <v>206</v>
      </c>
      <c r="D96" s="21" t="s">
        <v>873</v>
      </c>
      <c r="E96" s="13">
        <v>42872.621458333335</v>
      </c>
      <c r="F96" s="13">
        <v>42872.622696759259</v>
      </c>
      <c r="G96" s="7">
        <v>1</v>
      </c>
      <c r="H96" s="21" t="s">
        <v>874</v>
      </c>
      <c r="I96" s="13">
        <v>42872.648668981485</v>
      </c>
      <c r="J96" s="7">
        <v>1</v>
      </c>
      <c r="K96" s="92" t="str">
        <f>IF(ISEVEN(B96),(B96-1)&amp;"/"&amp;B96,B96&amp;"/"&amp;(B96+1))</f>
        <v>4029/4030</v>
      </c>
      <c r="L96" s="21" t="str">
        <f>VLOOKUP(A96,'Trips&amp;Operators'!$C$1:$G$99999,5,FALSE)</f>
        <v>LEVIN SCOTT</v>
      </c>
      <c r="M96" s="6">
        <f>I96-F96</f>
        <v>2.5972222225391306E-2</v>
      </c>
      <c r="N96" s="7">
        <f>24*60*SUM($M96:$M96)</f>
        <v>37.400000004563481</v>
      </c>
      <c r="O96" s="7"/>
      <c r="P96" s="7"/>
      <c r="Q96" s="22"/>
      <c r="R96" s="190"/>
      <c r="S96" s="196">
        <f>SUM(U96:U96)/IF(AG96="EC",12,1)</f>
        <v>1</v>
      </c>
      <c r="T96" s="190" t="str">
        <f>IF(ISEVEN(LEFT(AD96,4)),"Southbound","NorthBound")</f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-05-17T13:54:54-0600',mode:absolute,to:'2017-05-17T16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192" t="str">
        <f>IF(AA96&lt;IF(AG96="EC",23,5.65),"Y","N")</f>
        <v>N</v>
      </c>
      <c r="X96" s="192">
        <f>VALUE(LEFT(AD96,4))-VALUE(LEFT(AD95,4))</f>
        <v>1</v>
      </c>
      <c r="Y96" s="192">
        <f>RIGHT(D96,LEN(D96)-4)/10000</f>
        <v>23.3065</v>
      </c>
      <c r="Z96" s="192">
        <f>RIGHT(H96,LEN(H96)-4)/10000</f>
        <v>1.03E-2</v>
      </c>
      <c r="AA96" s="192">
        <f>ABS(Z96-Y96)</f>
        <v>23.296199999999999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0184-17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/stypes="app*4029*20170517*" /stext=" 21:.+((SYSTEM_STATE.+slice.+state.+changed )|(ment ac)|(multiple cpu faults)|(system.+state.+changed )|(\[timeout)|(PRM\|1\|D)|(kpr)|(kdp)|(train st.+moving)|(\|lc)|(penalty))"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8"/>
        <v>"%USERPROFILE%\Documents\GitHub\eaglep3\Utilities\RefineRTDCRunTimes.py" --tripid 184-17 --locoid 4029 --swversion DE.1.0.9.0 --startMP 204:233065 --initTime 2017-05-17T14:54:54 --startdatetime 2017-05-17T14:56:41 --delay 1 --endMP 204:103 --enddatetime 2017-05-17T15:34:05 --enforcementcount 1 &gt;&gt;C:\Users\stu\Documents\GitHub\eaglep3-reporting\EC\2017-05-17-refined-times.txt</v>
      </c>
      <c r="AI96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{"issue":{"subject":"","project_id":79,"tracker_id":40,"status_id":1,"priority_id":2,"assigned_to_id":23,"start_date":"2017-05-17","description":"","custom_fields":[{"id":1,"name":"Subdivision","value":"EC"},{"id":4,"name":"Milepost","value":"0.0103"},{"id":17,"name":"Train ID","value":"184-17"},{"id":16,"name":"Locomotive ID","value":"4029"},{"id":130,"name":"Impact","value":""},{"id":150,"name":"Time of Event (Mountain Time)","value":"15:34:05"},{"id":151,"name":"Denver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10"/>
        <v>start /low /b %USERPROFILE%\Documents\GitHub\eaglep3\Utilities\DownloadLogsFromS3.py --loco 4029 --day 2017-05-17</v>
      </c>
      <c r="AN96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21:34:05"},{"id":29,"name":"Sharepoint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737</v>
      </c>
      <c r="B97" s="7">
        <v>4042</v>
      </c>
      <c r="C97" s="21" t="s">
        <v>206</v>
      </c>
      <c r="D97" s="21" t="s">
        <v>875</v>
      </c>
      <c r="E97" s="13">
        <v>42872.590092592596</v>
      </c>
      <c r="F97" s="13">
        <v>42872.593946759262</v>
      </c>
      <c r="G97" s="7">
        <v>1</v>
      </c>
      <c r="H97" s="21" t="s">
        <v>542</v>
      </c>
      <c r="I97" s="13">
        <v>42872.619097222225</v>
      </c>
      <c r="J97" s="7">
        <v>1</v>
      </c>
      <c r="K97" s="92" t="str">
        <f>IF(ISEVEN(B97),(B97-1)&amp;"/"&amp;B97,B97&amp;"/"&amp;(B97+1))</f>
        <v>4041/4042</v>
      </c>
      <c r="L97" s="21" t="str">
        <f>VLOOKUP(A97,'Trips&amp;Operators'!$C$1:$G$99999,5,FALSE)</f>
        <v>ZEWDU DEREJE</v>
      </c>
      <c r="M97" s="6">
        <f>I97-F97</f>
        <v>2.5150462963210884E-2</v>
      </c>
      <c r="N97" s="7">
        <f>24*60*SUM($M97:$M97)</f>
        <v>36.216666667023674</v>
      </c>
      <c r="O97" s="7"/>
      <c r="P97" s="7"/>
      <c r="Q97" s="22"/>
      <c r="R97" s="190"/>
      <c r="S97" s="196">
        <f>SUM(U97:U97)/IF(AG97="EC",12,1)</f>
        <v>1</v>
      </c>
      <c r="T97" s="190" t="str">
        <f>IF(ISEVEN(LEFT(AD97,4)),"Southbound","NorthBound")</f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-05-17T13:09:44-0600',mode:absolute,to:'2017-05-17T15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7" s="192" t="str">
        <f>IF(AA97&lt;IF(AG97="EC",23,5.65),"Y","N")</f>
        <v>N</v>
      </c>
      <c r="X97" s="192">
        <f>VALUE(LEFT(AD97,4))-VALUE(LEFT(AD96,4))</f>
        <v>1</v>
      </c>
      <c r="Y97" s="192">
        <f>RIGHT(D97,LEN(D97)-4)/10000</f>
        <v>4.0899999999999999E-2</v>
      </c>
      <c r="Z97" s="192">
        <f>RIGHT(H97,LEN(H97)-4)/10000</f>
        <v>23.332899999999999</v>
      </c>
      <c r="AA97" s="192">
        <f>ABS(Z97-Y97)</f>
        <v>23.291999999999998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0185-17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/stypes="app*4042*20170517*" /stext=" 20:.+((SYSTEM_STATE.+slice.+state.+changed )|(ment ac)|(multiple cpu faults)|(system.+state.+changed )|(\[timeout)|(PRM\|1\|D)|(kpr)|(kdp)|(train st.+moving)|(\|lc)|(penalty))"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8"/>
        <v>"%USERPROFILE%\Documents\GitHub\eaglep3\Utilities\RefineRTDCRunTimes.py" --tripid 185-17 --locoid 4042 --swversion DE.1.0.9.0 --startMP 204:409 --initTime 2017-05-17T14:09:44 --startdatetime 2017-05-17T14:15:17 --delay 1 --endMP 204:233329 --enddatetime 2017-05-17T14:51:30 --enforcementcount 1 &gt;&gt;C:\Users\stu\Documents\GitHub\eaglep3-reporting\EC\2017-05-17-refined-times.txt</v>
      </c>
      <c r="AI97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{"issue":{"subject":"","project_id":79,"tracker_id":40,"status_id":1,"priority_id":2,"assigned_to_id":23,"start_date":"2017-05-17","description":"","custom_fields":[{"id":1,"name":"Subdivision","value":"EC"},{"id":4,"name":"Milepost","value":"23.3329"},{"id":17,"name":"Train ID","value":"185-17"},{"id":16,"name":"Locomotive ID","value":"4042"},{"id":130,"name":"Impact","value":""},{"id":150,"name":"Time of Event (Mountain Time)","value":"14:51:30"},{"id":151,"name":"Denver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10"/>
        <v>start /low /b %USERPROFILE%\Documents\GitHub\eaglep3\Utilities\DownloadLogsFromS3.py --loco 4042 --day 2017-05-17</v>
      </c>
      <c r="AN97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20:51:30"},{"id":29,"name":"Sharepoint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746</v>
      </c>
      <c r="B98" s="7">
        <v>4041</v>
      </c>
      <c r="C98" s="21" t="s">
        <v>206</v>
      </c>
      <c r="D98" s="21" t="s">
        <v>876</v>
      </c>
      <c r="E98" s="13">
        <v>42872.628229166665</v>
      </c>
      <c r="F98" s="13">
        <v>42872.633113425924</v>
      </c>
      <c r="G98" s="7">
        <v>1</v>
      </c>
      <c r="H98" s="21" t="s">
        <v>363</v>
      </c>
      <c r="I98" s="13">
        <v>42872.660937499997</v>
      </c>
      <c r="J98" s="7">
        <v>1</v>
      </c>
      <c r="K98" s="92" t="str">
        <f>IF(ISEVEN(B98),(B98-1)&amp;"/"&amp;B98,B98&amp;"/"&amp;(B98+1))</f>
        <v>4041/4042</v>
      </c>
      <c r="L98" s="21" t="str">
        <f>VLOOKUP(A98,'Trips&amp;Operators'!$C$1:$G$99999,5,FALSE)</f>
        <v>ZEWDU DEREJE</v>
      </c>
      <c r="M98" s="6">
        <f>I98-F98</f>
        <v>2.7824074073578231E-2</v>
      </c>
      <c r="N98" s="7">
        <f>24*60*SUM($M98:$M98)</f>
        <v>40.066666665952653</v>
      </c>
      <c r="O98" s="7"/>
      <c r="P98" s="7"/>
      <c r="Q98" s="22"/>
      <c r="R98" s="190"/>
      <c r="S98" s="196">
        <f>SUM(U98:U98)/IF(AG98="EC",12,1)</f>
        <v>1</v>
      </c>
      <c r="T98" s="190" t="str">
        <f>IF(ISEVEN(LEFT(AD98,4)),"Southbound","NorthBound")</f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-05-17T14:04:39-0600',mode:absolute,to:'2017-05-17T16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8" s="192" t="str">
        <f>IF(AA98&lt;IF(AG98="EC",23,5.65),"Y","N")</f>
        <v>N</v>
      </c>
      <c r="X98" s="192">
        <f>VALUE(LEFT(AD98,4))-VALUE(LEFT(AD97,4))</f>
        <v>1</v>
      </c>
      <c r="Y98" s="192">
        <f>RIGHT(D98,LEN(D98)-4)/10000</f>
        <v>23.302099999999999</v>
      </c>
      <c r="Z98" s="192">
        <f>RIGHT(H98,LEN(H98)-4)/10000</f>
        <v>1.5599999999999999E-2</v>
      </c>
      <c r="AA98" s="192">
        <f>ABS(Z98-Y98)</f>
        <v>23.2865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>IF(LEN(A98)=6,"0"&amp;A98,A98)</f>
        <v>0186-17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 &amp; aws s3 cp s3://rtdc.mdm.uploadarchive.raw/RTDC4041/ "%USERPROFILE%\AppData\Local\Temp\OnboardLogs"\RTDC4041\2017-05-18 --exclude "*" --recursive --include "*20170518*" &amp; "%USERPROFILE%\Documents\GitHub\mrs-test-scripts\Headless Mode &amp; Sideloading\WalkAndUnGZ.bat" "%USERPROFILE%\AppData\Local\Temp\OnboardLogs"\RTDC4041\2017-05-18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/stypes="app*4041*20170517*" /stext=" 21:.+((SYSTEM_STATE.+slice.+state.+changed )|(ment ac)|(multiple cpu faults)|(system.+state.+changed )|(\[timeout)|(PRM\|1\|D)|(kpr)|(kdp)|(train st.+moving)|(\|lc)|(penalty))"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8"/>
        <v>"%USERPROFILE%\Documents\GitHub\eaglep3\Utilities\RefineRTDCRunTimes.py" --tripid 186-17 --locoid 4041 --swversion DE.1.0.9.0 --startMP 204:233021 --initTime 2017-05-17T15:04:39 --startdatetime 2017-05-17T15:11:41 --delay 1 --endMP 204:156 --enddatetime 2017-05-17T15:51:45 --enforcementcount 1 &gt;&gt;C:\Users\stu\Documents\GitHub\eaglep3-reporting\EC\2017-05-17-refined-times.txt</v>
      </c>
      <c r="AI98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{"issue":{"subject":"","project_id":79,"tracker_id":40,"status_id":1,"priority_id":2,"assigned_to_id":23,"start_date":"2017-05-17","description":"","custom_fields":[{"id":1,"name":"Subdivision","value":"EC"},{"id":4,"name":"Milepost","value":"0.0156"},{"id":17,"name":"Train ID","value":"186-17"},{"id":16,"name":"Locomotive ID","value":"4041"},{"id":130,"name":"Impact","value":""},{"id":150,"name":"Time of Event (Mountain Time)","value":"15:51:45"},{"id":151,"name":"Denver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10"/>
        <v>start /low /b %USERPROFILE%\Documents\GitHub\eaglep3\Utilities\DownloadLogsFromS3.py --loco 4041 --day 2017-05-17</v>
      </c>
      <c r="AN98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740</v>
      </c>
      <c r="B99" s="7">
        <v>4012</v>
      </c>
      <c r="C99" s="21" t="s">
        <v>206</v>
      </c>
      <c r="D99" s="21" t="s">
        <v>877</v>
      </c>
      <c r="E99" s="13">
        <v>42872.600659722222</v>
      </c>
      <c r="F99" s="13">
        <v>42872.604328703703</v>
      </c>
      <c r="G99" s="7">
        <v>1</v>
      </c>
      <c r="H99" s="21" t="s">
        <v>447</v>
      </c>
      <c r="I99" s="13">
        <v>42872.63077546296</v>
      </c>
      <c r="J99" s="7">
        <v>1</v>
      </c>
      <c r="K99" s="92" t="str">
        <f>IF(ISEVEN(B99),(B99-1)&amp;"/"&amp;B99,B99&amp;"/"&amp;(B99+1))</f>
        <v>4011/4012</v>
      </c>
      <c r="L99" s="21" t="str">
        <f>VLOOKUP(A99,'Trips&amp;Operators'!$C$1:$G$99999,5,FALSE)</f>
        <v>CLARK KATHLEEN</v>
      </c>
      <c r="M99" s="6">
        <f>I99-F99</f>
        <v>2.6446759256941732E-2</v>
      </c>
      <c r="N99" s="7">
        <f>24*60*SUM($M99:$M99)</f>
        <v>38.083333329996094</v>
      </c>
      <c r="O99" s="7"/>
      <c r="P99" s="7"/>
      <c r="Q99" s="22"/>
      <c r="R99" s="190"/>
      <c r="S99" s="196">
        <f>SUM(U99:U99)/IF(AG99="EC",12,1)</f>
        <v>1</v>
      </c>
      <c r="T99" s="190" t="str">
        <f>IF(ISEVEN(LEFT(AD99,4)),"Southbound","NorthBound")</f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-05-17T13:24:57-0600',mode:absolute,to:'2017-05-17T16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9" s="192" t="str">
        <f>IF(AA99&lt;IF(AG99="EC",23,5.65),"Y","N")</f>
        <v>N</v>
      </c>
      <c r="X99" s="192">
        <f>VALUE(LEFT(AD99,4))-VALUE(LEFT(AD98,4))</f>
        <v>1</v>
      </c>
      <c r="Y99" s="192">
        <f>RIGHT(D99,LEN(D99)-4)/10000</f>
        <v>4.9299999999999997E-2</v>
      </c>
      <c r="Z99" s="192">
        <f>RIGHT(H99,LEN(H99)-4)/10000</f>
        <v>23.327200000000001</v>
      </c>
      <c r="AA99" s="192">
        <f>ABS(Z99-Y99)</f>
        <v>23.277900000000002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>IF(LEN(A99)=6,"0"&amp;A99,A99)</f>
        <v>0187-17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s3://rtdc.mdm.uploadarchive.raw/RTDC4012/ "%USERPROFILE%\AppData\Local\Temp\OnboardLogs"\RTDC4012\2017-05-17 --exclude "*" --recursive --include "*20170517*" &amp; "%USERPROFILE%\Documents\GitHub\mrs-test-scripts\Headless Mode &amp; Sideloading\WalkAndUnGZ.bat" "%USERPROFILE%\AppData\Local\Temp\OnboardLogs"\RTDC4012\2017-05-17 &amp; 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/stypes="app*4012*20170517*" /stext=" 21:.+((SYSTEM_STATE.+slice.+state.+changed )|(ment ac)|(multiple cpu faults)|(system.+state.+changed )|(\[timeout)|(PRM\|1\|D)|(kpr)|(kdp)|(train st.+moving)|(\|lc)|(penalty))"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8"/>
        <v>"%USERPROFILE%\Documents\GitHub\eaglep3\Utilities\RefineRTDCRunTimes.py" --tripid 187-17 --locoid 4012 --swversion DE.1.0.9.0 --startMP 204:493 --initTime 2017-05-17T14:24:57 --startdatetime 2017-05-17T14:30:14 --delay 1 --endMP 204:233272 --enddatetime 2017-05-17T15:08:19 --enforcementcount 1 &gt;&gt;C:\Users\stu\Documents\GitHub\eaglep3-reporting\EC\2017-05-17-refined-times.txt</v>
      </c>
      <c r="AI99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{"issue":{"subject":"","project_id":79,"tracker_id":40,"status_id":1,"priority_id":2,"assigned_to_id":23,"start_date":"2017-05-17","description":"","custom_fields":[{"id":1,"name":"Subdivision","value":"EC"},{"id":4,"name":"Milepost","value":"23.3272"},{"id":17,"name":"Train ID","value":"187-17"},{"id":16,"name":"Locomotive ID","value":"4012"},{"id":130,"name":"Impact","value":""},{"id":150,"name":"Time of Event (Mountain Time)","value":"15:08:19"},{"id":151,"name":"Denver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10"/>
        <v>start /low /b %USERPROFILE%\Documents\GitHub\eaglep3\Utilities\DownloadLogsFromS3.py --loco 4012 --day 2017-05-17</v>
      </c>
      <c r="AN99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21:08:19"},{"id":29,"name":"Sharepoint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748</v>
      </c>
      <c r="B100" s="7">
        <v>4011</v>
      </c>
      <c r="C100" s="21" t="s">
        <v>206</v>
      </c>
      <c r="D100" s="21" t="s">
        <v>878</v>
      </c>
      <c r="E100" s="13">
        <v>42872.639317129629</v>
      </c>
      <c r="F100" s="13">
        <v>42872.643206018518</v>
      </c>
      <c r="G100" s="7">
        <v>0</v>
      </c>
      <c r="H100" s="21" t="s">
        <v>879</v>
      </c>
      <c r="I100" s="13">
        <v>42872.673981481479</v>
      </c>
      <c r="J100" s="7">
        <v>1</v>
      </c>
      <c r="K100" s="92" t="str">
        <f>IF(ISEVEN(B100),(B100-1)&amp;"/"&amp;B100,B100&amp;"/"&amp;(B100+1))</f>
        <v>4011/4012</v>
      </c>
      <c r="L100" s="21" t="str">
        <f>VLOOKUP(A100,'Trips&amp;Operators'!$C$1:$G$99999,5,FALSE)</f>
        <v>CLARK KATHLEEN</v>
      </c>
      <c r="M100" s="6">
        <f>I100-F100</f>
        <v>3.0775462961173616E-2</v>
      </c>
      <c r="N100" s="7">
        <f>24*60*SUM($M100:$M100)</f>
        <v>44.316666664090008</v>
      </c>
      <c r="O100" s="7"/>
      <c r="P100" s="7"/>
      <c r="Q100" s="22"/>
      <c r="R100" s="190"/>
      <c r="S100" s="196">
        <f>SUM(U100:U100)/IF(AG100="EC",12,1)</f>
        <v>1</v>
      </c>
      <c r="T100" s="190" t="str">
        <f>IF(ISEVEN(LEFT(AD100,4)),"Southbound","NorthBound")</f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-05-17T14:20:37-0600',mode:absolute,to:'2017-05-17T17:10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0" s="192" t="str">
        <f>IF(AA100&lt;IF(AG100="EC",23,5.65),"Y","N")</f>
        <v>N</v>
      </c>
      <c r="X100" s="192">
        <f>VALUE(LEFT(AD100,4))-VALUE(LEFT(AD99,4))</f>
        <v>1</v>
      </c>
      <c r="Y100" s="192">
        <f>RIGHT(D100,LEN(D100)-4)/10000</f>
        <v>23.295500000000001</v>
      </c>
      <c r="Z100" s="192">
        <f>RIGHT(H100,LEN(H100)-4)/10000</f>
        <v>0.02</v>
      </c>
      <c r="AA100" s="192">
        <f>ABS(Z100-Y100)</f>
        <v>23.275500000000001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0188-17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s3://rtdc.mdm.uploadarchive.raw/RTDC4011/ "%USERPROFILE%\AppData\Local\Temp\OnboardLogs"\RTDC4011\2017-05-17 --exclude "*" --recursive --include "*20170517*" &amp; "%USERPROFILE%\Documents\GitHub\mrs-test-scripts\Headless Mode &amp; Sideloading\WalkAndUnGZ.bat" "%USERPROFILE%\AppData\Local\Temp\OnboardLogs"\RTDC4011\2017-05-17 &amp; 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/stypes="app*4011*20170517*" /stext=" 22:.+((SYSTEM_STATE.+slice.+state.+changed )|(ment ac)|(multiple cpu faults)|(system.+state.+changed )|(\[timeout)|(PRM\|1\|D)|(kpr)|(kdp)|(train st.+moving)|(\|lc)|(penalty))"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8"/>
        <v>"%USERPROFILE%\Documents\GitHub\eaglep3\Utilities\RefineRTDCRunTimes.py" --tripid 188-17 --locoid 4011 --swversion DE.1.0.9.0 --startMP 204:232955 --initTime 2017-05-17T15:20:37 --startdatetime 2017-05-17T15:26:13 --delay 0 --endMP 204:200 --enddatetime 2017-05-17T16:10:32 --enforcementcount 1 &gt;&gt;C:\Users\stu\Documents\GitHub\eaglep3-reporting\EC\2017-05-17-refined-times.txt</v>
      </c>
      <c r="AI100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{"issue":{"subject":"","project_id":79,"tracker_id":40,"status_id":1,"priority_id":2,"assigned_to_id":23,"start_date":"2017-05-17","description":"","custom_fields":[{"id":1,"name":"Subdivision","value":"EC"},{"id":4,"name":"Milepost","value":"0.02"},{"id":17,"name":"Train ID","value":"188-17"},{"id":16,"name":"Locomotive ID","value":"4011"},{"id":130,"name":"Impact","value":""},{"id":150,"name":"Time of Event (Mountain Time)","value":"16:10:32"},{"id":151,"name":"Denver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10"/>
        <v>start /low /b %USERPROFILE%\Documents\GitHub\eaglep3\Utilities\DownloadLogsFromS3.py --loco 4011 --day 2017-05-17</v>
      </c>
      <c r="AN100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22:10:32"},{"id":29,"name":"Sharepoint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742</v>
      </c>
      <c r="B101" s="7">
        <v>4024</v>
      </c>
      <c r="C101" s="21" t="s">
        <v>206</v>
      </c>
      <c r="D101" s="21" t="s">
        <v>366</v>
      </c>
      <c r="E101" s="13">
        <v>42872.612268518518</v>
      </c>
      <c r="F101" s="13">
        <v>42872.614884259259</v>
      </c>
      <c r="G101" s="7">
        <v>1</v>
      </c>
      <c r="H101" s="21" t="s">
        <v>544</v>
      </c>
      <c r="I101" s="13">
        <v>42872.640381944446</v>
      </c>
      <c r="J101" s="7">
        <v>1</v>
      </c>
      <c r="K101" s="92" t="str">
        <f>IF(ISEVEN(B101),(B101-1)&amp;"/"&amp;B101,B101&amp;"/"&amp;(B101+1))</f>
        <v>4023/4024</v>
      </c>
      <c r="L101" s="21" t="str">
        <f>VLOOKUP(A101,'Trips&amp;Operators'!$C$1:$G$99999,5,FALSE)</f>
        <v>DAVIS MICHAEL</v>
      </c>
      <c r="M101" s="6">
        <f>I101-F101</f>
        <v>2.5497685186564922E-2</v>
      </c>
      <c r="N101" s="7">
        <f>24*60*SUM($M101:$M101)</f>
        <v>36.716666668653488</v>
      </c>
      <c r="O101" s="7"/>
      <c r="P101" s="7"/>
      <c r="Q101" s="22"/>
      <c r="R101" s="190"/>
      <c r="S101" s="196">
        <f>SUM(U101:U101)/IF(AG101="EC",12,1)</f>
        <v>1</v>
      </c>
      <c r="T101" s="190" t="str">
        <f>IF(ISEVEN(LEFT(AD101,4)),"Southbound","NorthBound")</f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-05-17T13:41:40-0600',mode:absolute,to:'2017-05-17T16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1" s="192" t="str">
        <f>IF(AA101&lt;IF(AG101="EC",23,5.65),"Y","N")</f>
        <v>N</v>
      </c>
      <c r="X101" s="192">
        <f>VALUE(LEFT(AD101,4))-VALUE(LEFT(AD100,4))</f>
        <v>1</v>
      </c>
      <c r="Y101" s="192">
        <f>RIGHT(D101,LEN(D101)-4)/10000</f>
        <v>4.4699999999999997E-2</v>
      </c>
      <c r="Z101" s="192">
        <f>RIGHT(H101,LEN(H101)-4)/10000</f>
        <v>23.334900000000001</v>
      </c>
      <c r="AA101" s="192">
        <f>ABS(Z101-Y101)</f>
        <v>23.290200000000002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0189-17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/stypes="app*4024*20170517*" /stext=" 21:.+((SYSTEM_STATE.+slice.+state.+changed )|(ment ac)|(multiple cpu faults)|(system.+state.+changed )|(\[timeout)|(PRM\|1\|D)|(kpr)|(kdp)|(train st.+moving)|(\|lc)|(penalty))"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8"/>
        <v>"%USERPROFILE%\Documents\GitHub\eaglep3\Utilities\RefineRTDCRunTimes.py" --tripid 189-17 --locoid 4024 --swversion DE.1.0.9.0 --startMP 204:447 --initTime 2017-05-17T14:41:40 --startdatetime 2017-05-17T14:45:26 --delay 1 --endMP 204:233349 --enddatetime 2017-05-17T15:22:09 --enforcementcount 1 &gt;&gt;C:\Users\stu\Documents\GitHub\eaglep3-reporting\EC\2017-05-17-refined-times.txt</v>
      </c>
      <c r="AI101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{"issue":{"subject":"","project_id":79,"tracker_id":40,"status_id":1,"priority_id":2,"assigned_to_id":23,"start_date":"2017-05-17","description":"","custom_fields":[{"id":1,"name":"Subdivision","value":"EC"},{"id":4,"name":"Milepost","value":"23.3349"},{"id":17,"name":"Train ID","value":"189-17"},{"id":16,"name":"Locomotive ID","value":"4024"},{"id":130,"name":"Impact","value":""},{"id":150,"name":"Time of Event (Mountain Time)","value":"15:22:09"},{"id":151,"name":"Denver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10"/>
        <v>start /low /b %USERPROFILE%\Documents\GitHub\eaglep3\Utilities\DownloadLogsFromS3.py --loco 4024 --day 2017-05-17</v>
      </c>
      <c r="AN101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21:22:09"},{"id":29,"name":"Sharepoint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751</v>
      </c>
      <c r="B102" s="7">
        <v>4023</v>
      </c>
      <c r="C102" s="21" t="s">
        <v>206</v>
      </c>
      <c r="D102" s="21" t="s">
        <v>880</v>
      </c>
      <c r="E102" s="13">
        <v>42872.651446759257</v>
      </c>
      <c r="F102" s="13">
        <v>42872.653831018521</v>
      </c>
      <c r="G102" s="7">
        <v>1</v>
      </c>
      <c r="H102" s="21" t="s">
        <v>369</v>
      </c>
      <c r="I102" s="13">
        <v>42872.681134259263</v>
      </c>
      <c r="J102" s="7">
        <v>1</v>
      </c>
      <c r="K102" s="92" t="str">
        <f>IF(ISEVEN(B102),(B102-1)&amp;"/"&amp;B102,B102&amp;"/"&amp;(B102+1))</f>
        <v>4023/4024</v>
      </c>
      <c r="L102" s="21" t="str">
        <f>VLOOKUP(A102,'Trips&amp;Operators'!$C$1:$G$99999,5,FALSE)</f>
        <v>DAVIS MICHAEL</v>
      </c>
      <c r="M102" s="6">
        <f>I102-F102</f>
        <v>2.7303240742185153E-2</v>
      </c>
      <c r="N102" s="7">
        <f>24*60*SUM($M102:$M102)</f>
        <v>39.31666666874662</v>
      </c>
      <c r="O102" s="7"/>
      <c r="P102" s="7"/>
      <c r="Q102" s="22"/>
      <c r="R102" s="190"/>
      <c r="S102" s="196">
        <f>SUM(U102:U102)/IF(AG102="EC",12,1)</f>
        <v>1</v>
      </c>
      <c r="T102" s="190" t="str">
        <f>IF(ISEVEN(LEFT(AD102,4)),"Southbound","NorthBound")</f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-05-17T14:38:05-0600',mode:absolute,to:'2017-05-17T17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2" s="192" t="str">
        <f>IF(AA102&lt;IF(AG102="EC",23,5.65),"Y","N")</f>
        <v>N</v>
      </c>
      <c r="X102" s="192">
        <f>VALUE(LEFT(AD102,4))-VALUE(LEFT(AD101,4))</f>
        <v>1</v>
      </c>
      <c r="Y102" s="192">
        <f>RIGHT(D102,LEN(D102)-4)/10000</f>
        <v>23.3004</v>
      </c>
      <c r="Z102" s="192">
        <f>RIGHT(H102,LEN(H102)-4)/10000</f>
        <v>1.41E-2</v>
      </c>
      <c r="AA102" s="192">
        <f>ABS(Z102-Y102)</f>
        <v>23.286300000000001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0190-17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s3://rtdc.mdm.uploadarchive.raw/RTDC4023/ "%USERPROFILE%\AppData\Local\Temp\OnboardLogs"\RTDC4023\2017-05-17 --exclude "*" --recursive --include "*20170517*" &amp; "%USERPROFILE%\Documents\GitHub\mrs-test-scripts\Headless Mode &amp; Sideloading\WalkAndUnGZ.bat" "%USERPROFILE%\AppData\Local\Temp\OnboardLogs"\RTDC4023\2017-05-17 &amp; 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/stypes="app*4023*20170517*" /stext=" 22:.+((SYSTEM_STATE.+slice.+state.+changed )|(ment ac)|(multiple cpu faults)|(system.+state.+changed )|(\[timeout)|(PRM\|1\|D)|(kpr)|(kdp)|(train st.+moving)|(\|lc)|(penalty))"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8"/>
        <v>"%USERPROFILE%\Documents\GitHub\eaglep3\Utilities\RefineRTDCRunTimes.py" --tripid 190-17 --locoid 4023 --swversion DE.1.0.9.0 --startMP 204:233004 --initTime 2017-05-17T15:38:05 --startdatetime 2017-05-17T15:41:31 --delay 1 --endMP 204:141 --enddatetime 2017-05-17T16:20:50 --enforcementcount 1 &gt;&gt;C:\Users\stu\Documents\GitHub\eaglep3-reporting\EC\2017-05-17-refined-times.txt</v>
      </c>
      <c r="AI102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{"issue":{"subject":"","project_id":79,"tracker_id":40,"status_id":1,"priority_id":2,"assigned_to_id":23,"start_date":"2017-05-17","description":"","custom_fields":[{"id":1,"name":"Subdivision","value":"EC"},{"id":4,"name":"Milepost","value":"0.0141"},{"id":17,"name":"Train ID","value":"190-17"},{"id":16,"name":"Locomotive ID","value":"4023"},{"id":130,"name":"Impact","value":""},{"id":150,"name":"Time of Event (Mountain Time)","value":"16:20:50"},{"id":151,"name":"Denver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10"/>
        <v>start /low /b %USERPROFILE%\Documents\GitHub\eaglep3\Utilities\DownloadLogsFromS3.py --loco 4023 --day 2017-05-17</v>
      </c>
      <c r="AN102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22:20:50"},{"id":29,"name":"Sharepoint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743</v>
      </c>
      <c r="B103" s="7">
        <v>4040</v>
      </c>
      <c r="C103" s="21" t="s">
        <v>206</v>
      </c>
      <c r="D103" s="21" t="s">
        <v>536</v>
      </c>
      <c r="E103" s="13">
        <v>42872.620046296295</v>
      </c>
      <c r="F103" s="13">
        <v>42872.625173611108</v>
      </c>
      <c r="G103" s="7">
        <v>1</v>
      </c>
      <c r="H103" s="21" t="s">
        <v>881</v>
      </c>
      <c r="I103" s="13">
        <v>42872.652812499997</v>
      </c>
      <c r="J103" s="7">
        <v>1</v>
      </c>
      <c r="K103" s="92" t="str">
        <f>IF(ISEVEN(B103),(B103-1)&amp;"/"&amp;B103,B103&amp;"/"&amp;(B103+1))</f>
        <v>4039/4040</v>
      </c>
      <c r="L103" s="21" t="str">
        <f>VLOOKUP(A103,'Trips&amp;Operators'!$C$1:$G$99999,5,FALSE)</f>
        <v>THOMPSON LESTER</v>
      </c>
      <c r="M103" s="6">
        <f>I103-F103</f>
        <v>2.7638888888759539E-2</v>
      </c>
      <c r="N103" s="7">
        <f>24*60*SUM($M103:$M103)</f>
        <v>39.799999999813735</v>
      </c>
      <c r="O103" s="7"/>
      <c r="P103" s="7"/>
      <c r="Q103" s="22"/>
      <c r="R103" s="190"/>
      <c r="S103" s="196">
        <f>SUM(U103:U103)/IF(AG103="EC",12,1)</f>
        <v>1</v>
      </c>
      <c r="T103" s="190" t="str">
        <f>IF(ISEVEN(LEFT(AD103,4)),"Southbound","NorthBound")</f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-05-17T13:52:52-0600',mode:absolute,to:'2017-05-17T16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3" s="192" t="str">
        <f>IF(AA103&lt;IF(AG103="EC",23,5.65),"Y","N")</f>
        <v>N</v>
      </c>
      <c r="X103" s="192">
        <f>VALUE(LEFT(AD103,4))-VALUE(LEFT(AD102,4))</f>
        <v>1</v>
      </c>
      <c r="Y103" s="192">
        <f>RIGHT(D103,LEN(D103)-4)/10000</f>
        <v>4.7100000000000003E-2</v>
      </c>
      <c r="Z103" s="192">
        <f>RIGHT(H103,LEN(H103)-4)/10000</f>
        <v>23.3247</v>
      </c>
      <c r="AA103" s="192">
        <f>ABS(Z103-Y103)</f>
        <v>23.2776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0191-17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 &amp; 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/stypes="app*4040*20170517*" /stext=" 21:.+((SYSTEM_STATE.+slice.+state.+changed )|(ment ac)|(multiple cpu faults)|(system.+state.+changed )|(\[timeout)|(PRM\|1\|D)|(kpr)|(kdp)|(train st.+moving)|(\|lc)|(penalty))"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8"/>
        <v>"%USERPROFILE%\Documents\GitHub\eaglep3\Utilities\RefineRTDCRunTimes.py" --tripid 191-17 --locoid 4040 --swversion DE.1.0.9.0 --startMP 204:471 --initTime 2017-05-17T14:52:52 --startdatetime 2017-05-17T15:00:15 --delay 1 --endMP 204:233247 --enddatetime 2017-05-17T15:40:03 --enforcementcount 1 &gt;&gt;C:\Users\stu\Documents\GitHub\eaglep3-reporting\EC\2017-05-17-refined-times.txt</v>
      </c>
      <c r="AI103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{"issue":{"subject":"","project_id":79,"tracker_id":40,"status_id":1,"priority_id":2,"assigned_to_id":23,"start_date":"2017-05-17","description":"","custom_fields":[{"id":1,"name":"Subdivision","value":"EC"},{"id":4,"name":"Milepost","value":"23.3247"},{"id":17,"name":"Train ID","value":"191-17"},{"id":16,"name":"Locomotive ID","value":"4040"},{"id":130,"name":"Impact","value":""},{"id":150,"name":"Time of Event (Mountain Time)","value":"15:40:03"},{"id":151,"name":"Denver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0"/>
        <v>start /low /b %USERPROFILE%\Documents\GitHub\eaglep3\Utilities\DownloadLogsFromS3.py --loco 4040 --day 2017-05-17</v>
      </c>
      <c r="AN103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21:40:03"},{"id":29,"name":"Sharepoint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752</v>
      </c>
      <c r="B104" s="7">
        <v>4039</v>
      </c>
      <c r="C104" s="21" t="s">
        <v>206</v>
      </c>
      <c r="D104" s="21" t="s">
        <v>882</v>
      </c>
      <c r="E104" s="13">
        <v>42872.657881944448</v>
      </c>
      <c r="F104" s="13">
        <v>42872.6640625</v>
      </c>
      <c r="G104" s="7">
        <v>1</v>
      </c>
      <c r="H104" s="21" t="s">
        <v>883</v>
      </c>
      <c r="I104" s="13">
        <v>42872.683391203704</v>
      </c>
      <c r="J104" s="7">
        <v>1</v>
      </c>
      <c r="K104" s="92" t="str">
        <f>IF(ISEVEN(B104),(B104-1)&amp;"/"&amp;B104,B104&amp;"/"&amp;(B104+1))</f>
        <v>4039/4040</v>
      </c>
      <c r="L104" s="21" t="str">
        <f>VLOOKUP(A104,'Trips&amp;Operators'!$C$1:$G$99999,5,FALSE)</f>
        <v>THOMPSON LESTER</v>
      </c>
      <c r="M104" s="6">
        <f>I104-F104</f>
        <v>1.9328703703649808E-2</v>
      </c>
      <c r="N104" s="7"/>
      <c r="O104" s="7"/>
      <c r="P104" s="7">
        <f>24*60*SUM($M104:$M104)</f>
        <v>27.833333333255723</v>
      </c>
      <c r="Q104" s="22"/>
      <c r="R104" s="190" t="s">
        <v>580</v>
      </c>
      <c r="S104" s="196">
        <f>SUM(U104:U104)/IF(AG104="EC",12,1)</f>
        <v>0.75</v>
      </c>
      <c r="T104" s="190" t="str">
        <f>IF(ISEVEN(LEFT(AD104,4)),"Southbound","NorthBound")</f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9</v>
      </c>
      <c r="V104" s="191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-05-17T14:47:21-0600',mode:absolute,to:'2017-05-17T17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4" s="192" t="str">
        <f>IF(AA104&lt;IF(AG104="EC",23,5.65),"Y","N")</f>
        <v>Y</v>
      </c>
      <c r="X104" s="192">
        <f>VALUE(LEFT(AD104,4))-VALUE(LEFT(AD103,4))</f>
        <v>1</v>
      </c>
      <c r="Y104" s="192">
        <f>RIGHT(D104,LEN(D104)-4)/10000</f>
        <v>23.296500000000002</v>
      </c>
      <c r="Z104" s="192">
        <f>RIGHT(H104,LEN(H104)-4)/10000</f>
        <v>3.6655000000000002</v>
      </c>
      <c r="AA104" s="192">
        <f>ABS(Z104-Y104)</f>
        <v>19.631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0192-17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/stypes="app*4039*20170517*" /stext=" 22:.+((SYSTEM_STATE.+slice.+state.+changed )|(ment ac)|(multiple cpu faults)|(system.+state.+changed )|(\[timeout)|(PRM\|1\|D)|(kpr)|(kdp)|(train st.+moving)|(\|lc)|(penalty))"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8"/>
        <v>"%USERPROFILE%\Documents\GitHub\eaglep3\Utilities\RefineRTDCRunTimes.py" --tripid 192-17 --locoid 4039 --swversion DE.1.0.9.0 --startMP 204:232965 --initTime 2017-05-17T15:47:21 --startdatetime 2017-05-17T15:56:15 --delay 1 --endMP 204:36655 --enddatetime 2017-05-17T16:24:05 --enforcementcount 1 &gt;&gt;C:\Users\stu\Documents\GitHub\eaglep3-reporting\EC\2017-05-17-refined-times.txt</v>
      </c>
      <c r="AI104" s="99" t="str">
        <f t="shared" si="9"/>
        <v>echo {"issue":{"subject":"Onboard in-route failure","project_id":79,"tracker_id":40,"status_id":1,"priority_id":2,"assigned_to_id":23,"start_date":"2017-05-17","description":"","custom_fields":[{"id":1,"name":"Subdivision","value":"EC"},{"id":4,"name":"Milepost","value":"3.6655"},{"id":17,"name":"Train ID","value":"192-17"},{"id":16,"name":"Locomotive ID","value":"4039"},{"id":130,"name":"Impact","value":""},{"id":150,"name":"Time of Event (Mountain Time)","value":"16:24:05"},{"id":151,"name":"Denver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0"/>
        <v>start /low /b %USERPROFILE%\Documents\GitHub\eaglep3\Utilities\DownloadLogsFromS3.py --loco 4039 --day 2017-05-17</v>
      </c>
      <c r="AN104" s="154" t="str">
        <f t="shared" si="11"/>
        <v>echo {"issue":{"subject":"Onboard in-route failure","project_id":30,"tracker_id":4,"status_id":1,"priority_id":1,"assigned_to_id":10,"start_date":"2017-05-17","description":"","custom_fields":[{"id":30,"name":"Category","value":"Issue"},{"id":3,"name":"Functional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22:24:05"},{"id":29,"name":"Sharepoint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596</v>
      </c>
      <c r="B105" s="7">
        <v>4046</v>
      </c>
      <c r="C105" s="21" t="s">
        <v>206</v>
      </c>
      <c r="D105" s="21" t="s">
        <v>364</v>
      </c>
      <c r="E105" s="13">
        <v>42872.633888888886</v>
      </c>
      <c r="F105" s="13">
        <v>42872.635625000003</v>
      </c>
      <c r="G105" s="7">
        <v>1</v>
      </c>
      <c r="H105" s="21" t="s">
        <v>534</v>
      </c>
      <c r="I105" s="13">
        <v>42872.660196759258</v>
      </c>
      <c r="J105" s="7">
        <v>1</v>
      </c>
      <c r="K105" s="92" t="str">
        <f>IF(ISEVEN(B105),(B105-1)&amp;"/"&amp;B105,B105&amp;"/"&amp;(B105+1))</f>
        <v>4045/4046</v>
      </c>
      <c r="L105" s="21" t="str">
        <f>VLOOKUP(A105,'Trips&amp;Operators'!$C$1:$G$99999,5,FALSE)</f>
        <v>HELVIE ADAM</v>
      </c>
      <c r="M105" s="6">
        <f>I105-F105</f>
        <v>2.4571759255195502E-2</v>
      </c>
      <c r="N105" s="7">
        <f>24*60*SUM($M105:$M105)</f>
        <v>35.383333327481523</v>
      </c>
      <c r="O105" s="7"/>
      <c r="P105" s="7"/>
      <c r="Q105" s="22"/>
      <c r="R105" s="190"/>
      <c r="S105" s="196">
        <f>SUM(U105:U105)/IF(AG105="EC",12,1)</f>
        <v>1</v>
      </c>
      <c r="T105" s="190" t="str">
        <f>IF(ISEVEN(LEFT(AD105,4)),"Southbound","NorthBound")</f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-05-17T14:12:48-0600',mode:absolute,to:'2017-05-17T16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5" s="192" t="str">
        <f>IF(AA105&lt;IF(AG105="EC",23,5.65),"Y","N")</f>
        <v>N</v>
      </c>
      <c r="X105" s="192">
        <f>VALUE(LEFT(AD105,4))-VALUE(LEFT(AD104,4))</f>
        <v>1</v>
      </c>
      <c r="Y105" s="192">
        <f>RIGHT(D105,LEN(D105)-4)/10000</f>
        <v>4.53E-2</v>
      </c>
      <c r="Z105" s="192">
        <f>RIGHT(H105,LEN(H105)-4)/10000</f>
        <v>23.3291</v>
      </c>
      <c r="AA105" s="192">
        <f>ABS(Z105-Y105)</f>
        <v>23.283799999999999</v>
      </c>
      <c r="AB105" s="57" t="str">
        <f>VLOOKUP(A105,Enforcements!$C$7:$K$13,8,0)</f>
        <v>Bulletin (2)</v>
      </c>
      <c r="AC105" s="53" t="str">
        <f>VLOOKUP(A105,Enforcements!$C$7:$E$13,3,0)</f>
        <v>GRADE CROSSING</v>
      </c>
      <c r="AD105" s="54" t="str">
        <f>IF(LEN(A105)=6,"0"&amp;A105,A105)</f>
        <v>0193-17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s3://rtdc.mdm.uploadarchive.raw/RTDC4046/ "%USERPROFILE%\AppData\Local\Temp\OnboardLogs"\RTDC4046\2017-05-17 --exclude "*" --recursive --include "*20170517*" &amp; "%USERPROFILE%\Documents\GitHub\mrs-test-scripts\Headless Mode &amp; Sideloading\WalkAndUnGZ.bat" "%USERPROFILE%\AppData\Local\Temp\OnboardLogs"\RTDC4046\2017-05-17 &amp; aws s3 cp s3://rtdc.mdm.uploadarchive.raw/RTDC4046/ "%USERPROFILE%\AppData\Local\Temp\OnboardLogs"\RTDC4046\2017-05-18 --exclude "*" --recursive --include "*20170518*" &amp; "%USERPROFILE%\Documents\GitHub\mrs-test-scripts\Headless Mode &amp; Sideloading\WalkAndUnGZ.bat" "%USERPROFILE%\AppData\Local\Temp\OnboardLogs"\RTDC4046\2017-05-18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/stypes="app*4046*20170517*" /stext=" 21:.+((SYSTEM_STATE.+slice.+state.+changed )|(ment ac)|(multiple cpu faults)|(system.+state.+changed )|(\[timeout)|(PRM\|1\|D)|(kpr)|(kdp)|(train st.+moving)|(\|lc)|(penalty))"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8"/>
        <v>"%USERPROFILE%\Documents\GitHub\eaglep3\Utilities\RefineRTDCRunTimes.py" --tripid 193-17 --locoid 4046 --swversion DE.1.0.9.0 --startMP 204:453 --initTime 2017-05-17T15:12:48 --startdatetime 2017-05-17T15:15:18 --delay 1 --endMP 204:233291 --enddatetime 2017-05-17T15:50:41 --enforcementcount 1 &gt;&gt;C:\Users\stu\Documents\GitHub\eaglep3-reporting\EC\2017-05-17-refined-times.txt</v>
      </c>
      <c r="AI105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{"issue":{"subject":"","project_id":79,"tracker_id":40,"status_id":1,"priority_id":2,"assigned_to_id":23,"start_date":"2017-05-17","description":"","custom_fields":[{"id":1,"name":"Subdivision","value":"EC"},{"id":4,"name":"Milepost","value":"23.3291"},{"id":17,"name":"Train ID","value":"193-17"},{"id":16,"name":"Locomotive ID","value":"4046"},{"id":130,"name":"Impact","value":""},{"id":150,"name":"Time of Event (Mountain Time)","value":"15:50:41"},{"id":151,"name":"Denver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10"/>
        <v>start /low /b %USERPROFILE%\Documents\GitHub\eaglep3\Utilities\DownloadLogsFromS3.py --loco 4046 --day 2017-05-17</v>
      </c>
      <c r="AN105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21:50:41"},{"id":29,"name":"Sharepoint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756</v>
      </c>
      <c r="B106" s="7">
        <v>4045</v>
      </c>
      <c r="C106" s="21" t="s">
        <v>206</v>
      </c>
      <c r="D106" s="21" t="s">
        <v>478</v>
      </c>
      <c r="E106" s="13">
        <v>42872.672060185185</v>
      </c>
      <c r="F106" s="13">
        <v>42872.674537037034</v>
      </c>
      <c r="G106" s="7">
        <v>1</v>
      </c>
      <c r="H106" s="21" t="s">
        <v>356</v>
      </c>
      <c r="I106" s="13">
        <v>42872.700624999998</v>
      </c>
      <c r="J106" s="7">
        <v>1</v>
      </c>
      <c r="K106" s="92" t="str">
        <f>IF(ISEVEN(B106),(B106-1)&amp;"/"&amp;B106,B106&amp;"/"&amp;(B106+1))</f>
        <v>4045/4046</v>
      </c>
      <c r="L106" s="21" t="str">
        <f>VLOOKUP(A106,'Trips&amp;Operators'!$C$1:$G$99999,5,FALSE)</f>
        <v>HELVIE ADAM</v>
      </c>
      <c r="M106" s="6">
        <f>I106-F106</f>
        <v>2.6087962964083999E-2</v>
      </c>
      <c r="N106" s="7">
        <f>24*60*SUM($M106:$M106)</f>
        <v>37.566666668280959</v>
      </c>
      <c r="O106" s="7"/>
      <c r="P106" s="7"/>
      <c r="Q106" s="22"/>
      <c r="R106" s="190"/>
      <c r="S106" s="196">
        <f>SUM(U106:U106)/IF(AG106="EC",12,1)</f>
        <v>1</v>
      </c>
      <c r="T106" s="190" t="str">
        <f>IF(ISEVEN(LEFT(AD106,4)),"Southbound","NorthBound")</f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-05-17T15:07:46-0600',mode:absolute,to:'2017-05-17T17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6" s="192" t="str">
        <f>IF(AA106&lt;IF(AG106="EC",23,5.65),"Y","N")</f>
        <v>N</v>
      </c>
      <c r="X106" s="192">
        <f>VALUE(LEFT(AD106,4))-VALUE(LEFT(AD105,4))</f>
        <v>1</v>
      </c>
      <c r="Y106" s="192">
        <f>RIGHT(D106,LEN(D106)-4)/10000</f>
        <v>23.298100000000002</v>
      </c>
      <c r="Z106" s="192">
        <f>RIGHT(H106,LEN(H106)-4)/10000</f>
        <v>1.4999999999999999E-2</v>
      </c>
      <c r="AA106" s="192">
        <f>ABS(Z106-Y106)</f>
        <v>23.283100000000001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0194-17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s3://rtdc.mdm.uploadarchive.raw/RTDC4045/ "%USERPROFILE%\AppData\Local\Temp\OnboardLogs"\RTDC4045\2017-05-17 --exclude "*" --recursive --include "*20170517*" &amp; "%USERPROFILE%\Documents\GitHub\mrs-test-scripts\Headless Mode &amp; Sideloading\WalkAndUnGZ.bat" "%USERPROFILE%\AppData\Local\Temp\OnboardLogs"\RTDC4045\2017-05-17 &amp; aws s3 cp s3://rtdc.mdm.uploadarchive.raw/RTDC4045/ "%USERPROFILE%\AppData\Local\Temp\OnboardLogs"\RTDC4045\2017-05-18 --exclude "*" --recursive --include "*20170518*" &amp; "%USERPROFILE%\Documents\GitHub\mrs-test-scripts\Headless Mode &amp; Sideloading\WalkAndUnGZ.bat" "%USERPROFILE%\AppData\Local\Temp\OnboardLogs"\RTDC4045\2017-05-18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/stypes="app*4045*20170517*" /stext=" 22:.+((SYSTEM_STATE.+slice.+state.+changed )|(ment ac)|(multiple cpu faults)|(system.+state.+changed )|(\[timeout)|(PRM\|1\|D)|(kpr)|(kdp)|(train st.+moving)|(\|lc)|(penalty))"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si="8"/>
        <v>"%USERPROFILE%\Documents\GitHub\eaglep3\Utilities\RefineRTDCRunTimes.py" --tripid 194-17 --locoid 4045 --swversion DE.1.0.9.0 --startMP 204:232981 --initTime 2017-05-17T16:07:46 --startdatetime 2017-05-17T16:11:20 --delay 1 --endMP 204:150 --enddatetime 2017-05-17T16:48:54 --enforcementcount 1 &gt;&gt;C:\Users\stu\Documents\GitHub\eaglep3-reporting\EC\2017-05-17-refined-times.txt</v>
      </c>
      <c r="AI106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{"issue":{"subject":"","project_id":79,"tracker_id":40,"status_id":1,"priority_id":2,"assigned_to_id":23,"start_date":"2017-05-17","description":"","custom_fields":[{"id":1,"name":"Subdivision","value":"EC"},{"id":4,"name":"Milepost","value":"0.015"},{"id":17,"name":"Train ID","value":"194-17"},{"id":16,"name":"Locomotive ID","value":"4045"},{"id":130,"name":"Impact","value":""},{"id":150,"name":"Time of Event (Mountain Time)","value":"16:48:54"},{"id":151,"name":"Denver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10"/>
        <v>start /low /b %USERPROFILE%\Documents\GitHub\eaglep3\Utilities\DownloadLogsFromS3.py --loco 4045 --day 2017-05-17</v>
      </c>
      <c r="AN106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22:48:54"},{"id":29,"name":"Sharepoint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749</v>
      </c>
      <c r="B107" s="7">
        <v>4016</v>
      </c>
      <c r="C107" s="21" t="s">
        <v>206</v>
      </c>
      <c r="D107" s="21" t="s">
        <v>359</v>
      </c>
      <c r="E107" s="13">
        <v>42872.640694444446</v>
      </c>
      <c r="F107" s="13">
        <v>42872.646018518521</v>
      </c>
      <c r="G107" s="7">
        <v>1</v>
      </c>
      <c r="H107" s="21" t="s">
        <v>479</v>
      </c>
      <c r="I107" s="13">
        <v>42872.671157407407</v>
      </c>
      <c r="J107" s="7">
        <v>1</v>
      </c>
      <c r="K107" s="92" t="str">
        <f>IF(ISEVEN(B107),(B107-1)&amp;"/"&amp;B107,B107&amp;"/"&amp;(B107+1))</f>
        <v>4015/4016</v>
      </c>
      <c r="L107" s="21" t="str">
        <f>VLOOKUP(A107,'Trips&amp;Operators'!$C$1:$G$99999,5,FALSE)</f>
        <v>LAMAR NEKESHA</v>
      </c>
      <c r="M107" s="6">
        <f>I107-F107</f>
        <v>2.5138888886431232E-2</v>
      </c>
      <c r="N107" s="7">
        <f>24*60*SUM($M107:$M107)</f>
        <v>36.199999996460974</v>
      </c>
      <c r="O107" s="7"/>
      <c r="P107" s="7"/>
      <c r="Q107" s="22"/>
      <c r="R107" s="190"/>
      <c r="S107" s="196">
        <f>SUM(U107:U107)/IF(AG107="EC",12,1)</f>
        <v>1</v>
      </c>
      <c r="T107" s="190" t="str">
        <f>IF(ISEVEN(LEFT(AD107,4)),"Southbound","NorthBound")</f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-05-17T14:22:36-0600',mode:absolute,to:'2017-05-17T17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192" t="str">
        <f>IF(AA107&lt;IF(AG107="EC",23,5.65),"Y","N")</f>
        <v>N</v>
      </c>
      <c r="X107" s="192">
        <f>VALUE(LEFT(AD107,4))-VALUE(LEFT(AD106,4))</f>
        <v>1</v>
      </c>
      <c r="Y107" s="192">
        <f>RIGHT(D107,LEN(D107)-4)/10000</f>
        <v>4.6600000000000003E-2</v>
      </c>
      <c r="Z107" s="192">
        <f>RIGHT(H107,LEN(H107)-4)/10000</f>
        <v>23.331600000000002</v>
      </c>
      <c r="AA107" s="192">
        <f>ABS(Z107-Y107)</f>
        <v>23.285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0195-17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/stypes="app*4016*20170517*" /stext=" 22:.+((SYSTEM_STATE.+slice.+state.+changed )|(ment ac)|(multiple cpu faults)|(system.+state.+changed )|(\[timeout)|(PRM\|1\|D)|(kpr)|(kdp)|(train st.+moving)|(\|lc)|(penalty))"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8"/>
        <v>"%USERPROFILE%\Documents\GitHub\eaglep3\Utilities\RefineRTDCRunTimes.py" --tripid 195-17 --locoid 4016 --swversion DE.1.0.9.0 --startMP 204:466 --initTime 2017-05-17T15:22:36 --startdatetime 2017-05-17T15:30:16 --delay 1 --endMP 204:233316 --enddatetime 2017-05-17T16:06:28 --enforcementcount 1 &gt;&gt;C:\Users\stu\Documents\GitHub\eaglep3-reporting\EC\2017-05-17-refined-times.txt</v>
      </c>
      <c r="AI107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{"issue":{"subject":"","project_id":79,"tracker_id":40,"status_id":1,"priority_id":2,"assigned_to_id":23,"start_date":"2017-05-17","description":"","custom_fields":[{"id":1,"name":"Subdivision","value":"EC"},{"id":4,"name":"Milepost","value":"23.3316"},{"id":17,"name":"Train ID","value":"195-17"},{"id":16,"name":"Locomotive ID","value":"4016"},{"id":130,"name":"Impact","value":""},{"id":150,"name":"Time of Event (Mountain Time)","value":"16:06:28"},{"id":151,"name":"Denver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10"/>
        <v>start /low /b %USERPROFILE%\Documents\GitHub\eaglep3\Utilities\DownloadLogsFromS3.py --loco 4016 --day 2017-05-17</v>
      </c>
      <c r="AN107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22:06:28"},{"id":29,"name":"Sharepoint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757</v>
      </c>
      <c r="B108" s="7">
        <v>4015</v>
      </c>
      <c r="C108" s="21" t="s">
        <v>206</v>
      </c>
      <c r="D108" s="21" t="s">
        <v>538</v>
      </c>
      <c r="E108" s="13">
        <v>42872.672743055555</v>
      </c>
      <c r="F108" s="13">
        <v>42872.684953703705</v>
      </c>
      <c r="G108" s="7">
        <v>1</v>
      </c>
      <c r="H108" s="21" t="s">
        <v>198</v>
      </c>
      <c r="I108" s="13">
        <v>42872.710370370369</v>
      </c>
      <c r="J108" s="7">
        <v>1</v>
      </c>
      <c r="K108" s="92" t="str">
        <f>IF(ISEVEN(B108),(B108-1)&amp;"/"&amp;B108,B108&amp;"/"&amp;(B108+1))</f>
        <v>4015/4016</v>
      </c>
      <c r="L108" s="21" t="str">
        <f>VLOOKUP(A108,'Trips&amp;Operators'!$C$1:$G$99999,5,FALSE)</f>
        <v>LAMAR NEKESHA</v>
      </c>
      <c r="M108" s="6">
        <f>I108-F108</f>
        <v>2.5416666663659271E-2</v>
      </c>
      <c r="N108" s="7">
        <f>24*60*SUM($M108:$M108)</f>
        <v>36.59999999566935</v>
      </c>
      <c r="O108" s="7"/>
      <c r="P108" s="7"/>
      <c r="Q108" s="22"/>
      <c r="R108" s="190"/>
      <c r="S108" s="196">
        <f>SUM(U108:U108)/IF(AG108="EC",12,1)</f>
        <v>1</v>
      </c>
      <c r="T108" s="190" t="str">
        <f>IF(ISEVEN(LEFT(AD108,4)),"Southbound","NorthBound")</f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-05-17T15:08:45-0600',mode:absolute,to:'2017-05-17T18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192" t="str">
        <f>IF(AA108&lt;IF(AG108="EC",23,5.65),"Y","N")</f>
        <v>N</v>
      </c>
      <c r="X108" s="192">
        <f>VALUE(LEFT(AD108,4))-VALUE(LEFT(AD107,4))</f>
        <v>1</v>
      </c>
      <c r="Y108" s="192">
        <f>RIGHT(D108,LEN(D108)-4)/10000</f>
        <v>23.299199999999999</v>
      </c>
      <c r="Z108" s="192">
        <f>RIGHT(H108,LEN(H108)-4)/10000</f>
        <v>1.5800000000000002E-2</v>
      </c>
      <c r="AA108" s="192">
        <f>ABS(Z108-Y108)</f>
        <v>23.2834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0196-17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s3://rtdc.mdm.uploadarchive.raw/RTDC4015/ "%USERPROFILE%\AppData\Local\Temp\OnboardLogs"\RTDC4015\2017-05-17 --exclude "*" --recursive --include "*20170517*" &amp; "%USERPROFILE%\Documents\GitHub\mrs-test-scripts\Headless Mode &amp; Sideloading\WalkAndUnGZ.bat" "%USERPROFILE%\AppData\Local\Temp\OnboardLogs"\RTDC4015\2017-05-17 &amp; aws s3 cp s3://rtdc.mdm.uploadarchive.raw/RTDC4015/ "%USERPROFILE%\AppData\Local\Temp\OnboardLogs"\RTDC4015\2017-05-18 --exclude "*" --recursive --include "*20170518*" &amp; "%USERPROFILE%\Documents\GitHub\mrs-test-scripts\Headless Mode &amp; Sideloading\WalkAndUnGZ.bat" "%USERPROFILE%\AppData\Local\Temp\OnboardLogs"\RTDC4015\2017-05-18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/stypes="app*4015*20170517*" /stext=" 23:.+((SYSTEM_STATE.+slice.+state.+changed )|(ment ac)|(multiple cpu faults)|(system.+state.+changed )|(\[timeout)|(PRM\|1\|D)|(kpr)|(kdp)|(train st.+moving)|(\|lc)|(penalty))"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8"/>
        <v>"%USERPROFILE%\Documents\GitHub\eaglep3\Utilities\RefineRTDCRunTimes.py" --tripid 196-17 --locoid 4015 --swversion DE.1.0.9.0 --startMP 204:232992 --initTime 2017-05-17T16:08:45 --startdatetime 2017-05-17T16:26:20 --delay 1 --endMP 204:158 --enddatetime 2017-05-17T17:02:56 --enforcementcount 1 &gt;&gt;C:\Users\stu\Documents\GitHub\eaglep3-reporting\EC\2017-05-17-refined-times.txt</v>
      </c>
      <c r="AI108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{"issue":{"subject":"","project_id":79,"tracker_id":40,"status_id":1,"priority_id":2,"assigned_to_id":23,"start_date":"2017-05-17","description":"","custom_fields":[{"id":1,"name":"Subdivision","value":"EC"},{"id":4,"name":"Milepost","value":"0.0158"},{"id":17,"name":"Train ID","value":"196-17"},{"id":16,"name":"Locomotive ID","value":"4015"},{"id":130,"name":"Impact","value":""},{"id":150,"name":"Time of Event (Mountain Time)","value":"17:02:56"},{"id":151,"name":"Denver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0"/>
        <v>start /low /b %USERPROFILE%\Documents\GitHub\eaglep3\Utilities\DownloadLogsFromS3.py --loco 4015 --day 2017-05-17</v>
      </c>
      <c r="AN108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23:02:56"},{"id":29,"name":"Sharepoint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597</v>
      </c>
      <c r="B109" s="7">
        <v>4030</v>
      </c>
      <c r="C109" s="21" t="s">
        <v>206</v>
      </c>
      <c r="D109" s="21" t="s">
        <v>884</v>
      </c>
      <c r="E109" s="13">
        <v>42872.651458333334</v>
      </c>
      <c r="F109" s="13">
        <v>42872.656423611108</v>
      </c>
      <c r="G109" s="7">
        <v>1</v>
      </c>
      <c r="H109" s="21" t="s">
        <v>555</v>
      </c>
      <c r="I109" s="13">
        <v>42872.681168981479</v>
      </c>
      <c r="J109" s="7">
        <v>1</v>
      </c>
      <c r="K109" s="92" t="str">
        <f>IF(ISEVEN(B109),(B109-1)&amp;"/"&amp;B109,B109&amp;"/"&amp;(B109+1))</f>
        <v>4029/4030</v>
      </c>
      <c r="L109" s="21" t="str">
        <f>VLOOKUP(A109,'Trips&amp;Operators'!$C$1:$G$99999,5,FALSE)</f>
        <v>LEVIN SCOTT</v>
      </c>
      <c r="M109" s="6">
        <f>I109-F109</f>
        <v>2.47453703705105E-2</v>
      </c>
      <c r="N109" s="7">
        <f>24*60*SUM($M109:$M109)</f>
        <v>35.63333333353512</v>
      </c>
      <c r="O109" s="7"/>
      <c r="P109" s="7"/>
      <c r="Q109" s="22"/>
      <c r="R109" s="190"/>
      <c r="S109" s="196">
        <f>SUM(U109:U109)/IF(AG109="EC",12,1)</f>
        <v>1</v>
      </c>
      <c r="T109" s="190" t="str">
        <f>IF(ISEVEN(LEFT(AD109,4)),"Southbound","NorthBound")</f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-05-17T14:38:06-0600',mode:absolute,to:'2017-05-17T17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9" s="192" t="str">
        <f>IF(AA109&lt;IF(AG109="EC",23,5.65),"Y","N")</f>
        <v>N</v>
      </c>
      <c r="X109" s="192">
        <f>VALUE(LEFT(AD109,4))-VALUE(LEFT(AD108,4))</f>
        <v>1</v>
      </c>
      <c r="Y109" s="192">
        <f>RIGHT(D109,LEN(D109)-4)/10000</f>
        <v>4.2900000000000001E-2</v>
      </c>
      <c r="Z109" s="192">
        <f>RIGHT(H109,LEN(H109)-4)/10000</f>
        <v>23.340800000000002</v>
      </c>
      <c r="AA109" s="192">
        <f>ABS(Z109-Y109)</f>
        <v>23.297900000000002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>IF(LEN(A109)=6,"0"&amp;A109,A109)</f>
        <v>0197-17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s3://rtdc.mdm.uploadarchive.raw/RTDC4030/ "%USERPROFILE%\AppData\Local\Temp\OnboardLogs"\RTDC4030\2017-05-17 --exclude "*" --recursive --include "*20170517*" &amp; "%USERPROFILE%\Documents\GitHub\mrs-test-scripts\Headless Mode &amp; Sideloading\WalkAndUnGZ.bat" "%USERPROFILE%\AppData\Local\Temp\OnboardLogs"\RTDC4030\2017-05-17 &amp; 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/stypes="app*4030*20170517*" /stext=" 22:.+((SYSTEM_STATE.+slice.+state.+changed )|(ment ac)|(multiple cpu faults)|(system.+state.+changed )|(\[timeout)|(PRM\|1\|D)|(kpr)|(kdp)|(train st.+moving)|(\|lc)|(penalty))"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8"/>
        <v>"%USERPROFILE%\Documents\GitHub\eaglep3\Utilities\RefineRTDCRunTimes.py" --tripid 197-17 --locoid 4030 --swversion DE.1.0.9.0 --startMP 204:429 --initTime 2017-05-17T15:38:06 --startdatetime 2017-05-17T15:45:15 --delay 1 --endMP 204:233408 --enddatetime 2017-05-17T16:20:53 --enforcementcount 1 &gt;&gt;C:\Users\stu\Documents\GitHub\eaglep3-reporting\EC\2017-05-17-refined-times.txt</v>
      </c>
      <c r="AI109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{"issue":{"subject":"","project_id":79,"tracker_id":40,"status_id":1,"priority_id":2,"assigned_to_id":23,"start_date":"2017-05-17","description":"","custom_fields":[{"id":1,"name":"Subdivision","value":"EC"},{"id":4,"name":"Milepost","value":"23.3408"},{"id":17,"name":"Train ID","value":"197-17"},{"id":16,"name":"Locomotive ID","value":"4030"},{"id":130,"name":"Impact","value":""},{"id":150,"name":"Time of Event (Mountain Time)","value":"16:20:53"},{"id":151,"name":"Denver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0"/>
        <v>start /low /b %USERPROFILE%\Documents\GitHub\eaglep3\Utilities\DownloadLogsFromS3.py --loco 4030 --day 2017-05-17</v>
      </c>
      <c r="AN109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760</v>
      </c>
      <c r="B110" s="7">
        <v>4029</v>
      </c>
      <c r="C110" s="21" t="s">
        <v>206</v>
      </c>
      <c r="D110" s="21" t="s">
        <v>483</v>
      </c>
      <c r="E110" s="13">
        <v>42872.692314814813</v>
      </c>
      <c r="F110" s="13">
        <v>42872.695381944446</v>
      </c>
      <c r="G110" s="7">
        <v>1</v>
      </c>
      <c r="H110" s="21" t="s">
        <v>846</v>
      </c>
      <c r="I110" s="13">
        <v>42872.724120370367</v>
      </c>
      <c r="J110" s="7">
        <v>1</v>
      </c>
      <c r="K110" s="92" t="str">
        <f>IF(ISEVEN(B110),(B110-1)&amp;"/"&amp;B110,B110&amp;"/"&amp;(B110+1))</f>
        <v>4029/4030</v>
      </c>
      <c r="L110" s="21" t="str">
        <f>VLOOKUP(A110,'Trips&amp;Operators'!$C$1:$G$99999,5,FALSE)</f>
        <v>LEVIN SCOTT</v>
      </c>
      <c r="M110" s="6">
        <f>I110-F110</f>
        <v>2.8738425920892041E-2</v>
      </c>
      <c r="N110" s="7">
        <f>24*60*SUM($M110:$M110)</f>
        <v>41.383333326084539</v>
      </c>
      <c r="O110" s="7"/>
      <c r="P110" s="7"/>
      <c r="Q110" s="22"/>
      <c r="R110" s="190"/>
      <c r="S110" s="196">
        <f>SUM(U110:U110)/IF(AG110="EC",12,1)</f>
        <v>1</v>
      </c>
      <c r="T110" s="190" t="str">
        <f>IF(ISEVEN(LEFT(AD110,4)),"Southbound","NorthBound")</f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-05-17T15:36:56-0600',mode:absolute,to:'2017-05-17T18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192" t="str">
        <f>IF(AA110&lt;IF(AG110="EC",23,5.65),"Y","N")</f>
        <v>N</v>
      </c>
      <c r="X110" s="192">
        <f>VALUE(LEFT(AD110,4))-VALUE(LEFT(AD109,4))</f>
        <v>1</v>
      </c>
      <c r="Y110" s="192">
        <f>RIGHT(D110,LEN(D110)-4)/10000</f>
        <v>23.311299999999999</v>
      </c>
      <c r="Z110" s="192">
        <f>RIGHT(H110,LEN(H110)-4)/10000</f>
        <v>1.29E-2</v>
      </c>
      <c r="AA110" s="192">
        <f>ABS(Z110-Y110)</f>
        <v>23.298400000000001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0198-17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/stypes="app*4029*20170517*" /stext=" 23:.+((SYSTEM_STATE.+slice.+state.+changed )|(ment ac)|(multiple cpu faults)|(system.+state.+changed )|(\[timeout)|(PRM\|1\|D)|(kpr)|(kdp)|(train st.+moving)|(\|lc)|(penalty))"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8"/>
        <v>"%USERPROFILE%\Documents\GitHub\eaglep3\Utilities\RefineRTDCRunTimes.py" --tripid 198-17 --locoid 4029 --swversion DE.1.0.9.0 --startMP 204:233113 --initTime 2017-05-17T16:36:56 --startdatetime 2017-05-17T16:41:21 --delay 1 --endMP 204:129 --enddatetime 2017-05-17T17:22:44 --enforcementcount 1 &gt;&gt;C:\Users\stu\Documents\GitHub\eaglep3-reporting\EC\2017-05-17-refined-times.txt</v>
      </c>
      <c r="AI110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{"issue":{"subject":"","project_id":79,"tracker_id":40,"status_id":1,"priority_id":2,"assigned_to_id":23,"start_date":"2017-05-17","description":"","custom_fields":[{"id":1,"name":"Subdivision","value":"EC"},{"id":4,"name":"Milepost","value":"0.0129"},{"id":17,"name":"Train ID","value":"198-17"},{"id":16,"name":"Locomotive ID","value":"4029"},{"id":130,"name":"Impact","value":""},{"id":150,"name":"Time of Event (Mountain Time)","value":"17:22:44"},{"id":151,"name":"Denver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0"/>
        <v>start /low /b %USERPROFILE%\Documents\GitHub\eaglep3\Utilities\DownloadLogsFromS3.py --loco 4029 --day 2017-05-17</v>
      </c>
      <c r="AN110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754</v>
      </c>
      <c r="B111" s="7">
        <v>4042</v>
      </c>
      <c r="C111" s="21" t="s">
        <v>206</v>
      </c>
      <c r="D111" s="21" t="s">
        <v>413</v>
      </c>
      <c r="E111" s="13">
        <v>42872.662476851852</v>
      </c>
      <c r="F111" s="13">
        <v>42872.666863425926</v>
      </c>
      <c r="G111" s="7">
        <v>1</v>
      </c>
      <c r="H111" s="21" t="s">
        <v>857</v>
      </c>
      <c r="I111" s="13">
        <v>42872.692465277774</v>
      </c>
      <c r="J111" s="7">
        <v>1</v>
      </c>
      <c r="K111" s="92" t="str">
        <f>IF(ISEVEN(B111),(B111-1)&amp;"/"&amp;B111,B111&amp;"/"&amp;(B111+1))</f>
        <v>4041/4042</v>
      </c>
      <c r="L111" s="21" t="str">
        <f>VLOOKUP(A111,'Trips&amp;Operators'!$C$1:$G$99999,5,FALSE)</f>
        <v>ZEWDU DEREJE</v>
      </c>
      <c r="M111" s="6">
        <f>I111-F111</f>
        <v>2.5601851848477963E-2</v>
      </c>
      <c r="N111" s="7">
        <f>24*60*SUM($M111:$M111)</f>
        <v>36.866666661808267</v>
      </c>
      <c r="O111" s="7"/>
      <c r="P111" s="7"/>
      <c r="Q111" s="22"/>
      <c r="R111" s="190"/>
      <c r="S111" s="196">
        <f>SUM(U111:U111)/IF(AG111="EC",12,1)</f>
        <v>1</v>
      </c>
      <c r="T111" s="190" t="str">
        <f>IF(ISEVEN(LEFT(AD111,4)),"Southbound","NorthBound")</f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-05-17T14:53:58-0600',mode:absolute,to:'2017-05-17T17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1" s="192" t="str">
        <f>IF(AA111&lt;IF(AG111="EC",23,5.65),"Y","N")</f>
        <v>N</v>
      </c>
      <c r="X111" s="192">
        <f>VALUE(LEFT(AD111,4))-VALUE(LEFT(AD110,4))</f>
        <v>1</v>
      </c>
      <c r="Y111" s="192">
        <f>RIGHT(D111,LEN(D111)-4)/10000</f>
        <v>4.7699999999999999E-2</v>
      </c>
      <c r="Z111" s="192">
        <f>RIGHT(H111,LEN(H111)-4)/10000</f>
        <v>23.3368</v>
      </c>
      <c r="AA111" s="192">
        <f>ABS(Z111-Y111)</f>
        <v>23.289100000000001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0199-17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/stypes="app*4042*20170517*" /stext=" 22:.+((SYSTEM_STATE.+slice.+state.+changed )|(ment ac)|(multiple cpu faults)|(system.+state.+changed )|(\[timeout)|(PRM\|1\|D)|(kpr)|(kdp)|(train st.+moving)|(\|lc)|(penalty))"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8"/>
        <v>"%USERPROFILE%\Documents\GitHub\eaglep3\Utilities\RefineRTDCRunTimes.py" --tripid 199-17 --locoid 4042 --swversion DE.1.0.9.0 --startMP 204:477 --initTime 2017-05-17T15:53:58 --startdatetime 2017-05-17T16:00:17 --delay 1 --endMP 204:233368 --enddatetime 2017-05-17T16:37:09 --enforcementcount 1 &gt;&gt;C:\Users\stu\Documents\GitHub\eaglep3-reporting\EC\2017-05-17-refined-times.txt</v>
      </c>
      <c r="AI111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{"issue":{"subject":"","project_id":79,"tracker_id":40,"status_id":1,"priority_id":2,"assigned_to_id":23,"start_date":"2017-05-17","description":"","custom_fields":[{"id":1,"name":"Subdivision","value":"EC"},{"id":4,"name":"Milepost","value":"23.3368"},{"id":17,"name":"Train ID","value":"199-17"},{"id":16,"name":"Locomotive ID","value":"4042"},{"id":130,"name":"Impact","value":""},{"id":150,"name":"Time of Event (Mountain Time)","value":"16:37:09"},{"id":151,"name":"Denver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0"/>
        <v>start /low /b %USERPROFILE%\Documents\GitHub\eaglep3\Utilities\DownloadLogsFromS3.py --loco 4042 --day 2017-05-17</v>
      </c>
      <c r="AN111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22:37:09"},{"id":29,"name":"Sharepoint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762</v>
      </c>
      <c r="B112" s="7">
        <v>4041</v>
      </c>
      <c r="C112" s="21" t="s">
        <v>206</v>
      </c>
      <c r="D112" s="21" t="s">
        <v>885</v>
      </c>
      <c r="E112" s="13">
        <v>42872.694247685184</v>
      </c>
      <c r="F112" s="13">
        <v>42872.707291666666</v>
      </c>
      <c r="G112" s="7">
        <v>1</v>
      </c>
      <c r="H112" s="21" t="s">
        <v>379</v>
      </c>
      <c r="I112" s="13">
        <v>42872.737187500003</v>
      </c>
      <c r="J112" s="7">
        <v>1</v>
      </c>
      <c r="K112" s="92" t="str">
        <f>IF(ISEVEN(B112),(B112-1)&amp;"/"&amp;B112,B112&amp;"/"&amp;(B112+1))</f>
        <v>4041/4042</v>
      </c>
      <c r="L112" s="21" t="str">
        <f>VLOOKUP(A112,'Trips&amp;Operators'!$C$1:$G$99999,5,FALSE)</f>
        <v>ZEWDU DEREJE</v>
      </c>
      <c r="M112" s="6">
        <f>I112-F112</f>
        <v>2.9895833336922806E-2</v>
      </c>
      <c r="N112" s="7">
        <f>24*60*SUM($M112:$M112)</f>
        <v>43.05000000516884</v>
      </c>
      <c r="O112" s="7"/>
      <c r="P112" s="7"/>
      <c r="Q112" s="22"/>
      <c r="R112" s="190"/>
      <c r="S112" s="196">
        <f>SUM(U112:U112)/IF(AG112="EC",12,1)</f>
        <v>1</v>
      </c>
      <c r="T112" s="190" t="str">
        <f>IF(ISEVEN(LEFT(AD112,4)),"Southbound","NorthBound")</f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-05-17T15:39:43-0600',mode:absolute,to:'2017-05-17T18:41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2" s="192" t="str">
        <f>IF(AA112&lt;IF(AG112="EC",23,5.65),"Y","N")</f>
        <v>N</v>
      </c>
      <c r="X112" s="192">
        <f>VALUE(LEFT(AD112,4))-VALUE(LEFT(AD111,4))</f>
        <v>1</v>
      </c>
      <c r="Y112" s="192">
        <f>RIGHT(D112,LEN(D112)-4)/10000</f>
        <v>23.306699999999999</v>
      </c>
      <c r="Z112" s="192">
        <f>RIGHT(H112,LEN(H112)-4)/10000</f>
        <v>1.3599999999999999E-2</v>
      </c>
      <c r="AA112" s="192">
        <f>ABS(Z112-Y112)</f>
        <v>23.293099999999999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>IF(LEN(A112)=6,"0"&amp;A112,A112)</f>
        <v>0200-17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 &amp; aws s3 cp s3://rtdc.mdm.uploadarchive.raw/RTDC4041/ "%USERPROFILE%\AppData\Local\Temp\OnboardLogs"\RTDC4041\2017-05-18 --exclude "*" --recursive --include "*20170518*" &amp; "%USERPROFILE%\Documents\GitHub\mrs-test-scripts\Headless Mode &amp; Sideloading\WalkAndUnGZ.bat" "%USERPROFILE%\AppData\Local\Temp\OnboardLogs"\RTDC4041\2017-05-18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/stypes="app*4041*20170517*" /stext=" 23:.+((SYSTEM_STATE.+slice.+state.+changed )|(ment ac)|(multiple cpu faults)|(system.+state.+changed )|(\[timeout)|(PRM\|1\|D)|(kpr)|(kdp)|(train st.+moving)|(\|lc)|(penalty))"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8"/>
        <v>"%USERPROFILE%\Documents\GitHub\eaglep3\Utilities\RefineRTDCRunTimes.py" --tripid 200-17 --locoid 4041 --swversion DE.1.0.9.0 --startMP 204:233067 --initTime 2017-05-17T16:39:43 --startdatetime 2017-05-17T16:58:30 --delay 1 --endMP 204:136 --enddatetime 2017-05-17T17:41:33 --enforcementcount 1 &gt;&gt;C:\Users\stu\Documents\GitHub\eaglep3-reporting\EC\2017-05-17-refined-times.txt</v>
      </c>
      <c r="AI112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{"issue":{"subject":"","project_id":79,"tracker_id":40,"status_id":1,"priority_id":2,"assigned_to_id":23,"start_date":"2017-05-17","description":"","custom_fields":[{"id":1,"name":"Subdivision","value":"EC"},{"id":4,"name":"Milepost","value":"0.0136"},{"id":17,"name":"Train ID","value":"200-17"},{"id":16,"name":"Locomotive ID","value":"4041"},{"id":130,"name":"Impact","value":""},{"id":150,"name":"Time of Event (Mountain Time)","value":"17:41:33"},{"id":151,"name":"Denver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0"/>
        <v>start /low /b %USERPROFILE%\Documents\GitHub\eaglep3\Utilities\DownloadLogsFromS3.py --loco 4041 --day 2017-05-17</v>
      </c>
      <c r="AN112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23:41:33"},{"id":29,"name":"Sharepoint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759</v>
      </c>
      <c r="B113" s="7">
        <v>4012</v>
      </c>
      <c r="C113" s="21" t="s">
        <v>206</v>
      </c>
      <c r="D113" s="21" t="s">
        <v>886</v>
      </c>
      <c r="E113" s="13">
        <v>42872.675104166665</v>
      </c>
      <c r="F113" s="13">
        <v>42872.677337962959</v>
      </c>
      <c r="G113" s="7">
        <v>1</v>
      </c>
      <c r="H113" s="21" t="s">
        <v>445</v>
      </c>
      <c r="I113" s="13">
        <v>42872.703541666669</v>
      </c>
      <c r="J113" s="7">
        <v>1</v>
      </c>
      <c r="K113" s="92" t="str">
        <f>IF(ISEVEN(B113),(B113-1)&amp;"/"&amp;B113,B113&amp;"/"&amp;(B113+1))</f>
        <v>4011/4012</v>
      </c>
      <c r="L113" s="21" t="str">
        <f>VLOOKUP(A113,'Trips&amp;Operators'!$C$1:$G$99999,5,FALSE)</f>
        <v>CLARK KATHLEEN</v>
      </c>
      <c r="M113" s="6">
        <f>I113-F113</f>
        <v>2.620370371005265E-2</v>
      </c>
      <c r="N113" s="7">
        <f>24*60*SUM($M113:$M113)</f>
        <v>37.733333342475817</v>
      </c>
      <c r="O113" s="7"/>
      <c r="P113" s="7"/>
      <c r="Q113" s="22"/>
      <c r="R113" s="190"/>
      <c r="S113" s="196">
        <f>SUM(U113:U113)/IF(AG113="EC",12,1)</f>
        <v>1</v>
      </c>
      <c r="T113" s="190" t="str">
        <f>IF(ISEVEN(LEFT(AD113,4)),"Southbound","NorthBound")</f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-05-17T15:12:09-0600',mode:absolute,to:'2017-05-17T17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3" s="192" t="str">
        <f>IF(AA113&lt;IF(AG113="EC",23,5.65),"Y","N")</f>
        <v>N</v>
      </c>
      <c r="X113" s="192">
        <f>VALUE(LEFT(AD113,4))-VALUE(LEFT(AD112,4))</f>
        <v>1</v>
      </c>
      <c r="Y113" s="192">
        <f>RIGHT(D113,LEN(D113)-4)/10000</f>
        <v>4.9700000000000001E-2</v>
      </c>
      <c r="Z113" s="192">
        <f>RIGHT(H113,LEN(H113)-4)/10000</f>
        <v>23.329699999999999</v>
      </c>
      <c r="AA113" s="192">
        <f>ABS(Z113-Y113)</f>
        <v>23.279999999999998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0201-17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s3://rtdc.mdm.uploadarchive.raw/RTDC4012/ "%USERPROFILE%\AppData\Local\Temp\OnboardLogs"\RTDC4012\2017-05-17 --exclude "*" --recursive --include "*20170517*" &amp; "%USERPROFILE%\Documents\GitHub\mrs-test-scripts\Headless Mode &amp; Sideloading\WalkAndUnGZ.bat" "%USERPROFILE%\AppData\Local\Temp\OnboardLogs"\RTDC4012\2017-05-17 &amp; 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/stypes="app*4012*20170517*" /stext=" 22:.+((SYSTEM_STATE.+slice.+state.+changed )|(ment ac)|(multiple cpu faults)|(system.+state.+changed )|(\[timeout)|(PRM\|1\|D)|(kpr)|(kdp)|(train st.+moving)|(\|lc)|(penalty))"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8"/>
        <v>"%USERPROFILE%\Documents\GitHub\eaglep3\Utilities\RefineRTDCRunTimes.py" --tripid 201-17 --locoid 4012 --swversion DE.1.0.9.0 --startMP 204:497 --initTime 2017-05-17T16:12:09 --startdatetime 2017-05-17T16:15:22 --delay 1 --endMP 204:233297 --enddatetime 2017-05-17T16:53:06 --enforcementcount 1 &gt;&gt;C:\Users\stu\Documents\GitHub\eaglep3-reporting\EC\2017-05-17-refined-times.txt</v>
      </c>
      <c r="AI113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{"issue":{"subject":"","project_id":79,"tracker_id":40,"status_id":1,"priority_id":2,"assigned_to_id":23,"start_date":"2017-05-17","description":"","custom_fields":[{"id":1,"name":"Subdivision","value":"EC"},{"id":4,"name":"Milepost","value":"23.3297"},{"id":17,"name":"Train ID","value":"201-17"},{"id":16,"name":"Locomotive ID","value":"4012"},{"id":130,"name":"Impact","value":""},{"id":150,"name":"Time of Event (Mountain Time)","value":"16:53:06"},{"id":151,"name":"Denver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0"/>
        <v>start /low /b %USERPROFILE%\Documents\GitHub\eaglep3\Utilities\DownloadLogsFromS3.py --loco 4012 --day 2017-05-17</v>
      </c>
      <c r="AN113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22:53:06"},{"id":29,"name":"Sharepoint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767</v>
      </c>
      <c r="B114" s="7">
        <v>4011</v>
      </c>
      <c r="C114" s="21" t="s">
        <v>206</v>
      </c>
      <c r="D114" s="21" t="s">
        <v>887</v>
      </c>
      <c r="E114" s="13">
        <v>42872.713229166664</v>
      </c>
      <c r="F114" s="13">
        <v>42872.716134259259</v>
      </c>
      <c r="G114" s="7">
        <v>1</v>
      </c>
      <c r="H114" s="21" t="s">
        <v>888</v>
      </c>
      <c r="I114" s="13">
        <v>42872.745092592595</v>
      </c>
      <c r="J114" s="7">
        <v>1</v>
      </c>
      <c r="K114" s="92" t="str">
        <f>IF(ISEVEN(B114),(B114-1)&amp;"/"&amp;B114,B114&amp;"/"&amp;(B114+1))</f>
        <v>4011/4012</v>
      </c>
      <c r="L114" s="21" t="str">
        <f>VLOOKUP(A114,'Trips&amp;Operators'!$C$1:$G$99999,5,FALSE)</f>
        <v>CLARK KATHLEEN</v>
      </c>
      <c r="M114" s="6">
        <f>I114-F114</f>
        <v>2.8958333336049691E-2</v>
      </c>
      <c r="N114" s="7">
        <f>24*60*SUM($M114:$M114)</f>
        <v>41.700000003911555</v>
      </c>
      <c r="O114" s="7"/>
      <c r="P114" s="7"/>
      <c r="Q114" s="22"/>
      <c r="R114" s="190"/>
      <c r="S114" s="196">
        <f>SUM(U114:U114)/IF(AG114="EC",12,1)</f>
        <v>1</v>
      </c>
      <c r="T114" s="190" t="str">
        <f>IF(ISEVEN(LEFT(AD114,4)),"Southbound","NorthBound")</f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-05-17T16:07:03-0600',mode:absolute,to:'2017-05-17T18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4" s="192" t="str">
        <f>IF(AA114&lt;IF(AG114="EC",23,5.65),"Y","N")</f>
        <v>N</v>
      </c>
      <c r="X114" s="192">
        <f>VALUE(LEFT(AD114,4))-VALUE(LEFT(AD113,4))</f>
        <v>1</v>
      </c>
      <c r="Y114" s="192">
        <f>RIGHT(D114,LEN(D114)-4)/10000</f>
        <v>23.297899999999998</v>
      </c>
      <c r="Z114" s="192">
        <f>RIGHT(H114,LEN(H114)-4)/10000</f>
        <v>1.7000000000000001E-2</v>
      </c>
      <c r="AA114" s="192">
        <f>ABS(Z114-Y114)</f>
        <v>23.280899999999999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0202-17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s3://rtdc.mdm.uploadarchive.raw/RTDC4011/ "%USERPROFILE%\AppData\Local\Temp\OnboardLogs"\RTDC4011\2017-05-17 --exclude "*" --recursive --include "*20170517*" &amp; "%USERPROFILE%\Documents\GitHub\mrs-test-scripts\Headless Mode &amp; Sideloading\WalkAndUnGZ.bat" "%USERPROFILE%\AppData\Local\Temp\OnboardLogs"\RTDC4011\2017-05-17 &amp; 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/stypes="app*4011*20170517*" /stext=" 23:.+((SYSTEM_STATE.+slice.+state.+changed )|(ment ac)|(multiple cpu faults)|(system.+state.+changed )|(\[timeout)|(PRM\|1\|D)|(kpr)|(kdp)|(train st.+moving)|(\|lc)|(penalty))"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8"/>
        <v>"%USERPROFILE%\Documents\GitHub\eaglep3\Utilities\RefineRTDCRunTimes.py" --tripid 202-17 --locoid 4011 --swversion DE.1.0.9.0 --startMP 204:232979 --initTime 2017-05-17T17:07:03 --startdatetime 2017-05-17T17:11:14 --delay 1 --endMP 204:170 --enddatetime 2017-05-17T17:52:56 --enforcementcount 1 &gt;&gt;C:\Users\stu\Documents\GitHub\eaglep3-reporting\EC\2017-05-17-refined-times.txt</v>
      </c>
      <c r="AI114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{"issue":{"subject":"","project_id":79,"tracker_id":40,"status_id":1,"priority_id":2,"assigned_to_id":23,"start_date":"2017-05-17","description":"","custom_fields":[{"id":1,"name":"Subdivision","value":"EC"},{"id":4,"name":"Milepost","value":"0.017"},{"id":17,"name":"Train ID","value":"202-17"},{"id":16,"name":"Locomotive ID","value":"4011"},{"id":130,"name":"Impact","value":""},{"id":150,"name":"Time of Event (Mountain Time)","value":"17:52:56"},{"id":151,"name":"Denver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0"/>
        <v>start /low /b %USERPROFILE%\Documents\GitHub\eaglep3\Utilities\DownloadLogsFromS3.py --loco 4011 --day 2017-05-17</v>
      </c>
      <c r="AN114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599</v>
      </c>
      <c r="B115" s="7">
        <v>4024</v>
      </c>
      <c r="C115" s="21" t="s">
        <v>206</v>
      </c>
      <c r="D115" s="21" t="s">
        <v>543</v>
      </c>
      <c r="E115" s="13">
        <v>42872.684525462966</v>
      </c>
      <c r="F115" s="13">
        <v>42872.688263888886</v>
      </c>
      <c r="G115" s="7">
        <v>1</v>
      </c>
      <c r="H115" s="21" t="s">
        <v>412</v>
      </c>
      <c r="I115" s="13">
        <v>42872.717395833337</v>
      </c>
      <c r="J115" s="7">
        <v>1</v>
      </c>
      <c r="K115" s="92" t="str">
        <f>IF(ISEVEN(B115),(B115-1)&amp;"/"&amp;B115,B115&amp;"/"&amp;(B115+1))</f>
        <v>4023/4024</v>
      </c>
      <c r="L115" s="21" t="str">
        <f>VLOOKUP(A115,'Trips&amp;Operators'!$C$1:$G$99999,5,FALSE)</f>
        <v>DAVIS MICHAEL</v>
      </c>
      <c r="M115" s="6">
        <f>I115-F115</f>
        <v>2.9131944451364689E-2</v>
      </c>
      <c r="N115" s="7">
        <f>24*60*SUM($M115:$M115)</f>
        <v>41.950000009965152</v>
      </c>
      <c r="O115" s="7"/>
      <c r="P115" s="7"/>
      <c r="Q115" s="22"/>
      <c r="R115" s="190"/>
      <c r="S115" s="196">
        <f>SUM(U115:U115)/IF(AG115="EC",12,1)</f>
        <v>1</v>
      </c>
      <c r="T115" s="190" t="str">
        <f>IF(ISEVEN(LEFT(AD115,4)),"Southbound","NorthBound")</f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-05-17T15:25:43-0600',mode:absolute,to:'2017-05-17T18:13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5" s="192" t="str">
        <f>IF(AA115&lt;IF(AG115="EC",23,5.65),"Y","N")</f>
        <v>N</v>
      </c>
      <c r="X115" s="192">
        <f>VALUE(LEFT(AD115,4))-VALUE(LEFT(AD114,4))</f>
        <v>1</v>
      </c>
      <c r="Y115" s="192">
        <f>RIGHT(D115,LEN(D115)-4)/10000</f>
        <v>4.4200000000000003E-2</v>
      </c>
      <c r="Z115" s="192">
        <f>RIGHT(H115,LEN(H115)-4)/10000</f>
        <v>23.327999999999999</v>
      </c>
      <c r="AA115" s="192">
        <f>ABS(Z115-Y115)</f>
        <v>23.283799999999999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0203-17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/stypes="app*4024*20170517*" /stext=" 23:.+((SYSTEM_STATE.+slice.+state.+changed )|(ment ac)|(multiple cpu faults)|(system.+state.+changed )|(\[timeout)|(PRM\|1\|D)|(kpr)|(kdp)|(train st.+moving)|(\|lc)|(penalty))"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8"/>
        <v>"%USERPROFILE%\Documents\GitHub\eaglep3\Utilities\RefineRTDCRunTimes.py" --tripid 203-17 --locoid 4024 --swversion DE.1.0.9.0 --startMP 204:442 --initTime 2017-05-17T16:25:43 --startdatetime 2017-05-17T16:31:06 --delay 1 --endMP 204:233280 --enddatetime 2017-05-17T17:13:03 --enforcementcount 1 &gt;&gt;C:\Users\stu\Documents\GitHub\eaglep3-reporting\EC\2017-05-17-refined-times.txt</v>
      </c>
      <c r="AI115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{"issue":{"subject":"","project_id":79,"tracker_id":40,"status_id":1,"priority_id":2,"assigned_to_id":23,"start_date":"2017-05-17","description":"","custom_fields":[{"id":1,"name":"Subdivision","value":"EC"},{"id":4,"name":"Milepost","value":"23.328"},{"id":17,"name":"Train ID","value":"203-17"},{"id":16,"name":"Locomotive ID","value":"4024"},{"id":130,"name":"Impact","value":""},{"id":150,"name":"Time of Event (Mountain Time)","value":"17:13:03"},{"id":151,"name":"Denver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0"/>
        <v>start /low /b %USERPROFILE%\Documents\GitHub\eaglep3\Utilities\DownloadLogsFromS3.py --loco 4024 --day 2017-05-17</v>
      </c>
      <c r="AN115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23:13:03"},{"id":29,"name":"Sharepoint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771</v>
      </c>
      <c r="B116" s="7">
        <v>4023</v>
      </c>
      <c r="C116" s="21" t="s">
        <v>206</v>
      </c>
      <c r="D116" s="21" t="s">
        <v>548</v>
      </c>
      <c r="E116" s="13">
        <v>42872.724930555552</v>
      </c>
      <c r="F116" s="13">
        <v>42872.726921296293</v>
      </c>
      <c r="G116" s="7">
        <v>1</v>
      </c>
      <c r="H116" s="21" t="s">
        <v>457</v>
      </c>
      <c r="I116" s="13">
        <v>42872.754525462966</v>
      </c>
      <c r="J116" s="7">
        <v>1</v>
      </c>
      <c r="K116" s="92" t="str">
        <f>IF(ISEVEN(B116),(B116-1)&amp;"/"&amp;B116,B116&amp;"/"&amp;(B116+1))</f>
        <v>4023/4024</v>
      </c>
      <c r="L116" s="21" t="str">
        <f>VLOOKUP(A116,'Trips&amp;Operators'!$C$1:$G$99999,5,FALSE)</f>
        <v>DAVIS MICHAEL</v>
      </c>
      <c r="M116" s="6">
        <f>I116-F116</f>
        <v>2.7604166672972497E-2</v>
      </c>
      <c r="N116" s="7">
        <f>24*60*SUM($M116:$M116)</f>
        <v>39.750000009080395</v>
      </c>
      <c r="O116" s="7"/>
      <c r="P116" s="7"/>
      <c r="Q116" s="22"/>
      <c r="R116" s="190"/>
      <c r="S116" s="196">
        <f>SUM(U116:U116)/IF(AG116="EC",12,1)</f>
        <v>1</v>
      </c>
      <c r="T116" s="190" t="str">
        <f>IF(ISEVEN(LEFT(AD116,4)),"Southbound","NorthBound")</f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-05-17T16:23:54-0600',mode:absolute,to:'2017-05-17T19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6" s="192" t="str">
        <f>IF(AA116&lt;IF(AG116="EC",23,5.65),"Y","N")</f>
        <v>N</v>
      </c>
      <c r="X116" s="192">
        <f>VALUE(LEFT(AD116,4))-VALUE(LEFT(AD115,4))</f>
        <v>1</v>
      </c>
      <c r="Y116" s="192">
        <f>RIGHT(D116,LEN(D116)-4)/10000</f>
        <v>23.298999999999999</v>
      </c>
      <c r="Z116" s="192">
        <f>RIGHT(H116,LEN(H116)-4)/10000</f>
        <v>1.32E-2</v>
      </c>
      <c r="AA116" s="192">
        <f>ABS(Z116-Y116)</f>
        <v>23.285799999999998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0204-17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s3://rtdc.mdm.uploadarchive.raw/RTDC4023/ "%USERPROFILE%\AppData\Local\Temp\OnboardLogs"\RTDC4023\2017-05-17 --exclude "*" --recursive --include "*20170517*" &amp; "%USERPROFILE%\Documents\GitHub\mrs-test-scripts\Headless Mode &amp; Sideloading\WalkAndUnGZ.bat" "%USERPROFILE%\AppData\Local\Temp\OnboardLogs"\RTDC4023\2017-05-17 &amp; 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/stypes="app*4023*20170518*" /stext=" 00:.+((SYSTEM_STATE.+slice.+state.+changed )|(ment ac)|(multiple cpu faults)|(system.+state.+changed )|(\[timeout)|(PRM\|1\|D)|(kpr)|(kdp)|(train st.+moving)|(\|lc)|(penalty))"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8"/>
        <v>"%USERPROFILE%\Documents\GitHub\eaglep3\Utilities\RefineRTDCRunTimes.py" --tripid 204-17 --locoid 4023 --swversion DE.1.0.9.0 --startMP 204:232990 --initTime 2017-05-17T17:23:54 --startdatetime 2017-05-17T17:26:46 --delay 1 --endMP 204:132 --enddatetime 2017-05-17T18:06:31 --enforcementcount 1 &gt;&gt;C:\Users\stu\Documents\GitHub\eaglep3-reporting\EC\2017-05-17-refined-times.txt</v>
      </c>
      <c r="AI116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{"issue":{"subject":"","project_id":79,"tracker_id":40,"status_id":1,"priority_id":2,"assigned_to_id":23,"start_date":"2017-05-17","description":"","custom_fields":[{"id":1,"name":"Subdivision","value":"EC"},{"id":4,"name":"Milepost","value":"0.0132"},{"id":17,"name":"Train ID","value":"204-17"},{"id":16,"name":"Locomotive ID","value":"4023"},{"id":130,"name":"Impact","value":""},{"id":150,"name":"Time of Event (Mountain Time)","value":"18:06:31"},{"id":151,"name":"Denver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10"/>
        <v>start /low /b %USERPROFILE%\Documents\GitHub\eaglep3\Utilities\DownloadLogsFromS3.py --loco 4023 --day 2017-05-17</v>
      </c>
      <c r="AN116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763</v>
      </c>
      <c r="B117" s="7">
        <v>4040</v>
      </c>
      <c r="C117" s="21" t="s">
        <v>206</v>
      </c>
      <c r="D117" s="21" t="s">
        <v>365</v>
      </c>
      <c r="E117" s="13">
        <v>42872.695752314816</v>
      </c>
      <c r="F117" s="13">
        <v>42872.698437500003</v>
      </c>
      <c r="G117" s="7">
        <v>1</v>
      </c>
      <c r="H117" s="21" t="s">
        <v>845</v>
      </c>
      <c r="I117" s="13">
        <v>42872.72488425926</v>
      </c>
      <c r="J117" s="7">
        <v>1</v>
      </c>
      <c r="K117" s="92" t="str">
        <f>IF(ISEVEN(B117),(B117-1)&amp;"/"&amp;B117,B117&amp;"/"&amp;(B117+1))</f>
        <v>4039/4040</v>
      </c>
      <c r="L117" s="21" t="str">
        <f>VLOOKUP(A117,'Trips&amp;Operators'!$C$1:$G$99999,5,FALSE)</f>
        <v>THOMPSON LESTER</v>
      </c>
      <c r="M117" s="6">
        <f>I117-F117</f>
        <v>2.6446759256941732E-2</v>
      </c>
      <c r="N117" s="7">
        <f>24*60*SUM($M117:$M117)</f>
        <v>38.083333329996094</v>
      </c>
      <c r="O117" s="7"/>
      <c r="P117" s="7"/>
      <c r="Q117" s="22"/>
      <c r="R117" s="190"/>
      <c r="S117" s="196">
        <f>SUM(U117:U117)/IF(AG117="EC",12,1)</f>
        <v>1</v>
      </c>
      <c r="T117" s="190" t="str">
        <f>IF(ISEVEN(LEFT(AD117,4)),"Southbound","NorthBound")</f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-05-17T15:41:53-0600',mode:absolute,to:'2017-05-17T18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7" s="192" t="str">
        <f>IF(AA117&lt;IF(AG117="EC",23,5.65),"Y","N")</f>
        <v>N</v>
      </c>
      <c r="X117" s="192">
        <f>VALUE(LEFT(AD117,4))-VALUE(LEFT(AD116,4))</f>
        <v>1</v>
      </c>
      <c r="Y117" s="192">
        <f>RIGHT(D117,LEN(D117)-4)/10000</f>
        <v>4.4400000000000002E-2</v>
      </c>
      <c r="Z117" s="192">
        <f>RIGHT(H117,LEN(H117)-4)/10000</f>
        <v>23.3325</v>
      </c>
      <c r="AA117" s="192">
        <f>ABS(Z117-Y117)</f>
        <v>23.2881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0205-17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 &amp; 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/stypes="app*4040*20170517*" /stext=" 23:.+((SYSTEM_STATE.+slice.+state.+changed )|(ment ac)|(multiple cpu faults)|(system.+state.+changed )|(\[timeout)|(PRM\|1\|D)|(kpr)|(kdp)|(train st.+moving)|(\|lc)|(penalty))"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8"/>
        <v>"%USERPROFILE%\Documents\GitHub\eaglep3\Utilities\RefineRTDCRunTimes.py" --tripid 205-17 --locoid 4040 --swversion DE.1.0.9.0 --startMP 204:444 --initTime 2017-05-17T16:41:53 --startdatetime 2017-05-17T16:45:45 --delay 1 --endMP 204:233325 --enddatetime 2017-05-17T17:23:50 --enforcementcount 1 &gt;&gt;C:\Users\stu\Documents\GitHub\eaglep3-reporting\EC\2017-05-17-refined-times.txt</v>
      </c>
      <c r="AI117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{"issue":{"subject":"","project_id":79,"tracker_id":40,"status_id":1,"priority_id":2,"assigned_to_id":23,"start_date":"2017-05-17","description":"","custom_fields":[{"id":1,"name":"Subdivision","value":"EC"},{"id":4,"name":"Milepost","value":"23.3325"},{"id":17,"name":"Train ID","value":"205-17"},{"id":16,"name":"Locomotive ID","value":"4040"},{"id":130,"name":"Impact","value":""},{"id":150,"name":"Time of Event (Mountain Time)","value":"17:23:50"},{"id":151,"name":"Denver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10"/>
        <v>start /low /b %USERPROFILE%\Documents\GitHub\eaglep3\Utilities\DownloadLogsFromS3.py --loco 4040 --day 2017-05-17</v>
      </c>
      <c r="AN117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773</v>
      </c>
      <c r="B118" s="7">
        <v>4039</v>
      </c>
      <c r="C118" s="21" t="s">
        <v>206</v>
      </c>
      <c r="D118" s="21" t="s">
        <v>889</v>
      </c>
      <c r="E118" s="13">
        <v>42872.729641203703</v>
      </c>
      <c r="F118" s="13">
        <v>42872.736967592595</v>
      </c>
      <c r="G118" s="7">
        <v>1</v>
      </c>
      <c r="H118" s="21" t="s">
        <v>357</v>
      </c>
      <c r="I118" s="13">
        <v>42872.768240740741</v>
      </c>
      <c r="J118" s="7">
        <v>1</v>
      </c>
      <c r="K118" s="92" t="str">
        <f>IF(ISEVEN(B118),(B118-1)&amp;"/"&amp;B118,B118&amp;"/"&amp;(B118+1))</f>
        <v>4039/4040</v>
      </c>
      <c r="L118" s="21" t="str">
        <f>VLOOKUP(A118,'Trips&amp;Operators'!$C$1:$G$99999,5,FALSE)</f>
        <v>THOMPSON LESTER</v>
      </c>
      <c r="M118" s="6">
        <f>I118-F118</f>
        <v>3.1273148146283347E-2</v>
      </c>
      <c r="N118" s="7">
        <f>24*60*SUM($M118:$M118)</f>
        <v>45.03333333064802</v>
      </c>
      <c r="O118" s="7"/>
      <c r="P118" s="7"/>
      <c r="Q118" s="22"/>
      <c r="R118" s="190"/>
      <c r="S118" s="196">
        <f>SUM(U118:U118)/IF(AG118="EC",12,1)</f>
        <v>1</v>
      </c>
      <c r="T118" s="190" t="str">
        <f>IF(ISEVEN(LEFT(AD118,4)),"Southbound","NorthBound")</f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-05-17T16:30:41-0600',mode:absolute,to:'2017-05-17T19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8" s="192" t="str">
        <f>IF(AA118&lt;IF(AG118="EC",23,5.65),"Y","N")</f>
        <v>N</v>
      </c>
      <c r="X118" s="192">
        <f>VALUE(LEFT(AD118,4))-VALUE(LEFT(AD117,4))</f>
        <v>1</v>
      </c>
      <c r="Y118" s="192">
        <f>RIGHT(D118,LEN(D118)-4)/10000</f>
        <v>23.300799999999999</v>
      </c>
      <c r="Z118" s="192">
        <f>RIGHT(H118,LEN(H118)-4)/10000</f>
        <v>1.49E-2</v>
      </c>
      <c r="AA118" s="192">
        <f>ABS(Z118-Y118)</f>
        <v>23.285899999999998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0206-17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/stypes="app*4039*20170518*" /stext=" 00:.+((SYSTEM_STATE.+slice.+state.+changed )|(ment ac)|(multiple cpu faults)|(system.+state.+changed )|(\[timeout)|(PRM\|1\|D)|(kpr)|(kdp)|(train st.+moving)|(\|lc)|(penalty))"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8"/>
        <v>"%USERPROFILE%\Documents\GitHub\eaglep3\Utilities\RefineRTDCRunTimes.py" --tripid 206-17 --locoid 4039 --swversion DE.1.0.9.0 --startMP 204:233008 --initTime 2017-05-17T17:30:41 --startdatetime 2017-05-17T17:41:14 --delay 1 --endMP 204:149 --enddatetime 2017-05-17T18:26:16 --enforcementcount 1 &gt;&gt;C:\Users\stu\Documents\GitHub\eaglep3-reporting\EC\2017-05-17-refined-times.txt</v>
      </c>
      <c r="AI118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{"issue":{"subject":"","project_id":79,"tracker_id":40,"status_id":1,"priority_id":2,"assigned_to_id":23,"start_date":"2017-05-17","description":"","custom_fields":[{"id":1,"name":"Subdivision","value":"EC"},{"id":4,"name":"Milepost","value":"0.0149"},{"id":17,"name":"Train ID","value":"206-17"},{"id":16,"name":"Locomotive ID","value":"4039"},{"id":130,"name":"Impact","value":""},{"id":150,"name":"Time of Event (Mountain Time)","value":"18:26:16"},{"id":151,"name":"Denver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10"/>
        <v>start /low /b %USERPROFILE%\Documents\GitHub\eaglep3\Utilities\DownloadLogsFromS3.py --loco 4039 --day 2017-05-17</v>
      </c>
      <c r="AN118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765</v>
      </c>
      <c r="B119" s="7">
        <v>4046</v>
      </c>
      <c r="C119" s="21" t="s">
        <v>206</v>
      </c>
      <c r="D119" s="21" t="s">
        <v>474</v>
      </c>
      <c r="E119" s="13">
        <v>42872.704710648148</v>
      </c>
      <c r="F119" s="13">
        <v>42872.70853009259</v>
      </c>
      <c r="G119" s="7">
        <v>1</v>
      </c>
      <c r="H119" s="21" t="s">
        <v>475</v>
      </c>
      <c r="I119" s="13">
        <v>42872.734409722223</v>
      </c>
      <c r="J119" s="7">
        <v>1</v>
      </c>
      <c r="K119" s="92" t="str">
        <f>IF(ISEVEN(B119),(B119-1)&amp;"/"&amp;B119,B119&amp;"/"&amp;(B119+1))</f>
        <v>4045/4046</v>
      </c>
      <c r="L119" s="21" t="str">
        <f>VLOOKUP(A119,'Trips&amp;Operators'!$C$1:$G$99999,5,FALSE)</f>
        <v>HELVIE ADAM</v>
      </c>
      <c r="M119" s="6">
        <f>I119-F119</f>
        <v>2.587962963298196E-2</v>
      </c>
      <c r="N119" s="7">
        <f>24*60*SUM($M119:$M119)</f>
        <v>37.266666671494022</v>
      </c>
      <c r="O119" s="7"/>
      <c r="P119" s="7"/>
      <c r="Q119" s="22"/>
      <c r="R119" s="190"/>
      <c r="S119" s="196">
        <f>SUM(U119:U119)/IF(AG119="EC",12,1)</f>
        <v>1</v>
      </c>
      <c r="T119" s="190" t="str">
        <f>IF(ISEVEN(LEFT(AD119,4)),"Southbound","NorthBound")</f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-05-17T15:54:47-0600',mode:absolute,to:'2017-05-17T18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9" s="192" t="str">
        <f>IF(AA119&lt;IF(AG119="EC",23,5.65),"Y","N")</f>
        <v>N</v>
      </c>
      <c r="X119" s="192">
        <f>VALUE(LEFT(AD119,4))-VALUE(LEFT(AD118,4))</f>
        <v>1</v>
      </c>
      <c r="Y119" s="192">
        <f>RIGHT(D119,LEN(D119)-4)/10000</f>
        <v>4.6899999999999997E-2</v>
      </c>
      <c r="Z119" s="192">
        <f>RIGHT(H119,LEN(H119)-4)/10000</f>
        <v>23.330300000000001</v>
      </c>
      <c r="AA119" s="192">
        <f>ABS(Z119-Y119)</f>
        <v>23.2834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0207-17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s3://rtdc.mdm.uploadarchive.raw/RTDC4046/ "%USERPROFILE%\AppData\Local\Temp\OnboardLogs"\RTDC4046\2017-05-17 --exclude "*" --recursive --include "*20170517*" &amp; "%USERPROFILE%\Documents\GitHub\mrs-test-scripts\Headless Mode &amp; Sideloading\WalkAndUnGZ.bat" "%USERPROFILE%\AppData\Local\Temp\OnboardLogs"\RTDC4046\2017-05-17 &amp; aws s3 cp s3://rtdc.mdm.uploadarchive.raw/RTDC4046/ "%USERPROFILE%\AppData\Local\Temp\OnboardLogs"\RTDC4046\2017-05-18 --exclude "*" --recursive --include "*20170518*" &amp; "%USERPROFILE%\Documents\GitHub\mrs-test-scripts\Headless Mode &amp; Sideloading\WalkAndUnGZ.bat" "%USERPROFILE%\AppData\Local\Temp\OnboardLogs"\RTDC4046\2017-05-18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/stypes="app*4046*20170517*" /stext=" 23:.+((SYSTEM_STATE.+slice.+state.+changed )|(ment ac)|(multiple cpu faults)|(system.+state.+changed )|(\[timeout)|(PRM\|1\|D)|(kpr)|(kdp)|(train st.+moving)|(\|lc)|(penalty))"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8"/>
        <v>"%USERPROFILE%\Documents\GitHub\eaglep3\Utilities\RefineRTDCRunTimes.py" --tripid 207-17 --locoid 4046 --swversion DE.1.0.9.0 --startMP 204:469 --initTime 2017-05-17T16:54:47 --startdatetime 2017-05-17T17:00:17 --delay 1 --endMP 204:233303 --enddatetime 2017-05-17T17:37:33 --enforcementcount 1 &gt;&gt;C:\Users\stu\Documents\GitHub\eaglep3-reporting\EC\2017-05-17-refined-times.txt</v>
      </c>
      <c r="AI119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{"issue":{"subject":"","project_id":79,"tracker_id":40,"status_id":1,"priority_id":2,"assigned_to_id":23,"start_date":"2017-05-17","description":"","custom_fields":[{"id":1,"name":"Subdivision","value":"EC"},{"id":4,"name":"Milepost","value":"23.3303"},{"id":17,"name":"Train ID","value":"207-17"},{"id":16,"name":"Locomotive ID","value":"4046"},{"id":130,"name":"Impact","value":""},{"id":150,"name":"Time of Event (Mountain Time)","value":"17:37:33"},{"id":151,"name":"Denver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0"/>
        <v>start /low /b %USERPROFILE%\Documents\GitHub\eaglep3\Utilities\DownloadLogsFromS3.py --loco 4046 --day 2017-05-17</v>
      </c>
      <c r="AN119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775</v>
      </c>
      <c r="B120" s="7">
        <v>4045</v>
      </c>
      <c r="C120" s="21" t="s">
        <v>206</v>
      </c>
      <c r="D120" s="21" t="s">
        <v>481</v>
      </c>
      <c r="E120" s="13">
        <v>42872.745081018518</v>
      </c>
      <c r="F120" s="13">
        <v>42872.747384259259</v>
      </c>
      <c r="G120" s="7">
        <v>1</v>
      </c>
      <c r="H120" s="21" t="s">
        <v>888</v>
      </c>
      <c r="I120" s="13">
        <v>42872.774444444447</v>
      </c>
      <c r="J120" s="7">
        <v>1</v>
      </c>
      <c r="K120" s="92" t="str">
        <f>IF(ISEVEN(B120),(B120-1)&amp;"/"&amp;B120,B120&amp;"/"&amp;(B120+1))</f>
        <v>4045/4046</v>
      </c>
      <c r="L120" s="21" t="str">
        <f>VLOOKUP(A120,'Trips&amp;Operators'!$C$1:$G$99999,5,FALSE)</f>
        <v>HELVIE ADAM</v>
      </c>
      <c r="M120" s="6">
        <f>I120-F120</f>
        <v>2.7060185188020114E-2</v>
      </c>
      <c r="N120" s="7">
        <f>24*60*SUM($M120:$M120)</f>
        <v>38.966666670748964</v>
      </c>
      <c r="O120" s="7"/>
      <c r="P120" s="7"/>
      <c r="Q120" s="22"/>
      <c r="R120" s="190"/>
      <c r="S120" s="196">
        <f>SUM(U120:U120)/IF(AG120="EC",12,1)</f>
        <v>1</v>
      </c>
      <c r="T120" s="190" t="str">
        <f>IF(ISEVEN(LEFT(AD120,4)),"Southbound","NorthBound")</f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-05-17T16:52:55-0600',mode:absolute,to:'2017-05-17T19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0" s="192" t="str">
        <f>IF(AA120&lt;IF(AG120="EC",23,5.65),"Y","N")</f>
        <v>N</v>
      </c>
      <c r="X120" s="192">
        <f>VALUE(LEFT(AD120,4))-VALUE(LEFT(AD119,4))</f>
        <v>1</v>
      </c>
      <c r="Y120" s="192">
        <f>RIGHT(D120,LEN(D120)-4)/10000</f>
        <v>23.296900000000001</v>
      </c>
      <c r="Z120" s="192">
        <f>RIGHT(H120,LEN(H120)-4)/10000</f>
        <v>1.7000000000000001E-2</v>
      </c>
      <c r="AA120" s="192">
        <f>ABS(Z120-Y120)</f>
        <v>23.279900000000001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0208-17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s3://rtdc.mdm.uploadarchive.raw/RTDC4045/ "%USERPROFILE%\AppData\Local\Temp\OnboardLogs"\RTDC4045\2017-05-17 --exclude "*" --recursive --include "*20170517*" &amp; "%USERPROFILE%\Documents\GitHub\mrs-test-scripts\Headless Mode &amp; Sideloading\WalkAndUnGZ.bat" "%USERPROFILE%\AppData\Local\Temp\OnboardLogs"\RTDC4045\2017-05-17 &amp; aws s3 cp s3://rtdc.mdm.uploadarchive.raw/RTDC4045/ "%USERPROFILE%\AppData\Local\Temp\OnboardLogs"\RTDC4045\2017-05-18 --exclude "*" --recursive --include "*20170518*" &amp; "%USERPROFILE%\Documents\GitHub\mrs-test-scripts\Headless Mode &amp; Sideloading\WalkAndUnGZ.bat" "%USERPROFILE%\AppData\Local\Temp\OnboardLogs"\RTDC4045\2017-05-18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/stypes="app*4045*20170518*" /stext=" 00:.+((SYSTEM_STATE.+slice.+state.+changed )|(ment ac)|(multiple cpu faults)|(system.+state.+changed )|(\[timeout)|(PRM\|1\|D)|(kpr)|(kdp)|(train st.+moving)|(\|lc)|(penalty))"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si="8"/>
        <v>"%USERPROFILE%\Documents\GitHub\eaglep3\Utilities\RefineRTDCRunTimes.py" --tripid 208-17 --locoid 4045 --swversion DE.1.0.9.0 --startMP 204:232969 --initTime 2017-05-17T17:52:55 --startdatetime 2017-05-17T17:56:14 --delay 1 --endMP 204:170 --enddatetime 2017-05-17T18:35:12 --enforcementcount 1 &gt;&gt;C:\Users\stu\Documents\GitHub\eaglep3-reporting\EC\2017-05-17-refined-times.txt</v>
      </c>
      <c r="AI120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{"issue":{"subject":"","project_id":79,"tracker_id":40,"status_id":1,"priority_id":2,"assigned_to_id":23,"start_date":"2017-05-17","description":"","custom_fields":[{"id":1,"name":"Subdivision","value":"EC"},{"id":4,"name":"Milepost","value":"0.017"},{"id":17,"name":"Train ID","value":"208-17"},{"id":16,"name":"Locomotive ID","value":"4045"},{"id":130,"name":"Impact","value":""},{"id":150,"name":"Time of Event (Mountain Time)","value":"18:35:12"},{"id":151,"name":"Denver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10"/>
        <v>start /low /b %USERPROFILE%\Documents\GitHub\eaglep3\Utilities\DownloadLogsFromS3.py --loco 4045 --day 2017-05-17</v>
      </c>
      <c r="AN120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604</v>
      </c>
      <c r="B121" s="7">
        <v>4016</v>
      </c>
      <c r="C121" s="21" t="s">
        <v>206</v>
      </c>
      <c r="D121" s="21" t="s">
        <v>355</v>
      </c>
      <c r="E121" s="13">
        <v>42872.712372685186</v>
      </c>
      <c r="F121" s="13">
        <v>42872.719004629631</v>
      </c>
      <c r="G121" s="7">
        <v>2</v>
      </c>
      <c r="H121" s="21" t="s">
        <v>890</v>
      </c>
      <c r="I121" s="13">
        <v>42872.744675925926</v>
      </c>
      <c r="J121" s="7">
        <v>1</v>
      </c>
      <c r="K121" s="92" t="str">
        <f>IF(ISEVEN(B121),(B121-1)&amp;"/"&amp;B121,B121&amp;"/"&amp;(B121+1))</f>
        <v>4015/4016</v>
      </c>
      <c r="L121" s="21" t="str">
        <f>VLOOKUP(A121,'Trips&amp;Operators'!$C$1:$G$99999,5,FALSE)</f>
        <v>SWANSON BRYCE</v>
      </c>
      <c r="M121" s="6">
        <f>I121-F121</f>
        <v>2.5671296294603962E-2</v>
      </c>
      <c r="N121" s="7">
        <f>24*60*SUM($M121:$M121)</f>
        <v>36.966666664229706</v>
      </c>
      <c r="O121" s="7"/>
      <c r="P121" s="7"/>
      <c r="Q121" s="22"/>
      <c r="R121" s="190"/>
      <c r="S121" s="196">
        <f>SUM(U121:U121)/IF(AG121="EC",12,1)</f>
        <v>1</v>
      </c>
      <c r="T121" s="190" t="str">
        <f>IF(ISEVEN(LEFT(AD121,4)),"Southbound","NorthBound")</f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-05-17T16:05:49-0600',mode:absolute,to:'2017-05-17T18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192" t="str">
        <f>IF(AA121&lt;IF(AG121="EC",23,5.65),"Y","N")</f>
        <v>N</v>
      </c>
      <c r="X121" s="192">
        <f>VALUE(LEFT(AD121,4))-VALUE(LEFT(AD120,4))</f>
        <v>1</v>
      </c>
      <c r="Y121" s="192">
        <f>RIGHT(D121,LEN(D121)-4)/10000</f>
        <v>4.58E-2</v>
      </c>
      <c r="Z121" s="192">
        <f>RIGHT(H121,LEN(H121)-4)/10000</f>
        <v>23.337599999999998</v>
      </c>
      <c r="AA121" s="192">
        <f>ABS(Z121-Y121)</f>
        <v>23.291799999999999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0209-17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/stypes="app*4016*20170517*" /stext=" 23:.+((SYSTEM_STATE.+slice.+state.+changed )|(ment ac)|(multiple cpu faults)|(system.+state.+changed )|(\[timeout)|(PRM\|1\|D)|(kpr)|(kdp)|(train st.+moving)|(\|lc)|(penalty))"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8"/>
        <v>"%USERPROFILE%\Documents\GitHub\eaglep3\Utilities\RefineRTDCRunTimes.py" --tripid 209-17 --locoid 4016 --swversion DE.1.0.9.0 --startMP 204:458 --initTime 2017-05-17T17:05:49 --startdatetime 2017-05-17T17:15:22 --delay 2 --endMP 204:233376 --enddatetime 2017-05-17T17:52:20 --enforcementcount 1 &gt;&gt;C:\Users\stu\Documents\GitHub\eaglep3-reporting\EC\2017-05-17-refined-times.txt</v>
      </c>
      <c r="AI121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{"issue":{"subject":"","project_id":79,"tracker_id":40,"status_id":1,"priority_id":2,"assigned_to_id":23,"start_date":"2017-05-17","description":"","custom_fields":[{"id":1,"name":"Subdivision","value":"EC"},{"id":4,"name":"Milepost","value":"23.3376"},{"id":17,"name":"Train ID","value":"209-17"},{"id":16,"name":"Locomotive ID","value":"4016"},{"id":130,"name":"Impact","value":""},{"id":150,"name":"Time of Event (Mountain Time)","value":"17:52:20"},{"id":151,"name":"Denver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0"/>
        <v>start /low /b %USERPROFILE%\Documents\GitHub\eaglep3\Utilities\DownloadLogsFromS3.py --loco 4016 --day 2017-05-17</v>
      </c>
      <c r="AN121" s="154" t="str">
        <f t="shared" si="11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778</v>
      </c>
      <c r="B122" s="7">
        <v>4015</v>
      </c>
      <c r="C122" s="21" t="s">
        <v>206</v>
      </c>
      <c r="D122" s="21" t="s">
        <v>891</v>
      </c>
      <c r="E122" s="13">
        <v>42872.754594907405</v>
      </c>
      <c r="F122" s="13">
        <v>42872.758043981485</v>
      </c>
      <c r="G122" s="7">
        <v>1</v>
      </c>
      <c r="H122" s="21" t="s">
        <v>888</v>
      </c>
      <c r="I122" s="13">
        <v>42872.789236111108</v>
      </c>
      <c r="J122" s="7">
        <v>1</v>
      </c>
      <c r="K122" s="92" t="str">
        <f>IF(ISEVEN(B122),(B122-1)&amp;"/"&amp;B122,B122&amp;"/"&amp;(B122+1))</f>
        <v>4015/4016</v>
      </c>
      <c r="L122" s="21" t="str">
        <f>VLOOKUP(A122,'Trips&amp;Operators'!$C$1:$G$99999,5,FALSE)</f>
        <v>SWANSON BRYCE</v>
      </c>
      <c r="M122" s="6">
        <f>I122-F122</f>
        <v>3.1192129623377696E-2</v>
      </c>
      <c r="N122" s="7">
        <f>24*60*SUM($M122:$M122)</f>
        <v>44.916666657663882</v>
      </c>
      <c r="O122" s="7"/>
      <c r="P122" s="7"/>
      <c r="Q122" s="22"/>
      <c r="R122" s="190"/>
      <c r="S122" s="196">
        <f>SUM(U122:U122)/IF(AG122="EC",12,1)</f>
        <v>1</v>
      </c>
      <c r="T122" s="190" t="str">
        <f>IF(ISEVEN(LEFT(AD122,4)),"Southbound","NorthBound")</f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-05-17T17:06:37-0600',mode:absolute,to:'2017-05-17T19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192" t="str">
        <f>IF(AA122&lt;IF(AG122="EC",23,5.65),"Y","N")</f>
        <v>N</v>
      </c>
      <c r="X122" s="192">
        <f>VALUE(LEFT(AD122,4))-VALUE(LEFT(AD121,4))</f>
        <v>1</v>
      </c>
      <c r="Y122" s="192">
        <f>RIGHT(D122,LEN(D122)-4)/10000</f>
        <v>23.3062</v>
      </c>
      <c r="Z122" s="192">
        <f>RIGHT(H122,LEN(H122)-4)/10000</f>
        <v>1.7000000000000001E-2</v>
      </c>
      <c r="AA122" s="192">
        <f>ABS(Z122-Y122)</f>
        <v>23.289200000000001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>IF(LEN(A122)=6,"0"&amp;A122,A122)</f>
        <v>0210-17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s3://rtdc.mdm.uploadarchive.raw/RTDC4015/ "%USERPROFILE%\AppData\Local\Temp\OnboardLogs"\RTDC4015\2017-05-17 --exclude "*" --recursive --include "*20170517*" &amp; "%USERPROFILE%\Documents\GitHub\mrs-test-scripts\Headless Mode &amp; Sideloading\WalkAndUnGZ.bat" "%USERPROFILE%\AppData\Local\Temp\OnboardLogs"\RTDC4015\2017-05-17 &amp; aws s3 cp s3://rtdc.mdm.uploadarchive.raw/RTDC4015/ "%USERPROFILE%\AppData\Local\Temp\OnboardLogs"\RTDC4015\2017-05-18 --exclude "*" --recursive --include "*20170518*" &amp; "%USERPROFILE%\Documents\GitHub\mrs-test-scripts\Headless Mode &amp; Sideloading\WalkAndUnGZ.bat" "%USERPROFILE%\AppData\Local\Temp\OnboardLogs"\RTDC4015\2017-05-18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/stypes="app*4015*20170518*" /stext=" 00:.+((SYSTEM_STATE.+slice.+state.+changed )|(ment ac)|(multiple cpu faults)|(system.+state.+changed )|(\[timeout)|(PRM\|1\|D)|(kpr)|(kdp)|(train st.+moving)|(\|lc)|(penalty))"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8"/>
        <v>"%USERPROFILE%\Documents\GitHub\eaglep3\Utilities\RefineRTDCRunTimes.py" --tripid 210-17 --locoid 4015 --swversion DE.1.0.9.0 --startMP 204:233062 --initTime 2017-05-17T18:06:37 --startdatetime 2017-05-17T18:11:35 --delay 1 --endMP 204:170 --enddatetime 2017-05-17T18:56:30 --enforcementcount 1 &gt;&gt;C:\Users\stu\Documents\GitHub\eaglep3-reporting\EC\2017-05-17-refined-times.txt</v>
      </c>
      <c r="AI122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{"issue":{"subject":"","project_id":79,"tracker_id":40,"status_id":1,"priority_id":2,"assigned_to_id":23,"start_date":"2017-05-17","description":"","custom_fields":[{"id":1,"name":"Subdivision","value":"EC"},{"id":4,"name":"Milepost","value":"0.017"},{"id":17,"name":"Train ID","value":"210-17"},{"id":16,"name":"Locomotive ID","value":"4015"},{"id":130,"name":"Impact","value":""},{"id":150,"name":"Time of Event (Mountain Time)","value":"18:56:30"},{"id":151,"name":"Denver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0"/>
        <v>start /low /b %USERPROFILE%\Documents\GitHub\eaglep3\Utilities\DownloadLogsFromS3.py --loco 4015 --day 2017-05-17</v>
      </c>
      <c r="AN122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772</v>
      </c>
      <c r="B123" s="7">
        <v>4030</v>
      </c>
      <c r="C123" s="21" t="s">
        <v>206</v>
      </c>
      <c r="D123" s="21" t="s">
        <v>871</v>
      </c>
      <c r="E123" s="13">
        <v>42872.726145833331</v>
      </c>
      <c r="F123" s="13">
        <v>42872.729444444441</v>
      </c>
      <c r="G123" s="7">
        <v>2</v>
      </c>
      <c r="H123" s="21" t="s">
        <v>892</v>
      </c>
      <c r="I123" s="13">
        <v>42872.754675925928</v>
      </c>
      <c r="J123" s="7">
        <v>1</v>
      </c>
      <c r="K123" s="92" t="str">
        <f>IF(ISEVEN(B123),(B123-1)&amp;"/"&amp;B123,B123&amp;"/"&amp;(B123+1))</f>
        <v>4029/4030</v>
      </c>
      <c r="L123" s="21" t="str">
        <f>VLOOKUP(A123,'Trips&amp;Operators'!$C$1:$G$99999,5,FALSE)</f>
        <v>LAMAR NEKESHA</v>
      </c>
      <c r="M123" s="6">
        <f>I123-F123</f>
        <v>2.5231481486116536E-2</v>
      </c>
      <c r="N123" s="7">
        <f>24*60*SUM($M123:$M123)</f>
        <v>36.333333340007812</v>
      </c>
      <c r="O123" s="7"/>
      <c r="P123" s="7"/>
      <c r="Q123" s="22"/>
      <c r="R123" s="190"/>
      <c r="S123" s="196">
        <f>SUM(U123:U123)/IF(AG123="EC",12,1)</f>
        <v>1</v>
      </c>
      <c r="T123" s="190" t="str">
        <f>IF(ISEVEN(LEFT(AD123,4)),"Southbound","NorthBound")</f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-05-17T16:25:39-0600',mode:absolute,to:'2017-05-17T19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3" s="192" t="str">
        <f>IF(AA123&lt;IF(AG123="EC",23,5.65),"Y","N")</f>
        <v>N</v>
      </c>
      <c r="X123" s="192">
        <f>VALUE(LEFT(AD123,4))-VALUE(LEFT(AD122,4))</f>
        <v>1</v>
      </c>
      <c r="Y123" s="192">
        <f>RIGHT(D123,LEN(D123)-4)/10000</f>
        <v>4.3799999999999999E-2</v>
      </c>
      <c r="Z123" s="192">
        <f>RIGHT(H123,LEN(H123)-4)/10000</f>
        <v>23.334299999999999</v>
      </c>
      <c r="AA123" s="192">
        <f>ABS(Z123-Y123)</f>
        <v>23.290499999999998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0211-17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s3://rtdc.mdm.uploadarchive.raw/RTDC4030/ "%USERPROFILE%\AppData\Local\Temp\OnboardLogs"\RTDC4030\2017-05-17 --exclude "*" --recursive --include "*20170517*" &amp; "%USERPROFILE%\Documents\GitHub\mrs-test-scripts\Headless Mode &amp; Sideloading\WalkAndUnGZ.bat" "%USERPROFILE%\AppData\Local\Temp\OnboardLogs"\RTDC4030\2017-05-17 &amp; 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/stypes="app*4030*20170518*" /stext=" 00:.+((SYSTEM_STATE.+slice.+state.+changed )|(ment ac)|(multiple cpu faults)|(system.+state.+changed )|(\[timeout)|(PRM\|1\|D)|(kpr)|(kdp)|(train st.+moving)|(\|lc)|(penalty))"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8"/>
        <v>"%USERPROFILE%\Documents\GitHub\eaglep3\Utilities\RefineRTDCRunTimes.py" --tripid 211-17 --locoid 4030 --swversion DE.1.0.9.0 --startMP 204:438 --initTime 2017-05-17T17:25:39 --startdatetime 2017-05-17T17:30:24 --delay 2 --endMP 204:233343 --enddatetime 2017-05-17T18:06:44 --enforcementcount 1 &gt;&gt;C:\Users\stu\Documents\GitHub\eaglep3-reporting\EC\2017-05-17-refined-times.txt</v>
      </c>
      <c r="AI123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{"issue":{"subject":"","project_id":79,"tracker_id":40,"status_id":1,"priority_id":2,"assigned_to_id":23,"start_date":"2017-05-17","description":"","custom_fields":[{"id":1,"name":"Subdivision","value":"EC"},{"id":4,"name":"Milepost","value":"23.3343"},{"id":17,"name":"Train ID","value":"211-17"},{"id":16,"name":"Locomotive ID","value":"4030"},{"id":130,"name":"Impact","value":""},{"id":150,"name":"Time of Event (Mountain Time)","value":"18:06:44"},{"id":151,"name":"Denver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0"/>
        <v>start /low /b %USERPROFILE%\Documents\GitHub\eaglep3\Utilities\DownloadLogsFromS3.py --loco 4030 --day 2017-05-17</v>
      </c>
      <c r="AN123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781</v>
      </c>
      <c r="B124" s="7">
        <v>4029</v>
      </c>
      <c r="C124" s="21" t="s">
        <v>206</v>
      </c>
      <c r="D124" s="21" t="s">
        <v>552</v>
      </c>
      <c r="E124" s="13">
        <v>42872.762118055558</v>
      </c>
      <c r="F124" s="13">
        <v>42872.770266203705</v>
      </c>
      <c r="G124" s="7">
        <v>2</v>
      </c>
      <c r="H124" s="21" t="s">
        <v>893</v>
      </c>
      <c r="I124" s="13">
        <v>42872.800428240742</v>
      </c>
      <c r="J124" s="7">
        <v>1</v>
      </c>
      <c r="K124" s="92" t="str">
        <f>IF(ISEVEN(B124),(B124-1)&amp;"/"&amp;B124,B124&amp;"/"&amp;(B124+1))</f>
        <v>4029/4030</v>
      </c>
      <c r="L124" s="21" t="str">
        <f>VLOOKUP(A124,'Trips&amp;Operators'!$C$1:$G$99999,5,FALSE)</f>
        <v>LAMAR NEKESHA</v>
      </c>
      <c r="M124" s="6">
        <f>I124-F124</f>
        <v>3.0162037037371192E-2</v>
      </c>
      <c r="N124" s="7">
        <f>24*60*SUM($M124:$M124)</f>
        <v>43.433333333814517</v>
      </c>
      <c r="O124" s="7"/>
      <c r="P124" s="7"/>
      <c r="Q124" s="22"/>
      <c r="R124" s="190"/>
      <c r="S124" s="196">
        <f>SUM(U124:U124)/IF(AG124="EC",12,1)</f>
        <v>1</v>
      </c>
      <c r="T124" s="190" t="str">
        <f>IF(ISEVEN(LEFT(AD124,4)),"Southbound","NorthBound")</f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-05-17T17:17:27-0600',mode:absolute,to:'2017-05-17T20:12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4" s="192" t="str">
        <f>IF(AA124&lt;IF(AG124="EC",23,5.65),"Y","N")</f>
        <v>N</v>
      </c>
      <c r="X124" s="192">
        <f>VALUE(LEFT(AD124,4))-VALUE(LEFT(AD123,4))</f>
        <v>1</v>
      </c>
      <c r="Y124" s="192">
        <f>RIGHT(D124,LEN(D124)-4)/10000</f>
        <v>23.300699999999999</v>
      </c>
      <c r="Z124" s="192">
        <f>RIGHT(H124,LEN(H124)-4)/10000</f>
        <v>1.78E-2</v>
      </c>
      <c r="AA124" s="192">
        <f>ABS(Z124-Y124)</f>
        <v>23.282899999999998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0212-17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/stypes="app*4029*20170518*" /stext=" 01:.+((SYSTEM_STATE.+slice.+state.+changed )|(ment ac)|(multiple cpu faults)|(system.+state.+changed )|(\[timeout)|(PRM\|1\|D)|(kpr)|(kdp)|(train st.+moving)|(\|lc)|(penalty))"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8"/>
        <v>"%USERPROFILE%\Documents\GitHub\eaglep3\Utilities\RefineRTDCRunTimes.py" --tripid 212-17 --locoid 4029 --swversion DE.1.0.9.0 --startMP 204:233007 --initTime 2017-05-17T18:17:27 --startdatetime 2017-05-17T18:29:11 --delay 2 --endMP 204:178 --enddatetime 2017-05-17T19:12:37 --enforcementcount 1 &gt;&gt;C:\Users\stu\Documents\GitHub\eaglep3-reporting\EC\2017-05-17-refined-times.txt</v>
      </c>
      <c r="AI124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{"issue":{"subject":"","project_id":79,"tracker_id":40,"status_id":1,"priority_id":2,"assigned_to_id":23,"start_date":"2017-05-17","description":"","custom_fields":[{"id":1,"name":"Subdivision","value":"EC"},{"id":4,"name":"Milepost","value":"0.0178"},{"id":17,"name":"Train ID","value":"212-17"},{"id":16,"name":"Locomotive ID","value":"4029"},{"id":130,"name":"Impact","value":""},{"id":150,"name":"Time of Event (Mountain Time)","value":"19:12:37"},{"id":151,"name":"Denver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0"/>
        <v>start /low /b %USERPROFILE%\Documents\GitHub\eaglep3\Utilities\DownloadLogsFromS3.py --loco 4029 --day 2017-05-17</v>
      </c>
      <c r="AN124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01:12:37"},{"id":29,"name":"Sharepoint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603</v>
      </c>
      <c r="B125" s="7">
        <v>4042</v>
      </c>
      <c r="C125" s="21" t="s">
        <v>206</v>
      </c>
      <c r="D125" s="21" t="s">
        <v>359</v>
      </c>
      <c r="E125" s="13">
        <v>42872.738576388889</v>
      </c>
      <c r="F125" s="13">
        <v>42872.740115740744</v>
      </c>
      <c r="G125" s="7">
        <v>1</v>
      </c>
      <c r="H125" s="21" t="s">
        <v>532</v>
      </c>
      <c r="I125" s="13">
        <v>42872.764664351853</v>
      </c>
      <c r="J125" s="7">
        <v>1</v>
      </c>
      <c r="K125" s="92" t="str">
        <f>IF(ISEVEN(B125),(B125-1)&amp;"/"&amp;B125,B125&amp;"/"&amp;(B125+1))</f>
        <v>4041/4042</v>
      </c>
      <c r="L125" s="21" t="str">
        <f>VLOOKUP(A125,'Trips&amp;Operators'!$C$1:$G$99999,5,FALSE)</f>
        <v>BIRENBAUM THOMAS</v>
      </c>
      <c r="M125" s="6">
        <f>I125-F125</f>
        <v>2.4548611108912155E-2</v>
      </c>
      <c r="N125" s="7">
        <f>24*60*SUM($M125:$M125)</f>
        <v>35.349999996833503</v>
      </c>
      <c r="O125" s="7"/>
      <c r="P125" s="7"/>
      <c r="Q125" s="22"/>
      <c r="R125" s="190"/>
      <c r="S125" s="196">
        <f>SUM(U125:U125)/IF(AG125="EC",12,1)</f>
        <v>1</v>
      </c>
      <c r="T125" s="190" t="str">
        <f>IF(ISEVEN(LEFT(AD125,4)),"Southbound","NorthBound")</f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-05-17T16:43:33-0600',mode:absolute,to:'2017-05-17T19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5" s="192" t="str">
        <f>IF(AA125&lt;IF(AG125="EC",23,5.65),"Y","N")</f>
        <v>N</v>
      </c>
      <c r="X125" s="192">
        <f>VALUE(LEFT(AD125,4))-VALUE(LEFT(AD124,4))</f>
        <v>1</v>
      </c>
      <c r="Y125" s="192">
        <f>RIGHT(D125,LEN(D125)-4)/10000</f>
        <v>4.6600000000000003E-2</v>
      </c>
      <c r="Z125" s="192">
        <f>RIGHT(H125,LEN(H125)-4)/10000</f>
        <v>23.331</v>
      </c>
      <c r="AA125" s="192">
        <f>ABS(Z125-Y125)</f>
        <v>23.284399999999998</v>
      </c>
      <c r="AB125" s="57" t="str">
        <f>VLOOKUP(A125,Enforcements!$C$7:$K$13,8,0)</f>
        <v>Bulletin (2)</v>
      </c>
      <c r="AC125" s="53" t="str">
        <f>VLOOKUP(A125,Enforcements!$C$7:$E$13,3,0)</f>
        <v>GRADE CROSSING</v>
      </c>
      <c r="AD125" s="54" t="str">
        <f>IF(LEN(A125)=6,"0"&amp;A125,A125)</f>
        <v>0213-17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/stypes="app*4042*20170518*" /stext=" 00:.+((SYSTEM_STATE.+slice.+state.+changed )|(ment ac)|(multiple cpu faults)|(system.+state.+changed )|(\[timeout)|(PRM\|1\|D)|(kpr)|(kdp)|(train st.+moving)|(\|lc)|(penalty))"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8"/>
        <v>"%USERPROFILE%\Documents\GitHub\eaglep3\Utilities\RefineRTDCRunTimes.py" --tripid 213-17 --locoid 4042 --swversion DE.1.0.9.0 --startMP 204:466 --initTime 2017-05-17T17:43:33 --startdatetime 2017-05-17T17:45:46 --delay 1 --endMP 204:233310 --enddatetime 2017-05-17T18:21:07 --enforcementcount 1 &gt;&gt;C:\Users\stu\Documents\GitHub\eaglep3-reporting\EC\2017-05-17-refined-times.txt</v>
      </c>
      <c r="AI125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{"issue":{"subject":"","project_id":79,"tracker_id":40,"status_id":1,"priority_id":2,"assigned_to_id":23,"start_date":"2017-05-17","description":"","custom_fields":[{"id":1,"name":"Subdivision","value":"EC"},{"id":4,"name":"Milepost","value":"23.331"},{"id":17,"name":"Train ID","value":"213-17"},{"id":16,"name":"Locomotive ID","value":"4042"},{"id":130,"name":"Impact","value":""},{"id":150,"name":"Time of Event (Mountain Time)","value":"18:21:07"},{"id":151,"name":"Denver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10"/>
        <v>start /low /b %USERPROFILE%\Documents\GitHub\eaglep3\Utilities\DownloadLogsFromS3.py --loco 4042 --day 2017-05-17</v>
      </c>
      <c r="AN125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782</v>
      </c>
      <c r="B126" s="7">
        <v>4041</v>
      </c>
      <c r="C126" s="21" t="s">
        <v>206</v>
      </c>
      <c r="D126" s="21" t="s">
        <v>855</v>
      </c>
      <c r="E126" s="13">
        <v>42872.774143518516</v>
      </c>
      <c r="F126" s="13">
        <v>42872.778622685182</v>
      </c>
      <c r="G126" s="7">
        <v>1</v>
      </c>
      <c r="H126" s="21" t="s">
        <v>198</v>
      </c>
      <c r="I126" s="13">
        <v>42872.80810185185</v>
      </c>
      <c r="J126" s="7">
        <v>1</v>
      </c>
      <c r="K126" s="92" t="str">
        <f>IF(ISEVEN(B126),(B126-1)&amp;"/"&amp;B126,B126&amp;"/"&amp;(B126+1))</f>
        <v>4041/4042</v>
      </c>
      <c r="L126" s="21" t="str">
        <f>VLOOKUP(A126,'Trips&amp;Operators'!$C$1:$G$99999,5,FALSE)</f>
        <v>BIRENBAUM THOMAS</v>
      </c>
      <c r="M126" s="6">
        <f>I126-F126</f>
        <v>2.9479166667442769E-2</v>
      </c>
      <c r="N126" s="7">
        <f>24*60*SUM($M126:$M126)</f>
        <v>42.450000001117587</v>
      </c>
      <c r="O126" s="7"/>
      <c r="P126" s="7"/>
      <c r="Q126" s="22"/>
      <c r="R126" s="190"/>
      <c r="S126" s="196">
        <f>SUM(U126:U126)/IF(AG126="EC",12,1)</f>
        <v>1</v>
      </c>
      <c r="T126" s="190" t="str">
        <f>IF(ISEVEN(LEFT(AD126,4)),"Southbound","NorthBound")</f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-05-17T17:34:46-0600',mode:absolute,to:'2017-05-17T20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6" s="192" t="str">
        <f>IF(AA126&lt;IF(AG126="EC",23,5.65),"Y","N")</f>
        <v>N</v>
      </c>
      <c r="X126" s="192">
        <f>VALUE(LEFT(AD126,4))-VALUE(LEFT(AD125,4))</f>
        <v>1</v>
      </c>
      <c r="Y126" s="192">
        <f>RIGHT(D126,LEN(D126)-4)/10000</f>
        <v>23.299099999999999</v>
      </c>
      <c r="Z126" s="192">
        <f>RIGHT(H126,LEN(H126)-4)/10000</f>
        <v>1.5800000000000002E-2</v>
      </c>
      <c r="AA126" s="192">
        <f>ABS(Z126-Y126)</f>
        <v>23.283300000000001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>IF(LEN(A126)=6,"0"&amp;A126,A126)</f>
        <v>0214-17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 &amp; aws s3 cp s3://rtdc.mdm.uploadarchive.raw/RTDC4041/ "%USERPROFILE%\AppData\Local\Temp\OnboardLogs"\RTDC4041\2017-05-18 --exclude "*" --recursive --include "*20170518*" &amp; "%USERPROFILE%\Documents\GitHub\mrs-test-scripts\Headless Mode &amp; Sideloading\WalkAndUnGZ.bat" "%USERPROFILE%\AppData\Local\Temp\OnboardLogs"\RTDC4041\2017-05-18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/stypes="app*4041*20170518*" /stext=" 01:.+((SYSTEM_STATE.+slice.+state.+changed )|(ment ac)|(multiple cpu faults)|(system.+state.+changed )|(\[timeout)|(PRM\|1\|D)|(kpr)|(kdp)|(train st.+moving)|(\|lc)|(penalty))"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8"/>
        <v>"%USERPROFILE%\Documents\GitHub\eaglep3\Utilities\RefineRTDCRunTimes.py" --tripid 214-17 --locoid 4041 --swversion DE.1.0.9.0 --startMP 204:232991 --initTime 2017-05-17T18:34:46 --startdatetime 2017-05-17T18:41:13 --delay 1 --endMP 204:158 --enddatetime 2017-05-17T19:23:40 --enforcementcount 1 &gt;&gt;C:\Users\stu\Documents\GitHub\eaglep3-reporting\EC\2017-05-17-refined-times.txt</v>
      </c>
      <c r="AI126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{"issue":{"subject":"","project_id":79,"tracker_id":40,"status_id":1,"priority_id":2,"assigned_to_id":23,"start_date":"2017-05-17","description":"","custom_fields":[{"id":1,"name":"Subdivision","value":"EC"},{"id":4,"name":"Milepost","value":"0.0158"},{"id":17,"name":"Train ID","value":"214-17"},{"id":16,"name":"Locomotive ID","value":"4041"},{"id":130,"name":"Impact","value":""},{"id":150,"name":"Time of Event (Mountain Time)","value":"19:23:40"},{"id":151,"name":"Denver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0"/>
        <v>start /low /b %USERPROFILE%\Documents\GitHub\eaglep3\Utilities\DownloadLogsFromS3.py --loco 4041 --day 2017-05-17</v>
      </c>
      <c r="AN126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776</v>
      </c>
      <c r="B127" s="7">
        <v>4012</v>
      </c>
      <c r="C127" s="21" t="s">
        <v>206</v>
      </c>
      <c r="D127" s="21" t="s">
        <v>543</v>
      </c>
      <c r="E127" s="13">
        <v>42872.74695601852</v>
      </c>
      <c r="F127" s="13">
        <v>42872.750173611108</v>
      </c>
      <c r="G127" s="7">
        <v>2</v>
      </c>
      <c r="H127" s="21" t="s">
        <v>894</v>
      </c>
      <c r="I127" s="13">
        <v>42872.779537037037</v>
      </c>
      <c r="J127" s="7">
        <v>1</v>
      </c>
      <c r="K127" s="92" t="str">
        <f>IF(ISEVEN(B127),(B127-1)&amp;"/"&amp;B127,B127&amp;"/"&amp;(B127+1))</f>
        <v>4011/4012</v>
      </c>
      <c r="L127" s="21" t="str">
        <f>VLOOKUP(A127,'Trips&amp;Operators'!$C$1:$G$99999,5,FALSE)</f>
        <v>ZEWDU DEREJE</v>
      </c>
      <c r="M127" s="6">
        <f>I127-F127</f>
        <v>2.9363425928750075E-2</v>
      </c>
      <c r="N127" s="7">
        <f>24*60*SUM($M127:$M127)</f>
        <v>42.283333337400109</v>
      </c>
      <c r="O127" s="7"/>
      <c r="P127" s="7"/>
      <c r="Q127" s="22"/>
      <c r="R127" s="190"/>
      <c r="S127" s="196">
        <f>SUM(U127:U127)/IF(AG127="EC",12,1)</f>
        <v>1</v>
      </c>
      <c r="T127" s="190" t="str">
        <f>IF(ISEVEN(LEFT(AD127,4)),"Southbound","NorthBound")</f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-05-17T16:55:37-0600',mode:absolute,to:'2017-05-17T19:42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7" s="192" t="str">
        <f>IF(AA127&lt;IF(AG127="EC",23,5.65),"Y","N")</f>
        <v>N</v>
      </c>
      <c r="X127" s="192">
        <f>VALUE(LEFT(AD127,4))-VALUE(LEFT(AD126,4))</f>
        <v>1</v>
      </c>
      <c r="Y127" s="192">
        <f>RIGHT(D127,LEN(D127)-4)/10000</f>
        <v>4.4200000000000003E-2</v>
      </c>
      <c r="Z127" s="192">
        <f>RIGHT(H127,LEN(H127)-4)/10000</f>
        <v>23.334700000000002</v>
      </c>
      <c r="AA127" s="192">
        <f>ABS(Z127-Y127)</f>
        <v>23.290500000000002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0215-17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s3://rtdc.mdm.uploadarchive.raw/RTDC4012/ "%USERPROFILE%\AppData\Local\Temp\OnboardLogs"\RTDC4012\2017-05-17 --exclude "*" --recursive --include "*20170517*" &amp; "%USERPROFILE%\Documents\GitHub\mrs-test-scripts\Headless Mode &amp; Sideloading\WalkAndUnGZ.bat" "%USERPROFILE%\AppData\Local\Temp\OnboardLogs"\RTDC4012\2017-05-17 &amp; 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/stypes="app*4012*20170518*" /stext=" 00:.+((SYSTEM_STATE.+slice.+state.+changed )|(ment ac)|(multiple cpu faults)|(system.+state.+changed )|(\[timeout)|(PRM\|1\|D)|(kpr)|(kdp)|(train st.+moving)|(\|lc)|(penalty))"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8"/>
        <v>"%USERPROFILE%\Documents\GitHub\eaglep3\Utilities\RefineRTDCRunTimes.py" --tripid 215-17 --locoid 4012 --swversion DE.1.0.9.0 --startMP 204:442 --initTime 2017-05-17T17:55:37 --startdatetime 2017-05-17T18:00:15 --delay 2 --endMP 204:233347 --enddatetime 2017-05-17T18:42:32 --enforcementcount 1 &gt;&gt;C:\Users\stu\Documents\GitHub\eaglep3-reporting\EC\2017-05-17-refined-times.txt</v>
      </c>
      <c r="AI127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{"issue":{"subject":"","project_id":79,"tracker_id":40,"status_id":1,"priority_id":2,"assigned_to_id":23,"start_date":"2017-05-17","description":"","custom_fields":[{"id":1,"name":"Subdivision","value":"EC"},{"id":4,"name":"Milepost","value":"23.3347"},{"id":17,"name":"Train ID","value":"215-17"},{"id":16,"name":"Locomotive ID","value":"4012"},{"id":130,"name":"Impact","value":""},{"id":150,"name":"Time of Event (Mountain Time)","value":"18:42:32"},{"id":151,"name":"Denver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0"/>
        <v>start /low /b %USERPROFILE%\Documents\GitHub\eaglep3\Utilities\DownloadLogsFromS3.py --loco 4012 --day 2017-05-17</v>
      </c>
      <c r="AN127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00:42:32"},{"id":29,"name":"Sharepoint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785</v>
      </c>
      <c r="B128" s="7">
        <v>4011</v>
      </c>
      <c r="C128" s="21" t="s">
        <v>206</v>
      </c>
      <c r="D128" s="21" t="s">
        <v>849</v>
      </c>
      <c r="E128" s="13">
        <v>42872.784895833334</v>
      </c>
      <c r="F128" s="13">
        <v>42872.79042824074</v>
      </c>
      <c r="G128" s="7">
        <v>1</v>
      </c>
      <c r="H128" s="21" t="s">
        <v>197</v>
      </c>
      <c r="I128" s="13">
        <v>42872.820520833331</v>
      </c>
      <c r="J128" s="7">
        <v>1</v>
      </c>
      <c r="K128" s="92" t="str">
        <f>IF(ISEVEN(B128),(B128-1)&amp;"/"&amp;B128,B128&amp;"/"&amp;(B128+1))</f>
        <v>4011/4012</v>
      </c>
      <c r="L128" s="21" t="str">
        <f>VLOOKUP(A128,'Trips&amp;Operators'!$C$1:$G$99999,5,FALSE)</f>
        <v>ZEWDU DEREJE</v>
      </c>
      <c r="M128" s="6">
        <f>I128-F128</f>
        <v>3.0092592591245193E-2</v>
      </c>
      <c r="N128" s="7">
        <f>24*60*SUM($M128:$M128)</f>
        <v>43.333333331393078</v>
      </c>
      <c r="O128" s="7"/>
      <c r="P128" s="7"/>
      <c r="Q128" s="22"/>
      <c r="R128" s="190"/>
      <c r="S128" s="196">
        <f>SUM(U128:U128)/IF(AG128="EC",12,1)</f>
        <v>1</v>
      </c>
      <c r="T128" s="190" t="str">
        <f>IF(ISEVEN(LEFT(AD128,4)),"Southbound","NorthBound")</f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-05-17T17:50:15-0600',mode:absolute,to:'2017-05-17T20:41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8" s="192" t="str">
        <f>IF(AA128&lt;IF(AG128="EC",23,5.65),"Y","N")</f>
        <v>N</v>
      </c>
      <c r="X128" s="192">
        <f>VALUE(LEFT(AD128,4))-VALUE(LEFT(AD127,4))</f>
        <v>1</v>
      </c>
      <c r="Y128" s="192">
        <f>RIGHT(D128,LEN(D128)-4)/10000</f>
        <v>23.302499999999998</v>
      </c>
      <c r="Z128" s="192">
        <f>RIGHT(H128,LEN(H128)-4)/10000</f>
        <v>1.52E-2</v>
      </c>
      <c r="AA128" s="192">
        <f>ABS(Z128-Y128)</f>
        <v>23.287299999999998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0216-17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s3://rtdc.mdm.uploadarchive.raw/RTDC4011/ "%USERPROFILE%\AppData\Local\Temp\OnboardLogs"\RTDC4011\2017-05-17 --exclude "*" --recursive --include "*20170517*" &amp; "%USERPROFILE%\Documents\GitHub\mrs-test-scripts\Headless Mode &amp; Sideloading\WalkAndUnGZ.bat" "%USERPROFILE%\AppData\Local\Temp\OnboardLogs"\RTDC4011\2017-05-17 &amp; 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/stypes="app*4011*20170518*" /stext=" 01:.+((SYSTEM_STATE.+slice.+state.+changed )|(ment ac)|(multiple cpu faults)|(system.+state.+changed )|(\[timeout)|(PRM\|1\|D)|(kpr)|(kdp)|(train st.+moving)|(\|lc)|(penalty))"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8"/>
        <v>"%USERPROFILE%\Documents\GitHub\eaglep3\Utilities\RefineRTDCRunTimes.py" --tripid 216-17 --locoid 4011 --swversion DE.1.0.9.0 --startMP 204:233025 --initTime 2017-05-17T18:50:15 --startdatetime 2017-05-17T18:58:13 --delay 1 --endMP 204:152 --enddatetime 2017-05-17T19:41:33 --enforcementcount 1 &gt;&gt;C:\Users\stu\Documents\GitHub\eaglep3-reporting\EC\2017-05-17-refined-times.txt</v>
      </c>
      <c r="AI128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{"issue":{"subject":"","project_id":79,"tracker_id":40,"status_id":1,"priority_id":2,"assigned_to_id":23,"start_date":"2017-05-17","description":"","custom_fields":[{"id":1,"name":"Subdivision","value":"EC"},{"id":4,"name":"Milepost","value":"0.0152"},{"id":17,"name":"Train ID","value":"216-17"},{"id":16,"name":"Locomotive ID","value":"4011"},{"id":130,"name":"Impact","value":""},{"id":150,"name":"Time of Event (Mountain Time)","value":"19:41:33"},{"id":151,"name":"Denver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0"/>
        <v>start /low /b %USERPROFILE%\Documents\GitHub\eaglep3\Utilities\DownloadLogsFromS3.py --loco 4011 --day 2017-05-17</v>
      </c>
      <c r="AN128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01:41:33"},{"id":29,"name":"Sharepoint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607</v>
      </c>
      <c r="B129" s="7">
        <v>4024</v>
      </c>
      <c r="C129" s="21" t="s">
        <v>206</v>
      </c>
      <c r="D129" s="21" t="s">
        <v>871</v>
      </c>
      <c r="E129" s="13">
        <v>42872.758611111109</v>
      </c>
      <c r="F129" s="13">
        <v>42872.76085648148</v>
      </c>
      <c r="G129" s="7">
        <v>1</v>
      </c>
      <c r="H129" s="21" t="s">
        <v>412</v>
      </c>
      <c r="I129" s="13">
        <v>42872.788784722223</v>
      </c>
      <c r="J129" s="7">
        <v>1</v>
      </c>
      <c r="K129" s="92" t="str">
        <f>IF(ISEVEN(B129),(B129-1)&amp;"/"&amp;B129,B129&amp;"/"&amp;(B129+1))</f>
        <v>4023/4024</v>
      </c>
      <c r="L129" s="21" t="str">
        <f>VLOOKUP(A129,'Trips&amp;Operators'!$C$1:$G$99999,5,FALSE)</f>
        <v>BROWN JACOB</v>
      </c>
      <c r="M129" s="6">
        <f>I129-F129</f>
        <v>2.792824074276723E-2</v>
      </c>
      <c r="N129" s="7">
        <f>24*60*SUM($M129:$M129)</f>
        <v>40.216666669584811</v>
      </c>
      <c r="O129" s="7"/>
      <c r="P129" s="7"/>
      <c r="Q129" s="22"/>
      <c r="R129" s="190"/>
      <c r="S129" s="196">
        <f>SUM(U129:U129)/IF(AG129="EC",12,1)</f>
        <v>1</v>
      </c>
      <c r="T129" s="190" t="str">
        <f>IF(ISEVEN(LEFT(AD129,4)),"Southbound","NorthBound")</f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-05-17T17:12:24-0600',mode:absolute,to:'2017-05-17T19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9" s="192" t="str">
        <f>IF(AA129&lt;IF(AG129="EC",23,5.65),"Y","N")</f>
        <v>N</v>
      </c>
      <c r="X129" s="192">
        <f>VALUE(LEFT(AD129,4))-VALUE(LEFT(AD128,4))</f>
        <v>1</v>
      </c>
      <c r="Y129" s="192">
        <f>RIGHT(D129,LEN(D129)-4)/10000</f>
        <v>4.3799999999999999E-2</v>
      </c>
      <c r="Z129" s="192">
        <f>RIGHT(H129,LEN(H129)-4)/10000</f>
        <v>23.327999999999999</v>
      </c>
      <c r="AA129" s="192">
        <f>ABS(Z129-Y129)</f>
        <v>23.284199999999998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>IF(LEN(A129)=6,"0"&amp;A129,A129)</f>
        <v>0217-17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/stypes="app*4024*20170518*" /stext=" 00:.+((SYSTEM_STATE.+slice.+state.+changed )|(ment ac)|(multiple cpu faults)|(system.+state.+changed )|(\[timeout)|(PRM\|1\|D)|(kpr)|(kdp)|(train st.+moving)|(\|lc)|(penalty))"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8"/>
        <v>"%USERPROFILE%\Documents\GitHub\eaglep3\Utilities\RefineRTDCRunTimes.py" --tripid 217-17 --locoid 4024 --swversion DE.1.0.9.0 --startMP 204:438 --initTime 2017-05-17T18:12:24 --startdatetime 2017-05-17T18:15:38 --delay 1 --endMP 204:233280 --enddatetime 2017-05-17T18:55:51 --enforcementcount 1 &gt;&gt;C:\Users\stu\Documents\GitHub\eaglep3-reporting\EC\2017-05-17-refined-times.txt</v>
      </c>
      <c r="AI129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{"issue":{"subject":"","project_id":79,"tracker_id":40,"status_id":1,"priority_id":2,"assigned_to_id":23,"start_date":"2017-05-17","description":"","custom_fields":[{"id":1,"name":"Subdivision","value":"EC"},{"id":4,"name":"Milepost","value":"23.328"},{"id":17,"name":"Train ID","value":"217-17"},{"id":16,"name":"Locomotive ID","value":"4024"},{"id":130,"name":"Impact","value":""},{"id":150,"name":"Time of Event (Mountain Time)","value":"18:55:51"},{"id":151,"name":"Denver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0"/>
        <v>start /low /b %USERPROFILE%\Documents\GitHub\eaglep3\Utilities\DownloadLogsFromS3.py --loco 4024 --day 2017-05-17</v>
      </c>
      <c r="AN129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787</v>
      </c>
      <c r="B130" s="7">
        <v>4023</v>
      </c>
      <c r="C130" s="21" t="s">
        <v>206</v>
      </c>
      <c r="D130" s="21" t="s">
        <v>880</v>
      </c>
      <c r="E130" s="13">
        <v>42872.79414351852</v>
      </c>
      <c r="F130" s="13">
        <v>42872.799560185187</v>
      </c>
      <c r="G130" s="7">
        <v>1</v>
      </c>
      <c r="H130" s="21" t="s">
        <v>370</v>
      </c>
      <c r="I130" s="13">
        <v>42872.826504629629</v>
      </c>
      <c r="J130" s="7">
        <v>1</v>
      </c>
      <c r="K130" s="92" t="str">
        <f>IF(ISEVEN(B130),(B130-1)&amp;"/"&amp;B130,B130&amp;"/"&amp;(B130+1))</f>
        <v>4023/4024</v>
      </c>
      <c r="L130" s="21" t="str">
        <f>VLOOKUP(A130,'Trips&amp;Operators'!$C$1:$G$99999,5,FALSE)</f>
        <v>BROWN JACOB</v>
      </c>
      <c r="M130" s="6">
        <f>I130-F130</f>
        <v>2.6944444442051463E-2</v>
      </c>
      <c r="N130" s="7">
        <f>24*60*SUM($M130:$M130)</f>
        <v>38.799999996554106</v>
      </c>
      <c r="O130" s="7"/>
      <c r="P130" s="7"/>
      <c r="Q130" s="22"/>
      <c r="R130" s="190"/>
      <c r="S130" s="196">
        <f>SUM(U130:U130)/IF(AG130="EC",12,1)</f>
        <v>1</v>
      </c>
      <c r="T130" s="190" t="str">
        <f>IF(ISEVEN(LEFT(AD130,4)),"Southbound","NorthBound")</f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-05-17T18:03:34-0600',mode:absolute,to:'2017-05-17T20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0" s="192" t="str">
        <f>IF(AA130&lt;IF(AG130="EC",23,5.65),"Y","N")</f>
        <v>N</v>
      </c>
      <c r="X130" s="192">
        <f>VALUE(LEFT(AD130,4))-VALUE(LEFT(AD129,4))</f>
        <v>1</v>
      </c>
      <c r="Y130" s="192">
        <f>RIGHT(D130,LEN(D130)-4)/10000</f>
        <v>23.3004</v>
      </c>
      <c r="Z130" s="192">
        <f>RIGHT(H130,LEN(H130)-4)/10000</f>
        <v>1.47E-2</v>
      </c>
      <c r="AA130" s="192">
        <f>ABS(Z130-Y130)</f>
        <v>23.285699999999999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>IF(LEN(A130)=6,"0"&amp;A130,A130)</f>
        <v>0218-17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s3://rtdc.mdm.uploadarchive.raw/RTDC4023/ "%USERPROFILE%\AppData\Local\Temp\OnboardLogs"\RTDC4023\2017-05-17 --exclude "*" --recursive --include "*20170517*" &amp; "%USERPROFILE%\Documents\GitHub\mrs-test-scripts\Headless Mode &amp; Sideloading\WalkAndUnGZ.bat" "%USERPROFILE%\AppData\Local\Temp\OnboardLogs"\RTDC4023\2017-05-17 &amp; 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/stypes="app*4023*20170518*" /stext=" 01:.+((SYSTEM_STATE.+slice.+state.+changed )|(ment ac)|(multiple cpu faults)|(system.+state.+changed )|(\[timeout)|(PRM\|1\|D)|(kpr)|(kdp)|(train st.+moving)|(\|lc)|(penalty))"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8"/>
        <v>"%USERPROFILE%\Documents\GitHub\eaglep3\Utilities\RefineRTDCRunTimes.py" --tripid 218-17 --locoid 4023 --swversion DE.1.0.9.0 --startMP 204:233004 --initTime 2017-05-17T19:03:34 --startdatetime 2017-05-17T19:11:22 --delay 1 --endMP 204:147 --enddatetime 2017-05-17T19:50:10 --enforcementcount 1 &gt;&gt;C:\Users\stu\Documents\GitHub\eaglep3-reporting\EC\2017-05-17-refined-times.txt</v>
      </c>
      <c r="AI130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{"issue":{"subject":"","project_id":79,"tracker_id":40,"status_id":1,"priority_id":2,"assigned_to_id":23,"start_date":"2017-05-17","description":"","custom_fields":[{"id":1,"name":"Subdivision","value":"EC"},{"id":4,"name":"Milepost","value":"0.0147"},{"id":17,"name":"Train ID","value":"218-17"},{"id":16,"name":"Locomotive ID","value":"4023"},{"id":130,"name":"Impact","value":""},{"id":150,"name":"Time of Event (Mountain Time)","value":"19:50:10"},{"id":151,"name":"Denver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0"/>
        <v>start /low /b %USERPROFILE%\Documents\GitHub\eaglep3\Utilities\DownloadLogsFromS3.py --loco 4023 --day 2017-05-17</v>
      </c>
      <c r="AN130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608</v>
      </c>
      <c r="B131" s="7">
        <v>4040</v>
      </c>
      <c r="C131" s="21" t="s">
        <v>206</v>
      </c>
      <c r="D131" s="21" t="s">
        <v>352</v>
      </c>
      <c r="E131" s="13">
        <v>42872.770462962966</v>
      </c>
      <c r="F131" s="13">
        <v>42872.77238425926</v>
      </c>
      <c r="G131" s="7">
        <v>2</v>
      </c>
      <c r="H131" s="21" t="s">
        <v>550</v>
      </c>
      <c r="I131" s="13">
        <v>42872.799953703703</v>
      </c>
      <c r="J131" s="7">
        <v>1</v>
      </c>
      <c r="K131" s="92" t="str">
        <f>IF(ISEVEN(B131),(B131-1)&amp;"/"&amp;B131,B131&amp;"/"&amp;(B131+1))</f>
        <v>4039/4040</v>
      </c>
      <c r="L131" s="21" t="str">
        <f>VLOOKUP(A131,'Trips&amp;Operators'!$C$1:$G$99999,5,FALSE)</f>
        <v>NEWELL JAMES</v>
      </c>
      <c r="M131" s="6">
        <f>I131-F131</f>
        <v>2.7569444442633539E-2</v>
      </c>
      <c r="N131" s="7">
        <f>24*60*SUM($M131:$M131)</f>
        <v>39.699999997392297</v>
      </c>
      <c r="O131" s="7"/>
      <c r="P131" s="7"/>
      <c r="Q131" s="22"/>
      <c r="R131" s="190"/>
      <c r="S131" s="196">
        <f>SUM(U131:U131)/IF(AG131="EC",12,1)</f>
        <v>1</v>
      </c>
      <c r="T131" s="190" t="str">
        <f>IF(ISEVEN(LEFT(AD131,4)),"Southbound","NorthBound")</f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-05-17T17:29:28-0600',mode:absolute,to:'2017-05-17T20:11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1" s="192" t="str">
        <f>IF(AA131&lt;IF(AG131="EC",23,5.65),"Y","N")</f>
        <v>N</v>
      </c>
      <c r="X131" s="192">
        <f>VALUE(LEFT(AD131,4))-VALUE(LEFT(AD130,4))</f>
        <v>1</v>
      </c>
      <c r="Y131" s="192">
        <f>RIGHT(D131,LEN(D131)-4)/10000</f>
        <v>4.4600000000000001E-2</v>
      </c>
      <c r="Z131" s="192">
        <f>RIGHT(H131,LEN(H131)-4)/10000</f>
        <v>23.330100000000002</v>
      </c>
      <c r="AA131" s="192">
        <f>ABS(Z131-Y131)</f>
        <v>23.285500000000003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0219-17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 &amp; 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/stypes="app*4040*20170518*" /stext=" 01:.+((SYSTEM_STATE.+slice.+state.+changed )|(ment ac)|(multiple cpu faults)|(system.+state.+changed )|(\[timeout)|(PRM\|1\|D)|(kpr)|(kdp)|(train st.+moving)|(\|lc)|(penalty))"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8"/>
        <v>"%USERPROFILE%\Documents\GitHub\eaglep3\Utilities\RefineRTDCRunTimes.py" --tripid 219-17 --locoid 4040 --swversion DE.1.0.9.0 --startMP 204:446 --initTime 2017-05-17T18:29:28 --startdatetime 2017-05-17T18:32:14 --delay 2 --endMP 204:233301 --enddatetime 2017-05-17T19:11:56 --enforcementcount 1 &gt;&gt;C:\Users\stu\Documents\GitHub\eaglep3-reporting\EC\2017-05-17-refined-times.txt</v>
      </c>
      <c r="AI131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{"issue":{"subject":"","project_id":79,"tracker_id":40,"status_id":1,"priority_id":2,"assigned_to_id":23,"start_date":"2017-05-17","description":"","custom_fields":[{"id":1,"name":"Subdivision","value":"EC"},{"id":4,"name":"Milepost","value":"23.3301"},{"id":17,"name":"Train ID","value":"219-17"},{"id":16,"name":"Locomotive ID","value":"4040"},{"id":130,"name":"Impact","value":""},{"id":150,"name":"Time of Event (Mountain Time)","value":"19:11:56"},{"id":151,"name":"Denver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0"/>
        <v>start /low /b %USERPROFILE%\Documents\GitHub\eaglep3\Utilities\DownloadLogsFromS3.py --loco 4040 --day 2017-05-17</v>
      </c>
      <c r="AN131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01:11:56"},{"id":29,"name":"Sharepoint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792</v>
      </c>
      <c r="B132" s="7">
        <v>4039</v>
      </c>
      <c r="C132" s="21" t="s">
        <v>206</v>
      </c>
      <c r="D132" s="21" t="s">
        <v>476</v>
      </c>
      <c r="E132" s="13">
        <v>42872.804988425924</v>
      </c>
      <c r="F132" s="13">
        <v>42872.811238425929</v>
      </c>
      <c r="G132" s="7">
        <v>1</v>
      </c>
      <c r="H132" s="21" t="s">
        <v>370</v>
      </c>
      <c r="I132" s="13">
        <v>42872.837453703702</v>
      </c>
      <c r="J132" s="7">
        <v>1</v>
      </c>
      <c r="K132" s="92" t="str">
        <f>IF(ISEVEN(B132),(B132-1)&amp;"/"&amp;B132,B132&amp;"/"&amp;(B132+1))</f>
        <v>4039/4040</v>
      </c>
      <c r="L132" s="21" t="str">
        <f>VLOOKUP(A132,'Trips&amp;Operators'!$C$1:$G$99999,5,FALSE)</f>
        <v>NEWELL JAMES</v>
      </c>
      <c r="M132" s="6">
        <f>I132-F132</f>
        <v>2.6215277772280388E-2</v>
      </c>
      <c r="N132" s="7">
        <f>24*60*SUM($M132:$M132)</f>
        <v>37.749999992083758</v>
      </c>
      <c r="O132" s="7"/>
      <c r="P132" s="7"/>
      <c r="Q132" s="22"/>
      <c r="R132" s="190"/>
      <c r="S132" s="196">
        <f>SUM(U132:U132)/IF(AG132="EC",12,1)</f>
        <v>1</v>
      </c>
      <c r="T132" s="190" t="str">
        <f>IF(ISEVEN(LEFT(AD132,4)),"Southbound","NorthBound")</f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-05-17T18:19:11-0600',mode:absolute,to:'2017-05-17T21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2" s="192" t="str">
        <f>IF(AA132&lt;IF(AG132="EC",23,5.65),"Y","N")</f>
        <v>N</v>
      </c>
      <c r="X132" s="192">
        <f>VALUE(LEFT(AD132,4))-VALUE(LEFT(AD131,4))</f>
        <v>1</v>
      </c>
      <c r="Y132" s="192">
        <f>RIGHT(D132,LEN(D132)-4)/10000</f>
        <v>23.2986</v>
      </c>
      <c r="Z132" s="192">
        <f>RIGHT(H132,LEN(H132)-4)/10000</f>
        <v>1.47E-2</v>
      </c>
      <c r="AA132" s="192">
        <f>ABS(Z132-Y132)</f>
        <v>23.283899999999999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0220-17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/stypes="app*4039*20170518*" /stext=" 02:.+((SYSTEM_STATE.+slice.+state.+changed )|(ment ac)|(multiple cpu faults)|(system.+state.+changed )|(\[timeout)|(PRM\|1\|D)|(kpr)|(kdp)|(train st.+moving)|(\|lc)|(penalty))"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8"/>
        <v>"%USERPROFILE%\Documents\GitHub\eaglep3\Utilities\RefineRTDCRunTimes.py" --tripid 220-17 --locoid 4039 --swversion DE.1.0.9.0 --startMP 204:232986 --initTime 2017-05-17T19:19:11 --startdatetime 2017-05-17T19:28:11 --delay 1 --endMP 204:147 --enddatetime 2017-05-17T20:05:56 --enforcementcount 1 &gt;&gt;C:\Users\stu\Documents\GitHub\eaglep3-reporting\EC\2017-05-17-refined-times.txt</v>
      </c>
      <c r="AI132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{"issue":{"subject":"","project_id":79,"tracker_id":40,"status_id":1,"priority_id":2,"assigned_to_id":23,"start_date":"2017-05-17","description":"","custom_fields":[{"id":1,"name":"Subdivision","value":"EC"},{"id":4,"name":"Milepost","value":"0.0147"},{"id":17,"name":"Train ID","value":"220-17"},{"id":16,"name":"Locomotive ID","value":"4039"},{"id":130,"name":"Impact","value":""},{"id":150,"name":"Time of Event (Mountain Time)","value":"20:05:56"},{"id":151,"name":"Denver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0"/>
        <v>start /low /b %USERPROFILE%\Documents\GitHub\eaglep3\Utilities\DownloadLogsFromS3.py --loco 4039 --day 2017-05-17</v>
      </c>
      <c r="AN132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786</v>
      </c>
      <c r="B133" s="7">
        <v>4016</v>
      </c>
      <c r="C133" s="21" t="s">
        <v>206</v>
      </c>
      <c r="D133" s="21" t="s">
        <v>359</v>
      </c>
      <c r="E133" s="13">
        <v>42872.790601851855</v>
      </c>
      <c r="F133" s="13">
        <v>42872.79210648148</v>
      </c>
      <c r="G133" s="7">
        <v>1</v>
      </c>
      <c r="H133" s="21" t="s">
        <v>895</v>
      </c>
      <c r="I133" s="13">
        <v>42872.819340277776</v>
      </c>
      <c r="J133" s="7">
        <v>1</v>
      </c>
      <c r="K133" s="92" t="str">
        <f>IF(ISEVEN(B133),(B133-1)&amp;"/"&amp;B133,B133&amp;"/"&amp;(B133+1))</f>
        <v>4015/4016</v>
      </c>
      <c r="L133" s="21" t="str">
        <f>VLOOKUP(A133,'Trips&amp;Operators'!$C$1:$G$99999,5,FALSE)</f>
        <v>SWANSON BRYCE</v>
      </c>
      <c r="M133" s="6">
        <f>I133-F133</f>
        <v>2.7233796296059154E-2</v>
      </c>
      <c r="N133" s="7">
        <f>24*60*SUM($M133:$M133)</f>
        <v>39.216666666325182</v>
      </c>
      <c r="O133" s="7"/>
      <c r="P133" s="7"/>
      <c r="Q133" s="22"/>
      <c r="R133" s="190"/>
      <c r="S133" s="196">
        <f>SUM(U133:U133)/IF(AG133="EC",12,1)</f>
        <v>1</v>
      </c>
      <c r="T133" s="190" t="str">
        <f>IF(ISEVEN(LEFT(AD133,4)),"Southbound","NorthBound")</f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-05-17T17:58:28-0600',mode:absolute,to:'2017-05-17T20:39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192" t="str">
        <f>IF(AA133&lt;IF(AG133="EC",23,5.65),"Y","N")</f>
        <v>N</v>
      </c>
      <c r="X133" s="192">
        <f>VALUE(LEFT(AD133,4))-VALUE(LEFT(AD132,4))</f>
        <v>1</v>
      </c>
      <c r="Y133" s="192">
        <f>RIGHT(D133,LEN(D133)-4)/10000</f>
        <v>4.6600000000000003E-2</v>
      </c>
      <c r="Z133" s="192">
        <f>RIGHT(H133,LEN(H133)-4)/10000</f>
        <v>23.338899999999999</v>
      </c>
      <c r="AA133" s="192">
        <f>ABS(Z133-Y133)</f>
        <v>23.292299999999997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>IF(LEN(A133)=6,"0"&amp;A133,A133)</f>
        <v>0221-17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/stypes="app*4016*20170518*" /stext=" 01:.+((SYSTEM_STATE.+slice.+state.+changed )|(ment ac)|(multiple cpu faults)|(system.+state.+changed )|(\[timeout)|(PRM\|1\|D)|(kpr)|(kdp)|(train st.+moving)|(\|lc)|(penalty))"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8"/>
        <v>"%USERPROFILE%\Documents\GitHub\eaglep3\Utilities\RefineRTDCRunTimes.py" --tripid 221-17 --locoid 4016 --swversion DE.1.0.9.0 --startMP 204:466 --initTime 2017-05-17T18:58:28 --startdatetime 2017-05-17T19:00:38 --delay 1 --endMP 204:233389 --enddatetime 2017-05-17T19:39:51 --enforcementcount 1 &gt;&gt;C:\Users\stu\Documents\GitHub\eaglep3-reporting\EC\2017-05-17-refined-times.txt</v>
      </c>
      <c r="AI133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{"issue":{"subject":"","project_id":79,"tracker_id":40,"status_id":1,"priority_id":2,"assigned_to_id":23,"start_date":"2017-05-17","description":"","custom_fields":[{"id":1,"name":"Subdivision","value":"EC"},{"id":4,"name":"Milepost","value":"23.3389"},{"id":17,"name":"Train ID","value":"221-17"},{"id":16,"name":"Locomotive ID","value":"4016"},{"id":130,"name":"Impact","value":""},{"id":150,"name":"Time of Event (Mountain Time)","value":"19:39:51"},{"id":151,"name":"Denver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0"/>
        <v>start /low /b %USERPROFILE%\Documents\GitHub\eaglep3\Utilities\DownloadLogsFromS3.py --loco 4016 --day 2017-05-17</v>
      </c>
      <c r="AN133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01:39:51"},{"id":29,"name":"Sharepoint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797</v>
      </c>
      <c r="B134" s="7">
        <v>4015</v>
      </c>
      <c r="C134" s="21" t="s">
        <v>206</v>
      </c>
      <c r="D134" s="21" t="s">
        <v>896</v>
      </c>
      <c r="E134" s="13">
        <v>42872.826863425929</v>
      </c>
      <c r="F134" s="13">
        <v>42872.830694444441</v>
      </c>
      <c r="G134" s="7">
        <v>1</v>
      </c>
      <c r="H134" s="21" t="s">
        <v>897</v>
      </c>
      <c r="I134" s="13">
        <v>42872.858263888891</v>
      </c>
      <c r="J134" s="7">
        <v>1</v>
      </c>
      <c r="K134" s="92" t="str">
        <f>IF(ISEVEN(B134),(B134-1)&amp;"/"&amp;B134,B134&amp;"/"&amp;(B134+1))</f>
        <v>4015/4016</v>
      </c>
      <c r="L134" s="21" t="str">
        <f>VLOOKUP(A134,'Trips&amp;Operators'!$C$1:$G$99999,5,FALSE)</f>
        <v>SWANSON BRYCE</v>
      </c>
      <c r="M134" s="6">
        <f>I134-F134</f>
        <v>2.7569444449909497E-2</v>
      </c>
      <c r="N134" s="7">
        <f>24*60*SUM($M134:$M134)</f>
        <v>39.700000007869676</v>
      </c>
      <c r="O134" s="7"/>
      <c r="P134" s="7"/>
      <c r="Q134" s="22"/>
      <c r="R134" s="190"/>
      <c r="S134" s="196">
        <f>SUM(U134:U134)/IF(AG134="EC",12,1)</f>
        <v>1</v>
      </c>
      <c r="T134" s="190" t="str">
        <f>IF(ISEVEN(LEFT(AD134,4)),"Southbound","NorthBound")</f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-05-17T18:50:41-0600',mode:absolute,to:'2017-05-17T21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192" t="str">
        <f>IF(AA134&lt;IF(AG134="EC",23,5.65),"Y","N")</f>
        <v>N</v>
      </c>
      <c r="X134" s="192">
        <f>VALUE(LEFT(AD134,4))-VALUE(LEFT(AD133,4))</f>
        <v>1</v>
      </c>
      <c r="Y134" s="192">
        <f>RIGHT(D134,LEN(D134)-4)/10000</f>
        <v>23.308900000000001</v>
      </c>
      <c r="Z134" s="192">
        <f>RIGHT(H134,LEN(H134)-4)/10000</f>
        <v>1.1900000000000001E-2</v>
      </c>
      <c r="AA134" s="192">
        <f>ABS(Z134-Y134)</f>
        <v>23.297000000000001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0222-17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s3://rtdc.mdm.uploadarchive.raw/RTDC4015/ "%USERPROFILE%\AppData\Local\Temp\OnboardLogs"\RTDC4015\2017-05-17 --exclude "*" --recursive --include "*20170517*" &amp; "%USERPROFILE%\Documents\GitHub\mrs-test-scripts\Headless Mode &amp; Sideloading\WalkAndUnGZ.bat" "%USERPROFILE%\AppData\Local\Temp\OnboardLogs"\RTDC4015\2017-05-17 &amp; aws s3 cp s3://rtdc.mdm.uploadarchive.raw/RTDC4015/ "%USERPROFILE%\AppData\Local\Temp\OnboardLogs"\RTDC4015\2017-05-18 --exclude "*" --recursive --include "*20170518*" &amp; "%USERPROFILE%\Documents\GitHub\mrs-test-scripts\Headless Mode &amp; Sideloading\WalkAndUnGZ.bat" "%USERPROFILE%\AppData\Local\Temp\OnboardLogs"\RTDC4015\2017-05-18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/stypes="app*4015*20170518*" /stext=" 02:.+((SYSTEM_STATE.+slice.+state.+changed )|(ment ac)|(multiple cpu faults)|(system.+state.+changed )|(\[timeout)|(PRM\|1\|D)|(kpr)|(kdp)|(train st.+moving)|(\|lc)|(penalty))"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8"/>
        <v>"%USERPROFILE%\Documents\GitHub\eaglep3\Utilities\RefineRTDCRunTimes.py" --tripid 222-17 --locoid 4015 --swversion DE.1.0.9.0 --startMP 204:233089 --initTime 2017-05-17T19:50:41 --startdatetime 2017-05-17T19:56:12 --delay 1 --endMP 204:119 --enddatetime 2017-05-17T20:35:54 --enforcementcount 1 &gt;&gt;C:\Users\stu\Documents\GitHub\eaglep3-reporting\EC\2017-05-17-refined-times.txt</v>
      </c>
      <c r="AI134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{"issue":{"subject":"","project_id":79,"tracker_id":40,"status_id":1,"priority_id":2,"assigned_to_id":23,"start_date":"2017-05-17","description":"","custom_fields":[{"id":1,"name":"Subdivision","value":"EC"},{"id":4,"name":"Milepost","value":"0.0119"},{"id":17,"name":"Train ID","value":"222-17"},{"id":16,"name":"Locomotive ID","value":"4015"},{"id":130,"name":"Impact","value":""},{"id":150,"name":"Time of Event (Mountain Time)","value":"20:35:54"},{"id":151,"name":"Denver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0"/>
        <v>start /low /b %USERPROFILE%\Documents\GitHub\eaglep3\Utilities\DownloadLogsFromS3.py --loco 4015 --day 2017-05-17</v>
      </c>
      <c r="AN134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02:35:54"},{"id":29,"name":"Sharepoint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793</v>
      </c>
      <c r="B135" s="7">
        <v>4042</v>
      </c>
      <c r="C135" s="21" t="s">
        <v>206</v>
      </c>
      <c r="D135" s="21" t="s">
        <v>203</v>
      </c>
      <c r="E135" s="13">
        <v>42872.809351851851</v>
      </c>
      <c r="F135" s="13">
        <v>42872.812650462962</v>
      </c>
      <c r="G135" s="7">
        <v>1</v>
      </c>
      <c r="H135" s="21" t="s">
        <v>532</v>
      </c>
      <c r="I135" s="13">
        <v>42872.836736111109</v>
      </c>
      <c r="J135" s="7">
        <v>1</v>
      </c>
      <c r="K135" s="92" t="str">
        <f>IF(ISEVEN(B135),(B135-1)&amp;"/"&amp;B135,B135&amp;"/"&amp;(B135+1))</f>
        <v>4041/4042</v>
      </c>
      <c r="L135" s="21" t="str">
        <f>VLOOKUP(A135,'Trips&amp;Operators'!$C$1:$G$99999,5,FALSE)</f>
        <v>BIRENBAUM THOMAS</v>
      </c>
      <c r="M135" s="6">
        <f>I135-F135</f>
        <v>2.4085648146865424E-2</v>
      </c>
      <c r="N135" s="7">
        <f>24*60*SUM($M135:$M135)</f>
        <v>34.68333333148621</v>
      </c>
      <c r="O135" s="7"/>
      <c r="P135" s="7"/>
      <c r="Q135" s="22"/>
      <c r="R135" s="190"/>
      <c r="S135" s="196">
        <f>SUM(U135:U135)/IF(AG135="EC",12,1)</f>
        <v>1</v>
      </c>
      <c r="T135" s="190" t="str">
        <f>IF(ISEVEN(LEFT(AD135,4)),"Southbound","NorthBound")</f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-05-17T18:25:28-0600',mode:absolute,to:'2017-05-17T21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5" s="192" t="str">
        <f>IF(AA135&lt;IF(AG135="EC",23,5.65),"Y","N")</f>
        <v>N</v>
      </c>
      <c r="X135" s="192">
        <f>VALUE(LEFT(AD135,4))-VALUE(LEFT(AD134,4))</f>
        <v>1</v>
      </c>
      <c r="Y135" s="192">
        <f>RIGHT(D135,LEN(D135)-4)/10000</f>
        <v>4.5999999999999999E-2</v>
      </c>
      <c r="Z135" s="192">
        <f>RIGHT(H135,LEN(H135)-4)/10000</f>
        <v>23.331</v>
      </c>
      <c r="AA135" s="192">
        <f>ABS(Z135-Y135)</f>
        <v>23.285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>IF(LEN(A135)=6,"0"&amp;A135,A135)</f>
        <v>0223-17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/stypes="app*4042*20170518*" /stext=" 02:.+((SYSTEM_STATE.+slice.+state.+changed )|(ment ac)|(multiple cpu faults)|(system.+state.+changed )|(\[timeout)|(PRM\|1\|D)|(kpr)|(kdp)|(train st.+moving)|(\|lc)|(penalty))"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8"/>
        <v>"%USERPROFILE%\Documents\GitHub\eaglep3\Utilities\RefineRTDCRunTimes.py" --tripid 223-17 --locoid 4042 --swversion DE.1.0.9.0 --startMP 204:460 --initTime 2017-05-17T19:25:28 --startdatetime 2017-05-17T19:30:13 --delay 1 --endMP 204:233310 --enddatetime 2017-05-17T20:04:54 --enforcementcount 1 &gt;&gt;C:\Users\stu\Documents\GitHub\eaglep3-reporting\EC\2017-05-17-refined-times.txt</v>
      </c>
      <c r="AI135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{"issue":{"subject":"","project_id":79,"tracker_id":40,"status_id":1,"priority_id":2,"assigned_to_id":23,"start_date":"2017-05-17","description":"","custom_fields":[{"id":1,"name":"Subdivision","value":"EC"},{"id":4,"name":"Milepost","value":"23.331"},{"id":17,"name":"Train ID","value":"223-17"},{"id":16,"name":"Locomotive ID","value":"4042"},{"id":130,"name":"Impact","value":""},{"id":150,"name":"Time of Event (Mountain Time)","value":"20:04:54"},{"id":151,"name":"Denver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0"/>
        <v>start /low /b %USERPROFILE%\Documents\GitHub\eaglep3\Utilities\DownloadLogsFromS3.py --loco 4042 --day 2017-05-17</v>
      </c>
      <c r="AN135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02:04:54"},{"id":29,"name":"Sharepoint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801</v>
      </c>
      <c r="B136" s="7">
        <v>4041</v>
      </c>
      <c r="C136" s="21" t="s">
        <v>206</v>
      </c>
      <c r="D136" s="21" t="s">
        <v>880</v>
      </c>
      <c r="E136" s="13">
        <v>42872.847662037035</v>
      </c>
      <c r="F136" s="13">
        <v>42872.851539351854</v>
      </c>
      <c r="G136" s="7">
        <v>1</v>
      </c>
      <c r="H136" s="21" t="s">
        <v>353</v>
      </c>
      <c r="I136" s="13">
        <v>42872.877245370371</v>
      </c>
      <c r="J136" s="7">
        <v>1</v>
      </c>
      <c r="K136" s="92" t="str">
        <f>IF(ISEVEN(B136),(B136-1)&amp;"/"&amp;B136,B136&amp;"/"&amp;(B136+1))</f>
        <v>4041/4042</v>
      </c>
      <c r="L136" s="21" t="str">
        <f>VLOOKUP(A136,'Trips&amp;Operators'!$C$1:$G$99999,5,FALSE)</f>
        <v>BIRENBAUM THOMAS</v>
      </c>
      <c r="M136" s="6">
        <f>I136-F136</f>
        <v>2.5706018517666962E-2</v>
      </c>
      <c r="N136" s="7">
        <f>24*60*SUM($M136:$M136)</f>
        <v>37.016666665440425</v>
      </c>
      <c r="O136" s="7"/>
      <c r="P136" s="7"/>
      <c r="Q136" s="22"/>
      <c r="R136" s="190"/>
      <c r="S136" s="196">
        <f>SUM(U136:U136)/IF(AG136="EC",12,1)</f>
        <v>1</v>
      </c>
      <c r="T136" s="190" t="str">
        <f>IF(ISEVEN(LEFT(AD136,4)),"Southbound","NorthBound")</f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-05-17T19:20:38-0600',mode:absolute,to:'2017-05-17T22:03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192" t="str">
        <f>IF(AA136&lt;IF(AG136="EC",23,5.65),"Y","N")</f>
        <v>N</v>
      </c>
      <c r="X136" s="192">
        <f>VALUE(LEFT(AD136,4))-VALUE(LEFT(AD135,4))</f>
        <v>1</v>
      </c>
      <c r="Y136" s="192">
        <f>RIGHT(D136,LEN(D136)-4)/10000</f>
        <v>23.3004</v>
      </c>
      <c r="Z136" s="192">
        <f>RIGHT(H136,LEN(H136)-4)/10000</f>
        <v>1.4500000000000001E-2</v>
      </c>
      <c r="AA136" s="192">
        <f>ABS(Z136-Y136)</f>
        <v>23.285899999999998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0224-17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 &amp; aws s3 cp s3://rtdc.mdm.uploadarchive.raw/RTDC4041/ "%USERPROFILE%\AppData\Local\Temp\OnboardLogs"\RTDC4041\2017-05-18 --exclude "*" --recursive --include "*20170518*" &amp; "%USERPROFILE%\Documents\GitHub\mrs-test-scripts\Headless Mode &amp; Sideloading\WalkAndUnGZ.bat" "%USERPROFILE%\AppData\Local\Temp\OnboardLogs"\RTDC4041\2017-05-18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/stypes="app*4041*20170518*" /stext=" 03:.+((SYSTEM_STATE.+slice.+state.+changed )|(ment ac)|(multiple cpu faults)|(system.+state.+changed )|(\[timeout)|(PRM\|1\|D)|(kpr)|(kdp)|(train st.+moving)|(\|lc)|(penalty))"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8"/>
        <v>"%USERPROFILE%\Documents\GitHub\eaglep3\Utilities\RefineRTDCRunTimes.py" --tripid 224-17 --locoid 4041 --swversion DE.1.0.9.0 --startMP 204:233004 --initTime 2017-05-17T20:20:38 --startdatetime 2017-05-17T20:26:13 --delay 1 --endMP 204:145 --enddatetime 2017-05-17T21:03:14 --enforcementcount 1 &gt;&gt;C:\Users\stu\Documents\GitHub\eaglep3-reporting\EC\2017-05-17-refined-times.txt</v>
      </c>
      <c r="AI136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{"issue":{"subject":"","project_id":79,"tracker_id":40,"status_id":1,"priority_id":2,"assigned_to_id":23,"start_date":"2017-05-17","description":"","custom_fields":[{"id":1,"name":"Subdivision","value":"EC"},{"id":4,"name":"Milepost","value":"0.0145"},{"id":17,"name":"Train ID","value":"224-17"},{"id":16,"name":"Locomotive ID","value":"4041"},{"id":130,"name":"Impact","value":""},{"id":150,"name":"Time of Event (Mountain Time)","value":"21:03:14"},{"id":151,"name":"Denver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0"/>
        <v>start /low /b %USERPROFILE%\Documents\GitHub\eaglep3\Utilities\DownloadLogsFromS3.py --loco 4041 --day 2017-05-17</v>
      </c>
      <c r="AN136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03:03:14"},{"id":29,"name":"Sharepoint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798</v>
      </c>
      <c r="B137" s="7">
        <v>4024</v>
      </c>
      <c r="C137" s="21" t="s">
        <v>206</v>
      </c>
      <c r="D137" s="21" t="s">
        <v>446</v>
      </c>
      <c r="E137" s="13">
        <v>42872.830069444448</v>
      </c>
      <c r="F137" s="13">
        <v>42872.833472222221</v>
      </c>
      <c r="G137" s="7">
        <v>1</v>
      </c>
      <c r="H137" s="21" t="s">
        <v>537</v>
      </c>
      <c r="I137" s="13">
        <v>42872.859317129631</v>
      </c>
      <c r="J137" s="7">
        <v>1</v>
      </c>
      <c r="K137" s="92" t="str">
        <f>IF(ISEVEN(B137),(B137-1)&amp;"/"&amp;B137,B137&amp;"/"&amp;(B137+1))</f>
        <v>4023/4024</v>
      </c>
      <c r="L137" s="21" t="str">
        <f>VLOOKUP(A137,'Trips&amp;Operators'!$C$1:$G$99999,5,FALSE)</f>
        <v>BROWN JACOB</v>
      </c>
      <c r="M137" s="6">
        <f>I137-F137</f>
        <v>2.584490740991896E-2</v>
      </c>
      <c r="N137" s="7">
        <f>24*60*SUM($M137:$M137)</f>
        <v>37.216666670283303</v>
      </c>
      <c r="O137" s="7"/>
      <c r="P137" s="7"/>
      <c r="Q137" s="22"/>
      <c r="R137" s="190"/>
      <c r="S137" s="196">
        <f>SUM(U137:U137)/IF(AG137="EC",12,1)</f>
        <v>1</v>
      </c>
      <c r="T137" s="190" t="str">
        <f>IF(ISEVEN(LEFT(AD137,4)),"Southbound","NorthBound")</f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-05-17T18:55:18-0600',mode:absolute,to:'2017-05-17T21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7" s="192" t="str">
        <f>IF(AA137&lt;IF(AG137="EC",23,5.65),"Y","N")</f>
        <v>N</v>
      </c>
      <c r="X137" s="192">
        <f>VALUE(LEFT(AD137,4))-VALUE(LEFT(AD136,4))</f>
        <v>1</v>
      </c>
      <c r="Y137" s="192">
        <f>RIGHT(D137,LEN(D137)-4)/10000</f>
        <v>4.6699999999999998E-2</v>
      </c>
      <c r="Z137" s="192">
        <f>RIGHT(H137,LEN(H137)-4)/10000</f>
        <v>23.331399999999999</v>
      </c>
      <c r="AA137" s="192">
        <f>ABS(Z137-Y137)</f>
        <v>23.284699999999997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0225-17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/stypes="app*4024*20170518*" /stext=" 02:.+((SYSTEM_STATE.+slice.+state.+changed )|(ment ac)|(multiple cpu faults)|(system.+state.+changed )|(\[timeout)|(PRM\|1\|D)|(kpr)|(kdp)|(train st.+moving)|(\|lc)|(penalty))"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8"/>
        <v>"%USERPROFILE%\Documents\GitHub\eaglep3\Utilities\RefineRTDCRunTimes.py" --tripid 225-17 --locoid 4024 --swversion DE.1.0.9.0 --startMP 204:467 --initTime 2017-05-17T19:55:18 --startdatetime 2017-05-17T20:00:12 --delay 1 --endMP 204:233314 --enddatetime 2017-05-17T20:37:25 --enforcementcount 1 &gt;&gt;C:\Users\stu\Documents\GitHub\eaglep3-reporting\EC\2017-05-17-refined-times.txt</v>
      </c>
      <c r="AI137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{"issue":{"subject":"","project_id":79,"tracker_id":40,"status_id":1,"priority_id":2,"assigned_to_id":23,"start_date":"2017-05-17","description":"","custom_fields":[{"id":1,"name":"Subdivision","value":"EC"},{"id":4,"name":"Milepost","value":"23.3314"},{"id":17,"name":"Train ID","value":"225-17"},{"id":16,"name":"Locomotive ID","value":"4024"},{"id":130,"name":"Impact","value":""},{"id":150,"name":"Time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0"/>
        <v>start /low /b %USERPROFILE%\Documents\GitHub\eaglep3\Utilities\DownloadLogsFromS3.py --loco 4024 --day 2017-05-17</v>
      </c>
      <c r="AN137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804</v>
      </c>
      <c r="B138" s="7">
        <v>4023</v>
      </c>
      <c r="C138" s="21" t="s">
        <v>206</v>
      </c>
      <c r="D138" s="21" t="s">
        <v>484</v>
      </c>
      <c r="E138" s="13">
        <v>42872.869166666664</v>
      </c>
      <c r="F138" s="13">
        <v>42872.872384259259</v>
      </c>
      <c r="G138" s="7">
        <v>3</v>
      </c>
      <c r="H138" s="21" t="s">
        <v>357</v>
      </c>
      <c r="I138" s="13">
        <v>42872.899456018517</v>
      </c>
      <c r="J138" s="7">
        <v>1</v>
      </c>
      <c r="K138" s="92" t="str">
        <f>IF(ISEVEN(B138),(B138-1)&amp;"/"&amp;B138,B138&amp;"/"&amp;(B138+1))</f>
        <v>4023/4024</v>
      </c>
      <c r="L138" s="21" t="str">
        <f>VLOOKUP(A138,'Trips&amp;Operators'!$C$1:$G$99999,5,FALSE)</f>
        <v>BROWN JACOB</v>
      </c>
      <c r="M138" s="6">
        <f>I138-F138</f>
        <v>2.7071759257523809E-2</v>
      </c>
      <c r="N138" s="7">
        <f>24*60*SUM($M138:$M138)</f>
        <v>38.983333330834284</v>
      </c>
      <c r="O138" s="7"/>
      <c r="P138" s="7"/>
      <c r="Q138" s="22"/>
      <c r="R138" s="190"/>
      <c r="S138" s="196">
        <f>SUM(U138:U138)/IF(AG138="EC",12,1)</f>
        <v>1</v>
      </c>
      <c r="T138" s="190" t="str">
        <f>IF(ISEVEN(LEFT(AD138,4)),"Southbound","NorthBound")</f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-05-17T19:51:36-0600',mode:absolute,to:'2017-05-17T22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8" s="192" t="str">
        <f>IF(AA138&lt;IF(AG138="EC",23,5.65),"Y","N")</f>
        <v>N</v>
      </c>
      <c r="X138" s="192">
        <f>VALUE(LEFT(AD138,4))-VALUE(LEFT(AD137,4))</f>
        <v>1</v>
      </c>
      <c r="Y138" s="192">
        <f>RIGHT(D138,LEN(D138)-4)/10000</f>
        <v>23.299600000000002</v>
      </c>
      <c r="Z138" s="192">
        <f>RIGHT(H138,LEN(H138)-4)/10000</f>
        <v>1.49E-2</v>
      </c>
      <c r="AA138" s="192">
        <f>ABS(Z138-Y138)</f>
        <v>23.284700000000001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>IF(LEN(A138)=6,"0"&amp;A138,A138)</f>
        <v>0226-17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s3://rtdc.mdm.uploadarchive.raw/RTDC4023/ "%USERPROFILE%\AppData\Local\Temp\OnboardLogs"\RTDC4023\2017-05-17 --exclude "*" --recursive --include "*20170517*" &amp; "%USERPROFILE%\Documents\GitHub\mrs-test-scripts\Headless Mode &amp; Sideloading\WalkAndUnGZ.bat" "%USERPROFILE%\AppData\Local\Temp\OnboardLogs"\RTDC4023\2017-05-17 &amp; 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/stypes="app*4023*20170518*" /stext=" 03:.+((SYSTEM_STATE.+slice.+state.+changed )|(ment ac)|(multiple cpu faults)|(system.+state.+changed )|(\[timeout)|(PRM\|1\|D)|(kpr)|(kdp)|(train st.+moving)|(\|lc)|(penalty))"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8"/>
        <v>"%USERPROFILE%\Documents\GitHub\eaglep3\Utilities\RefineRTDCRunTimes.py" --tripid 226-17 --locoid 4023 --swversion DE.1.0.9.0 --startMP 204:232996 --initTime 2017-05-17T20:51:36 --startdatetime 2017-05-17T20:56:14 --delay 3 --endMP 204:149 --enddatetime 2017-05-17T21:35:13 --enforcementcount 1 &gt;&gt;C:\Users\stu\Documents\GitHub\eaglep3-reporting\EC\2017-05-17-refined-times.txt</v>
      </c>
      <c r="AI138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{"issue":{"subject":"","project_id":79,"tracker_id":40,"status_id":1,"priority_id":2,"assigned_to_id":23,"start_date":"2017-05-17","description":"","custom_fields":[{"id":1,"name":"Subdivision","value":"EC"},{"id":4,"name":"Milepost","value":"0.0149"},{"id":17,"name":"Train ID","value":"226-17"},{"id":16,"name":"Locomotive ID","value":"4023"},{"id":130,"name":"Impact","value":""},{"id":150,"name":"Time of Event (Mountain Time)","value":"21:35:13"},{"id":151,"name":"Denver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0"/>
        <v>start /low /b %USERPROFILE%\Documents\GitHub\eaglep3\Utilities\DownloadLogsFromS3.py --loco 4023 --day 2017-05-17</v>
      </c>
      <c r="AN138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03:35:13"},{"id":29,"name":"Sharepoint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2" t="s">
        <v>802</v>
      </c>
      <c r="B139" s="7">
        <v>4040</v>
      </c>
      <c r="C139" s="21" t="s">
        <v>206</v>
      </c>
      <c r="D139" s="21" t="s">
        <v>352</v>
      </c>
      <c r="E139" s="13">
        <v>42872.848981481482</v>
      </c>
      <c r="F139" s="13">
        <v>42872.854328703703</v>
      </c>
      <c r="G139" s="7">
        <v>2</v>
      </c>
      <c r="H139" s="21" t="s">
        <v>843</v>
      </c>
      <c r="I139" s="13">
        <v>42872.879467592589</v>
      </c>
      <c r="J139" s="7">
        <v>1</v>
      </c>
      <c r="K139" s="92" t="str">
        <f>IF(ISEVEN(B139),(B139-1)&amp;"/"&amp;B139,B139&amp;"/"&amp;(B139+1))</f>
        <v>4039/4040</v>
      </c>
      <c r="L139" s="21" t="str">
        <f>VLOOKUP(A139,'Trips&amp;Operators'!$C$1:$G$99999,5,FALSE)</f>
        <v>NEWELL JAMES</v>
      </c>
      <c r="M139" s="6">
        <f>I139-F139</f>
        <v>2.5138888886431232E-2</v>
      </c>
      <c r="N139" s="7">
        <f>24*60*SUM($M139:$M139)</f>
        <v>36.199999996460974</v>
      </c>
      <c r="O139" s="7"/>
      <c r="P139" s="7"/>
      <c r="Q139" s="22"/>
      <c r="R139" s="190"/>
      <c r="S139" s="196">
        <f>SUM(U139:U139)/IF(AG139="EC",12,1)</f>
        <v>1</v>
      </c>
      <c r="T139" s="190" t="str">
        <f>IF(ISEVEN(LEFT(AD139,4)),"Southbound","NorthBound")</f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-05-17T19:22:32-0600',mode:absolute,to:'2017-05-17T22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9" s="192" t="str">
        <f>IF(AA139&lt;IF(AG139="EC",23,5.65),"Y","N")</f>
        <v>N</v>
      </c>
      <c r="X139" s="192">
        <f>VALUE(LEFT(AD139,4))-VALUE(LEFT(AD138,4))</f>
        <v>1</v>
      </c>
      <c r="Y139" s="192">
        <f>RIGHT(D139,LEN(D139)-4)/10000</f>
        <v>4.4600000000000001E-2</v>
      </c>
      <c r="Z139" s="192">
        <f>RIGHT(H139,LEN(H139)-4)/10000</f>
        <v>23.329899999999999</v>
      </c>
      <c r="AA139" s="192">
        <f>ABS(Z139-Y139)</f>
        <v>23.285299999999999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>IF(LEN(A139)=6,"0"&amp;A139,A139)</f>
        <v>0227-17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 &amp; 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/stypes="app*4040*20170518*" /stext=" 03:.+((SYSTEM_STATE.+slice.+state.+changed )|(ment ac)|(multiple cpu faults)|(system.+state.+changed )|(\[timeout)|(PRM\|1\|D)|(kpr)|(kdp)|(train st.+moving)|(\|lc)|(penalty))"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8"/>
        <v>"%USERPROFILE%\Documents\GitHub\eaglep3\Utilities\RefineRTDCRunTimes.py" --tripid 227-17 --locoid 4040 --swversion DE.1.0.9.0 --startMP 204:446 --initTime 2017-05-17T20:22:32 --startdatetime 2017-05-17T20:30:14 --delay 2 --endMP 204:233299 --enddatetime 2017-05-17T21:06:26 --enforcementcount 1 &gt;&gt;C:\Users\stu\Documents\GitHub\eaglep3-reporting\EC\2017-05-17-refined-times.txt</v>
      </c>
      <c r="AI139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{"issue":{"subject":"","project_id":79,"tracker_id":40,"status_id":1,"priority_id":2,"assigned_to_id":23,"start_date":"2017-05-17","description":"","custom_fields":[{"id":1,"name":"Subdivision","value":"EC"},{"id":4,"name":"Milepost","value":"23.3299"},{"id":17,"name":"Train ID","value":"227-17"},{"id":16,"name":"Locomotive ID","value":"4040"},{"id":130,"name":"Impact","value":""},{"id":150,"name":"Time of Event (Mountain Time)","value":"21:06:26"},{"id":151,"name":"Denver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20"/>
      <c r="AK139" s="47"/>
      <c r="AL139" s="47"/>
      <c r="AM139" s="145" t="str">
        <f t="shared" si="10"/>
        <v>start /low /b %USERPROFILE%\Documents\GitHub\eaglep3\Utilities\DownloadLogsFromS3.py --loco 4040 --day 2017-05-17</v>
      </c>
      <c r="AN139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0" spans="1:91" s="20" customFormat="1" x14ac:dyDescent="0.25">
      <c r="A140" s="32" t="s">
        <v>806</v>
      </c>
      <c r="B140" s="7">
        <v>4039</v>
      </c>
      <c r="C140" s="21" t="s">
        <v>206</v>
      </c>
      <c r="D140" s="21" t="s">
        <v>455</v>
      </c>
      <c r="E140" s="13">
        <v>42872.887789351851</v>
      </c>
      <c r="F140" s="13">
        <v>42872.893194444441</v>
      </c>
      <c r="G140" s="7">
        <v>1</v>
      </c>
      <c r="H140" s="21" t="s">
        <v>370</v>
      </c>
      <c r="I140" s="13">
        <v>42872.919814814813</v>
      </c>
      <c r="J140" s="7">
        <v>1</v>
      </c>
      <c r="K140" s="92" t="str">
        <f>IF(ISEVEN(B140),(B140-1)&amp;"/"&amp;B140,B140&amp;"/"&amp;(B140+1))</f>
        <v>4039/4040</v>
      </c>
      <c r="L140" s="21" t="str">
        <f>VLOOKUP(A140,'Trips&amp;Operators'!$C$1:$G$99999,5,FALSE)</f>
        <v>NEWELL JAMES</v>
      </c>
      <c r="M140" s="6">
        <f>I140-F140</f>
        <v>2.662037037225673E-2</v>
      </c>
      <c r="N140" s="7">
        <f>24*60*SUM($M140:$M140)</f>
        <v>38.333333336049691</v>
      </c>
      <c r="O140" s="7"/>
      <c r="P140" s="7"/>
      <c r="Q140" s="22"/>
      <c r="R140" s="190"/>
      <c r="S140" s="196">
        <f>SUM(U140:U140)/IF(AG140="EC",12,1)</f>
        <v>1</v>
      </c>
      <c r="T140" s="190" t="str">
        <f>IF(ISEVEN(LEFT(AD140,4)),"Southbound","NorthBound")</f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-05-17T20:18:25-0600',mode:absolute,to:'2017-05-17T23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0" s="192" t="str">
        <f>IF(AA140&lt;IF(AG140="EC",23,5.65),"Y","N")</f>
        <v>N</v>
      </c>
      <c r="X140" s="192">
        <f>VALUE(LEFT(AD140,4))-VALUE(LEFT(AD139,4))</f>
        <v>1</v>
      </c>
      <c r="Y140" s="192">
        <f>RIGHT(D140,LEN(D140)-4)/10000</f>
        <v>23.296700000000001</v>
      </c>
      <c r="Z140" s="192">
        <f>RIGHT(H140,LEN(H140)-4)/10000</f>
        <v>1.47E-2</v>
      </c>
      <c r="AA140" s="192">
        <f>ABS(Z140-Y140)</f>
        <v>23.282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>IF(LEN(A140)=6,"0"&amp;A140,A140)</f>
        <v>0228-17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/stypes="app*4039*20170518*" /stext=" 04:.+((SYSTEM_STATE.+slice.+state.+changed )|(ment ac)|(multiple cpu faults)|(system.+state.+changed )|(\[timeout)|(PRM\|1\|D)|(kpr)|(kdp)|(train st.+moving)|(\|lc)|(penalty))"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si="8"/>
        <v>"%USERPROFILE%\Documents\GitHub\eaglep3\Utilities\RefineRTDCRunTimes.py" --tripid 228-17 --locoid 4039 --swversion DE.1.0.9.0 --startMP 204:232967 --initTime 2017-05-17T21:18:25 --startdatetime 2017-05-17T21:26:12 --delay 1 --endMP 204:147 --enddatetime 2017-05-17T22:04:32 --enforcementcount 1 &gt;&gt;C:\Users\stu\Documents\GitHub\eaglep3-reporting\EC\2017-05-17-refined-times.txt</v>
      </c>
      <c r="AI140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{"issue":{"subject":"","project_id":79,"tracker_id":40,"status_id":1,"priority_id":2,"assigned_to_id":23,"start_date":"2017-05-17","description":"","custom_fields":[{"id":1,"name":"Subdivision","value":"EC"},{"id":4,"name":"Milepost","value":"0.0147"},{"id":17,"name":"Train ID","value":"228-17"},{"id":16,"name":"Locomotive ID","value":"4039"},{"id":130,"name":"Impact","value":""},{"id":150,"name":"Time of Event (Mountain Time)","value":"22:04:32"},{"id":151,"name":"Denver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10"/>
        <v>start /low /b %USERPROFILE%\Documents\GitHub\eaglep3\Utilities\DownloadLogsFromS3.py --loco 4039 --day 2017-05-17</v>
      </c>
      <c r="AN140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04:04:32"},{"id":29,"name":"Sharepoint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805</v>
      </c>
      <c r="B141" s="7">
        <v>4016</v>
      </c>
      <c r="C141" s="21" t="s">
        <v>206</v>
      </c>
      <c r="D141" s="21" t="s">
        <v>366</v>
      </c>
      <c r="E141" s="13">
        <v>42872.870497685188</v>
      </c>
      <c r="F141" s="13">
        <v>42872.875254629631</v>
      </c>
      <c r="G141" s="7">
        <v>1</v>
      </c>
      <c r="H141" s="21" t="s">
        <v>898</v>
      </c>
      <c r="I141" s="13">
        <v>42872.901990740742</v>
      </c>
      <c r="J141" s="7">
        <v>1</v>
      </c>
      <c r="K141" s="92" t="str">
        <f>IF(ISEVEN(B141),(B141-1)&amp;"/"&amp;B141,B141&amp;"/"&amp;(B141+1))</f>
        <v>4015/4016</v>
      </c>
      <c r="L141" s="21" t="str">
        <f>VLOOKUP(A141,'Trips&amp;Operators'!$C$1:$G$99999,5,FALSE)</f>
        <v>SWANSON BRYCE</v>
      </c>
      <c r="M141" s="6">
        <f>I141-F141</f>
        <v>2.6736111110949423E-2</v>
      </c>
      <c r="N141" s="7">
        <f>24*60*SUM($M141:$M141)</f>
        <v>38.499999999767169</v>
      </c>
      <c r="O141" s="7"/>
      <c r="P141" s="7"/>
      <c r="Q141" s="22"/>
      <c r="R141" s="190"/>
      <c r="S141" s="196">
        <f>SUM(U141:U141)/IF(AG141="EC",12,1)</f>
        <v>1</v>
      </c>
      <c r="T141" s="190" t="str">
        <f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-17T19:53:31-0600',mode:absolute,to:'2017-05-17T22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192" t="str">
        <f>IF(AA141&lt;IF(AG141="EC",23,5.65),"Y","N")</f>
        <v>N</v>
      </c>
      <c r="X141" s="192">
        <f>VALUE(LEFT(AD141,4))-VALUE(LEFT(AD140,4))</f>
        <v>1</v>
      </c>
      <c r="Y141" s="192">
        <f>RIGHT(D141,LEN(D141)-4)/10000</f>
        <v>4.4699999999999997E-2</v>
      </c>
      <c r="Z141" s="192">
        <f>RIGHT(H141,LEN(H141)-4)/10000</f>
        <v>23.338200000000001</v>
      </c>
      <c r="AA141" s="192">
        <f>ABS(Z141-Y141)</f>
        <v>23.293500000000002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>IF(LEN(A141)=6,"0"&amp;A141,A141)</f>
        <v>0229-17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/stypes="app*4016*20170518*" /stext=" 03:.+((SYSTEM_STATE.+slice.+state.+changed )|(ment ac)|(multiple cpu faults)|(system.+state.+changed )|(\[timeout)|(PRM\|1\|D)|(kpr)|(kdp)|(train st.+moving)|(\|lc)|(penalty))"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si="8"/>
        <v>"%USERPROFILE%\Documents\GitHub\eaglep3\Utilities\RefineRTDCRunTimes.py" --tripid 229-17 --locoid 4016 --swversion DE.1.0.9.0 --startMP 204:447 --initTime 2017-05-17T20:53:31 --startdatetime 2017-05-17T21:00:22 --delay 1 --endMP 204:233382 --enddatetime 2017-05-17T21:38:52 --enforcementcount 1 &gt;&gt;C:\Users\stu\Documents\GitHub\eaglep3-reporting\EC\2017-05-17-refined-times.txt</v>
      </c>
      <c r="AI141" s="99" t="str">
        <f t="shared" si="9"/>
        <v>echo {"issue":{"subject":"","project_id":79,"tracker_id":40,"status_id":1,"priority_id":2,"assigned_to_id":23,"start_date":"2017-05-17","description":"","custom_fields":[{"id":1,"name":"Subdivision","value":"EC"},{"id":4,"name":"Milepost","value":"23.3382"},{"id":17,"name":"Train ID","value":"229-17"},{"id":16,"name":"Locomotive ID","value":"4016"},{"id":130,"name":"Impact","value":""},{"id":150,"name":"Time of Event (Mountain Time)","value":"21:38:52"},{"id":151,"name":"Denver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10"/>
        <v>start /low /b %USERPROFILE%\Documents\GitHub\eaglep3\Utilities\DownloadLogsFromS3.py --loco 4016 --day 2017-05-17</v>
      </c>
      <c r="AN141" s="154" t="str">
        <f t="shared" si="11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03:38:52"},{"id":29,"name":"Sharepoint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810</v>
      </c>
      <c r="B142" s="7">
        <v>4015</v>
      </c>
      <c r="C142" s="21" t="s">
        <v>206</v>
      </c>
      <c r="D142" s="21" t="s">
        <v>485</v>
      </c>
      <c r="E142" s="13">
        <v>42872.911238425928</v>
      </c>
      <c r="F142" s="13">
        <v>42872.914050925923</v>
      </c>
      <c r="G142" s="7">
        <v>1</v>
      </c>
      <c r="H142" s="21" t="s">
        <v>198</v>
      </c>
      <c r="I142" s="13">
        <v>42872.942071759258</v>
      </c>
      <c r="J142" s="7">
        <v>1</v>
      </c>
      <c r="K142" s="92" t="str">
        <f>IF(ISEVEN(B142),(B142-1)&amp;"/"&amp;B142,B142&amp;"/"&amp;(B142+1))</f>
        <v>4015/4016</v>
      </c>
      <c r="L142" s="21" t="str">
        <f>VLOOKUP(A142,'Trips&amp;Operators'!$C$1:$G$99999,5,FALSE)</f>
        <v>SWANSON BRYCE</v>
      </c>
      <c r="M142" s="6">
        <f>I142-F142</f>
        <v>2.8020833335176576E-2</v>
      </c>
      <c r="N142" s="7">
        <f>24*60*SUM($M142:$M142)</f>
        <v>40.350000002654269</v>
      </c>
      <c r="O142" s="7"/>
      <c r="P142" s="7"/>
      <c r="Q142" s="22"/>
      <c r="R142" s="190"/>
      <c r="S142" s="196">
        <f>SUM(U142:U142)/IF(AG142="EC",12,1)</f>
        <v>1</v>
      </c>
      <c r="T142" s="190" t="str">
        <f>IF(ISEVEN(LEFT(AD142,4)),"Southbound","NorthBound")</f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-05-17T20:52:11-0600',mode:absolute,to:'2017-05-17T23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192" t="str">
        <f>IF(AA142&lt;IF(AG142="EC",23,5.65),"Y","N")</f>
        <v>N</v>
      </c>
      <c r="X142" s="192">
        <f>VALUE(LEFT(AD142,4))-VALUE(LEFT(AD141,4))</f>
        <v>1</v>
      </c>
      <c r="Y142" s="192">
        <f>RIGHT(D142,LEN(D142)-4)/10000</f>
        <v>23.308599999999998</v>
      </c>
      <c r="Z142" s="192">
        <f>RIGHT(H142,LEN(H142)-4)/10000</f>
        <v>1.5800000000000002E-2</v>
      </c>
      <c r="AA142" s="192">
        <f>ABS(Z142-Y142)</f>
        <v>23.2928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0230-17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s3://rtdc.mdm.uploadarchive.raw/RTDC4015/ "%USERPROFILE%\AppData\Local\Temp\OnboardLogs"\RTDC4015\2017-05-17 --exclude "*" --recursive --include "*20170517*" &amp; "%USERPROFILE%\Documents\GitHub\mrs-test-scripts\Headless Mode &amp; Sideloading\WalkAndUnGZ.bat" "%USERPROFILE%\AppData\Local\Temp\OnboardLogs"\RTDC4015\2017-05-17 &amp; aws s3 cp s3://rtdc.mdm.uploadarchive.raw/RTDC4015/ "%USERPROFILE%\AppData\Local\Temp\OnboardLogs"\RTDC4015\2017-05-18 --exclude "*" --recursive --include "*20170518*" &amp; "%USERPROFILE%\Documents\GitHub\mrs-test-scripts\Headless Mode &amp; Sideloading\WalkAndUnGZ.bat" "%USERPROFILE%\AppData\Local\Temp\OnboardLogs"\RTDC4015\2017-05-18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/stypes="app*4015*20170518*" /stext=" 04:.+((SYSTEM_STATE.+slice.+state.+changed )|(ment ac)|(multiple cpu faults)|(system.+state.+changed )|(\[timeout)|(PRM\|1\|D)|(kpr)|(kdp)|(train st.+moving)|(\|lc)|(penalty))"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ref="AH142:AH203" si="1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230-17 --locoid 4015 --swversion DE.1.0.9.0 --startMP 204:233086 --initTime 2017-05-17T21:52:11 --startdatetime 2017-05-17T21:56:14 --delay 1 --endMP 204:158 --enddatetime 2017-05-17T22:36:35 --enforcementcount 1 &gt;&gt;C:\Users\stu\Documents\GitHub\eaglep3-reporting\EC\2017-05-17-refined-times.txt</v>
      </c>
      <c r="AI142" s="99" t="str">
        <f t="shared" ref="AI142:AI203" si="1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{"issue":{"subject":"","project_id":79,"tracker_id":40,"status_id":1,"priority_id":2,"assigned_to_id":23,"start_date":"2017-05-17","description":"","custom_fields":[{"id":1,"name":"Subdivision","value":"EC"},{"id":4,"name":"Milepost","value":"0.0158"},{"id":17,"name":"Train ID","value":"230-17"},{"id":16,"name":"Locomotive ID","value":"4015"},{"id":130,"name":"Impact","value":""},{"id":150,"name":"Time of Event (Mountain Time)","value":"22:36:35"},{"id":151,"name":"Denver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3" si="14">"start /low /b "&amp;dls3logs&amp;" --loco "&amp;B142&amp;" --day "&amp;TEXT(F142,"YYYY-MM-DD")</f>
        <v>start /low /b %USERPROFILE%\Documents\GitHub\eaglep3\Utilities\DownloadLogsFromS3.py --loco 4015 --day 2017-05-17</v>
      </c>
      <c r="AN142" s="154" t="str">
        <f t="shared" ref="AN142:AN203" si="1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04:36:35"},{"id":29,"name":"Sharepoint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808</v>
      </c>
      <c r="B143" s="7">
        <v>4042</v>
      </c>
      <c r="C143" s="21" t="s">
        <v>206</v>
      </c>
      <c r="D143" s="21" t="s">
        <v>456</v>
      </c>
      <c r="E143" s="13">
        <v>42872.890706018516</v>
      </c>
      <c r="F143" s="13">
        <v>42872.895983796298</v>
      </c>
      <c r="G143" s="7">
        <v>1</v>
      </c>
      <c r="H143" s="21" t="s">
        <v>899</v>
      </c>
      <c r="I143" s="13">
        <v>42872.920636574076</v>
      </c>
      <c r="J143" s="7">
        <v>1</v>
      </c>
      <c r="K143" s="92" t="str">
        <f>IF(ISEVEN(B143),(B143-1)&amp;"/"&amp;B143,B143&amp;"/"&amp;(B143+1))</f>
        <v>4041/4042</v>
      </c>
      <c r="L143" s="21" t="str">
        <f>VLOOKUP(A143,'Trips&amp;Operators'!$C$1:$G$99999,5,FALSE)</f>
        <v>BIRENBAUM THOMAS</v>
      </c>
      <c r="M143" s="6">
        <f>I143-F143</f>
        <v>2.4652777778101154E-2</v>
      </c>
      <c r="N143" s="7">
        <f>24*60*SUM($M143:$M143)</f>
        <v>35.500000000465661</v>
      </c>
      <c r="O143" s="7"/>
      <c r="P143" s="7"/>
      <c r="Q143" s="22"/>
      <c r="R143" s="190"/>
      <c r="S143" s="196">
        <f>SUM(U143:U143)/IF(AG143="EC",12,1)</f>
        <v>1</v>
      </c>
      <c r="T143" s="190" t="str">
        <f>IF(ISEVEN(LEFT(AD143,4)),"Southbound","NorthBound")</f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-05-17T20:22:37-0600',mode:absolute,to:'2017-05-17T23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3" s="192" t="str">
        <f>IF(AA143&lt;IF(AG143="EC",23,5.65),"Y","N")</f>
        <v>N</v>
      </c>
      <c r="X143" s="192">
        <f>VALUE(LEFT(AD143,4))-VALUE(LEFT(AD142,4))</f>
        <v>1</v>
      </c>
      <c r="Y143" s="192">
        <f>RIGHT(D143,LEN(D143)-4)/10000</f>
        <v>4.7300000000000002E-2</v>
      </c>
      <c r="Z143" s="192">
        <f>RIGHT(H143,LEN(H143)-4)/10000</f>
        <v>23.332599999999999</v>
      </c>
      <c r="AA143" s="192">
        <f>ABS(Z143-Y143)</f>
        <v>23.285299999999999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0231-17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/stypes="app*4042*20170518*" /stext=" 04:.+((SYSTEM_STATE.+slice.+state.+changed )|(ment ac)|(multiple cpu faults)|(system.+state.+changed )|(\[timeout)|(PRM\|1\|D)|(kpr)|(kdp)|(train st.+moving)|(\|lc)|(penalty))"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si="12"/>
        <v>"%USERPROFILE%\Documents\GitHub\eaglep3\Utilities\RefineRTDCRunTimes.py" --tripid 231-17 --locoid 4042 --swversion DE.1.0.9.0 --startMP 204:473 --initTime 2017-05-17T21:22:37 --startdatetime 2017-05-17T21:30:13 --delay 1 --endMP 204:233326 --enddatetime 2017-05-17T22:05:43 --enforcementcount 1 &gt;&gt;C:\Users\stu\Documents\GitHub\eaglep3-reporting\EC\2017-05-17-refined-times.txt</v>
      </c>
      <c r="AI143" s="99" t="str">
        <f t="shared" si="13"/>
        <v>echo {"issue":{"subject":"","project_id":79,"tracker_id":40,"status_id":1,"priority_id":2,"assigned_to_id":23,"start_date":"2017-05-17","description":"","custom_fields":[{"id":1,"name":"Subdivision","value":"EC"},{"id":4,"name":"Milepost","value":"23.3326"},{"id":17,"name":"Train ID","value":"231-17"},{"id":16,"name":"Locomotive ID","value":"4042"},{"id":130,"name":"Impact","value":""},{"id":150,"name":"Time of Event (Mountain Time)","value":"22:05:43"},{"id":151,"name":"Denver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14"/>
        <v>start /low /b %USERPROFILE%\Documents\GitHub\eaglep3\Utilities\DownloadLogsFromS3.py --loco 4042 --day 2017-05-17</v>
      </c>
      <c r="AN143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04:05:43"},{"id":29,"name":"Sharepoint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812</v>
      </c>
      <c r="B144" s="7">
        <v>4041</v>
      </c>
      <c r="C144" s="21" t="s">
        <v>206</v>
      </c>
      <c r="D144" s="21" t="s">
        <v>451</v>
      </c>
      <c r="E144" s="13">
        <v>42872.926932870374</v>
      </c>
      <c r="F144" s="13">
        <v>42872.934953703705</v>
      </c>
      <c r="G144" s="7">
        <v>1</v>
      </c>
      <c r="H144" s="21" t="s">
        <v>480</v>
      </c>
      <c r="I144" s="13">
        <v>42872.962696759256</v>
      </c>
      <c r="J144" s="7">
        <v>1</v>
      </c>
      <c r="K144" s="92" t="str">
        <f>IF(ISEVEN(B144),(B144-1)&amp;"/"&amp;B144,B144&amp;"/"&amp;(B144+1))</f>
        <v>4041/4042</v>
      </c>
      <c r="L144" s="21" t="str">
        <f>VLOOKUP(A144,'Trips&amp;Operators'!$C$1:$G$99999,5,FALSE)</f>
        <v>BIRENBAUM THOMAS</v>
      </c>
      <c r="M144" s="6">
        <f>I144-F144</f>
        <v>2.774305555067258E-2</v>
      </c>
      <c r="N144" s="7">
        <f>24*60*SUM($M144:$M144)</f>
        <v>39.949999992968515</v>
      </c>
      <c r="O144" s="7"/>
      <c r="P144" s="7"/>
      <c r="Q144" s="22"/>
      <c r="R144" s="190"/>
      <c r="S144" s="196">
        <f>SUM(U144:U144)/IF(AG144="EC",12,1)</f>
        <v>1</v>
      </c>
      <c r="T144" s="190" t="str">
        <f>IF(ISEVEN(LEFT(AD144,4)),"Southbound","NorthBound")</f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-05-17T21:14:47-0600',mode:absolute,to:'2017-05-18T00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4" s="192" t="str">
        <f>IF(AA144&lt;IF(AG144="EC",23,5.65),"Y","N")</f>
        <v>N</v>
      </c>
      <c r="X144" s="192">
        <f>VALUE(LEFT(AD144,4))-VALUE(LEFT(AD143,4))</f>
        <v>1</v>
      </c>
      <c r="Y144" s="192">
        <f>RIGHT(D144,LEN(D144)-4)/10000</f>
        <v>23.297499999999999</v>
      </c>
      <c r="Z144" s="192">
        <f>RIGHT(H144,LEN(H144)-4)/10000</f>
        <v>1.21E-2</v>
      </c>
      <c r="AA144" s="192">
        <f>ABS(Z144-Y144)</f>
        <v>23.285399999999999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0232-17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s3://rtdc.mdm.uploadarchive.raw/RTDC4041/ "%USERPROFILE%\AppData\Local\Temp\OnboardLogs"\RTDC4041\2017-05-17 --exclude "*" --recursive --include "*20170517*" &amp; "%USERPROFILE%\Documents\GitHub\mrs-test-scripts\Headless Mode &amp; Sideloading\WalkAndUnGZ.bat" "%USERPROFILE%\AppData\Local\Temp\OnboardLogs"\RTDC4041\2017-05-17 &amp; aws s3 cp s3://rtdc.mdm.uploadarchive.raw/RTDC4041/ "%USERPROFILE%\AppData\Local\Temp\OnboardLogs"\RTDC4041\2017-05-18 --exclude "*" --recursive --include "*20170518*" &amp; "%USERPROFILE%\Documents\GitHub\mrs-test-scripts\Headless Mode &amp; Sideloading\WalkAndUnGZ.bat" "%USERPROFILE%\AppData\Local\Temp\OnboardLogs"\RTDC4041\2017-05-18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/stypes="app*4041*20170518*" /stext=" 05:.+((SYSTEM_STATE.+slice.+state.+changed )|(ment ac)|(multiple cpu faults)|(system.+state.+changed )|(\[timeout)|(PRM\|1\|D)|(kpr)|(kdp)|(train st.+moving)|(\|lc)|(penalty))"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12"/>
        <v>"%USERPROFILE%\Documents\GitHub\eaglep3\Utilities\RefineRTDCRunTimes.py" --tripid 232-17 --locoid 4041 --swversion DE.1.0.9.0 --startMP 204:232975 --initTime 2017-05-17T22:14:47 --startdatetime 2017-05-17T22:26:20 --delay 1 --endMP 204:121 --enddatetime 2017-05-17T23:06:17 --enforcementcount 1 &gt;&gt;C:\Users\stu\Documents\GitHub\eaglep3-reporting\EC\2017-05-17-refined-times.txt</v>
      </c>
      <c r="AI144" s="99" t="str">
        <f t="shared" si="13"/>
        <v>echo {"issue":{"subject":"","project_id":79,"tracker_id":40,"status_id":1,"priority_id":2,"assigned_to_id":23,"start_date":"2017-05-17","description":"","custom_fields":[{"id":1,"name":"Subdivision","value":"EC"},{"id":4,"name":"Milepost","value":"0.0121"},{"id":17,"name":"Train ID","value":"232-17"},{"id":16,"name":"Locomotive ID","value":"4041"},{"id":130,"name":"Impact","value":""},{"id":150,"name":"Time of Event (Mountain Time)","value":"23:06:17"},{"id":151,"name":"Denver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14"/>
        <v>start /low /b %USERPROFILE%\Documents\GitHub\eaglep3\Utilities\DownloadLogsFromS3.py --loco 4041 --day 2017-05-17</v>
      </c>
      <c r="AN144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05:06:17"},{"id":29,"name":"Sharepoint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811</v>
      </c>
      <c r="B145" s="7">
        <v>4024</v>
      </c>
      <c r="C145" s="21" t="s">
        <v>206</v>
      </c>
      <c r="D145" s="21" t="s">
        <v>360</v>
      </c>
      <c r="E145" s="13">
        <v>42872.912870370368</v>
      </c>
      <c r="F145" s="13">
        <v>42872.91679398148</v>
      </c>
      <c r="G145" s="7">
        <v>1</v>
      </c>
      <c r="H145" s="21" t="s">
        <v>479</v>
      </c>
      <c r="I145" s="13">
        <v>42872.94159722222</v>
      </c>
      <c r="J145" s="7">
        <v>1</v>
      </c>
      <c r="K145" s="92" t="str">
        <f>IF(ISEVEN(B145),(B145-1)&amp;"/"&amp;B145,B145&amp;"/"&amp;(B145+1))</f>
        <v>4023/4024</v>
      </c>
      <c r="L145" s="21" t="str">
        <f>VLOOKUP(A145,'Trips&amp;Operators'!$C$1:$G$99999,5,FALSE)</f>
        <v>BROWN JACOB</v>
      </c>
      <c r="M145" s="6">
        <f>I145-F145</f>
        <v>2.4803240739856847E-2</v>
      </c>
      <c r="N145" s="7">
        <f>24*60*SUM($M145:$M145)</f>
        <v>35.716666665393859</v>
      </c>
      <c r="O145" s="7"/>
      <c r="P145" s="7"/>
      <c r="Q145" s="22"/>
      <c r="R145" s="190"/>
      <c r="S145" s="196">
        <f>SUM(U145:U145)/IF(AG145="EC",12,1)</f>
        <v>1</v>
      </c>
      <c r="T145" s="190" t="str">
        <f>IF(ISEVEN(LEFT(AD145,4)),"Southbound","NorthBound")</f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-05-17T20:54:32-0600',mode:absolute,to:'2017-05-17T23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5" s="192" t="str">
        <f>IF(AA145&lt;IF(AG145="EC",23,5.65),"Y","N")</f>
        <v>N</v>
      </c>
      <c r="X145" s="192">
        <f>VALUE(LEFT(AD145,4))-VALUE(LEFT(AD144,4))</f>
        <v>1</v>
      </c>
      <c r="Y145" s="192">
        <f>RIGHT(D145,LEN(D145)-4)/10000</f>
        <v>4.5100000000000001E-2</v>
      </c>
      <c r="Z145" s="192">
        <f>RIGHT(H145,LEN(H145)-4)/10000</f>
        <v>23.331600000000002</v>
      </c>
      <c r="AA145" s="192">
        <f>ABS(Z145-Y145)</f>
        <v>23.2865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0233-17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/stypes="app*4024*20170518*" /stext=" 04:.+((SYSTEM_STATE.+slice.+state.+changed )|(ment ac)|(multiple cpu faults)|(system.+state.+changed )|(\[timeout)|(PRM\|1\|D)|(kpr)|(kdp)|(train st.+moving)|(\|lc)|(penalty))"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si="12"/>
        <v>"%USERPROFILE%\Documents\GitHub\eaglep3\Utilities\RefineRTDCRunTimes.py" --tripid 233-17 --locoid 4024 --swversion DE.1.0.9.0 --startMP 204:451 --initTime 2017-05-17T21:54:32 --startdatetime 2017-05-17T22:00:11 --delay 1 --endMP 204:233316 --enddatetime 2017-05-17T22:35:54 --enforcementcount 1 &gt;&gt;C:\Users\stu\Documents\GitHub\eaglep3-reporting\EC\2017-05-17-refined-times.txt</v>
      </c>
      <c r="AI145" s="99" t="str">
        <f t="shared" si="13"/>
        <v>echo {"issue":{"subject":"","project_id":79,"tracker_id":40,"status_id":1,"priority_id":2,"assigned_to_id":23,"start_date":"2017-05-17","description":"","custom_fields":[{"id":1,"name":"Subdivision","value":"EC"},{"id":4,"name":"Milepost","value":"23.3316"},{"id":17,"name":"Train ID","value":"233-17"},{"id":16,"name":"Locomotive ID","value":"4024"},{"id":130,"name":"Impact","value":""},{"id":150,"name":"Time of Event (Mountain Time)","value":"22:35:54"},{"id":151,"name":"Denver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14"/>
        <v>start /low /b %USERPROFILE%\Documents\GitHub\eaglep3\Utilities\DownloadLogsFromS3.py --loco 4024 --day 2017-05-17</v>
      </c>
      <c r="AN145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819</v>
      </c>
      <c r="B146" s="7">
        <v>4023</v>
      </c>
      <c r="C146" s="21" t="s">
        <v>206</v>
      </c>
      <c r="D146" s="21" t="s">
        <v>380</v>
      </c>
      <c r="E146" s="13">
        <v>42872.952210648145</v>
      </c>
      <c r="F146" s="13">
        <v>42872.955717592595</v>
      </c>
      <c r="G146" s="7">
        <v>1</v>
      </c>
      <c r="H146" s="21" t="s">
        <v>197</v>
      </c>
      <c r="I146" s="13">
        <v>42872.983368055553</v>
      </c>
      <c r="J146" s="7">
        <v>1</v>
      </c>
      <c r="K146" s="92" t="str">
        <f>IF(ISEVEN(B146),(B146-1)&amp;"/"&amp;B146,B146&amp;"/"&amp;(B146+1))</f>
        <v>4023/4024</v>
      </c>
      <c r="L146" s="21" t="str">
        <f>VLOOKUP(A146,'Trips&amp;Operators'!$C$1:$G$99999,5,FALSE)</f>
        <v>BROWN JACOB</v>
      </c>
      <c r="M146" s="6">
        <f>I146-F146</f>
        <v>2.7650462958263233E-2</v>
      </c>
      <c r="N146" s="7">
        <f>24*60*SUM($M146:$M146)</f>
        <v>39.816666659899056</v>
      </c>
      <c r="O146" s="7"/>
      <c r="P146" s="7"/>
      <c r="Q146" s="22"/>
      <c r="R146" s="190"/>
      <c r="S146" s="196">
        <f>SUM(U146:U146)/IF(AG146="EC",12,1)</f>
        <v>1</v>
      </c>
      <c r="T146" s="190" t="str">
        <f>IF(ISEVEN(LEFT(AD146,4)),"Southbound","NorthBound")</f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-05-17T21:51:11-0600',mode:absolute,to:'2017-05-18T00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6" s="192" t="str">
        <f>IF(AA146&lt;IF(AG146="EC",23,5.65),"Y","N")</f>
        <v>N</v>
      </c>
      <c r="X146" s="192">
        <f>VALUE(LEFT(AD146,4))-VALUE(LEFT(AD145,4))</f>
        <v>1</v>
      </c>
      <c r="Y146" s="192">
        <f>RIGHT(D146,LEN(D146)-4)/10000</f>
        <v>23.299800000000001</v>
      </c>
      <c r="Z146" s="192">
        <f>RIGHT(H146,LEN(H146)-4)/10000</f>
        <v>1.52E-2</v>
      </c>
      <c r="AA146" s="192">
        <f>ABS(Z146-Y146)</f>
        <v>23.284600000000001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>IF(LEN(A146)=6,"0"&amp;A146,A146)</f>
        <v>0234-17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s3://rtdc.mdm.uploadarchive.raw/RTDC4023/ "%USERPROFILE%\AppData\Local\Temp\OnboardLogs"\RTDC4023\2017-05-17 --exclude "*" --recursive --include "*20170517*" &amp; "%USERPROFILE%\Documents\GitHub\mrs-test-scripts\Headless Mode &amp; Sideloading\WalkAndUnGZ.bat" "%USERPROFILE%\AppData\Local\Temp\OnboardLogs"\RTDC4023\2017-05-17 &amp; 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/stypes="app*4023*20170518*" /stext=" 05:.+((SYSTEM_STATE.+slice.+state.+changed )|(ment ac)|(multiple cpu faults)|(system.+state.+changed )|(\[timeout)|(PRM\|1\|D)|(kpr)|(kdp)|(train st.+moving)|(\|lc)|(penalty))"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12"/>
        <v>"%USERPROFILE%\Documents\GitHub\eaglep3\Utilities\RefineRTDCRunTimes.py" --tripid 234-17 --locoid 4023 --swversion DE.1.0.9.0 --startMP 204:232998 --initTime 2017-05-17T22:51:11 --startdatetime 2017-05-17T22:56:14 --delay 1 --endMP 204:152 --enddatetime 2017-05-17T23:36:03 --enforcementcount 1 &gt;&gt;C:\Users\stu\Documents\GitHub\eaglep3-reporting\EC\2017-05-17-refined-times.txt</v>
      </c>
      <c r="AI146" s="99" t="str">
        <f t="shared" si="13"/>
        <v>echo {"issue":{"subject":"","project_id":79,"tracker_id":40,"status_id":1,"priority_id":2,"assigned_to_id":23,"start_date":"2017-05-17","description":"","custom_fields":[{"id":1,"name":"Subdivision","value":"EC"},{"id":4,"name":"Milepost","value":"0.0152"},{"id":17,"name":"Train ID","value":"234-17"},{"id":16,"name":"Locomotive ID","value":"4023"},{"id":130,"name":"Impact","value":""},{"id":150,"name":"Time of Event (Mountain Time)","value":"23:36:03"},{"id":151,"name":"Denver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14"/>
        <v>start /low /b %USERPROFILE%\Documents\GitHub\eaglep3\Utilities\DownloadLogsFromS3.py --loco 4023 --day 2017-05-17</v>
      </c>
      <c r="AN146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05:36:03"},{"id":29,"name":"Sharepoint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x14ac:dyDescent="0.25">
      <c r="A147" s="32" t="s">
        <v>815</v>
      </c>
      <c r="B147" s="7">
        <v>4040</v>
      </c>
      <c r="C147" s="21" t="s">
        <v>206</v>
      </c>
      <c r="D147" s="21" t="s">
        <v>364</v>
      </c>
      <c r="E147" s="13">
        <v>42872.934884259259</v>
      </c>
      <c r="F147" s="13">
        <v>42872.937754629631</v>
      </c>
      <c r="G147" s="7">
        <v>1</v>
      </c>
      <c r="H147" s="21" t="s">
        <v>449</v>
      </c>
      <c r="I147" s="13">
        <v>42872.961898148147</v>
      </c>
      <c r="J147" s="7">
        <v>1</v>
      </c>
      <c r="K147" s="92" t="str">
        <f>IF(ISEVEN(B147),(B147-1)&amp;"/"&amp;B147,B147&amp;"/"&amp;(B147+1))</f>
        <v>4039/4040</v>
      </c>
      <c r="L147" s="21" t="str">
        <f>VLOOKUP(A147,'Trips&amp;Operators'!$C$1:$G$99999,5,FALSE)</f>
        <v>NEWELL JAMES</v>
      </c>
      <c r="M147" s="6">
        <f>I147-F147</f>
        <v>2.414351851621177E-2</v>
      </c>
      <c r="N147" s="7">
        <f>24*60*SUM($M147:$M147)</f>
        <v>34.766666663344949</v>
      </c>
      <c r="O147" s="7"/>
      <c r="P147" s="7"/>
      <c r="Q147" s="22"/>
      <c r="R147" s="190"/>
      <c r="S147" s="196">
        <f>SUM(U147:U147)/IF(AG147="EC",12,1)</f>
        <v>1</v>
      </c>
      <c r="T147" s="190" t="str">
        <f>IF(ISEVEN(LEFT(AD147,4)),"Southbound","NorthBound")</f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-05-17T21:26:14-0600',mode:absolute,to:'2017-05-18T00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7" s="192" t="str">
        <f>IF(AA147&lt;IF(AG147="EC",23,5.65),"Y","N")</f>
        <v>N</v>
      </c>
      <c r="X147" s="192">
        <f>VALUE(LEFT(AD147,4))-VALUE(LEFT(AD146,4))</f>
        <v>1</v>
      </c>
      <c r="Y147" s="192">
        <f>RIGHT(D147,LEN(D147)-4)/10000</f>
        <v>4.53E-2</v>
      </c>
      <c r="Z147" s="192">
        <f>RIGHT(H147,LEN(H147)-4)/10000</f>
        <v>23.330500000000001</v>
      </c>
      <c r="AA147" s="192">
        <f>ABS(Z147-Y147)</f>
        <v>23.2852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0235-17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 &amp; 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/stypes="app*4040*20170518*" /stext=" 05:.+((SYSTEM_STATE.+slice.+state.+changed )|(ment ac)|(multiple cpu faults)|(system.+state.+changed )|(\[timeout)|(PRM\|1\|D)|(kpr)|(kdp)|(train st.+moving)|(\|lc)|(penalty))"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12"/>
        <v>"%USERPROFILE%\Documents\GitHub\eaglep3\Utilities\RefineRTDCRunTimes.py" --tripid 235-17 --locoid 4040 --swversion DE.1.0.9.0 --startMP 204:453 --initTime 2017-05-17T22:26:14 --startdatetime 2017-05-17T22:30:22 --delay 1 --endMP 204:233305 --enddatetime 2017-05-17T23:05:08 --enforcementcount 1 &gt;&gt;C:\Users\stu\Documents\GitHub\eaglep3-reporting\EC\2017-05-17-refined-times.txt</v>
      </c>
      <c r="AI147" s="99" t="str">
        <f t="shared" si="13"/>
        <v>echo {"issue":{"subject":"","project_id":79,"tracker_id":40,"status_id":1,"priority_id":2,"assigned_to_id":23,"start_date":"2017-05-17","description":"","custom_fields":[{"id":1,"name":"Subdivision","value":"EC"},{"id":4,"name":"Milepost","value":"23.3305"},{"id":17,"name":"Train ID","value":"235-17"},{"id":16,"name":"Locomotive ID","value":"4040"},{"id":130,"name":"Impact","value":""},{"id":150,"name":"Time of Event (Mountain Time)","value":"23:05:08"},{"id":151,"name":"Denver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20"/>
      <c r="AK147" s="47"/>
      <c r="AL147" s="47"/>
      <c r="AM147" s="145" t="str">
        <f t="shared" si="14"/>
        <v>start /low /b %USERPROFILE%\Documents\GitHub\eaglep3\Utilities\DownloadLogsFromS3.py --loco 4040 --day 2017-05-17</v>
      </c>
      <c r="AN147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05:05:08"},{"id":29,"name":"Sharepoint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s="20" customFormat="1" x14ac:dyDescent="0.25">
      <c r="A148" s="32" t="s">
        <v>820</v>
      </c>
      <c r="B148" s="7">
        <v>4039</v>
      </c>
      <c r="C148" s="21" t="s">
        <v>206</v>
      </c>
      <c r="D148" s="21" t="s">
        <v>451</v>
      </c>
      <c r="E148" s="13">
        <v>42872.970879629633</v>
      </c>
      <c r="F148" s="13">
        <v>42872.976527777777</v>
      </c>
      <c r="G148" s="7">
        <v>1</v>
      </c>
      <c r="H148" s="21" t="s">
        <v>363</v>
      </c>
      <c r="I148" s="13">
        <v>42873.003900462965</v>
      </c>
      <c r="J148" s="7">
        <v>1</v>
      </c>
      <c r="K148" s="92" t="str">
        <f>IF(ISEVEN(B148),(B148-1)&amp;"/"&amp;B148,B148&amp;"/"&amp;(B148+1))</f>
        <v>4039/4040</v>
      </c>
      <c r="L148" s="21" t="str">
        <f>VLOOKUP(A148,'Trips&amp;Operators'!$C$1:$G$99999,5,FALSE)</f>
        <v>NEWELL JAMES</v>
      </c>
      <c r="M148" s="6">
        <f>I148-F148</f>
        <v>2.7372685188311152E-2</v>
      </c>
      <c r="N148" s="7">
        <f>24*60*SUM($M148:$M148)</f>
        <v>39.416666671168059</v>
      </c>
      <c r="O148" s="7"/>
      <c r="P148" s="7"/>
      <c r="Q148" s="22"/>
      <c r="R148" s="190"/>
      <c r="S148" s="196">
        <f>SUM(U148:U148)/IF(AG148="EC",12,1)</f>
        <v>1</v>
      </c>
      <c r="T148" s="190" t="str">
        <f>IF(ISEVEN(LEFT(AD148,4)),"Southbound","NorthBound")</f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-05-17T22:18:04-0600',mode:absolute,to:'2017-05-18T01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8" s="192" t="str">
        <f>IF(AA148&lt;IF(AG148="EC",23,5.65),"Y","N")</f>
        <v>N</v>
      </c>
      <c r="X148" s="192">
        <f>VALUE(LEFT(AD148,4))-VALUE(LEFT(AD147,4))</f>
        <v>1</v>
      </c>
      <c r="Y148" s="192">
        <f>RIGHT(D148,LEN(D148)-4)/10000</f>
        <v>23.297499999999999</v>
      </c>
      <c r="Z148" s="192">
        <f>RIGHT(H148,LEN(H148)-4)/10000</f>
        <v>1.5599999999999999E-2</v>
      </c>
      <c r="AA148" s="192">
        <f>ABS(Z148-Y148)</f>
        <v>23.2819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>IF(LEN(A148)=6,"0"&amp;A148,A148)</f>
        <v>0236-17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/stypes="app*4039*20170518*" /stext=" 06:.+((SYSTEM_STATE.+slice.+state.+changed )|(ment ac)|(multiple cpu faults)|(system.+state.+changed )|(\[timeout)|(PRM\|1\|D)|(kpr)|(kdp)|(train st.+moving)|(\|lc)|(penalty))"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12"/>
        <v>"%USERPROFILE%\Documents\GitHub\eaglep3\Utilities\RefineRTDCRunTimes.py" --tripid 236-17 --locoid 4039 --swversion DE.1.0.9.0 --startMP 204:232975 --initTime 2017-05-17T23:18:04 --startdatetime 2017-05-17T23:26:12 --delay 1 --endMP 204:156 --enddatetime 2017-05-18T00:05:37 --enforcementcount 1 &gt;&gt;C:\Users\stu\Documents\GitHub\eaglep3-reporting\EC\2017-05-17-refined-times.txt</v>
      </c>
      <c r="AI148" s="99" t="str">
        <f t="shared" si="13"/>
        <v>echo {"issue":{"subject":"","project_id":79,"tracker_id":40,"status_id":1,"priority_id":2,"assigned_to_id":23,"start_date":"2017-05-18","description":"","custom_fields":[{"id":1,"name":"Subdivision","value":"EC"},{"id":4,"name":"Milepost","value":"0.0156"},{"id":17,"name":"Train ID","value":"236-17"},{"id":16,"name":"Locomotive ID","value":"4039"},{"id":130,"name":"Impact","value":""},{"id":150,"name":"Time of Event (Mountain Time)","value":"00:05:37"},{"id":151,"name":"Denver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14"/>
        <v>start /low /b %USERPROFILE%\Documents\GitHub\eaglep3\Utilities\DownloadLogsFromS3.py --loco 4039 --day 2017-05-17</v>
      </c>
      <c r="AN148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06:05:37"},{"id":29,"name":"Sharepoint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818</v>
      </c>
      <c r="B149" s="7">
        <v>4016</v>
      </c>
      <c r="C149" s="21" t="s">
        <v>206</v>
      </c>
      <c r="D149" s="21" t="s">
        <v>362</v>
      </c>
      <c r="E149" s="13">
        <v>42872.945532407408</v>
      </c>
      <c r="F149" s="13">
        <v>42872.958564814813</v>
      </c>
      <c r="G149" s="7">
        <v>1</v>
      </c>
      <c r="H149" s="21" t="s">
        <v>900</v>
      </c>
      <c r="I149" s="13">
        <v>42872.985196759262</v>
      </c>
      <c r="J149" s="7">
        <v>1</v>
      </c>
      <c r="K149" s="92" t="str">
        <f>IF(ISEVEN(B149),(B149-1)&amp;"/"&amp;B149,B149&amp;"/"&amp;(B149+1))</f>
        <v>4015/4016</v>
      </c>
      <c r="L149" s="21" t="str">
        <f>VLOOKUP(A149,'Trips&amp;Operators'!$C$1:$G$99999,5,FALSE)</f>
        <v>SWANSON BRYCE</v>
      </c>
      <c r="M149" s="6">
        <f>I149-F149</f>
        <v>2.6631944449036382E-2</v>
      </c>
      <c r="N149" s="7">
        <f>24*60*SUM($M149:$M149)</f>
        <v>38.35000000661239</v>
      </c>
      <c r="O149" s="7"/>
      <c r="P149" s="7"/>
      <c r="Q149" s="22"/>
      <c r="R149" s="190"/>
      <c r="S149" s="196">
        <f>SUM(U149:U149)/IF(AG149="EC",12,1)</f>
        <v>1</v>
      </c>
      <c r="T149" s="190" t="str">
        <f>IF(ISEVEN(LEFT(AD149,4)),"Southbound","NorthBound")</f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-05-17T21:41:34-0600',mode:absolute,to:'2017-05-18T00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192" t="str">
        <f>IF(AA149&lt;IF(AG149="EC",23,5.65),"Y","N")</f>
        <v>N</v>
      </c>
      <c r="X149" s="192">
        <f>VALUE(LEFT(AD149,4))-VALUE(LEFT(AD148,4))</f>
        <v>1</v>
      </c>
      <c r="Y149" s="192">
        <f>RIGHT(D149,LEN(D149)-4)/10000</f>
        <v>4.6399999999999997E-2</v>
      </c>
      <c r="Z149" s="192">
        <f>RIGHT(H149,LEN(H149)-4)/10000</f>
        <v>23.341999999999999</v>
      </c>
      <c r="AA149" s="192">
        <f>ABS(Z149-Y149)</f>
        <v>23.2956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0237-17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/stypes="app*4016*20170518*" /stext=" 05:.+((SYSTEM_STATE.+slice.+state.+changed )|(ment ac)|(multiple cpu faults)|(system.+state.+changed )|(\[timeout)|(PRM\|1\|D)|(kpr)|(kdp)|(train st.+moving)|(\|lc)|(penalty))"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12"/>
        <v>"%USERPROFILE%\Documents\GitHub\eaglep3\Utilities\RefineRTDCRunTimes.py" --tripid 237-17 --locoid 4016 --swversion DE.1.0.9.0 --startMP 204:464 --initTime 2017-05-17T22:41:34 --startdatetime 2017-05-17T23:00:20 --delay 1 --endMP 204:233420 --enddatetime 2017-05-17T23:38:41 --enforcementcount 1 &gt;&gt;C:\Users\stu\Documents\GitHub\eaglep3-reporting\EC\2017-05-17-refined-times.txt</v>
      </c>
      <c r="AI149" s="99" t="str">
        <f t="shared" si="13"/>
        <v>echo {"issue":{"subject":"","project_id":79,"tracker_id":40,"status_id":1,"priority_id":2,"assigned_to_id":23,"start_date":"2017-05-17","description":"","custom_fields":[{"id":1,"name":"Subdivision","value":"EC"},{"id":4,"name":"Milepost","value":"23.342"},{"id":17,"name":"Train ID","value":"237-17"},{"id":16,"name":"Locomotive ID","value":"4016"},{"id":130,"name":"Impact","value":""},{"id":150,"name":"Time of Event (Mountain Time)","value":"23:38:41"},{"id":151,"name":"Denver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14"/>
        <v>start /low /b %USERPROFILE%\Documents\GitHub\eaglep3\Utilities\DownloadLogsFromS3.py --loco 4016 --day 2017-05-17</v>
      </c>
      <c r="AN149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05:38:41"},{"id":29,"name":"Sharepoint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2" t="s">
        <v>821</v>
      </c>
      <c r="B150" s="7">
        <v>4015</v>
      </c>
      <c r="C150" s="21" t="s">
        <v>206</v>
      </c>
      <c r="D150" s="21" t="s">
        <v>901</v>
      </c>
      <c r="E150" s="13">
        <v>42872.994201388887</v>
      </c>
      <c r="F150" s="13">
        <v>42872.997372685182</v>
      </c>
      <c r="G150" s="7">
        <v>1</v>
      </c>
      <c r="H150" s="21" t="s">
        <v>357</v>
      </c>
      <c r="I150" s="13">
        <v>42873.025787037041</v>
      </c>
      <c r="J150" s="7">
        <v>1</v>
      </c>
      <c r="K150" s="92" t="str">
        <f>IF(ISEVEN(B150),(B150-1)&amp;"/"&amp;B150,B150&amp;"/"&amp;(B150+1))</f>
        <v>4015/4016</v>
      </c>
      <c r="L150" s="21" t="str">
        <f>VLOOKUP(A150,'Trips&amp;Operators'!$C$1:$G$99999,5,FALSE)</f>
        <v>SWANSON BRYCE</v>
      </c>
      <c r="M150" s="6">
        <f>I150-F150</f>
        <v>2.8414351858373266E-2</v>
      </c>
      <c r="N150" s="7">
        <f>24*60*SUM($M150:$M150)</f>
        <v>40.916666676057503</v>
      </c>
      <c r="O150" s="7"/>
      <c r="P150" s="7"/>
      <c r="Q150" s="22"/>
      <c r="R150" s="190"/>
      <c r="S150" s="196">
        <f>SUM(U150:U150)/IF(AG150="EC",12,1)</f>
        <v>1</v>
      </c>
      <c r="T150" s="190" t="str">
        <f>IF(ISEVEN(LEFT(AD150,4)),"Southbound","NorthBound")</f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-05-17T22:51:39-0600',mode:absolute,to:'2017-05-18T01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192" t="str">
        <f>IF(AA150&lt;IF(AG150="EC",23,5.65),"Y","N")</f>
        <v>N</v>
      </c>
      <c r="X150" s="192">
        <f>VALUE(LEFT(AD150,4))-VALUE(LEFT(AD149,4))</f>
        <v>1</v>
      </c>
      <c r="Y150" s="192">
        <f>RIGHT(D150,LEN(D150)-4)/10000</f>
        <v>23.310099999999998</v>
      </c>
      <c r="Z150" s="192">
        <f>RIGHT(H150,LEN(H150)-4)/10000</f>
        <v>1.49E-2</v>
      </c>
      <c r="AA150" s="192">
        <f>ABS(Z150-Y150)</f>
        <v>23.295199999999998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>IF(LEN(A150)=6,"0"&amp;A150,A150)</f>
        <v>0238-17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s3://rtdc.mdm.uploadarchive.raw/RTDC4015/ "%USERPROFILE%\AppData\Local\Temp\OnboardLogs"\RTDC4015\2017-05-17 --exclude "*" --recursive --include "*20170517*" &amp; "%USERPROFILE%\Documents\GitHub\mrs-test-scripts\Headless Mode &amp; Sideloading\WalkAndUnGZ.bat" "%USERPROFILE%\AppData\Local\Temp\OnboardLogs"\RTDC4015\2017-05-17 &amp; aws s3 cp s3://rtdc.mdm.uploadarchive.raw/RTDC4015/ "%USERPROFILE%\AppData\Local\Temp\OnboardLogs"\RTDC4015\2017-05-18 --exclude "*" --recursive --include "*20170518*" &amp; "%USERPROFILE%\Documents\GitHub\mrs-test-scripts\Headless Mode &amp; Sideloading\WalkAndUnGZ.bat" "%USERPROFILE%\AppData\Local\Temp\OnboardLogs"\RTDC4015\2017-05-18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/stypes="app*4015*20170518*" /stext=" 06:.+((SYSTEM_STATE.+slice.+state.+changed )|(ment ac)|(multiple cpu faults)|(system.+state.+changed )|(\[timeout)|(PRM\|1\|D)|(kpr)|(kdp)|(train st.+moving)|(\|lc)|(penalty))"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12"/>
        <v>"%USERPROFILE%\Documents\GitHub\eaglep3\Utilities\RefineRTDCRunTimes.py" --tripid 238-17 --locoid 4015 --swversion DE.1.0.9.0 --startMP 204:233101 --initTime 2017-05-17T23:51:39 --startdatetime 2017-05-17T23:56:13 --delay 1 --endMP 204:149 --enddatetime 2017-05-18T00:37:08 --enforcementcount 1 &gt;&gt;C:\Users\stu\Documents\GitHub\eaglep3-reporting\EC\2017-05-17-refined-times.txt</v>
      </c>
      <c r="AI150" s="99" t="str">
        <f t="shared" si="13"/>
        <v>echo {"issue":{"subject":"","project_id":79,"tracker_id":40,"status_id":1,"priority_id":2,"assigned_to_id":23,"start_date":"2017-05-18","description":"","custom_fields":[{"id":1,"name":"Subdivision","value":"EC"},{"id":4,"name":"Milepost","value":"0.0149"},{"id":17,"name":"Train ID","value":"238-17"},{"id":16,"name":"Locomotive ID","value":"4015"},{"id":130,"name":"Impact","value":""},{"id":150,"name":"Time of Event (Mountain Time)","value":"00:37:08"},{"id":151,"name":"Denver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14"/>
        <v>start /low /b %USERPROFILE%\Documents\GitHub\eaglep3\Utilities\DownloadLogsFromS3.py --loco 4015 --day 2017-05-17</v>
      </c>
      <c r="AN150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06:37:08"},{"id":29,"name":"Sharepoint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611</v>
      </c>
      <c r="B151" s="7">
        <v>4042</v>
      </c>
      <c r="C151" s="21" t="s">
        <v>206</v>
      </c>
      <c r="D151" s="21" t="s">
        <v>360</v>
      </c>
      <c r="E151" s="13">
        <v>42872.977164351854</v>
      </c>
      <c r="F151" s="13">
        <v>42872.979386574072</v>
      </c>
      <c r="G151" s="7">
        <v>1</v>
      </c>
      <c r="H151" s="21" t="s">
        <v>537</v>
      </c>
      <c r="I151" s="13">
        <v>42873.004652777781</v>
      </c>
      <c r="J151" s="7">
        <v>1</v>
      </c>
      <c r="K151" s="92" t="str">
        <f>IF(ISEVEN(B151),(B151-1)&amp;"/"&amp;B151,B151&amp;"/"&amp;(B151+1))</f>
        <v>4041/4042</v>
      </c>
      <c r="L151" s="21" t="str">
        <f>VLOOKUP(A151,'Trips&amp;Operators'!$C$1:$G$99999,5,FALSE)</f>
        <v>BIRENBAUM THOMAS</v>
      </c>
      <c r="M151" s="6">
        <f>I151-F151</f>
        <v>2.5266203709179536E-2</v>
      </c>
      <c r="N151" s="7">
        <f>24*60*SUM($M151:$M151)</f>
        <v>36.383333341218531</v>
      </c>
      <c r="O151" s="7"/>
      <c r="P151" s="7"/>
      <c r="Q151" s="22"/>
      <c r="R151" s="190"/>
      <c r="S151" s="196">
        <f>SUM(U151:U151)/IF(AG151="EC",12,1)</f>
        <v>1</v>
      </c>
      <c r="T151" s="190" t="str">
        <f>IF(ISEVEN(LEFT(AD151,4)),"Southbound","NorthBound")</f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-05-17T22:27:07-0600',mode:absolute,to:'2017-05-18T01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1" s="192" t="str">
        <f>IF(AA151&lt;IF(AG151="EC",23,5.65),"Y","N")</f>
        <v>N</v>
      </c>
      <c r="X151" s="192">
        <f>VALUE(LEFT(AD151,4))-VALUE(LEFT(AD150,4))</f>
        <v>1</v>
      </c>
      <c r="Y151" s="192">
        <f>RIGHT(D151,LEN(D151)-4)/10000</f>
        <v>4.5100000000000001E-2</v>
      </c>
      <c r="Z151" s="192">
        <f>RIGHT(H151,LEN(H151)-4)/10000</f>
        <v>23.331399999999999</v>
      </c>
      <c r="AA151" s="192">
        <f>ABS(Z151-Y151)</f>
        <v>23.286299999999997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0239-17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/stypes="app*4042*20170518*" /stext=" 06:.+((SYSTEM_STATE.+slice.+state.+changed )|(ment ac)|(multiple cpu faults)|(system.+state.+changed )|(\[timeout)|(PRM\|1\|D)|(kpr)|(kdp)|(train st.+moving)|(\|lc)|(penalty))"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12"/>
        <v>"%USERPROFILE%\Documents\GitHub\eaglep3\Utilities\RefineRTDCRunTimes.py" --tripid 239-17 --locoid 4042 --swversion DE.1.0.9.0 --startMP 204:451 --initTime 2017-05-17T23:27:07 --startdatetime 2017-05-17T23:30:19 --delay 1 --endMP 204:233314 --enddatetime 2017-05-18T00:06:42 --enforcementcount 1 &gt;&gt;C:\Users\stu\Documents\GitHub\eaglep3-reporting\EC\2017-05-17-refined-times.txt</v>
      </c>
      <c r="AI151" s="99" t="str">
        <f t="shared" si="13"/>
        <v>echo {"issue":{"subject":"","project_id":79,"tracker_id":40,"status_id":1,"priority_id":2,"assigned_to_id":23,"start_date":"2017-05-18","description":"","custom_fields":[{"id":1,"name":"Subdivision","value":"EC"},{"id":4,"name":"Milepost","value":"23.3314"},{"id":17,"name":"Train ID","value":"239-17"},{"id":16,"name":"Locomotive ID","value":"4042"},{"id":130,"name":"Impact","value":""},{"id":150,"name":"Time of Event (Mountain Time)","value":"00:06:42"},{"id":151,"name":"Denver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14"/>
        <v>start /low /b %USERPROFILE%\Documents\GitHub\eaglep3\Utilities\DownloadLogsFromS3.py --loco 4042 --day 2017-05-17</v>
      </c>
      <c r="AN151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06:06:42"},{"id":29,"name":"Sharepoint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613</v>
      </c>
      <c r="B152" s="7">
        <v>4041</v>
      </c>
      <c r="C152" s="21" t="s">
        <v>206</v>
      </c>
      <c r="D152" s="21" t="s">
        <v>876</v>
      </c>
      <c r="E152" s="13">
        <v>42873.013518518521</v>
      </c>
      <c r="F152" s="13">
        <v>42873.018194444441</v>
      </c>
      <c r="G152" s="7">
        <v>1</v>
      </c>
      <c r="H152" s="21" t="s">
        <v>198</v>
      </c>
      <c r="I152" s="13">
        <v>42873.044259259259</v>
      </c>
      <c r="J152" s="7">
        <v>1</v>
      </c>
      <c r="K152" s="92" t="str">
        <f>IF(ISEVEN(B152),(B152-1)&amp;"/"&amp;B152,B152&amp;"/"&amp;(B152+1))</f>
        <v>4041/4042</v>
      </c>
      <c r="L152" s="21" t="str">
        <f>VLOOKUP(A152,'Trips&amp;Operators'!$C$1:$G$99999,5,FALSE)</f>
        <v>BIRENBAUM THOMAS</v>
      </c>
      <c r="M152" s="6">
        <f>I152-F152</f>
        <v>2.6064814817800652E-2</v>
      </c>
      <c r="N152" s="7">
        <f>24*60*SUM($M152:$M152)</f>
        <v>37.533333337632939</v>
      </c>
      <c r="O152" s="7"/>
      <c r="P152" s="7"/>
      <c r="Q152" s="22"/>
      <c r="R152" s="190"/>
      <c r="S152" s="196">
        <f>SUM(U152:U152)/IF(AG152="EC",12,1)</f>
        <v>1</v>
      </c>
      <c r="T152" s="190" t="str">
        <f>IF(ISEVEN(LEFT(AD152,4)),"Southbound","NorthBound")</f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-05-17T23:19:28-0600',mode:absolute,to:'2017-05-18T02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2" s="192" t="str">
        <f>IF(AA152&lt;IF(AG152="EC",23,5.65),"Y","N")</f>
        <v>N</v>
      </c>
      <c r="X152" s="192">
        <f>VALUE(LEFT(AD152,4))-VALUE(LEFT(AD151,4))</f>
        <v>1</v>
      </c>
      <c r="Y152" s="192">
        <f>RIGHT(D152,LEN(D152)-4)/10000</f>
        <v>23.302099999999999</v>
      </c>
      <c r="Z152" s="192">
        <f>RIGHT(H152,LEN(H152)-4)/10000</f>
        <v>1.5800000000000002E-2</v>
      </c>
      <c r="AA152" s="192">
        <f>ABS(Z152-Y152)</f>
        <v>23.286300000000001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0240-17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s3://rtdc.mdm.uploadarchive.raw/RTDC4041/ "%USERPROFILE%\AppData\Local\Temp\OnboardLogs"\RTDC4041\2017-05-18 --exclude "*" --recursive --include "*20170518*" &amp; "%USERPROFILE%\Documents\GitHub\mrs-test-scripts\Headless Mode &amp; Sideloading\WalkAndUnGZ.bat" "%USERPROFILE%\AppData\Local\Temp\OnboardLogs"\RTDC4041\2017-05-18 &amp; aws s3 cp s3://rtdc.mdm.uploadarchive.raw/RTDC4041/ "%USERPROFILE%\AppData\Local\Temp\OnboardLogs"\RTDC4041\2017-05-19 --exclude "*" --recursive --include "*20170519*" &amp; "%USERPROFILE%\Documents\GitHub\mrs-test-scripts\Headless Mode &amp; Sideloading\WalkAndUnGZ.bat" "%USERPROFILE%\AppData\Local\Temp\OnboardLogs"\RTDC4041\2017-05-19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/stypes="app*4041*20170518*" /stext=" 07:.+((SYSTEM_STATE.+slice.+state.+changed )|(ment ac)|(multiple cpu faults)|(system.+state.+changed )|(\[timeout)|(PRM\|1\|D)|(kpr)|(kdp)|(train st.+moving)|(\|lc)|(penalty))"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12"/>
        <v>"%USERPROFILE%\Documents\GitHub\eaglep3\Utilities\RefineRTDCRunTimes.py" --tripid 240-17 --locoid 4041 --swversion DE.1.0.9.0 --startMP 204:233021 --initTime 2017-05-18T00:19:28 --startdatetime 2017-05-18T00:26:12 --delay 1 --endMP 204:158 --enddatetime 2017-05-18T01:03:44 --enforcementcount 1 &gt;&gt;C:\Users\stu\Documents\GitHub\eaglep3-reporting\EC\2017-05-17-refined-times.txt</v>
      </c>
      <c r="AI152" s="99" t="str">
        <f t="shared" si="13"/>
        <v>echo {"issue":{"subject":"","project_id":79,"tracker_id":40,"status_id":1,"priority_id":2,"assigned_to_id":23,"start_date":"2017-05-18","description":"","custom_fields":[{"id":1,"name":"Subdivision","value":"EC"},{"id":4,"name":"Milepost","value":"0.0158"},{"id":17,"name":"Train ID","value":"240-17"},{"id":16,"name":"Locomotive ID","value":"4041"},{"id":130,"name":"Impact","value":""},{"id":150,"name":"Time of Event (Mountain Time)","value":"01:03:44"},{"id":151,"name":"Denver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14"/>
        <v>start /low /b %USERPROFILE%\Documents\GitHub\eaglep3\Utilities\DownloadLogsFromS3.py --loco 4041 --day 2017-05-18</v>
      </c>
      <c r="AN152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07:03:44"},{"id":29,"name":"Sharepoint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612</v>
      </c>
      <c r="B153" s="7">
        <v>4024</v>
      </c>
      <c r="C153" s="21" t="s">
        <v>206</v>
      </c>
      <c r="D153" s="21" t="s">
        <v>359</v>
      </c>
      <c r="E153" s="13">
        <v>42872.999108796299</v>
      </c>
      <c r="F153" s="13">
        <v>42873.000231481485</v>
      </c>
      <c r="G153" s="7">
        <v>1</v>
      </c>
      <c r="H153" s="21" t="s">
        <v>537</v>
      </c>
      <c r="I153" s="13">
        <v>42873.026030092595</v>
      </c>
      <c r="J153" s="7">
        <v>1</v>
      </c>
      <c r="K153" s="92" t="str">
        <f>IF(ISEVEN(B153),(B153-1)&amp;"/"&amp;B153,B153&amp;"/"&amp;(B153+1))</f>
        <v>4023/4024</v>
      </c>
      <c r="L153" s="21" t="str">
        <f>VLOOKUP(A153,'Trips&amp;Operators'!$C$1:$G$99999,5,FALSE)</f>
        <v>BROWN JACOB</v>
      </c>
      <c r="M153" s="6">
        <f>I153-F153</f>
        <v>2.5798611110076308E-2</v>
      </c>
      <c r="N153" s="7">
        <f>24*60*SUM($M153:$M153)</f>
        <v>37.149999998509884</v>
      </c>
      <c r="O153" s="7"/>
      <c r="P153" s="7"/>
      <c r="Q153" s="22"/>
      <c r="R153" s="190"/>
      <c r="S153" s="196">
        <f>SUM(U153:U153)/IF(AG153="EC",12,1)</f>
        <v>1</v>
      </c>
      <c r="T153" s="190" t="str">
        <f>IF(ISEVEN(LEFT(AD153,4)),"Southbound","NorthBound")</f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-05-17T22:58:43-0600',mode:absolute,to:'2017-05-18T01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3" s="192" t="str">
        <f>IF(AA153&lt;IF(AG153="EC",23,5.65),"Y","N")</f>
        <v>N</v>
      </c>
      <c r="X153" s="192">
        <f>VALUE(LEFT(AD153,4))-VALUE(LEFT(AD152,4))</f>
        <v>1</v>
      </c>
      <c r="Y153" s="192">
        <f>RIGHT(D153,LEN(D153)-4)/10000</f>
        <v>4.6600000000000003E-2</v>
      </c>
      <c r="Z153" s="192">
        <f>RIGHT(H153,LEN(H153)-4)/10000</f>
        <v>23.331399999999999</v>
      </c>
      <c r="AA153" s="192">
        <f>ABS(Z153-Y153)</f>
        <v>23.284799999999997</v>
      </c>
      <c r="AB153" s="57" t="str">
        <f>VLOOKUP(A153,Enforcements!$C$7:$K$13,8,0)</f>
        <v>Bulletin (2)</v>
      </c>
      <c r="AC153" s="53" t="str">
        <f>VLOOKUP(A153,Enforcements!$C$7:$E$13,3,0)</f>
        <v>GRADE CROSSING</v>
      </c>
      <c r="AD153" s="54" t="str">
        <f>IF(LEN(A153)=6,"0"&amp;A153,A153)</f>
        <v>0241-17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 &amp; 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/stypes="app*4024*20170518*" /stext=" 06:.+((SYSTEM_STATE.+slice.+state.+changed )|(ment ac)|(multiple cpu faults)|(system.+state.+changed )|(\[timeout)|(PRM\|1\|D)|(kpr)|(kdp)|(train st.+moving)|(\|lc)|(penalty))"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12"/>
        <v>"%USERPROFILE%\Documents\GitHub\eaglep3\Utilities\RefineRTDCRunTimes.py" --tripid 241-17 --locoid 4024 --swversion DE.1.0.9.0 --startMP 204:466 --initTime 2017-05-17T23:58:43 --startdatetime 2017-05-18T00:00:20 --delay 1 --endMP 204:233314 --enddatetime 2017-05-18T00:37:29 --enforcementcount 1 &gt;&gt;C:\Users\stu\Documents\GitHub\eaglep3-reporting\EC\2017-05-17-refined-times.txt</v>
      </c>
      <c r="AI153" s="99" t="str">
        <f t="shared" si="13"/>
        <v>echo {"issue":{"subject":"","project_id":79,"tracker_id":40,"status_id":1,"priority_id":2,"assigned_to_id":23,"start_date":"2017-05-18","description":"","custom_fields":[{"id":1,"name":"Subdivision","value":"EC"},{"id":4,"name":"Milepost","value":"23.3314"},{"id":17,"name":"Train ID","value":"241-17"},{"id":16,"name":"Locomotive ID","value":"4024"},{"id":130,"name":"Impact","value":""},{"id":150,"name":"Time of Event (Mountain Time)","value":"00:37:29"},{"id":151,"name":"Denver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14"/>
        <v>start /low /b %USERPROFILE%\Documents\GitHub\eaglep3\Utilities\DownloadLogsFromS3.py --loco 4024 --day 2017-05-18</v>
      </c>
      <c r="AN153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06:37:29"},{"id":29,"name":"Sharepoint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824</v>
      </c>
      <c r="B154" s="7">
        <v>4023</v>
      </c>
      <c r="C154" s="21" t="s">
        <v>206</v>
      </c>
      <c r="D154" s="21" t="s">
        <v>454</v>
      </c>
      <c r="E154" s="13">
        <v>42873.03460648148</v>
      </c>
      <c r="F154" s="13">
        <v>42873.039097222223</v>
      </c>
      <c r="G154" s="7">
        <v>1</v>
      </c>
      <c r="H154" s="21" t="s">
        <v>370</v>
      </c>
      <c r="I154" s="13">
        <v>42873.065879629627</v>
      </c>
      <c r="J154" s="7">
        <v>1</v>
      </c>
      <c r="K154" s="92" t="str">
        <f>IF(ISEVEN(B154),(B154-1)&amp;"/"&amp;B154,B154&amp;"/"&amp;(B154+1))</f>
        <v>4023/4024</v>
      </c>
      <c r="L154" s="21" t="str">
        <f>VLOOKUP(A154,'Trips&amp;Operators'!$C$1:$G$99999,5,FALSE)</f>
        <v>BROWN JACOB</v>
      </c>
      <c r="M154" s="6">
        <f>I154-F154</f>
        <v>2.6782407403516117E-2</v>
      </c>
      <c r="N154" s="7">
        <f>24*60*SUM($M154:$M154)</f>
        <v>38.566666661063209</v>
      </c>
      <c r="O154" s="7"/>
      <c r="P154" s="7"/>
      <c r="Q154" s="22"/>
      <c r="R154" s="190"/>
      <c r="S154" s="196">
        <f>SUM(U154:U154)/IF(AG154="EC",12,1)</f>
        <v>1</v>
      </c>
      <c r="T154" s="190" t="str">
        <f>IF(ISEVEN(LEFT(AD154,4)),"Southbound","NorthBound")</f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-05-17T23:49:50-0600',mode:absolute,to:'2017-05-18T02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4" s="192" t="str">
        <f>IF(AA154&lt;IF(AG154="EC",23,5.65),"Y","N")</f>
        <v>N</v>
      </c>
      <c r="X154" s="192">
        <f>VALUE(LEFT(AD154,4))-VALUE(LEFT(AD153,4))</f>
        <v>1</v>
      </c>
      <c r="Y154" s="192">
        <f>RIGHT(D154,LEN(D154)-4)/10000</f>
        <v>23.301100000000002</v>
      </c>
      <c r="Z154" s="192">
        <f>RIGHT(H154,LEN(H154)-4)/10000</f>
        <v>1.47E-2</v>
      </c>
      <c r="AA154" s="192">
        <f>ABS(Z154-Y154)</f>
        <v>23.2864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>IF(LEN(A154)=6,"0"&amp;A154,A154)</f>
        <v>0242-17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s3://rtdc.mdm.uploadarchive.raw/RTDC4023/ "%USERPROFILE%\AppData\Local\Temp\OnboardLogs"\RTDC4023\2017-05-18 --exclude "*" --recursive --include "*20170518*" &amp; "%USERPROFILE%\Documents\GitHub\mrs-test-scripts\Headless Mode &amp; Sideloading\WalkAndUnGZ.bat" "%USERPROFILE%\AppData\Local\Temp\OnboardLogs"\RTDC4023\2017-05-18 &amp; aws s3 cp s3://rtdc.mdm.uploadarchive.raw/RTDC4023/ "%USERPROFILE%\AppData\Local\Temp\OnboardLogs"\RTDC4023\2017-05-19 --exclude "*" --recursive --include "*20170519*" &amp; "%USERPROFILE%\Documents\GitHub\mrs-test-scripts\Headless Mode &amp; Sideloading\WalkAndUnGZ.bat" "%USERPROFILE%\AppData\Local\Temp\OnboardLogs"\RTDC4023\2017-05-19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/stypes="app*4023*20170518*" /stext=" 07:.+((SYSTEM_STATE.+slice.+state.+changed )|(ment ac)|(multiple cpu faults)|(system.+state.+changed )|(\[timeout)|(PRM\|1\|D)|(kpr)|(kdp)|(train st.+moving)|(\|lc)|(penalty))"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12"/>
        <v>"%USERPROFILE%\Documents\GitHub\eaglep3\Utilities\RefineRTDCRunTimes.py" --tripid 242-17 --locoid 4023 --swversion DE.1.0.9.0 --startMP 204:233011 --initTime 2017-05-18T00:49:50 --startdatetime 2017-05-18T00:56:18 --delay 1 --endMP 204:147 --enddatetime 2017-05-18T01:34:52 --enforcementcount 1 &gt;&gt;C:\Users\stu\Documents\GitHub\eaglep3-reporting\EC\2017-05-17-refined-times.txt</v>
      </c>
      <c r="AI154" s="99" t="str">
        <f t="shared" si="13"/>
        <v>echo {"issue":{"subject":"","project_id":79,"tracker_id":40,"status_id":1,"priority_id":2,"assigned_to_id":23,"start_date":"2017-05-18","description":"","custom_fields":[{"id":1,"name":"Subdivision","value":"EC"},{"id":4,"name":"Milepost","value":"0.0147"},{"id":17,"name":"Train ID","value":"242-17"},{"id":16,"name":"Locomotive ID","value":"4023"},{"id":130,"name":"Impact","value":""},{"id":150,"name":"Time of Event (Mountain Time)","value":"01:34:52"},{"id":151,"name":"Denver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14"/>
        <v>start /low /b %USERPROFILE%\Documents\GitHub\eaglep3\Utilities\DownloadLogsFromS3.py --loco 4023 --day 2017-05-18</v>
      </c>
      <c r="AN154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07:34:52"},{"id":29,"name":"Sharepoint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822</v>
      </c>
      <c r="B155" s="7">
        <v>4040</v>
      </c>
      <c r="C155" s="21" t="s">
        <v>206</v>
      </c>
      <c r="D155" s="21" t="s">
        <v>902</v>
      </c>
      <c r="E155" s="13">
        <v>42873.017453703702</v>
      </c>
      <c r="F155" s="13">
        <v>42873.020995370367</v>
      </c>
      <c r="G155" s="7">
        <v>2</v>
      </c>
      <c r="H155" s="21" t="s">
        <v>550</v>
      </c>
      <c r="I155" s="13">
        <v>42873.045243055552</v>
      </c>
      <c r="J155" s="7">
        <v>1</v>
      </c>
      <c r="K155" s="92" t="str">
        <f>IF(ISEVEN(B155),(B155-1)&amp;"/"&amp;B155,B155&amp;"/"&amp;(B155+1))</f>
        <v>4039/4040</v>
      </c>
      <c r="L155" s="21" t="str">
        <f>VLOOKUP(A155,'Trips&amp;Operators'!$C$1:$G$99999,5,FALSE)</f>
        <v>NEWELL JAMES</v>
      </c>
      <c r="M155" s="6">
        <f>I155-F155</f>
        <v>2.4247685185400769E-2</v>
      </c>
      <c r="N155" s="7">
        <f>24*60*SUM($M155:$M155)</f>
        <v>34.916666666977108</v>
      </c>
      <c r="O155" s="7"/>
      <c r="P155" s="7"/>
      <c r="Q155" s="22"/>
      <c r="R155" s="190"/>
      <c r="S155" s="196">
        <f>SUM(U155:U155)/IF(AG155="EC",12,1)</f>
        <v>1</v>
      </c>
      <c r="T155" s="190" t="str">
        <f>IF(ISEVEN(LEFT(AD155,4)),"Southbound","NorthBound")</f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-05-17T23:25:08-0600',mode:absolute,to:'2017-05-18T02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5" s="192" t="str">
        <f>IF(AA155&lt;IF(AG155="EC",23,5.65),"Y","N")</f>
        <v>N</v>
      </c>
      <c r="X155" s="192">
        <f>VALUE(LEFT(AD155,4))-VALUE(LEFT(AD154,4))</f>
        <v>1</v>
      </c>
      <c r="Y155" s="192">
        <f>RIGHT(D155,LEN(D155)-4)/10000</f>
        <v>4.8800000000000003E-2</v>
      </c>
      <c r="Z155" s="192">
        <f>RIGHT(H155,LEN(H155)-4)/10000</f>
        <v>23.330100000000002</v>
      </c>
      <c r="AA155" s="192">
        <f>ABS(Z155-Y155)</f>
        <v>23.281300000000002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>IF(LEN(A155)=6,"0"&amp;A155,A155)</f>
        <v>0243-17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 &amp; 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/stypes="app*4040*20170518*" /stext=" 07:.+((SYSTEM_STATE.+slice.+state.+changed )|(ment ac)|(multiple cpu faults)|(system.+state.+changed )|(\[timeout)|(PRM\|1\|D)|(kpr)|(kdp)|(train st.+moving)|(\|lc)|(penalty))"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si="12"/>
        <v>"%USERPROFILE%\Documents\GitHub\eaglep3\Utilities\RefineRTDCRunTimes.py" --tripid 243-17 --locoid 4040 --swversion DE.1.0.9.0 --startMP 204:488 --initTime 2017-05-18T00:25:08 --startdatetime 2017-05-18T00:30:14 --delay 2 --endMP 204:233301 --enddatetime 2017-05-18T01:05:09 --enforcementcount 1 &gt;&gt;C:\Users\stu\Documents\GitHub\eaglep3-reporting\EC\2017-05-17-refined-times.txt</v>
      </c>
      <c r="AI155" s="99" t="str">
        <f t="shared" si="13"/>
        <v>echo {"issue":{"subject":"","project_id":79,"tracker_id":40,"status_id":1,"priority_id":2,"assigned_to_id":23,"start_date":"2017-05-18","description":"","custom_fields":[{"id":1,"name":"Subdivision","value":"EC"},{"id":4,"name":"Milepost","value":"23.3301"},{"id":17,"name":"Train ID","value":"243-17"},{"id":16,"name":"Locomotive ID","value":"4040"},{"id":130,"name":"Impact","value":""},{"id":150,"name":"Time of Event (Mountain Time)","value":"01:05:09"},{"id":151,"name":"Denver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14"/>
        <v>start /low /b %USERPROFILE%\Documents\GitHub\eaglep3\Utilities\DownloadLogsFromS3.py --loco 4040 --day 2017-05-18</v>
      </c>
      <c r="AN155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07:05:09"},{"id":29,"name":"Sharepoint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826</v>
      </c>
      <c r="B156" s="7">
        <v>4039</v>
      </c>
      <c r="C156" s="21" t="s">
        <v>206</v>
      </c>
      <c r="D156" s="21" t="s">
        <v>451</v>
      </c>
      <c r="E156" s="13">
        <v>42873.057442129626</v>
      </c>
      <c r="F156" s="13">
        <v>42873.059861111113</v>
      </c>
      <c r="G156" s="7">
        <v>0</v>
      </c>
      <c r="H156" s="21" t="s">
        <v>197</v>
      </c>
      <c r="I156" s="13">
        <v>42873.085625</v>
      </c>
      <c r="J156" s="7">
        <v>1</v>
      </c>
      <c r="K156" s="92" t="str">
        <f>IF(ISEVEN(B156),(B156-1)&amp;"/"&amp;B156,B156&amp;"/"&amp;(B156+1))</f>
        <v>4039/4040</v>
      </c>
      <c r="L156" s="21" t="str">
        <f>VLOOKUP(A156,'Trips&amp;Operators'!$C$1:$G$99999,5,FALSE)</f>
        <v>NEWELL JAMES</v>
      </c>
      <c r="M156" s="6">
        <f>I156-F156</f>
        <v>2.5763888887013309E-2</v>
      </c>
      <c r="N156" s="7">
        <f>24*60*SUM($M156:$M156)</f>
        <v>37.099999997299165</v>
      </c>
      <c r="O156" s="7"/>
      <c r="P156" s="7"/>
      <c r="Q156" s="22"/>
      <c r="R156" s="190"/>
      <c r="S156" s="196">
        <f>SUM(U156:U156)/IF(AG156="EC",12,1)</f>
        <v>1</v>
      </c>
      <c r="T156" s="190" t="str">
        <f>IF(ISEVEN(LEFT(AD156,4)),"Southbound","NorthBound")</f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-05-18T00:22:43-0600',mode:absolute,to:'2017-05-18T03:03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6" s="192" t="str">
        <f>IF(AA156&lt;IF(AG156="EC",23,5.65),"Y","N")</f>
        <v>N</v>
      </c>
      <c r="X156" s="192">
        <f>VALUE(LEFT(AD156,4))-VALUE(LEFT(AD155,4))</f>
        <v>1</v>
      </c>
      <c r="Y156" s="192">
        <f>RIGHT(D156,LEN(D156)-4)/10000</f>
        <v>23.297499999999999</v>
      </c>
      <c r="Z156" s="192">
        <f>RIGHT(H156,LEN(H156)-4)/10000</f>
        <v>1.52E-2</v>
      </c>
      <c r="AA156" s="192">
        <f>ABS(Z156-Y156)</f>
        <v>23.282299999999999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>IF(LEN(A156)=6,"0"&amp;A156,A156)</f>
        <v>0244-17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 &amp; aws s3 cp s3://rtdc.mdm.uploadarchive.raw/RTDC4039/ "%USERPROFILE%\AppData\Local\Temp\OnboardLogs"\RTDC4039\2017-05-19 --exclude "*" --recursive --include "*20170519*" &amp; "%USERPROFILE%\Documents\GitHub\mrs-test-scripts\Headless Mode &amp; Sideloading\WalkAndUnGZ.bat" "%USERPROFILE%\AppData\Local\Temp\OnboardLogs"\RTDC4039\2017-05-19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/stypes="app*4039*20170518*" /stext=" 08:.+((SYSTEM_STATE.+slice.+state.+changed )|(ment ac)|(multiple cpu faults)|(system.+state.+changed )|(\[timeout)|(PRM\|1\|D)|(kpr)|(kdp)|(train st.+moving)|(\|lc)|(penalty))"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si="12"/>
        <v>"%USERPROFILE%\Documents\GitHub\eaglep3\Utilities\RefineRTDCRunTimes.py" --tripid 244-17 --locoid 4039 --swversion DE.1.0.9.0 --startMP 204:232975 --initTime 2017-05-18T01:22:43 --startdatetime 2017-05-18T01:26:12 --delay 0 --endMP 204:152 --enddatetime 2017-05-18T02:03:18 --enforcementcount 1 &gt;&gt;C:\Users\stu\Documents\GitHub\eaglep3-reporting\EC\2017-05-17-refined-times.txt</v>
      </c>
      <c r="AI156" s="99" t="str">
        <f t="shared" si="13"/>
        <v>echo {"issue":{"subject":"","project_id":79,"tracker_id":40,"status_id":1,"priority_id":2,"assigned_to_id":23,"start_date":"2017-05-18","description":"","custom_fields":[{"id":1,"name":"Subdivision","value":"EC"},{"id":4,"name":"Milepost","value":"0.0152"},{"id":17,"name":"Train ID","value":"244-17"},{"id":16,"name":"Locomotive ID","value":"4039"},{"id":130,"name":"Impact","value":""},{"id":150,"name":"Time of Event (Mountain Time)","value":"02:03:18"},{"id":151,"name":"Denver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14"/>
        <v>start /low /b %USERPROFILE%\Documents\GitHub\eaglep3\Utilities\DownloadLogsFromS3.py --loco 4039 --day 2017-05-18</v>
      </c>
      <c r="AN156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08:03:18"},{"id":29,"name":"Sharepoint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2" t="s">
        <v>636</v>
      </c>
      <c r="B157" s="7">
        <v>4055</v>
      </c>
      <c r="C157" s="21" t="s">
        <v>206</v>
      </c>
      <c r="D157" s="21" t="s">
        <v>414</v>
      </c>
      <c r="E157" s="13">
        <v>42872.212951388887</v>
      </c>
      <c r="F157" s="13">
        <v>42872.216817129629</v>
      </c>
      <c r="G157" s="7">
        <v>1</v>
      </c>
      <c r="H157" s="21" t="s">
        <v>939</v>
      </c>
      <c r="I157" s="13">
        <v>42872.225127314814</v>
      </c>
      <c r="J157" s="7">
        <v>1</v>
      </c>
      <c r="K157" s="92" t="str">
        <f>IF(ISEVEN(B157),(B157-1)&amp;"/"&amp;B157,B157&amp;"/"&amp;(B157+1))</f>
        <v>4055/4056</v>
      </c>
      <c r="L157" s="21" t="str">
        <f>VLOOKUP(A157,'Trips&amp;Operators'!$C$1:$G$99999,5,FALSE)</f>
        <v>YORK EDGAR</v>
      </c>
      <c r="M157" s="6">
        <f>I157-F157</f>
        <v>8.3101851851097308E-3</v>
      </c>
      <c r="N157" s="7">
        <f>24*60*SUM($M157:$M157)</f>
        <v>11.966666666558012</v>
      </c>
      <c r="O157" s="7"/>
      <c r="P157" s="7"/>
      <c r="Q157" s="22"/>
      <c r="R157" s="190"/>
      <c r="S157" s="196">
        <f>SUM(U157:U157)/IF(AG157="EC",12,1)</f>
        <v>1</v>
      </c>
      <c r="T157" s="190" t="str">
        <f>IF(ISEVEN(LEFT(AD157,4)),"Southbound","NorthBound")</f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1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-05-17T04:06:39-0600',mode:absolute,to:'2017-05-17T06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7" s="192" t="str">
        <f>IF(AA157&lt;IF(AG157="EC",23,5.65),"Y","N")</f>
        <v>N</v>
      </c>
      <c r="X157" s="192">
        <f>VALUE(LEFT(AD157,4))-VALUE(LEFT(AD156,4))</f>
        <v>556</v>
      </c>
      <c r="Y157" s="192">
        <f>RIGHT(D157,LEN(D157)-4)/10000</f>
        <v>5.8616999999999999</v>
      </c>
      <c r="Z157" s="192">
        <f>RIGHT(H157,LEN(H157)-4)/10000</f>
        <v>7.5499999999999998E-2</v>
      </c>
      <c r="AA157" s="192">
        <f>ABS(Z157-Y157)</f>
        <v>5.7862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0800-17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s3://rtdc.mdm.uploadarchive.raw/RTDC4055/ "%USERPROFILE%\AppData\Local\Temp\OnboardLogs"\RTDC4055\2017-05-17 --exclude "*" --recursive --include "*20170517*" &amp; "%USERPROFILE%\Documents\GitHub\mrs-test-scripts\Headless Mode &amp; Sideloading\WalkAndUnGZ.bat" "%USERPROFILE%\AppData\Local\Temp\OnboardLogs"\RTDC4055\2017-05-17 &amp; 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/stypes="app*4055*20170517*" /stext=" 11:.+((SYSTEM_STATE.+slice.+state.+changed )|(ment ac)|(multiple cpu faults)|(system.+state.+changed )|(\[timeout)|(PRM\|1\|D)|(kpr)|(kdp)|(train st.+moving)|(\|lc)|(penalty))"</v>
      </c>
      <c r="AG157" s="1" t="str">
        <f>IFERROR(IF(VALUE(LEFT(AD157,2))&lt;=2,"EC",IF(OR(VALUE(LEFT(AD157,2))=8,VALUE(LEFT(AD157,2))=18),"NW","Other")),"Other")</f>
        <v>NW</v>
      </c>
      <c r="AH157" s="81" t="str">
        <f t="shared" si="12"/>
        <v>"%USERPROFILE%\Documents\GitHub\eaglep3\Utilities\RefineRTDCRunTimes.py" --tripid 800-17 --locoid 4055 --swversion DE.1.0.9.0 --startMP 300:58617 --initTime 2017-05-17T05:06:39 --startdatetime 2017-05-17T05:12:13 --delay 1 --endMP 204:755 --enddatetime 2017-05-17T05:24:11 --enforcementcount 1 &gt;&gt;C:\Users\stu\Documents\GitHub\eaglep3-reporting\EC\2017-05-17-refined-times.txt</v>
      </c>
      <c r="AI157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{"issue":{"subject":"","project_id":79,"tracker_id":40,"status_id":1,"priority_id":2,"assigned_to_id":23,"start_date":"2017-05-17","description":"","custom_fields":[{"id":1,"name":"Subdivision","value":"NW"},{"id":4,"name":"Milepost","value":"0.0755"},{"id":17,"name":"Train ID","value":"800-17"},{"id":16,"name":"Locomotive ID","value":"4055"},{"id":130,"name":"Impact","value":""},{"id":150,"name":"Time of Event (Mountain Time)","value":"05:24:11"},{"id":151,"name":"Denver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14"/>
        <v>start /low /b %USERPROFILE%\Documents\GitHub\eaglep3\Utilities\DownloadLogsFromS3.py --loco 4055 --day 2017-05-17</v>
      </c>
      <c r="AN157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11:24:11"},{"id":29,"name":"Sharepoint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640</v>
      </c>
      <c r="B158" s="7">
        <v>4056</v>
      </c>
      <c r="C158" s="21" t="s">
        <v>206</v>
      </c>
      <c r="D158" s="21" t="s">
        <v>940</v>
      </c>
      <c r="E158" s="13">
        <v>42872.225949074076</v>
      </c>
      <c r="F158" s="13">
        <v>42872.244108796294</v>
      </c>
      <c r="G158" s="7">
        <v>1</v>
      </c>
      <c r="H158" s="21" t="s">
        <v>578</v>
      </c>
      <c r="I158" s="13">
        <v>42872.25240740741</v>
      </c>
      <c r="J158" s="7">
        <v>1</v>
      </c>
      <c r="K158" s="92" t="str">
        <f>IF(ISEVEN(B158),(B158-1)&amp;"/"&amp;B158,B158&amp;"/"&amp;(B158+1))</f>
        <v>4055/4056</v>
      </c>
      <c r="L158" s="21" t="str">
        <f>VLOOKUP(A158,'Trips&amp;Operators'!$C$1:$G$99999,5,FALSE)</f>
        <v>YORK EDGAR</v>
      </c>
      <c r="M158" s="6">
        <f>I158-F158</f>
        <v>8.298611115606036E-3</v>
      </c>
      <c r="N158" s="7">
        <f>24*60*SUM($M158:$M158)</f>
        <v>11.950000006472692</v>
      </c>
      <c r="O158" s="7"/>
      <c r="P158" s="7"/>
      <c r="Q158" s="22"/>
      <c r="R158" s="190"/>
      <c r="S158" s="196">
        <f>SUM(U158:U158)/IF(AG158="EC",12,1)</f>
        <v>1</v>
      </c>
      <c r="T158" s="190" t="str">
        <f>IF(ISEVEN(LEFT(AD158,4)),"Southbound","NorthBound")</f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-05-17T04:25:22-0600',mode:absolute,to:'2017-05-17T07:03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8" s="192" t="str">
        <f>IF(AA158&lt;IF(AG158="EC",23,5.65),"Y","N")</f>
        <v>N</v>
      </c>
      <c r="X158" s="192">
        <f>VALUE(LEFT(AD158,4))-VALUE(LEFT(AD157,4))</f>
        <v>1</v>
      </c>
      <c r="Y158" s="192">
        <f>RIGHT(D158,LEN(D158)-4)/10000</f>
        <v>0.1023</v>
      </c>
      <c r="Z158" s="192">
        <f>RIGHT(H158,LEN(H158)-4)/10000</f>
        <v>5.8924000000000003</v>
      </c>
      <c r="AA158" s="192">
        <f>ABS(Z158-Y158)</f>
        <v>5.7901000000000007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0801-17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/stypes="app*4056*20170517*" /stext=" 12:.+((SYSTEM_STATE.+slice.+state.+changed )|(ment ac)|(multiple cpu faults)|(system.+state.+changed )|(\[timeout)|(PRM\|1\|D)|(kpr)|(kdp)|(train st.+moving)|(\|lc)|(penalty))"</v>
      </c>
      <c r="AG158" s="1" t="str">
        <f>IFERROR(IF(VALUE(LEFT(AD158,2))&lt;=2,"EC",IF(OR(VALUE(LEFT(AD158,2))=8,VALUE(LEFT(AD158,2))=18),"NW","Other")),"Other")</f>
        <v>NW</v>
      </c>
      <c r="AH158" s="81" t="str">
        <f t="shared" si="12"/>
        <v>"%USERPROFILE%\Documents\GitHub\eaglep3\Utilities\RefineRTDCRunTimes.py" --tripid 801-17 --locoid 4056 --swversion DE.1.0.9.0 --startMP 204:1023 --initTime 2017-05-17T05:25:22 --startdatetime 2017-05-17T05:51:31 --delay 1 --endMP 300:58924 --enddatetime 2017-05-17T06:03:28 --enforcementcount 1 &gt;&gt;C:\Users\stu\Documents\GitHub\eaglep3-reporting\EC\2017-05-17-refined-times.txt</v>
      </c>
      <c r="AI158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{"issue":{"subject":"","project_id":79,"tracker_id":40,"status_id":1,"priority_id":2,"assigned_to_id":23,"start_date":"2017-05-17","description":"","custom_fields":[{"id":1,"name":"Subdivision","value":"NW"},{"id":4,"name":"Milepost","value":"5.8924"},{"id":17,"name":"Train ID","value":"801-17"},{"id":16,"name":"Locomotive ID","value":"4056"},{"id":130,"name":"Impact","value":""},{"id":150,"name":"Time of Event (Mountain Time)","value":"06:03:28"},{"id":151,"name":"Denver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14"/>
        <v>start /low /b %USERPROFILE%\Documents\GitHub\eaglep3\Utilities\DownloadLogsFromS3.py --loco 4056 --day 2017-05-17</v>
      </c>
      <c r="AN158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649</v>
      </c>
      <c r="B159" s="7">
        <v>4055</v>
      </c>
      <c r="C159" s="21" t="s">
        <v>206</v>
      </c>
      <c r="D159" s="21" t="s">
        <v>459</v>
      </c>
      <c r="E159" s="13">
        <v>42872.253298611111</v>
      </c>
      <c r="F159" s="13">
        <v>42872.257986111108</v>
      </c>
      <c r="G159" s="7">
        <v>0</v>
      </c>
      <c r="H159" s="21" t="s">
        <v>941</v>
      </c>
      <c r="I159" s="13">
        <v>42872.267337962963</v>
      </c>
      <c r="J159" s="7">
        <v>1</v>
      </c>
      <c r="K159" s="92" t="str">
        <f>IF(ISEVEN(B159),(B159-1)&amp;"/"&amp;B159,B159&amp;"/"&amp;(B159+1))</f>
        <v>4055/4056</v>
      </c>
      <c r="L159" s="21" t="str">
        <f>VLOOKUP(A159,'Trips&amp;Operators'!$C$1:$G$99999,5,FALSE)</f>
        <v>YORK EDGAR</v>
      </c>
      <c r="M159" s="6">
        <f>I159-F159</f>
        <v>9.3518518551718444E-3</v>
      </c>
      <c r="N159" s="7">
        <f>24*60*SUM($M159:$M159)</f>
        <v>13.466666671447456</v>
      </c>
      <c r="O159" s="7"/>
      <c r="P159" s="7"/>
      <c r="Q159" s="22"/>
      <c r="R159" s="190"/>
      <c r="S159" s="196">
        <f>SUM(U159:U159)/IF(AG159="EC",12,1)</f>
        <v>1</v>
      </c>
      <c r="T159" s="190" t="str">
        <f>IF(ISEVEN(LEFT(AD159,4)),"Southbound","NorthBound")</f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-05-17T05:04:45-0600',mode:absolute,to:'2017-05-17T07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9" s="192" t="str">
        <f>IF(AA159&lt;IF(AG159="EC",23,5.65),"Y","N")</f>
        <v>N</v>
      </c>
      <c r="X159" s="192">
        <f>VALUE(LEFT(AD159,4))-VALUE(LEFT(AD158,4))</f>
        <v>1</v>
      </c>
      <c r="Y159" s="192">
        <f>RIGHT(D159,LEN(D159)-4)/10000</f>
        <v>5.8605999999999998</v>
      </c>
      <c r="Z159" s="192">
        <f>RIGHT(H159,LEN(H159)-4)/10000</f>
        <v>7.1999999999999995E-2</v>
      </c>
      <c r="AA159" s="192">
        <f>ABS(Z159-Y159)</f>
        <v>5.7885999999999997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0802-17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s3://rtdc.mdm.uploadarchive.raw/RTDC4055/ "%USERPROFILE%\AppData\Local\Temp\OnboardLogs"\RTDC4055\2017-05-17 --exclude "*" --recursive --include "*20170517*" &amp; "%USERPROFILE%\Documents\GitHub\mrs-test-scripts\Headless Mode &amp; Sideloading\WalkAndUnGZ.bat" "%USERPROFILE%\AppData\Local\Temp\OnboardLogs"\RTDC4055\2017-05-17 &amp; 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/stypes="app*4055*20170517*" /stext=" 12:.+((SYSTEM_STATE.+slice.+state.+changed )|(ment ac)|(multiple cpu faults)|(system.+state.+changed )|(\[timeout)|(PRM\|1\|D)|(kpr)|(kdp)|(train st.+moving)|(\|lc)|(penalty))"</v>
      </c>
      <c r="AG159" s="1" t="str">
        <f>IFERROR(IF(VALUE(LEFT(AD159,2))&lt;=2,"EC",IF(OR(VALUE(LEFT(AD159,2))=8,VALUE(LEFT(AD159,2))=18),"NW","Other")),"Other")</f>
        <v>NW</v>
      </c>
      <c r="AH159" s="81" t="str">
        <f t="shared" si="12"/>
        <v>"%USERPROFILE%\Documents\GitHub\eaglep3\Utilities\RefineRTDCRunTimes.py" --tripid 802-17 --locoid 4055 --swversion DE.1.0.9.0 --startMP 300:58606 --initTime 2017-05-17T06:04:45 --startdatetime 2017-05-17T06:11:30 --delay 0 --endMP 204:720 --enddatetime 2017-05-17T06:24:58 --enforcementcount 1 &gt;&gt;C:\Users\stu\Documents\GitHub\eaglep3-reporting\EC\2017-05-17-refined-times.txt</v>
      </c>
      <c r="AI159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{"issue":{"subject":"","project_id":79,"tracker_id":40,"status_id":1,"priority_id":2,"assigned_to_id":23,"start_date":"2017-05-17","description":"","custom_fields":[{"id":1,"name":"Subdivision","value":"NW"},{"id":4,"name":"Milepost","value":"0.072"},{"id":17,"name":"Train ID","value":"802-17"},{"id":16,"name":"Locomotive ID","value":"4055"},{"id":130,"name":"Impact","value":""},{"id":150,"name":"Time of Event (Mountain Time)","value":"06:24:58"},{"id":151,"name":"Denver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14"/>
        <v>start /low /b %USERPROFILE%\Documents\GitHub\eaglep3\Utilities\DownloadLogsFromS3.py --loco 4055 --day 2017-05-17</v>
      </c>
      <c r="AN159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652</v>
      </c>
      <c r="B160" s="7">
        <v>4052</v>
      </c>
      <c r="C160" s="21" t="s">
        <v>206</v>
      </c>
      <c r="D160" s="21" t="s">
        <v>942</v>
      </c>
      <c r="E160" s="13">
        <v>42872.262499999997</v>
      </c>
      <c r="F160" s="13">
        <v>42872.264791666668</v>
      </c>
      <c r="G160" s="7">
        <v>1</v>
      </c>
      <c r="H160" s="21" t="s">
        <v>577</v>
      </c>
      <c r="I160" s="13">
        <v>42872.273946759262</v>
      </c>
      <c r="J160" s="7">
        <v>1</v>
      </c>
      <c r="K160" s="92" t="str">
        <f>IF(ISEVEN(B160),(B160-1)&amp;"/"&amp;B160,B160&amp;"/"&amp;(B160+1))</f>
        <v>4051/4052</v>
      </c>
      <c r="L160" s="21" t="str">
        <f>VLOOKUP(A160,'Trips&amp;Operators'!$C$1:$G$99999,5,FALSE)</f>
        <v>LOZA FIDEL</v>
      </c>
      <c r="M160" s="6">
        <f>I160-F160</f>
        <v>9.1550925935734995E-3</v>
      </c>
      <c r="N160" s="7">
        <f>24*60*SUM($M160:$M160)</f>
        <v>13.183333334745839</v>
      </c>
      <c r="O160" s="7"/>
      <c r="P160" s="7"/>
      <c r="Q160" s="22"/>
      <c r="R160" s="190"/>
      <c r="S160" s="196">
        <f>SUM(U160:U160)/IF(AG160="EC",12,1)</f>
        <v>1</v>
      </c>
      <c r="T160" s="190" t="str">
        <f>IF(ISEVEN(LEFT(AD160,4)),"Southbound","NorthBound")</f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-05-17T05:18:00-0600',mode:absolute,to:'2017-05-17T07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0" s="192" t="str">
        <f>IF(AA160&lt;IF(AG160="EC",23,5.65),"Y","N")</f>
        <v>N</v>
      </c>
      <c r="X160" s="192">
        <f>VALUE(LEFT(AD160,4))-VALUE(LEFT(AD159,4))</f>
        <v>1</v>
      </c>
      <c r="Y160" s="192">
        <f>RIGHT(D160,LEN(D160)-4)/10000</f>
        <v>9.7900000000000001E-2</v>
      </c>
      <c r="Z160" s="192">
        <f>RIGHT(H160,LEN(H160)-4)/10000</f>
        <v>5.8933</v>
      </c>
      <c r="AA160" s="192">
        <f>ABS(Z160-Y160)</f>
        <v>5.7953999999999999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0803-17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/stypes="app*4052*20170517*" /stext=" 12:.+((SYSTEM_STATE.+slice.+state.+changed )|(ment ac)|(multiple cpu faults)|(system.+state.+changed )|(\[timeout)|(PRM\|1\|D)|(kpr)|(kdp)|(train st.+moving)|(\|lc)|(penalty))"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12"/>
        <v>"%USERPROFILE%\Documents\GitHub\eaglep3\Utilities\RefineRTDCRunTimes.py" --tripid 803-17 --locoid 4052 --swversion DE.1.0.9.0 --startMP 204:979 --initTime 2017-05-17T06:18:00 --startdatetime 2017-05-17T06:21:18 --delay 1 --endMP 300:58933 --enddatetime 2017-05-17T06:34:29 --enforcementcount 1 &gt;&gt;C:\Users\stu\Documents\GitHub\eaglep3-reporting\EC\2017-05-17-refined-times.txt</v>
      </c>
      <c r="AI160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{"issue":{"subject":"","project_id":79,"tracker_id":40,"status_id":1,"priority_id":2,"assigned_to_id":23,"start_date":"2017-05-17","description":"","custom_fields":[{"id":1,"name":"Subdivision","value":"NW"},{"id":4,"name":"Milepost","value":"5.8933"},{"id":17,"name":"Train ID","value":"803-17"},{"id":16,"name":"Locomotive ID","value":"4052"},{"id":130,"name":"Impact","value":""},{"id":150,"name":"Time of Event (Mountain Time)","value":"06:34:29"},{"id":151,"name":"Denver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14"/>
        <v>start /low /b %USERPROFILE%\Documents\GitHub\eaglep3\Utilities\DownloadLogsFromS3.py --loco 4052 --day 2017-05-17</v>
      </c>
      <c r="AN160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656</v>
      </c>
      <c r="B161" s="7">
        <v>4051</v>
      </c>
      <c r="C161" s="21" t="s">
        <v>206</v>
      </c>
      <c r="D161" s="21" t="s">
        <v>943</v>
      </c>
      <c r="E161" s="13">
        <v>42872.275787037041</v>
      </c>
      <c r="F161" s="13">
        <v>42872.27752314815</v>
      </c>
      <c r="G161" s="7">
        <v>1</v>
      </c>
      <c r="H161" s="21" t="s">
        <v>490</v>
      </c>
      <c r="I161" s="13">
        <v>42872.288564814815</v>
      </c>
      <c r="J161" s="7">
        <v>1</v>
      </c>
      <c r="K161" s="92" t="str">
        <f>IF(ISEVEN(B161),(B161-1)&amp;"/"&amp;B161,B161&amp;"/"&amp;(B161+1))</f>
        <v>4051/4052</v>
      </c>
      <c r="L161" s="21" t="str">
        <f>VLOOKUP(A161,'Trips&amp;Operators'!$C$1:$G$99999,5,FALSE)</f>
        <v>LOZA FIDEL</v>
      </c>
      <c r="M161" s="6">
        <f>I161-F161</f>
        <v>1.1041666664823424E-2</v>
      </c>
      <c r="N161" s="7">
        <f>24*60*SUM($M161:$M161)</f>
        <v>15.899999997345731</v>
      </c>
      <c r="O161" s="7"/>
      <c r="P161" s="7"/>
      <c r="Q161" s="22"/>
      <c r="R161" s="190"/>
      <c r="S161" s="196">
        <f>SUM(U161:U161)/IF(AG161="EC",12,1)</f>
        <v>1</v>
      </c>
      <c r="T161" s="190" t="str">
        <f>IF(ISEVEN(LEFT(AD161,4)),"Southbound","NorthBound")</f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-05-17T05:37:08-0600',mode:absolute,to:'2017-05-17T07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1" s="192" t="str">
        <f>IF(AA161&lt;IF(AG161="EC",23,5.65),"Y","N")</f>
        <v>N</v>
      </c>
      <c r="X161" s="192">
        <f>VALUE(LEFT(AD161,4))-VALUE(LEFT(AD160,4))</f>
        <v>1</v>
      </c>
      <c r="Y161" s="192">
        <f>RIGHT(D161,LEN(D161)-4)/10000</f>
        <v>5.8611000000000004</v>
      </c>
      <c r="Z161" s="192">
        <f>RIGHT(H161,LEN(H161)-4)/10000</f>
        <v>6.7699999999999996E-2</v>
      </c>
      <c r="AA161" s="192">
        <f>ABS(Z161-Y161)</f>
        <v>5.7934000000000001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0804-17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/stypes="app*4051*20170517*" /stext=" 12:.+((SYSTEM_STATE.+slice.+state.+changed )|(ment ac)|(multiple cpu faults)|(system.+state.+changed )|(\[timeout)|(PRM\|1\|D)|(kpr)|(kdp)|(train st.+moving)|(\|lc)|(penalty))"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12"/>
        <v>"%USERPROFILE%\Documents\GitHub\eaglep3\Utilities\RefineRTDCRunTimes.py" --tripid 804-17 --locoid 4051 --swversion DE.1.0.9.0 --startMP 300:58611 --initTime 2017-05-17T06:37:08 --startdatetime 2017-05-17T06:39:38 --delay 1 --endMP 204:677 --enddatetime 2017-05-17T06:55:32 --enforcementcount 1 &gt;&gt;C:\Users\stu\Documents\GitHub\eaglep3-reporting\EC\2017-05-17-refined-times.txt</v>
      </c>
      <c r="AI161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{"issue":{"subject":"","project_id":79,"tracker_id":40,"status_id":1,"priority_id":2,"assigned_to_id":23,"start_date":"2017-05-17","description":"","custom_fields":[{"id":1,"name":"Subdivision","value":"NW"},{"id":4,"name":"Milepost","value":"0.0677"},{"id":17,"name":"Train ID","value":"804-17"},{"id":16,"name":"Locomotive ID","value":"4051"},{"id":130,"name":"Impact","value":""},{"id":150,"name":"Time of Event (Mountain Time)","value":"06:55:32"},{"id":151,"name":"Denver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14"/>
        <v>start /low /b %USERPROFILE%\Documents\GitHub\eaglep3\Utilities\DownloadLogsFromS3.py --loco 4051 --day 2017-05-17</v>
      </c>
      <c r="AN161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585</v>
      </c>
      <c r="B162" s="7">
        <v>4056</v>
      </c>
      <c r="C162" s="21" t="s">
        <v>206</v>
      </c>
      <c r="D162" s="21" t="s">
        <v>944</v>
      </c>
      <c r="E162" s="13">
        <v>42872.268333333333</v>
      </c>
      <c r="F162" s="13">
        <v>42872.285960648151</v>
      </c>
      <c r="G162" s="7">
        <v>0</v>
      </c>
      <c r="H162" s="21" t="s">
        <v>945</v>
      </c>
      <c r="I162" s="13">
        <v>42872.294618055559</v>
      </c>
      <c r="J162" s="7">
        <v>1</v>
      </c>
      <c r="K162" s="92" t="str">
        <f>IF(ISEVEN(B162),(B162-1)&amp;"/"&amp;B162,B162&amp;"/"&amp;(B162+1))</f>
        <v>4055/4056</v>
      </c>
      <c r="L162" s="21" t="str">
        <f>VLOOKUP(A162,'Trips&amp;Operators'!$C$1:$G$99999,5,FALSE)</f>
        <v>YORK EDGAR</v>
      </c>
      <c r="M162" s="6">
        <f>I162-F162</f>
        <v>8.6574074084637687E-3</v>
      </c>
      <c r="N162" s="7">
        <f>24*60*SUM($M162:$M162)</f>
        <v>12.466666668187827</v>
      </c>
      <c r="O162" s="7"/>
      <c r="P162" s="7"/>
      <c r="Q162" s="22"/>
      <c r="R162" s="190"/>
      <c r="S162" s="196">
        <f>SUM(U162:U162)/IF(AG162="EC",12,1)</f>
        <v>1</v>
      </c>
      <c r="T162" s="190" t="str">
        <f>IF(ISEVEN(LEFT(AD162,4)),"Southbound","NorthBound")</f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-05-17T05:26:24-0600',mode:absolute,to:'2017-05-17T08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2" s="192" t="str">
        <f>IF(AA162&lt;IF(AG162="EC",23,5.65),"Y","N")</f>
        <v>N</v>
      </c>
      <c r="X162" s="192">
        <f>VALUE(LEFT(AD162,4))-VALUE(LEFT(AD161,4))</f>
        <v>1</v>
      </c>
      <c r="Y162" s="192">
        <f>RIGHT(D162,LEN(D162)-4)/10000</f>
        <v>0.1011</v>
      </c>
      <c r="Z162" s="192">
        <f>RIGHT(H162,LEN(H162)-4)/10000</f>
        <v>5.8936999999999999</v>
      </c>
      <c r="AA162" s="192">
        <f>ABS(Z162-Y162)</f>
        <v>5.7926000000000002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0805-17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/stypes="app*4056*20170517*" /stext=" 13:.+((SYSTEM_STATE.+slice.+state.+changed )|(ment ac)|(multiple cpu faults)|(system.+state.+changed )|(\[timeout)|(PRM\|1\|D)|(kpr)|(kdp)|(train st.+moving)|(\|lc)|(penalty))"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12"/>
        <v>"%USERPROFILE%\Documents\GitHub\eaglep3\Utilities\RefineRTDCRunTimes.py" --tripid 805-17 --locoid 4056 --swversion DE.1.0.9.0 --startMP 204:1011 --initTime 2017-05-17T06:26:24 --startdatetime 2017-05-17T06:51:47 --delay 0 --endMP 300:58937 --enddatetime 2017-05-17T07:04:15 --enforcementcount 1 &gt;&gt;C:\Users\stu\Documents\GitHub\eaglep3-reporting\EC\2017-05-17-refined-times.txt</v>
      </c>
      <c r="AI162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{"issue":{"subject":"","project_id":79,"tracker_id":40,"status_id":1,"priority_id":2,"assigned_to_id":23,"start_date":"2017-05-17","description":"","custom_fields":[{"id":1,"name":"Subdivision","value":"NW"},{"id":4,"name":"Milepost","value":"5.8937"},{"id":17,"name":"Train ID","value":"805-17"},{"id":16,"name":"Locomotive ID","value":"4056"},{"id":130,"name":"Impact","value":""},{"id":150,"name":"Time of Event (Mountain Time)","value":"07:04:15"},{"id":151,"name":"Denver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14"/>
        <v>start /low /b %USERPROFILE%\Documents\GitHub\eaglep3\Utilities\DownloadLogsFromS3.py --loco 4056 --day 2017-05-17</v>
      </c>
      <c r="AN162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13:04:15"},{"id":29,"name":"Sharepoint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661</v>
      </c>
      <c r="B163" s="7">
        <v>4055</v>
      </c>
      <c r="C163" s="21" t="s">
        <v>206</v>
      </c>
      <c r="D163" s="21" t="s">
        <v>946</v>
      </c>
      <c r="E163" s="13">
        <v>42872.295763888891</v>
      </c>
      <c r="F163" s="13">
        <v>42872.300023148149</v>
      </c>
      <c r="G163" s="7">
        <v>1</v>
      </c>
      <c r="H163" s="21" t="s">
        <v>947</v>
      </c>
      <c r="I163" s="13">
        <v>42872.310370370367</v>
      </c>
      <c r="J163" s="7">
        <v>1</v>
      </c>
      <c r="K163" s="92" t="str">
        <f>IF(ISEVEN(B163),(B163-1)&amp;"/"&amp;B163,B163&amp;"/"&amp;(B163+1))</f>
        <v>4055/4056</v>
      </c>
      <c r="L163" s="21" t="str">
        <f>VLOOKUP(A163,'Trips&amp;Operators'!$C$1:$G$99999,5,FALSE)</f>
        <v>YORK EDGAR</v>
      </c>
      <c r="M163" s="6">
        <f>I163-F163</f>
        <v>1.0347222218115348E-2</v>
      </c>
      <c r="N163" s="7">
        <f>24*60*SUM($M163:$M163)</f>
        <v>14.899999994086102</v>
      </c>
      <c r="O163" s="7"/>
      <c r="P163" s="7"/>
      <c r="Q163" s="22"/>
      <c r="R163" s="190"/>
      <c r="S163" s="196">
        <f>SUM(U163:U163)/IF(AG163="EC",12,1)</f>
        <v>1</v>
      </c>
      <c r="T163" s="190" t="str">
        <f>IF(ISEVEN(LEFT(AD163,4)),"Southbound","NorthBound")</f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-05-17T06:05:54-0600',mode:absolute,to:'2017-05-17T08:26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3" s="192" t="str">
        <f>IF(AA163&lt;IF(AG163="EC",23,5.65),"Y","N")</f>
        <v>N</v>
      </c>
      <c r="X163" s="192">
        <f>VALUE(LEFT(AD163,4))-VALUE(LEFT(AD162,4))</f>
        <v>1</v>
      </c>
      <c r="Y163" s="192">
        <f>RIGHT(D163,LEN(D163)-4)/10000</f>
        <v>5.8615000000000004</v>
      </c>
      <c r="Z163" s="192">
        <f>RIGHT(H163,LEN(H163)-4)/10000</f>
        <v>7.3999999999999996E-2</v>
      </c>
      <c r="AA163" s="192">
        <f>ABS(Z163-Y163)</f>
        <v>5.7875000000000005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0806-17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s3://rtdc.mdm.uploadarchive.raw/RTDC4055/ "%USERPROFILE%\AppData\Local\Temp\OnboardLogs"\RTDC4055\2017-05-17 --exclude "*" --recursive --include "*20170517*" &amp; "%USERPROFILE%\Documents\GitHub\mrs-test-scripts\Headless Mode &amp; Sideloading\WalkAndUnGZ.bat" "%USERPROFILE%\AppData\Local\Temp\OnboardLogs"\RTDC4055\2017-05-17 &amp; 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/stypes="app*4055*20170517*" /stext=" 13:.+((SYSTEM_STATE.+slice.+state.+changed )|(ment ac)|(multiple cpu faults)|(system.+state.+changed )|(\[timeout)|(PRM\|1\|D)|(kpr)|(kdp)|(train st.+moving)|(\|lc)|(penalty))"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12"/>
        <v>"%USERPROFILE%\Documents\GitHub\eaglep3\Utilities\RefineRTDCRunTimes.py" --tripid 806-17 --locoid 4055 --swversion DE.1.0.9.0 --startMP 300:58615 --initTime 2017-05-17T07:05:54 --startdatetime 2017-05-17T07:12:02 --delay 1 --endMP 204:740 --enddatetime 2017-05-17T07:26:56 --enforcementcount 1 &gt;&gt;C:\Users\stu\Documents\GitHub\eaglep3-reporting\EC\2017-05-17-refined-times.txt</v>
      </c>
      <c r="AI163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{"issue":{"subject":"","project_id":79,"tracker_id":40,"status_id":1,"priority_id":2,"assigned_to_id":23,"start_date":"2017-05-17","description":"","custom_fields":[{"id":1,"name":"Subdivision","value":"NW"},{"id":4,"name":"Milepost","value":"0.074"},{"id":17,"name":"Train ID","value":"806-17"},{"id":16,"name":"Locomotive ID","value":"4055"},{"id":130,"name":"Impact","value":""},{"id":150,"name":"Time of Event (Mountain Time)","value":"07:26:56"},{"id":151,"name":"Denver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14"/>
        <v>start /low /b %USERPROFILE%\Documents\GitHub\eaglep3\Utilities\DownloadLogsFromS3.py --loco 4055 --day 2017-05-17</v>
      </c>
      <c r="AN163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13:26:56"},{"id":29,"name":"Sharepoint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663</v>
      </c>
      <c r="B164" s="7">
        <v>4052</v>
      </c>
      <c r="C164" s="21" t="s">
        <v>206</v>
      </c>
      <c r="D164" s="21" t="s">
        <v>573</v>
      </c>
      <c r="E164" s="13">
        <v>42872.305011574077</v>
      </c>
      <c r="F164" s="13">
        <v>42872.305833333332</v>
      </c>
      <c r="G164" s="7">
        <v>1</v>
      </c>
      <c r="H164" s="21" t="s">
        <v>570</v>
      </c>
      <c r="I164" s="13">
        <v>42872.306527777779</v>
      </c>
      <c r="J164" s="7">
        <v>1</v>
      </c>
      <c r="K164" s="92" t="str">
        <f>IF(ISEVEN(B164),(B164-1)&amp;"/"&amp;B164,B164&amp;"/"&amp;(B164+1))</f>
        <v>4051/4052</v>
      </c>
      <c r="L164" s="21" t="str">
        <f>VLOOKUP(A164,'Trips&amp;Operators'!$C$1:$G$99999,5,FALSE)</f>
        <v>LOZA FIDEL</v>
      </c>
      <c r="M164" s="6">
        <f>I164-F164</f>
        <v>6.944444467080757E-4</v>
      </c>
      <c r="N164" s="7"/>
      <c r="O164" s="7"/>
      <c r="P164" s="7">
        <f>24*60*SUM($M164:$M164)</f>
        <v>1.000000003259629</v>
      </c>
      <c r="Q164" s="22"/>
      <c r="R164" s="190" t="s">
        <v>580</v>
      </c>
      <c r="S164" s="196">
        <f>SUM(U164:U164)/IF(AG164="EC",12,1)</f>
        <v>1</v>
      </c>
      <c r="T164" s="190" t="str">
        <f>IF(ISEVEN(LEFT(AD164,4)),"Southbound","NorthBound")</f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-05-17T06:19:13-0600',mode:absolute,to:'2017-05-17T08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4" s="192" t="str">
        <f>IF(AA164&lt;IF(AG164="EC",23,5.65),"Y","N")</f>
        <v>N</v>
      </c>
      <c r="X164" s="192">
        <f>VALUE(LEFT(AD164,4))-VALUE(LEFT(AD163,4))</f>
        <v>1</v>
      </c>
      <c r="Y164" s="192">
        <f>RIGHT(D164,LEN(D164)-4)/10000</f>
        <v>9.6500000000000002E-2</v>
      </c>
      <c r="Z164" s="192">
        <f>RIGHT(H164,LEN(H164)-4)/10000</f>
        <v>5.8940999999999999</v>
      </c>
      <c r="AA164" s="192">
        <f>ABS(Z164-Y164)</f>
        <v>5.7976000000000001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0807-17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/stypes="app*4052*20170517*" /stext=" 13:.+((SYSTEM_STATE.+slice.+state.+changed )|(ment ac)|(multiple cpu faults)|(system.+state.+changed )|(\[timeout)|(PRM\|1\|D)|(kpr)|(kdp)|(train st.+moving)|(\|lc)|(penalty))"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12"/>
        <v>"%USERPROFILE%\Documents\GitHub\eaglep3\Utilities\RefineRTDCRunTimes.py" --tripid 807-17 --locoid 4052 --swversion DE.1.0.9.0 --startMP 204:965 --initTime 2017-05-17T07:19:13 --startdatetime 2017-05-17T07:20:24 --delay 1 --endMP 300:58941 --enddatetime 2017-05-17T07:21:24 --enforcementcount 1 &gt;&gt;C:\Users\stu\Documents\GitHub\eaglep3-reporting\EC\2017-05-17-refined-times.txt</v>
      </c>
      <c r="AI164" s="99" t="str">
        <f t="shared" si="13"/>
        <v>echo {"issue":{"subject":"Onboard in-route failure","project_id":79,"tracker_id":40,"status_id":1,"priority_id":2,"assigned_to_id":23,"start_date":"2017-05-17","description":"","custom_fields":[{"id":1,"name":"Subdivision","value":"NW"},{"id":4,"name":"Milepost","value":"5.8941"},{"id":17,"name":"Train ID","value":"807-17"},{"id":16,"name":"Locomotive ID","value":"4052"},{"id":130,"name":"Impact","value":""},{"id":150,"name":"Time of Event (Mountain Time)","value":"07:21:24"},{"id":151,"name":"Denver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14"/>
        <v>start /low /b %USERPROFILE%\Documents\GitHub\eaglep3\Utilities\DownloadLogsFromS3.py --loco 4052 --day 2017-05-17</v>
      </c>
      <c r="AN164" s="154" t="str">
        <f t="shared" si="15"/>
        <v>echo {"issue":{"subject":"Onboard in-route failure","project_id":30,"tracker_id":4,"status_id":1,"priority_id":1,"assigned_to_id":10,"start_date":"2017-05-17","description":"","custom_fields":[{"id":30,"name":"Category","value":"Issue"},{"id":3,"name":"Functional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13:21:24"},{"id":29,"name":"Sharepoint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667</v>
      </c>
      <c r="B165" s="7">
        <v>4051</v>
      </c>
      <c r="C165" s="21" t="s">
        <v>206</v>
      </c>
      <c r="D165" s="21" t="s">
        <v>562</v>
      </c>
      <c r="E165" s="13">
        <v>42872.318449074075</v>
      </c>
      <c r="F165" s="13">
        <v>42872.31994212963</v>
      </c>
      <c r="G165" s="7">
        <v>1</v>
      </c>
      <c r="H165" s="21" t="s">
        <v>948</v>
      </c>
      <c r="I165" s="13">
        <v>42872.330995370372</v>
      </c>
      <c r="J165" s="7">
        <v>1</v>
      </c>
      <c r="K165" s="92" t="str">
        <f>IF(ISEVEN(B165),(B165-1)&amp;"/"&amp;B165,B165&amp;"/"&amp;(B165+1))</f>
        <v>4051/4052</v>
      </c>
      <c r="L165" s="21" t="str">
        <f>VLOOKUP(A165,'Trips&amp;Operators'!$C$1:$G$99999,5,FALSE)</f>
        <v>LOZA FIDEL</v>
      </c>
      <c r="M165" s="6">
        <f>I165-F165</f>
        <v>1.1053240741603076E-2</v>
      </c>
      <c r="N165" s="7">
        <f>24*60*SUM($M165:$M165)</f>
        <v>15.91666666790843</v>
      </c>
      <c r="O165" s="7"/>
      <c r="P165" s="7"/>
      <c r="Q165" s="22"/>
      <c r="R165" s="190"/>
      <c r="S165" s="196">
        <f>SUM(U165:U165)/IF(AG165="EC",12,1)</f>
        <v>1</v>
      </c>
      <c r="T165" s="190" t="str">
        <f>IF(ISEVEN(LEFT(AD165,4)),"Southbound","NorthBound")</f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-05-17T06:38:34-0600',mode:absolute,to:'2017-05-17T08:56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5" s="192" t="str">
        <f>IF(AA165&lt;IF(AG165="EC",23,5.65),"Y","N")</f>
        <v>N</v>
      </c>
      <c r="X165" s="192">
        <f>VALUE(LEFT(AD165,4))-VALUE(LEFT(AD164,4))</f>
        <v>1</v>
      </c>
      <c r="Y165" s="192">
        <f>RIGHT(D165,LEN(D165)-4)/10000</f>
        <v>5.8632</v>
      </c>
      <c r="Z165" s="192">
        <f>RIGHT(H165,LEN(H165)-4)/10000</f>
        <v>6.8500000000000005E-2</v>
      </c>
      <c r="AA165" s="192">
        <f>ABS(Z165-Y165)</f>
        <v>5.7946999999999997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0808-17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/stypes="app*4051*20170517*" /stext=" 13:.+((SYSTEM_STATE.+slice.+state.+changed )|(ment ac)|(multiple cpu faults)|(system.+state.+changed )|(\[timeout)|(PRM\|1\|D)|(kpr)|(kdp)|(train st.+moving)|(\|lc)|(penalty))"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12"/>
        <v>"%USERPROFILE%\Documents\GitHub\eaglep3\Utilities\RefineRTDCRunTimes.py" --tripid 808-17 --locoid 4051 --swversion DE.1.0.9.0 --startMP 300:58632 --initTime 2017-05-17T07:38:34 --startdatetime 2017-05-17T07:40:43 --delay 1 --endMP 204:685 --enddatetime 2017-05-17T07:56:38 --enforcementcount 1 &gt;&gt;C:\Users\stu\Documents\GitHub\eaglep3-reporting\EC\2017-05-17-refined-times.txt</v>
      </c>
      <c r="AI165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{"issue":{"subject":"","project_id":79,"tracker_id":40,"status_id":1,"priority_id":2,"assigned_to_id":23,"start_date":"2017-05-17","description":"","custom_fields":[{"id":1,"name":"Subdivision","value":"NW"},{"id":4,"name":"Milepost","value":"0.0685"},{"id":17,"name":"Train ID","value":"808-17"},{"id":16,"name":"Locomotive ID","value":"4051"},{"id":130,"name":"Impact","value":""},{"id":150,"name":"Time of Event (Mountain Time)","value":"07:56:38"},{"id":151,"name":"Denver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14"/>
        <v>start /low /b %USERPROFILE%\Documents\GitHub\eaglep3\Utilities\DownloadLogsFromS3.py --loco 4051 --day 2017-05-17</v>
      </c>
      <c r="AN165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13:56:38"},{"id":29,"name":"Sharepoint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665</v>
      </c>
      <c r="B166" s="7">
        <v>4056</v>
      </c>
      <c r="C166" s="21" t="s">
        <v>206</v>
      </c>
      <c r="D166" s="21" t="s">
        <v>949</v>
      </c>
      <c r="E166" s="13">
        <v>42872.311643518522</v>
      </c>
      <c r="F166" s="13">
        <v>42872.327256944445</v>
      </c>
      <c r="G166" s="7">
        <v>0</v>
      </c>
      <c r="H166" s="21" t="s">
        <v>950</v>
      </c>
      <c r="I166" s="13">
        <v>42872.335833333331</v>
      </c>
      <c r="J166" s="7">
        <v>1</v>
      </c>
      <c r="K166" s="92" t="str">
        <f>IF(ISEVEN(B166),(B166-1)&amp;"/"&amp;B166,B166&amp;"/"&amp;(B166+1))</f>
        <v>4055/4056</v>
      </c>
      <c r="L166" s="21" t="str">
        <f>VLOOKUP(A166,'Trips&amp;Operators'!$C$1:$G$99999,5,FALSE)</f>
        <v>YORK EDGAR</v>
      </c>
      <c r="M166" s="6">
        <f>I166-F166</f>
        <v>8.5763888855581172E-3</v>
      </c>
      <c r="N166" s="7">
        <f>24*60*SUM($M166:$M166)</f>
        <v>12.349999995203689</v>
      </c>
      <c r="O166" s="7"/>
      <c r="P166" s="7"/>
      <c r="Q166" s="22"/>
      <c r="R166" s="190"/>
      <c r="S166" s="196">
        <f>SUM(U166:U166)/IF(AG166="EC",12,1)</f>
        <v>1</v>
      </c>
      <c r="T166" s="190" t="str">
        <f>IF(ISEVEN(LEFT(AD166,4)),"Southbound","NorthBound")</f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-05-17T06:28:46-0600',mode:absolute,to:'2017-05-17T09:03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6" s="192" t="str">
        <f>IF(AA166&lt;IF(AG166="EC",23,5.65),"Y","N")</f>
        <v>N</v>
      </c>
      <c r="X166" s="192">
        <f>VALUE(LEFT(AD166,4))-VALUE(LEFT(AD165,4))</f>
        <v>1</v>
      </c>
      <c r="Y166" s="192">
        <f>RIGHT(D166,LEN(D166)-4)/10000</f>
        <v>0.10340000000000001</v>
      </c>
      <c r="Z166" s="192">
        <f>RIGHT(H166,LEN(H166)-4)/10000</f>
        <v>5.8920000000000003</v>
      </c>
      <c r="AA166" s="192">
        <f>ABS(Z166-Y166)</f>
        <v>5.7886000000000006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0809-17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/stypes="app*4056*20170517*" /stext=" 14:.+((SYSTEM_STATE.+slice.+state.+changed )|(ment ac)|(multiple cpu faults)|(system.+state.+changed )|(\[timeout)|(PRM\|1\|D)|(kpr)|(kdp)|(train st.+moving)|(\|lc)|(penalty))"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12"/>
        <v>"%USERPROFILE%\Documents\GitHub\eaglep3\Utilities\RefineRTDCRunTimes.py" --tripid 809-17 --locoid 4056 --swversion DE.1.0.9.0 --startMP 204:1034 --initTime 2017-05-17T07:28:46 --startdatetime 2017-05-17T07:51:15 --delay 0 --endMP 300:58920 --enddatetime 2017-05-17T08:03:36 --enforcementcount 1 &gt;&gt;C:\Users\stu\Documents\GitHub\eaglep3-reporting\EC\2017-05-17-refined-times.txt</v>
      </c>
      <c r="AI166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{"issue":{"subject":"","project_id":79,"tracker_id":40,"status_id":1,"priority_id":2,"assigned_to_id":23,"start_date":"2017-05-17","description":"","custom_fields":[{"id":1,"name":"Subdivision","value":"NW"},{"id":4,"name":"Milepost","value":"5.892"},{"id":17,"name":"Train ID","value":"809-17"},{"id":16,"name":"Locomotive ID","value":"4056"},{"id":130,"name":"Impact","value":""},{"id":150,"name":"Time of Event (Mountain Time)","value":"08:03:36"},{"id":151,"name":"Denver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14"/>
        <v>start /low /b %USERPROFILE%\Documents\GitHub\eaglep3\Utilities\DownloadLogsFromS3.py --loco 4056 --day 2017-05-17</v>
      </c>
      <c r="AN166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672</v>
      </c>
      <c r="B167" s="7">
        <v>4055</v>
      </c>
      <c r="C167" s="21" t="s">
        <v>206</v>
      </c>
      <c r="D167" s="21" t="s">
        <v>954</v>
      </c>
      <c r="E167" s="13">
        <v>42872.336562500001</v>
      </c>
      <c r="F167" s="13">
        <v>42872.341770833336</v>
      </c>
      <c r="G167" s="7">
        <v>0</v>
      </c>
      <c r="H167" s="21" t="s">
        <v>955</v>
      </c>
      <c r="I167" s="13">
        <v>42872.350451388891</v>
      </c>
      <c r="J167" s="7">
        <v>1</v>
      </c>
      <c r="K167" s="92" t="str">
        <f>IF(ISEVEN(B167),(B167-1)&amp;"/"&amp;B167,B167&amp;"/"&amp;(B167+1))</f>
        <v>4055/4056</v>
      </c>
      <c r="L167" s="21" t="str">
        <f>VLOOKUP(A167,'Trips&amp;Operators'!$C$1:$G$99999,5,FALSE)</f>
        <v>YORK EDGAR</v>
      </c>
      <c r="M167" s="6">
        <f>I167-F167</f>
        <v>8.6805555547471158E-3</v>
      </c>
      <c r="N167" s="7">
        <f>24*60*SUM($M167:$M167)</f>
        <v>12.499999998835847</v>
      </c>
      <c r="O167" s="7"/>
      <c r="P167" s="7"/>
      <c r="Q167" s="22"/>
      <c r="R167" s="190"/>
      <c r="S167" s="196">
        <f>SUM(U167:U167)/IF(AG167="EC",12,1)</f>
        <v>1</v>
      </c>
      <c r="T167" s="190" t="str">
        <f>IF(ISEVEN(LEFT(AD167,4)),"Southbound","NorthBound")</f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-05-17T07:04:39-0600',mode:absolute,to:'2017-05-17T09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7" s="192" t="str">
        <f>IF(AA167&lt;IF(AG167="EC",23,5.65),"Y","N")</f>
        <v>N</v>
      </c>
      <c r="X167" s="192">
        <f>VALUE(LEFT(AD167,4))-VALUE(LEFT(AD166,4))</f>
        <v>1</v>
      </c>
      <c r="Y167" s="192">
        <f>RIGHT(D167,LEN(D167)-4)/10000</f>
        <v>5.8604000000000003</v>
      </c>
      <c r="Z167" s="192">
        <f>RIGHT(H167,LEN(H167)-4)/10000</f>
        <v>8.1500000000000003E-2</v>
      </c>
      <c r="AA167" s="192">
        <f>ABS(Z167-Y167)</f>
        <v>5.7789000000000001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0810-17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s3://rtdc.mdm.uploadarchive.raw/RTDC4055/ "%USERPROFILE%\AppData\Local\Temp\OnboardLogs"\RTDC4055\2017-05-17 --exclude "*" --recursive --include "*20170517*" &amp; "%USERPROFILE%\Documents\GitHub\mrs-test-scripts\Headless Mode &amp; Sideloading\WalkAndUnGZ.bat" "%USERPROFILE%\AppData\Local\Temp\OnboardLogs"\RTDC4055\2017-05-17 &amp; 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/stypes="app*4055*20170517*" /stext=" 14:.+((SYSTEM_STATE.+slice.+state.+changed )|(ment ac)|(multiple cpu faults)|(system.+state.+changed )|(\[timeout)|(PRM\|1\|D)|(kpr)|(kdp)|(train st.+moving)|(\|lc)|(penalty))"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12"/>
        <v>"%USERPROFILE%\Documents\GitHub\eaglep3\Utilities\RefineRTDCRunTimes.py" --tripid 810-17 --locoid 4055 --swversion DE.1.0.9.0 --startMP 300:58604 --initTime 2017-05-17T08:04:39 --startdatetime 2017-05-17T08:12:09 --delay 0 --endMP 204:815 --enddatetime 2017-05-17T08:24:39 --enforcementcount 1 &gt;&gt;C:\Users\stu\Documents\GitHub\eaglep3-reporting\EC\2017-05-17-refined-times.txt</v>
      </c>
      <c r="AI167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{"issue":{"subject":"","project_id":79,"tracker_id":40,"status_id":1,"priority_id":2,"assigned_to_id":23,"start_date":"2017-05-17","description":"","custom_fields":[{"id":1,"name":"Subdivision","value":"NW"},{"id":4,"name":"Milepost","value":"0.0815"},{"id":17,"name":"Train ID","value":"810-17"},{"id":16,"name":"Locomotive ID","value":"4055"},{"id":130,"name":"Impact","value":""},{"id":150,"name":"Time of Event (Mountain Time)","value":"08:24:39"},{"id":151,"name":"Denver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14"/>
        <v>start /low /b %USERPROFILE%\Documents\GitHub\eaglep3\Utilities\DownloadLogsFromS3.py --loco 4055 --day 2017-05-17</v>
      </c>
      <c r="AN167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671</v>
      </c>
      <c r="B168" s="7">
        <v>4052</v>
      </c>
      <c r="C168" s="21" t="s">
        <v>206</v>
      </c>
      <c r="D168" s="21" t="s">
        <v>942</v>
      </c>
      <c r="E168" s="13">
        <v>42872.332731481481</v>
      </c>
      <c r="F168" s="13">
        <v>42872.348136574074</v>
      </c>
      <c r="G168" s="7">
        <v>1</v>
      </c>
      <c r="H168" s="21" t="s">
        <v>570</v>
      </c>
      <c r="I168" s="13">
        <v>42872.356782407405</v>
      </c>
      <c r="J168" s="7">
        <v>1</v>
      </c>
      <c r="K168" s="92" t="str">
        <f>IF(ISEVEN(B168),(B168-1)&amp;"/"&amp;B168,B168&amp;"/"&amp;(B168+1))</f>
        <v>4051/4052</v>
      </c>
      <c r="L168" s="21" t="str">
        <f>VLOOKUP(A168,'Trips&amp;Operators'!$C$1:$G$99999,5,FALSE)</f>
        <v>LOZA FIDEL</v>
      </c>
      <c r="M168" s="6">
        <f>I168-F168</f>
        <v>8.6458333316841163E-3</v>
      </c>
      <c r="N168" s="7">
        <f>24*60*SUM($M168:$M168)</f>
        <v>12.449999997625127</v>
      </c>
      <c r="O168" s="7"/>
      <c r="P168" s="7"/>
      <c r="Q168" s="22"/>
      <c r="R168" s="190"/>
      <c r="S168" s="196">
        <f>SUM(U168:U168)/IF(AG168="EC",12,1)</f>
        <v>1</v>
      </c>
      <c r="T168" s="190" t="str">
        <f>IF(ISEVEN(LEFT(AD168,4)),"Southbound","NorthBound")</f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-05-17T06:59:08-0600',mode:absolute,to:'2017-05-17T09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8" s="192" t="str">
        <f>IF(AA168&lt;IF(AG168="EC",23,5.65),"Y","N")</f>
        <v>N</v>
      </c>
      <c r="X168" s="192">
        <f>VALUE(LEFT(AD168,4))-VALUE(LEFT(AD167,4))</f>
        <v>1</v>
      </c>
      <c r="Y168" s="192">
        <f>RIGHT(D168,LEN(D168)-4)/10000</f>
        <v>9.7900000000000001E-2</v>
      </c>
      <c r="Z168" s="192">
        <f>RIGHT(H168,LEN(H168)-4)/10000</f>
        <v>5.8940999999999999</v>
      </c>
      <c r="AA168" s="192">
        <f>ABS(Z168-Y168)</f>
        <v>5.7961999999999998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0811-17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/stypes="app*4052*20170517*" /stext=" 14:.+((SYSTEM_STATE.+slice.+state.+changed )|(ment ac)|(multiple cpu faults)|(system.+state.+changed )|(\[timeout)|(PRM\|1\|D)|(kpr)|(kdp)|(train st.+moving)|(\|lc)|(penalty))"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12"/>
        <v>"%USERPROFILE%\Documents\GitHub\eaglep3\Utilities\RefineRTDCRunTimes.py" --tripid 811-17 --locoid 4052 --swversion DE.1.0.9.0 --startMP 204:979 --initTime 2017-05-17T07:59:08 --startdatetime 2017-05-17T08:21:19 --delay 1 --endMP 300:58941 --enddatetime 2017-05-17T08:33:46 --enforcementcount 1 &gt;&gt;C:\Users\stu\Documents\GitHub\eaglep3-reporting\EC\2017-05-17-refined-times.txt</v>
      </c>
      <c r="AI168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{"issue":{"subject":"","project_id":79,"tracker_id":40,"status_id":1,"priority_id":2,"assigned_to_id":23,"start_date":"2017-05-17","description":"","custom_fields":[{"id":1,"name":"Subdivision","value":"NW"},{"id":4,"name":"Milepost","value":"5.8941"},{"id":17,"name":"Train ID","value":"811-17"},{"id":16,"name":"Locomotive ID","value":"4052"},{"id":130,"name":"Impact","value":""},{"id":150,"name":"Time of Event (Mountain Time)","value":"08:33:46"},{"id":151,"name":"Denver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14"/>
        <v>start /low /b %USERPROFILE%\Documents\GitHub\eaglep3\Utilities\DownloadLogsFromS3.py --loco 4052 --day 2017-05-17</v>
      </c>
      <c r="AN168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679</v>
      </c>
      <c r="B169" s="7">
        <v>4051</v>
      </c>
      <c r="C169" s="21" t="s">
        <v>206</v>
      </c>
      <c r="D169" s="21" t="s">
        <v>561</v>
      </c>
      <c r="E169" s="13">
        <v>42872.35796296296</v>
      </c>
      <c r="F169" s="13">
        <v>42872.359560185185</v>
      </c>
      <c r="G169" s="7">
        <v>1</v>
      </c>
      <c r="H169" s="21" t="s">
        <v>956</v>
      </c>
      <c r="I169" s="13">
        <v>42872.371111111112</v>
      </c>
      <c r="J169" s="7">
        <v>1</v>
      </c>
      <c r="K169" s="92" t="str">
        <f>IF(ISEVEN(B169),(B169-1)&amp;"/"&amp;B169,B169&amp;"/"&amp;(B169+1))</f>
        <v>4051/4052</v>
      </c>
      <c r="L169" s="21" t="str">
        <f>VLOOKUP(A169,'Trips&amp;Operators'!$C$1:$G$99999,5,FALSE)</f>
        <v>LOZA FIDEL</v>
      </c>
      <c r="M169" s="6">
        <f>I169-F169</f>
        <v>1.1550925926712807E-2</v>
      </c>
      <c r="N169" s="7">
        <f>24*60*SUM($M169:$M169)</f>
        <v>16.633333334466442</v>
      </c>
      <c r="O169" s="7"/>
      <c r="P169" s="7"/>
      <c r="Q169" s="22"/>
      <c r="R169" s="190"/>
      <c r="S169" s="196">
        <f>SUM(U169:U169)/IF(AG169="EC",12,1)</f>
        <v>1</v>
      </c>
      <c r="T169" s="190" t="str">
        <f>IF(ISEVEN(LEFT(AD169,4)),"Southbound","NorthBound")</f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-05-17T07:35:28-0600',mode:absolute,to:'2017-05-17T09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9" s="192" t="str">
        <f>IF(AA169&lt;IF(AG169="EC",23,5.65),"Y","N")</f>
        <v>N</v>
      </c>
      <c r="X169" s="192">
        <f>VALUE(LEFT(AD169,4))-VALUE(LEFT(AD168,4))</f>
        <v>1</v>
      </c>
      <c r="Y169" s="192">
        <f>RIGHT(D169,LEN(D169)-4)/10000</f>
        <v>5.8619000000000003</v>
      </c>
      <c r="Z169" s="192">
        <f>RIGHT(H169,LEN(H169)-4)/10000</f>
        <v>6.8199999999999997E-2</v>
      </c>
      <c r="AA169" s="192">
        <f>ABS(Z169-Y169)</f>
        <v>5.7937000000000003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0812-17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/stypes="app*4051*20170517*" /stext=" 14:.+((SYSTEM_STATE.+slice.+state.+changed )|(ment ac)|(multiple cpu faults)|(system.+state.+changed )|(\[timeout)|(PRM\|1\|D)|(kpr)|(kdp)|(train st.+moving)|(\|lc)|(penalty))"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12"/>
        <v>"%USERPROFILE%\Documents\GitHub\eaglep3\Utilities\RefineRTDCRunTimes.py" --tripid 812-17 --locoid 4051 --swversion DE.1.0.9.0 --startMP 300:58619 --initTime 2017-05-17T08:35:28 --startdatetime 2017-05-17T08:37:46 --delay 1 --endMP 204:682 --enddatetime 2017-05-17T08:54:24 --enforcementcount 1 &gt;&gt;C:\Users\stu\Documents\GitHub\eaglep3-reporting\EC\2017-05-17-refined-times.txt</v>
      </c>
      <c r="AI169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{"issue":{"subject":"","project_id":79,"tracker_id":40,"status_id":1,"priority_id":2,"assigned_to_id":23,"start_date":"2017-05-17","description":"","custom_fields":[{"id":1,"name":"Subdivision","value":"NW"},{"id":4,"name":"Milepost","value":"0.0682"},{"id":17,"name":"Train ID","value":"812-17"},{"id":16,"name":"Locomotive ID","value":"4051"},{"id":130,"name":"Impact","value":""},{"id":150,"name":"Time of Event (Mountain Time)","value":"08:54:24"},{"id":151,"name":"Denver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14"/>
        <v>start /low /b %USERPROFILE%\Documents\GitHub\eaglep3\Utilities\DownloadLogsFromS3.py --loco 4051 --day 2017-05-17</v>
      </c>
      <c r="AN169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685</v>
      </c>
      <c r="B170" s="7">
        <v>4052</v>
      </c>
      <c r="C170" s="21" t="s">
        <v>206</v>
      </c>
      <c r="D170" s="21" t="s">
        <v>579</v>
      </c>
      <c r="E170" s="13">
        <v>42872.384363425925</v>
      </c>
      <c r="F170" s="13">
        <v>42872.389907407407</v>
      </c>
      <c r="G170" s="7">
        <v>1</v>
      </c>
      <c r="H170" s="21" t="s">
        <v>957</v>
      </c>
      <c r="I170" s="13">
        <v>42872.398564814815</v>
      </c>
      <c r="J170" s="7">
        <v>1</v>
      </c>
      <c r="K170" s="92" t="str">
        <f>IF(ISEVEN(B170),(B170-1)&amp;"/"&amp;B170,B170&amp;"/"&amp;(B170+1))</f>
        <v>4051/4052</v>
      </c>
      <c r="L170" s="21" t="str">
        <f>VLOOKUP(A170,'Trips&amp;Operators'!$C$1:$G$99999,5,FALSE)</f>
        <v>LOZA FIDEL</v>
      </c>
      <c r="M170" s="6">
        <f>I170-F170</f>
        <v>8.6574074084637687E-3</v>
      </c>
      <c r="N170" s="7">
        <f>24*60*SUM($M170:$M170)</f>
        <v>12.466666668187827</v>
      </c>
      <c r="O170" s="7"/>
      <c r="P170" s="7"/>
      <c r="Q170" s="22"/>
      <c r="R170" s="190"/>
      <c r="S170" s="196">
        <f>SUM(U170:U170)/IF(AG170="EC",12,1)</f>
        <v>1</v>
      </c>
      <c r="T170" s="190" t="str">
        <f>IF(ISEVEN(LEFT(AD170,4)),"Southbound","NorthBound")</f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-05-17T08:13:29-0600',mode:absolute,to:'2017-05-17T10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0" s="192" t="str">
        <f>IF(AA170&lt;IF(AG170="EC",23,5.65),"Y","N")</f>
        <v>N</v>
      </c>
      <c r="X170" s="192">
        <f>VALUE(LEFT(AD170,4))-VALUE(LEFT(AD169,4))</f>
        <v>1</v>
      </c>
      <c r="Y170" s="192">
        <f>RIGHT(D170,LEN(D170)-4)/10000</f>
        <v>9.8100000000000007E-2</v>
      </c>
      <c r="Z170" s="192">
        <f>RIGHT(H170,LEN(H170)-4)/10000</f>
        <v>5.8944000000000001</v>
      </c>
      <c r="AA170" s="192">
        <f>ABS(Z170-Y170)</f>
        <v>5.7963000000000005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0813-17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/stypes="app*4052*20170517*" /stext=" 15:.+((SYSTEM_STATE.+slice.+state.+changed )|(ment ac)|(multiple cpu faults)|(system.+state.+changed )|(\[timeout)|(PRM\|1\|D)|(kpr)|(kdp)|(train st.+moving)|(\|lc)|(penalty))"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12"/>
        <v>"%USERPROFILE%\Documents\GitHub\eaglep3\Utilities\RefineRTDCRunTimes.py" --tripid 813-17 --locoid 4052 --swversion DE.1.0.9.0 --startMP 204:981 --initTime 2017-05-17T09:13:29 --startdatetime 2017-05-17T09:21:28 --delay 1 --endMP 300:58944 --enddatetime 2017-05-17T09:33:56 --enforcementcount 1 &gt;&gt;C:\Users\stu\Documents\GitHub\eaglep3-reporting\EC\2017-05-17-refined-times.txt</v>
      </c>
      <c r="AI170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{"issue":{"subject":"","project_id":79,"tracker_id":40,"status_id":1,"priority_id":2,"assigned_to_id":23,"start_date":"2017-05-17","description":"","custom_fields":[{"id":1,"name":"Subdivision","value":"NW"},{"id":4,"name":"Milepost","value":"5.8944"},{"id":17,"name":"Train ID","value":"813-17"},{"id":16,"name":"Locomotive ID","value":"4052"},{"id":130,"name":"Impact","value":""},{"id":150,"name":"Time of Event (Mountain Time)","value":"09:33:56"},{"id":151,"name":"Denver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14"/>
        <v>start /low /b %USERPROFILE%\Documents\GitHub\eaglep3\Utilities\DownloadLogsFromS3.py --loco 4052 --day 2017-05-17</v>
      </c>
      <c r="AN170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15:33:56"},{"id":29,"name":"Sharepoint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688</v>
      </c>
      <c r="B171" s="7">
        <v>4051</v>
      </c>
      <c r="C171" s="21" t="s">
        <v>206</v>
      </c>
      <c r="D171" s="21" t="s">
        <v>958</v>
      </c>
      <c r="E171" s="13">
        <v>42872.400613425925</v>
      </c>
      <c r="F171" s="13">
        <v>42872.402199074073</v>
      </c>
      <c r="G171" s="7">
        <v>1</v>
      </c>
      <c r="H171" s="21" t="s">
        <v>959</v>
      </c>
      <c r="I171" s="13">
        <v>42872.412731481483</v>
      </c>
      <c r="J171" s="7">
        <v>1</v>
      </c>
      <c r="K171" s="92" t="str">
        <f>IF(ISEVEN(B171),(B171-1)&amp;"/"&amp;B171,B171&amp;"/"&amp;(B171+1))</f>
        <v>4051/4052</v>
      </c>
      <c r="L171" s="21" t="str">
        <f>VLOOKUP(A171,'Trips&amp;Operators'!$C$1:$G$99999,5,FALSE)</f>
        <v>LOZA FIDEL</v>
      </c>
      <c r="M171" s="6">
        <f>I171-F171</f>
        <v>1.0532407410209998E-2</v>
      </c>
      <c r="N171" s="7">
        <f>24*60*SUM($M171:$M171)</f>
        <v>15.166666670702398</v>
      </c>
      <c r="O171" s="7"/>
      <c r="P171" s="7"/>
      <c r="Q171" s="22"/>
      <c r="R171" s="190"/>
      <c r="S171" s="196">
        <f>SUM(U171:U171)/IF(AG171="EC",12,1)</f>
        <v>1</v>
      </c>
      <c r="T171" s="190" t="str">
        <f>IF(ISEVEN(LEFT(AD171,4)),"Southbound","NorthBound")</f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-05-17T08:36:53-0600',mode:absolute,to:'2017-05-17T10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1" s="192" t="str">
        <f>IF(AA171&lt;IF(AG171="EC",23,5.65),"Y","N")</f>
        <v>N</v>
      </c>
      <c r="X171" s="192">
        <f>VALUE(LEFT(AD171,4))-VALUE(LEFT(AD170,4))</f>
        <v>1</v>
      </c>
      <c r="Y171" s="192">
        <f>RIGHT(D171,LEN(D171)-4)/10000</f>
        <v>5.8623000000000003</v>
      </c>
      <c r="Z171" s="192">
        <f>RIGHT(H171,LEN(H171)-4)/10000</f>
        <v>6.8000000000000005E-2</v>
      </c>
      <c r="AA171" s="192">
        <f>ABS(Z171-Y171)</f>
        <v>5.7943000000000007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0814-17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/stypes="app*4051*20170517*" /stext=" 15:.+((SYSTEM_STATE.+slice.+state.+changed )|(ment ac)|(multiple cpu faults)|(system.+state.+changed )|(\[timeout)|(PRM\|1\|D)|(kpr)|(kdp)|(train st.+moving)|(\|lc)|(penalty))"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12"/>
        <v>"%USERPROFILE%\Documents\GitHub\eaglep3\Utilities\RefineRTDCRunTimes.py" --tripid 814-17 --locoid 4051 --swversion DE.1.0.9.0 --startMP 300:58623 --initTime 2017-05-17T09:36:53 --startdatetime 2017-05-17T09:39:10 --delay 1 --endMP 204:680 --enddatetime 2017-05-17T09:54:20 --enforcementcount 1 &gt;&gt;C:\Users\stu\Documents\GitHub\eaglep3-reporting\EC\2017-05-17-refined-times.txt</v>
      </c>
      <c r="AI171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{"issue":{"subject":"","project_id":79,"tracker_id":40,"status_id":1,"priority_id":2,"assigned_to_id":23,"start_date":"2017-05-17","description":"","custom_fields":[{"id":1,"name":"Subdivision","value":"NW"},{"id":4,"name":"Milepost","value":"0.068"},{"id":17,"name":"Train ID","value":"814-17"},{"id":16,"name":"Locomotive ID","value":"4051"},{"id":130,"name":"Impact","value":""},{"id":150,"name":"Time of Event (Mountain Time)","value":"09:54:20"},{"id":151,"name":"Denver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14"/>
        <v>start /low /b %USERPROFILE%\Documents\GitHub\eaglep3\Utilities\DownloadLogsFromS3.py --loco 4051 --day 2017-05-17</v>
      </c>
      <c r="AN171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15:54:20"},{"id":29,"name":"Sharepoint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692</v>
      </c>
      <c r="B172" s="7">
        <v>4052</v>
      </c>
      <c r="C172" s="21" t="s">
        <v>206</v>
      </c>
      <c r="D172" s="21" t="s">
        <v>579</v>
      </c>
      <c r="E172" s="13">
        <v>42872.41642361111</v>
      </c>
      <c r="F172" s="13">
        <v>42872.431423611109</v>
      </c>
      <c r="G172" s="7">
        <v>1</v>
      </c>
      <c r="H172" s="21" t="s">
        <v>487</v>
      </c>
      <c r="I172" s="13">
        <v>42872.440162037034</v>
      </c>
      <c r="J172" s="7">
        <v>1</v>
      </c>
      <c r="K172" s="92" t="str">
        <f>IF(ISEVEN(B172),(B172-1)&amp;"/"&amp;B172,B172&amp;"/"&amp;(B172+1))</f>
        <v>4051/4052</v>
      </c>
      <c r="L172" s="21" t="str">
        <f>VLOOKUP(A172,'Trips&amp;Operators'!$C$1:$G$99999,5,FALSE)</f>
        <v>LOZA FIDEL</v>
      </c>
      <c r="M172" s="6">
        <f>I172-F172</f>
        <v>8.7384259240934625E-3</v>
      </c>
      <c r="N172" s="7">
        <f>24*60*SUM($M172:$M172)</f>
        <v>12.583333330694586</v>
      </c>
      <c r="O172" s="7"/>
      <c r="P172" s="7"/>
      <c r="Q172" s="22"/>
      <c r="R172" s="190"/>
      <c r="S172" s="196">
        <f>SUM(U172:U172)/IF(AG172="EC",12,1)</f>
        <v>1</v>
      </c>
      <c r="T172" s="190" t="str">
        <f>IF(ISEVEN(LEFT(AD172,4)),"Southbound","NorthBound")</f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-05-17T08:59:39-0600',mode:absolute,to:'2017-05-17T11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2" s="192" t="str">
        <f>IF(AA172&lt;IF(AG172="EC",23,5.65),"Y","N")</f>
        <v>N</v>
      </c>
      <c r="X172" s="192">
        <f>VALUE(LEFT(AD172,4))-VALUE(LEFT(AD171,4))</f>
        <v>1</v>
      </c>
      <c r="Y172" s="192">
        <f>RIGHT(D172,LEN(D172)-4)/10000</f>
        <v>9.8100000000000007E-2</v>
      </c>
      <c r="Z172" s="192">
        <f>RIGHT(H172,LEN(H172)-4)/10000</f>
        <v>5.8954000000000004</v>
      </c>
      <c r="AA172" s="192">
        <f>ABS(Z172-Y172)</f>
        <v>5.7973000000000008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0815-17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/stypes="app*4052*20170517*" /stext=" 16:.+((SYSTEM_STATE.+slice.+state.+changed )|(ment ac)|(multiple cpu faults)|(system.+state.+changed )|(\[timeout)|(PRM\|1\|D)|(kpr)|(kdp)|(train st.+moving)|(\|lc)|(penalty))"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12"/>
        <v>"%USERPROFILE%\Documents\GitHub\eaglep3\Utilities\RefineRTDCRunTimes.py" --tripid 815-17 --locoid 4052 --swversion DE.1.0.9.0 --startMP 204:981 --initTime 2017-05-17T09:59:39 --startdatetime 2017-05-17T10:21:15 --delay 1 --endMP 300:58954 --enddatetime 2017-05-17T10:33:50 --enforcementcount 1 &gt;&gt;C:\Users\stu\Documents\GitHub\eaglep3-reporting\EC\2017-05-17-refined-times.txt</v>
      </c>
      <c r="AI172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{"issue":{"subject":"","project_id":79,"tracker_id":40,"status_id":1,"priority_id":2,"assigned_to_id":23,"start_date":"2017-05-17","description":"","custom_fields":[{"id":1,"name":"Subdivision","value":"NW"},{"id":4,"name":"Milepost","value":"5.8954"},{"id":17,"name":"Train ID","value":"815-17"},{"id":16,"name":"Locomotive ID","value":"4052"},{"id":130,"name":"Impact","value":""},{"id":150,"name":"Time of Event (Mountain Time)","value":"10:33:50"},{"id":151,"name":"Denver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14"/>
        <v>start /low /b %USERPROFILE%\Documents\GitHub\eaglep3\Utilities\DownloadLogsFromS3.py --loco 4052 --day 2017-05-17</v>
      </c>
      <c r="AN172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16:33:50"},{"id":29,"name":"Sharepoint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699</v>
      </c>
      <c r="B173" s="7">
        <v>4051</v>
      </c>
      <c r="C173" s="21" t="s">
        <v>206</v>
      </c>
      <c r="D173" s="21" t="s">
        <v>571</v>
      </c>
      <c r="E173" s="13">
        <v>42872.442002314812</v>
      </c>
      <c r="F173" s="13">
        <v>42872.44390046296</v>
      </c>
      <c r="G173" s="7">
        <v>1</v>
      </c>
      <c r="H173" s="21" t="s">
        <v>490</v>
      </c>
      <c r="I173" s="13">
        <v>42872.456145833334</v>
      </c>
      <c r="J173" s="7">
        <v>1</v>
      </c>
      <c r="K173" s="92" t="str">
        <f>IF(ISEVEN(B173),(B173-1)&amp;"/"&amp;B173,B173&amp;"/"&amp;(B173+1))</f>
        <v>4051/4052</v>
      </c>
      <c r="L173" s="21" t="str">
        <f>VLOOKUP(A173,'Trips&amp;Operators'!$C$1:$G$99999,5,FALSE)</f>
        <v>LOZA FIDEL</v>
      </c>
      <c r="M173" s="6">
        <f>I173-F173</f>
        <v>1.2245370373420883E-2</v>
      </c>
      <c r="N173" s="7">
        <f>24*60*SUM($M173:$M173)</f>
        <v>17.633333337726071</v>
      </c>
      <c r="O173" s="7"/>
      <c r="P173" s="7"/>
      <c r="Q173" s="22"/>
      <c r="R173" s="190"/>
      <c r="S173" s="196">
        <f>SUM(U173:U173)/IF(AG173="EC",12,1)</f>
        <v>1</v>
      </c>
      <c r="T173" s="190" t="str">
        <f>IF(ISEVEN(LEFT(AD173,4)),"Southbound","NorthBound")</f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-05-17T09:36:29-0600',mode:absolute,to:'2017-05-17T11:56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3" s="192" t="str">
        <f>IF(AA173&lt;IF(AG173="EC",23,5.65),"Y","N")</f>
        <v>N</v>
      </c>
      <c r="X173" s="192">
        <f>VALUE(LEFT(AD173,4))-VALUE(LEFT(AD172,4))</f>
        <v>1</v>
      </c>
      <c r="Y173" s="192">
        <f>RIGHT(D173,LEN(D173)-4)/10000</f>
        <v>5.8624000000000001</v>
      </c>
      <c r="Z173" s="192">
        <f>RIGHT(H173,LEN(H173)-4)/10000</f>
        <v>6.7699999999999996E-2</v>
      </c>
      <c r="AA173" s="192">
        <f>ABS(Z173-Y173)</f>
        <v>5.7946999999999997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0816-17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/stypes="app*4051*20170517*" /stext=" 16:.+((SYSTEM_STATE.+slice.+state.+changed )|(ment ac)|(multiple cpu faults)|(system.+state.+changed )|(\[timeout)|(PRM\|1\|D)|(kpr)|(kdp)|(train st.+moving)|(\|lc)|(penalty))"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12"/>
        <v>"%USERPROFILE%\Documents\GitHub\eaglep3\Utilities\RefineRTDCRunTimes.py" --tripid 816-17 --locoid 4051 --swversion DE.1.0.9.0 --startMP 300:58624 --initTime 2017-05-17T10:36:29 --startdatetime 2017-05-17T10:39:13 --delay 1 --endMP 204:677 --enddatetime 2017-05-17T10:56:51 --enforcementcount 1 &gt;&gt;C:\Users\stu\Documents\GitHub\eaglep3-reporting\EC\2017-05-17-refined-times.txt</v>
      </c>
      <c r="AI173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{"issue":{"subject":"","project_id":79,"tracker_id":40,"status_id":1,"priority_id":2,"assigned_to_id":23,"start_date":"2017-05-17","description":"","custom_fields":[{"id":1,"name":"Subdivision","value":"NW"},{"id":4,"name":"Milepost","value":"0.0677"},{"id":17,"name":"Train ID","value":"816-17"},{"id":16,"name":"Locomotive ID","value":"4051"},{"id":130,"name":"Impact","value":""},{"id":150,"name":"Time of Event (Mountain Time)","value":"10:56:51"},{"id":151,"name":"Denver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14"/>
        <v>start /low /b %USERPROFILE%\Documents\GitHub\eaglep3\Utilities\DownloadLogsFromS3.py --loco 4051 --day 2017-05-17</v>
      </c>
      <c r="AN173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16:56:51"},{"id":29,"name":"Sharepoint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706</v>
      </c>
      <c r="B174" s="7">
        <v>4052</v>
      </c>
      <c r="C174" s="21" t="s">
        <v>206</v>
      </c>
      <c r="D174" s="21" t="s">
        <v>579</v>
      </c>
      <c r="E174" s="13">
        <v>42872.471458333333</v>
      </c>
      <c r="F174" s="13">
        <v>42872.473090277781</v>
      </c>
      <c r="G174" s="7">
        <v>1</v>
      </c>
      <c r="H174" s="21" t="s">
        <v>574</v>
      </c>
      <c r="I174" s="13">
        <v>42872.48196759259</v>
      </c>
      <c r="J174" s="7">
        <v>1</v>
      </c>
      <c r="K174" s="92" t="str">
        <f>IF(ISEVEN(B174),(B174-1)&amp;"/"&amp;B174,B174&amp;"/"&amp;(B174+1))</f>
        <v>4051/4052</v>
      </c>
      <c r="L174" s="21" t="str">
        <f>VLOOKUP(A174,'Trips&amp;Operators'!$C$1:$G$99999,5,FALSE)</f>
        <v>LOZA FIDEL</v>
      </c>
      <c r="M174" s="6">
        <f>I174-F174</f>
        <v>8.8773148090695031E-3</v>
      </c>
      <c r="N174" s="7">
        <f>24*60*SUM($M174:$M174)</f>
        <v>12.783333325060084</v>
      </c>
      <c r="O174" s="7"/>
      <c r="P174" s="7"/>
      <c r="Q174" s="22"/>
      <c r="R174" s="190"/>
      <c r="S174" s="196">
        <f>SUM(U174:U174)/IF(AG174="EC",12,1)</f>
        <v>1</v>
      </c>
      <c r="T174" s="190" t="str">
        <f>IF(ISEVEN(LEFT(AD174,4)),"Southbound","NorthBound")</f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-05-17T10:18:54-0600',mode:absolute,to:'2017-05-17T12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4" s="192" t="str">
        <f>IF(AA174&lt;IF(AG174="EC",23,5.65),"Y","N")</f>
        <v>N</v>
      </c>
      <c r="X174" s="192">
        <f>VALUE(LEFT(AD174,4))-VALUE(LEFT(AD173,4))</f>
        <v>1</v>
      </c>
      <c r="Y174" s="192">
        <f>RIGHT(D174,LEN(D174)-4)/10000</f>
        <v>9.8100000000000007E-2</v>
      </c>
      <c r="Z174" s="192">
        <f>RIGHT(H174,LEN(H174)-4)/10000</f>
        <v>5.8943000000000003</v>
      </c>
      <c r="AA174" s="192">
        <f>ABS(Z174-Y174)</f>
        <v>5.7962000000000007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0817-17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/stypes="app*4052*20170517*" /stext=" 17:.+((SYSTEM_STATE.+slice.+state.+changed )|(ment ac)|(multiple cpu faults)|(system.+state.+changed )|(\[timeout)|(PRM\|1\|D)|(kpr)|(kdp)|(train st.+moving)|(\|lc)|(penalty))"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12"/>
        <v>"%USERPROFILE%\Documents\GitHub\eaglep3\Utilities\RefineRTDCRunTimes.py" --tripid 817-17 --locoid 4052 --swversion DE.1.0.9.0 --startMP 204:981 --initTime 2017-05-17T11:18:54 --startdatetime 2017-05-17T11:21:15 --delay 1 --endMP 300:58943 --enddatetime 2017-05-17T11:34:02 --enforcementcount 1 &gt;&gt;C:\Users\stu\Documents\GitHub\eaglep3-reporting\EC\2017-05-17-refined-times.txt</v>
      </c>
      <c r="AI174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{"issue":{"subject":"","project_id":79,"tracker_id":40,"status_id":1,"priority_id":2,"assigned_to_id":23,"start_date":"2017-05-17","description":"","custom_fields":[{"id":1,"name":"Subdivision","value":"NW"},{"id":4,"name":"Milepost","value":"5.8943"},{"id":17,"name":"Train ID","value":"817-17"},{"id":16,"name":"Locomotive ID","value":"4052"},{"id":130,"name":"Impact","value":""},{"id":150,"name":"Time of Event (Mountain Time)","value":"11:34:02"},{"id":151,"name":"Denver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14"/>
        <v>start /low /b %USERPROFILE%\Documents\GitHub\eaglep3\Utilities\DownloadLogsFromS3.py --loco 4052 --day 2017-05-17</v>
      </c>
      <c r="AN174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17:34:02"},{"id":29,"name":"Sharepoint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709</v>
      </c>
      <c r="B175" s="7">
        <v>4051</v>
      </c>
      <c r="C175" s="21" t="s">
        <v>206</v>
      </c>
      <c r="D175" s="21" t="s">
        <v>960</v>
      </c>
      <c r="E175" s="13">
        <v>42872.483402777776</v>
      </c>
      <c r="F175" s="13">
        <v>42872.48537037037</v>
      </c>
      <c r="G175" s="7">
        <v>1</v>
      </c>
      <c r="H175" s="21" t="s">
        <v>961</v>
      </c>
      <c r="I175" s="13">
        <v>42872.496064814812</v>
      </c>
      <c r="J175" s="7">
        <v>1</v>
      </c>
      <c r="K175" s="92" t="str">
        <f>IF(ISEVEN(B175),(B175-1)&amp;"/"&amp;B175,B175&amp;"/"&amp;(B175+1))</f>
        <v>4051/4052</v>
      </c>
      <c r="L175" s="21" t="str">
        <f>VLOOKUP(A175,'Trips&amp;Operators'!$C$1:$G$99999,5,FALSE)</f>
        <v>LOZA FIDEL</v>
      </c>
      <c r="M175" s="6">
        <f>I175-F175</f>
        <v>1.0694444441469386E-2</v>
      </c>
      <c r="N175" s="7">
        <f>24*60*SUM($M175:$M175)</f>
        <v>15.399999995715916</v>
      </c>
      <c r="O175" s="7"/>
      <c r="P175" s="7"/>
      <c r="Q175" s="22"/>
      <c r="R175" s="190"/>
      <c r="S175" s="196">
        <f>SUM(U175:U175)/IF(AG175="EC",12,1)</f>
        <v>1</v>
      </c>
      <c r="T175" s="190" t="str">
        <f>IF(ISEVEN(LEFT(AD175,4)),"Southbound","NorthBound")</f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-05-17T10:36:06-0600',mode:absolute,to:'2017-05-17T12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5" s="192" t="str">
        <f>IF(AA175&lt;IF(AG175="EC",23,5.65),"Y","N")</f>
        <v>N</v>
      </c>
      <c r="X175" s="192">
        <f>VALUE(LEFT(AD175,4))-VALUE(LEFT(AD174,4))</f>
        <v>1</v>
      </c>
      <c r="Y175" s="192">
        <f>RIGHT(D175,LEN(D175)-4)/10000</f>
        <v>5.8635999999999999</v>
      </c>
      <c r="Z175" s="192">
        <f>RIGHT(H175,LEN(H175)-4)/10000</f>
        <v>6.6600000000000006E-2</v>
      </c>
      <c r="AA175" s="192">
        <f>ABS(Z175-Y175)</f>
        <v>5.7969999999999997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0818-17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/stypes="app*4051*20170517*" /stext=" 17:.+((SYSTEM_STATE.+slice.+state.+changed )|(ment ac)|(multiple cpu faults)|(system.+state.+changed )|(\[timeout)|(PRM\|1\|D)|(kpr)|(kdp)|(train st.+moving)|(\|lc)|(penalty))"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12"/>
        <v>"%USERPROFILE%\Documents\GitHub\eaglep3\Utilities\RefineRTDCRunTimes.py" --tripid 818-17 --locoid 4051 --swversion DE.1.0.9.0 --startMP 300:58636 --initTime 2017-05-17T11:36:06 --startdatetime 2017-05-17T11:38:56 --delay 1 --endMP 204:666 --enddatetime 2017-05-17T11:54:20 --enforcementcount 1 &gt;&gt;C:\Users\stu\Documents\GitHub\eaglep3-reporting\EC\2017-05-17-refined-times.txt</v>
      </c>
      <c r="AI175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{"issue":{"subject":"","project_id":79,"tracker_id":40,"status_id":1,"priority_id":2,"assigned_to_id":23,"start_date":"2017-05-17","description":"","custom_fields":[{"id":1,"name":"Subdivision","value":"NW"},{"id":4,"name":"Milepost","value":"0.0666"},{"id":17,"name":"Train ID","value":"818-17"},{"id":16,"name":"Locomotive ID","value":"4051"},{"id":130,"name":"Impact","value":""},{"id":150,"name":"Time of Event (Mountain Time)","value":"11:54:20"},{"id":151,"name":"Denver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14"/>
        <v>start /low /b %USERPROFILE%\Documents\GitHub\eaglep3\Utilities\DownloadLogsFromS3.py --loco 4051 --day 2017-05-17</v>
      </c>
      <c r="AN175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17:54:20"},{"id":29,"name":"Sharepoint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2" t="s">
        <v>715</v>
      </c>
      <c r="B176" s="7">
        <v>4052</v>
      </c>
      <c r="C176" s="21" t="s">
        <v>206</v>
      </c>
      <c r="D176" s="21" t="s">
        <v>942</v>
      </c>
      <c r="E176" s="13">
        <v>42872.498263888891</v>
      </c>
      <c r="F176" s="13">
        <v>42872.514791666668</v>
      </c>
      <c r="G176" s="7">
        <v>1</v>
      </c>
      <c r="H176" s="21" t="s">
        <v>434</v>
      </c>
      <c r="I176" s="13">
        <v>42872.523935185185</v>
      </c>
      <c r="J176" s="7">
        <v>1</v>
      </c>
      <c r="K176" s="92" t="str">
        <f>IF(ISEVEN(B176),(B176-1)&amp;"/"&amp;B176,B176&amp;"/"&amp;(B176+1))</f>
        <v>4051/4052</v>
      </c>
      <c r="L176" s="21" t="str">
        <f>VLOOKUP(A176,'Trips&amp;Operators'!$C$1:$G$99999,5,FALSE)</f>
        <v>LOZA FIDEL</v>
      </c>
      <c r="M176" s="6">
        <f>I176-F176</f>
        <v>9.1435185167938471E-3</v>
      </c>
      <c r="N176" s="7">
        <f>24*60*SUM($M176:$M176)</f>
        <v>13.16666666418314</v>
      </c>
      <c r="O176" s="7"/>
      <c r="P176" s="7"/>
      <c r="Q176" s="22"/>
      <c r="R176" s="190"/>
      <c r="S176" s="196">
        <f>SUM(U176:U176)/IF(AG176="EC",12,1)</f>
        <v>1</v>
      </c>
      <c r="T176" s="190" t="str">
        <f>IF(ISEVEN(LEFT(AD176,4)),"Southbound","NorthBound")</f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-05-17T10:57:30-0600',mode:absolute,to:'2017-05-17T13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6" s="192" t="str">
        <f>IF(AA176&lt;IF(AG176="EC",23,5.65),"Y","N")</f>
        <v>N</v>
      </c>
      <c r="X176" s="192">
        <f>VALUE(LEFT(AD176,4))-VALUE(LEFT(AD175,4))</f>
        <v>1</v>
      </c>
      <c r="Y176" s="192">
        <f>RIGHT(D176,LEN(D176)-4)/10000</f>
        <v>9.7900000000000001E-2</v>
      </c>
      <c r="Z176" s="192">
        <f>RIGHT(H176,LEN(H176)-4)/10000</f>
        <v>5.8935000000000004</v>
      </c>
      <c r="AA176" s="192">
        <f>ABS(Z176-Y176)</f>
        <v>5.7956000000000003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0819-17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/stypes="app*4052*20170517*" /stext=" 18:.+((SYSTEM_STATE.+slice.+state.+changed )|(ment ac)|(multiple cpu faults)|(system.+state.+changed )|(\[timeout)|(PRM\|1\|D)|(kpr)|(kdp)|(train st.+moving)|(\|lc)|(penalty))"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12"/>
        <v>"%USERPROFILE%\Documents\GitHub\eaglep3\Utilities\RefineRTDCRunTimes.py" --tripid 819-17 --locoid 4052 --swversion DE.1.0.9.0 --startMP 204:979 --initTime 2017-05-17T11:57:30 --startdatetime 2017-05-17T12:21:18 --delay 1 --endMP 300:58935 --enddatetime 2017-05-17T12:34:28 --enforcementcount 1 &gt;&gt;C:\Users\stu\Documents\GitHub\eaglep3-reporting\EC\2017-05-17-refined-times.txt</v>
      </c>
      <c r="AI176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{"issue":{"subject":"","project_id":79,"tracker_id":40,"status_id":1,"priority_id":2,"assigned_to_id":23,"start_date":"2017-05-17","description":"","custom_fields":[{"id":1,"name":"Subdivision","value":"NW"},{"id":4,"name":"Milepost","value":"5.8935"},{"id":17,"name":"Train ID","value":"819-17"},{"id":16,"name":"Locomotive ID","value":"4052"},{"id":130,"name":"Impact","value":""},{"id":150,"name":"Time of Event (Mountain Time)","value":"12:34:28"},{"id":151,"name":"Denver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14"/>
        <v>start /low /b %USERPROFILE%\Documents\GitHub\eaglep3\Utilities\DownloadLogsFromS3.py --loco 4052 --day 2017-05-17</v>
      </c>
      <c r="AN176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18:34:28"},{"id":29,"name":"Sharepoint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721</v>
      </c>
      <c r="B177" s="7">
        <v>4051</v>
      </c>
      <c r="C177" s="21" t="s">
        <v>206</v>
      </c>
      <c r="D177" s="21" t="s">
        <v>958</v>
      </c>
      <c r="E177" s="13">
        <v>42872.525196759256</v>
      </c>
      <c r="F177" s="13">
        <v>42872.526759259257</v>
      </c>
      <c r="G177" s="7">
        <v>1</v>
      </c>
      <c r="H177" s="21" t="s">
        <v>962</v>
      </c>
      <c r="I177" s="13">
        <v>42872.537812499999</v>
      </c>
      <c r="J177" s="7">
        <v>1</v>
      </c>
      <c r="K177" s="92" t="str">
        <f>IF(ISEVEN(B177),(B177-1)&amp;"/"&amp;B177,B177&amp;"/"&amp;(B177+1))</f>
        <v>4051/4052</v>
      </c>
      <c r="L177" s="21" t="str">
        <f>VLOOKUP(A177,'Trips&amp;Operators'!$C$1:$G$99999,5,FALSE)</f>
        <v>LOZA FIDEL</v>
      </c>
      <c r="M177" s="6">
        <f>I177-F177</f>
        <v>1.1053240741603076E-2</v>
      </c>
      <c r="N177" s="7">
        <f>24*60*SUM($M177:$M177)</f>
        <v>15.91666666790843</v>
      </c>
      <c r="O177" s="7"/>
      <c r="P177" s="7"/>
      <c r="Q177" s="22"/>
      <c r="R177" s="190"/>
      <c r="S177" s="196">
        <f>SUM(U177:U177)/IF(AG177="EC",12,1)</f>
        <v>1</v>
      </c>
      <c r="T177" s="190" t="str">
        <f>IF(ISEVEN(LEFT(AD177,4)),"Southbound","NorthBound")</f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-05-17T11:36:17-0600',mode:absolute,to:'2017-05-17T13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7" s="192" t="str">
        <f>IF(AA177&lt;IF(AG177="EC",23,5.65),"Y","N")</f>
        <v>N</v>
      </c>
      <c r="X177" s="192">
        <f>VALUE(LEFT(AD177,4))-VALUE(LEFT(AD176,4))</f>
        <v>1</v>
      </c>
      <c r="Y177" s="192">
        <f>RIGHT(D177,LEN(D177)-4)/10000</f>
        <v>5.8623000000000003</v>
      </c>
      <c r="Z177" s="192">
        <f>RIGHT(H177,LEN(H177)-4)/10000</f>
        <v>6.9099999999999995E-2</v>
      </c>
      <c r="AA177" s="192">
        <f>ABS(Z177-Y177)</f>
        <v>5.7932000000000006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0820-17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/stypes="app*4051*20170517*" /stext=" 18:.+((SYSTEM_STATE.+slice.+state.+changed )|(ment ac)|(multiple cpu faults)|(system.+state.+changed )|(\[timeout)|(PRM\|1\|D)|(kpr)|(kdp)|(train st.+moving)|(\|lc)|(penalty))"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12"/>
        <v>"%USERPROFILE%\Documents\GitHub\eaglep3\Utilities\RefineRTDCRunTimes.py" --tripid 820-17 --locoid 4051 --swversion DE.1.0.9.0 --startMP 300:58623 --initTime 2017-05-17T12:36:17 --startdatetime 2017-05-17T12:38:32 --delay 1 --endMP 204:691 --enddatetime 2017-05-17T12:54:27 --enforcementcount 1 &gt;&gt;C:\Users\stu\Documents\GitHub\eaglep3-reporting\EC\2017-05-17-refined-times.txt</v>
      </c>
      <c r="AI177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{"issue":{"subject":"","project_id":79,"tracker_id":40,"status_id":1,"priority_id":2,"assigned_to_id":23,"start_date":"2017-05-17","description":"","custom_fields":[{"id":1,"name":"Subdivision","value":"NW"},{"id":4,"name":"Milepost","value":"0.0691"},{"id":17,"name":"Train ID","value":"820-17"},{"id":16,"name":"Locomotive ID","value":"4051"},{"id":130,"name":"Impact","value":""},{"id":150,"name":"Time of Event (Mountain Time)","value":"12:54:27"},{"id":151,"name":"Denver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14"/>
        <v>start /low /b %USERPROFILE%\Documents\GitHub\eaglep3\Utilities\DownloadLogsFromS3.py --loco 4051 --day 2017-05-17</v>
      </c>
      <c r="AN177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18:54:27"},{"id":29,"name":"Sharepoint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727</v>
      </c>
      <c r="B178" s="7">
        <v>4052</v>
      </c>
      <c r="C178" s="21" t="s">
        <v>206</v>
      </c>
      <c r="D178" s="21" t="s">
        <v>963</v>
      </c>
      <c r="E178" s="13">
        <v>42872.552847222221</v>
      </c>
      <c r="F178" s="13">
        <v>42872.556423611109</v>
      </c>
      <c r="G178" s="7">
        <v>1</v>
      </c>
      <c r="H178" s="21" t="s">
        <v>460</v>
      </c>
      <c r="I178" s="13">
        <v>42872.565949074073</v>
      </c>
      <c r="J178" s="7">
        <v>1</v>
      </c>
      <c r="K178" s="92" t="str">
        <f>IF(ISEVEN(B178),(B178-1)&amp;"/"&amp;B178,B178&amp;"/"&amp;(B178+1))</f>
        <v>4051/4052</v>
      </c>
      <c r="L178" s="21" t="str">
        <f>VLOOKUP(A178,'Trips&amp;Operators'!$C$1:$G$99999,5,FALSE)</f>
        <v>MCREYNOLDS KYLE</v>
      </c>
      <c r="M178" s="6">
        <f>I178-F178</f>
        <v>9.5254629632108845E-3</v>
      </c>
      <c r="N178" s="7">
        <f>24*60*SUM($M178:$M178)</f>
        <v>13.716666667023674</v>
      </c>
      <c r="O178" s="7"/>
      <c r="P178" s="7"/>
      <c r="Q178" s="22"/>
      <c r="R178" s="190"/>
      <c r="S178" s="196">
        <f>SUM(U178:U178)/IF(AG178="EC",12,1)</f>
        <v>1</v>
      </c>
      <c r="T178" s="190" t="str">
        <f>IF(ISEVEN(LEFT(AD178,4)),"Southbound","NorthBound")</f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-05-17T12:16:06-0600',mode:absolute,to:'2017-05-17T14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8" s="192" t="str">
        <f>IF(AA178&lt;IF(AG178="EC",23,5.65),"Y","N")</f>
        <v>N</v>
      </c>
      <c r="X178" s="192">
        <f>VALUE(LEFT(AD178,4))-VALUE(LEFT(AD177,4))</f>
        <v>1</v>
      </c>
      <c r="Y178" s="192">
        <f>RIGHT(D178,LEN(D178)-4)/10000</f>
        <v>9.74E-2</v>
      </c>
      <c r="Z178" s="192">
        <f>RIGHT(H178,LEN(H178)-4)/10000</f>
        <v>5.8928000000000003</v>
      </c>
      <c r="AA178" s="192">
        <f>ABS(Z178-Y178)</f>
        <v>5.7953999999999999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0821-17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/stypes="app*4052*20170517*" /stext=" 19:.+((SYSTEM_STATE.+slice.+state.+changed )|(ment ac)|(multiple cpu faults)|(system.+state.+changed )|(\[timeout)|(PRM\|1\|D)|(kpr)|(kdp)|(train st.+moving)|(\|lc)|(penalty))"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12"/>
        <v>"%USERPROFILE%\Documents\GitHub\eaglep3\Utilities\RefineRTDCRunTimes.py" --tripid 821-17 --locoid 4052 --swversion DE.1.0.9.0 --startMP 204:974 --initTime 2017-05-17T13:16:06 --startdatetime 2017-05-17T13:21:15 --delay 1 --endMP 300:58928 --enddatetime 2017-05-17T13:34:58 --enforcementcount 1 &gt;&gt;C:\Users\stu\Documents\GitHub\eaglep3-reporting\EC\2017-05-17-refined-times.txt</v>
      </c>
      <c r="AI178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{"issue":{"subject":"","project_id":79,"tracker_id":40,"status_id":1,"priority_id":2,"assigned_to_id":23,"start_date":"2017-05-17","description":"","custom_fields":[{"id":1,"name":"Subdivision","value":"NW"},{"id":4,"name":"Milepost","value":"5.8928"},{"id":17,"name":"Train ID","value":"821-17"},{"id":16,"name":"Locomotive ID","value":"4052"},{"id":130,"name":"Impact","value":""},{"id":150,"name":"Time of Event (Mountain Time)","value":"13:34:58"},{"id":151,"name":"Denver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14"/>
        <v>start /low /b %USERPROFILE%\Documents\GitHub\eaglep3\Utilities\DownloadLogsFromS3.py --loco 4052 --day 2017-05-17</v>
      </c>
      <c r="AN178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19:34:58"},{"id":29,"name":"Sharepoint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733</v>
      </c>
      <c r="B179" s="7">
        <v>4051</v>
      </c>
      <c r="C179" s="21" t="s">
        <v>206</v>
      </c>
      <c r="D179" s="21" t="s">
        <v>954</v>
      </c>
      <c r="E179" s="13">
        <v>42872.567442129628</v>
      </c>
      <c r="F179" s="13">
        <v>42872.568981481483</v>
      </c>
      <c r="G179" s="7">
        <v>1</v>
      </c>
      <c r="H179" s="21" t="s">
        <v>964</v>
      </c>
      <c r="I179" s="13">
        <v>42872.57980324074</v>
      </c>
      <c r="J179" s="7">
        <v>1</v>
      </c>
      <c r="K179" s="92" t="str">
        <f>IF(ISEVEN(B179),(B179-1)&amp;"/"&amp;B179,B179&amp;"/"&amp;(B179+1))</f>
        <v>4051/4052</v>
      </c>
      <c r="L179" s="21" t="str">
        <f>VLOOKUP(A179,'Trips&amp;Operators'!$C$1:$G$99999,5,FALSE)</f>
        <v>MCREYNOLDS KYLE</v>
      </c>
      <c r="M179" s="6">
        <f>I179-F179</f>
        <v>1.0821759256941732E-2</v>
      </c>
      <c r="N179" s="7">
        <f>24*60*SUM($M179:$M179)</f>
        <v>15.583333329996094</v>
      </c>
      <c r="O179" s="7"/>
      <c r="P179" s="7"/>
      <c r="Q179" s="22"/>
      <c r="R179" s="190"/>
      <c r="S179" s="196">
        <f>SUM(U179:U179)/IF(AG179="EC",12,1)</f>
        <v>1</v>
      </c>
      <c r="T179" s="190" t="str">
        <f>IF(ISEVEN(LEFT(AD179,4)),"Southbound","NorthBound")</f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-05-17T12:37:07-0600',mode:absolute,to:'2017-05-17T14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9" s="192" t="str">
        <f>IF(AA179&lt;IF(AG179="EC",23,5.65),"Y","N")</f>
        <v>N</v>
      </c>
      <c r="X179" s="192">
        <f>VALUE(LEFT(AD179,4))-VALUE(LEFT(AD178,4))</f>
        <v>1</v>
      </c>
      <c r="Y179" s="192">
        <f>RIGHT(D179,LEN(D179)-4)/10000</f>
        <v>5.8604000000000003</v>
      </c>
      <c r="Z179" s="192">
        <f>RIGHT(H179,LEN(H179)-4)/10000</f>
        <v>7.1499999999999994E-2</v>
      </c>
      <c r="AA179" s="192">
        <f>ABS(Z179-Y179)</f>
        <v>5.7888999999999999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0822-17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/stypes="app*4051*20170517*" /stext=" 19:.+((SYSTEM_STATE.+slice.+state.+changed )|(ment ac)|(multiple cpu faults)|(system.+state.+changed )|(\[timeout)|(PRM\|1\|D)|(kpr)|(kdp)|(train st.+moving)|(\|lc)|(penalty))"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12"/>
        <v>"%USERPROFILE%\Documents\GitHub\eaglep3\Utilities\RefineRTDCRunTimes.py" --tripid 822-17 --locoid 4051 --swversion DE.1.0.9.0 --startMP 300:58604 --initTime 2017-05-17T13:37:07 --startdatetime 2017-05-17T13:39:20 --delay 1 --endMP 204:715 --enddatetime 2017-05-17T13:54:55 --enforcementcount 1 &gt;&gt;C:\Users\stu\Documents\GitHub\eaglep3-reporting\EC\2017-05-17-refined-times.txt</v>
      </c>
      <c r="AI179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{"issue":{"subject":"","project_id":79,"tracker_id":40,"status_id":1,"priority_id":2,"assigned_to_id":23,"start_date":"2017-05-17","description":"","custom_fields":[{"id":1,"name":"Subdivision","value":"NW"},{"id":4,"name":"Milepost","value":"0.0715"},{"id":17,"name":"Train ID","value":"822-17"},{"id":16,"name":"Locomotive ID","value":"4051"},{"id":130,"name":"Impact","value":""},{"id":150,"name":"Time of Event (Mountain Time)","value":"13:54:55"},{"id":151,"name":"Denver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14"/>
        <v>start /low /b %USERPROFILE%\Documents\GitHub\eaglep3\Utilities\DownloadLogsFromS3.py --loco 4051 --day 2017-05-17</v>
      </c>
      <c r="AN179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19:54:55"},{"id":29,"name":"Sharepoint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738</v>
      </c>
      <c r="B180" s="7">
        <v>4052</v>
      </c>
      <c r="C180" s="21" t="s">
        <v>206</v>
      </c>
      <c r="D180" s="21" t="s">
        <v>965</v>
      </c>
      <c r="E180" s="13">
        <v>42872.593958333331</v>
      </c>
      <c r="F180" s="13">
        <v>42872.598171296297</v>
      </c>
      <c r="G180" s="7">
        <v>1</v>
      </c>
      <c r="H180" s="21" t="s">
        <v>460</v>
      </c>
      <c r="I180" s="13">
        <v>42872.607916666668</v>
      </c>
      <c r="J180" s="7">
        <v>1</v>
      </c>
      <c r="K180" s="92" t="str">
        <f>IF(ISEVEN(B180),(B180-1)&amp;"/"&amp;B180,B180&amp;"/"&amp;(B180+1))</f>
        <v>4051/4052</v>
      </c>
      <c r="L180" s="21" t="str">
        <f>VLOOKUP(A180,'Trips&amp;Operators'!$C$1:$G$99999,5,FALSE)</f>
        <v>MCREYNOLDS KYLE</v>
      </c>
      <c r="M180" s="6">
        <f>I180-F180</f>
        <v>9.7453703710925765E-3</v>
      </c>
      <c r="N180" s="7">
        <f>24*60*SUM($M180:$M180)</f>
        <v>14.03333333437331</v>
      </c>
      <c r="O180" s="7"/>
      <c r="P180" s="7"/>
      <c r="Q180" s="22"/>
      <c r="R180" s="190"/>
      <c r="S180" s="196">
        <f>SUM(U180:U180)/IF(AG180="EC",12,1)</f>
        <v>1</v>
      </c>
      <c r="T180" s="190" t="str">
        <f>IF(ISEVEN(LEFT(AD180,4)),"Southbound","NorthBound")</f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-05-17T13:15:18-0600',mode:absolute,to:'2017-05-17T15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0" s="192" t="str">
        <f>IF(AA180&lt;IF(AG180="EC",23,5.65),"Y","N")</f>
        <v>N</v>
      </c>
      <c r="X180" s="192">
        <f>VALUE(LEFT(AD180,4))-VALUE(LEFT(AD179,4))</f>
        <v>1</v>
      </c>
      <c r="Y180" s="192">
        <f>RIGHT(D180,LEN(D180)-4)/10000</f>
        <v>9.9500000000000005E-2</v>
      </c>
      <c r="Z180" s="192">
        <f>RIGHT(H180,LEN(H180)-4)/10000</f>
        <v>5.8928000000000003</v>
      </c>
      <c r="AA180" s="192">
        <f>ABS(Z180-Y180)</f>
        <v>5.7933000000000003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0823-17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/stypes="app*4052*20170517*" /stext=" 20:.+((SYSTEM_STATE.+slice.+state.+changed )|(ment ac)|(multiple cpu faults)|(system.+state.+changed )|(\[timeout)|(PRM\|1\|D)|(kpr)|(kdp)|(train st.+moving)|(\|lc)|(penalty))"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12"/>
        <v>"%USERPROFILE%\Documents\GitHub\eaglep3\Utilities\RefineRTDCRunTimes.py" --tripid 823-17 --locoid 4052 --swversion DE.1.0.9.0 --startMP 204:995 --initTime 2017-05-17T14:15:18 --startdatetime 2017-05-17T14:21:22 --delay 1 --endMP 300:58928 --enddatetime 2017-05-17T14:35:24 --enforcementcount 1 &gt;&gt;C:\Users\stu\Documents\GitHub\eaglep3-reporting\EC\2017-05-17-refined-times.txt</v>
      </c>
      <c r="AI180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{"issue":{"subject":"","project_id":79,"tracker_id":40,"status_id":1,"priority_id":2,"assigned_to_id":23,"start_date":"2017-05-17","description":"","custom_fields":[{"id":1,"name":"Subdivision","value":"NW"},{"id":4,"name":"Milepost","value":"5.8928"},{"id":17,"name":"Train ID","value":"823-17"},{"id":16,"name":"Locomotive ID","value":"4052"},{"id":130,"name":"Impact","value":""},{"id":150,"name":"Time of Event (Mountain Time)","value":"14:35:24"},{"id":151,"name":"Denver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14"/>
        <v>start /low /b %USERPROFILE%\Documents\GitHub\eaglep3\Utilities\DownloadLogsFromS3.py --loco 4052 --day 2017-05-17</v>
      </c>
      <c r="AN180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741</v>
      </c>
      <c r="B181" s="7">
        <v>4051</v>
      </c>
      <c r="C181" s="21" t="s">
        <v>206</v>
      </c>
      <c r="D181" s="21" t="s">
        <v>966</v>
      </c>
      <c r="E181" s="13">
        <v>42872.609907407408</v>
      </c>
      <c r="F181" s="13">
        <v>42872.611608796295</v>
      </c>
      <c r="G181" s="7">
        <v>1</v>
      </c>
      <c r="H181" s="21" t="s">
        <v>967</v>
      </c>
      <c r="I181" s="13">
        <v>42872.62190972222</v>
      </c>
      <c r="J181" s="7">
        <v>1</v>
      </c>
      <c r="K181" s="92" t="str">
        <f>IF(ISEVEN(B181),(B181-1)&amp;"/"&amp;B181,B181&amp;"/"&amp;(B181+1))</f>
        <v>4051/4052</v>
      </c>
      <c r="L181" s="21" t="str">
        <f>VLOOKUP(A181,'Trips&amp;Operators'!$C$1:$G$99999,5,FALSE)</f>
        <v>MCREYNOLDS KYLE</v>
      </c>
      <c r="M181" s="6">
        <f>I181-F181</f>
        <v>1.0300925925548654E-2</v>
      </c>
      <c r="N181" s="7">
        <f>24*60*SUM($M181:$M181)</f>
        <v>14.833333332790062</v>
      </c>
      <c r="O181" s="7"/>
      <c r="P181" s="7"/>
      <c r="Q181" s="22"/>
      <c r="R181" s="190"/>
      <c r="S181" s="196">
        <f>SUM(U181:U181)/IF(AG181="EC",12,1)</f>
        <v>1</v>
      </c>
      <c r="T181" s="190" t="str">
        <f>IF(ISEVEN(LEFT(AD181,4)),"Southbound","NorthBound")</f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-05-17T13:38:16-0600',mode:absolute,to:'2017-05-17T15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1" s="192" t="str">
        <f>IF(AA181&lt;IF(AG181="EC",23,5.65),"Y","N")</f>
        <v>N</v>
      </c>
      <c r="X181" s="192">
        <f>VALUE(LEFT(AD181,4))-VALUE(LEFT(AD180,4))</f>
        <v>1</v>
      </c>
      <c r="Y181" s="192">
        <f>RIGHT(D181,LEN(D181)-4)/10000</f>
        <v>5.8609</v>
      </c>
      <c r="Z181" s="192">
        <f>RIGHT(H181,LEN(H181)-4)/10000</f>
        <v>7.0499999999999993E-2</v>
      </c>
      <c r="AA181" s="192">
        <f>ABS(Z181-Y181)</f>
        <v>5.7904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0824-17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/stypes="app*4051*20170517*" /stext=" 20:.+((SYSTEM_STATE.+slice.+state.+changed )|(ment ac)|(multiple cpu faults)|(system.+state.+changed )|(\[timeout)|(PRM\|1\|D)|(kpr)|(kdp)|(train st.+moving)|(\|lc)|(penalty))"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12"/>
        <v>"%USERPROFILE%\Documents\GitHub\eaglep3\Utilities\RefineRTDCRunTimes.py" --tripid 824-17 --locoid 4051 --swversion DE.1.0.9.0 --startMP 300:58609 --initTime 2017-05-17T14:38:16 --startdatetime 2017-05-17T14:40:43 --delay 1 --endMP 204:705 --enddatetime 2017-05-17T14:55:33 --enforcementcount 1 &gt;&gt;C:\Users\stu\Documents\GitHub\eaglep3-reporting\EC\2017-05-17-refined-times.txt</v>
      </c>
      <c r="AI181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{"issue":{"subject":"","project_id":79,"tracker_id":40,"status_id":1,"priority_id":2,"assigned_to_id":23,"start_date":"2017-05-17","description":"","custom_fields":[{"id":1,"name":"Subdivision","value":"NW"},{"id":4,"name":"Milepost","value":"0.0705"},{"id":17,"name":"Train ID","value":"824-17"},{"id":16,"name":"Locomotive ID","value":"4051"},{"id":130,"name":"Impact","value":""},{"id":150,"name":"Time of Event (Mountain Time)","value":"14:55:33"},{"id":151,"name":"Denver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14"/>
        <v>start /low /b %USERPROFILE%\Documents\GitHub\eaglep3\Utilities\DownloadLogsFromS3.py --loco 4051 --day 2017-05-17</v>
      </c>
      <c r="AN181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20:55:33"},{"id":29,"name":"Sharepoint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745</v>
      </c>
      <c r="B182" s="7">
        <v>4052</v>
      </c>
      <c r="C182" s="21" t="s">
        <v>206</v>
      </c>
      <c r="D182" s="21" t="s">
        <v>575</v>
      </c>
      <c r="E182" s="13">
        <v>42872.623391203706</v>
      </c>
      <c r="F182" s="13">
        <v>42872.639791666668</v>
      </c>
      <c r="G182" s="7">
        <v>0</v>
      </c>
      <c r="H182" s="21" t="s">
        <v>569</v>
      </c>
      <c r="I182" s="13">
        <v>42872.650254629632</v>
      </c>
      <c r="J182" s="7">
        <v>1</v>
      </c>
      <c r="K182" s="92" t="str">
        <f>IF(ISEVEN(B182),(B182-1)&amp;"/"&amp;B182,B182&amp;"/"&amp;(B182+1))</f>
        <v>4051/4052</v>
      </c>
      <c r="L182" s="21" t="str">
        <f>VLOOKUP(A182,'Trips&amp;Operators'!$C$1:$G$99999,5,FALSE)</f>
        <v>MCREYNOLDS KYLE</v>
      </c>
      <c r="M182" s="6">
        <f>I182-F182</f>
        <v>1.0462962964083999E-2</v>
      </c>
      <c r="N182" s="7">
        <f>24*60*SUM($M182:$M182)</f>
        <v>15.066666668280959</v>
      </c>
      <c r="O182" s="7"/>
      <c r="P182" s="7"/>
      <c r="Q182" s="22"/>
      <c r="R182" s="190"/>
      <c r="S182" s="196">
        <f>SUM(U182:U182)/IF(AG182="EC",12,1)</f>
        <v>1</v>
      </c>
      <c r="T182" s="190" t="str">
        <f>IF(ISEVEN(LEFT(AD182,4)),"Southbound","NorthBound")</f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-05-17T13:57:41-0600',mode:absolute,to:'2017-05-17T16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2" s="192" t="str">
        <f>IF(AA182&lt;IF(AG182="EC",23,5.65),"Y","N")</f>
        <v>N</v>
      </c>
      <c r="X182" s="192">
        <f>VALUE(LEFT(AD182,4))-VALUE(LEFT(AD181,4))</f>
        <v>1</v>
      </c>
      <c r="Y182" s="192">
        <f>RIGHT(D182,LEN(D182)-4)/10000</f>
        <v>9.8799999999999999E-2</v>
      </c>
      <c r="Z182" s="192">
        <f>RIGHT(H182,LEN(H182)-4)/10000</f>
        <v>5.8967000000000001</v>
      </c>
      <c r="AA182" s="192">
        <f>ABS(Z182-Y182)</f>
        <v>5.7979000000000003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0825-17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/stypes="app*4052*20170517*" /stext=" 21:.+((SYSTEM_STATE.+slice.+state.+changed )|(ment ac)|(multiple cpu faults)|(system.+state.+changed )|(\[timeout)|(PRM\|1\|D)|(kpr)|(kdp)|(train st.+moving)|(\|lc)|(penalty))"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12"/>
        <v>"%USERPROFILE%\Documents\GitHub\eaglep3\Utilities\RefineRTDCRunTimes.py" --tripid 825-17 --locoid 4052 --swversion DE.1.0.9.0 --startMP 204:988 --initTime 2017-05-17T14:57:41 --startdatetime 2017-05-17T15:21:18 --delay 0 --endMP 300:58967 --enddatetime 2017-05-17T15:36:22 --enforcementcount 1 &gt;&gt;C:\Users\stu\Documents\GitHub\eaglep3-reporting\EC\2017-05-17-refined-times.txt</v>
      </c>
      <c r="AI182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{"issue":{"subject":"","project_id":79,"tracker_id":40,"status_id":1,"priority_id":2,"assigned_to_id":23,"start_date":"2017-05-17","description":"","custom_fields":[{"id":1,"name":"Subdivision","value":"NW"},{"id":4,"name":"Milepost","value":"5.8967"},{"id":17,"name":"Train ID","value":"825-17"},{"id":16,"name":"Locomotive ID","value":"4052"},{"id":130,"name":"Impact","value":""},{"id":150,"name":"Time of Event (Mountain Time)","value":"15:36:22"},{"id":151,"name":"Denver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14"/>
        <v>start /low /b %USERPROFILE%\Documents\GitHub\eaglep3\Utilities\DownloadLogsFromS3.py --loco 4052 --day 2017-05-17</v>
      </c>
      <c r="AN182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21:36:22"},{"id":29,"name":"Sharepoint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750</v>
      </c>
      <c r="B183" s="7">
        <v>4051</v>
      </c>
      <c r="C183" s="21" t="s">
        <v>206</v>
      </c>
      <c r="D183" s="21" t="s">
        <v>968</v>
      </c>
      <c r="E183" s="13">
        <v>42872.650937500002</v>
      </c>
      <c r="F183" s="13">
        <v>42872.652766203704</v>
      </c>
      <c r="G183" s="7">
        <v>1</v>
      </c>
      <c r="H183" s="21" t="s">
        <v>962</v>
      </c>
      <c r="I183" s="13">
        <v>42872.663993055554</v>
      </c>
      <c r="J183" s="7">
        <v>1</v>
      </c>
      <c r="K183" s="92" t="str">
        <f>IF(ISEVEN(B183),(B183-1)&amp;"/"&amp;B183,B183&amp;"/"&amp;(B183+1))</f>
        <v>4051/4052</v>
      </c>
      <c r="L183" s="21" t="str">
        <f>VLOOKUP(A183,'Trips&amp;Operators'!$C$1:$G$99999,5,FALSE)</f>
        <v>MCREYNOLDS KYLE</v>
      </c>
      <c r="M183" s="6">
        <f>I183-F183</f>
        <v>1.1226851849642117E-2</v>
      </c>
      <c r="N183" s="7">
        <f>24*60*SUM($M183:$M183)</f>
        <v>16.166666663484648</v>
      </c>
      <c r="O183" s="7"/>
      <c r="P183" s="7"/>
      <c r="Q183" s="22"/>
      <c r="R183" s="190"/>
      <c r="S183" s="196">
        <f>SUM(U183:U183)/IF(AG183="EC",12,1)</f>
        <v>1</v>
      </c>
      <c r="T183" s="190" t="str">
        <f>IF(ISEVEN(LEFT(AD183,4)),"Southbound","NorthBound")</f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-05-17T14:37:21-0600',mode:absolute,to:'2017-05-17T16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3" s="192" t="str">
        <f>IF(AA183&lt;IF(AG183="EC",23,5.65),"Y","N")</f>
        <v>N</v>
      </c>
      <c r="X183" s="192">
        <f>VALUE(LEFT(AD183,4))-VALUE(LEFT(AD182,4))</f>
        <v>1</v>
      </c>
      <c r="Y183" s="192">
        <f>RIGHT(D183,LEN(D183)-4)/10000</f>
        <v>5.8638000000000003</v>
      </c>
      <c r="Z183" s="192">
        <f>RIGHT(H183,LEN(H183)-4)/10000</f>
        <v>6.9099999999999995E-2</v>
      </c>
      <c r="AA183" s="192">
        <f>ABS(Z183-Y183)</f>
        <v>5.7947000000000006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0826-17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/stypes="app*4051*20170517*" /stext=" 21:.+((SYSTEM_STATE.+slice.+state.+changed )|(ment ac)|(multiple cpu faults)|(system.+state.+changed )|(\[timeout)|(PRM\|1\|D)|(kpr)|(kdp)|(train st.+moving)|(\|lc)|(penalty))"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12"/>
        <v>"%USERPROFILE%\Documents\GitHub\eaglep3\Utilities\RefineRTDCRunTimes.py" --tripid 826-17 --locoid 4051 --swversion DE.1.0.9.0 --startMP 300:58638 --initTime 2017-05-17T15:37:21 --startdatetime 2017-05-17T15:39:59 --delay 1 --endMP 204:691 --enddatetime 2017-05-17T15:56:09 --enforcementcount 1 &gt;&gt;C:\Users\stu\Documents\GitHub\eaglep3-reporting\EC\2017-05-17-refined-times.txt</v>
      </c>
      <c r="AI183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{"issue":{"subject":"","project_id":79,"tracker_id":40,"status_id":1,"priority_id":2,"assigned_to_id":23,"start_date":"2017-05-17","description":"","custom_fields":[{"id":1,"name":"Subdivision","value":"NW"},{"id":4,"name":"Milepost","value":"0.0691"},{"id":17,"name":"Train ID","value":"826-17"},{"id":16,"name":"Locomotive ID","value":"4051"},{"id":130,"name":"Impact","value":""},{"id":150,"name":"Time of Event (Mountain Time)","value":"15:56:09"},{"id":151,"name":"Denver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14"/>
        <v>start /low /b %USERPROFILE%\Documents\GitHub\eaglep3\Utilities\DownloadLogsFromS3.py --loco 4051 --day 2017-05-17</v>
      </c>
      <c r="AN183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21:56:09"},{"id":29,"name":"Sharepoint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753</v>
      </c>
      <c r="B184" s="7">
        <v>4056</v>
      </c>
      <c r="C184" s="21" t="s">
        <v>206</v>
      </c>
      <c r="D184" s="21" t="s">
        <v>969</v>
      </c>
      <c r="E184" s="13">
        <v>42872.657673611109</v>
      </c>
      <c r="F184" s="13">
        <v>42872.66097222222</v>
      </c>
      <c r="G184" s="7">
        <v>2</v>
      </c>
      <c r="H184" s="21" t="s">
        <v>970</v>
      </c>
      <c r="I184" s="13">
        <v>42872.671967592592</v>
      </c>
      <c r="J184" s="7">
        <v>1</v>
      </c>
      <c r="K184" s="92" t="str">
        <f>IF(ISEVEN(B184),(B184-1)&amp;"/"&amp;B184,B184&amp;"/"&amp;(B184+1))</f>
        <v>4055/4056</v>
      </c>
      <c r="L184" s="21" t="str">
        <f>VLOOKUP(A184,'Trips&amp;Operators'!$C$1:$G$99999,5,FALSE)</f>
        <v>CHANDLER KELVIN</v>
      </c>
      <c r="M184" s="6">
        <f>I184-F184</f>
        <v>1.099537037225673E-2</v>
      </c>
      <c r="N184" s="7">
        <f>24*60*SUM($M184:$M184)</f>
        <v>15.833333336049691</v>
      </c>
      <c r="O184" s="7"/>
      <c r="P184" s="7"/>
      <c r="Q184" s="22"/>
      <c r="R184" s="190"/>
      <c r="S184" s="196">
        <f>SUM(U184:U184)/IF(AG184="EC",12,1)</f>
        <v>1</v>
      </c>
      <c r="T184" s="190" t="str">
        <f>IF(ISEVEN(LEFT(AD184,4)),"Southbound","NorthBound")</f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-05-17T14:47:03-0600',mode:absolute,to:'2017-05-17T17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4" s="192" t="str">
        <f>IF(AA184&lt;IF(AG184="EC",23,5.65),"Y","N")</f>
        <v>N</v>
      </c>
      <c r="X184" s="192">
        <f>VALUE(LEFT(AD184,4))-VALUE(LEFT(AD183,4))</f>
        <v>1</v>
      </c>
      <c r="Y184" s="192">
        <f>RIGHT(D184,LEN(D184)-4)/10000</f>
        <v>9.6000000000000002E-2</v>
      </c>
      <c r="Z184" s="192">
        <f>RIGHT(H184,LEN(H184)-4)/10000</f>
        <v>5.9006999999999996</v>
      </c>
      <c r="AA184" s="192">
        <f>ABS(Z184-Y184)</f>
        <v>5.8046999999999995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0827-17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/stypes="app*4056*20170517*" /stext=" 22:.+((SYSTEM_STATE.+slice.+state.+changed )|(ment ac)|(multiple cpu faults)|(system.+state.+changed )|(\[timeout)|(PRM\|1\|D)|(kpr)|(kdp)|(train st.+moving)|(\|lc)|(penalty))"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12"/>
        <v>"%USERPROFILE%\Documents\GitHub\eaglep3\Utilities\RefineRTDCRunTimes.py" --tripid 827-17 --locoid 4056 --swversion DE.1.0.9.0 --startMP 204:960 --initTime 2017-05-17T15:47:03 --startdatetime 2017-05-17T15:51:48 --delay 2 --endMP 300:59007 --enddatetime 2017-05-17T16:07:38 --enforcementcount 1 &gt;&gt;C:\Users\stu\Documents\GitHub\eaglep3-reporting\EC\2017-05-17-refined-times.txt</v>
      </c>
      <c r="AI184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{"issue":{"subject":"","project_id":79,"tracker_id":40,"status_id":1,"priority_id":2,"assigned_to_id":23,"start_date":"2017-05-17","description":"","custom_fields":[{"id":1,"name":"Subdivision","value":"NW"},{"id":4,"name":"Milepost","value":"5.9007"},{"id":17,"name":"Train ID","value":"827-17"},{"id":16,"name":"Locomotive ID","value":"4056"},{"id":130,"name":"Impact","value":""},{"id":150,"name":"Time of Event (Mountain Time)","value":"16:07:38"},{"id":151,"name":"Denver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14"/>
        <v>start /low /b %USERPROFILE%\Documents\GitHub\eaglep3\Utilities\DownloadLogsFromS3.py --loco 4056 --day 2017-05-17</v>
      </c>
      <c r="AN184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22:07:38"},{"id":29,"name":"Sharepoint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758</v>
      </c>
      <c r="B185" s="7">
        <v>4055</v>
      </c>
      <c r="C185" s="21" t="s">
        <v>206</v>
      </c>
      <c r="D185" s="21" t="s">
        <v>971</v>
      </c>
      <c r="E185" s="13">
        <v>42872.674155092594</v>
      </c>
      <c r="F185" s="13">
        <v>42872.675752314812</v>
      </c>
      <c r="G185" s="7">
        <v>1</v>
      </c>
      <c r="H185" s="21" t="s">
        <v>961</v>
      </c>
      <c r="I185" s="13">
        <v>42872.685925925929</v>
      </c>
      <c r="J185" s="7">
        <v>1</v>
      </c>
      <c r="K185" s="92" t="str">
        <f>IF(ISEVEN(B185),(B185-1)&amp;"/"&amp;B185,B185&amp;"/"&amp;(B185+1))</f>
        <v>4055/4056</v>
      </c>
      <c r="L185" s="21" t="str">
        <f>VLOOKUP(A185,'Trips&amp;Operators'!$C$1:$G$99999,5,FALSE)</f>
        <v>CHANDLER KELVIN</v>
      </c>
      <c r="M185" s="6">
        <f>I185-F185</f>
        <v>1.0173611117352266E-2</v>
      </c>
      <c r="N185" s="7">
        <f>24*60*SUM($M185:$M185)</f>
        <v>14.650000008987263</v>
      </c>
      <c r="O185" s="7"/>
      <c r="P185" s="7"/>
      <c r="Q185" s="22"/>
      <c r="R185" s="190"/>
      <c r="S185" s="196">
        <f>SUM(U185:U185)/IF(AG185="EC",12,1)</f>
        <v>1</v>
      </c>
      <c r="T185" s="190" t="str">
        <f>IF(ISEVEN(LEFT(AD185,4)),"Southbound","NorthBound")</f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-05-17T15:10:47-0600',mode:absolute,to:'2017-05-17T17:27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5" s="192" t="str">
        <f>IF(AA185&lt;IF(AG185="EC",23,5.65),"Y","N")</f>
        <v>N</v>
      </c>
      <c r="X185" s="192">
        <f>VALUE(LEFT(AD185,4))-VALUE(LEFT(AD184,4))</f>
        <v>1</v>
      </c>
      <c r="Y185" s="192">
        <f>RIGHT(D185,LEN(D185)-4)/10000</f>
        <v>5.8689999999999998</v>
      </c>
      <c r="Z185" s="192">
        <f>RIGHT(H185,LEN(H185)-4)/10000</f>
        <v>6.6600000000000006E-2</v>
      </c>
      <c r="AA185" s="192">
        <f>ABS(Z185-Y185)</f>
        <v>5.8023999999999996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0828-17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s3://rtdc.mdm.uploadarchive.raw/RTDC4055/ "%USERPROFILE%\AppData\Local\Temp\OnboardLogs"\RTDC4055\2017-05-17 --exclude "*" --recursive --include "*20170517*" &amp; "%USERPROFILE%\Documents\GitHub\mrs-test-scripts\Headless Mode &amp; Sideloading\WalkAndUnGZ.bat" "%USERPROFILE%\AppData\Local\Temp\OnboardLogs"\RTDC4055\2017-05-17 &amp; 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/stypes="app*4055*20170517*" /stext=" 22:.+((SYSTEM_STATE.+slice.+state.+changed )|(ment ac)|(multiple cpu faults)|(system.+state.+changed )|(\[timeout)|(PRM\|1\|D)|(kpr)|(kdp)|(train st.+moving)|(\|lc)|(penalty))"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12"/>
        <v>"%USERPROFILE%\Documents\GitHub\eaglep3\Utilities\RefineRTDCRunTimes.py" --tripid 828-17 --locoid 4055 --swversion DE.1.0.9.0 --startMP 300:58690 --initTime 2017-05-17T16:10:47 --startdatetime 2017-05-17T16:13:05 --delay 1 --endMP 204:666 --enddatetime 2017-05-17T16:27:44 --enforcementcount 1 &gt;&gt;C:\Users\stu\Documents\GitHub\eaglep3-reporting\EC\2017-05-17-refined-times.txt</v>
      </c>
      <c r="AI185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{"issue":{"subject":"","project_id":79,"tracker_id":40,"status_id":1,"priority_id":2,"assigned_to_id":23,"start_date":"2017-05-17","description":"","custom_fields":[{"id":1,"name":"Subdivision","value":"NW"},{"id":4,"name":"Milepost","value":"0.0666"},{"id":17,"name":"Train ID","value":"828-17"},{"id":16,"name":"Locomotive ID","value":"4055"},{"id":130,"name":"Impact","value":""},{"id":150,"name":"Time of Event (Mountain Time)","value":"16:27:44"},{"id":151,"name":"Denver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14"/>
        <v>start /low /b %USERPROFILE%\Documents\GitHub\eaglep3\Utilities\DownloadLogsFromS3.py --loco 4055 --day 2017-05-17</v>
      </c>
      <c r="AN185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22:27:44"},{"id":29,"name":"Sharepoint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755</v>
      </c>
      <c r="B186" s="7">
        <v>4052</v>
      </c>
      <c r="C186" s="21" t="s">
        <v>206</v>
      </c>
      <c r="D186" s="21" t="s">
        <v>579</v>
      </c>
      <c r="E186" s="13">
        <v>42872.670752314814</v>
      </c>
      <c r="F186" s="13">
        <v>42872.681446759256</v>
      </c>
      <c r="G186" s="7">
        <v>1</v>
      </c>
      <c r="H186" s="21" t="s">
        <v>972</v>
      </c>
      <c r="I186" s="13">
        <v>42872.691018518519</v>
      </c>
      <c r="J186" s="7">
        <v>1</v>
      </c>
      <c r="K186" s="92" t="str">
        <f>IF(ISEVEN(B186),(B186-1)&amp;"/"&amp;B186,B186&amp;"/"&amp;(B186+1))</f>
        <v>4051/4052</v>
      </c>
      <c r="L186" s="21" t="str">
        <f>VLOOKUP(A186,'Trips&amp;Operators'!$C$1:$G$99999,5,FALSE)</f>
        <v>MCREYNOLDS KYLE</v>
      </c>
      <c r="M186" s="6">
        <f>I186-F186</f>
        <v>9.5717592630535364E-3</v>
      </c>
      <c r="N186" s="7">
        <f>24*60*SUM($M186:$M186)</f>
        <v>13.783333338797092</v>
      </c>
      <c r="O186" s="7"/>
      <c r="P186" s="7"/>
      <c r="Q186" s="22"/>
      <c r="R186" s="190"/>
      <c r="S186" s="196">
        <f>SUM(U186:U186)/IF(AG186="EC",12,1)</f>
        <v>1</v>
      </c>
      <c r="T186" s="190" t="str">
        <f>IF(ISEVEN(LEFT(AD186,4)),"Southbound","NorthBound")</f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-05-17T15:05:53-0600',mode:absolute,to:'2017-05-17T17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6" s="192" t="str">
        <f>IF(AA186&lt;IF(AG186="EC",23,5.65),"Y","N")</f>
        <v>N</v>
      </c>
      <c r="X186" s="192">
        <f>VALUE(LEFT(AD186,4))-VALUE(LEFT(AD185,4))</f>
        <v>1</v>
      </c>
      <c r="Y186" s="192">
        <f>RIGHT(D186,LEN(D186)-4)/10000</f>
        <v>9.8100000000000007E-2</v>
      </c>
      <c r="Z186" s="192">
        <f>RIGHT(H186,LEN(H186)-4)/10000</f>
        <v>5.8960999999999997</v>
      </c>
      <c r="AA186" s="192">
        <f>ABS(Z186-Y186)</f>
        <v>5.798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0829-17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/stypes="app*4052*20170517*" /stext=" 22:.+((SYSTEM_STATE.+slice.+state.+changed )|(ment ac)|(multiple cpu faults)|(system.+state.+changed )|(\[timeout)|(PRM\|1\|D)|(kpr)|(kdp)|(train st.+moving)|(\|lc)|(penalty))"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12"/>
        <v>"%USERPROFILE%\Documents\GitHub\eaglep3\Utilities\RefineRTDCRunTimes.py" --tripid 829-17 --locoid 4052 --swversion DE.1.0.9.0 --startMP 204:981 --initTime 2017-05-17T16:05:53 --startdatetime 2017-05-17T16:21:17 --delay 1 --endMP 300:58961 --enddatetime 2017-05-17T16:35:04 --enforcementcount 1 &gt;&gt;C:\Users\stu\Documents\GitHub\eaglep3-reporting\EC\2017-05-17-refined-times.txt</v>
      </c>
      <c r="AI186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{"issue":{"subject":"","project_id":79,"tracker_id":40,"status_id":1,"priority_id":2,"assigned_to_id":23,"start_date":"2017-05-17","description":"","custom_fields":[{"id":1,"name":"Subdivision","value":"NW"},{"id":4,"name":"Milepost","value":"5.8961"},{"id":17,"name":"Train ID","value":"829-17"},{"id":16,"name":"Locomotive ID","value":"4052"},{"id":130,"name":"Impact","value":""},{"id":150,"name":"Time of Event (Mountain Time)","value":"16:35:04"},{"id":151,"name":"Denver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14"/>
        <v>start /low /b %USERPROFILE%\Documents\GitHub\eaglep3\Utilities\DownloadLogsFromS3.py --loco 4052 --day 2017-05-17</v>
      </c>
      <c r="AN186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22:35:04"},{"id":29,"name":"Sharepoint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s="20" customFormat="1" x14ac:dyDescent="0.25">
      <c r="A187" s="32" t="s">
        <v>761</v>
      </c>
      <c r="B187" s="7">
        <v>4051</v>
      </c>
      <c r="C187" s="21" t="s">
        <v>206</v>
      </c>
      <c r="D187" s="21" t="s">
        <v>973</v>
      </c>
      <c r="E187" s="13">
        <v>42872.692418981482</v>
      </c>
      <c r="F187" s="13">
        <v>42872.694525462961</v>
      </c>
      <c r="G187" s="7">
        <v>1</v>
      </c>
      <c r="H187" s="21" t="s">
        <v>974</v>
      </c>
      <c r="I187" s="13">
        <v>42872.705717592595</v>
      </c>
      <c r="J187" s="7">
        <v>1</v>
      </c>
      <c r="K187" s="92" t="str">
        <f>IF(ISEVEN(B187),(B187-1)&amp;"/"&amp;B187,B187&amp;"/"&amp;(B187+1))</f>
        <v>4051/4052</v>
      </c>
      <c r="L187" s="21" t="str">
        <f>VLOOKUP(A187,'Trips&amp;Operators'!$C$1:$G$99999,5,FALSE)</f>
        <v>HOLCOMB KAMDEN</v>
      </c>
      <c r="M187" s="6">
        <f>I187-F187</f>
        <v>1.1192129633855075E-2</v>
      </c>
      <c r="N187" s="7">
        <f>24*60*SUM($M187:$M187)</f>
        <v>16.116666672751307</v>
      </c>
      <c r="O187" s="7"/>
      <c r="P187" s="7"/>
      <c r="Q187" s="22"/>
      <c r="R187" s="190"/>
      <c r="S187" s="196">
        <f>SUM(U187:U187)/IF(AG187="EC",12,1)</f>
        <v>1</v>
      </c>
      <c r="T187" s="190" t="str">
        <f>IF(ISEVEN(LEFT(AD187,4)),"Southbound","NorthBound")</f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-05-17T15:37:05-0600',mode:absolute,to:'2017-05-17T17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7" s="192" t="str">
        <f>IF(AA187&lt;IF(AG187="EC",23,5.65),"Y","N")</f>
        <v>N</v>
      </c>
      <c r="X187" s="192">
        <f t="shared" ref="X187:X196" si="16">VALUE(LEFT(AD187,4))-VALUE(LEFT(AD186,4))</f>
        <v>1</v>
      </c>
      <c r="Y187" s="192">
        <f>RIGHT(D187,LEN(D187)-4)/10000</f>
        <v>5.8647</v>
      </c>
      <c r="Z187" s="192">
        <f>RIGHT(H187,LEN(H187)-4)/10000</f>
        <v>6.7500000000000004E-2</v>
      </c>
      <c r="AA187" s="192">
        <f>ABS(Z187-Y187)</f>
        <v>5.7972000000000001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0830-17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/stypes="app*4051*20170517*" /stext=" 22:.+((SYSTEM_STATE.+slice.+state.+changed )|(ment ac)|(multiple cpu faults)|(system.+state.+changed )|(\[timeout)|(PRM\|1\|D)|(kpr)|(kdp)|(train st.+moving)|(\|lc)|(penalty))"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12"/>
        <v>"%USERPROFILE%\Documents\GitHub\eaglep3\Utilities\RefineRTDCRunTimes.py" --tripid 830-17 --locoid 4051 --swversion DE.1.0.9.0 --startMP 300:58647 --initTime 2017-05-17T16:37:05 --startdatetime 2017-05-17T16:40:07 --delay 1 --endMP 204:675 --enddatetime 2017-05-17T16:56:14 --enforcementcount 1 &gt;&gt;C:\Users\stu\Documents\GitHub\eaglep3-reporting\EC\2017-05-17-refined-times.txt</v>
      </c>
      <c r="AI187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{"issue":{"subject":"","project_id":79,"tracker_id":40,"status_id":1,"priority_id":2,"assigned_to_id":23,"start_date":"2017-05-17","description":"","custom_fields":[{"id":1,"name":"Subdivision","value":"NW"},{"id":4,"name":"Milepost","value":"0.0675"},{"id":17,"name":"Train ID","value":"830-17"},{"id":16,"name":"Locomotive ID","value":"4051"},{"id":130,"name":"Impact","value":""},{"id":150,"name":"Time of Event (Mountain Time)","value":"16:56:14"},{"id":151,"name":"Denver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5" t="str">
        <f t="shared" si="14"/>
        <v>start /low /b %USERPROFILE%\Documents\GitHub\eaglep3\Utilities\DownloadLogsFromS3.py --loco 4051 --day 2017-05-17</v>
      </c>
      <c r="AN187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22:56:14"},{"id":29,"name":"Sharepoint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764</v>
      </c>
      <c r="B188" s="7">
        <v>4056</v>
      </c>
      <c r="C188" s="21" t="s">
        <v>206</v>
      </c>
      <c r="D188" s="21" t="s">
        <v>975</v>
      </c>
      <c r="E188" s="13">
        <v>42872.697777777779</v>
      </c>
      <c r="F188" s="13">
        <v>42872.702384259261</v>
      </c>
      <c r="G188" s="7">
        <v>1</v>
      </c>
      <c r="H188" s="21" t="s">
        <v>976</v>
      </c>
      <c r="I188" s="13">
        <v>42872.712453703702</v>
      </c>
      <c r="J188" s="7">
        <v>1</v>
      </c>
      <c r="K188" s="92" t="str">
        <f>IF(ISEVEN(B188),(B188-1)&amp;"/"&amp;B188,B188&amp;"/"&amp;(B188+1))</f>
        <v>4055/4056</v>
      </c>
      <c r="L188" s="21" t="str">
        <f>VLOOKUP(A188,'Trips&amp;Operators'!$C$1:$G$99999,5,FALSE)</f>
        <v>CHANDLER KELVIN</v>
      </c>
      <c r="M188" s="6">
        <f>I188-F188</f>
        <v>1.006944444088731E-2</v>
      </c>
      <c r="N188" s="7">
        <f>24*60*SUM($M188:$M188)</f>
        <v>14.499999994877726</v>
      </c>
      <c r="O188" s="7"/>
      <c r="P188" s="7"/>
      <c r="Q188" s="22"/>
      <c r="R188" s="190"/>
      <c r="S188" s="196">
        <f>SUM(U188:U188)/IF(AG188="EC",12,1)</f>
        <v>1</v>
      </c>
      <c r="T188" s="190" t="str">
        <f>IF(ISEVEN(LEFT(AD188,4)),"Southbound","NorthBound")</f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-05-17T15:44:48-0600',mode:absolute,to:'2017-05-17T18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8" s="192" t="str">
        <f>IF(AA188&lt;IF(AG188="EC",23,5.65),"Y","N")</f>
        <v>N</v>
      </c>
      <c r="X188" s="192">
        <f t="shared" si="16"/>
        <v>1</v>
      </c>
      <c r="Y188" s="192">
        <f>RIGHT(D188,LEN(D188)-4)/10000</f>
        <v>9.64E-2</v>
      </c>
      <c r="Z188" s="192">
        <f>RIGHT(H188,LEN(H188)-4)/10000</f>
        <v>5.9001000000000001</v>
      </c>
      <c r="AA188" s="192">
        <f>ABS(Z188-Y188)</f>
        <v>5.8037000000000001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0831-17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/stypes="app*4056*20170517*" /stext=" 23:.+((SYSTEM_STATE.+slice.+state.+changed )|(ment ac)|(multiple cpu faults)|(system.+state.+changed )|(\[timeout)|(PRM\|1\|D)|(kpr)|(kdp)|(train st.+moving)|(\|lc)|(penalty))"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12"/>
        <v>"%USERPROFILE%\Documents\GitHub\eaglep3\Utilities\RefineRTDCRunTimes.py" --tripid 831-17 --locoid 4056 --swversion DE.1.0.9.0 --startMP 204:964 --initTime 2017-05-17T16:44:48 --startdatetime 2017-05-17T16:51:26 --delay 1 --endMP 300:59001 --enddatetime 2017-05-17T17:05:56 --enforcementcount 1 &gt;&gt;C:\Users\stu\Documents\GitHub\eaglep3-reporting\EC\2017-05-17-refined-times.txt</v>
      </c>
      <c r="AI188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{"issue":{"subject":"","project_id":79,"tracker_id":40,"status_id":1,"priority_id":2,"assigned_to_id":23,"start_date":"2017-05-17","description":"","custom_fields":[{"id":1,"name":"Subdivision","value":"NW"},{"id":4,"name":"Milepost","value":"5.9001"},{"id":17,"name":"Train ID","value":"831-17"},{"id":16,"name":"Locomotive ID","value":"4056"},{"id":130,"name":"Impact","value":""},{"id":150,"name":"Time of Event (Mountain Time)","value":"17:05:56"},{"id":151,"name":"Denver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14"/>
        <v>start /low /b %USERPROFILE%\Documents\GitHub\eaglep3\Utilities\DownloadLogsFromS3.py --loco 4056 --day 2017-05-17</v>
      </c>
      <c r="AN188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602</v>
      </c>
      <c r="B189" s="7">
        <v>4055</v>
      </c>
      <c r="C189" s="21" t="s">
        <v>206</v>
      </c>
      <c r="D189" s="21" t="s">
        <v>971</v>
      </c>
      <c r="E189" s="13">
        <v>42872.713726851849</v>
      </c>
      <c r="F189" s="13">
        <v>42872.714826388888</v>
      </c>
      <c r="G189" s="7">
        <v>1</v>
      </c>
      <c r="H189" s="21" t="s">
        <v>977</v>
      </c>
      <c r="I189" s="13">
        <v>42872.727696759262</v>
      </c>
      <c r="J189" s="7">
        <v>1</v>
      </c>
      <c r="K189" s="92" t="str">
        <f>IF(ISEVEN(B189),(B189-1)&amp;"/"&amp;B189,B189&amp;"/"&amp;(B189+1))</f>
        <v>4055/4056</v>
      </c>
      <c r="L189" s="21" t="str">
        <f>VLOOKUP(A189,'Trips&amp;Operators'!$C$1:$G$99999,5,FALSE)</f>
        <v>CHANDLER KELVIN</v>
      </c>
      <c r="M189" s="6">
        <f>I189-F189</f>
        <v>1.287037037400296E-2</v>
      </c>
      <c r="N189" s="7">
        <f>24*60*SUM($M189:$M189)</f>
        <v>18.533333338564262</v>
      </c>
      <c r="O189" s="7"/>
      <c r="P189" s="7"/>
      <c r="Q189" s="22"/>
      <c r="R189" s="190"/>
      <c r="S189" s="196">
        <f>SUM(U189:U189)/IF(AG189="EC",12,1)</f>
        <v>1</v>
      </c>
      <c r="T189" s="190" t="str">
        <f>IF(ISEVEN(LEFT(AD189,4)),"Southbound","NorthBound")</f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-05-17T16:07:46-0600',mode:absolute,to:'2017-05-17T18:27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9" s="192" t="str">
        <f>IF(AA189&lt;IF(AG189="EC",23,5.65),"Y","N")</f>
        <v>N</v>
      </c>
      <c r="X189" s="192">
        <f t="shared" si="16"/>
        <v>1</v>
      </c>
      <c r="Y189" s="192">
        <f>RIGHT(D189,LEN(D189)-4)/10000</f>
        <v>5.8689999999999998</v>
      </c>
      <c r="Z189" s="192">
        <f>RIGHT(H189,LEN(H189)-4)/10000</f>
        <v>6.54E-2</v>
      </c>
      <c r="AA189" s="192">
        <f>ABS(Z189-Y189)</f>
        <v>5.8035999999999994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0832-17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s3://rtdc.mdm.uploadarchive.raw/RTDC4055/ "%USERPROFILE%\AppData\Local\Temp\OnboardLogs"\RTDC4055\2017-05-17 --exclude "*" --recursive --include "*20170517*" &amp; "%USERPROFILE%\Documents\GitHub\mrs-test-scripts\Headless Mode &amp; Sideloading\WalkAndUnGZ.bat" "%USERPROFILE%\AppData\Local\Temp\OnboardLogs"\RTDC4055\2017-05-17 &amp; 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/stypes="app*4055*20170517*" /stext=" 23:.+((SYSTEM_STATE.+slice.+state.+changed )|(ment ac)|(multiple cpu faults)|(system.+state.+changed )|(\[timeout)|(PRM\|1\|D)|(kpr)|(kdp)|(train st.+moving)|(\|lc)|(penalty))"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12"/>
        <v>"%USERPROFILE%\Documents\GitHub\eaglep3\Utilities\RefineRTDCRunTimes.py" --tripid 832-17 --locoid 4055 --swversion DE.1.0.9.0 --startMP 300:58690 --initTime 2017-05-17T17:07:46 --startdatetime 2017-05-17T17:09:21 --delay 1 --endMP 204:654 --enddatetime 2017-05-17T17:27:53 --enforcementcount 1 &gt;&gt;C:\Users\stu\Documents\GitHub\eaglep3-reporting\EC\2017-05-17-refined-times.txt</v>
      </c>
      <c r="AI189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{"issue":{"subject":"","project_id":79,"tracker_id":40,"status_id":1,"priority_id":2,"assigned_to_id":23,"start_date":"2017-05-17","description":"","custom_fields":[{"id":1,"name":"Subdivision","value":"NW"},{"id":4,"name":"Milepost","value":"0.0654"},{"id":17,"name":"Train ID","value":"832-17"},{"id":16,"name":"Locomotive ID","value":"4055"},{"id":130,"name":"Impact","value":""},{"id":150,"name":"Time of Event (Mountain Time)","value":"17:27:53"},{"id":151,"name":"Denver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14"/>
        <v>start /low /b %USERPROFILE%\Documents\GitHub\eaglep3\Utilities\DownloadLogsFromS3.py --loco 4055 --day 2017-05-17</v>
      </c>
      <c r="AN189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23:27:53"},{"id":29,"name":"Sharepoint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766</v>
      </c>
      <c r="B190" s="7">
        <v>4052</v>
      </c>
      <c r="C190" s="21" t="s">
        <v>206</v>
      </c>
      <c r="D190" s="21" t="s">
        <v>978</v>
      </c>
      <c r="E190" s="13">
        <v>42872.707442129627</v>
      </c>
      <c r="F190" s="13">
        <v>42872.724027777775</v>
      </c>
      <c r="G190" s="7">
        <v>1</v>
      </c>
      <c r="H190" s="21" t="s">
        <v>945</v>
      </c>
      <c r="I190" s="13">
        <v>42872.734606481485</v>
      </c>
      <c r="J190" s="7">
        <v>1</v>
      </c>
      <c r="K190" s="92" t="str">
        <f>IF(ISEVEN(B190),(B190-1)&amp;"/"&amp;B190,B190&amp;"/"&amp;(B190+1))</f>
        <v>4051/4052</v>
      </c>
      <c r="L190" s="21" t="str">
        <f>VLOOKUP(A190,'Trips&amp;Operators'!$C$1:$G$99999,5,FALSE)</f>
        <v>MCREYNOLDS KYLE</v>
      </c>
      <c r="M190" s="6">
        <f>I190-F190</f>
        <v>1.057870371005265E-2</v>
      </c>
      <c r="N190" s="7">
        <f>24*60*SUM($M190:$M190)</f>
        <v>15.233333342475817</v>
      </c>
      <c r="O190" s="7"/>
      <c r="P190" s="7"/>
      <c r="Q190" s="22"/>
      <c r="R190" s="190" t="s">
        <v>1016</v>
      </c>
      <c r="S190" s="196">
        <f>SUM(U190:U190)/IF(AG190="EC",12,1)</f>
        <v>1</v>
      </c>
      <c r="T190" s="190" t="str">
        <f>IF(ISEVEN(LEFT(AD190,4)),"Southbound","NorthBound")</f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-05-17T15:58:43-0600',mode:absolute,to:'2017-05-17T18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0" s="192" t="str">
        <f>IF(AA190&lt;IF(AG190="EC",23,5.65),"Y","N")</f>
        <v>N</v>
      </c>
      <c r="X190" s="192">
        <f t="shared" si="16"/>
        <v>1</v>
      </c>
      <c r="Y190" s="192">
        <f>RIGHT(D190,LEN(D190)-4)/10000</f>
        <v>9.6699999999999994E-2</v>
      </c>
      <c r="Z190" s="192">
        <f>RIGHT(H190,LEN(H190)-4)/10000</f>
        <v>5.8936999999999999</v>
      </c>
      <c r="AA190" s="192">
        <f>ABS(Z190-Y190)</f>
        <v>5.7969999999999997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0833-17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/stypes="app*4052*20170517*" /stext=" 23:.+((SYSTEM_STATE.+slice.+state.+changed )|(ment ac)|(multiple cpu faults)|(system.+state.+changed )|(\[timeout)|(PRM\|1\|D)|(kpr)|(kdp)|(train st.+moving)|(\|lc)|(penalty))"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12"/>
        <v>"%USERPROFILE%\Documents\GitHub\eaglep3\Utilities\RefineRTDCRunTimes.py" --tripid 833-17 --locoid 4052 --swversion DE.1.0.9.0 --startMP 204:967 --initTime 2017-05-17T16:58:43 --startdatetime 2017-05-17T17:22:36 --delay 1 --endMP 300:58937 --enddatetime 2017-05-17T17:37:50 --enforcementcount 1 &gt;&gt;C:\Users\stu\Documents\GitHub\eaglep3-reporting\EC\2017-05-17-refined-times.txt</v>
      </c>
      <c r="AI190" s="99" t="str">
        <f t="shared" si="13"/>
        <v>echo {"issue":{"subject":"APU propulsion fault as trip concluded","project_id":79,"tracker_id":40,"status_id":1,"priority_id":2,"assigned_to_id":23,"start_date":"2017-05-17","description":"","custom_fields":[{"id":1,"name":"Subdivision","value":"NW"},{"id":4,"name":"Milepost","value":"5.8937"},{"id":17,"name":"Train ID","value":"833-17"},{"id":16,"name":"Locomotive ID","value":"4052"},{"id":130,"name":"Impact","value":""},{"id":150,"name":"Time of Event (Mountain Time)","value":"17:37:50"},{"id":151,"name":"Denver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14"/>
        <v>start /low /b %USERPROFILE%\Documents\GitHub\eaglep3\Utilities\DownloadLogsFromS3.py --loco 4052 --day 2017-05-17</v>
      </c>
      <c r="AN190" s="154" t="str">
        <f t="shared" si="15"/>
        <v>echo {"issue":{"subject":"APU propulsion fault as trip concluded","project_id":30,"tracker_id":4,"status_id":1,"priority_id":1,"assigned_to_id":10,"start_date":"2017-05-17","description":"","custom_fields":[{"id":30,"name":"Category","value":"Issue"},{"id":3,"name":"Functional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605</v>
      </c>
      <c r="B191" s="7">
        <v>4056</v>
      </c>
      <c r="C191" s="21" t="s">
        <v>206</v>
      </c>
      <c r="D191" s="21" t="s">
        <v>576</v>
      </c>
      <c r="E191" s="13">
        <v>42872.740474537037</v>
      </c>
      <c r="F191" s="13">
        <v>42872.744039351855</v>
      </c>
      <c r="G191" s="7">
        <v>1</v>
      </c>
      <c r="H191" s="21" t="s">
        <v>970</v>
      </c>
      <c r="I191" s="13">
        <v>42872.75644675926</v>
      </c>
      <c r="J191" s="7">
        <v>1</v>
      </c>
      <c r="K191" s="92" t="str">
        <f>IF(ISEVEN(B191),(B191-1)&amp;"/"&amp;B191,B191&amp;"/"&amp;(B191+1))</f>
        <v>4055/4056</v>
      </c>
      <c r="L191" s="21" t="str">
        <f>VLOOKUP(A191,'Trips&amp;Operators'!$C$1:$G$99999,5,FALSE)</f>
        <v>CHANDLER KELVIN</v>
      </c>
      <c r="M191" s="6">
        <f>I191-F191</f>
        <v>1.2407407404680271E-2</v>
      </c>
      <c r="N191" s="7">
        <f>24*60*SUM($M191:$M191)</f>
        <v>17.86666666273959</v>
      </c>
      <c r="O191" s="7"/>
      <c r="P191" s="7"/>
      <c r="Q191" s="22"/>
      <c r="R191" s="190"/>
      <c r="S191" s="196">
        <f>SUM(U191:U191)/IF(AG191="EC",12,1)</f>
        <v>1</v>
      </c>
      <c r="T191" s="190" t="str">
        <f>IF(ISEVEN(LEFT(AD191,4)),"Southbound","NorthBound")</f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-05-17T16:46:17-0600',mode:absolute,to:'2017-05-17T19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1" s="192" t="str">
        <f>IF(AA191&lt;IF(AG191="EC",23,5.65),"Y","N")</f>
        <v>N</v>
      </c>
      <c r="X191" s="192">
        <f t="shared" si="16"/>
        <v>2</v>
      </c>
      <c r="Y191" s="192">
        <f>RIGHT(D191,LEN(D191)-4)/10000</f>
        <v>9.4600000000000004E-2</v>
      </c>
      <c r="Z191" s="192">
        <f>RIGHT(H191,LEN(H191)-4)/10000</f>
        <v>5.9006999999999996</v>
      </c>
      <c r="AA191" s="192">
        <f>ABS(Z191-Y191)</f>
        <v>5.8060999999999998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0835-17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/stypes="app*4056*20170518*" /stext=" 00:.+((SYSTEM_STATE.+slice.+state.+changed )|(ment ac)|(multiple cpu faults)|(system.+state.+changed )|(\[timeout)|(PRM\|1\|D)|(kpr)|(kdp)|(train st.+moving)|(\|lc)|(penalty))"</v>
      </c>
      <c r="AG191" s="1" t="str">
        <f>IFERROR(IF(VALUE(LEFT(AD191,2))&lt;=2,"EC",IF(OR(VALUE(LEFT(AD191,2))=8,VALUE(LEFT(AD191,2))=18),"NW","Other")),"Other")</f>
        <v>NW</v>
      </c>
      <c r="AH191" s="81" t="str">
        <f t="shared" si="12"/>
        <v>"%USERPROFILE%\Documents\GitHub\eaglep3\Utilities\RefineRTDCRunTimes.py" --tripid 835-17 --locoid 4056 --swversion DE.1.0.9.0 --startMP 204:946 --initTime 2017-05-17T17:46:17 --startdatetime 2017-05-17T17:51:25 --delay 1 --endMP 300:59007 --enddatetime 2017-05-17T18:09:17 --enforcementcount 1 &gt;&gt;C:\Users\stu\Documents\GitHub\eaglep3-reporting\EC\2017-05-17-refined-times.txt</v>
      </c>
      <c r="AI191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{"issue":{"subject":"","project_id":79,"tracker_id":40,"status_id":1,"priority_id":2,"assigned_to_id":23,"start_date":"2017-05-17","description":"","custom_fields":[{"id":1,"name":"Subdivision","value":"NW"},{"id":4,"name":"Milepost","value":"5.9007"},{"id":17,"name":"Train ID","value":"835-17"},{"id":16,"name":"Locomotive ID","value":"4056"},{"id":130,"name":"Impact","value":""},{"id":150,"name":"Time of Event (Mountain Time)","value":"18:09:17"},{"id":151,"name":"Denver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14"/>
        <v>start /low /b %USERPROFILE%\Documents\GitHub\eaglep3\Utilities\DownloadLogsFromS3.py --loco 4056 --day 2017-05-17</v>
      </c>
      <c r="AN191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779</v>
      </c>
      <c r="B192" s="7">
        <v>4055</v>
      </c>
      <c r="C192" s="21" t="s">
        <v>206</v>
      </c>
      <c r="D192" s="21" t="s">
        <v>979</v>
      </c>
      <c r="E192" s="13">
        <v>42872.757939814815</v>
      </c>
      <c r="F192" s="13">
        <v>42872.758946759262</v>
      </c>
      <c r="G192" s="7">
        <v>1</v>
      </c>
      <c r="H192" s="21" t="s">
        <v>961</v>
      </c>
      <c r="I192" s="13">
        <v>42872.769328703704</v>
      </c>
      <c r="J192" s="7">
        <v>1</v>
      </c>
      <c r="K192" s="92" t="str">
        <f>IF(ISEVEN(B192),(B192-1)&amp;"/"&amp;B192,B192&amp;"/"&amp;(B192+1))</f>
        <v>4055/4056</v>
      </c>
      <c r="L192" s="21" t="str">
        <f>VLOOKUP(A192,'Trips&amp;Operators'!$C$1:$G$99999,5,FALSE)</f>
        <v>CHANDLER KELVIN</v>
      </c>
      <c r="M192" s="6">
        <f>I192-F192</f>
        <v>1.0381944441178348E-2</v>
      </c>
      <c r="N192" s="7">
        <f>24*60*SUM($M192:$M192)</f>
        <v>14.949999995296821</v>
      </c>
      <c r="O192" s="7"/>
      <c r="P192" s="7"/>
      <c r="Q192" s="22"/>
      <c r="R192" s="190"/>
      <c r="S192" s="196">
        <f>SUM(U192:U192)/IF(AG192="EC",12,1)</f>
        <v>1</v>
      </c>
      <c r="T192" s="190" t="str">
        <f>IF(ISEVEN(LEFT(AD192,4)),"Southbound","NorthBound")</f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-05-17T17:11:26-0600',mode:absolute,to:'2017-05-17T19:27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2" s="192" t="str">
        <f>IF(AA192&lt;IF(AG192="EC",23,5.65),"Y","N")</f>
        <v>N</v>
      </c>
      <c r="X192" s="192">
        <f t="shared" si="16"/>
        <v>1</v>
      </c>
      <c r="Y192" s="192">
        <f>RIGHT(D192,LEN(D192)-4)/10000</f>
        <v>5.8681000000000001</v>
      </c>
      <c r="Z192" s="192">
        <f>RIGHT(H192,LEN(H192)-4)/10000</f>
        <v>6.6600000000000006E-2</v>
      </c>
      <c r="AA192" s="192">
        <f>ABS(Z192-Y192)</f>
        <v>5.8014999999999999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0836-17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s3://rtdc.mdm.uploadarchive.raw/RTDC4055/ "%USERPROFILE%\AppData\Local\Temp\OnboardLogs"\RTDC4055\2017-05-17 --exclude "*" --recursive --include "*20170517*" &amp; "%USERPROFILE%\Documents\GitHub\mrs-test-scripts\Headless Mode &amp; Sideloading\WalkAndUnGZ.bat" "%USERPROFILE%\AppData\Local\Temp\OnboardLogs"\RTDC4055\2017-05-17 &amp; 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/stypes="app*4055*20170518*" /stext=" 00:.+((SYSTEM_STATE.+slice.+state.+changed )|(ment ac)|(multiple cpu faults)|(system.+state.+changed )|(\[timeout)|(PRM\|1\|D)|(kpr)|(kdp)|(train st.+moving)|(\|lc)|(penalty))"</v>
      </c>
      <c r="AG192" s="1" t="str">
        <f>IFERROR(IF(VALUE(LEFT(AD192,2))&lt;=2,"EC",IF(OR(VALUE(LEFT(AD192,2))=8,VALUE(LEFT(AD192,2))=18),"NW","Other")),"Other")</f>
        <v>NW</v>
      </c>
      <c r="AH192" s="81" t="str">
        <f t="shared" si="12"/>
        <v>"%USERPROFILE%\Documents\GitHub\eaglep3\Utilities\RefineRTDCRunTimes.py" --tripid 836-17 --locoid 4055 --swversion DE.1.0.9.0 --startMP 300:58681 --initTime 2017-05-17T18:11:26 --startdatetime 2017-05-17T18:12:53 --delay 1 --endMP 204:666 --enddatetime 2017-05-17T18:27:50 --enforcementcount 1 &gt;&gt;C:\Users\stu\Documents\GitHub\eaglep3-reporting\EC\2017-05-17-refined-times.txt</v>
      </c>
      <c r="AI192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{"issue":{"subject":"","project_id":79,"tracker_id":40,"status_id":1,"priority_id":2,"assigned_to_id":23,"start_date":"2017-05-17","description":"","custom_fields":[{"id":1,"name":"Subdivision","value":"NW"},{"id":4,"name":"Milepost","value":"0.0666"},{"id":17,"name":"Train ID","value":"836-17"},{"id":16,"name":"Locomotive ID","value":"4055"},{"id":130,"name":"Impact","value":""},{"id":150,"name":"Time of Event (Mountain Time)","value":"18:27:50"},{"id":151,"name":"Denver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14"/>
        <v>start /low /b %USERPROFILE%\Documents\GitHub\eaglep3\Utilities\DownloadLogsFromS3.py --loco 4055 --day 2017-05-17</v>
      </c>
      <c r="AN192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00:27:50"},{"id":29,"name":"Sharepoint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780</v>
      </c>
      <c r="B193" s="7">
        <v>4054</v>
      </c>
      <c r="C193" s="21" t="s">
        <v>206</v>
      </c>
      <c r="D193" s="21" t="s">
        <v>980</v>
      </c>
      <c r="E193" s="13">
        <v>42872.760416666664</v>
      </c>
      <c r="F193" s="13">
        <v>42872.7653587963</v>
      </c>
      <c r="G193" s="7">
        <v>1</v>
      </c>
      <c r="H193" s="21" t="s">
        <v>577</v>
      </c>
      <c r="I193" s="13">
        <v>42872.77547453704</v>
      </c>
      <c r="J193" s="7">
        <v>1</v>
      </c>
      <c r="K193" s="92" t="str">
        <f>IF(ISEVEN(B193),(B193-1)&amp;"/"&amp;B193,B193&amp;"/"&amp;(B193+1))</f>
        <v>4053/4054</v>
      </c>
      <c r="L193" s="21" t="str">
        <f>VLOOKUP(A193,'Trips&amp;Operators'!$C$1:$G$99999,5,FALSE)</f>
        <v>FORTUNATO FRANK</v>
      </c>
      <c r="M193" s="6">
        <f>I193-F193</f>
        <v>1.0115740740729962E-2</v>
      </c>
      <c r="N193" s="7">
        <f>24*60*SUM($M193:$M193)</f>
        <v>14.566666666651145</v>
      </c>
      <c r="O193" s="7"/>
      <c r="P193" s="7"/>
      <c r="Q193" s="22"/>
      <c r="R193" s="190"/>
      <c r="S193" s="196">
        <f>SUM(U193:U193)/IF(AG193="EC",12,1)</f>
        <v>1</v>
      </c>
      <c r="T193" s="190" t="str">
        <f>IF(ISEVEN(LEFT(AD193,4)),"Southbound","NorthBound")</f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-05-17T17:15:00-0600',mode:absolute,to:'2017-05-17T19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3" s="192" t="str">
        <f>IF(AA193&lt;IF(AG193="EC",23,5.65),"Y","N")</f>
        <v>N</v>
      </c>
      <c r="X193" s="192">
        <f t="shared" si="16"/>
        <v>1</v>
      </c>
      <c r="Y193" s="192">
        <f>RIGHT(D193,LEN(D193)-4)/10000</f>
        <v>9.1999999999999998E-2</v>
      </c>
      <c r="Z193" s="192">
        <f>RIGHT(H193,LEN(H193)-4)/10000</f>
        <v>5.8933</v>
      </c>
      <c r="AA193" s="192">
        <f>ABS(Z193-Y193)</f>
        <v>5.8013000000000003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0837-17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 &amp; aws s3 cp s3://rtdc.mdm.uploadarchive.raw/RTDC4054/ "%USERPROFILE%\AppData\Local\Temp\OnboardLogs"\RTDC4054\2017-05-18 --exclude "*" --recursive --include "*20170518*" &amp; "%USERPROFILE%\Documents\GitHub\mrs-test-scripts\Headless Mode &amp; Sideloading\WalkAndUnGZ.bat" "%USERPROFILE%\AppData\Local\Temp\OnboardLogs"\RTDC4054\2017-05-18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/stypes="app*4054*20170518*" /stext=" 00:.+((SYSTEM_STATE.+slice.+state.+changed )|(ment ac)|(multiple cpu faults)|(system.+state.+changed )|(\[timeout)|(PRM\|1\|D)|(kpr)|(kdp)|(train st.+moving)|(\|lc)|(penalty))"</v>
      </c>
      <c r="AG193" s="1" t="str">
        <f>IFERROR(IF(VALUE(LEFT(AD193,2))&lt;=2,"EC",IF(OR(VALUE(LEFT(AD193,2))=8,VALUE(LEFT(AD193,2))=18),"NW","Other")),"Other")</f>
        <v>NW</v>
      </c>
      <c r="AH193" s="81" t="str">
        <f t="shared" si="12"/>
        <v>"%USERPROFILE%\Documents\GitHub\eaglep3\Utilities\RefineRTDCRunTimes.py" --tripid 837-17 --locoid 4054 --swversion DE.1.0.9.0 --startMP 204:920 --initTime 2017-05-17T18:15:00 --startdatetime 2017-05-17T18:22:07 --delay 1 --endMP 300:58933 --enddatetime 2017-05-17T18:36:41 --enforcementcount 1 &gt;&gt;C:\Users\stu\Documents\GitHub\eaglep3-reporting\EC\2017-05-17-refined-times.txt</v>
      </c>
      <c r="AI193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{"issue":{"subject":"","project_id":79,"tracker_id":40,"status_id":1,"priority_id":2,"assigned_to_id":23,"start_date":"2017-05-17","description":"","custom_fields":[{"id":1,"name":"Subdivision","value":"NW"},{"id":4,"name":"Milepost","value":"5.8933"},{"id":17,"name":"Train ID","value":"837-17"},{"id":16,"name":"Locomotive ID","value":"4054"},{"id":130,"name":"Impact","value":""},{"id":150,"name":"Time of Event (Mountain Time)","value":"18:36:41"},{"id":151,"name":"Denver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14"/>
        <v>start /low /b %USERPROFILE%\Documents\GitHub\eaglep3\Utilities\DownloadLogsFromS3.py --loco 4054 --day 2017-05-17</v>
      </c>
      <c r="AN193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609</v>
      </c>
      <c r="B194" s="7">
        <v>4053</v>
      </c>
      <c r="C194" s="21" t="s">
        <v>206</v>
      </c>
      <c r="D194" s="21" t="s">
        <v>459</v>
      </c>
      <c r="E194" s="13">
        <v>42872.776655092595</v>
      </c>
      <c r="F194" s="13">
        <v>42872.778599537036</v>
      </c>
      <c r="G194" s="7">
        <v>1</v>
      </c>
      <c r="H194" s="21" t="s">
        <v>981</v>
      </c>
      <c r="I194" s="13">
        <v>42872.791666666664</v>
      </c>
      <c r="J194" s="7">
        <v>1</v>
      </c>
      <c r="K194" s="92" t="str">
        <f>IF(ISEVEN(B194),(B194-1)&amp;"/"&amp;B194,B194&amp;"/"&amp;(B194+1))</f>
        <v>4053/4054</v>
      </c>
      <c r="L194" s="21" t="str">
        <f>VLOOKUP(A194,'Trips&amp;Operators'!$C$1:$G$99999,5,FALSE)</f>
        <v>FORTUNATO FRANK</v>
      </c>
      <c r="M194" s="6">
        <f>I194-F194</f>
        <v>1.3067129628325347E-2</v>
      </c>
      <c r="N194" s="7">
        <f>24*60*SUM($M194:$M194)</f>
        <v>18.816666664788499</v>
      </c>
      <c r="O194" s="7"/>
      <c r="P194" s="7"/>
      <c r="Q194" s="22"/>
      <c r="R194" s="190" t="s">
        <v>1019</v>
      </c>
      <c r="S194" s="196">
        <f>SUM(U194:U194)/IF(AG194="EC",12,1)</f>
        <v>1</v>
      </c>
      <c r="T194" s="190" t="str">
        <f>IF(ISEVEN(LEFT(AD194,4)),"Southbound","NorthBound")</f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-05-17T17:38:23-0600',mode:absolute,to:'2017-05-17T20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4" s="192" t="str">
        <f>IF(AA194&lt;IF(AG194="EC",23,5.65),"Y","N")</f>
        <v>Y</v>
      </c>
      <c r="X194" s="192">
        <f t="shared" si="16"/>
        <v>1</v>
      </c>
      <c r="Y194" s="192">
        <f>RIGHT(D194,LEN(D194)-4)/10000</f>
        <v>5.8605999999999998</v>
      </c>
      <c r="Z194" s="192">
        <f>RIGHT(H194,LEN(H194)-4)/10000</f>
        <v>0.44259999999999999</v>
      </c>
      <c r="AA194" s="192">
        <f>ABS(Z194-Y194)</f>
        <v>5.4180000000000001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0838-17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 &amp; aws s3 cp s3://rtdc.mdm.uploadarchive.raw/RTDC4053/ "%USERPROFILE%\AppData\Local\Temp\OnboardLogs"\RTDC4053\2017-05-18 --exclude "*" --recursive --include "*20170518*" &amp; "%USERPROFILE%\Documents\GitHub\mrs-test-scripts\Headless Mode &amp; Sideloading\WalkAndUnGZ.bat" "%USERPROFILE%\AppData\Local\Temp\OnboardLogs"\RTDC4053\2017-05-18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/stypes="app*4053*20170518*" /stext=" 01:.+((SYSTEM_STATE.+slice.+state.+changed )|(ment ac)|(multiple cpu faults)|(system.+state.+changed )|(\[timeout)|(PRM\|1\|D)|(kpr)|(kdp)|(train st.+moving)|(\|lc)|(penalty))"</v>
      </c>
      <c r="AG194" s="1" t="str">
        <f>IFERROR(IF(VALUE(LEFT(AD194,2))&lt;=2,"EC",IF(OR(VALUE(LEFT(AD194,2))=8,VALUE(LEFT(AD194,2))=18),"NW","Other")),"Other")</f>
        <v>NW</v>
      </c>
      <c r="AH194" s="81" t="str">
        <f t="shared" si="12"/>
        <v>"%USERPROFILE%\Documents\GitHub\eaglep3\Utilities\RefineRTDCRunTimes.py" --tripid 838-17 --locoid 4053 --swversion DE.1.0.9.0 --startMP 300:58606 --initTime 2017-05-17T18:38:23 --startdatetime 2017-05-17T18:41:11 --delay 1 --endMP 204:4426 --enddatetime 2017-05-17T19:00:00 --enforcementcount 1 &gt;&gt;C:\Users\stu\Documents\GitHub\eaglep3-reporting\EC\2017-05-17-refined-times.txt</v>
      </c>
      <c r="AI194" s="99" t="str">
        <f t="shared" si="13"/>
        <v>echo {"issue":{"subject":"DUS 28S flipping aspects","project_id":79,"tracker_id":40,"status_id":1,"priority_id":2,"assigned_to_id":23,"start_date":"2017-05-17","description":"","custom_fields":[{"id":1,"name":"Subdivision","value":"NW"},{"id":4,"name":"Milepost","value":"0.4426"},{"id":17,"name":"Train ID","value":"838-17"},{"id":16,"name":"Locomotive ID","value":"4053"},{"id":130,"name":"Impact","value":""},{"id":150,"name":"Time of Event (Mountain Time)","value":"19:00:00"},{"id":151,"name":"Denver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14"/>
        <v>start /low /b %USERPROFILE%\Documents\GitHub\eaglep3\Utilities\DownloadLogsFromS3.py --loco 4053 --day 2017-05-17</v>
      </c>
      <c r="AN194" s="154" t="str">
        <f t="shared" si="15"/>
        <v>echo {"issue":{"subject":"DUS 28S flipping aspects","project_id":30,"tracker_id":4,"status_id":1,"priority_id":1,"assigned_to_id":10,"start_date":"2017-05-18","description":"","custom_fields":[{"id":30,"name":"Category","value":"Issue"},{"id":3,"name":"Functional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610</v>
      </c>
      <c r="B195" s="7">
        <v>4056</v>
      </c>
      <c r="C195" s="21" t="s">
        <v>206</v>
      </c>
      <c r="D195" s="21" t="s">
        <v>982</v>
      </c>
      <c r="E195" s="13">
        <v>42872.784421296295</v>
      </c>
      <c r="F195" s="13">
        <v>42872.785983796297</v>
      </c>
      <c r="G195" s="7">
        <v>1</v>
      </c>
      <c r="H195" s="21" t="s">
        <v>983</v>
      </c>
      <c r="I195" s="13">
        <v>42872.79855324074</v>
      </c>
      <c r="J195" s="7">
        <v>1</v>
      </c>
      <c r="K195" s="92" t="str">
        <f>IF(ISEVEN(B195),(B195-1)&amp;"/"&amp;B195,B195&amp;"/"&amp;(B195+1))</f>
        <v>4055/4056</v>
      </c>
      <c r="L195" s="21" t="str">
        <f>VLOOKUP(A195,'Trips&amp;Operators'!$C$1:$G$99999,5,FALSE)</f>
        <v>CHANDLER KELVIN</v>
      </c>
      <c r="M195" s="6">
        <f>I195-F195</f>
        <v>1.2569444443215616E-2</v>
      </c>
      <c r="N195" s="7">
        <f>24*60*SUM($M195:$M195)</f>
        <v>18.099999998230487</v>
      </c>
      <c r="O195" s="7"/>
      <c r="P195" s="7"/>
      <c r="Q195" s="22"/>
      <c r="R195" s="190"/>
      <c r="S195" s="196">
        <f>SUM(U195:U195)/IF(AG195="EC",12,1)</f>
        <v>1</v>
      </c>
      <c r="T195" s="190" t="str">
        <f>IF(ISEVEN(LEFT(AD195,4)),"Southbound","NorthBound")</f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-05-17T17:49:34-0600',mode:absolute,to:'2017-05-17T20:09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5" s="192" t="str">
        <f>IF(AA195&lt;IF(AG195="EC",23,5.65),"Y","N")</f>
        <v>N</v>
      </c>
      <c r="X195" s="192">
        <f t="shared" si="16"/>
        <v>1</v>
      </c>
      <c r="Y195" s="192">
        <f>RIGHT(D195,LEN(D195)-4)/10000</f>
        <v>9.5100000000000004E-2</v>
      </c>
      <c r="Z195" s="192">
        <f>RIGHT(H195,LEN(H195)-4)/10000</f>
        <v>5.9008000000000003</v>
      </c>
      <c r="AA195" s="192">
        <f>ABS(Z195-Y195)</f>
        <v>5.8056999999999999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0839-17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/stypes="app*4056*20170518*" /stext=" 01:.+((SYSTEM_STATE.+slice.+state.+changed )|(ment ac)|(multiple cpu faults)|(system.+state.+changed )|(\[timeout)|(PRM\|1\|D)|(kpr)|(kdp)|(train st.+moving)|(\|lc)|(penalty))"</v>
      </c>
      <c r="AG195" s="1" t="str">
        <f>IFERROR(IF(VALUE(LEFT(AD195,2))&lt;=2,"EC",IF(OR(VALUE(LEFT(AD195,2))=8,VALUE(LEFT(AD195,2))=18),"NW","Other")),"Other")</f>
        <v>NW</v>
      </c>
      <c r="AH195" s="81" t="str">
        <f t="shared" si="12"/>
        <v>"%USERPROFILE%\Documents\GitHub\eaglep3\Utilities\RefineRTDCRunTimes.py" --tripid 839-17 --locoid 4056 --swversion DE.1.0.9.0 --startMP 204:951 --initTime 2017-05-17T18:49:34 --startdatetime 2017-05-17T18:51:49 --delay 1 --endMP 300:59008 --enddatetime 2017-05-17T19:09:55 --enforcementcount 1 &gt;&gt;C:\Users\stu\Documents\GitHub\eaglep3-reporting\EC\2017-05-17-refined-times.txt</v>
      </c>
      <c r="AI195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{"issue":{"subject":"","project_id":79,"tracker_id":40,"status_id":1,"priority_id":2,"assigned_to_id":23,"start_date":"2017-05-17","description":"","custom_fields":[{"id":1,"name":"Subdivision","value":"NW"},{"id":4,"name":"Milepost","value":"5.9008"},{"id":17,"name":"Train ID","value":"839-17"},{"id":16,"name":"Locomotive ID","value":"4056"},{"id":130,"name":"Impact","value":""},{"id":150,"name":"Time of Event (Mountain Time)","value":"19:09:55"},{"id":151,"name":"Denver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14"/>
        <v>start /low /b %USERPROFILE%\Documents\GitHub\eaglep3\Utilities\DownloadLogsFromS3.py --loco 4056 --day 2017-05-17</v>
      </c>
      <c r="AN195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01:09:55"},{"id":29,"name":"Sharepoint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794</v>
      </c>
      <c r="B196" s="7">
        <v>4053</v>
      </c>
      <c r="C196" s="21" t="s">
        <v>206</v>
      </c>
      <c r="D196" s="21" t="s">
        <v>488</v>
      </c>
      <c r="E196" s="13">
        <v>42872.818344907406</v>
      </c>
      <c r="F196" s="13">
        <v>42872.820185185185</v>
      </c>
      <c r="G196" s="7">
        <v>1</v>
      </c>
      <c r="H196" s="21" t="s">
        <v>984</v>
      </c>
      <c r="I196" s="13">
        <v>42872.829479166663</v>
      </c>
      <c r="J196" s="7">
        <v>1</v>
      </c>
      <c r="K196" s="92" t="str">
        <f>IF(ISEVEN(B196),(B196-1)&amp;"/"&amp;B196,B196&amp;"/"&amp;(B196+1))</f>
        <v>4053/4054</v>
      </c>
      <c r="L196" s="21" t="str">
        <f>VLOOKUP(A196,'Trips&amp;Operators'!$C$1:$G$99999,5,FALSE)</f>
        <v>MCREYNOLDS KYLE</v>
      </c>
      <c r="M196" s="6">
        <f>I196-F196</f>
        <v>9.29398147854954E-3</v>
      </c>
      <c r="N196" s="7">
        <f>24*60*SUM($M196:$M196)</f>
        <v>13.383333329111338</v>
      </c>
      <c r="O196" s="7"/>
      <c r="P196" s="7"/>
      <c r="Q196" s="22"/>
      <c r="R196" s="190" t="s">
        <v>1017</v>
      </c>
      <c r="S196" s="196">
        <f>SUM(U196:U196)/IF(AG196="EC",12,1)</f>
        <v>1</v>
      </c>
      <c r="T196" s="190" t="str">
        <f>IF(ISEVEN(LEFT(AD196,4)),"Southbound","NorthBound")</f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-05-17T18:38:25-0600',mode:absolute,to:'2017-05-17T20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192" t="str">
        <f>IF(AA196&lt;IF(AG196="EC",23,5.65),"Y","N")</f>
        <v>Y</v>
      </c>
      <c r="X196" s="192">
        <f t="shared" si="16"/>
        <v>1</v>
      </c>
      <c r="Y196" s="192">
        <f>RIGHT(D196,LEN(D196)-4)/10000</f>
        <v>5.8634000000000004</v>
      </c>
      <c r="Z196" s="192">
        <f>RIGHT(H196,LEN(H196)-4)/10000</f>
        <v>0.53480000000000005</v>
      </c>
      <c r="AA196" s="192">
        <f>ABS(Z196-Y196)</f>
        <v>5.3286000000000007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0840-17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 &amp; aws s3 cp s3://rtdc.mdm.uploadarchive.raw/RTDC4053/ "%USERPROFILE%\AppData\Local\Temp\OnboardLogs"\RTDC4053\2017-05-18 --exclude "*" --recursive --include "*20170518*" &amp; "%USERPROFILE%\Documents\GitHub\mrs-test-scripts\Headless Mode &amp; Sideloading\WalkAndUnGZ.bat" "%USERPROFILE%\AppData\Local\Temp\OnboardLogs"\RTDC4053\2017-05-18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/stypes="app*4053*20170518*" /stext=" 01:.+((SYSTEM_STATE.+slice.+state.+changed )|(ment ac)|(multiple cpu faults)|(system.+state.+changed )|(\[timeout)|(PRM\|1\|D)|(kpr)|(kdp)|(train st.+moving)|(\|lc)|(penalty))"</v>
      </c>
      <c r="AG196" s="1" t="str">
        <f>IFERROR(IF(VALUE(LEFT(AD196,2))&lt;=2,"EC",IF(OR(VALUE(LEFT(AD196,2))=8,VALUE(LEFT(AD196,2))=18),"NW","Other")),"Other")</f>
        <v>NW</v>
      </c>
      <c r="AH196" s="81" t="str">
        <f t="shared" si="12"/>
        <v>"%USERPROFILE%\Documents\GitHub\eaglep3\Utilities\RefineRTDCRunTimes.py" --tripid 840-17 --locoid 4053 --swversion DE.1.0.9.0 --startMP 300:58634 --initTime 2017-05-17T19:38:25 --startdatetime 2017-05-17T19:41:04 --delay 1 --endMP 300:5348 --enddatetime 2017-05-17T19:54:27 --enforcementcount 1 &gt;&gt;C:\Users\stu\Documents\GitHub\eaglep3-reporting\EC\2017-05-17-refined-times.txt</v>
      </c>
      <c r="AI196" s="99" t="str">
        <f t="shared" si="13"/>
        <v>echo {"issue":{"subject":"Main 3 arrival","project_id":79,"tracker_id":40,"status_id":1,"priority_id":2,"assigned_to_id":23,"start_date":"2017-05-17","description":"","custom_fields":[{"id":1,"name":"Subdivision","value":"NW"},{"id":4,"name":"Milepost","value":"0.5348"},{"id":17,"name":"Train ID","value":"840-17"},{"id":16,"name":"Locomotive ID","value":"4053"},{"id":130,"name":"Impact","value":""},{"id":150,"name":"Time of Event (Mountain Time)","value":"19:54:27"},{"id":151,"name":"Denver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14"/>
        <v>start /low /b %USERPROFILE%\Documents\GitHub\eaglep3\Utilities\DownloadLogsFromS3.py --loco 4053 --day 2017-05-17</v>
      </c>
      <c r="AN196" s="154" t="str">
        <f t="shared" si="15"/>
        <v>echo {"issue":{"subject":"Main 3 arrival","project_id":30,"tracker_id":4,"status_id":1,"priority_id":1,"assigned_to_id":10,"start_date":"2017-05-18","description":"","custom_fields":[{"id":30,"name":"Category","value":"Issue"},{"id":3,"name":"Functional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s="20" customFormat="1" x14ac:dyDescent="0.25">
      <c r="A197" s="32" t="s">
        <v>791</v>
      </c>
      <c r="B197" s="7">
        <v>4054</v>
      </c>
      <c r="C197" s="21" t="s">
        <v>206</v>
      </c>
      <c r="D197" s="21" t="s">
        <v>985</v>
      </c>
      <c r="E197" s="13">
        <v>42872.803807870368</v>
      </c>
      <c r="F197" s="13">
        <v>42872.806469907409</v>
      </c>
      <c r="G197" s="7">
        <v>2</v>
      </c>
      <c r="H197" s="21" t="s">
        <v>566</v>
      </c>
      <c r="I197" s="13">
        <v>42872.816493055558</v>
      </c>
      <c r="J197" s="7">
        <v>1</v>
      </c>
      <c r="K197" s="92" t="str">
        <f>IF(ISEVEN(B197),(B197-1)&amp;"/"&amp;B197,B197&amp;"/"&amp;(B197+1))</f>
        <v>4053/4054</v>
      </c>
      <c r="L197" s="21" t="str">
        <f>VLOOKUP(A197,'Trips&amp;Operators'!$C$1:$G$99999,5,FALSE)</f>
        <v>MCREYNOLDS KYLE</v>
      </c>
      <c r="M197" s="6">
        <f>I197-F197</f>
        <v>1.0023148148320615E-2</v>
      </c>
      <c r="N197" s="7">
        <f>24*60*SUM($M197:$M197)</f>
        <v>14.433333333581686</v>
      </c>
      <c r="O197" s="7"/>
      <c r="P197" s="7"/>
      <c r="Q197" s="22"/>
      <c r="R197" s="190"/>
      <c r="S197" s="196">
        <f>SUM(U197:U197)/IF(AG197="EC",12,1)</f>
        <v>1</v>
      </c>
      <c r="T197" s="190" t="str">
        <f>IF(ISEVEN(LEFT(AD197,4)),"Southbound","NorthBound")</f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-05-17T18:17:29-0600',mode:absolute,to:'2017-05-17T20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7" s="192" t="str">
        <f>IF(AA197&lt;IF(AG197="EC",23,5.65),"Y","N")</f>
        <v>N</v>
      </c>
      <c r="X197" s="192">
        <f>VALUE(LEFT(AD197,4))-VALUE(LEFT(AD196,4))</f>
        <v>1</v>
      </c>
      <c r="Y197" s="192">
        <f>RIGHT(D197,LEN(D197)-4)/10000</f>
        <v>3.3000000000000002E-2</v>
      </c>
      <c r="Z197" s="192">
        <f>RIGHT(H197,LEN(H197)-4)/10000</f>
        <v>5.8939000000000004</v>
      </c>
      <c r="AA197" s="192">
        <f>ABS(Z197-Y197)</f>
        <v>5.8609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0841-17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s3://rtdc.mdm.uploadarchive.raw/RTDC4054/ "%USERPROFILE%\AppData\Local\Temp\OnboardLogs"\RTDC4054\2017-05-17 --exclude "*" --recursive --include "*20170517*" &amp; "%USERPROFILE%\Documents\GitHub\mrs-test-scripts\Headless Mode &amp; Sideloading\WalkAndUnGZ.bat" "%USERPROFILE%\AppData\Local\Temp\OnboardLogs"\RTDC4054\2017-05-17 &amp; aws s3 cp s3://rtdc.mdm.uploadarchive.raw/RTDC4054/ "%USERPROFILE%\AppData\Local\Temp\OnboardLogs"\RTDC4054\2017-05-18 --exclude "*" --recursive --include "*20170518*" &amp; "%USERPROFILE%\Documents\GitHub\mrs-test-scripts\Headless Mode &amp; Sideloading\WalkAndUnGZ.bat" "%USERPROFILE%\AppData\Local\Temp\OnboardLogs"\RTDC4054\2017-05-18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/stypes="app*4054*20170518*" /stext=" 01:.+((SYSTEM_STATE.+slice.+state.+changed )|(ment ac)|(multiple cpu faults)|(system.+state.+changed )|(\[timeout)|(PRM\|1\|D)|(kpr)|(kdp)|(train st.+moving)|(\|lc)|(penalty))"</v>
      </c>
      <c r="AG197" s="1" t="str">
        <f>IFERROR(IF(VALUE(LEFT(AD197,2))&lt;=2,"EC",IF(OR(VALUE(LEFT(AD197,2))=8,VALUE(LEFT(AD197,2))=18),"NW","Other")),"Other")</f>
        <v>NW</v>
      </c>
      <c r="AH197" s="81" t="str">
        <f t="shared" si="12"/>
        <v>"%USERPROFILE%\Documents\GitHub\eaglep3\Utilities\RefineRTDCRunTimes.py" --tripid 841-17 --locoid 4054 --swversion DE.1.0.9.0 --startMP 204:330 --initTime 2017-05-17T19:17:29 --startdatetime 2017-05-17T19:21:19 --delay 2 --endMP 300:58939 --enddatetime 2017-05-17T19:35:45 --enforcementcount 1 &gt;&gt;C:\Users\stu\Documents\GitHub\eaglep3-reporting\EC\2017-05-17-refined-times.txt</v>
      </c>
      <c r="AI197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{"issue":{"subject":"","project_id":79,"tracker_id":40,"status_id":1,"priority_id":2,"assigned_to_id":23,"start_date":"2017-05-17","description":"","custom_fields":[{"id":1,"name":"Subdivision","value":"NW"},{"id":4,"name":"Milepost","value":"5.8939"},{"id":17,"name":"Train ID","value":"841-17"},{"id":16,"name":"Locomotive ID","value":"4054"},{"id":130,"name":"Impact","value":""},{"id":150,"name":"Time of Event (Mountain Time)","value":"19:35:45"},{"id":151,"name":"Denver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5" t="str">
        <f t="shared" si="14"/>
        <v>start /low /b %USERPROFILE%\Documents\GitHub\eaglep3\Utilities\DownloadLogsFromS3.py --loco 4054 --day 2017-05-17</v>
      </c>
      <c r="AN197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803</v>
      </c>
      <c r="B198" s="7">
        <v>4055</v>
      </c>
      <c r="C198" s="21" t="s">
        <v>206</v>
      </c>
      <c r="D198" s="21" t="s">
        <v>571</v>
      </c>
      <c r="E198" s="13">
        <v>42872.8593287037</v>
      </c>
      <c r="F198" s="13">
        <v>42872.861006944448</v>
      </c>
      <c r="G198" s="7">
        <v>1</v>
      </c>
      <c r="H198" s="21" t="s">
        <v>986</v>
      </c>
      <c r="I198" s="13">
        <v>42872.871493055558</v>
      </c>
      <c r="J198" s="7">
        <v>1</v>
      </c>
      <c r="K198" s="92" t="str">
        <f>IF(ISEVEN(B198),(B198-1)&amp;"/"&amp;B198,B198&amp;"/"&amp;(B198+1))</f>
        <v>4055/4056</v>
      </c>
      <c r="L198" s="21" t="str">
        <f>VLOOKUP(A198,'Trips&amp;Operators'!$C$1:$G$99999,5,FALSE)</f>
        <v>MCREYNOLDS KYLE</v>
      </c>
      <c r="M198" s="6">
        <f>I198-F198</f>
        <v>1.0486111110367347E-2</v>
      </c>
      <c r="N198" s="7">
        <f>24*60*SUM($M198:$M198)</f>
        <v>15.099999998928979</v>
      </c>
      <c r="O198" s="7"/>
      <c r="P198" s="7"/>
      <c r="Q198" s="22"/>
      <c r="R198" s="190"/>
      <c r="S198" s="196">
        <f>SUM(U198:U198)/IF(AG198="EC",12,1)</f>
        <v>1</v>
      </c>
      <c r="T198" s="190" t="str">
        <f>IF(ISEVEN(LEFT(AD198,4)),"Southbound","NorthBound")</f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-05-17T19:37:26-0600',mode:absolute,to:'2017-05-17T21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8" s="192" t="str">
        <f>IF(AA198&lt;IF(AG198="EC",23,5.65),"Y","N")</f>
        <v>N</v>
      </c>
      <c r="X198" s="192">
        <f>VALUE(LEFT(AD198,4))-VALUE(LEFT(AD197,4))</f>
        <v>1</v>
      </c>
      <c r="Y198" s="192">
        <f>RIGHT(D198,LEN(D198)-4)/10000</f>
        <v>5.8624000000000001</v>
      </c>
      <c r="Z198" s="192">
        <f>RIGHT(H198,LEN(H198)-4)/10000</f>
        <v>6.8400000000000002E-2</v>
      </c>
      <c r="AA198" s="192">
        <f>ABS(Z198-Y198)</f>
        <v>5.7940000000000005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0842-17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s3://rtdc.mdm.uploadarchive.raw/RTDC4055/ "%USERPROFILE%\AppData\Local\Temp\OnboardLogs"\RTDC4055\2017-05-17 --exclude "*" --recursive --include "*20170517*" &amp; "%USERPROFILE%\Documents\GitHub\mrs-test-scripts\Headless Mode &amp; Sideloading\WalkAndUnGZ.bat" "%USERPROFILE%\AppData\Local\Temp\OnboardLogs"\RTDC4055\2017-05-17 &amp; 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/stypes="app*4055*20170518*" /stext=" 02:.+((SYSTEM_STATE.+slice.+state.+changed )|(ment ac)|(multiple cpu faults)|(system.+state.+changed )|(\[timeout)|(PRM\|1\|D)|(kpr)|(kdp)|(train st.+moving)|(\|lc)|(penalty))"</v>
      </c>
      <c r="AG198" s="1" t="str">
        <f>IFERROR(IF(VALUE(LEFT(AD198,2))&lt;=2,"EC",IF(OR(VALUE(LEFT(AD198,2))=8,VALUE(LEFT(AD198,2))=18),"NW","Other")),"Other")</f>
        <v>NW</v>
      </c>
      <c r="AH198" s="81" t="str">
        <f t="shared" si="12"/>
        <v>"%USERPROFILE%\Documents\GitHub\eaglep3\Utilities\RefineRTDCRunTimes.py" --tripid 842-17 --locoid 4055 --swversion DE.1.0.9.0 --startMP 300:58624 --initTime 2017-05-17T20:37:26 --startdatetime 2017-05-17T20:39:51 --delay 1 --endMP 204:684 --enddatetime 2017-05-17T20:54:57 --enforcementcount 1 &gt;&gt;C:\Users\stu\Documents\GitHub\eaglep3-reporting\EC\2017-05-17-refined-times.txt</v>
      </c>
      <c r="AI198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{"issue":{"subject":"","project_id":79,"tracker_id":40,"status_id":1,"priority_id":2,"assigned_to_id":23,"start_date":"2017-05-17","description":"","custom_fields":[{"id":1,"name":"Subdivision","value":"NW"},{"id":4,"name":"Milepost","value":"0.0684"},{"id":17,"name":"Train ID","value":"842-17"},{"id":16,"name":"Locomotive ID","value":"4055"},{"id":130,"name":"Impact","value":""},{"id":150,"name":"Time of Event (Mountain Time)","value":"20:54:57"},{"id":151,"name":"Denver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14"/>
        <v>start /low /b %USERPROFILE%\Documents\GitHub\eaglep3\Utilities\DownloadLogsFromS3.py --loco 4055 --day 2017-05-17</v>
      </c>
      <c r="AN198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02:54:57"},{"id":29,"name":"Sharepoint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799</v>
      </c>
      <c r="B199" s="7">
        <v>4056</v>
      </c>
      <c r="C199" s="21" t="s">
        <v>206</v>
      </c>
      <c r="D199" s="21" t="s">
        <v>576</v>
      </c>
      <c r="E199" s="13">
        <v>42872.839282407411</v>
      </c>
      <c r="F199" s="13">
        <v>42872.848136574074</v>
      </c>
      <c r="G199" s="7">
        <v>1</v>
      </c>
      <c r="H199" s="21" t="s">
        <v>434</v>
      </c>
      <c r="I199" s="13">
        <v>42872.857673611114</v>
      </c>
      <c r="J199" s="7">
        <v>1</v>
      </c>
      <c r="K199" s="92" t="str">
        <f>IF(ISEVEN(B199),(B199-1)&amp;"/"&amp;B199,B199&amp;"/"&amp;(B199+1))</f>
        <v>4055/4056</v>
      </c>
      <c r="L199" s="21" t="str">
        <f>VLOOKUP(A199,'Trips&amp;Operators'!$C$1:$G$99999,5,FALSE)</f>
        <v>MCREYNOLDS KYLE</v>
      </c>
      <c r="M199" s="6">
        <f>I199-F199</f>
        <v>9.5370370399905369E-3</v>
      </c>
      <c r="N199" s="7">
        <f>24*60*SUM($M199:$M199)</f>
        <v>13.733333337586373</v>
      </c>
      <c r="O199" s="7"/>
      <c r="P199" s="7"/>
      <c r="Q199" s="22"/>
      <c r="R199" s="190"/>
      <c r="S199" s="196">
        <f>SUM(U199:U199)/IF(AG199="EC",12,1)</f>
        <v>1</v>
      </c>
      <c r="T199" s="190" t="str">
        <f>IF(ISEVEN(LEFT(AD199,4)),"Southbound","NorthBound")</f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-05-17T19:08:34-0600',mode:absolute,to:'2017-05-17T21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9" s="192" t="str">
        <f>IF(AA199&lt;IF(AG199="EC",23,5.65),"Y","N")</f>
        <v>N</v>
      </c>
      <c r="X199" s="192">
        <f>VALUE(LEFT(AD199,4))-VALUE(LEFT(AD198,4))</f>
        <v>1</v>
      </c>
      <c r="Y199" s="192">
        <f>RIGHT(D199,LEN(D199)-4)/10000</f>
        <v>9.4600000000000004E-2</v>
      </c>
      <c r="Z199" s="192">
        <f>RIGHT(H199,LEN(H199)-4)/10000</f>
        <v>5.8935000000000004</v>
      </c>
      <c r="AA199" s="192">
        <f>ABS(Z199-Y199)</f>
        <v>5.7989000000000006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0843-17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/stypes="app*4056*20170518*" /stext=" 02:.+((SYSTEM_STATE.+slice.+state.+changed )|(ment ac)|(multiple cpu faults)|(system.+state.+changed )|(\[timeout)|(PRM\|1\|D)|(kpr)|(kdp)|(train st.+moving)|(\|lc)|(penalty))"</v>
      </c>
      <c r="AG199" s="1" t="str">
        <f>IFERROR(IF(VALUE(LEFT(AD199,2))&lt;=2,"EC",IF(OR(VALUE(LEFT(AD199,2))=8,VALUE(LEFT(AD199,2))=18),"NW","Other")),"Other")</f>
        <v>NW</v>
      </c>
      <c r="AH199" s="81" t="str">
        <f t="shared" si="12"/>
        <v>"%USERPROFILE%\Documents\GitHub\eaglep3\Utilities\RefineRTDCRunTimes.py" --tripid 843-17 --locoid 4056 --swversion DE.1.0.9.0 --startMP 204:946 --initTime 2017-05-17T20:08:34 --startdatetime 2017-05-17T20:21:19 --delay 1 --endMP 300:58935 --enddatetime 2017-05-17T20:35:03 --enforcementcount 1 &gt;&gt;C:\Users\stu\Documents\GitHub\eaglep3-reporting\EC\2017-05-17-refined-times.txt</v>
      </c>
      <c r="AI199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{"issue":{"subject":"","project_id":79,"tracker_id":40,"status_id":1,"priority_id":2,"assigned_to_id":23,"start_date":"2017-05-17","description":"","custom_fields":[{"id":1,"name":"Subdivision","value":"NW"},{"id":4,"name":"Milepost","value":"5.8935"},{"id":17,"name":"Train ID","value":"843-17"},{"id":16,"name":"Locomotive ID","value":"4056"},{"id":130,"name":"Impact","value":""},{"id":150,"name":"Time of Event (Mountain Time)","value":"20:35:03"},{"id":151,"name":"Denver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14"/>
        <v>start /low /b %USERPROFILE%\Documents\GitHub\eaglep3\Utilities\DownloadLogsFromS3.py --loco 4056 --day 2017-05-17</v>
      </c>
      <c r="AN199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02:35:03"},{"id":29,"name":"Sharepoint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809</v>
      </c>
      <c r="B200" s="7">
        <v>4055</v>
      </c>
      <c r="C200" s="21" t="s">
        <v>206</v>
      </c>
      <c r="D200" s="21" t="s">
        <v>979</v>
      </c>
      <c r="E200" s="13">
        <v>42872.902604166666</v>
      </c>
      <c r="F200" s="13">
        <v>42872.903784722221</v>
      </c>
      <c r="G200" s="7">
        <v>1</v>
      </c>
      <c r="H200" s="21" t="s">
        <v>986</v>
      </c>
      <c r="I200" s="13">
        <v>42872.914895833332</v>
      </c>
      <c r="J200" s="7">
        <v>1</v>
      </c>
      <c r="K200" s="92" t="str">
        <f>IF(ISEVEN(B200),(B200-1)&amp;"/"&amp;B200,B200&amp;"/"&amp;(B200+1))</f>
        <v>4055/4056</v>
      </c>
      <c r="L200" s="21" t="str">
        <f>VLOOKUP(A200,'Trips&amp;Operators'!$C$1:$G$99999,5,FALSE)</f>
        <v>CHANDLER KELVIN</v>
      </c>
      <c r="M200" s="6">
        <f>I200-F200</f>
        <v>1.1111111110949423E-2</v>
      </c>
      <c r="N200" s="7">
        <f>24*60*SUM($M200:$M200)</f>
        <v>15.999999999767169</v>
      </c>
      <c r="O200" s="7"/>
      <c r="P200" s="7"/>
      <c r="Q200" s="22"/>
      <c r="R200" s="190"/>
      <c r="S200" s="196">
        <f>SUM(U200:U200)/IF(AG200="EC",12,1)</f>
        <v>1</v>
      </c>
      <c r="T200" s="190" t="str">
        <f>IF(ISEVEN(LEFT(AD200,4)),"Southbound","NorthBound")</f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-05-17T20:39:45-0600',mode:absolute,to:'2017-05-17T22:57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0" s="192" t="str">
        <f>IF(AA200&lt;IF(AG200="EC",23,5.65),"Y","N")</f>
        <v>N</v>
      </c>
      <c r="X200" s="192">
        <f>VALUE(LEFT(AD200,4))-VALUE(LEFT(AD199,4))</f>
        <v>1</v>
      </c>
      <c r="Y200" s="192">
        <f>RIGHT(D200,LEN(D200)-4)/10000</f>
        <v>5.8681000000000001</v>
      </c>
      <c r="Z200" s="192">
        <f>RIGHT(H200,LEN(H200)-4)/10000</f>
        <v>6.8400000000000002E-2</v>
      </c>
      <c r="AA200" s="192">
        <f>ABS(Z200-Y200)</f>
        <v>5.7997000000000005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0844-17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s3://rtdc.mdm.uploadarchive.raw/RTDC4055/ "%USERPROFILE%\AppData\Local\Temp\OnboardLogs"\RTDC4055\2017-05-17 --exclude "*" --recursive --include "*20170517*" &amp; "%USERPROFILE%\Documents\GitHub\mrs-test-scripts\Headless Mode &amp; Sideloading\WalkAndUnGZ.bat" "%USERPROFILE%\AppData\Local\Temp\OnboardLogs"\RTDC4055\2017-05-17 &amp; 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/stypes="app*4055*20170518*" /stext=" 03:.+((SYSTEM_STATE.+slice.+state.+changed )|(ment ac)|(multiple cpu faults)|(system.+state.+changed )|(\[timeout)|(PRM\|1\|D)|(kpr)|(kdp)|(train st.+moving)|(\|lc)|(penalty))"</v>
      </c>
      <c r="AG200" s="1" t="str">
        <f>IFERROR(IF(VALUE(LEFT(AD200,2))&lt;=2,"EC",IF(OR(VALUE(LEFT(AD200,2))=8,VALUE(LEFT(AD200,2))=18),"NW","Other")),"Other")</f>
        <v>NW</v>
      </c>
      <c r="AH200" s="81" t="str">
        <f t="shared" si="12"/>
        <v>"%USERPROFILE%\Documents\GitHub\eaglep3\Utilities\RefineRTDCRunTimes.py" --tripid 844-17 --locoid 4055 --swversion DE.1.0.9.0 --startMP 300:58681 --initTime 2017-05-17T21:39:45 --startdatetime 2017-05-17T21:41:27 --delay 1 --endMP 204:684 --enddatetime 2017-05-17T21:57:27 --enforcementcount 1 &gt;&gt;C:\Users\stu\Documents\GitHub\eaglep3-reporting\EC\2017-05-17-refined-times.txt</v>
      </c>
      <c r="AI200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{"issue":{"subject":"","project_id":79,"tracker_id":40,"status_id":1,"priority_id":2,"assigned_to_id":23,"start_date":"2017-05-17","description":"","custom_fields":[{"id":1,"name":"Subdivision","value":"NW"},{"id":4,"name":"Milepost","value":"0.0684"},{"id":17,"name":"Train ID","value":"844-17"},{"id":16,"name":"Locomotive ID","value":"4055"},{"id":130,"name":"Impact","value":""},{"id":150,"name":"Time of Event (Mountain Time)","value":"21:57:27"},{"id":151,"name":"Denver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14"/>
        <v>start /low /b %USERPROFILE%\Documents\GitHub\eaglep3\Utilities\DownloadLogsFromS3.py --loco 4055 --day 2017-05-17</v>
      </c>
      <c r="AN200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03:57:27"},{"id":29,"name":"Sharepoint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807</v>
      </c>
      <c r="B201" s="7">
        <v>4056</v>
      </c>
      <c r="C201" s="21" t="s">
        <v>206</v>
      </c>
      <c r="D201" s="21" t="s">
        <v>579</v>
      </c>
      <c r="E201" s="13">
        <v>42872.888553240744</v>
      </c>
      <c r="F201" s="13">
        <v>42872.890150462961</v>
      </c>
      <c r="G201" s="7">
        <v>1</v>
      </c>
      <c r="H201" s="21" t="s">
        <v>976</v>
      </c>
      <c r="I201" s="13">
        <v>42872.900787037041</v>
      </c>
      <c r="J201" s="7">
        <v>1</v>
      </c>
      <c r="K201" s="92" t="str">
        <f>IF(ISEVEN(B201),(B201-1)&amp;"/"&amp;B201,B201&amp;"/"&amp;(B201+1))</f>
        <v>4055/4056</v>
      </c>
      <c r="L201" s="21" t="str">
        <f>VLOOKUP(A201,'Trips&amp;Operators'!$C$1:$G$99999,5,FALSE)</f>
        <v>CHANDLER KELVIN</v>
      </c>
      <c r="M201" s="6">
        <f>I201-F201</f>
        <v>1.0636574079398997E-2</v>
      </c>
      <c r="N201" s="7">
        <f>24*60*SUM($M201:$M201)</f>
        <v>15.316666674334556</v>
      </c>
      <c r="O201" s="7"/>
      <c r="P201" s="7"/>
      <c r="Q201" s="22"/>
      <c r="R201" s="190"/>
      <c r="S201" s="196">
        <f>SUM(U201:U201)/IF(AG201="EC",12,1)</f>
        <v>1</v>
      </c>
      <c r="T201" s="190" t="str">
        <f>IF(ISEVEN(LEFT(AD201,4)),"Southbound","NorthBound")</f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-05-17T20:19:31-0600',mode:absolute,to:'2017-05-17T22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1" s="192" t="str">
        <f>IF(AA201&lt;IF(AG201="EC",23,5.65),"Y","N")</f>
        <v>N</v>
      </c>
      <c r="X201" s="192">
        <f>VALUE(LEFT(AD201,4))-VALUE(LEFT(AD200,4))</f>
        <v>1</v>
      </c>
      <c r="Y201" s="192">
        <f>RIGHT(D201,LEN(D201)-4)/10000</f>
        <v>9.8100000000000007E-2</v>
      </c>
      <c r="Z201" s="192">
        <f>RIGHT(H201,LEN(H201)-4)/10000</f>
        <v>5.9001000000000001</v>
      </c>
      <c r="AA201" s="192">
        <f>ABS(Z201-Y201)</f>
        <v>5.8020000000000005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0845-17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/stypes="app*4056*20170518*" /stext=" 03:.+((SYSTEM_STATE.+slice.+state.+changed )|(ment ac)|(multiple cpu faults)|(system.+state.+changed )|(\[timeout)|(PRM\|1\|D)|(kpr)|(kdp)|(train st.+moving)|(\|lc)|(penalty))"</v>
      </c>
      <c r="AG201" s="1" t="str">
        <f>IFERROR(IF(VALUE(LEFT(AD201,2))&lt;=2,"EC",IF(OR(VALUE(LEFT(AD201,2))=8,VALUE(LEFT(AD201,2))=18),"NW","Other")),"Other")</f>
        <v>NW</v>
      </c>
      <c r="AH201" s="81" t="str">
        <f t="shared" si="12"/>
        <v>"%USERPROFILE%\Documents\GitHub\eaglep3\Utilities\RefineRTDCRunTimes.py" --tripid 845-17 --locoid 4056 --swversion DE.1.0.9.0 --startMP 204:981 --initTime 2017-05-17T21:19:31 --startdatetime 2017-05-17T21:21:49 --delay 1 --endMP 300:59001 --enddatetime 2017-05-17T21:37:08 --enforcementcount 1 &gt;&gt;C:\Users\stu\Documents\GitHub\eaglep3-reporting\EC\2017-05-17-refined-times.txt</v>
      </c>
      <c r="AI201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{"issue":{"subject":"","project_id":79,"tracker_id":40,"status_id":1,"priority_id":2,"assigned_to_id":23,"start_date":"2017-05-17","description":"","custom_fields":[{"id":1,"name":"Subdivision","value":"NW"},{"id":4,"name":"Milepost","value":"5.9001"},{"id":17,"name":"Train ID","value":"845-17"},{"id":16,"name":"Locomotive ID","value":"4056"},{"id":130,"name":"Impact","value":""},{"id":150,"name":"Time of Event (Mountain Time)","value":"21:37:08"},{"id":151,"name":"Denver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14"/>
        <v>start /low /b %USERPROFILE%\Documents\GitHub\eaglep3\Utilities\DownloadLogsFromS3.py --loco 4056 --day 2017-05-17</v>
      </c>
      <c r="AN201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813</v>
      </c>
      <c r="B202" s="7">
        <v>4056</v>
      </c>
      <c r="C202" s="21" t="s">
        <v>206</v>
      </c>
      <c r="D202" s="21" t="s">
        <v>576</v>
      </c>
      <c r="E202" s="13">
        <v>42872.93</v>
      </c>
      <c r="F202" s="13">
        <v>42872.931504629632</v>
      </c>
      <c r="G202" s="7">
        <v>1</v>
      </c>
      <c r="H202" s="21" t="s">
        <v>976</v>
      </c>
      <c r="I202" s="13">
        <v>42872.941250000003</v>
      </c>
      <c r="J202" s="7">
        <v>1</v>
      </c>
      <c r="K202" s="92" t="str">
        <f>IF(ISEVEN(B202),(B202-1)&amp;"/"&amp;B202,B202&amp;"/"&amp;(B202+1))</f>
        <v>4055/4056</v>
      </c>
      <c r="L202" s="21" t="str">
        <f>VLOOKUP(A202,'Trips&amp;Operators'!$C$1:$G$99999,5,FALSE)</f>
        <v>CHANDLER KELVIN</v>
      </c>
      <c r="M202" s="6">
        <f>I202-F202</f>
        <v>9.7453703710925765E-3</v>
      </c>
      <c r="N202" s="7">
        <f>24*60*SUM($M202:$M202)</f>
        <v>14.03333333437331</v>
      </c>
      <c r="O202" s="7"/>
      <c r="P202" s="7"/>
      <c r="Q202" s="22"/>
      <c r="R202" s="190"/>
      <c r="S202" s="196">
        <f>SUM(U202:U202)/IF(AG202="EC",12,1)</f>
        <v>1</v>
      </c>
      <c r="T202" s="190" t="str">
        <f>IF(ISEVEN(LEFT(AD202,4)),"Southbound","NorthBound")</f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-05-17T21:19:12-0600',mode:absolute,to:'2017-05-17T23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2" s="192" t="str">
        <f>IF(AA202&lt;IF(AG202="EC",23,5.65),"Y","N")</f>
        <v>N</v>
      </c>
      <c r="X202" s="192">
        <f>VALUE(LEFT(AD202,4))-VALUE(LEFT(AD201,4))</f>
        <v>2</v>
      </c>
      <c r="Y202" s="192">
        <f>RIGHT(D202,LEN(D202)-4)/10000</f>
        <v>9.4600000000000004E-2</v>
      </c>
      <c r="Z202" s="192">
        <f>RIGHT(H202,LEN(H202)-4)/10000</f>
        <v>5.9001000000000001</v>
      </c>
      <c r="AA202" s="192">
        <f>ABS(Z202-Y202)</f>
        <v>5.8055000000000003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0847-17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/stypes="app*4056*20170518*" /stext=" 04:.+((SYSTEM_STATE.+slice.+state.+changed )|(ment ac)|(multiple cpu faults)|(system.+state.+changed )|(\[timeout)|(PRM\|1\|D)|(kpr)|(kdp)|(train st.+moving)|(\|lc)|(penalty))"</v>
      </c>
      <c r="AG202" s="1" t="str">
        <f>IFERROR(IF(VALUE(LEFT(AD202,2))&lt;=2,"EC",IF(OR(VALUE(LEFT(AD202,2))=8,VALUE(LEFT(AD202,2))=18),"NW","Other")),"Other")</f>
        <v>NW</v>
      </c>
      <c r="AH202" s="81" t="str">
        <f t="shared" si="12"/>
        <v>"%USERPROFILE%\Documents\GitHub\eaglep3\Utilities\RefineRTDCRunTimes.py" --tripid 847-17 --locoid 4056 --swversion DE.1.0.9.0 --startMP 204:946 --initTime 2017-05-17T22:19:12 --startdatetime 2017-05-17T22:21:22 --delay 1 --endMP 300:59001 --enddatetime 2017-05-17T22:35:24 --enforcementcount 1 &gt;&gt;C:\Users\stu\Documents\GitHub\eaglep3-reporting\EC\2017-05-17-refined-times.txt</v>
      </c>
      <c r="AI202" s="99" t="str">
        <f t="shared" si="13"/>
        <v>echo {"issue":{"subject":"","project_id":79,"tracker_id":40,"status_id":1,"priority_id":2,"assigned_to_id":23,"start_date":"2017-05-17","description":"","custom_fields":[{"id":1,"name":"Subdivision","value":"NW"},{"id":4,"name":"Milepost","value":"5.9001"},{"id":17,"name":"Train ID","value":"847-17"},{"id":16,"name":"Locomotive ID","value":"4056"},{"id":130,"name":"Impact","value":""},{"id":150,"name":"Time of Event (Mountain Time)","value":"22:35:24"},{"id":151,"name":"Denver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14"/>
        <v>start /low /b %USERPROFILE%\Documents\GitHub\eaglep3\Utilities\DownloadLogsFromS3.py --loco 4056 --day 2017-05-17</v>
      </c>
      <c r="AN202" s="154" t="str">
        <f t="shared" si="15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04:35:24"},{"id":29,"name":"Sharepoint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615</v>
      </c>
      <c r="B203" s="7">
        <v>4029</v>
      </c>
      <c r="C203" s="21" t="s">
        <v>206</v>
      </c>
      <c r="D203" s="21" t="s">
        <v>903</v>
      </c>
      <c r="E203" s="13">
        <v>42872.117256944446</v>
      </c>
      <c r="F203" s="13">
        <v>42872.120682870373</v>
      </c>
      <c r="G203" s="7">
        <v>4</v>
      </c>
      <c r="H203" s="21" t="s">
        <v>379</v>
      </c>
      <c r="I203" s="13">
        <v>42872.126944444448</v>
      </c>
      <c r="J203" s="7">
        <v>1</v>
      </c>
      <c r="K203" s="92" t="str">
        <f>IF(ISEVEN(B203),(B203-1)&amp;"/"&amp;B203,B203&amp;"/"&amp;(B203+1))</f>
        <v>4029/4030</v>
      </c>
      <c r="L203" s="21" t="str">
        <f>VLOOKUP(A203,'Trips&amp;Operators'!$C$1:$G$99999,5,FALSE)</f>
        <v>BADERTSCHER DIANE</v>
      </c>
      <c r="M203" s="6">
        <f>I203-F203</f>
        <v>6.2615740753244609E-3</v>
      </c>
      <c r="N203" s="7">
        <f>24*60*SUM($M203:$M203)</f>
        <v>9.0166666684672236</v>
      </c>
      <c r="O203" s="7"/>
      <c r="P203" s="7"/>
      <c r="Q203" s="22"/>
      <c r="R203" s="190"/>
      <c r="S203" s="196">
        <f>SUM(U203:U203)/IF(AG203="EC",12,1)</f>
        <v>1</v>
      </c>
      <c r="T203" s="190" t="str">
        <f>IF(ISEVEN(LEFT(AD203,4)),"Southbound","NorthBound")</f>
        <v>Southbound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-05-17T01:48:51-0600',mode:absolute,to:'2017-05-17T04:02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192" t="str">
        <f>IF(AA203&lt;IF(AG203="EC",23,5.65),"Y","N")</f>
        <v>Y</v>
      </c>
      <c r="X203" s="192">
        <f>VALUE(LEFT(AD203,4))-VALUE(LEFT(AD202,4))</f>
        <v>-545</v>
      </c>
      <c r="Y203" s="192">
        <f>RIGHT(D203,LEN(D203)-4)/10000</f>
        <v>2.3071999999999999</v>
      </c>
      <c r="Z203" s="192">
        <f>RIGHT(H203,LEN(H203)-4)/10000</f>
        <v>1.3599999999999999E-2</v>
      </c>
      <c r="AA203" s="192">
        <f>ABS(Z203-Y203)</f>
        <v>2.2936000000000001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0302-17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/stypes="app*4029*20170517*" /stext=" 09:.+((SYSTEM_STATE.+slice.+state.+changed )|(ment ac)|(multiple cpu faults)|(system.+state.+changed )|(\[timeout)|(PRM\|1\|D)|(kpr)|(kdp)|(train st.+moving)|(\|lc)|(penalty))"</v>
      </c>
      <c r="AG203" s="1" t="str">
        <f>IFERROR(IF(VALUE(LEFT(AD203,2))&lt;=2,"EC",IF(OR(VALUE(LEFT(AD203,2))=8,VALUE(LEFT(AD203,2))=18),"NW","Other")),"Other")</f>
        <v>Other</v>
      </c>
      <c r="AH203" s="81" t="str">
        <f t="shared" si="12"/>
        <v>"%USERPROFILE%\Documents\GitHub\eaglep3\Utilities\RefineRTDCRunTimes.py" --tripid 302-17 --locoid 4029 --swversion DE.1.0.9.0 --startMP 300:23072 --initTime 2017-05-17T02:48:51 --startdatetime 2017-05-17T02:53:47 --delay 4 --endMP 204:136 --enddatetime 2017-05-17T03:02:48 --enforcementcount 1 &gt;&gt;C:\Users\stu\Documents\GitHub\eaglep3-reporting\EC\2017-05-17-refined-times.txt</v>
      </c>
      <c r="AI203" s="99" t="str">
        <f t="shared" si="13"/>
        <v>echo {"issue":{"subject":"","project_id":79,"tracker_id":40,"status_id":1,"priority_id":2,"assigned_to_id":23,"start_date":"2017-05-17","description":"","custom_fields":[{"id":1,"name":"Subdivision","value":"Other"},{"id":4,"name":"Milepost","value":"0.0136"},{"id":17,"name":"Train ID","value":"302-17"},{"id":16,"name":"Locomotive ID","value":"4029"},{"id":130,"name":"Impact","value":""},{"id":150,"name":"Time of Event (Mountain Time)","value":"03:02:48"},{"id":151,"name":"Denver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14"/>
        <v>start /low /b %USERPROFILE%\Documents\GitHub\eaglep3\Utilities\DownloadLogsFromS3.py --loco 4029 --day 2017-05-17</v>
      </c>
      <c r="AN203" s="154" t="str">
        <f t="shared" si="15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09:02:48"},{"id":29,"name":"Sharepoint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783</v>
      </c>
      <c r="B204" s="7">
        <v>4046</v>
      </c>
      <c r="C204" s="21" t="s">
        <v>206</v>
      </c>
      <c r="D204" s="21" t="s">
        <v>902</v>
      </c>
      <c r="E204" s="13">
        <v>42872.777731481481</v>
      </c>
      <c r="F204" s="13">
        <v>42872.779178240744</v>
      </c>
      <c r="G204" s="7">
        <v>1</v>
      </c>
      <c r="H204" s="21" t="s">
        <v>486</v>
      </c>
      <c r="I204" s="13">
        <v>42872.78597222222</v>
      </c>
      <c r="J204" s="7">
        <v>1</v>
      </c>
      <c r="K204" s="92" t="str">
        <f>IF(ISEVEN(B204),(B204-1)&amp;"/"&amp;B204,B204&amp;"/"&amp;(B204+1))</f>
        <v>4045/4046</v>
      </c>
      <c r="L204" s="21" t="str">
        <f>VLOOKUP(A204,'Trips&amp;Operators'!$C$1:$G$99999,5,FALSE)</f>
        <v>HELVIE ADAM</v>
      </c>
      <c r="M204" s="6">
        <f>I204-F204</f>
        <v>6.7939814762212336E-3</v>
      </c>
      <c r="N204" s="7">
        <f>24*60*SUM($M204:$M204)</f>
        <v>9.7833333257585764</v>
      </c>
      <c r="O204" s="7"/>
      <c r="P204" s="7"/>
      <c r="Q204" s="22"/>
      <c r="R204" s="190"/>
      <c r="S204" s="196">
        <f>SUM(U204:U204)/IF(AG204="EC",12,1)</f>
        <v>1</v>
      </c>
      <c r="T204" s="190" t="str">
        <f>IF(ISEVEN(LEFT(AD204,4)),"Southbound","NorthBound")</f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-05-17T17:39:56-0600',mode:absolute,to:'2017-05-17T19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4" s="192" t="str">
        <f>IF(AA204&lt;IF(AG204="EC",23,5.65),"Y","N")</f>
        <v>Y</v>
      </c>
      <c r="X204" s="192">
        <f>VALUE(LEFT(AD204,4))-VALUE(LEFT(AD203,4))</f>
        <v>1</v>
      </c>
      <c r="Y204" s="192">
        <f>RIGHT(D204,LEN(D204)-4)/10000</f>
        <v>4.8800000000000003E-2</v>
      </c>
      <c r="Z204" s="192">
        <f>RIGHT(H204,LEN(H204)-4)/10000</f>
        <v>2.331</v>
      </c>
      <c r="AA204" s="192">
        <f>ABS(Z204-Y204)</f>
        <v>2.2822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0303-17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s3://rtdc.mdm.uploadarchive.raw/RTDC4046/ "%USERPROFILE%\AppData\Local\Temp\OnboardLogs"\RTDC4046\2017-05-17 --exclude "*" --recursive --include "*20170517*" &amp; "%USERPROFILE%\Documents\GitHub\mrs-test-scripts\Headless Mode &amp; Sideloading\WalkAndUnGZ.bat" "%USERPROFILE%\AppData\Local\Temp\OnboardLogs"\RTDC4046\2017-05-17 &amp; aws s3 cp s3://rtdc.mdm.uploadarchive.raw/RTDC4046/ "%USERPROFILE%\AppData\Local\Temp\OnboardLogs"\RTDC4046\2017-05-18 --exclude "*" --recursive --include "*20170518*" &amp; "%USERPROFILE%\Documents\GitHub\mrs-test-scripts\Headless Mode &amp; Sideloading\WalkAndUnGZ.bat" "%USERPROFILE%\AppData\Local\Temp\OnboardLogs"\RTDC4046\2017-05-18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/stypes="app*4046*20170518*" /stext=" 00:.+((SYSTEM_STATE.+slice.+state.+changed )|(ment ac)|(multiple cpu faults)|(system.+state.+changed )|(\[timeout)|(PRM\|1\|D)|(kpr)|(kdp)|(train st.+moving)|(\|lc)|(penalty))"</v>
      </c>
      <c r="AG204" s="1" t="str">
        <f>IFERROR(IF(VALUE(LEFT(AD204,2))&lt;=2,"EC",IF(OR(VALUE(LEFT(AD204,2))=8,VALUE(LEFT(AD204,2))=18),"NW","Other")),"Other")</f>
        <v>Other</v>
      </c>
      <c r="AH204" s="81" t="str">
        <f t="shared" ref="AH204:AH247" si="17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303-17 --locoid 4046 --swversion DE.1.0.9.0 --startMP 204:488 --initTime 2017-05-17T18:39:56 --startdatetime 2017-05-17T18:42:01 --delay 1 --endMP 300:23310 --enddatetime 2017-05-17T18:51:48 --enforcementcount 1 &gt;&gt;C:\Users\stu\Documents\GitHub\eaglep3-reporting\EC\2017-05-17-refined-times.txt</v>
      </c>
      <c r="AI204" s="99" t="str">
        <f t="shared" ref="AI204:AI247" si="18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{"issue":{"subject":"","project_id":79,"tracker_id":40,"status_id":1,"priority_id":2,"assigned_to_id":23,"start_date":"2017-05-17","description":"","custom_fields":[{"id":1,"name":"Subdivision","value":"Other"},{"id":4,"name":"Milepost","value":"2.331"},{"id":17,"name":"Train ID","value":"303-17"},{"id":16,"name":"Locomotive ID","value":"4046"},{"id":130,"name":"Impact","value":""},{"id":150,"name":"Time of Event (Mountain Time)","value":"18:51:48"},{"id":151,"name":"Denver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ref="AM204:AM247" si="19">"start /low /b "&amp;dls3logs&amp;" --loco "&amp;B204&amp;" --day "&amp;TEXT(F204,"YYYY-MM-DD")</f>
        <v>start /low /b %USERPROFILE%\Documents\GitHub\eaglep3\Utilities\DownloadLogsFromS3.py --loco 4046 --day 2017-05-17</v>
      </c>
      <c r="AN204" s="154" t="str">
        <f t="shared" ref="AN204:AN247" si="20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618</v>
      </c>
      <c r="B205" s="7">
        <v>4011</v>
      </c>
      <c r="C205" s="21" t="s">
        <v>206</v>
      </c>
      <c r="D205" s="21" t="s">
        <v>904</v>
      </c>
      <c r="E205" s="13">
        <v>42872.139594907407</v>
      </c>
      <c r="F205" s="13">
        <v>42872.144270833334</v>
      </c>
      <c r="G205" s="7">
        <v>6</v>
      </c>
      <c r="H205" s="21" t="s">
        <v>369</v>
      </c>
      <c r="I205" s="13">
        <v>42872.149884259263</v>
      </c>
      <c r="J205" s="7">
        <v>1</v>
      </c>
      <c r="K205" s="92" t="str">
        <f>IF(ISEVEN(B205),(B205-1)&amp;"/"&amp;B205,B205&amp;"/"&amp;(B205+1))</f>
        <v>4011/4012</v>
      </c>
      <c r="L205" s="21" t="str">
        <f>VLOOKUP(A205,'Trips&amp;Operators'!$C$1:$G$99999,5,FALSE)</f>
        <v>MAELZER KURT</v>
      </c>
      <c r="M205" s="6">
        <f>I205-F205</f>
        <v>5.6134259284590371E-3</v>
      </c>
      <c r="N205" s="7">
        <f>24*60*SUM($M205:$M205)</f>
        <v>8.0833333369810134</v>
      </c>
      <c r="O205" s="7"/>
      <c r="P205" s="7"/>
      <c r="Q205" s="22"/>
      <c r="R205" s="190"/>
      <c r="S205" s="196">
        <f>SUM(U205:U205)/IF(AG205="EC",12,1)</f>
        <v>1</v>
      </c>
      <c r="T205" s="190" t="str">
        <f>IF(ISEVEN(LEFT(AD205,4)),"Southbound","NorthBound")</f>
        <v>Southbound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-17T02:21:01-0600',mode:absolute,to:'2017-05-17T04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5" s="192" t="str">
        <f>IF(AA205&lt;IF(AG205="EC",23,5.65),"Y","N")</f>
        <v>Y</v>
      </c>
      <c r="X205" s="192">
        <f>VALUE(LEFT(AD205,4))-VALUE(LEFT(AD204,4))</f>
        <v>1</v>
      </c>
      <c r="Y205" s="192">
        <f>RIGHT(D205,LEN(D205)-4)/10000</f>
        <v>2.3052000000000001</v>
      </c>
      <c r="Z205" s="192">
        <f>RIGHT(H205,LEN(H205)-4)/10000</f>
        <v>1.41E-2</v>
      </c>
      <c r="AA205" s="192">
        <f>ABS(Z205-Y205)</f>
        <v>2.2911000000000001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0304-17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s3://rtdc.mdm.uploadarchive.raw/RTDC4011/ "%USERPROFILE%\AppData\Local\Temp\OnboardLogs"\RTDC4011\2017-05-17 --exclude "*" --recursive --include "*20170517*" &amp; "%USERPROFILE%\Documents\GitHub\mrs-test-scripts\Headless Mode &amp; Sideloading\WalkAndUnGZ.bat" "%USERPROFILE%\AppData\Local\Temp\OnboardLogs"\RTDC4011\2017-05-17 &amp; aws s3 cp s3://rtdc.mdm.uploadarchive.raw/RTDC4011/ "%USERPROFILE%\AppData\Local\Temp\OnboardLogs"\RTDC4011\2017-05-18 --exclude "*" --recursive --include "*20170518*" &amp; "%USERPROFILE%\Documents\GitHub\mrs-test-scripts\Headless Mode &amp; Sideloading\WalkAndUnGZ.bat" "%USERPROFILE%\AppData\Local\Temp\OnboardLogs"\RTDC4011\2017-05-18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/stypes="app*4011*20170517*" /stext=" 09:.+((SYSTEM_STATE.+slice.+state.+changed )|(ment ac)|(multiple cpu faults)|(system.+state.+changed )|(\[timeout)|(PRM\|1\|D)|(kpr)|(kdp)|(train st.+moving)|(\|lc)|(penalty))"</v>
      </c>
      <c r="AG205" s="1" t="str">
        <f>IFERROR(IF(VALUE(LEFT(AD205,2))&lt;=2,"EC",IF(OR(VALUE(LEFT(AD205,2))=8,VALUE(LEFT(AD205,2))=18),"NW","Other")),"Other")</f>
        <v>Other</v>
      </c>
      <c r="AH205" s="81" t="str">
        <f t="shared" si="17"/>
        <v>"%USERPROFILE%\Documents\GitHub\eaglep3\Utilities\RefineRTDCRunTimes.py" --tripid 304-17 --locoid 4011 --swversion DE.1.0.9.0 --startMP 300:23052 --initTime 2017-05-17T03:21:01 --startdatetime 2017-05-17T03:27:45 --delay 6 --endMP 204:141 --enddatetime 2017-05-17T03:35:50 --enforcementcount 1 &gt;&gt;C:\Users\stu\Documents\GitHub\eaglep3-reporting\EC\2017-05-17-refined-times.txt</v>
      </c>
      <c r="AI205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{"issue":{"subject":"","project_id":79,"tracker_id":40,"status_id":1,"priority_id":2,"assigned_to_id":23,"start_date":"2017-05-17","description":"","custom_fields":[{"id":1,"name":"Subdivision","value":"Other"},{"id":4,"name":"Milepost","value":"0.0141"},{"id":17,"name":"Train ID","value":"304-17"},{"id":16,"name":"Locomotive ID","value":"4011"},{"id":130,"name":"Impact","value":""},{"id":150,"name":"Time of Event (Mountain Time)","value":"03:35:50"},{"id":151,"name":"Denver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19"/>
        <v>start /low /b %USERPROFILE%\Documents\GitHub\eaglep3\Utilities\DownloadLogsFromS3.py --loco 4011 --day 2017-05-17</v>
      </c>
      <c r="AN205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09:35:50"},{"id":29,"name":"Sharepoint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789</v>
      </c>
      <c r="B206" s="7">
        <v>4030</v>
      </c>
      <c r="C206" s="21" t="s">
        <v>206</v>
      </c>
      <c r="D206" s="21" t="s">
        <v>413</v>
      </c>
      <c r="E206" s="13">
        <v>42872.803124999999</v>
      </c>
      <c r="F206" s="13">
        <v>42872.815370370372</v>
      </c>
      <c r="G206" s="7">
        <v>1</v>
      </c>
      <c r="H206" s="21" t="s">
        <v>905</v>
      </c>
      <c r="I206" s="13">
        <v>42872.823935185188</v>
      </c>
      <c r="J206" s="7">
        <v>1</v>
      </c>
      <c r="K206" s="92" t="str">
        <f>IF(ISEVEN(B206),(B206-1)&amp;"/"&amp;B206,B206&amp;"/"&amp;(B206+1))</f>
        <v>4029/4030</v>
      </c>
      <c r="L206" s="21" t="str">
        <f>VLOOKUP(A206,'Trips&amp;Operators'!$C$1:$G$99999,5,FALSE)</f>
        <v>LAMAR NEKESHA</v>
      </c>
      <c r="M206" s="6">
        <f>I206-F206</f>
        <v>8.5648148160544224E-3</v>
      </c>
      <c r="N206" s="7">
        <f>24*60*SUM($M206:$M206)</f>
        <v>12.333333335118368</v>
      </c>
      <c r="O206" s="7"/>
      <c r="P206" s="7"/>
      <c r="Q206" s="22"/>
      <c r="R206" s="190"/>
      <c r="S206" s="196">
        <f>SUM(U206:U206)/IF(AG206="EC",12,1)</f>
        <v>1</v>
      </c>
      <c r="T206" s="190" t="str">
        <f>IF(ISEVEN(LEFT(AD206,4)),"Southbound","NorthBound")</f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-05-17T18:16:30-0600',mode:absolute,to:'2017-05-17T20:46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192" t="str">
        <f>IF(AA206&lt;IF(AG206="EC",23,5.65),"Y","N")</f>
        <v>Y</v>
      </c>
      <c r="X206" s="192">
        <f>VALUE(LEFT(AD206,4))-VALUE(LEFT(AD205,4))</f>
        <v>1</v>
      </c>
      <c r="Y206" s="192">
        <f>RIGHT(D206,LEN(D206)-4)/10000</f>
        <v>4.7699999999999999E-2</v>
      </c>
      <c r="Z206" s="192">
        <f>RIGHT(H206,LEN(H206)-4)/10000</f>
        <v>2.3292999999999999</v>
      </c>
      <c r="AA206" s="192">
        <f>ABS(Z206-Y206)</f>
        <v>2.2816000000000001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0305-17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s3://rtdc.mdm.uploadarchive.raw/RTDC4030/ "%USERPROFILE%\AppData\Local\Temp\OnboardLogs"\RTDC4030\2017-05-17 --exclude "*" --recursive --include "*20170517*" &amp; "%USERPROFILE%\Documents\GitHub\mrs-test-scripts\Headless Mode &amp; Sideloading\WalkAndUnGZ.bat" "%USERPROFILE%\AppData\Local\Temp\OnboardLogs"\RTDC4030\2017-05-17 &amp; 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/stypes="app*4030*20170518*" /stext=" 01:.+((SYSTEM_STATE.+slice.+state.+changed )|(ment ac)|(multiple cpu faults)|(system.+state.+changed )|(\[timeout)|(PRM\|1\|D)|(kpr)|(kdp)|(train st.+moving)|(\|lc)|(penalty))"</v>
      </c>
      <c r="AG206" s="1" t="str">
        <f>IFERROR(IF(VALUE(LEFT(AD206,2))&lt;=2,"EC",IF(OR(VALUE(LEFT(AD206,2))=8,VALUE(LEFT(AD206,2))=18),"NW","Other")),"Other")</f>
        <v>Other</v>
      </c>
      <c r="AH206" s="81" t="str">
        <f t="shared" si="17"/>
        <v>"%USERPROFILE%\Documents\GitHub\eaglep3\Utilities\RefineRTDCRunTimes.py" --tripid 305-17 --locoid 4030 --swversion DE.1.0.9.0 --startMP 204:477 --initTime 2017-05-17T19:16:30 --startdatetime 2017-05-17T19:34:08 --delay 1 --endMP 300:23293 --enddatetime 2017-05-17T19:46:28 --enforcementcount 1 &gt;&gt;C:\Users\stu\Documents\GitHub\eaglep3-reporting\EC\2017-05-17-refined-times.txt</v>
      </c>
      <c r="AI206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{"issue":{"subject":"","project_id":79,"tracker_id":40,"status_id":1,"priority_id":2,"assigned_to_id":23,"start_date":"2017-05-17","description":"","custom_fields":[{"id":1,"name":"Subdivision","value":"Other"},{"id":4,"name":"Milepost","value":"2.3293"},{"id":17,"name":"Train ID","value":"305-17"},{"id":16,"name":"Locomotive ID","value":"4030"},{"id":130,"name":"Impact","value":""},{"id":150,"name":"Time of Event (Mountain Time)","value":"19:46:28"},{"id":151,"name":"Denver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19"/>
        <v>start /low /b %USERPROFILE%\Documents\GitHub\eaglep3\Utilities\DownloadLogsFromS3.py --loco 4030 --day 2017-05-17</v>
      </c>
      <c r="AN206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01:46:28"},{"id":29,"name":"Sharepoint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621</v>
      </c>
      <c r="B207" s="7">
        <v>4031</v>
      </c>
      <c r="C207" s="21" t="s">
        <v>206</v>
      </c>
      <c r="D207" s="21" t="s">
        <v>906</v>
      </c>
      <c r="E207" s="13">
        <v>42872.159953703704</v>
      </c>
      <c r="F207" s="13">
        <v>42872.163784722223</v>
      </c>
      <c r="G207" s="7">
        <v>5</v>
      </c>
      <c r="H207" s="21" t="s">
        <v>457</v>
      </c>
      <c r="I207" s="13">
        <v>42872.16883101852</v>
      </c>
      <c r="J207" s="7">
        <v>1</v>
      </c>
      <c r="K207" s="92" t="str">
        <f>IF(ISEVEN(B207),(B207-1)&amp;"/"&amp;B207,B207&amp;"/"&amp;(B207+1))</f>
        <v>4031/4032</v>
      </c>
      <c r="L207" s="21" t="str">
        <f>VLOOKUP(A207,'Trips&amp;Operators'!$C$1:$G$99999,5,FALSE)</f>
        <v>GEBRETEKLE DAGNEW</v>
      </c>
      <c r="M207" s="6">
        <f>I207-F207</f>
        <v>5.0462962972233072E-3</v>
      </c>
      <c r="N207" s="7">
        <f>24*60*SUM($M207:$M207)</f>
        <v>7.2666666680015624</v>
      </c>
      <c r="O207" s="7"/>
      <c r="P207" s="7"/>
      <c r="Q207" s="22"/>
      <c r="R207" s="190"/>
      <c r="S207" s="196">
        <f>SUM(U207:U207)/IF(AG207="EC",12,1)</f>
        <v>1</v>
      </c>
      <c r="T207" s="190" t="str">
        <f>IF(ISEVEN(LEFT(AD207,4)),"Southbound","NorthBound")</f>
        <v>Southbound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-05-17T02:50:20-0600',mode:absolute,to:'2017-05-17T05:03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7" s="192" t="str">
        <f>IF(AA207&lt;IF(AG207="EC",23,5.65),"Y","N")</f>
        <v>Y</v>
      </c>
      <c r="X207" s="192">
        <f>VALUE(LEFT(AD207,4))-VALUE(LEFT(AD206,4))</f>
        <v>1</v>
      </c>
      <c r="Y207" s="192">
        <f>RIGHT(D207,LEN(D207)-4)/10000</f>
        <v>2.3626999999999998</v>
      </c>
      <c r="Z207" s="192">
        <f>RIGHT(H207,LEN(H207)-4)/10000</f>
        <v>1.32E-2</v>
      </c>
      <c r="AA207" s="192">
        <f>ABS(Z207-Y207)</f>
        <v>2.3494999999999999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0306-17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s3://rtdc.mdm.uploadarchive.raw/RTDC4031/ "%USERPROFILE%\AppData\Local\Temp\OnboardLogs"\RTDC4031\2017-05-17 --exclude "*" --recursive --include "*20170517*" &amp; "%USERPROFILE%\Documents\GitHub\mrs-test-scripts\Headless Mode &amp; Sideloading\WalkAndUnGZ.bat" "%USERPROFILE%\AppData\Local\Temp\OnboardLogs"\RTDC4031\2017-05-17 &amp; aws s3 cp s3://rtdc.mdm.uploadarchive.raw/RTDC4031/ "%USERPROFILE%\AppData\Local\Temp\OnboardLogs"\RTDC4031\2017-05-18 --exclude "*" --recursive --include "*20170518*" &amp; "%USERPROFILE%\Documents\GitHub\mrs-test-scripts\Headless Mode &amp; Sideloading\WalkAndUnGZ.bat" "%USERPROFILE%\AppData\Local\Temp\OnboardLogs"\RTDC4031\2017-05-18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/stypes="app*4031*20170517*" /stext=" 10:.+((SYSTEM_STATE.+slice.+state.+changed )|(ment ac)|(multiple cpu faults)|(system.+state.+changed )|(\[timeout)|(PRM\|1\|D)|(kpr)|(kdp)|(train st.+moving)|(\|lc)|(penalty))"</v>
      </c>
      <c r="AG207" s="1" t="str">
        <f>IFERROR(IF(VALUE(LEFT(AD207,2))&lt;=2,"EC",IF(OR(VALUE(LEFT(AD207,2))=8,VALUE(LEFT(AD207,2))=18),"NW","Other")),"Other")</f>
        <v>Other</v>
      </c>
      <c r="AH207" s="81" t="str">
        <f t="shared" si="17"/>
        <v>"%USERPROFILE%\Documents\GitHub\eaglep3\Utilities\RefineRTDCRunTimes.py" --tripid 306-17 --locoid 4031 --swversion DE.1.0.9.0 --startMP 300:23627 --initTime 2017-05-17T03:50:20 --startdatetime 2017-05-17T03:55:51 --delay 5 --endMP 204:132 --enddatetime 2017-05-17T04:03:07 --enforcementcount 1 &gt;&gt;C:\Users\stu\Documents\GitHub\eaglep3-reporting\EC\2017-05-17-refined-times.txt</v>
      </c>
      <c r="AI207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{"issue":{"subject":"","project_id":79,"tracker_id":40,"status_id":1,"priority_id":2,"assigned_to_id":23,"start_date":"2017-05-17","description":"","custom_fields":[{"id":1,"name":"Subdivision","value":"Other"},{"id":4,"name":"Milepost","value":"0.0132"},{"id":17,"name":"Train ID","value":"306-17"},{"id":16,"name":"Locomotive ID","value":"4031"},{"id":130,"name":"Impact","value":""},{"id":150,"name":"Time of Event (Mountain Time)","value":"04:03:07"},{"id":151,"name":"Denver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9"/>
        <v>start /low /b %USERPROFILE%\Documents\GitHub\eaglep3\Utilities\DownloadLogsFromS3.py --loco 4031 --day 2017-05-17</v>
      </c>
      <c r="AN207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10:03:07"},{"id":29,"name":"Sharepoint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796</v>
      </c>
      <c r="B208" s="7">
        <v>4012</v>
      </c>
      <c r="C208" s="21" t="s">
        <v>206</v>
      </c>
      <c r="D208" s="21" t="s">
        <v>907</v>
      </c>
      <c r="E208" s="13">
        <v>42872.822638888887</v>
      </c>
      <c r="F208" s="13">
        <v>42872.824074074073</v>
      </c>
      <c r="G208" s="7">
        <v>1</v>
      </c>
      <c r="H208" s="21" t="s">
        <v>908</v>
      </c>
      <c r="I208" s="13">
        <v>42872.833518518521</v>
      </c>
      <c r="J208" s="7">
        <v>1</v>
      </c>
      <c r="K208" s="92" t="str">
        <f>IF(ISEVEN(B208),(B208-1)&amp;"/"&amp;B208,B208&amp;"/"&amp;(B208+1))</f>
        <v>4011/4012</v>
      </c>
      <c r="L208" s="21" t="str">
        <f>VLOOKUP(A208,'Trips&amp;Operators'!$C$1:$G$99999,5,FALSE)</f>
        <v>ZEWDU DEREJE</v>
      </c>
      <c r="M208" s="6">
        <f>I208-F208</f>
        <v>9.4444444475811906E-3</v>
      </c>
      <c r="N208" s="7">
        <f>24*60*SUM($M208:$M208)</f>
        <v>13.600000004516914</v>
      </c>
      <c r="O208" s="7"/>
      <c r="P208" s="7"/>
      <c r="Q208" s="22"/>
      <c r="R208" s="190"/>
      <c r="S208" s="196">
        <f>SUM(U208:U208)/IF(AG208="EC",12,1)</f>
        <v>1</v>
      </c>
      <c r="T208" s="190" t="str">
        <f>IF(ISEVEN(LEFT(AD208,4)),"Southbound","NorthBound")</f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-05-17T18:44:36-0600',mode:absolute,to:'2017-05-17T21:00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8" s="192" t="str">
        <f>IF(AA208&lt;IF(AG208="EC",23,5.65),"Y","N")</f>
        <v>Y</v>
      </c>
      <c r="X208" s="192">
        <f>VALUE(LEFT(AD208,4))-VALUE(LEFT(AD207,4))</f>
        <v>1</v>
      </c>
      <c r="Y208" s="192">
        <f>RIGHT(D208,LEN(D208)-4)/10000</f>
        <v>4.7500000000000001E-2</v>
      </c>
      <c r="Z208" s="192">
        <f>RIGHT(H208,LEN(H208)-4)/10000</f>
        <v>2.3306</v>
      </c>
      <c r="AA208" s="192">
        <f>ABS(Z208-Y208)</f>
        <v>2.2831000000000001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0307-17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s3://rtdc.mdm.uploadarchive.raw/RTDC4012/ "%USERPROFILE%\AppData\Local\Temp\OnboardLogs"\RTDC4012\2017-05-17 --exclude "*" --recursive --include "*20170517*" &amp; "%USERPROFILE%\Documents\GitHub\mrs-test-scripts\Headless Mode &amp; Sideloading\WalkAndUnGZ.bat" "%USERPROFILE%\AppData\Local\Temp\OnboardLogs"\RTDC4012\2017-05-17 &amp; aws s3 cp s3://rtdc.mdm.uploadarchive.raw/RTDC4012/ "%USERPROFILE%\AppData\Local\Temp\OnboardLogs"\RTDC4012\2017-05-18 --exclude "*" --recursive --include "*20170518*" &amp; "%USERPROFILE%\Documents\GitHub\mrs-test-scripts\Headless Mode &amp; Sideloading\WalkAndUnGZ.bat" "%USERPROFILE%\AppData\Local\Temp\OnboardLogs"\RTDC4012\2017-05-18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/stypes="app*4012*20170518*" /stext=" 02:.+((SYSTEM_STATE.+slice.+state.+changed )|(ment ac)|(multiple cpu faults)|(system.+state.+changed )|(\[timeout)|(PRM\|1\|D)|(kpr)|(kdp)|(train st.+moving)|(\|lc)|(penalty))"</v>
      </c>
      <c r="AG208" s="1" t="str">
        <f>IFERROR(IF(VALUE(LEFT(AD208,2))&lt;=2,"EC",IF(OR(VALUE(LEFT(AD208,2))=8,VALUE(LEFT(AD208,2))=18),"NW","Other")),"Other")</f>
        <v>Other</v>
      </c>
      <c r="AH208" s="81" t="str">
        <f t="shared" si="17"/>
        <v>"%USERPROFILE%\Documents\GitHub\eaglep3\Utilities\RefineRTDCRunTimes.py" --tripid 307-17 --locoid 4012 --swversion DE.1.0.9.0 --startMP 204:475 --initTime 2017-05-17T19:44:36 --startdatetime 2017-05-17T19:46:40 --delay 1 --endMP 300:23306 --enddatetime 2017-05-17T20:00:16 --enforcementcount 1 &gt;&gt;C:\Users\stu\Documents\GitHub\eaglep3-reporting\EC\2017-05-17-refined-times.txt</v>
      </c>
      <c r="AI208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{"issue":{"subject":"","project_id":79,"tracker_id":40,"status_id":1,"priority_id":2,"assigned_to_id":23,"start_date":"2017-05-17","description":"","custom_fields":[{"id":1,"name":"Subdivision","value":"Other"},{"id":4,"name":"Milepost","value":"2.3306"},{"id":17,"name":"Train ID","value":"307-17"},{"id":16,"name":"Locomotive ID","value":"4012"},{"id":130,"name":"Impact","value":""},{"id":150,"name":"Time of Event (Mountain Time)","value":"20:00:16"},{"id":151,"name":"Denver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9"/>
        <v>start /low /b %USERPROFILE%\Documents\GitHub\eaglep3\Utilities\DownloadLogsFromS3.py --loco 4012 --day 2017-05-17</v>
      </c>
      <c r="AN208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02:00:16"},{"id":29,"name":"Sharepoint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625</v>
      </c>
      <c r="B209" s="7">
        <v>4039</v>
      </c>
      <c r="C209" s="21" t="s">
        <v>206</v>
      </c>
      <c r="D209" s="21" t="s">
        <v>909</v>
      </c>
      <c r="E209" s="13">
        <v>42872.170798611114</v>
      </c>
      <c r="F209" s="13">
        <v>42872.174201388887</v>
      </c>
      <c r="G209" s="7">
        <v>4</v>
      </c>
      <c r="H209" s="21" t="s">
        <v>432</v>
      </c>
      <c r="I209" s="13">
        <v>42872.1797337963</v>
      </c>
      <c r="J209" s="7">
        <v>1</v>
      </c>
      <c r="K209" s="92" t="str">
        <f>IF(ISEVEN(B209),(B209-1)&amp;"/"&amp;B209,B209&amp;"/"&amp;(B209+1))</f>
        <v>4039/4040</v>
      </c>
      <c r="L209" s="21" t="str">
        <f>VLOOKUP(A209,'Trips&amp;Operators'!$C$1:$G$99999,5,FALSE)</f>
        <v>BONDS REYNALDO</v>
      </c>
      <c r="M209" s="6">
        <f>I209-F209</f>
        <v>5.5324074128293432E-3</v>
      </c>
      <c r="N209" s="7">
        <f>24*60*SUM($M209:$M209)</f>
        <v>7.9666666744742543</v>
      </c>
      <c r="O209" s="7"/>
      <c r="P209" s="7"/>
      <c r="Q209" s="22"/>
      <c r="R209" s="190"/>
      <c r="S209" s="196">
        <f>SUM(U209:U209)/IF(AG209="EC",12,1)</f>
        <v>1</v>
      </c>
      <c r="T209" s="190" t="str">
        <f>IF(ISEVEN(LEFT(AD209,4)),"Southbound","NorthBound")</f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-05-17T03:05:57-0600',mode:absolute,to:'2017-05-17T05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9" s="192" t="str">
        <f>IF(AA209&lt;IF(AG209="EC",23,5.65),"Y","N")</f>
        <v>Y</v>
      </c>
      <c r="X209" s="192">
        <f>VALUE(LEFT(AD209,4))-VALUE(LEFT(AD208,4))</f>
        <v>1</v>
      </c>
      <c r="Y209" s="192">
        <f>RIGHT(D209,LEN(D209)-4)/10000</f>
        <v>2.3376999999999999</v>
      </c>
      <c r="Z209" s="192">
        <f>RIGHT(H209,LEN(H209)-4)/10000</f>
        <v>1.54E-2</v>
      </c>
      <c r="AA209" s="192">
        <f>ABS(Z209-Y209)</f>
        <v>2.3222999999999998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0308-17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/stypes="app*4039*20170517*" /stext=" 10:.+((SYSTEM_STATE.+slice.+state.+changed )|(ment ac)|(multiple cpu faults)|(system.+state.+changed )|(\[timeout)|(PRM\|1\|D)|(kpr)|(kdp)|(train st.+moving)|(\|lc)|(penalty))"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17"/>
        <v>"%USERPROFILE%\Documents\GitHub\eaglep3\Utilities\RefineRTDCRunTimes.py" --tripid 308-17 --locoid 4039 --swversion DE.1.0.9.0 --startMP 300:23377 --initTime 2017-05-17T04:05:57 --startdatetime 2017-05-17T04:10:51 --delay 4 --endMP 204:154 --enddatetime 2017-05-17T04:18:49 --enforcementcount 1 &gt;&gt;C:\Users\stu\Documents\GitHub\eaglep3-reporting\EC\2017-05-17-refined-times.txt</v>
      </c>
      <c r="AI209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{"issue":{"subject":"","project_id":79,"tracker_id":40,"status_id":1,"priority_id":2,"assigned_to_id":23,"start_date":"2017-05-17","description":"","custom_fields":[{"id":1,"name":"Subdivision","value":"Other"},{"id":4,"name":"Milepost","value":"0.0154"},{"id":17,"name":"Train ID","value":"308-17"},{"id":16,"name":"Locomotive ID","value":"4039"},{"id":130,"name":"Impact","value":""},{"id":150,"name":"Time of Event (Mountain Time)","value":"04:18:49"},{"id":151,"name":"Denver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9"/>
        <v>start /low /b %USERPROFILE%\Documents\GitHub\eaglep3\Utilities\DownloadLogsFromS3.py --loco 4039 --day 2017-05-17</v>
      </c>
      <c r="AN209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10:18:49"},{"id":29,"name":"Sharepoint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825</v>
      </c>
      <c r="B210" s="7">
        <v>4042</v>
      </c>
      <c r="C210" s="21" t="s">
        <v>206</v>
      </c>
      <c r="D210" s="21" t="s">
        <v>364</v>
      </c>
      <c r="E210" s="13">
        <v>42873.045868055553</v>
      </c>
      <c r="F210" s="13">
        <v>42873.047291666669</v>
      </c>
      <c r="G210" s="7">
        <v>1</v>
      </c>
      <c r="H210" s="21" t="s">
        <v>361</v>
      </c>
      <c r="I210" s="13">
        <v>42873.055254629631</v>
      </c>
      <c r="J210" s="7">
        <v>1</v>
      </c>
      <c r="K210" s="92" t="str">
        <f>IF(ISEVEN(B210),(B210-1)&amp;"/"&amp;B210,B210&amp;"/"&amp;(B210+1))</f>
        <v>4041/4042</v>
      </c>
      <c r="L210" s="21" t="str">
        <f>VLOOKUP(A210,'Trips&amp;Operators'!$C$1:$G$99999,5,FALSE)</f>
        <v>BIRENBAUM THOMAS</v>
      </c>
      <c r="M210" s="6">
        <f>I210-F210</f>
        <v>7.962962961755693E-3</v>
      </c>
      <c r="N210" s="7">
        <f>24*60*SUM($M210:$M210)</f>
        <v>11.466666664928198</v>
      </c>
      <c r="O210" s="7"/>
      <c r="P210" s="7"/>
      <c r="Q210" s="22"/>
      <c r="R210" s="190"/>
      <c r="S210" s="196">
        <f>SUM(U210:U210)/IF(AG210="EC",12,1)</f>
        <v>1</v>
      </c>
      <c r="T210" s="190" t="str">
        <f>IF(ISEVEN(LEFT(AD210,4)),"Southbound","NorthBound")</f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-05-18T00:06:03-0600',mode:absolute,to:'2017-05-18T02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192" t="str">
        <f>IF(AA210&lt;IF(AG210="EC",23,5.65),"Y","N")</f>
        <v>Y</v>
      </c>
      <c r="X210" s="192">
        <f>VALUE(LEFT(AD210,4))-VALUE(LEFT(AD209,4))</f>
        <v>1</v>
      </c>
      <c r="Y210" s="192">
        <f>RIGHT(D210,LEN(D210)-4)/10000</f>
        <v>4.53E-2</v>
      </c>
      <c r="Z210" s="192">
        <f>RIGHT(H210,LEN(H210)-4)/10000</f>
        <v>2.3346</v>
      </c>
      <c r="AA210" s="192">
        <f>ABS(Z210-Y210)</f>
        <v>2.2892999999999999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0309-17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 &amp; aws s3 cp s3://rtdc.mdm.uploadarchive.raw/RTDC4042/ "%USERPROFILE%\AppData\Local\Temp\OnboardLogs"\RTDC4042\2017-05-19 --exclude "*" --recursive --include "*20170519*" &amp; "%USERPROFILE%\Documents\GitHub\mrs-test-scripts\Headless Mode &amp; Sideloading\WalkAndUnGZ.bat" "%USERPROFILE%\AppData\Local\Temp\OnboardLogs"\RTDC4042\2017-05-19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/stypes="app*4042*20170518*" /stext=" 07:.+((SYSTEM_STATE.+slice.+state.+changed )|(ment ac)|(multiple cpu faults)|(system.+state.+changed )|(\[timeout)|(PRM\|1\|D)|(kpr)|(kdp)|(train st.+moving)|(\|lc)|(penalty))"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17"/>
        <v>"%USERPROFILE%\Documents\GitHub\eaglep3\Utilities\RefineRTDCRunTimes.py" --tripid 309-17 --locoid 4042 --swversion DE.1.0.9.0 --startMP 204:453 --initTime 2017-05-18T01:06:03 --startdatetime 2017-05-18T01:08:06 --delay 1 --endMP 300:23346 --enddatetime 2017-05-18T01:19:34 --enforcementcount 1 &gt;&gt;C:\Users\stu\Documents\GitHub\eaglep3-reporting\EC\2017-05-17-refined-times.txt</v>
      </c>
      <c r="AI210" s="99" t="str">
        <f t="shared" si="18"/>
        <v>echo {"issue":{"subject":"","project_id":79,"tracker_id":40,"status_id":1,"priority_id":2,"assigned_to_id":23,"start_date":"2017-05-18","description":"","custom_fields":[{"id":1,"name":"Subdivision","value":"Other"},{"id":4,"name":"Milepost","value":"2.3346"},{"id":17,"name":"Train ID","value":"309-17"},{"id":16,"name":"Locomotive ID","value":"4042"},{"id":130,"name":"Impact","value":""},{"id":150,"name":"Time of Event (Mountain Time)","value":"01:19:34"},{"id":151,"name":"Denver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9"/>
        <v>start /low /b %USERPROFILE%\Documents\GitHub\eaglep3\Utilities\DownloadLogsFromS3.py --loco 4042 --day 2017-05-18</v>
      </c>
      <c r="AN210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07:19:34"},{"id":29,"name":"Sharepoint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627</v>
      </c>
      <c r="B211" s="7">
        <v>4045</v>
      </c>
      <c r="C211" s="21" t="s">
        <v>206</v>
      </c>
      <c r="D211" s="21" t="s">
        <v>910</v>
      </c>
      <c r="E211" s="13">
        <v>42872.18109953704</v>
      </c>
      <c r="F211" s="13">
        <v>42872.185474537036</v>
      </c>
      <c r="G211" s="7">
        <v>6</v>
      </c>
      <c r="H211" s="21" t="s">
        <v>198</v>
      </c>
      <c r="I211" s="13">
        <v>42872.190555555557</v>
      </c>
      <c r="J211" s="7">
        <v>1</v>
      </c>
      <c r="K211" s="92" t="str">
        <f>IF(ISEVEN(B211),(B211-1)&amp;"/"&amp;B211,B211&amp;"/"&amp;(B211+1))</f>
        <v>4045/4046</v>
      </c>
      <c r="L211" s="21" t="str">
        <f>VLOOKUP(A211,'Trips&amp;Operators'!$C$1:$G$99999,5,FALSE)</f>
        <v>SANTIZO D. EDY</v>
      </c>
      <c r="M211" s="6">
        <f>I211-F211</f>
        <v>5.0810185202863067E-3</v>
      </c>
      <c r="N211" s="7">
        <f>24*60*SUM($M211:$M211)</f>
        <v>7.3166666692122817</v>
      </c>
      <c r="O211" s="7"/>
      <c r="P211" s="7"/>
      <c r="Q211" s="22"/>
      <c r="R211" s="190"/>
      <c r="S211" s="196">
        <f>SUM(U211:U211)/IF(AG211="EC",12,1)</f>
        <v>1</v>
      </c>
      <c r="T211" s="190" t="str">
        <f>IF(ISEVEN(LEFT(AD211,4)),"Southbound","NorthBound")</f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-05-17T03:20:47-0600',mode:absolute,to:'2017-05-17T05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1" s="192" t="str">
        <f>IF(AA211&lt;IF(AG211="EC",23,5.65),"Y","N")</f>
        <v>Y</v>
      </c>
      <c r="X211" s="192">
        <f>VALUE(LEFT(AD211,4))-VALUE(LEFT(AD210,4))</f>
        <v>1</v>
      </c>
      <c r="Y211" s="192">
        <f>RIGHT(D211,LEN(D211)-4)/10000</f>
        <v>1.9453</v>
      </c>
      <c r="Z211" s="192">
        <f>RIGHT(H211,LEN(H211)-4)/10000</f>
        <v>1.5800000000000002E-2</v>
      </c>
      <c r="AA211" s="192">
        <f>ABS(Z211-Y211)</f>
        <v>1.9295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0310-17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s3://rtdc.mdm.uploadarchive.raw/RTDC4045/ "%USERPROFILE%\AppData\Local\Temp\OnboardLogs"\RTDC4045\2017-05-17 --exclude "*" --recursive --include "*20170517*" &amp; "%USERPROFILE%\Documents\GitHub\mrs-test-scripts\Headless Mode &amp; Sideloading\WalkAndUnGZ.bat" "%USERPROFILE%\AppData\Local\Temp\OnboardLogs"\RTDC4045\2017-05-17 &amp; aws s3 cp s3://rtdc.mdm.uploadarchive.raw/RTDC4045/ "%USERPROFILE%\AppData\Local\Temp\OnboardLogs"\RTDC4045\2017-05-18 --exclude "*" --recursive --include "*20170518*" &amp; "%USERPROFILE%\Documents\GitHub\mrs-test-scripts\Headless Mode &amp; Sideloading\WalkAndUnGZ.bat" "%USERPROFILE%\AppData\Local\Temp\OnboardLogs"\RTDC4045\2017-05-18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/stypes="app*4045*20170517*" /stext=" 10:.+((SYSTEM_STATE.+slice.+state.+changed )|(ment ac)|(multiple cpu faults)|(system.+state.+changed )|(\[timeout)|(PRM\|1\|D)|(kpr)|(kdp)|(train st.+moving)|(\|lc)|(penalty))"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17"/>
        <v>"%USERPROFILE%\Documents\GitHub\eaglep3\Utilities\RefineRTDCRunTimes.py" --tripid 310-17 --locoid 4045 --swversion DE.1.0.9.0 --startMP 300:19453 --initTime 2017-05-17T04:20:47 --startdatetime 2017-05-17T04:27:05 --delay 6 --endMP 204:158 --enddatetime 2017-05-17T04:34:24 --enforcementcount 1 &gt;&gt;C:\Users\stu\Documents\GitHub\eaglep3-reporting\EC\2017-05-17-refined-times.txt</v>
      </c>
      <c r="AI211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{"issue":{"subject":"","project_id":79,"tracker_id":40,"status_id":1,"priority_id":2,"assigned_to_id":23,"start_date":"2017-05-17","description":"","custom_fields":[{"id":1,"name":"Subdivision","value":"Other"},{"id":4,"name":"Milepost","value":"0.0158"},{"id":17,"name":"Train ID","value":"310-17"},{"id":16,"name":"Locomotive ID","value":"4045"},{"id":130,"name":"Impact","value":""},{"id":150,"name":"Time of Event (Mountain Time)","value":"04:34:24"},{"id":151,"name":"Denver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9"/>
        <v>start /low /b %USERPROFILE%\Documents\GitHub\eaglep3\Utilities\DownloadLogsFromS3.py --loco 4045 --day 2017-05-17</v>
      </c>
      <c r="AN211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10:34:24"},{"id":29,"name":"Sharepoint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827</v>
      </c>
      <c r="B212" s="7">
        <v>4024</v>
      </c>
      <c r="C212" s="21" t="s">
        <v>206</v>
      </c>
      <c r="D212" s="21" t="s">
        <v>359</v>
      </c>
      <c r="E212" s="13">
        <v>42873.067210648151</v>
      </c>
      <c r="F212" s="13">
        <v>42873.068460648145</v>
      </c>
      <c r="G212" s="7">
        <v>1</v>
      </c>
      <c r="H212" s="21" t="s">
        <v>558</v>
      </c>
      <c r="I212" s="13">
        <v>42873.076284722221</v>
      </c>
      <c r="J212" s="7">
        <v>1</v>
      </c>
      <c r="K212" s="92" t="str">
        <f>IF(ISEVEN(B212),(B212-1)&amp;"/"&amp;B212,B212&amp;"/"&amp;(B212+1))</f>
        <v>4023/4024</v>
      </c>
      <c r="L212" s="21" t="str">
        <f>VLOOKUP(A212,'Trips&amp;Operators'!$C$1:$G$99999,5,FALSE)</f>
        <v>BROWN JACOB</v>
      </c>
      <c r="M212" s="6">
        <f>I212-F212</f>
        <v>7.8240740767796524E-3</v>
      </c>
      <c r="N212" s="7">
        <f>24*60*SUM($M212:$M212)</f>
        <v>11.266666670562699</v>
      </c>
      <c r="O212" s="7"/>
      <c r="P212" s="7"/>
      <c r="Q212" s="22"/>
      <c r="R212" s="190"/>
      <c r="S212" s="196">
        <f>SUM(U212:U212)/IF(AG212="EC",12,1)</f>
        <v>1</v>
      </c>
      <c r="T212" s="190" t="str">
        <f>IF(ISEVEN(LEFT(AD212,4)),"Southbound","NorthBound")</f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-05-18T00:36:47-0600',mode:absolute,to:'2017-05-18T02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2" s="192" t="str">
        <f>IF(AA212&lt;IF(AG212="EC",23,5.65),"Y","N")</f>
        <v>Y</v>
      </c>
      <c r="X212" s="192">
        <f>VALUE(LEFT(AD212,4))-VALUE(LEFT(AD211,4))</f>
        <v>1</v>
      </c>
      <c r="Y212" s="192">
        <f>RIGHT(D212,LEN(D212)-4)/10000</f>
        <v>4.6600000000000003E-2</v>
      </c>
      <c r="Z212" s="192">
        <f>RIGHT(H212,LEN(H212)-4)/10000</f>
        <v>2.3308</v>
      </c>
      <c r="AA212" s="192">
        <f>ABS(Z212-Y212)</f>
        <v>2.2841999999999998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0311-17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 &amp; 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/stypes="app*4024*20170518*" /stext=" 07:.+((SYSTEM_STATE.+slice.+state.+changed )|(ment ac)|(multiple cpu faults)|(system.+state.+changed )|(\[timeout)|(PRM\|1\|D)|(kpr)|(kdp)|(train st.+moving)|(\|lc)|(penalty))"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17"/>
        <v>"%USERPROFILE%\Documents\GitHub\eaglep3\Utilities\RefineRTDCRunTimes.py" --tripid 311-17 --locoid 4024 --swversion DE.1.0.9.0 --startMP 204:466 --initTime 2017-05-18T01:36:47 --startdatetime 2017-05-18T01:38:35 --delay 1 --endMP 300:23308 --enddatetime 2017-05-18T01:49:51 --enforcementcount 1 &gt;&gt;C:\Users\stu\Documents\GitHub\eaglep3-reporting\EC\2017-05-17-refined-times.txt</v>
      </c>
      <c r="AI212" s="99" t="str">
        <f t="shared" si="18"/>
        <v>echo {"issue":{"subject":"","project_id":79,"tracker_id":40,"status_id":1,"priority_id":2,"assigned_to_id":23,"start_date":"2017-05-18","description":"","custom_fields":[{"id":1,"name":"Subdivision","value":"Other"},{"id":4,"name":"Milepost","value":"2.3308"},{"id":17,"name":"Train ID","value":"311-17"},{"id":16,"name":"Locomotive ID","value":"4024"},{"id":130,"name":"Impact","value":""},{"id":150,"name":"Time of Event (Mountain Time)","value":"01:49:51"},{"id":151,"name":"Denver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9"/>
        <v>start /low /b %USERPROFILE%\Documents\GitHub\eaglep3\Utilities\DownloadLogsFromS3.py --loco 4024 --day 2017-05-18</v>
      </c>
      <c r="AN212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07:49:51"},{"id":29,"name":"Sharepoint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528</v>
      </c>
      <c r="B213" s="7">
        <v>4028</v>
      </c>
      <c r="C213" s="21" t="s">
        <v>206</v>
      </c>
      <c r="D213" s="21" t="s">
        <v>359</v>
      </c>
      <c r="E213" s="13">
        <v>42872.088125000002</v>
      </c>
      <c r="F213" s="13">
        <v>42872.089629629627</v>
      </c>
      <c r="G213" s="7">
        <v>1</v>
      </c>
      <c r="H213" s="21" t="s">
        <v>429</v>
      </c>
      <c r="I213" s="13">
        <v>42872.104502314818</v>
      </c>
      <c r="J213" s="7">
        <v>1</v>
      </c>
      <c r="K213" s="92" t="str">
        <f>IF(ISEVEN(B213),(B213-1)&amp;"/"&amp;B213,B213&amp;"/"&amp;(B213+1))</f>
        <v>4027/4028</v>
      </c>
      <c r="L213" s="21" t="str">
        <f>VLOOKUP(A213,'Trips&amp;Operators'!$C$1:$G$99999,5,FALSE)</f>
        <v>LAMAR NEKESHA</v>
      </c>
      <c r="M213" s="6">
        <f>I213-F213</f>
        <v>1.4872685191221535E-2</v>
      </c>
      <c r="N213" s="7">
        <f>24*60*SUM($M213:$M213)</f>
        <v>21.416666675359011</v>
      </c>
      <c r="O213" s="7"/>
      <c r="P213" s="7"/>
      <c r="Q213" s="22"/>
      <c r="R213" s="190"/>
      <c r="S213" s="196">
        <f>SUM(U213:U213)/IF(AG213="EC",12,1)</f>
        <v>1</v>
      </c>
      <c r="T213" s="190" t="str">
        <f>IF(ISEVEN(LEFT(AD213,4)),"Southbound","NorthBound")</f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-05-17T01:06:54-0600',mode:absolute,to:'2017-05-17T03:30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3" s="192" t="str">
        <f>IF(AA213&lt;IF(AG213="EC",23,5.65),"Y","N")</f>
        <v>Y</v>
      </c>
      <c r="X213" s="192">
        <f>VALUE(LEFT(AD213,4))-VALUE(LEFT(AD212,4))</f>
        <v>2</v>
      </c>
      <c r="Y213" s="192">
        <f>RIGHT(D213,LEN(D213)-4)/10000</f>
        <v>4.6600000000000003E-2</v>
      </c>
      <c r="Z213" s="192">
        <f>RIGHT(H213,LEN(H213)-4)/10000</f>
        <v>2.3304</v>
      </c>
      <c r="AA213" s="192">
        <f>ABS(Z213-Y213)</f>
        <v>2.2837999999999998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0313-16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s3://rtdc.mdm.uploadarchive.raw/RTDC4028/ "%USERPROFILE%\AppData\Local\Temp\OnboardLogs"\RTDC4028\2017-05-17 --exclude "*" --recursive --include "*20170517*" &amp; "%USERPROFILE%\Documents\GitHub\mrs-test-scripts\Headless Mode &amp; Sideloading\WalkAndUnGZ.bat" "%USERPROFILE%\AppData\Local\Temp\OnboardLogs"\RTDC4028\2017-05-17 &amp; aws s3 cp s3://rtdc.mdm.uploadarchive.raw/RTDC4028/ "%USERPROFILE%\AppData\Local\Temp\OnboardLogs"\RTDC4028\2017-05-18 --exclude "*" --recursive --include "*20170518*" &amp; "%USERPROFILE%\Documents\GitHub\mrs-test-scripts\Headless Mode &amp; Sideloading\WalkAndUnGZ.bat" "%USERPROFILE%\AppData\Local\Temp\OnboardLogs"\RTDC4028\2017-05-18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/stypes="app*4028*20170517*" /stext=" 08:.+((SYSTEM_STATE.+slice.+state.+changed )|(ment ac)|(multiple cpu faults)|(system.+state.+changed )|(\[timeout)|(PRM\|1\|D)|(kpr)|(kdp)|(train st.+moving)|(\|lc)|(penalty))"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17"/>
        <v>"%USERPROFILE%\Documents\GitHub\eaglep3\Utilities\RefineRTDCRunTimes.py" --tripid 313-16 --locoid 4028 --swversion DE.1.0.9.0 --startMP 204:466 --initTime 2017-05-17T02:06:54 --startdatetime 2017-05-17T02:09:04 --delay 1 --endMP 300:23304 --enddatetime 2017-05-17T02:30:29 --enforcementcount 1 &gt;&gt;C:\Users\stu\Documents\GitHub\eaglep3-reporting\EC\2017-05-17-refined-times.txt</v>
      </c>
      <c r="AI213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{"issue":{"subject":"","project_id":79,"tracker_id":40,"status_id":1,"priority_id":2,"assigned_to_id":23,"start_date":"2017-05-17","description":"","custom_fields":[{"id":1,"name":"Subdivision","value":"Other"},{"id":4,"name":"Milepost","value":"2.3304"},{"id":17,"name":"Train ID","value":"313-16"},{"id":16,"name":"Locomotive ID","value":"4028"},{"id":130,"name":"Impact","value":""},{"id":150,"name":"Time of Event (Mountain Time)","value":"02:30:29"},{"id":151,"name":"Denver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9"/>
        <v>start /low /b %USERPROFILE%\Documents\GitHub\eaglep3\Utilities\DownloadLogsFromS3.py --loco 4028 --day 2017-05-17</v>
      </c>
      <c r="AN213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08:30:29"},{"id":29,"name":"Sharepoint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828</v>
      </c>
      <c r="B214" s="7">
        <v>4040</v>
      </c>
      <c r="C214" s="21" t="s">
        <v>206</v>
      </c>
      <c r="D214" s="21" t="s">
        <v>456</v>
      </c>
      <c r="E214" s="13">
        <v>42873.089178240742</v>
      </c>
      <c r="F214" s="13">
        <v>42873.090289351851</v>
      </c>
      <c r="G214" s="7">
        <v>1</v>
      </c>
      <c r="H214" s="21" t="s">
        <v>486</v>
      </c>
      <c r="I214" s="13">
        <v>42873.095243055555</v>
      </c>
      <c r="J214" s="7">
        <v>1</v>
      </c>
      <c r="K214" s="92" t="str">
        <f>IF(ISEVEN(B214),(B214-1)&amp;"/"&amp;B214,B214&amp;"/"&amp;(B214+1))</f>
        <v>4039/4040</v>
      </c>
      <c r="L214" s="21" t="str">
        <f>VLOOKUP(A214,'Trips&amp;Operators'!$C$1:$G$99999,5,FALSE)</f>
        <v>NEWELL JAMES</v>
      </c>
      <c r="M214" s="6">
        <f>I214-F214</f>
        <v>4.9537037048139609E-3</v>
      </c>
      <c r="N214" s="7">
        <f>24*60*SUM($M214:$M214)</f>
        <v>7.1333333349321038</v>
      </c>
      <c r="O214" s="7"/>
      <c r="P214" s="7"/>
      <c r="Q214" s="22"/>
      <c r="R214" s="190"/>
      <c r="S214" s="196">
        <f>SUM(U214:U214)/IF(AG214="EC",12,1)</f>
        <v>1</v>
      </c>
      <c r="T214" s="190" t="str">
        <f>IF(ISEVEN(LEFT(AD214,4)),"Southbound","NorthBound")</f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-05-18T01:08:25-0600',mode:absolute,to:'2017-05-18T03:17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4" s="192" t="str">
        <f>IF(AA214&lt;IF(AG214="EC",23,5.65),"Y","N")</f>
        <v>Y</v>
      </c>
      <c r="X214" s="192">
        <f>VALUE(LEFT(AD214,4))-VALUE(LEFT(AD213,4))</f>
        <v>0</v>
      </c>
      <c r="Y214" s="192">
        <f>RIGHT(D214,LEN(D214)-4)/10000</f>
        <v>4.7300000000000002E-2</v>
      </c>
      <c r="Z214" s="192">
        <f>RIGHT(H214,LEN(H214)-4)/10000</f>
        <v>2.331</v>
      </c>
      <c r="AA214" s="192">
        <f>ABS(Z214-Y214)</f>
        <v>2.2837000000000001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0313-17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 &amp; aws s3 cp s3://rtdc.mdm.uploadarchive.raw/RTDC4040/ "%USERPROFILE%\AppData\Local\Temp\OnboardLogs"\RTDC4040\2017-05-19 --exclude "*" --recursive --include "*20170519*" &amp; "%USERPROFILE%\Documents\GitHub\mrs-test-scripts\Headless Mode &amp; Sideloading\WalkAndUnGZ.bat" "%USERPROFILE%\AppData\Local\Temp\OnboardLogs"\RTDC4040\2017-05-19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/stypes="app*4040*20170518*" /stext=" 08:.+((SYSTEM_STATE.+slice.+state.+changed )|(ment ac)|(multiple cpu faults)|(system.+state.+changed )|(\[timeout)|(PRM\|1\|D)|(kpr)|(kdp)|(train st.+moving)|(\|lc)|(penalty))"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17"/>
        <v>"%USERPROFILE%\Documents\GitHub\eaglep3\Utilities\RefineRTDCRunTimes.py" --tripid 313-17 --locoid 4040 --swversion DE.1.0.9.0 --startMP 204:473 --initTime 2017-05-18T02:08:25 --startdatetime 2017-05-18T02:10:01 --delay 1 --endMP 300:23310 --enddatetime 2017-05-18T02:17:09 --enforcementcount 1 &gt;&gt;C:\Users\stu\Documents\GitHub\eaglep3-reporting\EC\2017-05-17-refined-times.txt</v>
      </c>
      <c r="AI214" s="99" t="str">
        <f t="shared" si="18"/>
        <v>echo {"issue":{"subject":"","project_id":79,"tracker_id":40,"status_id":1,"priority_id":2,"assigned_to_id":23,"start_date":"2017-05-18","description":"","custom_fields":[{"id":1,"name":"Subdivision","value":"Other"},{"id":4,"name":"Milepost","value":"2.331"},{"id":17,"name":"Train ID","value":"313-17"},{"id":16,"name":"Locomotive ID","value":"4040"},{"id":130,"name":"Impact","value":""},{"id":150,"name":"Time of Event (Mountain Time)","value":"02:17:09"},{"id":151,"name":"Denver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9"/>
        <v>start /low /b %USERPROFILE%\Documents\GitHub\eaglep3\Utilities\DownloadLogsFromS3.py --loco 4040 --day 2017-05-18</v>
      </c>
      <c r="AN214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08:17:09"},{"id":29,"name":"Sharepoint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823</v>
      </c>
      <c r="B215" s="7">
        <v>4016</v>
      </c>
      <c r="C215" s="21" t="s">
        <v>206</v>
      </c>
      <c r="D215" s="21" t="s">
        <v>886</v>
      </c>
      <c r="E215" s="13">
        <v>42873.027974537035</v>
      </c>
      <c r="F215" s="13">
        <v>42873.029502314814</v>
      </c>
      <c r="G215" s="7">
        <v>1</v>
      </c>
      <c r="H215" s="21" t="s">
        <v>911</v>
      </c>
      <c r="I215" s="13">
        <v>42873.038078703707</v>
      </c>
      <c r="J215" s="7">
        <v>1</v>
      </c>
      <c r="K215" s="92" t="str">
        <f>IF(ISEVEN(B215),(B215-1)&amp;"/"&amp;B215,B215&amp;"/"&amp;(B215+1))</f>
        <v>4015/4016</v>
      </c>
      <c r="L215" s="21" t="str">
        <f>VLOOKUP(A215,'Trips&amp;Operators'!$C$1:$G$99999,5,FALSE)</f>
        <v>SWANSON BRYCE</v>
      </c>
      <c r="M215" s="6">
        <f>I215-F215</f>
        <v>8.5763888928340748E-3</v>
      </c>
      <c r="N215" s="7">
        <f>24*60*SUM($M215:$M215)</f>
        <v>12.350000005681068</v>
      </c>
      <c r="O215" s="7"/>
      <c r="P215" s="7"/>
      <c r="Q215" s="22"/>
      <c r="R215" s="190"/>
      <c r="S215" s="196">
        <f>SUM(U215:U215)/IF(AG215="EC",12,1)</f>
        <v>1</v>
      </c>
      <c r="T215" s="190" t="str">
        <f>IF(ISEVEN(LEFT(AD215,4)),"Southbound","NorthBound")</f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-05-17T23:40:17-0600',mode:absolute,to:'2017-05-18T01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5" s="192" t="str">
        <f>IF(AA215&lt;IF(AG215="EC",23,5.65),"Y","N")</f>
        <v>Y</v>
      </c>
      <c r="X215" s="192">
        <f>VALUE(LEFT(AD215,4))-VALUE(LEFT(AD214,4))</f>
        <v>2</v>
      </c>
      <c r="Y215" s="192">
        <f>RIGHT(D215,LEN(D215)-4)/10000</f>
        <v>4.9700000000000001E-2</v>
      </c>
      <c r="Z215" s="192">
        <f>RIGHT(H215,LEN(H215)-4)/10000</f>
        <v>2.3298999999999999</v>
      </c>
      <c r="AA215" s="192">
        <f>ABS(Z215-Y215)</f>
        <v>2.2801999999999998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0315-17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 &amp; aws s3 cp s3://rtdc.mdm.uploadarchive.raw/RTDC4016/ "%USERPROFILE%\AppData\Local\Temp\OnboardLogs"\RTDC4016\2017-05-19 --exclude "*" --recursive --include "*20170519*" &amp; "%USERPROFILE%\Documents\GitHub\mrs-test-scripts\Headless Mode &amp; Sideloading\WalkAndUnGZ.bat" "%USERPROFILE%\AppData\Local\Temp\OnboardLogs"\RTDC4016\2017-05-19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/stypes="app*4016*20170518*" /stext=" 06:.+((SYSTEM_STATE.+slice.+state.+changed )|(ment ac)|(multiple cpu faults)|(system.+state.+changed )|(\[timeout)|(PRM\|1\|D)|(kpr)|(kdp)|(train st.+moving)|(\|lc)|(penalty))"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17"/>
        <v>"%USERPROFILE%\Documents\GitHub\eaglep3\Utilities\RefineRTDCRunTimes.py" --tripid 315-17 --locoid 4016 --swversion DE.1.0.9.0 --startMP 204:497 --initTime 2017-05-18T00:40:17 --startdatetime 2017-05-18T00:42:29 --delay 1 --endMP 300:23299 --enddatetime 2017-05-18T00:54:50 --enforcementcount 1 &gt;&gt;C:\Users\stu\Documents\GitHub\eaglep3-reporting\EC\2017-05-17-refined-times.txt</v>
      </c>
      <c r="AI215" s="99" t="str">
        <f t="shared" si="18"/>
        <v>echo {"issue":{"subject":"","project_id":79,"tracker_id":40,"status_id":1,"priority_id":2,"assigned_to_id":23,"start_date":"2017-05-18","description":"","custom_fields":[{"id":1,"name":"Subdivision","value":"Other"},{"id":4,"name":"Milepost","value":"2.3299"},{"id":17,"name":"Train ID","value":"315-17"},{"id":16,"name":"Locomotive ID","value":"4016"},{"id":130,"name":"Impact","value":""},{"id":150,"name":"Time of Event (Mountain Time)","value":"00:54:50"},{"id":151,"name":"Denver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9"/>
        <v>start /low /b %USERPROFILE%\Documents\GitHub\eaglep3\Utilities\DownloadLogsFromS3.py --loco 4016 --day 2017-05-18</v>
      </c>
      <c r="AN215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06:54:50"},{"id":29,"name":"Sharepoint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s="20" customFormat="1" x14ac:dyDescent="0.25">
      <c r="A216" s="32" t="s">
        <v>631</v>
      </c>
      <c r="B216" s="7">
        <v>4056</v>
      </c>
      <c r="C216" s="21" t="s">
        <v>206</v>
      </c>
      <c r="D216" s="21" t="s">
        <v>987</v>
      </c>
      <c r="E216" s="13">
        <v>42872.203333333331</v>
      </c>
      <c r="F216" s="13">
        <v>42872.206712962965</v>
      </c>
      <c r="G216" s="7">
        <v>4</v>
      </c>
      <c r="H216" s="21" t="s">
        <v>577</v>
      </c>
      <c r="I216" s="13">
        <v>42872.211944444447</v>
      </c>
      <c r="J216" s="7">
        <v>1</v>
      </c>
      <c r="K216" s="92" t="str">
        <f>IF(ISEVEN(B216),(B216-1)&amp;"/"&amp;B216,B216&amp;"/"&amp;(B216+1))</f>
        <v>4055/4056</v>
      </c>
      <c r="L216" s="21" t="str">
        <f>VLOOKUP(A216,'Trips&amp;Operators'!$C$1:$G$99999,5,FALSE)</f>
        <v>YORK EDGAR</v>
      </c>
      <c r="M216" s="6">
        <f>I216-F216</f>
        <v>5.2314814820419997E-3</v>
      </c>
      <c r="N216" s="7">
        <f>24*60*SUM($M216:$M216)</f>
        <v>7.5333333341404796</v>
      </c>
      <c r="O216" s="7"/>
      <c r="P216" s="7"/>
      <c r="Q216" s="22"/>
      <c r="R216" s="190"/>
      <c r="S216" s="196">
        <f>SUM(U216:U216)/IF(AG216="EC",12,1)</f>
        <v>0</v>
      </c>
      <c r="T216" s="190" t="str">
        <f>IF(ISEVEN(LEFT(AD216,4)),"Southbound","NorthBound")</f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-05-17T03:52:48-0600',mode:absolute,to:'2017-05-17T06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6" s="192" t="str">
        <f>IF(AA216&lt;IF(AG216="EC",23,5.65),"Y","N")</f>
        <v>Y</v>
      </c>
      <c r="X216" s="192">
        <f>VALUE(LEFT(AD216,4))-VALUE(LEFT(AD215,4))</f>
        <v>586</v>
      </c>
      <c r="Y216" s="192">
        <f>RIGHT(D216,LEN(D216)-4)/10000</f>
        <v>2.9933999999999998</v>
      </c>
      <c r="Z216" s="192">
        <f>RIGHT(H216,LEN(H216)-4)/10000</f>
        <v>5.8933</v>
      </c>
      <c r="AA216" s="192">
        <f>ABS(Z216-Y216)</f>
        <v>2.8999000000000001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0901-17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/stypes="app*4056*20170517*" /stext=" 11:.+((SYSTEM_STATE.+slice.+state.+changed )|(ment ac)|(multiple cpu faults)|(system.+state.+changed )|(\[timeout)|(PRM\|1\|D)|(kpr)|(kdp)|(train st.+moving)|(\|lc)|(penalty))"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17"/>
        <v>"%USERPROFILE%\Documents\GitHub\eaglep3\Utilities\RefineRTDCRunTimes.py" --tripid 901-17 --locoid 4056 --swversion DE.1.0.9.0 --startMP 300:29934 --initTime 2017-05-17T04:52:48 --startdatetime 2017-05-17T04:57:40 --delay 4 --endMP 300:58933 --enddatetime 2017-05-17T05:05:12 --enforcementcount 1 &gt;&gt;C:\Users\stu\Documents\GitHub\eaglep3-reporting\EC\2017-05-17-refined-times.txt</v>
      </c>
      <c r="AI216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{"issue":{"subject":"","project_id":79,"tracker_id":40,"status_id":1,"priority_id":2,"assigned_to_id":23,"start_date":"2017-05-17","description":"","custom_fields":[{"id":1,"name":"Subdivision","value":"Other"},{"id":4,"name":"Milepost","value":"5.8933"},{"id":17,"name":"Train ID","value":"901-17"},{"id":16,"name":"Locomotive ID","value":"4056"},{"id":130,"name":"Impact","value":""},{"id":150,"name":"Time of Event (Mountain Time)","value":"05:05:12"},{"id":151,"name":"Denver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5" t="str">
        <f t="shared" si="19"/>
        <v>start /low /b %USERPROFILE%\Documents\GitHub\eaglep3\Utilities\DownloadLogsFromS3.py --loco 4056 --day 2017-05-17</v>
      </c>
      <c r="AN216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648</v>
      </c>
      <c r="B217" s="7">
        <v>4051</v>
      </c>
      <c r="C217" s="21" t="s">
        <v>206</v>
      </c>
      <c r="D217" s="21" t="s">
        <v>988</v>
      </c>
      <c r="E217" s="13">
        <v>42872.250775462962</v>
      </c>
      <c r="F217" s="13">
        <v>42872.253784722219</v>
      </c>
      <c r="G217" s="7">
        <v>4</v>
      </c>
      <c r="H217" s="21" t="s">
        <v>974</v>
      </c>
      <c r="I217" s="13">
        <v>42872.258761574078</v>
      </c>
      <c r="J217" s="7">
        <v>1</v>
      </c>
      <c r="K217" s="92" t="str">
        <f>IF(ISEVEN(B217),(B217-1)&amp;"/"&amp;B217,B217&amp;"/"&amp;(B217+1))</f>
        <v>4051/4052</v>
      </c>
      <c r="L217" s="21" t="str">
        <f>VLOOKUP(A217,'Trips&amp;Operators'!$C$1:$G$99999,5,FALSE)</f>
        <v>LOZA FIDEL</v>
      </c>
      <c r="M217" s="6">
        <f>I217-F217</f>
        <v>4.9768518583732657E-3</v>
      </c>
      <c r="N217" s="7">
        <f>24*60*SUM($M217:$M217)</f>
        <v>7.1666666760575026</v>
      </c>
      <c r="O217" s="7"/>
      <c r="P217" s="7"/>
      <c r="Q217" s="22"/>
      <c r="R217" s="190"/>
      <c r="S217" s="196">
        <f>SUM(U217:U217)/IF(AG217="EC",12,1)</f>
        <v>1</v>
      </c>
      <c r="T217" s="190" t="str">
        <f>IF(ISEVEN(LEFT(AD217,4)),"Southbound","NorthBound")</f>
        <v>Southbound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-05-17T05:01:07-0600',mode:absolute,to:'2017-05-17T07:12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7" s="192" t="str">
        <f>IF(AA217&lt;IF(AG217="EC",23,5.65),"Y","N")</f>
        <v>Y</v>
      </c>
      <c r="X217" s="192">
        <f>VALUE(LEFT(AD217,4))-VALUE(LEFT(AD216,4))</f>
        <v>1</v>
      </c>
      <c r="Y217" s="192">
        <f>RIGHT(D217,LEN(D217)-4)/10000</f>
        <v>2.3334000000000001</v>
      </c>
      <c r="Z217" s="192">
        <f>RIGHT(H217,LEN(H217)-4)/10000</f>
        <v>6.7500000000000004E-2</v>
      </c>
      <c r="AA217" s="192">
        <f>ABS(Z217-Y217)</f>
        <v>2.2659000000000002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0902-17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/stypes="app*4051*20170517*" /stext=" 12:.+((SYSTEM_STATE.+slice.+state.+changed )|(ment ac)|(multiple cpu faults)|(system.+state.+changed )|(\[timeout)|(PRM\|1\|D)|(kpr)|(kdp)|(train st.+moving)|(\|lc)|(penalty))"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17"/>
        <v>"%USERPROFILE%\Documents\GitHub\eaglep3\Utilities\RefineRTDCRunTimes.py" --tripid 902-17 --locoid 4051 --swversion DE.1.0.9.0 --startMP 300:23334 --initTime 2017-05-17T06:01:07 --startdatetime 2017-05-17T06:05:27 --delay 4 --endMP 204:675 --enddatetime 2017-05-17T06:12:37 --enforcementcount 1 &gt;&gt;C:\Users\stu\Documents\GitHub\eaglep3-reporting\EC\2017-05-17-refined-times.txt</v>
      </c>
      <c r="AI217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{"issue":{"subject":"","project_id":79,"tracker_id":40,"status_id":1,"priority_id":2,"assigned_to_id":23,"start_date":"2017-05-17","description":"","custom_fields":[{"id":1,"name":"Subdivision","value":"Other"},{"id":4,"name":"Milepost","value":"0.0675"},{"id":17,"name":"Train ID","value":"902-17"},{"id":16,"name":"Locomotive ID","value":"4051"},{"id":130,"name":"Impact","value":""},{"id":150,"name":"Time of Event (Mountain Time)","value":"06:12:37"},{"id":151,"name":"Denver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9"/>
        <v>start /low /b %USERPROFILE%\Documents\GitHub\eaglep3\Utilities\DownloadLogsFromS3.py --loco 4051 --day 2017-05-17</v>
      </c>
      <c r="AN217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12:12:37"},{"id":29,"name":"Sharepoint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677</v>
      </c>
      <c r="B218" s="7">
        <v>4056</v>
      </c>
      <c r="C218" s="21" t="s">
        <v>206</v>
      </c>
      <c r="D218" s="21" t="s">
        <v>989</v>
      </c>
      <c r="E218" s="13">
        <v>42872.351122685184</v>
      </c>
      <c r="F218" s="13">
        <v>42872.352361111109</v>
      </c>
      <c r="G218" s="7">
        <v>1</v>
      </c>
      <c r="H218" s="21" t="s">
        <v>990</v>
      </c>
      <c r="I218" s="13">
        <v>42872.357766203706</v>
      </c>
      <c r="J218" s="7">
        <v>1</v>
      </c>
      <c r="K218" s="92" t="str">
        <f>IF(ISEVEN(B218),(B218-1)&amp;"/"&amp;B218,B218&amp;"/"&amp;(B218+1))</f>
        <v>4055/4056</v>
      </c>
      <c r="L218" s="21" t="str">
        <f>VLOOKUP(A218,'Trips&amp;Operators'!$C$1:$G$99999,5,FALSE)</f>
        <v>YORK EDGAR</v>
      </c>
      <c r="M218" s="6">
        <f>I218-F218</f>
        <v>5.4050925973569974E-3</v>
      </c>
      <c r="N218" s="7">
        <f>24*60*SUM($M218:$M218)</f>
        <v>7.7833333401940763</v>
      </c>
      <c r="O218" s="7"/>
      <c r="P218" s="7"/>
      <c r="Q218" s="22"/>
      <c r="R218" s="190"/>
      <c r="S218" s="196">
        <f>SUM(U218:U218)/IF(AG218="EC",12,1)</f>
        <v>1</v>
      </c>
      <c r="T218" s="190" t="str">
        <f>IF(ISEVEN(LEFT(AD218,4)),"Southbound","NorthBound")</f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-05-17T07:25:37-0600',mode:absolute,to:'2017-05-17T09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8" s="192" t="str">
        <f>IF(AA218&lt;IF(AG218="EC",23,5.65),"Y","N")</f>
        <v>Y</v>
      </c>
      <c r="X218" s="192">
        <f>VALUE(LEFT(AD218,4))-VALUE(LEFT(AD217,4))</f>
        <v>1</v>
      </c>
      <c r="Y218" s="192">
        <f>RIGHT(D218,LEN(D218)-4)/10000</f>
        <v>0.1116</v>
      </c>
      <c r="Z218" s="192">
        <f>RIGHT(H218,LEN(H218)-4)/10000</f>
        <v>2.4230999999999998</v>
      </c>
      <c r="AA218" s="192">
        <f>ABS(Z218-Y218)</f>
        <v>2.3114999999999997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0903-17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/stypes="app*4056*20170517*" /stext=" 14:.+((SYSTEM_STATE.+slice.+state.+changed )|(ment ac)|(multiple cpu faults)|(system.+state.+changed )|(\[timeout)|(PRM\|1\|D)|(kpr)|(kdp)|(train st.+moving)|(\|lc)|(penalty))"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17"/>
        <v>"%USERPROFILE%\Documents\GitHub\eaglep3\Utilities\RefineRTDCRunTimes.py" --tripid 903-17 --locoid 4056 --swversion DE.1.0.9.0 --startMP 204:1116 --initTime 2017-05-17T08:25:37 --startdatetime 2017-05-17T08:27:24 --delay 1 --endMP 300:24231 --enddatetime 2017-05-17T08:35:11 --enforcementcount 1 &gt;&gt;C:\Users\stu\Documents\GitHub\eaglep3-reporting\EC\2017-05-17-refined-times.txt</v>
      </c>
      <c r="AI218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{"issue":{"subject":"","project_id":79,"tracker_id":40,"status_id":1,"priority_id":2,"assigned_to_id":23,"start_date":"2017-05-17","description":"","custom_fields":[{"id":1,"name":"Subdivision","value":"Other"},{"id":4,"name":"Milepost","value":"2.4231"},{"id":17,"name":"Train ID","value":"903-17"},{"id":16,"name":"Locomotive ID","value":"4056"},{"id":130,"name":"Impact","value":""},{"id":150,"name":"Time of Event (Mountain Time)","value":"08:35:11"},{"id":151,"name":"Denver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9"/>
        <v>start /low /b %USERPROFILE%\Documents\GitHub\eaglep3\Utilities\DownloadLogsFromS3.py --loco 4056 --day 2017-05-17</v>
      </c>
      <c r="AN218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14:35:11"},{"id":29,"name":"Sharepoint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747</v>
      </c>
      <c r="B219" s="7">
        <v>4055</v>
      </c>
      <c r="C219" s="21" t="s">
        <v>206</v>
      </c>
      <c r="D219" s="21" t="s">
        <v>991</v>
      </c>
      <c r="E219" s="13">
        <v>42872.638275462959</v>
      </c>
      <c r="F219" s="13">
        <v>42872.640381944446</v>
      </c>
      <c r="G219" s="7">
        <v>2</v>
      </c>
      <c r="H219" s="21" t="s">
        <v>992</v>
      </c>
      <c r="I219" s="13">
        <v>42872.647662037038</v>
      </c>
      <c r="J219" s="7">
        <v>1</v>
      </c>
      <c r="K219" s="92" t="str">
        <f>IF(ISEVEN(B219),(B219-1)&amp;"/"&amp;B219,B219&amp;"/"&amp;(B219+1))</f>
        <v>4055/4056</v>
      </c>
      <c r="L219" s="21" t="str">
        <f>VLOOKUP(A219,'Trips&amp;Operators'!$C$1:$G$99999,5,FALSE)</f>
        <v>CHANDLER KELVIN</v>
      </c>
      <c r="M219" s="6">
        <f>I219-F219</f>
        <v>7.2800925918272696E-3</v>
      </c>
      <c r="N219" s="7">
        <f>24*60*SUM($M219:$M219)</f>
        <v>10.483333332231268</v>
      </c>
      <c r="O219" s="7"/>
      <c r="P219" s="7"/>
      <c r="Q219" s="22"/>
      <c r="R219" s="190"/>
      <c r="S219" s="196">
        <f>SUM(U219:U219)/IF(AG219="EC",12,1)</f>
        <v>1</v>
      </c>
      <c r="T219" s="190" t="str">
        <f>IF(ISEVEN(LEFT(AD219,4)),"Southbound","NorthBound")</f>
        <v>Southbound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-05-17T14:19:07-0600',mode:absolute,to:'2017-05-17T16:32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9" s="192" t="str">
        <f>IF(AA219&lt;IF(AG219="EC",23,5.65),"Y","N")</f>
        <v>Y</v>
      </c>
      <c r="X219" s="192">
        <f>VALUE(LEFT(AD219,4))-VALUE(LEFT(AD218,4))</f>
        <v>1</v>
      </c>
      <c r="Y219" s="192">
        <f>RIGHT(D219,LEN(D219)-4)/10000</f>
        <v>2.33</v>
      </c>
      <c r="Z219" s="192">
        <f>RIGHT(H219,LEN(H219)-4)/10000</f>
        <v>6.7000000000000004E-2</v>
      </c>
      <c r="AA219" s="192">
        <f>ABS(Z219-Y219)</f>
        <v>2.2629999999999999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0904-17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s3://rtdc.mdm.uploadarchive.raw/RTDC4055/ "%USERPROFILE%\AppData\Local\Temp\OnboardLogs"\RTDC4055\2017-05-17 --exclude "*" --recursive --include "*20170517*" &amp; "%USERPROFILE%\Documents\GitHub\mrs-test-scripts\Headless Mode &amp; Sideloading\WalkAndUnGZ.bat" "%USERPROFILE%\AppData\Local\Temp\OnboardLogs"\RTDC4055\2017-05-17 &amp; 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/stypes="app*4055*20170517*" /stext=" 21:.+((SYSTEM_STATE.+slice.+state.+changed )|(ment ac)|(multiple cpu faults)|(system.+state.+changed )|(\[timeout)|(PRM\|1\|D)|(kpr)|(kdp)|(train st.+moving)|(\|lc)|(penalty))"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17"/>
        <v>"%USERPROFILE%\Documents\GitHub\eaglep3\Utilities\RefineRTDCRunTimes.py" --tripid 904-17 --locoid 4055 --swversion DE.1.0.9.0 --startMP 300:23300 --initTime 2017-05-17T15:19:07 --startdatetime 2017-05-17T15:22:09 --delay 2 --endMP 204:670 --enddatetime 2017-05-17T15:32:38 --enforcementcount 1 &gt;&gt;C:\Users\stu\Documents\GitHub\eaglep3-reporting\EC\2017-05-17-refined-times.txt</v>
      </c>
      <c r="AI219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{"issue":{"subject":"","project_id":79,"tracker_id":40,"status_id":1,"priority_id":2,"assigned_to_id":23,"start_date":"2017-05-17","description":"","custom_fields":[{"id":1,"name":"Subdivision","value":"Other"},{"id":4,"name":"Milepost","value":"0.067"},{"id":17,"name":"Train ID","value":"904-17"},{"id":16,"name":"Locomotive ID","value":"4055"},{"id":130,"name":"Impact","value":""},{"id":150,"name":"Time of Event (Mountain Time)","value":"15:32:38"},{"id":151,"name":"Denver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9"/>
        <v>start /low /b %USERPROFILE%\Documents\GitHub\eaglep3\Utilities\DownloadLogsFromS3.py --loco 4055 --day 2017-05-17</v>
      </c>
      <c r="AN219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21:32:38"},{"id":29,"name":"Sharepoint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790</v>
      </c>
      <c r="B220" s="7">
        <v>4055</v>
      </c>
      <c r="C220" s="21" t="s">
        <v>206</v>
      </c>
      <c r="D220" s="21" t="s">
        <v>572</v>
      </c>
      <c r="E220" s="13">
        <v>42872.803298611114</v>
      </c>
      <c r="F220" s="13">
        <v>42872.8046412037</v>
      </c>
      <c r="G220" s="7">
        <v>1</v>
      </c>
      <c r="H220" s="21" t="s">
        <v>993</v>
      </c>
      <c r="I220" s="13">
        <v>42872.815243055556</v>
      </c>
      <c r="J220" s="7">
        <v>1</v>
      </c>
      <c r="K220" s="92" t="str">
        <f>IF(ISEVEN(B220),(B220-1)&amp;"/"&amp;B220,B220&amp;"/"&amp;(B220+1))</f>
        <v>4055/4056</v>
      </c>
      <c r="L220" s="21" t="str">
        <f>VLOOKUP(A220,'Trips&amp;Operators'!$C$1:$G$99999,5,FALSE)</f>
        <v>CHANDLER KELVIN</v>
      </c>
      <c r="M220" s="6">
        <f>I220-F220</f>
        <v>1.0601851856335998E-2</v>
      </c>
      <c r="N220" s="7">
        <f>24*60*SUM($M220:$M220)</f>
        <v>15.266666673123837</v>
      </c>
      <c r="O220" s="7"/>
      <c r="P220" s="7"/>
      <c r="Q220" s="22"/>
      <c r="R220" s="190"/>
      <c r="S220" s="196">
        <f>SUM(U220:U220)/IF(AG220="EC",12,1)</f>
        <v>1</v>
      </c>
      <c r="T220" s="190" t="str">
        <f>IF(ISEVEN(LEFT(AD220,4)),"Southbound","NorthBound")</f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-05-17T18:16:45-0600',mode:absolute,to:'2017-05-17T20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0" s="192" t="str">
        <f>IF(AA220&lt;IF(AG220="EC",23,5.65),"Y","N")</f>
        <v>N</v>
      </c>
      <c r="X220" s="192">
        <f>VALUE(LEFT(AD220,4))-VALUE(LEFT(AD219,4))</f>
        <v>2</v>
      </c>
      <c r="Y220" s="192">
        <f>RIGHT(D220,LEN(D220)-4)/10000</f>
        <v>5.8659999999999997</v>
      </c>
      <c r="Z220" s="192">
        <f>RIGHT(H220,LEN(H220)-4)/10000</f>
        <v>6.6400000000000001E-2</v>
      </c>
      <c r="AA220" s="192">
        <f>ABS(Z220-Y220)</f>
        <v>5.7995999999999999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>IF(LEN(A220)=6,"0"&amp;A220,A220)</f>
        <v>0906-17</v>
      </c>
      <c r="AE220" s="80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s3://rtdc.mdm.uploadarchive.raw/RTDC4055/ "%USERPROFILE%\AppData\Local\Temp\OnboardLogs"\RTDC4055\2017-05-17 --exclude "*" --recursive --include "*20170517*" &amp; "%USERPROFILE%\Documents\GitHub\mrs-test-scripts\Headless Mode &amp; Sideloading\WalkAndUnGZ.bat" "%USERPROFILE%\AppData\Local\Temp\OnboardLogs"\RTDC4055\2017-05-17 &amp; 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</v>
      </c>
      <c r="AF220" s="77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/stypes="app*4055*20170518*" /stext=" 01:.+((SYSTEM_STATE.+slice.+state.+changed )|(ment ac)|(multiple cpu faults)|(system.+state.+changed )|(\[timeout)|(PRM\|1\|D)|(kpr)|(kdp)|(train st.+moving)|(\|lc)|(penalty))"</v>
      </c>
      <c r="AG220" s="1" t="str">
        <f>IFERROR(IF(VALUE(LEFT(AD220,2))&lt;=2,"EC",IF(OR(VALUE(LEFT(AD220,2))=8,VALUE(LEFT(AD220,2))=18),"NW","Other")),"Other")</f>
        <v>Other</v>
      </c>
      <c r="AH220" s="81" t="str">
        <f t="shared" si="17"/>
        <v>"%USERPROFILE%\Documents\GitHub\eaglep3\Utilities\RefineRTDCRunTimes.py" --tripid 906-17 --locoid 4055 --swversion DE.1.0.9.0 --startMP 300:58660 --initTime 2017-05-17T19:16:45 --startdatetime 2017-05-17T19:18:41 --delay 1 --endMP 204:664 --enddatetime 2017-05-17T19:33:57 --enforcementcount 1 &gt;&gt;C:\Users\stu\Documents\GitHub\eaglep3-reporting\EC\2017-05-17-refined-times.txt</v>
      </c>
      <c r="AI220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{"issue":{"subject":"","project_id":79,"tracker_id":40,"status_id":1,"priority_id":2,"assigned_to_id":23,"start_date":"2017-05-17","description":"","custom_fields":[{"id":1,"name":"Subdivision","value":"Other"},{"id":4,"name":"Milepost","value":"0.0664"},{"id":17,"name":"Train ID","value":"906-17"},{"id":16,"name":"Locomotive ID","value":"4055"},{"id":130,"name":"Impact","value":""},{"id":150,"name":"Time of Event (Mountain Time)","value":"19:33:57"},{"id":151,"name":"Denver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9"/>
        <v>start /low /b %USERPROFILE%\Documents\GitHub\eaglep3\Utilities\DownloadLogsFromS3.py --loco 4055 --day 2017-05-17</v>
      </c>
      <c r="AN220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817</v>
      </c>
      <c r="B221" s="7">
        <v>4055</v>
      </c>
      <c r="C221" s="21" t="s">
        <v>206</v>
      </c>
      <c r="D221" s="21" t="s">
        <v>994</v>
      </c>
      <c r="E221" s="13">
        <v>42872.943101851852</v>
      </c>
      <c r="F221" s="13">
        <v>42872.944618055553</v>
      </c>
      <c r="G221" s="7">
        <v>1</v>
      </c>
      <c r="H221" s="21" t="s">
        <v>995</v>
      </c>
      <c r="I221" s="13">
        <v>42872.949548611112</v>
      </c>
      <c r="J221" s="7">
        <v>1</v>
      </c>
      <c r="K221" s="92" t="str">
        <f>IF(ISEVEN(B221),(B221-1)&amp;"/"&amp;B221,B221&amp;"/"&amp;(B221+1))</f>
        <v>4055/4056</v>
      </c>
      <c r="L221" s="21" t="str">
        <f>VLOOKUP(A221,'Trips&amp;Operators'!$C$1:$G$99999,5,FALSE)</f>
        <v>CHANDLER KELVIN</v>
      </c>
      <c r="M221" s="6">
        <f>I221-F221</f>
        <v>4.9305555585306138E-3</v>
      </c>
      <c r="N221" s="7">
        <f>24*60*SUM($M221:$M221)</f>
        <v>7.1000000042840838</v>
      </c>
      <c r="O221" s="7"/>
      <c r="P221" s="7"/>
      <c r="Q221" s="22"/>
      <c r="R221" s="190"/>
      <c r="S221" s="196">
        <f>SUM(U221:U221)/IF(AG221="EC",12,1)</f>
        <v>0</v>
      </c>
      <c r="T221" s="190" t="str">
        <f>IF(ISEVEN(LEFT(AD221,4)),"Southbound","NorthBound")</f>
        <v>Southbound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-05-17T21:38:04-0600',mode:absolute,to:'2017-05-17T23:47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1" s="192" t="str">
        <f>IF(AA221&lt;IF(AG221="EC",23,5.65),"Y","N")</f>
        <v>Y</v>
      </c>
      <c r="X221" s="192">
        <f>VALUE(LEFT(AD221,4))-VALUE(LEFT(AD220,4))</f>
        <v>2</v>
      </c>
      <c r="Y221" s="192">
        <f>RIGHT(D221,LEN(D221)-4)/10000</f>
        <v>5.8692000000000002</v>
      </c>
      <c r="Z221" s="192">
        <f>RIGHT(H221,LEN(H221)-4)/10000</f>
        <v>2.1543000000000001</v>
      </c>
      <c r="AA221" s="192">
        <f>ABS(Z221-Y221)</f>
        <v>3.7149000000000001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>IF(LEN(A221)=6,"0"&amp;A221,A221)</f>
        <v>0908-17</v>
      </c>
      <c r="AE221" s="80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s3://rtdc.mdm.uploadarchive.raw/RTDC4055/ "%USERPROFILE%\AppData\Local\Temp\OnboardLogs"\RTDC4055\2017-05-17 --exclude "*" --recursive --include "*20170517*" &amp; "%USERPROFILE%\Documents\GitHub\mrs-test-scripts\Headless Mode &amp; Sideloading\WalkAndUnGZ.bat" "%USERPROFILE%\AppData\Local\Temp\OnboardLogs"\RTDC4055\2017-05-17 &amp; aws s3 cp s3://rtdc.mdm.uploadarchive.raw/RTDC4055/ "%USERPROFILE%\AppData\Local\Temp\OnboardLogs"\RTDC4055\2017-05-18 --exclude "*" --recursive --include "*20170518*" &amp; "%USERPROFILE%\Documents\GitHub\mrs-test-scripts\Headless Mode &amp; Sideloading\WalkAndUnGZ.bat" "%USERPROFILE%\AppData\Local\Temp\OnboardLogs"\RTDC4055\2017-05-18</v>
      </c>
      <c r="AF221" s="77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/stypes="app*4055*20170518*" /stext=" 04:.+((SYSTEM_STATE.+slice.+state.+changed )|(ment ac)|(multiple cpu faults)|(system.+state.+changed )|(\[timeout)|(PRM\|1\|D)|(kpr)|(kdp)|(train st.+moving)|(\|lc)|(penalty))"</v>
      </c>
      <c r="AG221" s="1" t="str">
        <f>IFERROR(IF(VALUE(LEFT(AD221,2))&lt;=2,"EC",IF(OR(VALUE(LEFT(AD221,2))=8,VALUE(LEFT(AD221,2))=18),"NW","Other")),"Other")</f>
        <v>Other</v>
      </c>
      <c r="AH221" s="81" t="str">
        <f t="shared" si="17"/>
        <v>"%USERPROFILE%\Documents\GitHub\eaglep3\Utilities\RefineRTDCRunTimes.py" --tripid 908-17 --locoid 4055 --swversion DE.1.0.9.0 --startMP 300:58692 --initTime 2017-05-17T22:38:04 --startdatetime 2017-05-17T22:40:15 --delay 1 --endMP 300:21543 --enddatetime 2017-05-17T22:47:21 --enforcementcount 1 &gt;&gt;C:\Users\stu\Documents\GitHub\eaglep3-reporting\EC\2017-05-17-refined-times.txt</v>
      </c>
      <c r="AI221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{"issue":{"subject":"","project_id":79,"tracker_id":40,"status_id":1,"priority_id":2,"assigned_to_id":23,"start_date":"2017-05-17","description":"","custom_fields":[{"id":1,"name":"Subdivision","value":"Other"},{"id":4,"name":"Milepost","value":"2.1543"},{"id":17,"name":"Train ID","value":"908-17"},{"id":16,"name":"Locomotive ID","value":"4055"},{"id":130,"name":"Impact","value":""},{"id":150,"name":"Time of Event (Mountain Time)","value":"22:47:21"},{"id":151,"name":"Denver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9"/>
        <v>start /low /b %USERPROFILE%\Documents\GitHub\eaglep3\Utilities\DownloadLogsFromS3.py --loco 4055 --day 2017-05-17</v>
      </c>
      <c r="AN221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04:47:21"},{"id":29,"name":"Sharepoint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814</v>
      </c>
      <c r="B222" s="7">
        <v>4049</v>
      </c>
      <c r="C222" s="21" t="s">
        <v>206</v>
      </c>
      <c r="D222" s="21" t="s">
        <v>912</v>
      </c>
      <c r="E222" s="13">
        <v>42872.953750000001</v>
      </c>
      <c r="F222" s="13">
        <v>42872.95789351852</v>
      </c>
      <c r="G222" s="7">
        <v>2</v>
      </c>
      <c r="H222" s="21" t="s">
        <v>846</v>
      </c>
      <c r="I222" s="13">
        <v>42872.990347222221</v>
      </c>
      <c r="J222" s="7">
        <v>1</v>
      </c>
      <c r="K222" s="92" t="str">
        <f>IF(ISEVEN(B222),(B222-1)&amp;"/"&amp;B222,B222&amp;"/"&amp;(B222+1))</f>
        <v>4049/4050</v>
      </c>
      <c r="L222" s="21" t="str">
        <f>VLOOKUP(A222,'Trips&amp;Operators'!$C$1:$G$99999,5,FALSE)</f>
        <v>SULLIVAN BRANDON</v>
      </c>
      <c r="M222" s="6">
        <f>I222-F222</f>
        <v>3.2453703701321501E-2</v>
      </c>
      <c r="N222" s="7">
        <f>24*60*SUM($M222:$M222)</f>
        <v>46.733333329902962</v>
      </c>
      <c r="O222" s="7"/>
      <c r="P222" s="7"/>
      <c r="Q222" s="22"/>
      <c r="R222" s="190"/>
      <c r="S222" s="196">
        <f>SUM(U222:U222)/IF(AG222="EC",12,1)</f>
        <v>0</v>
      </c>
      <c r="T222" s="190" t="str">
        <f>IF(ISEVEN(LEFT(AD222,4)),"Southbound","NorthBound")</f>
        <v>NorthBound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-05-17T21:53:24-0600',mode:absolute,to:'2017-05-18T00:46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2" s="192" t="str">
        <f>IF(AA222&lt;IF(AG222="EC",23,5.65),"Y","N")</f>
        <v>N</v>
      </c>
      <c r="X222" s="192">
        <f>VALUE(LEFT(AD222,4))-VALUE(LEFT(AD221,4))</f>
        <v>3141</v>
      </c>
      <c r="Y222" s="192">
        <f>RIGHT(D222,LEN(D222)-4)/10000</f>
        <v>23.308700000000002</v>
      </c>
      <c r="Z222" s="192">
        <f>RIGHT(H222,LEN(H222)-4)/10000</f>
        <v>1.29E-2</v>
      </c>
      <c r="AA222" s="192">
        <f>ABS(Z222-Y222)</f>
        <v>23.295800000000003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>IF(LEN(A222)=6,"0"&amp;A222,A222)</f>
        <v>4049-17</v>
      </c>
      <c r="AE222" s="80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 &amp; aws s3 cp s3://rtdc.mdm.uploadarchive.raw/RTDC4049/ "%USERPROFILE%\AppData\Local\Temp\OnboardLogs"\RTDC4049\2017-05-18 --exclude "*" --recursive --include "*20170518*" &amp; "%USERPROFILE%\Documents\GitHub\mrs-test-scripts\Headless Mode &amp; Sideloading\WalkAndUnGZ.bat" "%USERPROFILE%\AppData\Local\Temp\OnboardLogs"\RTDC4049\2017-05-18</v>
      </c>
      <c r="AF222" s="77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/stypes="app*4049*20170518*" /stext=" 05:.+((SYSTEM_STATE.+slice.+state.+changed )|(ment ac)|(multiple cpu faults)|(system.+state.+changed )|(\[timeout)|(PRM\|1\|D)|(kpr)|(kdp)|(train st.+moving)|(\|lc)|(penalty))"</v>
      </c>
      <c r="AG222" s="1" t="str">
        <f>IFERROR(IF(VALUE(LEFT(AD222,2))&lt;=2,"EC",IF(OR(VALUE(LEFT(AD222,2))=8,VALUE(LEFT(AD222,2))=18),"NW","Other")),"Other")</f>
        <v>Other</v>
      </c>
      <c r="AH222" s="81" t="str">
        <f t="shared" si="17"/>
        <v>"%USERPROFILE%\Documents\GitHub\eaglep3\Utilities\RefineRTDCRunTimes.py" --tripid 4049-17 --locoid 4049 --swversion DE.1.0.9.0 --startMP 204:233087 --initTime 2017-05-17T22:53:24 --startdatetime 2017-05-17T22:59:22 --delay 2 --endMP 204:129 --enddatetime 2017-05-17T23:46:06 --enforcementcount 1 &gt;&gt;C:\Users\stu\Documents\GitHub\eaglep3-reporting\EC\2017-05-17-refined-times.txt</v>
      </c>
      <c r="AI222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{"issue":{"subject":"","project_id":79,"tracker_id":40,"status_id":1,"priority_id":2,"assigned_to_id":23,"start_date":"2017-05-17","description":"","custom_fields":[{"id":1,"name":"Subdivision","value":"Other"},{"id":4,"name":"Milepost","value":"0.0129"},{"id":17,"name":"Train ID","value":"4049-17"},{"id":16,"name":"Locomotive ID","value":"4049"},{"id":130,"name":"Impact","value":""},{"id":150,"name":"Time of Event (Mountain Time)","value":"23:46:06"},{"id":151,"name":"Denver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9"/>
        <v>start /low /b %USERPROFILE%\Documents\GitHub\eaglep3\Utilities\DownloadLogsFromS3.py --loco 4049 --day 2017-05-17</v>
      </c>
      <c r="AN222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05:46:06"},{"id":29,"name":"Sharepoint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814</v>
      </c>
      <c r="B223" s="7">
        <v>4049</v>
      </c>
      <c r="C223" s="21" t="s">
        <v>206</v>
      </c>
      <c r="D223" s="21" t="s">
        <v>483</v>
      </c>
      <c r="E223" s="13">
        <v>42872.931562500002</v>
      </c>
      <c r="F223" s="13">
        <v>42872.95789351852</v>
      </c>
      <c r="G223" s="7">
        <v>2</v>
      </c>
      <c r="H223" s="21" t="s">
        <v>913</v>
      </c>
      <c r="I223" s="13">
        <v>42872.990347222221</v>
      </c>
      <c r="J223" s="7">
        <v>1</v>
      </c>
      <c r="K223" s="92" t="str">
        <f>IF(ISEVEN(B223),(B223-1)&amp;"/"&amp;B223,B223&amp;"/"&amp;(B223+1))</f>
        <v>4049/4050</v>
      </c>
      <c r="L223" s="21" t="str">
        <f>VLOOKUP(A223,'Trips&amp;Operators'!$C$1:$G$99999,5,FALSE)</f>
        <v>SULLIVAN BRANDON</v>
      </c>
      <c r="M223" s="6">
        <f>I223-F223</f>
        <v>3.2453703701321501E-2</v>
      </c>
      <c r="N223" s="7">
        <f>24*60*SUM($M223:$M223)</f>
        <v>46.733333329902962</v>
      </c>
      <c r="O223" s="7"/>
      <c r="P223" s="7"/>
      <c r="Q223" s="22"/>
      <c r="R223" s="190"/>
      <c r="S223" s="196">
        <f>SUM(U223:U223)/IF(AG223="EC",12,1)</f>
        <v>0</v>
      </c>
      <c r="T223" s="190" t="str">
        <f>IF(ISEVEN(LEFT(AD223,4)),"Southbound","NorthBound")</f>
        <v>NorthBound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-05-17T21:21:27-0600',mode:absolute,to:'2017-05-18T00:46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3" s="192" t="str">
        <f>IF(AA223&lt;IF(AG223="EC",23,5.65),"Y","N")</f>
        <v>Y</v>
      </c>
      <c r="X223" s="192">
        <f>VALUE(LEFT(AD223,4))-VALUE(LEFT(AD222,4))</f>
        <v>0</v>
      </c>
      <c r="Y223" s="192">
        <f>RIGHT(D223,LEN(D223)-4)/10000</f>
        <v>23.311299999999999</v>
      </c>
      <c r="Z223" s="192">
        <f>RIGHT(H223,LEN(H223)-4)/10000</f>
        <v>23.215</v>
      </c>
      <c r="AA223" s="192">
        <f>ABS(Z223-Y223)</f>
        <v>9.6299999999999386E-2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>IF(LEN(A223)=6,"0"&amp;A223,A223)</f>
        <v>4049-17</v>
      </c>
      <c r="AE223" s="80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 &amp; aws s3 cp s3://rtdc.mdm.uploadarchive.raw/RTDC4049/ "%USERPROFILE%\AppData\Local\Temp\OnboardLogs"\RTDC4049\2017-05-18 --exclude "*" --recursive --include "*20170518*" &amp; "%USERPROFILE%\Documents\GitHub\mrs-test-scripts\Headless Mode &amp; Sideloading\WalkAndUnGZ.bat" "%USERPROFILE%\AppData\Local\Temp\OnboardLogs"\RTDC4049\2017-05-18</v>
      </c>
      <c r="AF223" s="77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/stypes="app*4049*20170518*" /stext=" 05:.+((SYSTEM_STATE.+slice.+state.+changed )|(ment ac)|(multiple cpu faults)|(system.+state.+changed )|(\[timeout)|(PRM\|1\|D)|(kpr)|(kdp)|(train st.+moving)|(\|lc)|(penalty))"</v>
      </c>
      <c r="AG223" s="1" t="str">
        <f>IFERROR(IF(VALUE(LEFT(AD223,2))&lt;=2,"EC",IF(OR(VALUE(LEFT(AD223,2))=8,VALUE(LEFT(AD223,2))=18),"NW","Other")),"Other")</f>
        <v>Other</v>
      </c>
      <c r="AH223" s="81" t="str">
        <f t="shared" si="17"/>
        <v>"%USERPROFILE%\Documents\GitHub\eaglep3\Utilities\RefineRTDCRunTimes.py" --tripid 4049-17 --locoid 4049 --swversion DE.1.0.9.0 --startMP 204:233113 --initTime 2017-05-17T22:21:27 --startdatetime 2017-05-17T22:59:22 --delay 2 --endMP 204:232150 --enddatetime 2017-05-17T23:46:06 --enforcementcount 1 &gt;&gt;C:\Users\stu\Documents\GitHub\eaglep3-reporting\EC\2017-05-17-refined-times.txt</v>
      </c>
      <c r="AI223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{"issue":{"subject":"","project_id":79,"tracker_id":40,"status_id":1,"priority_id":2,"assigned_to_id":23,"start_date":"2017-05-17","description":"","custom_fields":[{"id":1,"name":"Subdivision","value":"Other"},{"id":4,"name":"Milepost","value":"23.215"},{"id":17,"name":"Train ID","value":"4049-17"},{"id":16,"name":"Locomotive ID","value":"4049"},{"id":130,"name":"Impact","value":""},{"id":150,"name":"Time of Event (Mountain Time)","value":"23:46:06"},{"id":151,"name":"Denver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9"/>
        <v>start /low /b %USERPROFILE%\Documents\GitHub\eaglep3\Utilities\DownloadLogsFromS3.py --loco 4049 --day 2017-05-17</v>
      </c>
      <c r="AN223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05:46:06"},{"id":29,"name":"Sharepoint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814</v>
      </c>
      <c r="B224" s="7">
        <v>4049</v>
      </c>
      <c r="C224" s="21" t="s">
        <v>206</v>
      </c>
      <c r="D224" s="21" t="s">
        <v>483</v>
      </c>
      <c r="E224" s="13">
        <v>42872.94085648148</v>
      </c>
      <c r="F224" s="13">
        <v>42872.95789351852</v>
      </c>
      <c r="G224" s="7">
        <v>1</v>
      </c>
      <c r="H224" s="21" t="s">
        <v>914</v>
      </c>
      <c r="I224" s="13">
        <v>42872.990347222221</v>
      </c>
      <c r="J224" s="7">
        <v>1</v>
      </c>
      <c r="K224" s="92" t="str">
        <f>IF(ISEVEN(B224),(B224-1)&amp;"/"&amp;B224,B224&amp;"/"&amp;(B224+1))</f>
        <v>4049/4050</v>
      </c>
      <c r="L224" s="21" t="str">
        <f>VLOOKUP(A224,'Trips&amp;Operators'!$C$1:$G$99999,5,FALSE)</f>
        <v>SULLIVAN BRANDON</v>
      </c>
      <c r="M224" s="6">
        <f>I224-F224</f>
        <v>3.2453703701321501E-2</v>
      </c>
      <c r="N224" s="7">
        <f>24*60*SUM($M224:$M224)</f>
        <v>46.733333329902962</v>
      </c>
      <c r="O224" s="7"/>
      <c r="P224" s="7"/>
      <c r="Q224" s="22"/>
      <c r="R224" s="190"/>
      <c r="S224" s="196">
        <f>SUM(U224:U224)/IF(AG224="EC",12,1)</f>
        <v>0</v>
      </c>
      <c r="T224" s="190" t="str">
        <f>IF(ISEVEN(LEFT(AD224,4)),"Southbound","NorthBound")</f>
        <v>NorthBound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-05-17T21:34:50-0600',mode:absolute,to:'2017-05-18T00:46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4" s="192" t="str">
        <f>IF(AA224&lt;IF(AG224="EC",23,5.65),"Y","N")</f>
        <v>Y</v>
      </c>
      <c r="X224" s="192">
        <f>VALUE(LEFT(AD224,4))-VALUE(LEFT(AD223,4))</f>
        <v>0</v>
      </c>
      <c r="Y224" s="192">
        <f>RIGHT(D224,LEN(D224)-4)/10000</f>
        <v>23.311299999999999</v>
      </c>
      <c r="Z224" s="192">
        <f>RIGHT(H224,LEN(H224)-4)/10000</f>
        <v>23.214099999999998</v>
      </c>
      <c r="AA224" s="192">
        <f>ABS(Z224-Y224)</f>
        <v>9.7200000000000841E-2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>IF(LEN(A224)=6,"0"&amp;A224,A224)</f>
        <v>4049-17</v>
      </c>
      <c r="AE224" s="80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 &amp; aws s3 cp s3://rtdc.mdm.uploadarchive.raw/RTDC4049/ "%USERPROFILE%\AppData\Local\Temp\OnboardLogs"\RTDC4049\2017-05-18 --exclude "*" --recursive --include "*20170518*" &amp; "%USERPROFILE%\Documents\GitHub\mrs-test-scripts\Headless Mode &amp; Sideloading\WalkAndUnGZ.bat" "%USERPROFILE%\AppData\Local\Temp\OnboardLogs"\RTDC4049\2017-05-18</v>
      </c>
      <c r="AF224" s="77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/stypes="app*4049*20170518*" /stext=" 05:.+((SYSTEM_STATE.+slice.+state.+changed )|(ment ac)|(multiple cpu faults)|(system.+state.+changed )|(\[timeout)|(PRM\|1\|D)|(kpr)|(kdp)|(train st.+moving)|(\|lc)|(penalty))"</v>
      </c>
      <c r="AG224" s="1" t="str">
        <f>IFERROR(IF(VALUE(LEFT(AD224,2))&lt;=2,"EC",IF(OR(VALUE(LEFT(AD224,2))=8,VALUE(LEFT(AD224,2))=18),"NW","Other")),"Other")</f>
        <v>Other</v>
      </c>
      <c r="AH224" s="81" t="str">
        <f t="shared" si="17"/>
        <v>"%USERPROFILE%\Documents\GitHub\eaglep3\Utilities\RefineRTDCRunTimes.py" --tripid 4049-17 --locoid 4049 --swversion DE.1.0.9.0 --startMP 204:233113 --initTime 2017-05-17T22:34:50 --startdatetime 2017-05-17T22:59:22 --delay 1 --endMP 204:232141 --enddatetime 2017-05-17T23:46:06 --enforcementcount 1 &gt;&gt;C:\Users\stu\Documents\GitHub\eaglep3-reporting\EC\2017-05-17-refined-times.txt</v>
      </c>
      <c r="AI224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{"issue":{"subject":"","project_id":79,"tracker_id":40,"status_id":1,"priority_id":2,"assigned_to_id":23,"start_date":"2017-05-17","description":"","custom_fields":[{"id":1,"name":"Subdivision","value":"Other"},{"id":4,"name":"Milepost","value":"23.2141"},{"id":17,"name":"Train ID","value":"4049-17"},{"id":16,"name":"Locomotive ID","value":"4049"},{"id":130,"name":"Impact","value":""},{"id":150,"name":"Time of Event (Mountain Time)","value":"23:46:06"},{"id":151,"name":"Denver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9"/>
        <v>start /low /b %USERPROFILE%\Documents\GitHub\eaglep3\Utilities\DownloadLogsFromS3.py --loco 4049 --day 2017-05-17</v>
      </c>
      <c r="AN224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05:46:06"},{"id":29,"name":"Sharepoint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816</v>
      </c>
      <c r="B225" s="7">
        <v>4050</v>
      </c>
      <c r="C225" s="21" t="s">
        <v>206</v>
      </c>
      <c r="D225" s="21" t="s">
        <v>915</v>
      </c>
      <c r="E225" s="13">
        <v>42872.944699074076</v>
      </c>
      <c r="F225" s="13">
        <v>42872.946319444447</v>
      </c>
      <c r="G225" s="7">
        <v>1</v>
      </c>
      <c r="H225" s="21" t="s">
        <v>916</v>
      </c>
      <c r="I225" s="13">
        <v>42872.947893518518</v>
      </c>
      <c r="J225" s="7">
        <v>1</v>
      </c>
      <c r="K225" s="92" t="str">
        <f>IF(ISEVEN(B225),(B225-1)&amp;"/"&amp;B225,B225&amp;"/"&amp;(B225+1))</f>
        <v>4049/4050</v>
      </c>
      <c r="L225" s="21" t="str">
        <f>VLOOKUP(A225,'Trips&amp;Operators'!$C$1:$G$99999,5,FALSE)</f>
        <v>SULLIVAN BRANDON</v>
      </c>
      <c r="M225" s="6">
        <f>I225-F225</f>
        <v>1.5740740709588863E-3</v>
      </c>
      <c r="N225" s="7">
        <f>24*60*SUM($M225:$M225)</f>
        <v>2.2666666621807963</v>
      </c>
      <c r="O225" s="7"/>
      <c r="P225" s="7"/>
      <c r="Q225" s="22"/>
      <c r="R225" s="190"/>
      <c r="S225" s="196">
        <f>SUM(U225:U225)/IF(AG225="EC",12,1)</f>
        <v>0</v>
      </c>
      <c r="T225" s="190" t="str">
        <f>IF(ISEVEN(LEFT(AD225,4)),"Southbound","NorthBound")</f>
        <v>Southbound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-05-17T21:40:22-0600',mode:absolute,to:'2017-05-17T23:44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5" s="192" t="str">
        <f>IF(AA225&lt;IF(AG225="EC",23,5.65),"Y","N")</f>
        <v>Y</v>
      </c>
      <c r="X225" s="192">
        <f>VALUE(LEFT(AD225,4))-VALUE(LEFT(AD224,4))</f>
        <v>1</v>
      </c>
      <c r="Y225" s="192">
        <f>RIGHT(D225,LEN(D225)-4)/10000</f>
        <v>23.246200000000002</v>
      </c>
      <c r="Z225" s="192">
        <f>RIGHT(H225,LEN(H225)-4)/10000</f>
        <v>23.338100000000001</v>
      </c>
      <c r="AA225" s="192">
        <f>ABS(Z225-Y225)</f>
        <v>9.1899999999998983E-2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>IF(LEN(A225)=6,"0"&amp;A225,A225)</f>
        <v>4050-17</v>
      </c>
      <c r="AE225" s="80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 &amp; aws s3 cp s3://rtdc.mdm.uploadarchive.raw/RTDC4050/ "%USERPROFILE%\AppData\Local\Temp\OnboardLogs"\RTDC4050\2017-05-18 --exclude "*" --recursive --include "*20170518*" &amp; "%USERPROFILE%\Documents\GitHub\mrs-test-scripts\Headless Mode &amp; Sideloading\WalkAndUnGZ.bat" "%USERPROFILE%\AppData\Local\Temp\OnboardLogs"\RTDC4050\2017-05-18</v>
      </c>
      <c r="AF225" s="77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/stypes="app*4050*20170518*" /stext=" 04:.+((SYSTEM_STATE.+slice.+state.+changed )|(ment ac)|(multiple cpu faults)|(system.+state.+changed )|(\[timeout)|(PRM\|1\|D)|(kpr)|(kdp)|(train st.+moving)|(\|lc)|(penalty))"</v>
      </c>
      <c r="AG225" s="1" t="str">
        <f>IFERROR(IF(VALUE(LEFT(AD225,2))&lt;=2,"EC",IF(OR(VALUE(LEFT(AD225,2))=8,VALUE(LEFT(AD225,2))=18),"NW","Other")),"Other")</f>
        <v>Other</v>
      </c>
      <c r="AH225" s="81" t="str">
        <f t="shared" si="17"/>
        <v>"%USERPROFILE%\Documents\GitHub\eaglep3\Utilities\RefineRTDCRunTimes.py" --tripid 4050-17 --locoid 4050 --swversion DE.1.0.9.0 --startMP 204:232462 --initTime 2017-05-17T22:40:22 --startdatetime 2017-05-17T22:42:42 --delay 1 --endMP 204:233381 --enddatetime 2017-05-17T22:44:58 --enforcementcount 1 &gt;&gt;C:\Users\stu\Documents\GitHub\eaglep3-reporting\EC\2017-05-17-refined-times.txt</v>
      </c>
      <c r="AI225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{"issue":{"subject":"","project_id":79,"tracker_id":40,"status_id":1,"priority_id":2,"assigned_to_id":23,"start_date":"2017-05-17","description":"","custom_fields":[{"id":1,"name":"Subdivision","value":"Other"},{"id":4,"name":"Milepost","value":"23.3381"},{"id":17,"name":"Train ID","value":"4050-17"},{"id":16,"name":"Locomotive ID","value":"4050"},{"id":130,"name":"Impact","value":""},{"id":150,"name":"Time of Event (Mountain Time)","value":"22:44:58"},{"id":151,"name":"Denver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9"/>
        <v>start /low /b %USERPROFILE%\Documents\GitHub\eaglep3\Utilities\DownloadLogsFromS3.py --loco 4050 --day 2017-05-17</v>
      </c>
      <c r="AN225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04:44:58"},{"id":29,"name":"Sharepoint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816</v>
      </c>
      <c r="B226" s="7">
        <v>4050</v>
      </c>
      <c r="C226" s="21" t="s">
        <v>206</v>
      </c>
      <c r="D226" s="21" t="s">
        <v>917</v>
      </c>
      <c r="E226" s="13">
        <v>42872.936689814815</v>
      </c>
      <c r="F226" s="13">
        <v>42872.946319444447</v>
      </c>
      <c r="G226" s="7">
        <v>2</v>
      </c>
      <c r="H226" s="21" t="s">
        <v>918</v>
      </c>
      <c r="I226" s="13">
        <v>42872.947893518518</v>
      </c>
      <c r="J226" s="7">
        <v>1</v>
      </c>
      <c r="K226" s="92" t="str">
        <f>IF(ISEVEN(B226),(B226-1)&amp;"/"&amp;B226,B226&amp;"/"&amp;(B226+1))</f>
        <v>4049/4050</v>
      </c>
      <c r="L226" s="21" t="str">
        <f>VLOOKUP(A226,'Trips&amp;Operators'!$C$1:$G$99999,5,FALSE)</f>
        <v>SULLIVAN BRANDON</v>
      </c>
      <c r="M226" s="6">
        <f>I226-F226</f>
        <v>1.5740740709588863E-3</v>
      </c>
      <c r="N226" s="7">
        <f>24*60*SUM($M226:$M226)</f>
        <v>2.2666666621807963</v>
      </c>
      <c r="O226" s="7"/>
      <c r="P226" s="7"/>
      <c r="Q226" s="22"/>
      <c r="R226" s="190"/>
      <c r="S226" s="196">
        <f>SUM(U226:U226)/IF(AG226="EC",12,1)</f>
        <v>0</v>
      </c>
      <c r="T226" s="190" t="str">
        <f>IF(ISEVEN(LEFT(AD226,4)),"Southbound","NorthBound")</f>
        <v>Southbound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-05-17T21:28:50-0600',mode:absolute,to:'2017-05-17T23:44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6" s="192" t="str">
        <f>IF(AA226&lt;IF(AG226="EC",23,5.65),"Y","N")</f>
        <v>Y</v>
      </c>
      <c r="X226" s="192">
        <f>VALUE(LEFT(AD226,4))-VALUE(LEFT(AD225,4))</f>
        <v>0</v>
      </c>
      <c r="Y226" s="192">
        <f>RIGHT(D226,LEN(D226)-4)/10000</f>
        <v>23.2468</v>
      </c>
      <c r="Z226" s="192">
        <f>RIGHT(H226,LEN(H226)-4)/10000</f>
        <v>23.3398</v>
      </c>
      <c r="AA226" s="192">
        <f>ABS(Z226-Y226)</f>
        <v>9.2999999999999972E-2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>IF(LEN(A226)=6,"0"&amp;A226,A226)</f>
        <v>4050-17</v>
      </c>
      <c r="AE226" s="80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 &amp; aws s3 cp s3://rtdc.mdm.uploadarchive.raw/RTDC4050/ "%USERPROFILE%\AppData\Local\Temp\OnboardLogs"\RTDC4050\2017-05-18 --exclude "*" --recursive --include "*20170518*" &amp; "%USERPROFILE%\Documents\GitHub\mrs-test-scripts\Headless Mode &amp; Sideloading\WalkAndUnGZ.bat" "%USERPROFILE%\AppData\Local\Temp\OnboardLogs"\RTDC4050\2017-05-18</v>
      </c>
      <c r="AF226" s="77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/stypes="app*4050*20170518*" /stext=" 04:.+((SYSTEM_STATE.+slice.+state.+changed )|(ment ac)|(multiple cpu faults)|(system.+state.+changed )|(\[timeout)|(PRM\|1\|D)|(kpr)|(kdp)|(train st.+moving)|(\|lc)|(penalty))"</v>
      </c>
      <c r="AG226" s="1" t="str">
        <f>IFERROR(IF(VALUE(LEFT(AD226,2))&lt;=2,"EC",IF(OR(VALUE(LEFT(AD226,2))=8,VALUE(LEFT(AD226,2))=18),"NW","Other")),"Other")</f>
        <v>Other</v>
      </c>
      <c r="AH226" s="81" t="str">
        <f t="shared" si="17"/>
        <v>"%USERPROFILE%\Documents\GitHub\eaglep3\Utilities\RefineRTDCRunTimes.py" --tripid 4050-17 --locoid 4050 --swversion DE.1.0.9.0 --startMP 204:232468 --initTime 2017-05-17T22:28:50 --startdatetime 2017-05-17T22:42:42 --delay 2 --endMP 204:233398 --enddatetime 2017-05-17T22:44:58 --enforcementcount 1 &gt;&gt;C:\Users\stu\Documents\GitHub\eaglep3-reporting\EC\2017-05-17-refined-times.txt</v>
      </c>
      <c r="AI226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{"issue":{"subject":"","project_id":79,"tracker_id":40,"status_id":1,"priority_id":2,"assigned_to_id":23,"start_date":"2017-05-17","description":"","custom_fields":[{"id":1,"name":"Subdivision","value":"Other"},{"id":4,"name":"Milepost","value":"23.3398"},{"id":17,"name":"Train ID","value":"4050-17"},{"id":16,"name":"Locomotive ID","value":"4050"},{"id":130,"name":"Impact","value":""},{"id":150,"name":"Time of Event (Mountain Time)","value":"22:44:58"},{"id":151,"name":"Denver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9"/>
        <v>start /low /b %USERPROFILE%\Documents\GitHub\eaglep3\Utilities\DownloadLogsFromS3.py --loco 4050 --day 2017-05-17</v>
      </c>
      <c r="AN226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04:44:58"},{"id":29,"name":"Sharepoint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816</v>
      </c>
      <c r="B227" s="7">
        <v>4050</v>
      </c>
      <c r="C227" s="21" t="s">
        <v>206</v>
      </c>
      <c r="D227" s="21" t="s">
        <v>919</v>
      </c>
      <c r="E227" s="13">
        <v>42872.992361111108</v>
      </c>
      <c r="F227" s="13">
        <v>42872.994259259256</v>
      </c>
      <c r="G227" s="7">
        <v>1</v>
      </c>
      <c r="H227" s="21" t="s">
        <v>920</v>
      </c>
      <c r="I227" s="13">
        <v>42873.002997685187</v>
      </c>
      <c r="J227" s="7">
        <v>1</v>
      </c>
      <c r="K227" s="92" t="str">
        <f>IF(ISEVEN(B227),(B227-1)&amp;"/"&amp;B227,B227&amp;"/"&amp;(B227+1))</f>
        <v>4049/4050</v>
      </c>
      <c r="L227" s="21" t="str">
        <f>VLOOKUP(A227,'Trips&amp;Operators'!$C$1:$G$99999,5,FALSE)</f>
        <v>SULLIVAN BRANDON</v>
      </c>
      <c r="M227" s="6">
        <f>I227-F227</f>
        <v>8.7384259313694201E-3</v>
      </c>
      <c r="N227" s="7">
        <f>24*60*SUM($M227:$M227)</f>
        <v>12.583333341171965</v>
      </c>
      <c r="O227" s="7"/>
      <c r="P227" s="7"/>
      <c r="Q227" s="22"/>
      <c r="R227" s="190"/>
      <c r="S227" s="196">
        <f>SUM(U227:U227)/IF(AG227="EC",12,1)</f>
        <v>0</v>
      </c>
      <c r="T227" s="190" t="str">
        <f>IF(ISEVEN(LEFT(AD227,4)),"Southbound","NorthBound")</f>
        <v>Southbound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-05-17T22:49:00-0600',mode:absolute,to:'2017-05-18T01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7" s="192" t="str">
        <f>IF(AA227&lt;IF(AG227="EC",23,5.65),"Y","N")</f>
        <v>Y</v>
      </c>
      <c r="X227" s="192">
        <f>VALUE(LEFT(AD227,4))-VALUE(LEFT(AD226,4))</f>
        <v>0</v>
      </c>
      <c r="Y227" s="192">
        <f>RIGHT(D227,LEN(D227)-4)/10000</f>
        <v>4.3700000000000003E-2</v>
      </c>
      <c r="Z227" s="192">
        <f>RIGHT(H227,LEN(H227)-4)/10000</f>
        <v>2.3300999999999998</v>
      </c>
      <c r="AA227" s="192">
        <f>ABS(Z227-Y227)</f>
        <v>2.2864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>IF(LEN(A227)=6,"0"&amp;A227,A227)</f>
        <v>4050-17</v>
      </c>
      <c r="AE227" s="80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 &amp; aws s3 cp s3://rtdc.mdm.uploadarchive.raw/RTDC4050/ "%USERPROFILE%\AppData\Local\Temp\OnboardLogs"\RTDC4050\2017-05-18 --exclude "*" --recursive --include "*20170518*" &amp; "%USERPROFILE%\Documents\GitHub\mrs-test-scripts\Headless Mode &amp; Sideloading\WalkAndUnGZ.bat" "%USERPROFILE%\AppData\Local\Temp\OnboardLogs"\RTDC4050\2017-05-18</v>
      </c>
      <c r="AF227" s="77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/stypes="app*4050*20170518*" /stext=" 06:.+((SYSTEM_STATE.+slice.+state.+changed )|(ment ac)|(multiple cpu faults)|(system.+state.+changed )|(\[timeout)|(PRM\|1\|D)|(kpr)|(kdp)|(train st.+moving)|(\|lc)|(penalty))"</v>
      </c>
      <c r="AG227" s="1" t="str">
        <f>IFERROR(IF(VALUE(LEFT(AD227,2))&lt;=2,"EC",IF(OR(VALUE(LEFT(AD227,2))=8,VALUE(LEFT(AD227,2))=18),"NW","Other")),"Other")</f>
        <v>Other</v>
      </c>
      <c r="AH227" s="81" t="str">
        <f t="shared" si="17"/>
        <v>"%USERPROFILE%\Documents\GitHub\eaglep3\Utilities\RefineRTDCRunTimes.py" --tripid 4050-17 --locoid 4050 --swversion DE.1.0.9.0 --startMP 204:437 --initTime 2017-05-17T23:49:00 --startdatetime 2017-05-17T23:51:44 --delay 1 --endMP 300:23301 --enddatetime 2017-05-18T00:04:19 --enforcementcount 1 &gt;&gt;C:\Users\stu\Documents\GitHub\eaglep3-reporting\EC\2017-05-17-refined-times.txt</v>
      </c>
      <c r="AI227" s="99" t="str">
        <f t="shared" si="18"/>
        <v>echo {"issue":{"subject":"","project_id":79,"tracker_id":40,"status_id":1,"priority_id":2,"assigned_to_id":23,"start_date":"2017-05-18","description":"","custom_fields":[{"id":1,"name":"Subdivision","value":"Other"},{"id":4,"name":"Milepost","value":"2.3301"},{"id":17,"name":"Train ID","value":"4050-17"},{"id":16,"name":"Locomotive ID","value":"4050"},{"id":130,"name":"Impact","value":""},{"id":150,"name":"Time of Event (Mountain Time)","value":"00:04:19"},{"id":151,"name":"Denver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9"/>
        <v>start /low /b %USERPROFILE%\Documents\GitHub\eaglep3\Utilities\DownloadLogsFromS3.py --loco 4050 --day 2017-05-17</v>
      </c>
      <c r="AN227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06:04:19"},{"id":29,"name":"Sharepoint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645</v>
      </c>
      <c r="B228" s="7">
        <v>4031</v>
      </c>
      <c r="C228" s="21" t="s">
        <v>206</v>
      </c>
      <c r="D228" s="21" t="s">
        <v>921</v>
      </c>
      <c r="E228" s="13">
        <v>42872.257453703707</v>
      </c>
      <c r="F228" s="13">
        <v>42872.258622685185</v>
      </c>
      <c r="G228" s="7">
        <v>1</v>
      </c>
      <c r="H228" s="21" t="s">
        <v>922</v>
      </c>
      <c r="I228" s="13">
        <v>42872.259513888886</v>
      </c>
      <c r="J228" s="7">
        <v>1</v>
      </c>
      <c r="K228" s="92" t="str">
        <f>IF(ISEVEN(B228),(B228-1)&amp;"/"&amp;B228,B228&amp;"/"&amp;(B228+1))</f>
        <v>4031/4032</v>
      </c>
      <c r="L228" s="21" t="str">
        <f>VLOOKUP(A228,'Trips&amp;Operators'!$C$1:$G$99999,5,FALSE)</f>
        <v>SPECTOR MICHAEL</v>
      </c>
      <c r="M228" s="6">
        <f>I228-F228</f>
        <v>8.9120370103046298E-4</v>
      </c>
      <c r="N228" s="7">
        <f>24*60*SUM($M228:$M228)</f>
        <v>1.2833333294838667</v>
      </c>
      <c r="O228" s="7"/>
      <c r="P228" s="7"/>
      <c r="Q228" s="22"/>
      <c r="R228" s="190"/>
      <c r="S228" s="196">
        <f>SUM(U228:U228)/IF(AG228="EC",12,1)</f>
        <v>0</v>
      </c>
      <c r="T228" s="190" t="e">
        <f>IF(ISEVEN(LEFT(AD228,4)),"Southbound","NorthBound")</f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-05-17T05:10:44-0600',mode:absolute,to:'2017-05-17T07:13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8" s="192" t="str">
        <f>IF(AA228&lt;IF(AG228="EC",23,5.65),"Y","N")</f>
        <v>Y</v>
      </c>
      <c r="X228" s="192" t="e">
        <f>VALUE(LEFT(AD228,4))-VALUE(LEFT(AD227,4))</f>
        <v>#VALUE!</v>
      </c>
      <c r="Y228" s="192">
        <f>RIGHT(D228,LEN(D228)-4)/10000</f>
        <v>0.32700000000000001</v>
      </c>
      <c r="Z228" s="192">
        <f>RIGHT(H228,LEN(H228)-4)/10000</f>
        <v>0.1162</v>
      </c>
      <c r="AA228" s="192">
        <f>ABS(Z228-Y228)</f>
        <v>0.21080000000000002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>IF(LEN(A228)=6,"0"&amp;A228,A228)</f>
        <v>50-17</v>
      </c>
      <c r="AE228" s="80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s3://rtdc.mdm.uploadarchive.raw/RTDC4031/ "%USERPROFILE%\AppData\Local\Temp\OnboardLogs"\RTDC4031\2017-05-17 --exclude "*" --recursive --include "*20170517*" &amp; "%USERPROFILE%\Documents\GitHub\mrs-test-scripts\Headless Mode &amp; Sideloading\WalkAndUnGZ.bat" "%USERPROFILE%\AppData\Local\Temp\OnboardLogs"\RTDC4031\2017-05-17 &amp; aws s3 cp s3://rtdc.mdm.uploadarchive.raw/RTDC4031/ "%USERPROFILE%\AppData\Local\Temp\OnboardLogs"\RTDC4031\2017-05-18 --exclude "*" --recursive --include "*20170518*" &amp; "%USERPROFILE%\Documents\GitHub\mrs-test-scripts\Headless Mode &amp; Sideloading\WalkAndUnGZ.bat" "%USERPROFILE%\AppData\Local\Temp\OnboardLogs"\RTDC4031\2017-05-18</v>
      </c>
      <c r="AF228" s="77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/stypes="app*4031*20170517*" /stext=" 12:.+((SYSTEM_STATE.+slice.+state.+changed )|(ment ac)|(multiple cpu faults)|(system.+state.+changed )|(\[timeout)|(PRM\|1\|D)|(kpr)|(kdp)|(train st.+moving)|(\|lc)|(penalty))"</v>
      </c>
      <c r="AG228" s="1" t="str">
        <f>IFERROR(IF(VALUE(LEFT(AD228,2))&lt;=2,"EC",IF(OR(VALUE(LEFT(AD228,2))=8,VALUE(LEFT(AD228,2))=18),"NW","Other")),"Other")</f>
        <v>Other</v>
      </c>
      <c r="AH228" s="81" t="str">
        <f t="shared" si="17"/>
        <v>"%USERPROFILE%\Documents\GitHub\eaglep3\Utilities\RefineRTDCRunTimes.py" --tripid 50-17 --locoid 4031 --swversion DE.1.0.9.0 --startMP 204:3270 --initTime 2017-05-17T06:10:44 --startdatetime 2017-05-17T06:12:25 --delay 1 --endMP 204:1162 --enddatetime 2017-05-17T06:13:42 --enforcementcount 1 &gt;&gt;C:\Users\stu\Documents\GitHub\eaglep3-reporting\EC\2017-05-17-refined-times.txt</v>
      </c>
      <c r="AI228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{"issue":{"subject":"","project_id":79,"tracker_id":40,"status_id":1,"priority_id":2,"assigned_to_id":23,"start_date":"2017-05-17","description":"","custom_fields":[{"id":1,"name":"Subdivision","value":"Other"},{"id":4,"name":"Milepost","value":"0.1162"},{"id":17,"name":"Train ID","value":"50-17"},{"id":16,"name":"Locomotive ID","value":"4031"},{"id":130,"name":"Impact","value":""},{"id":150,"name":"Time of Event (Mountain Time)","value":"06:13:42"},{"id":151,"name":"Denver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9"/>
        <v>start /low /b %USERPROFILE%\Documents\GitHub\eaglep3\Utilities\DownloadLogsFromS3.py --loco 4031 --day 2017-05-17</v>
      </c>
      <c r="AN228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12:13:42"},{"id":29,"name":"Sharepoint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s="20" customFormat="1" x14ac:dyDescent="0.25">
      <c r="A229" s="32" t="s">
        <v>645</v>
      </c>
      <c r="B229" s="7">
        <v>4032</v>
      </c>
      <c r="C229" s="21" t="s">
        <v>206</v>
      </c>
      <c r="D229" s="21" t="s">
        <v>907</v>
      </c>
      <c r="E229" s="13">
        <v>42872.246053240742</v>
      </c>
      <c r="F229" s="13">
        <v>42872.258622685185</v>
      </c>
      <c r="G229" s="7">
        <v>1</v>
      </c>
      <c r="H229" s="21" t="s">
        <v>923</v>
      </c>
      <c r="I229" s="13">
        <v>42872.259513888886</v>
      </c>
      <c r="J229" s="7">
        <v>1</v>
      </c>
      <c r="K229" s="92" t="str">
        <f>IF(ISEVEN(B229),(B229-1)&amp;"/"&amp;B229,B229&amp;"/"&amp;(B229+1))</f>
        <v>4031/4032</v>
      </c>
      <c r="L229" s="21" t="str">
        <f>VLOOKUP(A229,'Trips&amp;Operators'!$C$1:$G$99999,5,FALSE)</f>
        <v>SPECTOR MICHAEL</v>
      </c>
      <c r="M229" s="6">
        <f>I229-F229</f>
        <v>8.9120370103046298E-4</v>
      </c>
      <c r="N229" s="7">
        <f>24*60*SUM($M229:$M229)</f>
        <v>1.2833333294838667</v>
      </c>
      <c r="O229" s="7"/>
      <c r="P229" s="7"/>
      <c r="Q229" s="22"/>
      <c r="R229" s="190"/>
      <c r="S229" s="196">
        <f>SUM(U229:U229)/IF(AG229="EC",12,1)</f>
        <v>0</v>
      </c>
      <c r="T229" s="190" t="e">
        <f>IF(ISEVEN(LEFT(AD229,4)),"Southbound","NorthBound")</f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-05-17T04:54:19-0600',mode:absolute,to:'2017-05-17T07:13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9" s="192" t="str">
        <f>IF(AA229&lt;IF(AG229="EC",23,5.65),"Y","N")</f>
        <v>Y</v>
      </c>
      <c r="X229" s="192" t="e">
        <f>VALUE(LEFT(AD229,4))-VALUE(LEFT(AD228,4))</f>
        <v>#VALUE!</v>
      </c>
      <c r="Y229" s="192">
        <f>RIGHT(D229,LEN(D229)-4)/10000</f>
        <v>4.7500000000000001E-2</v>
      </c>
      <c r="Z229" s="192">
        <f>RIGHT(H229,LEN(H229)-4)/10000</f>
        <v>0.3574</v>
      </c>
      <c r="AA229" s="192">
        <f>ABS(Z229-Y229)</f>
        <v>0.30990000000000001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>IF(LEN(A229)=6,"0"&amp;A229,A229)</f>
        <v>50-17</v>
      </c>
      <c r="AE229" s="80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s3://rtdc.mdm.uploadarchive.raw/RTDC4032/ "%USERPROFILE%\AppData\Local\Temp\OnboardLogs"\RTDC4032\2017-05-17 --exclude "*" --recursive --include "*20170517*" &amp; "%USERPROFILE%\Documents\GitHub\mrs-test-scripts\Headless Mode &amp; Sideloading\WalkAndUnGZ.bat" "%USERPROFILE%\AppData\Local\Temp\OnboardLogs"\RTDC4032\2017-05-17 &amp; aws s3 cp s3://rtdc.mdm.uploadarchive.raw/RTDC4032/ "%USERPROFILE%\AppData\Local\Temp\OnboardLogs"\RTDC4032\2017-05-18 --exclude "*" --recursive --include "*20170518*" &amp; "%USERPROFILE%\Documents\GitHub\mrs-test-scripts\Headless Mode &amp; Sideloading\WalkAndUnGZ.bat" "%USERPROFILE%\AppData\Local\Temp\OnboardLogs"\RTDC4032\2017-05-18</v>
      </c>
      <c r="AF229" s="77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/stypes="app*4032*20170517*" /stext=" 12:.+((SYSTEM_STATE.+slice.+state.+changed )|(ment ac)|(multiple cpu faults)|(system.+state.+changed )|(\[timeout)|(PRM\|1\|D)|(kpr)|(kdp)|(train st.+moving)|(\|lc)|(penalty))"</v>
      </c>
      <c r="AG229" s="1" t="str">
        <f>IFERROR(IF(VALUE(LEFT(AD229,2))&lt;=2,"EC",IF(OR(VALUE(LEFT(AD229,2))=8,VALUE(LEFT(AD229,2))=18),"NW","Other")),"Other")</f>
        <v>Other</v>
      </c>
      <c r="AH229" s="81" t="str">
        <f t="shared" si="17"/>
        <v>"%USERPROFILE%\Documents\GitHub\eaglep3\Utilities\RefineRTDCRunTimes.py" --tripid 50-17 --locoid 4032 --swversion DE.1.0.9.0 --startMP 204:475 --initTime 2017-05-17T05:54:19 --startdatetime 2017-05-17T06:12:25 --delay 1 --endMP 204:3574 --enddatetime 2017-05-17T06:13:42 --enforcementcount 1 &gt;&gt;C:\Users\stu\Documents\GitHub\eaglep3-reporting\EC\2017-05-17-refined-times.txt</v>
      </c>
      <c r="AI229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{"issue":{"subject":"","project_id":79,"tracker_id":40,"status_id":1,"priority_id":2,"assigned_to_id":23,"start_date":"2017-05-17","description":"","custom_fields":[{"id":1,"name":"Subdivision","value":"Other"},{"id":4,"name":"Milepost","value":"0.3574"},{"id":17,"name":"Train ID","value":"50-17"},{"id":16,"name":"Locomotive ID","value":"4032"},{"id":130,"name":"Impact","value":""},{"id":150,"name":"Time of Event (Mountain Time)","value":"06:13:42"},{"id":151,"name":"Denver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9" s="47"/>
      <c r="AL229" s="47"/>
      <c r="AM229" s="145" t="str">
        <f t="shared" si="19"/>
        <v>start /low /b %USERPROFILE%\Documents\GitHub\eaglep3\Utilities\DownloadLogsFromS3.py --loco 4032 --day 2017-05-17</v>
      </c>
      <c r="AN229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12:13:42"},{"id":29,"name":"Sharepoint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590</v>
      </c>
      <c r="B230" s="7">
        <v>4005</v>
      </c>
      <c r="C230" s="21" t="s">
        <v>206</v>
      </c>
      <c r="D230" s="21" t="s">
        <v>924</v>
      </c>
      <c r="E230" s="13">
        <v>42872.433831018519</v>
      </c>
      <c r="F230" s="13">
        <v>42872.437094907407</v>
      </c>
      <c r="G230" s="7">
        <v>4</v>
      </c>
      <c r="H230" s="21" t="s">
        <v>925</v>
      </c>
      <c r="I230" s="13">
        <v>42872.442418981482</v>
      </c>
      <c r="J230" s="7">
        <v>1</v>
      </c>
      <c r="K230" s="92" t="str">
        <f>IF(ISEVEN(B230),(B230-1)&amp;"/"&amp;B230,B230&amp;"/"&amp;(B230+1))</f>
        <v>4005/4006</v>
      </c>
      <c r="L230" s="21" t="str">
        <f>VLOOKUP(A230,'Trips&amp;Operators'!$C$1:$G$99999,5,FALSE)</f>
        <v>DE LA ROSA ALEX</v>
      </c>
      <c r="M230" s="6">
        <f>I230-F230</f>
        <v>5.324074074451346E-3</v>
      </c>
      <c r="N230" s="7">
        <f>24*60*SUM($M230:$M230)</f>
        <v>7.6666666672099382</v>
      </c>
      <c r="O230" s="7"/>
      <c r="P230" s="7"/>
      <c r="Q230" s="22"/>
      <c r="R230" s="190"/>
      <c r="S230" s="196">
        <f>SUM(U230:U230)/IF(AG230="EC",12,1)</f>
        <v>0</v>
      </c>
      <c r="T230" s="190" t="e">
        <f>IF(ISEVEN(LEFT(AD230,4)),"Southbound","NorthBound")</f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-05-17T09:24:43-0600',mode:absolute,to:'2017-05-17T11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0" s="192" t="str">
        <f>IF(AA230&lt;IF(AG230="EC",23,5.65),"Y","N")</f>
        <v>Y</v>
      </c>
      <c r="X230" s="192" t="e">
        <f>VALUE(LEFT(AD230,4))-VALUE(LEFT(AD229,4))</f>
        <v>#VALUE!</v>
      </c>
      <c r="Y230" s="192">
        <f>RIGHT(D230,LEN(D230)-4)/10000</f>
        <v>2.3418999999999999</v>
      </c>
      <c r="Z230" s="192">
        <f>RIGHT(H230,LEN(H230)-4)/10000</f>
        <v>8.6900000000000005E-2</v>
      </c>
      <c r="AA230" s="192">
        <f>ABS(Z230-Y230)</f>
        <v>2.2549999999999999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>IF(LEN(A230)=6,"0"&amp;A230,A230)</f>
        <v>52-17</v>
      </c>
      <c r="AE230" s="80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s3://rtdc.mdm.uploadarchive.raw/RTDC4005/ "%USERPROFILE%\AppData\Local\Temp\OnboardLogs"\RTDC4005\2017-05-17 --exclude "*" --recursive --include "*20170517*" &amp; "%USERPROFILE%\Documents\GitHub\mrs-test-scripts\Headless Mode &amp; Sideloading\WalkAndUnGZ.bat" "%USERPROFILE%\AppData\Local\Temp\OnboardLogs"\RTDC4005\2017-05-17 &amp; aws s3 cp s3://rtdc.mdm.uploadarchive.raw/RTDC4005/ "%USERPROFILE%\AppData\Local\Temp\OnboardLogs"\RTDC4005\2017-05-18 --exclude "*" --recursive --include "*20170518*" &amp; "%USERPROFILE%\Documents\GitHub\mrs-test-scripts\Headless Mode &amp; Sideloading\WalkAndUnGZ.bat" "%USERPROFILE%\AppData\Local\Temp\OnboardLogs"\RTDC4005\2017-05-18</v>
      </c>
      <c r="AF230" s="77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/stypes="app*4005*20170517*" /stext=" 16:.+((SYSTEM_STATE.+slice.+state.+changed )|(ment ac)|(multiple cpu faults)|(system.+state.+changed )|(\[timeout)|(PRM\|1\|D)|(kpr)|(kdp)|(train st.+moving)|(\|lc)|(penalty))"</v>
      </c>
      <c r="AG230" s="1" t="str">
        <f>IFERROR(IF(VALUE(LEFT(AD230,2))&lt;=2,"EC",IF(OR(VALUE(LEFT(AD230,2))=8,VALUE(LEFT(AD230,2))=18),"NW","Other")),"Other")</f>
        <v>Other</v>
      </c>
      <c r="AH230" s="81" t="str">
        <f t="shared" si="17"/>
        <v>"%USERPROFILE%\Documents\GitHub\eaglep3\Utilities\RefineRTDCRunTimes.py" --tripid 52-17 --locoid 4005 --swversion DE.1.0.9.0 --startMP 300:23419 --initTime 2017-05-17T10:24:43 --startdatetime 2017-05-17T10:29:25 --delay 4 --endMP 204:869 --enddatetime 2017-05-17T10:37:05 --enforcementcount 1 &gt;&gt;C:\Users\stu\Documents\GitHub\eaglep3-reporting\EC\2017-05-17-refined-times.txt</v>
      </c>
      <c r="AI230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{"issue":{"subject":"","project_id":79,"tracker_id":40,"status_id":1,"priority_id":2,"assigned_to_id":23,"start_date":"2017-05-17","description":"","custom_fields":[{"id":1,"name":"Subdivision","value":"Other"},{"id":4,"name":"Milepost","value":"0.0869"},{"id":17,"name":"Train ID","value":"52-17"},{"id":16,"name":"Locomotive ID","value":"4005"},{"id":130,"name":"Impact","value":""},{"id":150,"name":"Time of Event (Mountain Time)","value":"10:37:05"},{"id":151,"name":"Denver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9"/>
        <v>start /low /b %USERPROFILE%\Documents\GitHub\eaglep3\Utilities\DownloadLogsFromS3.py --loco 4005 --day 2017-05-17</v>
      </c>
      <c r="AN230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16:37:05"},{"id":29,"name":"Sharepoint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704</v>
      </c>
      <c r="B231" s="7">
        <v>4006</v>
      </c>
      <c r="C231" s="21" t="s">
        <v>206</v>
      </c>
      <c r="D231" s="21" t="s">
        <v>926</v>
      </c>
      <c r="E231" s="13">
        <v>42872.464537037034</v>
      </c>
      <c r="F231" s="13">
        <v>42872.467534722222</v>
      </c>
      <c r="G231" s="7">
        <v>1</v>
      </c>
      <c r="H231" s="21" t="s">
        <v>927</v>
      </c>
      <c r="I231" s="13">
        <v>42872.474432870367</v>
      </c>
      <c r="J231" s="7">
        <v>1</v>
      </c>
      <c r="K231" s="92" t="str">
        <f>IF(ISEVEN(B231),(B231-1)&amp;"/"&amp;B231,B231&amp;"/"&amp;(B231+1))</f>
        <v>4005/4006</v>
      </c>
      <c r="L231" s="21" t="str">
        <f>VLOOKUP(A231,'Trips&amp;Operators'!$C$1:$G$99999,5,FALSE)</f>
        <v>MAELZER KURT</v>
      </c>
      <c r="M231" s="6">
        <f>I231-F231</f>
        <v>6.8981481454102322E-3</v>
      </c>
      <c r="N231" s="7">
        <f>24*60*SUM($M231:$M231)</f>
        <v>9.9333333293907344</v>
      </c>
      <c r="O231" s="7"/>
      <c r="P231" s="7"/>
      <c r="Q231" s="22"/>
      <c r="R231" s="190"/>
      <c r="S231" s="196">
        <f>SUM(U231:U231)/IF(AG231="EC",12,1)</f>
        <v>0</v>
      </c>
      <c r="T231" s="190" t="e">
        <f>IF(ISEVEN(LEFT(AD231,4)),"Southbound","NorthBound")</f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-05-17T10:08:56-0600',mode:absolute,to:'2017-05-17T12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1" s="192" t="str">
        <f>IF(AA231&lt;IF(AG231="EC",23,5.65),"Y","N")</f>
        <v>Y</v>
      </c>
      <c r="X231" s="192" t="e">
        <f>VALUE(LEFT(AD231,4))-VALUE(LEFT(AD230,4))</f>
        <v>#VALUE!</v>
      </c>
      <c r="Y231" s="192">
        <f>RIGHT(D231,LEN(D231)-4)/10000</f>
        <v>0.1186</v>
      </c>
      <c r="Z231" s="192">
        <f>RIGHT(H231,LEN(H231)-4)/10000</f>
        <v>2.4220000000000002</v>
      </c>
      <c r="AA231" s="192">
        <f>ABS(Z231-Y231)</f>
        <v>2.3034000000000003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>IF(LEN(A231)=6,"0"&amp;A231,A231)</f>
        <v>55-17</v>
      </c>
      <c r="AE231" s="80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s3://rtdc.mdm.uploadarchive.raw/RTDC4006/ "%USERPROFILE%\AppData\Local\Temp\OnboardLogs"\RTDC4006\2017-05-17 --exclude "*" --recursive --include "*20170517*" &amp; "%USERPROFILE%\Documents\GitHub\mrs-test-scripts\Headless Mode &amp; Sideloading\WalkAndUnGZ.bat" "%USERPROFILE%\AppData\Local\Temp\OnboardLogs"\RTDC4006\2017-05-17 &amp; aws s3 cp s3://rtdc.mdm.uploadarchive.raw/RTDC4006/ "%USERPROFILE%\AppData\Local\Temp\OnboardLogs"\RTDC4006\2017-05-18 --exclude "*" --recursive --include "*20170518*" &amp; "%USERPROFILE%\Documents\GitHub\mrs-test-scripts\Headless Mode &amp; Sideloading\WalkAndUnGZ.bat" "%USERPROFILE%\AppData\Local\Temp\OnboardLogs"\RTDC4006\2017-05-18</v>
      </c>
      <c r="AF231" s="77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/stypes="app*4006*20170517*" /stext=" 17:.+((SYSTEM_STATE.+slice.+state.+changed )|(ment ac)|(multiple cpu faults)|(system.+state.+changed )|(\[timeout)|(PRM\|1\|D)|(kpr)|(kdp)|(train st.+moving)|(\|lc)|(penalty))"</v>
      </c>
      <c r="AG231" s="1" t="str">
        <f>IFERROR(IF(VALUE(LEFT(AD231,2))&lt;=2,"EC",IF(OR(VALUE(LEFT(AD231,2))=8,VALUE(LEFT(AD231,2))=18),"NW","Other")),"Other")</f>
        <v>Other</v>
      </c>
      <c r="AH231" s="81" t="str">
        <f t="shared" si="17"/>
        <v>"%USERPROFILE%\Documents\GitHub\eaglep3\Utilities\RefineRTDCRunTimes.py" --tripid 55-17 --locoid 4006 --swversion DE.1.0.9.0 --startMP 204:1186 --initTime 2017-05-17T11:08:56 --startdatetime 2017-05-17T11:13:15 --delay 1 --endMP 300:24220 --enddatetime 2017-05-17T11:23:11 --enforcementcount 1 &gt;&gt;C:\Users\stu\Documents\GitHub\eaglep3-reporting\EC\2017-05-17-refined-times.txt</v>
      </c>
      <c r="AI231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{"issue":{"subject":"","project_id":79,"tracker_id":40,"status_id":1,"priority_id":2,"assigned_to_id":23,"start_date":"2017-05-17","description":"","custom_fields":[{"id":1,"name":"Subdivision","value":"Other"},{"id":4,"name":"Milepost","value":"2.422"},{"id":17,"name":"Train ID","value":"55-17"},{"id":16,"name":"Locomotive ID","value":"4006"},{"id":130,"name":"Impact","value":""},{"id":150,"name":"Time of Event (Mountain Time)","value":"11:23:11"},{"id":151,"name":"Denver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9"/>
        <v>start /low /b %USERPROFILE%\Documents\GitHub\eaglep3\Utilities\DownloadLogsFromS3.py --loco 4006 --day 2017-05-17</v>
      </c>
      <c r="AN231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17:23:11"},{"id":29,"name":"Sharepoint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499</v>
      </c>
      <c r="B232" s="7">
        <v>4059</v>
      </c>
      <c r="C232" s="21" t="s">
        <v>206</v>
      </c>
      <c r="D232" s="21" t="s">
        <v>562</v>
      </c>
      <c r="E232" s="13">
        <v>42872.095347222225</v>
      </c>
      <c r="F232" s="13">
        <v>42872.123703703706</v>
      </c>
      <c r="G232" s="7">
        <v>1</v>
      </c>
      <c r="H232" s="21" t="s">
        <v>563</v>
      </c>
      <c r="I232" s="13">
        <v>42872.133437500001</v>
      </c>
      <c r="J232" s="7">
        <v>1</v>
      </c>
      <c r="K232" s="92" t="str">
        <f>IF(ISEVEN(B232),(B232-1)&amp;"/"&amp;B232,B232&amp;"/"&amp;(B232+1))</f>
        <v>4059/4060</v>
      </c>
      <c r="L232" s="21" t="str">
        <f>VLOOKUP(A232,'Trips&amp;Operators'!$C$1:$G$99999,5,FALSE)</f>
        <v>GUZMAN DANNY</v>
      </c>
      <c r="M232" s="6">
        <f>I232-F232</f>
        <v>9.7337962943129241E-3</v>
      </c>
      <c r="N232" s="7">
        <f>24*60*SUM($M232:$M232)</f>
        <v>14.016666663810611</v>
      </c>
      <c r="O232" s="7"/>
      <c r="P232" s="7"/>
      <c r="Q232" s="22"/>
      <c r="R232" s="190"/>
      <c r="S232" s="196">
        <f>SUM(U232:U232)/IF(AG232="EC",12,1)</f>
        <v>0</v>
      </c>
      <c r="T232" s="190" t="e">
        <f>IF(ISEVEN(LEFT(AD232,4)),"Southbound","NorthBound")</f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-05-17T01:17:18-0600',mode:absolute,to:'2017-05-17T04:12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2" s="192" t="str">
        <f>IF(AA232&lt;IF(AG232="EC",23,5.65),"Y","N")</f>
        <v>N</v>
      </c>
      <c r="X232" s="192" t="e">
        <f>VALUE(LEFT(AD232,4))-VALUE(LEFT(AD231,4))</f>
        <v>#VALUE!</v>
      </c>
      <c r="Y232" s="192">
        <f>RIGHT(D232,LEN(D232)-4)/10000</f>
        <v>5.8632</v>
      </c>
      <c r="Z232" s="192">
        <f>RIGHT(H232,LEN(H232)-4)/10000</f>
        <v>4.2999999999999997E-2</v>
      </c>
      <c r="AA232" s="192">
        <f>ABS(Z232-Y232)</f>
        <v>5.8201999999999998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>IF(LEN(A232)=6,"0"&amp;A232,A232)</f>
        <v>59-16</v>
      </c>
      <c r="AE232" s="80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s3://rtdc.mdm.uploadarchive.raw/RTDC4059/ "%USERPROFILE%\AppData\Local\Temp\OnboardLogs"\RTDC4059\2017-05-17 --exclude "*" --recursive --include "*20170517*" &amp; "%USERPROFILE%\Documents\GitHub\mrs-test-scripts\Headless Mode &amp; Sideloading\WalkAndUnGZ.bat" "%USERPROFILE%\AppData\Local\Temp\OnboardLogs"\RTDC4059\2017-05-17 &amp; aws s3 cp s3://rtdc.mdm.uploadarchive.raw/RTDC4059/ "%USERPROFILE%\AppData\Local\Temp\OnboardLogs"\RTDC4059\2017-05-18 --exclude "*" --recursive --include "*20170518*" &amp; "%USERPROFILE%\Documents\GitHub\mrs-test-scripts\Headless Mode &amp; Sideloading\WalkAndUnGZ.bat" "%USERPROFILE%\AppData\Local\Temp\OnboardLogs"\RTDC4059\2017-05-18</v>
      </c>
      <c r="AF232" s="77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/stypes="app*4059*20170517*" /stext=" 09:.+((SYSTEM_STATE.+slice.+state.+changed )|(ment ac)|(multiple cpu faults)|(system.+state.+changed )|(\[timeout)|(PRM\|1\|D)|(kpr)|(kdp)|(train st.+moving)|(\|lc)|(penalty))"</v>
      </c>
      <c r="AG232" s="1" t="str">
        <f>IFERROR(IF(VALUE(LEFT(AD232,2))&lt;=2,"EC",IF(OR(VALUE(LEFT(AD232,2))=8,VALUE(LEFT(AD232,2))=18),"NW","Other")),"Other")</f>
        <v>Other</v>
      </c>
      <c r="AH232" s="81" t="str">
        <f t="shared" si="17"/>
        <v>"%USERPROFILE%\Documents\GitHub\eaglep3\Utilities\RefineRTDCRunTimes.py" --tripid 59-16 --locoid 4059 --swversion DE.1.0.9.0 --startMP 300:58632 --initTime 2017-05-17T02:17:18 --startdatetime 2017-05-17T02:58:08 --delay 1 --endMP 204:430 --enddatetime 2017-05-17T03:12:09 --enforcementcount 1 &gt;&gt;C:\Users\stu\Documents\GitHub\eaglep3-reporting\EC\2017-05-17-refined-times.txt</v>
      </c>
      <c r="AI232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{"issue":{"subject":"","project_id":79,"tracker_id":40,"status_id":1,"priority_id":2,"assigned_to_id":23,"start_date":"2017-05-17","description":"","custom_fields":[{"id":1,"name":"Subdivision","value":"Other"},{"id":4,"name":"Milepost","value":"0.043"},{"id":17,"name":"Train ID","value":"59-16"},{"id":16,"name":"Locomotive ID","value":"4059"},{"id":130,"name":"Impact","value":""},{"id":150,"name":"Time of Event (Mountain Time)","value":"03:12:09"},{"id":151,"name":"Denver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9"/>
        <v>start /low /b %USERPROFILE%\Documents\GitHub\eaglep3\Utilities\DownloadLogsFromS3.py --loco 4059 --day 2017-05-17</v>
      </c>
      <c r="AN232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09:12:09"},{"id":29,"name":"Sharepoint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499</v>
      </c>
      <c r="B233" s="7">
        <v>4059</v>
      </c>
      <c r="C233" s="21" t="s">
        <v>206</v>
      </c>
      <c r="D233" s="21" t="s">
        <v>489</v>
      </c>
      <c r="E233" s="13">
        <v>42872.122037037036</v>
      </c>
      <c r="F233" s="13">
        <v>42872.123703703706</v>
      </c>
      <c r="G233" s="7">
        <v>1</v>
      </c>
      <c r="H233" s="21" t="s">
        <v>928</v>
      </c>
      <c r="I233" s="13">
        <v>42872.133437500001</v>
      </c>
      <c r="J233" s="7">
        <v>1</v>
      </c>
      <c r="K233" s="92" t="str">
        <f>IF(ISEVEN(B233),(B233-1)&amp;"/"&amp;B233,B233&amp;"/"&amp;(B233+1))</f>
        <v>4059/4060</v>
      </c>
      <c r="L233" s="21" t="str">
        <f>VLOOKUP(A233,'Trips&amp;Operators'!$C$1:$G$99999,5,FALSE)</f>
        <v>GUZMAN DANNY</v>
      </c>
      <c r="M233" s="6">
        <f>I233-F233</f>
        <v>9.7337962943129241E-3</v>
      </c>
      <c r="N233" s="7">
        <f>24*60*SUM($M233:$M233)</f>
        <v>14.016666663810611</v>
      </c>
      <c r="O233" s="7"/>
      <c r="P233" s="7"/>
      <c r="Q233" s="22"/>
      <c r="R233" s="190"/>
      <c r="S233" s="196">
        <f>SUM(U233:U233)/IF(AG233="EC",12,1)</f>
        <v>0</v>
      </c>
      <c r="T233" s="190" t="e">
        <f>IF(ISEVEN(LEFT(AD233,4)),"Southbound","NorthBound")</f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-05-17T01:55:44-0600',mode:absolute,to:'2017-05-17T04:12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3" s="192" t="str">
        <f>IF(AA233&lt;IF(AG233="EC",23,5.65),"Y","N")</f>
        <v>N</v>
      </c>
      <c r="X233" s="192" t="e">
        <f>VALUE(LEFT(AD233,4))-VALUE(LEFT(AD232,4))</f>
        <v>#VALUE!</v>
      </c>
      <c r="Y233" s="192">
        <f>RIGHT(D233,LEN(D233)-4)/10000</f>
        <v>5.8644999999999996</v>
      </c>
      <c r="Z233" s="192">
        <f>RIGHT(H233,LEN(H233)-4)/10000</f>
        <v>4.5900000000000003E-2</v>
      </c>
      <c r="AA233" s="192">
        <f>ABS(Z233-Y233)</f>
        <v>5.8186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>IF(LEN(A233)=6,"0"&amp;A233,A233)</f>
        <v>59-16</v>
      </c>
      <c r="AE233" s="80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s3://rtdc.mdm.uploadarchive.raw/RTDC4059/ "%USERPROFILE%\AppData\Local\Temp\OnboardLogs"\RTDC4059\2017-05-17 --exclude "*" --recursive --include "*20170517*" &amp; "%USERPROFILE%\Documents\GitHub\mrs-test-scripts\Headless Mode &amp; Sideloading\WalkAndUnGZ.bat" "%USERPROFILE%\AppData\Local\Temp\OnboardLogs"\RTDC4059\2017-05-17 &amp; aws s3 cp s3://rtdc.mdm.uploadarchive.raw/RTDC4059/ "%USERPROFILE%\AppData\Local\Temp\OnboardLogs"\RTDC4059\2017-05-18 --exclude "*" --recursive --include "*20170518*" &amp; "%USERPROFILE%\Documents\GitHub\mrs-test-scripts\Headless Mode &amp; Sideloading\WalkAndUnGZ.bat" "%USERPROFILE%\AppData\Local\Temp\OnboardLogs"\RTDC4059\2017-05-18</v>
      </c>
      <c r="AF233" s="77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/stypes="app*4059*20170517*" /stext=" 09:.+((SYSTEM_STATE.+slice.+state.+changed )|(ment ac)|(multiple cpu faults)|(system.+state.+changed )|(\[timeout)|(PRM\|1\|D)|(kpr)|(kdp)|(train st.+moving)|(\|lc)|(penalty))"</v>
      </c>
      <c r="AG233" s="1" t="str">
        <f>IFERROR(IF(VALUE(LEFT(AD233,2))&lt;=2,"EC",IF(OR(VALUE(LEFT(AD233,2))=8,VALUE(LEFT(AD233,2))=18),"NW","Other")),"Other")</f>
        <v>Other</v>
      </c>
      <c r="AH233" s="81" t="str">
        <f t="shared" si="17"/>
        <v>"%USERPROFILE%\Documents\GitHub\eaglep3\Utilities\RefineRTDCRunTimes.py" --tripid 59-16 --locoid 4059 --swversion DE.1.0.9.0 --startMP 300:58645 --initTime 2017-05-17T02:55:44 --startdatetime 2017-05-17T02:58:08 --delay 1 --endMP 204:459 --enddatetime 2017-05-17T03:12:09 --enforcementcount 1 &gt;&gt;C:\Users\stu\Documents\GitHub\eaglep3-reporting\EC\2017-05-17-refined-times.txt</v>
      </c>
      <c r="AI233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{"issue":{"subject":"","project_id":79,"tracker_id":40,"status_id":1,"priority_id":2,"assigned_to_id":23,"start_date":"2017-05-17","description":"","custom_fields":[{"id":1,"name":"Subdivision","value":"Other"},{"id":4,"name":"Milepost","value":"0.0459"},{"id":17,"name":"Train ID","value":"59-16"},{"id":16,"name":"Locomotive ID","value":"4059"},{"id":130,"name":"Impact","value":""},{"id":150,"name":"Time of Event (Mountain Time)","value":"03:12:09"},{"id":151,"name":"Denver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9"/>
        <v>start /low /b %USERPROFILE%\Documents\GitHub\eaglep3\Utilities\DownloadLogsFromS3.py --loco 4059 --day 2017-05-17</v>
      </c>
      <c r="AN233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09:12:09"},{"id":29,"name":"Sharepoint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513</v>
      </c>
      <c r="B234" s="7">
        <v>4060</v>
      </c>
      <c r="C234" s="21" t="s">
        <v>206</v>
      </c>
      <c r="D234" s="21" t="s">
        <v>564</v>
      </c>
      <c r="E234" s="13">
        <v>42872.082175925927</v>
      </c>
      <c r="F234" s="13">
        <v>42872.11178240741</v>
      </c>
      <c r="G234" s="7">
        <v>1</v>
      </c>
      <c r="H234" s="21" t="s">
        <v>565</v>
      </c>
      <c r="I234" s="13">
        <v>42872.121041666665</v>
      </c>
      <c r="J234" s="7">
        <v>1</v>
      </c>
      <c r="K234" s="92" t="str">
        <f>IF(ISEVEN(B234),(B234-1)&amp;"/"&amp;B234,B234&amp;"/"&amp;(B234+1))</f>
        <v>4059/4060</v>
      </c>
      <c r="L234" s="21" t="str">
        <f>VLOOKUP(A234,'Trips&amp;Operators'!$C$1:$G$99999,5,FALSE)</f>
        <v>GUZMAN DANNY</v>
      </c>
      <c r="M234" s="6">
        <f>I234-F234</f>
        <v>9.2592592554865405E-3</v>
      </c>
      <c r="N234" s="7">
        <f>24*60*SUM($M234:$M234)</f>
        <v>13.333333327900618</v>
      </c>
      <c r="O234" s="7"/>
      <c r="P234" s="7"/>
      <c r="Q234" s="22"/>
      <c r="R234" s="190"/>
      <c r="S234" s="196">
        <f>SUM(U234:U234)/IF(AG234="EC",12,1)</f>
        <v>0</v>
      </c>
      <c r="T234" s="190" t="e">
        <f>IF(ISEVEN(LEFT(AD234,4)),"Southbound","NorthBound")</f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-05-17T00:58:20-0600',mode:absolute,to:'2017-05-17T03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4" s="192" t="str">
        <f>IF(AA234&lt;IF(AG234="EC",23,5.65),"Y","N")</f>
        <v>N</v>
      </c>
      <c r="X234" s="192" t="e">
        <f>VALUE(LEFT(AD234,4))-VALUE(LEFT(AD233,4))</f>
        <v>#VALUE!</v>
      </c>
      <c r="Y234" s="192">
        <f>RIGHT(D234,LEN(D234)-4)/10000</f>
        <v>7.2300000000000003E-2</v>
      </c>
      <c r="Z234" s="192">
        <f>RIGHT(H234,LEN(H234)-4)/10000</f>
        <v>5.8948</v>
      </c>
      <c r="AA234" s="192">
        <f>ABS(Z234-Y234)</f>
        <v>5.8224999999999998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>IF(LEN(A234)=6,"0"&amp;A234,A234)</f>
        <v>60-16</v>
      </c>
      <c r="AE234" s="80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s3://rtdc.mdm.uploadarchive.raw/RTDC4060/ "%USERPROFILE%\AppData\Local\Temp\OnboardLogs"\RTDC4060\2017-05-17 --exclude "*" --recursive --include "*20170517*" &amp; "%USERPROFILE%\Documents\GitHub\mrs-test-scripts\Headless Mode &amp; Sideloading\WalkAndUnGZ.bat" "%USERPROFILE%\AppData\Local\Temp\OnboardLogs"\RTDC4060\2017-05-17 &amp; aws s3 cp s3://rtdc.mdm.uploadarchive.raw/RTDC4060/ "%USERPROFILE%\AppData\Local\Temp\OnboardLogs"\RTDC4060\2017-05-18 --exclude "*" --recursive --include "*20170518*" &amp; "%USERPROFILE%\Documents\GitHub\mrs-test-scripts\Headless Mode &amp; Sideloading\WalkAndUnGZ.bat" "%USERPROFILE%\AppData\Local\Temp\OnboardLogs"\RTDC4060\2017-05-18</v>
      </c>
      <c r="AF234" s="77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/stypes="app*4060*20170517*" /stext=" 08:.+((SYSTEM_STATE.+slice.+state.+changed )|(ment ac)|(multiple cpu faults)|(system.+state.+changed )|(\[timeout)|(PRM\|1\|D)|(kpr)|(kdp)|(train st.+moving)|(\|lc)|(penalty))"</v>
      </c>
      <c r="AG234" s="1" t="str">
        <f>IFERROR(IF(VALUE(LEFT(AD234,2))&lt;=2,"EC",IF(OR(VALUE(LEFT(AD234,2))=8,VALUE(LEFT(AD234,2))=18),"NW","Other")),"Other")</f>
        <v>Other</v>
      </c>
      <c r="AH234" s="81" t="str">
        <f t="shared" si="17"/>
        <v>"%USERPROFILE%\Documents\GitHub\eaglep3\Utilities\RefineRTDCRunTimes.py" --tripid 60-16 --locoid 4060 --swversion DE.1.0.9.0 --startMP 204:723 --initTime 2017-05-17T01:58:20 --startdatetime 2017-05-17T02:40:58 --delay 1 --endMP 300:58948 --enddatetime 2017-05-17T02:54:18 --enforcementcount 1 &gt;&gt;C:\Users\stu\Documents\GitHub\eaglep3-reporting\EC\2017-05-17-refined-times.txt</v>
      </c>
      <c r="AI234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{"issue":{"subject":"","project_id":79,"tracker_id":40,"status_id":1,"priority_id":2,"assigned_to_id":23,"start_date":"2017-05-17","description":"","custom_fields":[{"id":1,"name":"Subdivision","value":"Other"},{"id":4,"name":"Milepost","value":"5.8948"},{"id":17,"name":"Train ID","value":"60-16"},{"id":16,"name":"Locomotive ID","value":"4060"},{"id":130,"name":"Impact","value":""},{"id":150,"name":"Time of Event (Mountain Time)","value":"02:54:18"},{"id":151,"name":"Denver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19"/>
        <v>start /low /b %USERPROFILE%\Documents\GitHub\eaglep3\Utilities\DownloadLogsFromS3.py --loco 4060 --day 2017-05-17</v>
      </c>
      <c r="AN234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08:54:18"},{"id":29,"name":"Sharepoint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513</v>
      </c>
      <c r="B235" s="7">
        <v>4060</v>
      </c>
      <c r="C235" s="21" t="s">
        <v>206</v>
      </c>
      <c r="D235" s="21" t="s">
        <v>568</v>
      </c>
      <c r="E235" s="13">
        <v>42872.110196759262</v>
      </c>
      <c r="F235" s="13">
        <v>42872.137754629628</v>
      </c>
      <c r="G235" s="7">
        <v>1</v>
      </c>
      <c r="H235" s="21" t="s">
        <v>487</v>
      </c>
      <c r="I235" s="13">
        <v>42872.146331018521</v>
      </c>
      <c r="J235" s="7">
        <v>1</v>
      </c>
      <c r="K235" s="92" t="str">
        <f>IF(ISEVEN(B235),(B235-1)&amp;"/"&amp;B235,B235&amp;"/"&amp;(B235+1))</f>
        <v>4059/4060</v>
      </c>
      <c r="L235" s="21" t="str">
        <f>VLOOKUP(A235,'Trips&amp;Operators'!$C$1:$G$99999,5,FALSE)</f>
        <v>GUZMAN DANNY</v>
      </c>
      <c r="M235" s="6">
        <f>I235-F235</f>
        <v>8.5763888928340748E-3</v>
      </c>
      <c r="N235" s="7">
        <f>24*60*SUM($M235:$M235)</f>
        <v>12.350000005681068</v>
      </c>
      <c r="O235" s="7"/>
      <c r="P235" s="7"/>
      <c r="Q235" s="22"/>
      <c r="R235" s="190"/>
      <c r="S235" s="196">
        <f>SUM(U235:U235)/IF(AG235="EC",12,1)</f>
        <v>0</v>
      </c>
      <c r="T235" s="190" t="e">
        <f>IF(ISEVEN(LEFT(AD235,4)),"Southbound","NorthBound")</f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-05-17T01:38:41-0600',mode:absolute,to:'2017-05-17T04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5" s="192" t="str">
        <f>IF(AA235&lt;IF(AG235="EC",23,5.65),"Y","N")</f>
        <v>N</v>
      </c>
      <c r="X235" s="192" t="e">
        <f>VALUE(LEFT(AD235,4))-VALUE(LEFT(AD234,4))</f>
        <v>#VALUE!</v>
      </c>
      <c r="Y235" s="192">
        <f>RIGHT(D235,LEN(D235)-4)/10000</f>
        <v>7.3700000000000002E-2</v>
      </c>
      <c r="Z235" s="192">
        <f>RIGHT(H235,LEN(H235)-4)/10000</f>
        <v>5.8954000000000004</v>
      </c>
      <c r="AA235" s="192">
        <f>ABS(Z235-Y235)</f>
        <v>5.8217000000000008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>IF(LEN(A235)=6,"0"&amp;A235,A235)</f>
        <v>60-16</v>
      </c>
      <c r="AE235" s="80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s3://rtdc.mdm.uploadarchive.raw/RTDC4060/ "%USERPROFILE%\AppData\Local\Temp\OnboardLogs"\RTDC4060\2017-05-17 --exclude "*" --recursive --include "*20170517*" &amp; "%USERPROFILE%\Documents\GitHub\mrs-test-scripts\Headless Mode &amp; Sideloading\WalkAndUnGZ.bat" "%USERPROFILE%\AppData\Local\Temp\OnboardLogs"\RTDC4060\2017-05-17 &amp; aws s3 cp s3://rtdc.mdm.uploadarchive.raw/RTDC4060/ "%USERPROFILE%\AppData\Local\Temp\OnboardLogs"\RTDC4060\2017-05-18 --exclude "*" --recursive --include "*20170518*" &amp; "%USERPROFILE%\Documents\GitHub\mrs-test-scripts\Headless Mode &amp; Sideloading\WalkAndUnGZ.bat" "%USERPROFILE%\AppData\Local\Temp\OnboardLogs"\RTDC4060\2017-05-18</v>
      </c>
      <c r="AF235" s="77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/stypes="app*4060*20170517*" /stext=" 09:.+((SYSTEM_STATE.+slice.+state.+changed )|(ment ac)|(multiple cpu faults)|(system.+state.+changed )|(\[timeout)|(PRM\|1\|D)|(kpr)|(kdp)|(train st.+moving)|(\|lc)|(penalty))"</v>
      </c>
      <c r="AG235" s="1" t="str">
        <f>IFERROR(IF(VALUE(LEFT(AD235,2))&lt;=2,"EC",IF(OR(VALUE(LEFT(AD235,2))=8,VALUE(LEFT(AD235,2))=18),"NW","Other")),"Other")</f>
        <v>Other</v>
      </c>
      <c r="AH235" s="81" t="str">
        <f t="shared" si="17"/>
        <v>"%USERPROFILE%\Documents\GitHub\eaglep3\Utilities\RefineRTDCRunTimes.py" --tripid 60-16 --locoid 4060 --swversion DE.1.0.9.0 --startMP 204:737 --initTime 2017-05-17T02:38:41 --startdatetime 2017-05-17T03:18:22 --delay 1 --endMP 300:58954 --enddatetime 2017-05-17T03:30:43 --enforcementcount 1 &gt;&gt;C:\Users\stu\Documents\GitHub\eaglep3-reporting\EC\2017-05-17-refined-times.txt</v>
      </c>
      <c r="AI235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{"issue":{"subject":"","project_id":79,"tracker_id":40,"status_id":1,"priority_id":2,"assigned_to_id":23,"start_date":"2017-05-17","description":"","custom_fields":[{"id":1,"name":"Subdivision","value":"Other"},{"id":4,"name":"Milepost","value":"5.8954"},{"id":17,"name":"Train ID","value":"60-16"},{"id":16,"name":"Locomotive ID","value":"4060"},{"id":130,"name":"Impact","value":""},{"id":150,"name":"Time of Event (Mountain Time)","value":"03:30:43"},{"id":151,"name":"Denver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9"/>
        <v>start /low /b %USERPROFILE%\Documents\GitHub\eaglep3\Utilities\DownloadLogsFromS3.py --loco 4060 --day 2017-05-17</v>
      </c>
      <c r="AN235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09:30:43"},{"id":29,"name":"Sharepoint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513</v>
      </c>
      <c r="B236" s="7">
        <v>4060</v>
      </c>
      <c r="C236" s="21" t="s">
        <v>206</v>
      </c>
      <c r="D236" s="21" t="s">
        <v>842</v>
      </c>
      <c r="E236" s="13">
        <v>42872.13490740741</v>
      </c>
      <c r="F236" s="13">
        <v>42872.137754629628</v>
      </c>
      <c r="G236" s="7">
        <v>1</v>
      </c>
      <c r="H236" s="21" t="s">
        <v>929</v>
      </c>
      <c r="I236" s="13">
        <v>42872.146331018521</v>
      </c>
      <c r="J236" s="7">
        <v>1</v>
      </c>
      <c r="K236" s="92" t="str">
        <f>IF(ISEVEN(B236),(B236-1)&amp;"/"&amp;B236,B236&amp;"/"&amp;(B236+1))</f>
        <v>4059/4060</v>
      </c>
      <c r="L236" s="21" t="str">
        <f>VLOOKUP(A236,'Trips&amp;Operators'!$C$1:$G$99999,5,FALSE)</f>
        <v>GUZMAN DANNY</v>
      </c>
      <c r="M236" s="6">
        <f>I236-F236</f>
        <v>8.5763888928340748E-3</v>
      </c>
      <c r="N236" s="7">
        <f>24*60*SUM($M236:$M236)</f>
        <v>12.350000005681068</v>
      </c>
      <c r="O236" s="7"/>
      <c r="P236" s="7"/>
      <c r="Q236" s="22"/>
      <c r="R236" s="190"/>
      <c r="S236" s="196">
        <f>SUM(U236:U236)/IF(AG236="EC",12,1)</f>
        <v>0</v>
      </c>
      <c r="T236" s="190" t="e">
        <f>IF(ISEVEN(LEFT(AD236,4)),"Southbound","NorthBound")</f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-05-17T02:14:16-0600',mode:absolute,to:'2017-05-17T04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6" s="192" t="str">
        <f>IF(AA236&lt;IF(AG236="EC",23,5.65),"Y","N")</f>
        <v>Y</v>
      </c>
      <c r="X236" s="192" t="e">
        <f>VALUE(LEFT(AD236,4))-VALUE(LEFT(AD235,4))</f>
        <v>#VALUE!</v>
      </c>
      <c r="Y236" s="192">
        <f>RIGHT(D236,LEN(D236)-4)/10000</f>
        <v>7.7899999999999997E-2</v>
      </c>
      <c r="Z236" s="192">
        <f>RIGHT(H236,LEN(H236)-4)/10000</f>
        <v>2.3302</v>
      </c>
      <c r="AA236" s="192">
        <f>ABS(Z236-Y236)</f>
        <v>2.2523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>IF(LEN(A236)=6,"0"&amp;A236,A236)</f>
        <v>60-16</v>
      </c>
      <c r="AE236" s="80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s3://rtdc.mdm.uploadarchive.raw/RTDC4060/ "%USERPROFILE%\AppData\Local\Temp\OnboardLogs"\RTDC4060\2017-05-17 --exclude "*" --recursive --include "*20170517*" &amp; "%USERPROFILE%\Documents\GitHub\mrs-test-scripts\Headless Mode &amp; Sideloading\WalkAndUnGZ.bat" "%USERPROFILE%\AppData\Local\Temp\OnboardLogs"\RTDC4060\2017-05-17 &amp; aws s3 cp s3://rtdc.mdm.uploadarchive.raw/RTDC4060/ "%USERPROFILE%\AppData\Local\Temp\OnboardLogs"\RTDC4060\2017-05-18 --exclude "*" --recursive --include "*20170518*" &amp; "%USERPROFILE%\Documents\GitHub\mrs-test-scripts\Headless Mode &amp; Sideloading\WalkAndUnGZ.bat" "%USERPROFILE%\AppData\Local\Temp\OnboardLogs"\RTDC4060\2017-05-18</v>
      </c>
      <c r="AF236" s="77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/stypes="app*4060*20170517*" /stext=" 09:.+((SYSTEM_STATE.+slice.+state.+changed )|(ment ac)|(multiple cpu faults)|(system.+state.+changed )|(\[timeout)|(PRM\|1\|D)|(kpr)|(kdp)|(train st.+moving)|(\|lc)|(penalty))"</v>
      </c>
      <c r="AG236" s="1" t="str">
        <f>IFERROR(IF(VALUE(LEFT(AD236,2))&lt;=2,"EC",IF(OR(VALUE(LEFT(AD236,2))=8,VALUE(LEFT(AD236,2))=18),"NW","Other")),"Other")</f>
        <v>Other</v>
      </c>
      <c r="AH236" s="81" t="str">
        <f t="shared" si="17"/>
        <v>"%USERPROFILE%\Documents\GitHub\eaglep3\Utilities\RefineRTDCRunTimes.py" --tripid 60-16 --locoid 4060 --swversion DE.1.0.9.0 --startMP 204:779 --initTime 2017-05-17T03:14:16 --startdatetime 2017-05-17T03:18:22 --delay 1 --endMP 300:23302 --enddatetime 2017-05-17T03:30:43 --enforcementcount 1 &gt;&gt;C:\Users\stu\Documents\GitHub\eaglep3-reporting\EC\2017-05-17-refined-times.txt</v>
      </c>
      <c r="AI236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{"issue":{"subject":"","project_id":79,"tracker_id":40,"status_id":1,"priority_id":2,"assigned_to_id":23,"start_date":"2017-05-17","description":"","custom_fields":[{"id":1,"name":"Subdivision","value":"Other"},{"id":4,"name":"Milepost","value":"2.3302"},{"id":17,"name":"Train ID","value":"60-16"},{"id":16,"name":"Locomotive ID","value":"4060"},{"id":130,"name":"Impact","value":""},{"id":150,"name":"Time of Event (Mountain Time)","value":"03:30:43"},{"id":151,"name":"Denver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19"/>
        <v>start /low /b %USERPROFILE%\Documents\GitHub\eaglep3\Utilities\DownloadLogsFromS3.py --loco 4060 --day 2017-05-17</v>
      </c>
      <c r="AN236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09:30:43"},{"id":29,"name":"Sharepoint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511</v>
      </c>
      <c r="B237" s="7">
        <v>4050</v>
      </c>
      <c r="C237" s="21" t="s">
        <v>206</v>
      </c>
      <c r="D237" s="21" t="s">
        <v>365</v>
      </c>
      <c r="E237" s="13">
        <v>42872.1012962963</v>
      </c>
      <c r="F237" s="13">
        <v>42872.102835648147</v>
      </c>
      <c r="G237" s="7">
        <v>1</v>
      </c>
      <c r="H237" s="21" t="s">
        <v>361</v>
      </c>
      <c r="I237" s="13">
        <v>42872.111435185187</v>
      </c>
      <c r="J237" s="7">
        <v>1</v>
      </c>
      <c r="K237" s="92" t="str">
        <f>IF(ISEVEN(B237),(B237-1)&amp;"/"&amp;B237,B237&amp;"/"&amp;(B237+1))</f>
        <v>4049/4050</v>
      </c>
      <c r="L237" s="21" t="str">
        <f>VLOOKUP(A237,'Trips&amp;Operators'!$C$1:$G$99999,5,FALSE)</f>
        <v>SULLIVAN BRANDON</v>
      </c>
      <c r="M237" s="6">
        <f>I237-F237</f>
        <v>8.599537039117422E-3</v>
      </c>
      <c r="N237" s="7">
        <f>24*60*SUM($M237:$M237)</f>
        <v>12.383333336329088</v>
      </c>
      <c r="O237" s="7"/>
      <c r="P237" s="7"/>
      <c r="Q237" s="22"/>
      <c r="R237" s="190"/>
      <c r="S237" s="196">
        <f>SUM(U237:U237)/IF(AG237="EC",12,1)</f>
        <v>0</v>
      </c>
      <c r="T237" s="190" t="e">
        <f>IF(ISEVEN(LEFT(AD237,4)),"Southbound","NorthBound")</f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-05-17T01:25:52-0600',mode:absolute,to:'2017-05-17T03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7" s="192" t="str">
        <f>IF(AA237&lt;IF(AG237="EC",23,5.65),"Y","N")</f>
        <v>Y</v>
      </c>
      <c r="X237" s="192" t="e">
        <f>VALUE(LEFT(AD237,4))-VALUE(LEFT(AD236,4))</f>
        <v>#VALUE!</v>
      </c>
      <c r="Y237" s="192">
        <f>RIGHT(D237,LEN(D237)-4)/10000</f>
        <v>4.4400000000000002E-2</v>
      </c>
      <c r="Z237" s="192">
        <f>RIGHT(H237,LEN(H237)-4)/10000</f>
        <v>2.3346</v>
      </c>
      <c r="AA237" s="192">
        <f>ABS(Z237-Y237)</f>
        <v>2.2902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>IF(LEN(A237)=6,"0"&amp;A237,A237)</f>
        <v>66-16</v>
      </c>
      <c r="AE237" s="80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 &amp; aws s3 cp s3://rtdc.mdm.uploadarchive.raw/RTDC4050/ "%USERPROFILE%\AppData\Local\Temp\OnboardLogs"\RTDC4050\2017-05-18 --exclude "*" --recursive --include "*20170518*" &amp; "%USERPROFILE%\Documents\GitHub\mrs-test-scripts\Headless Mode &amp; Sideloading\WalkAndUnGZ.bat" "%USERPROFILE%\AppData\Local\Temp\OnboardLogs"\RTDC4050\2017-05-18</v>
      </c>
      <c r="AF237" s="77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/stypes="app*4050*20170517*" /stext=" 08:.+((SYSTEM_STATE.+slice.+state.+changed )|(ment ac)|(multiple cpu faults)|(system.+state.+changed )|(\[timeout)|(PRM\|1\|D)|(kpr)|(kdp)|(train st.+moving)|(\|lc)|(penalty))"</v>
      </c>
      <c r="AG237" s="1" t="str">
        <f>IFERROR(IF(VALUE(LEFT(AD237,2))&lt;=2,"EC",IF(OR(VALUE(LEFT(AD237,2))=8,VALUE(LEFT(AD237,2))=18),"NW","Other")),"Other")</f>
        <v>Other</v>
      </c>
      <c r="AH237" s="81" t="str">
        <f t="shared" si="17"/>
        <v>"%USERPROFILE%\Documents\GitHub\eaglep3\Utilities\RefineRTDCRunTimes.py" --tripid 66-16 --locoid 4050 --swversion DE.1.0.9.0 --startMP 204:444 --initTime 2017-05-17T02:25:52 --startdatetime 2017-05-17T02:28:05 --delay 1 --endMP 300:23346 --enddatetime 2017-05-17T02:40:28 --enforcementcount 1 &gt;&gt;C:\Users\stu\Documents\GitHub\eaglep3-reporting\EC\2017-05-17-refined-times.txt</v>
      </c>
      <c r="AI237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{"issue":{"subject":"","project_id":79,"tracker_id":40,"status_id":1,"priority_id":2,"assigned_to_id":23,"start_date":"2017-05-17","description":"","custom_fields":[{"id":1,"name":"Subdivision","value":"Other"},{"id":4,"name":"Milepost","value":"2.3346"},{"id":17,"name":"Train ID","value":"66-16"},{"id":16,"name":"Locomotive ID","value":"4050"},{"id":130,"name":"Impact","value":""},{"id":150,"name":"Time of Event (Mountain Time)","value":"02:40:28"},{"id":151,"name":"Denver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9"/>
        <v>start /low /b %USERPROFILE%\Documents\GitHub\eaglep3\Utilities\DownloadLogsFromS3.py --loco 4050 --day 2017-05-17</v>
      </c>
      <c r="AN237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08:40:28"},{"id":29,"name":"Sharepoint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600</v>
      </c>
      <c r="B238" s="7">
        <v>4005</v>
      </c>
      <c r="C238" s="21" t="s">
        <v>206</v>
      </c>
      <c r="D238" s="21" t="s">
        <v>930</v>
      </c>
      <c r="E238" s="13">
        <v>42872.714745370373</v>
      </c>
      <c r="F238" s="13">
        <v>42872.719097222223</v>
      </c>
      <c r="G238" s="7">
        <v>6</v>
      </c>
      <c r="H238" s="21" t="s">
        <v>931</v>
      </c>
      <c r="I238" s="13">
        <v>42872.724502314813</v>
      </c>
      <c r="J238" s="7">
        <v>1</v>
      </c>
      <c r="K238" s="92" t="str">
        <f>IF(ISEVEN(B238),(B238-1)&amp;"/"&amp;B238,B238&amp;"/"&amp;(B238+1))</f>
        <v>4005/4006</v>
      </c>
      <c r="L238" s="21" t="str">
        <f>VLOOKUP(A238,'Trips&amp;Operators'!$C$1:$G$99999,5,FALSE)</f>
        <v>BIRENBAUM THOMAS</v>
      </c>
      <c r="M238" s="6">
        <f>I238-F238</f>
        <v>5.4050925900810398E-3</v>
      </c>
      <c r="N238" s="7">
        <f>24*60*SUM($M238:$M238)</f>
        <v>7.7833333297166973</v>
      </c>
      <c r="O238" s="7"/>
      <c r="P238" s="7"/>
      <c r="Q238" s="22"/>
      <c r="R238" s="190"/>
      <c r="S238" s="196">
        <f>SUM(U238:U238)/IF(AG238="EC",12,1)</f>
        <v>0</v>
      </c>
      <c r="T238" s="190" t="e">
        <f>IF(ISEVEN(LEFT(AD238,4)),"Southbound","NorthBound")</f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-05-17T16:09:14-0600',mode:absolute,to:'2017-05-17T18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8" s="192" t="str">
        <f>IF(AA238&lt;IF(AG238="EC",23,5.65),"Y","N")</f>
        <v>Y</v>
      </c>
      <c r="X238" s="192" t="e">
        <f>VALUE(LEFT(AD238,4))-VALUE(LEFT(AD237,4))</f>
        <v>#VALUE!</v>
      </c>
      <c r="Y238" s="192">
        <f>RIGHT(D238,LEN(D238)-4)/10000</f>
        <v>2.3315000000000001</v>
      </c>
      <c r="Z238" s="192">
        <f>RIGHT(H238,LEN(H238)-4)/10000</f>
        <v>1.6400000000000001E-2</v>
      </c>
      <c r="AA238" s="192">
        <f>ABS(Z238-Y238)</f>
        <v>2.3151000000000002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>IF(LEN(A238)=6,"0"&amp;A238,A238)</f>
        <v>70-17</v>
      </c>
      <c r="AE238" s="80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s3://rtdc.mdm.uploadarchive.raw/RTDC4005/ "%USERPROFILE%\AppData\Local\Temp\OnboardLogs"\RTDC4005\2017-05-17 --exclude "*" --recursive --include "*20170517*" &amp; "%USERPROFILE%\Documents\GitHub\mrs-test-scripts\Headless Mode &amp; Sideloading\WalkAndUnGZ.bat" "%USERPROFILE%\AppData\Local\Temp\OnboardLogs"\RTDC4005\2017-05-17 &amp; aws s3 cp s3://rtdc.mdm.uploadarchive.raw/RTDC4005/ "%USERPROFILE%\AppData\Local\Temp\OnboardLogs"\RTDC4005\2017-05-18 --exclude "*" --recursive --include "*20170518*" &amp; "%USERPROFILE%\Documents\GitHub\mrs-test-scripts\Headless Mode &amp; Sideloading\WalkAndUnGZ.bat" "%USERPROFILE%\AppData\Local\Temp\OnboardLogs"\RTDC4005\2017-05-18</v>
      </c>
      <c r="AF238" s="77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/stypes="app*4005*20170517*" /stext=" 23:.+((SYSTEM_STATE.+slice.+state.+changed )|(ment ac)|(multiple cpu faults)|(system.+state.+changed )|(\[timeout)|(PRM\|1\|D)|(kpr)|(kdp)|(train st.+moving)|(\|lc)|(penalty))"</v>
      </c>
      <c r="AG238" s="1" t="str">
        <f>IFERROR(IF(VALUE(LEFT(AD238,2))&lt;=2,"EC",IF(OR(VALUE(LEFT(AD238,2))=8,VALUE(LEFT(AD238,2))=18),"NW","Other")),"Other")</f>
        <v>Other</v>
      </c>
      <c r="AH238" s="81" t="str">
        <f t="shared" si="17"/>
        <v>"%USERPROFILE%\Documents\GitHub\eaglep3\Utilities\RefineRTDCRunTimes.py" --tripid 70-17 --locoid 4005 --swversion DE.1.0.9.0 --startMP 300:23315 --initTime 2017-05-17T17:09:14 --startdatetime 2017-05-17T17:15:30 --delay 6 --endMP 204:164 --enddatetime 2017-05-17T17:23:17 --enforcementcount 1 &gt;&gt;C:\Users\stu\Documents\GitHub\eaglep3-reporting\EC\2017-05-17-refined-times.txt</v>
      </c>
      <c r="AI238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{"issue":{"subject":"","project_id":79,"tracker_id":40,"status_id":1,"priority_id":2,"assigned_to_id":23,"start_date":"2017-05-17","description":"","custom_fields":[{"id":1,"name":"Subdivision","value":"Other"},{"id":4,"name":"Milepost","value":"0.0164"},{"id":17,"name":"Train ID","value":"70-17"},{"id":16,"name":"Locomotive ID","value":"4005"},{"id":130,"name":"Impact","value":""},{"id":150,"name":"Time of Event (Mountain Time)","value":"17:23:17"},{"id":151,"name":"Denver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9"/>
        <v>start /low /b %USERPROFILE%\Documents\GitHub\eaglep3\Utilities\DownloadLogsFromS3.py --loco 4005 --day 2017-05-17</v>
      </c>
      <c r="AN238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768</v>
      </c>
      <c r="B239" s="7">
        <v>4032</v>
      </c>
      <c r="C239" s="21" t="s">
        <v>206</v>
      </c>
      <c r="D239" s="21" t="s">
        <v>932</v>
      </c>
      <c r="E239" s="13">
        <v>42872.719699074078</v>
      </c>
      <c r="F239" s="13">
        <v>42872.737210648149</v>
      </c>
      <c r="G239" s="7">
        <v>5</v>
      </c>
      <c r="H239" s="21" t="s">
        <v>908</v>
      </c>
      <c r="I239" s="13">
        <v>42872.749444444446</v>
      </c>
      <c r="J239" s="7">
        <v>1</v>
      </c>
      <c r="K239" s="92" t="str">
        <f>IF(ISEVEN(B239),(B239-1)&amp;"/"&amp;B239,B239&amp;"/"&amp;(B239+1))</f>
        <v>4031/4032</v>
      </c>
      <c r="L239" s="21" t="str">
        <f>VLOOKUP(A239,'Trips&amp;Operators'!$C$1:$G$99999,5,FALSE)</f>
        <v>DELGADO DIANAH</v>
      </c>
      <c r="M239" s="6">
        <f>I239-F239</f>
        <v>1.2233796296641231E-2</v>
      </c>
      <c r="N239" s="7">
        <f>24*60*SUM($M239:$M239)</f>
        <v>17.616666667163372</v>
      </c>
      <c r="O239" s="7"/>
      <c r="P239" s="7"/>
      <c r="Q239" s="22"/>
      <c r="R239" s="190"/>
      <c r="S239" s="196">
        <f>SUM(U239:U239)/IF(AG239="EC",12,1)</f>
        <v>0</v>
      </c>
      <c r="T239" s="190" t="e">
        <f>IF(ISEVEN(LEFT(AD239,4)),"Southbound","NorthBound")</f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-05-17T16:16:22-0600',mode:absolute,to:'2017-05-17T18:59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9" s="192" t="str">
        <f>IF(AA239&lt;IF(AG239="EC",23,5.65),"Y","N")</f>
        <v>Y</v>
      </c>
      <c r="X239" s="192" t="e">
        <f>VALUE(LEFT(AD239,4))-VALUE(LEFT(AD238,4))</f>
        <v>#VALUE!</v>
      </c>
      <c r="Y239" s="192">
        <f>RIGHT(D239,LEN(D239)-4)/10000</f>
        <v>0.14810000000000001</v>
      </c>
      <c r="Z239" s="192">
        <f>RIGHT(H239,LEN(H239)-4)/10000</f>
        <v>2.3306</v>
      </c>
      <c r="AA239" s="192">
        <f>ABS(Z239-Y239)</f>
        <v>2.1825000000000001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>IF(LEN(A239)=6,"0"&amp;A239,A239)</f>
        <v>71-17</v>
      </c>
      <c r="AE239" s="80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s3://rtdc.mdm.uploadarchive.raw/RTDC4032/ "%USERPROFILE%\AppData\Local\Temp\OnboardLogs"\RTDC4032\2017-05-17 --exclude "*" --recursive --include "*20170517*" &amp; "%USERPROFILE%\Documents\GitHub\mrs-test-scripts\Headless Mode &amp; Sideloading\WalkAndUnGZ.bat" "%USERPROFILE%\AppData\Local\Temp\OnboardLogs"\RTDC4032\2017-05-17 &amp; aws s3 cp s3://rtdc.mdm.uploadarchive.raw/RTDC4032/ "%USERPROFILE%\AppData\Local\Temp\OnboardLogs"\RTDC4032\2017-05-18 --exclude "*" --recursive --include "*20170518*" &amp; "%USERPROFILE%\Documents\GitHub\mrs-test-scripts\Headless Mode &amp; Sideloading\WalkAndUnGZ.bat" "%USERPROFILE%\AppData\Local\Temp\OnboardLogs"\RTDC4032\2017-05-18</v>
      </c>
      <c r="AF239" s="77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/stypes="app*4032*20170517*" /stext=" 23:.+((SYSTEM_STATE.+slice.+state.+changed )|(ment ac)|(multiple cpu faults)|(system.+state.+changed )|(\[timeout)|(PRM\|1\|D)|(kpr)|(kdp)|(train st.+moving)|(\|lc)|(penalty))"</v>
      </c>
      <c r="AG239" s="1" t="str">
        <f>IFERROR(IF(VALUE(LEFT(AD239,2))&lt;=2,"EC",IF(OR(VALUE(LEFT(AD239,2))=8,VALUE(LEFT(AD239,2))=18),"NW","Other")),"Other")</f>
        <v>Other</v>
      </c>
      <c r="AH239" s="81" t="str">
        <f t="shared" si="17"/>
        <v>"%USERPROFILE%\Documents\GitHub\eaglep3\Utilities\RefineRTDCRunTimes.py" --tripid 71-17 --locoid 4032 --swversion DE.1.0.9.0 --startMP 204:1481 --initTime 2017-05-17T17:16:22 --startdatetime 2017-05-17T17:41:35 --delay 5 --endMP 300:23306 --enddatetime 2017-05-17T17:59:12 --enforcementcount 1 &gt;&gt;C:\Users\stu\Documents\GitHub\eaglep3-reporting\EC\2017-05-17-refined-times.txt</v>
      </c>
      <c r="AI239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{"issue":{"subject":"","project_id":79,"tracker_id":40,"status_id":1,"priority_id":2,"assigned_to_id":23,"start_date":"2017-05-17","description":"","custom_fields":[{"id":1,"name":"Subdivision","value":"Other"},{"id":4,"name":"Milepost","value":"2.3306"},{"id":17,"name":"Train ID","value":"71-17"},{"id":16,"name":"Locomotive ID","value":"4032"},{"id":130,"name":"Impact","value":""},{"id":150,"name":"Time of Event (Mountain Time)","value":"17:59:12"},{"id":151,"name":"Denver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9"/>
        <v>start /low /b %USERPROFILE%\Documents\GitHub\eaglep3\Utilities\DownloadLogsFromS3.py --loco 4032 --day 2017-05-17</v>
      </c>
      <c r="AN239" s="154" t="str">
        <f t="shared" si="20"/>
        <v>echo {"issue":{"subject":"","project_id":30,"tracker_id":4,"status_id":1,"priority_id":1,"assigned_to_id":10,"start_date":"2017-05-17","description":"","custom_fields":[{"id":30,"name":"Category","value":"Issue"},{"id":3,"name":"Functional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UTC","value":"2017-05-17 23:59:12"},{"id":29,"name":"Sharepoint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777</v>
      </c>
      <c r="B240" s="7">
        <v>4006</v>
      </c>
      <c r="C240" s="21" t="s">
        <v>206</v>
      </c>
      <c r="D240" s="21" t="s">
        <v>482</v>
      </c>
      <c r="E240" s="13">
        <v>42872.751423611109</v>
      </c>
      <c r="F240" s="13">
        <v>42872.757604166669</v>
      </c>
      <c r="G240" s="7">
        <v>1</v>
      </c>
      <c r="H240" s="21" t="s">
        <v>361</v>
      </c>
      <c r="I240" s="13">
        <v>42872.766875000001</v>
      </c>
      <c r="J240" s="7">
        <v>1</v>
      </c>
      <c r="K240" s="92" t="str">
        <f>IF(ISEVEN(B240),(B240-1)&amp;"/"&amp;B240,B240&amp;"/"&amp;(B240+1))</f>
        <v>4005/4006</v>
      </c>
      <c r="L240" s="21" t="str">
        <f>VLOOKUP(A240,'Trips&amp;Operators'!$C$1:$G$99999,5,FALSE)</f>
        <v>CLARK KATHLEEN</v>
      </c>
      <c r="M240" s="6">
        <f>I240-F240</f>
        <v>9.2708333322661929E-3</v>
      </c>
      <c r="N240" s="7">
        <f>24*60*SUM($M240:$M240)</f>
        <v>13.349999998463318</v>
      </c>
      <c r="O240" s="7"/>
      <c r="P240" s="7"/>
      <c r="Q240" s="22"/>
      <c r="R240" s="190"/>
      <c r="S240" s="196">
        <f>SUM(U240:U240)/IF(AG240="EC",12,1)</f>
        <v>0</v>
      </c>
      <c r="T240" s="190" t="e">
        <f>IF(ISEVEN(LEFT(AD240,4)),"Southbound","NorthBound")</f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-05-17T17:02:03-0600',mode:absolute,to:'2017-05-17T19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0" s="192" t="str">
        <f>IF(AA240&lt;IF(AG240="EC",23,5.65),"Y","N")</f>
        <v>Y</v>
      </c>
      <c r="X240" s="192" t="e">
        <f>VALUE(LEFT(AD240,4))-VALUE(LEFT(AD239,4))</f>
        <v>#VALUE!</v>
      </c>
      <c r="Y240" s="192">
        <f>RIGHT(D240,LEN(D240)-4)/10000</f>
        <v>4.8399999999999999E-2</v>
      </c>
      <c r="Z240" s="192">
        <f>RIGHT(H240,LEN(H240)-4)/10000</f>
        <v>2.3346</v>
      </c>
      <c r="AA240" s="192">
        <f>ABS(Z240-Y240)</f>
        <v>2.2862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>IF(LEN(A240)=6,"0"&amp;A240,A240)</f>
        <v>73-17</v>
      </c>
      <c r="AE240" s="80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s3://rtdc.mdm.uploadarchive.raw/RTDC4006/ "%USERPROFILE%\AppData\Local\Temp\OnboardLogs"\RTDC4006\2017-05-17 --exclude "*" --recursive --include "*20170517*" &amp; "%USERPROFILE%\Documents\GitHub\mrs-test-scripts\Headless Mode &amp; Sideloading\WalkAndUnGZ.bat" "%USERPROFILE%\AppData\Local\Temp\OnboardLogs"\RTDC4006\2017-05-17 &amp; aws s3 cp s3://rtdc.mdm.uploadarchive.raw/RTDC4006/ "%USERPROFILE%\AppData\Local\Temp\OnboardLogs"\RTDC4006\2017-05-18 --exclude "*" --recursive --include "*20170518*" &amp; "%USERPROFILE%\Documents\GitHub\mrs-test-scripts\Headless Mode &amp; Sideloading\WalkAndUnGZ.bat" "%USERPROFILE%\AppData\Local\Temp\OnboardLogs"\RTDC4006\2017-05-18</v>
      </c>
      <c r="AF240" s="77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/stypes="app*4006*20170518*" /stext=" 00:.+((SYSTEM_STATE.+slice.+state.+changed )|(ment ac)|(multiple cpu faults)|(system.+state.+changed )|(\[timeout)|(PRM\|1\|D)|(kpr)|(kdp)|(train st.+moving)|(\|lc)|(penalty))"</v>
      </c>
      <c r="AG240" s="1" t="str">
        <f>IFERROR(IF(VALUE(LEFT(AD240,2))&lt;=2,"EC",IF(OR(VALUE(LEFT(AD240,2))=8,VALUE(LEFT(AD240,2))=18),"NW","Other")),"Other")</f>
        <v>Other</v>
      </c>
      <c r="AH240" s="81" t="str">
        <f t="shared" si="17"/>
        <v>"%USERPROFILE%\Documents\GitHub\eaglep3\Utilities\RefineRTDCRunTimes.py" --tripid 73-17 --locoid 4006 --swversion DE.1.0.9.0 --startMP 204:484 --initTime 2017-05-17T18:02:03 --startdatetime 2017-05-17T18:10:57 --delay 1 --endMP 300:23346 --enddatetime 2017-05-17T18:24:18 --enforcementcount 1 &gt;&gt;C:\Users\stu\Documents\GitHub\eaglep3-reporting\EC\2017-05-17-refined-times.txt</v>
      </c>
      <c r="AI240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{"issue":{"subject":"","project_id":79,"tracker_id":40,"status_id":1,"priority_id":2,"assigned_to_id":23,"start_date":"2017-05-17","description":"","custom_fields":[{"id":1,"name":"Subdivision","value":"Other"},{"id":4,"name":"Milepost","value":"2.3346"},{"id":17,"name":"Train ID","value":"73-17"},{"id":16,"name":"Locomotive ID","value":"4006"},{"id":130,"name":"Impact","value":""},{"id":150,"name":"Time of Event (Mountain Time)","value":"18:24:18"},{"id":151,"name":"Denver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9"/>
        <v>start /low /b %USERPROFILE%\Documents\GitHub\eaglep3\Utilities\DownloadLogsFromS3.py --loco 4006 --day 2017-05-17</v>
      </c>
      <c r="AN240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606</v>
      </c>
      <c r="B241" s="7">
        <v>4053</v>
      </c>
      <c r="C241" s="21" t="s">
        <v>206</v>
      </c>
      <c r="D241" s="21" t="s">
        <v>560</v>
      </c>
      <c r="E241" s="13">
        <v>42872.748877314814</v>
      </c>
      <c r="F241" s="13">
        <v>42872.751620370371</v>
      </c>
      <c r="G241" s="7">
        <v>3</v>
      </c>
      <c r="H241" s="21" t="s">
        <v>933</v>
      </c>
      <c r="I241" s="13">
        <v>42872.756967592592</v>
      </c>
      <c r="J241" s="7">
        <v>1</v>
      </c>
      <c r="K241" s="92" t="str">
        <f>IF(ISEVEN(B241),(B241-1)&amp;"/"&amp;B241,B241&amp;"/"&amp;(B241+1))</f>
        <v>4053/4054</v>
      </c>
      <c r="L241" s="21" t="str">
        <f>VLOOKUP(A241,'Trips&amp;Operators'!$C$1:$G$99999,5,FALSE)</f>
        <v>FORTUNATO FRANK</v>
      </c>
      <c r="M241" s="6">
        <f>I241-F241</f>
        <v>5.3472222207346931E-3</v>
      </c>
      <c r="N241" s="7">
        <f>24*60*SUM($M241:$M241)</f>
        <v>7.6999999978579581</v>
      </c>
      <c r="O241" s="7"/>
      <c r="P241" s="7"/>
      <c r="Q241" s="22"/>
      <c r="R241" s="190"/>
      <c r="S241" s="196">
        <f>SUM(U241:U241)/IF(AG241="EC",12,1)</f>
        <v>0</v>
      </c>
      <c r="T241" s="190" t="e">
        <f>IF(ISEVEN(LEFT(AD241,4)),"Southbound","NorthBound")</f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-05-17T16:58:23-0600',mode:absolute,to:'2017-05-17T19:10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1" s="192" t="str">
        <f>IF(AA241&lt;IF(AG241="EC",23,5.65),"Y","N")</f>
        <v>Y</v>
      </c>
      <c r="X241" s="192" t="e">
        <f>VALUE(LEFT(AD241,4))-VALUE(LEFT(AD240,4))</f>
        <v>#VALUE!</v>
      </c>
      <c r="Y241" s="192">
        <f>RIGHT(D241,LEN(D241)-4)/10000</f>
        <v>2.3424999999999998</v>
      </c>
      <c r="Z241" s="192">
        <f>RIGHT(H241,LEN(H241)-4)/10000</f>
        <v>6.3799999999999996E-2</v>
      </c>
      <c r="AA241" s="192">
        <f>ABS(Z241-Y241)</f>
        <v>2.2786999999999997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>IF(LEN(A241)=6,"0"&amp;A241,A241)</f>
        <v>74-17</v>
      </c>
      <c r="AE241" s="80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s3://rtdc.mdm.uploadarchive.raw/RTDC4053/ "%USERPROFILE%\AppData\Local\Temp\OnboardLogs"\RTDC4053\2017-05-17 --exclude "*" --recursive --include "*20170517*" &amp; "%USERPROFILE%\Documents\GitHub\mrs-test-scripts\Headless Mode &amp; Sideloading\WalkAndUnGZ.bat" "%USERPROFILE%\AppData\Local\Temp\OnboardLogs"\RTDC4053\2017-05-17 &amp; aws s3 cp s3://rtdc.mdm.uploadarchive.raw/RTDC4053/ "%USERPROFILE%\AppData\Local\Temp\OnboardLogs"\RTDC4053\2017-05-18 --exclude "*" --recursive --include "*20170518*" &amp; "%USERPROFILE%\Documents\GitHub\mrs-test-scripts\Headless Mode &amp; Sideloading\WalkAndUnGZ.bat" "%USERPROFILE%\AppData\Local\Temp\OnboardLogs"\RTDC4053\2017-05-18</v>
      </c>
      <c r="AF241" s="77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/stypes="app*4053*20170518*" /stext=" 00:.+((SYSTEM_STATE.+slice.+state.+changed )|(ment ac)|(multiple cpu faults)|(system.+state.+changed )|(\[timeout)|(PRM\|1\|D)|(kpr)|(kdp)|(train st.+moving)|(\|lc)|(penalty))"</v>
      </c>
      <c r="AG241" s="1" t="str">
        <f>IFERROR(IF(VALUE(LEFT(AD241,2))&lt;=2,"EC",IF(OR(VALUE(LEFT(AD241,2))=8,VALUE(LEFT(AD241,2))=18),"NW","Other")),"Other")</f>
        <v>Other</v>
      </c>
      <c r="AH241" s="81" t="str">
        <f t="shared" si="17"/>
        <v>"%USERPROFILE%\Documents\GitHub\eaglep3\Utilities\RefineRTDCRunTimes.py" --tripid 74-17 --locoid 4053 --swversion DE.1.0.9.0 --startMP 300:23425 --initTime 2017-05-17T17:58:23 --startdatetime 2017-05-17T18:02:20 --delay 3 --endMP 204:638 --enddatetime 2017-05-17T18:10:02 --enforcementcount 1 &gt;&gt;C:\Users\stu\Documents\GitHub\eaglep3-reporting\EC\2017-05-17-refined-times.txt</v>
      </c>
      <c r="AI241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{"issue":{"subject":"","project_id":79,"tracker_id":40,"status_id":1,"priority_id":2,"assigned_to_id":23,"start_date":"2017-05-17","description":"","custom_fields":[{"id":1,"name":"Subdivision","value":"Other"},{"id":4,"name":"Milepost","value":"0.0638"},{"id":17,"name":"Train ID","value":"74-17"},{"id":16,"name":"Locomotive ID","value":"4053"},{"id":130,"name":"Impact","value":""},{"id":150,"name":"Time of Event (Mountain Time)","value":"18:10:02"},{"id":151,"name":"Denver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9"/>
        <v>start /low /b %USERPROFILE%\Documents\GitHub\eaglep3\Utilities\DownloadLogsFromS3.py --loco 4053 --day 2017-05-17</v>
      </c>
      <c r="AN241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00:10:02"},{"id":29,"name":"Sharepoint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784</v>
      </c>
      <c r="B242" s="7">
        <v>4051</v>
      </c>
      <c r="C242" s="21" t="s">
        <v>206</v>
      </c>
      <c r="D242" s="21" t="s">
        <v>458</v>
      </c>
      <c r="E242" s="13">
        <v>42872.78502314815</v>
      </c>
      <c r="F242" s="13">
        <v>42872.787974537037</v>
      </c>
      <c r="G242" s="7">
        <v>1</v>
      </c>
      <c r="H242" s="21" t="s">
        <v>934</v>
      </c>
      <c r="I242" s="13">
        <v>42872.799432870372</v>
      </c>
      <c r="J242" s="7">
        <v>1</v>
      </c>
      <c r="K242" s="92" t="str">
        <f>IF(ISEVEN(B242),(B242-1)&amp;"/"&amp;B242,B242&amp;"/"&amp;(B242+1))</f>
        <v>4051/4052</v>
      </c>
      <c r="L242" s="21" t="str">
        <f>VLOOKUP(A242,'Trips&amp;Operators'!$C$1:$G$99999,5,FALSE)</f>
        <v>MCREYNOLDS KYLE</v>
      </c>
      <c r="M242" s="6">
        <f>I242-F242</f>
        <v>1.1458333334303461E-2</v>
      </c>
      <c r="N242" s="7">
        <f>24*60*SUM($M242:$M242)</f>
        <v>16.500000001396984</v>
      </c>
      <c r="O242" s="7"/>
      <c r="P242" s="7"/>
      <c r="Q242" s="22"/>
      <c r="R242" s="190"/>
      <c r="S242" s="196">
        <f>SUM(U242:U242)/IF(AG242="EC",12,1)</f>
        <v>0</v>
      </c>
      <c r="T242" s="190" t="e">
        <f>IF(ISEVEN(LEFT(AD242,4)),"Southbound","NorthBound")</f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-05-17T17:50:26-0600',mode:absolute,to:'2017-05-17T20:11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42" s="192" t="str">
        <f>IF(AA242&lt;IF(AG242="EC",23,5.65),"Y","N")</f>
        <v>N</v>
      </c>
      <c r="X242" s="192" t="e">
        <f>VALUE(LEFT(AD242,4))-VALUE(LEFT(AD241,4))</f>
        <v>#VALUE!</v>
      </c>
      <c r="Y242" s="192">
        <f>RIGHT(D242,LEN(D242)-4)/10000</f>
        <v>5.8620999999999999</v>
      </c>
      <c r="Z242" s="192">
        <f>RIGHT(H242,LEN(H242)-4)/10000</f>
        <v>9.2299999999999993E-2</v>
      </c>
      <c r="AA242" s="192">
        <f>ABS(Z242-Y242)</f>
        <v>5.7698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>IF(LEN(A242)=6,"0"&amp;A242,A242)</f>
        <v>78-17</v>
      </c>
      <c r="AE242" s="80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s3://rtdc.mdm.uploadarchive.raw/RTDC4051/ "%USERPROFILE%\AppData\Local\Temp\OnboardLogs"\RTDC4051\2017-05-17 --exclude "*" --recursive --include "*20170517*" &amp; "%USERPROFILE%\Documents\GitHub\mrs-test-scripts\Headless Mode &amp; Sideloading\WalkAndUnGZ.bat" "%USERPROFILE%\AppData\Local\Temp\OnboardLogs"\RTDC4051\2017-05-17 &amp; aws s3 cp s3://rtdc.mdm.uploadarchive.raw/RTDC4051/ "%USERPROFILE%\AppData\Local\Temp\OnboardLogs"\RTDC4051\2017-05-18 --exclude "*" --recursive --include "*20170518*" &amp; "%USERPROFILE%\Documents\GitHub\mrs-test-scripts\Headless Mode &amp; Sideloading\WalkAndUnGZ.bat" "%USERPROFILE%\AppData\Local\Temp\OnboardLogs"\RTDC4051\2017-05-18</v>
      </c>
      <c r="AF242" s="77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/stypes="app*4051*20170518*" /stext=" 01:.+((SYSTEM_STATE.+slice.+state.+changed )|(ment ac)|(multiple cpu faults)|(system.+state.+changed )|(\[timeout)|(PRM\|1\|D)|(kpr)|(kdp)|(train st.+moving)|(\|lc)|(penalty))"</v>
      </c>
      <c r="AG242" s="1" t="str">
        <f>IFERROR(IF(VALUE(LEFT(AD242,2))&lt;=2,"EC",IF(OR(VALUE(LEFT(AD242,2))=8,VALUE(LEFT(AD242,2))=18),"NW","Other")),"Other")</f>
        <v>Other</v>
      </c>
      <c r="AH242" s="81" t="str">
        <f t="shared" si="17"/>
        <v>"%USERPROFILE%\Documents\GitHub\eaglep3\Utilities\RefineRTDCRunTimes.py" --tripid 78-17 --locoid 4051 --swversion DE.1.0.9.0 --startMP 300:58621 --initTime 2017-05-17T18:50:26 --startdatetime 2017-05-17T18:54:41 --delay 1 --endMP 204:923 --enddatetime 2017-05-17T19:11:11 --enforcementcount 1 &gt;&gt;C:\Users\stu\Documents\GitHub\eaglep3-reporting\EC\2017-05-17-refined-times.txt</v>
      </c>
      <c r="AI242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{"issue":{"subject":"","project_id":79,"tracker_id":40,"status_id":1,"priority_id":2,"assigned_to_id":23,"start_date":"2017-05-17","description":"","custom_fields":[{"id":1,"name":"Subdivision","value":"Other"},{"id":4,"name":"Milepost","value":"0.0923"},{"id":17,"name":"Train ID","value":"78-17"},{"id":16,"name":"Locomotive ID","value":"4051"},{"id":130,"name":"Impact","value":""},{"id":150,"name":"Time of Event (Mountain Time)","value":"19:11:11"},{"id":151,"name":"Denver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9"/>
        <v>start /low /b %USERPROFILE%\Documents\GitHub\eaglep3\Utilities\DownloadLogsFromS3.py --loco 4051 --day 2017-05-17</v>
      </c>
      <c r="AN242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01:11:11"},{"id":29,"name":"Sharepoint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788</v>
      </c>
      <c r="B243" s="7">
        <v>4052</v>
      </c>
      <c r="C243" s="21" t="s">
        <v>206</v>
      </c>
      <c r="D243" s="21" t="s">
        <v>935</v>
      </c>
      <c r="E243" s="13">
        <v>42872.812106481484</v>
      </c>
      <c r="F243" s="13">
        <v>42872.820891203701</v>
      </c>
      <c r="G243" s="7">
        <v>1</v>
      </c>
      <c r="H243" s="21" t="s">
        <v>929</v>
      </c>
      <c r="I243" s="13">
        <v>42872.832048611112</v>
      </c>
      <c r="J243" s="7">
        <v>1</v>
      </c>
      <c r="K243" s="92" t="str">
        <f>IF(ISEVEN(B243),(B243-1)&amp;"/"&amp;B243,B243&amp;"/"&amp;(B243+1))</f>
        <v>4051/4052</v>
      </c>
      <c r="L243" s="21" t="str">
        <f>VLOOKUP(A243,'Trips&amp;Operators'!$C$1:$G$99999,5,FALSE)</f>
        <v>CHANDLER KELVIN</v>
      </c>
      <c r="M243" s="6">
        <f>I243-F243</f>
        <v>1.1157407410792075E-2</v>
      </c>
      <c r="N243" s="7">
        <f>24*60*SUM($M243:$M243)</f>
        <v>16.066666671540588</v>
      </c>
      <c r="O243" s="7"/>
      <c r="P243" s="7"/>
      <c r="Q243" s="22"/>
      <c r="R243" s="190"/>
      <c r="S243" s="196">
        <f>SUM(U243:U243)/IF(AG243="EC",12,1)</f>
        <v>0</v>
      </c>
      <c r="T243" s="190" t="e">
        <f>IF(ISEVEN(LEFT(AD243,4)),"Southbound","NorthBound")</f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-05-17T18:29:26-0600',mode:absolute,to:'2017-05-17T20:58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3" s="192" t="str">
        <f>IF(AA243&lt;IF(AG243="EC",23,5.65),"Y","N")</f>
        <v>Y</v>
      </c>
      <c r="X243" s="192" t="e">
        <f>VALUE(LEFT(AD243,4))-VALUE(LEFT(AD242,4))</f>
        <v>#VALUE!</v>
      </c>
      <c r="Y243" s="192">
        <f>RIGHT(D243,LEN(D243)-4)/10000</f>
        <v>0.12330000000000001</v>
      </c>
      <c r="Z243" s="192">
        <f>RIGHT(H243,LEN(H243)-4)/10000</f>
        <v>2.3302</v>
      </c>
      <c r="AA243" s="192">
        <f>ABS(Z243-Y243)</f>
        <v>2.2069000000000001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>IF(LEN(A243)=6,"0"&amp;A243,A243)</f>
        <v>79-17</v>
      </c>
      <c r="AE243" s="80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 &amp; aws s3 cp s3://rtdc.mdm.uploadarchive.raw/RTDC4052/ "%USERPROFILE%\AppData\Local\Temp\OnboardLogs"\RTDC4052\2017-05-18 --exclude "*" --recursive --include "*20170518*" &amp; "%USERPROFILE%\Documents\GitHub\mrs-test-scripts\Headless Mode &amp; Sideloading\WalkAndUnGZ.bat" "%USERPROFILE%\AppData\Local\Temp\OnboardLogs"\RTDC4052\2017-05-18</v>
      </c>
      <c r="AF243" s="77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/stypes="app*4052*20170518*" /stext=" 01:.+((SYSTEM_STATE.+slice.+state.+changed )|(ment ac)|(multiple cpu faults)|(system.+state.+changed )|(\[timeout)|(PRM\|1\|D)|(kpr)|(kdp)|(train st.+moving)|(\|lc)|(penalty))"</v>
      </c>
      <c r="AG243" s="1" t="str">
        <f>IFERROR(IF(VALUE(LEFT(AD243,2))&lt;=2,"EC",IF(OR(VALUE(LEFT(AD243,2))=8,VALUE(LEFT(AD243,2))=18),"NW","Other")),"Other")</f>
        <v>Other</v>
      </c>
      <c r="AH243" s="81" t="str">
        <f t="shared" si="17"/>
        <v>"%USERPROFILE%\Documents\GitHub\eaglep3\Utilities\RefineRTDCRunTimes.py" --tripid 79-17 --locoid 4052 --swversion DE.1.0.9.0 --startMP 204:1233 --initTime 2017-05-17T19:29:26 --startdatetime 2017-05-17T19:42:05 --delay 1 --endMP 300:23302 --enddatetime 2017-05-17T19:58:09 --enforcementcount 1 &gt;&gt;C:\Users\stu\Documents\GitHub\eaglep3-reporting\EC\2017-05-17-refined-times.txt</v>
      </c>
      <c r="AI243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{"issue":{"subject":"","project_id":79,"tracker_id":40,"status_id":1,"priority_id":2,"assigned_to_id":23,"start_date":"2017-05-17","description":"","custom_fields":[{"id":1,"name":"Subdivision","value":"Other"},{"id":4,"name":"Milepost","value":"2.3302"},{"id":17,"name":"Train ID","value":"79-17"},{"id":16,"name":"Locomotive ID","value":"4052"},{"id":130,"name":"Impact","value":""},{"id":150,"name":"Time of Event (Mountain Time)","value":"19:58:09"},{"id":151,"name":"Denver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19"/>
        <v>start /low /b %USERPROFILE%\Documents\GitHub\eaglep3\Utilities\DownloadLogsFromS3.py --loco 4052 --day 2017-05-17</v>
      </c>
      <c r="AN243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01:58:09"},{"id":29,"name":"Sharepoint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795</v>
      </c>
      <c r="B244" s="7">
        <v>4049</v>
      </c>
      <c r="C244" s="21" t="s">
        <v>206</v>
      </c>
      <c r="D244" s="21" t="s">
        <v>452</v>
      </c>
      <c r="E244" s="13">
        <v>42872.883321759262</v>
      </c>
      <c r="F244" s="13">
        <v>42872.898831018516</v>
      </c>
      <c r="G244" s="7">
        <v>1</v>
      </c>
      <c r="H244" s="21" t="s">
        <v>936</v>
      </c>
      <c r="I244" s="13">
        <v>42872.902291666665</v>
      </c>
      <c r="J244" s="7">
        <v>1</v>
      </c>
      <c r="K244" s="92" t="str">
        <f>IF(ISEVEN(B244),(B244-1)&amp;"/"&amp;B244,B244&amp;"/"&amp;(B244+1))</f>
        <v>4049/4050</v>
      </c>
      <c r="L244" s="21" t="str">
        <f>VLOOKUP(A244,'Trips&amp;Operators'!$C$1:$G$99999,5,FALSE)</f>
        <v>SULLIVAN BRANDON</v>
      </c>
      <c r="M244" s="6">
        <f>I244-F244</f>
        <v>3.4606481494847685E-3</v>
      </c>
      <c r="N244" s="7">
        <f>24*60*SUM($M244:$M244)</f>
        <v>4.9833333352580667</v>
      </c>
      <c r="O244" s="7"/>
      <c r="P244" s="7"/>
      <c r="Q244" s="22"/>
      <c r="R244" s="190"/>
      <c r="S244" s="196">
        <f>SUM(U244:U244)/IF(AG244="EC",12,1)</f>
        <v>0</v>
      </c>
      <c r="T244" s="190" t="e">
        <f>IF(ISEVEN(LEFT(AD244,4)),"Southbound","NorthBound")</f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-05-17T20:11:59-0600',mode:absolute,to:'2017-05-17T22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4" s="192" t="str">
        <f>IF(AA244&lt;IF(AG244="EC",23,5.65),"Y","N")</f>
        <v>Y</v>
      </c>
      <c r="X244" s="192" t="e">
        <f>VALUE(LEFT(AD244,4))-VALUE(LEFT(AD243,4))</f>
        <v>#VALUE!</v>
      </c>
      <c r="Y244" s="192">
        <f>RIGHT(D244,LEN(D244)-4)/10000</f>
        <v>23.2974</v>
      </c>
      <c r="Z244" s="192">
        <f>RIGHT(H244,LEN(H244)-4)/10000</f>
        <v>21.066600000000001</v>
      </c>
      <c r="AA244" s="192">
        <f>ABS(Z244-Y244)</f>
        <v>2.2307999999999986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>IF(LEN(A244)=6,"0"&amp;A244,A244)</f>
        <v>80-17</v>
      </c>
      <c r="AE244" s="80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 &amp; aws s3 cp s3://rtdc.mdm.uploadarchive.raw/RTDC4049/ "%USERPROFILE%\AppData\Local\Temp\OnboardLogs"\RTDC4049\2017-05-18 --exclude "*" --recursive --include "*20170518*" &amp; "%USERPROFILE%\Documents\GitHub\mrs-test-scripts\Headless Mode &amp; Sideloading\WalkAndUnGZ.bat" "%USERPROFILE%\AppData\Local\Temp\OnboardLogs"\RTDC4049\2017-05-18</v>
      </c>
      <c r="AF244" s="77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/stypes="app*4049*20170518*" /stext=" 03:.+((SYSTEM_STATE.+slice.+state.+changed )|(ment ac)|(multiple cpu faults)|(system.+state.+changed )|(\[timeout)|(PRM\|1\|D)|(kpr)|(kdp)|(train st.+moving)|(\|lc)|(penalty))"</v>
      </c>
      <c r="AG244" s="1" t="str">
        <f>IFERROR(IF(VALUE(LEFT(AD244,2))&lt;=2,"EC",IF(OR(VALUE(LEFT(AD244,2))=8,VALUE(LEFT(AD244,2))=18),"NW","Other")),"Other")</f>
        <v>Other</v>
      </c>
      <c r="AH244" s="81" t="str">
        <f t="shared" si="17"/>
        <v>"%USERPROFILE%\Documents\GitHub\eaglep3\Utilities\RefineRTDCRunTimes.py" --tripid 80-17 --locoid 4049 --swversion DE.1.0.9.0 --startMP 204:232974 --initTime 2017-05-17T21:11:59 --startdatetime 2017-05-17T21:34:19 --delay 1 --endMP 204:210666 --enddatetime 2017-05-17T21:39:18 --enforcementcount 1 &gt;&gt;C:\Users\stu\Documents\GitHub\eaglep3-reporting\EC\2017-05-17-refined-times.txt</v>
      </c>
      <c r="AI244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{"issue":{"subject":"","project_id":79,"tracker_id":40,"status_id":1,"priority_id":2,"assigned_to_id":23,"start_date":"2017-05-17","description":"","custom_fields":[{"id":1,"name":"Subdivision","value":"Other"},{"id":4,"name":"Milepost","value":"21.0666"},{"id":17,"name":"Train ID","value":"80-17"},{"id":16,"name":"Locomotive ID","value":"4049"},{"id":130,"name":"Impact","value":""},{"id":150,"name":"Time of Event (Mountain Time)","value":"21:39:18"},{"id":151,"name":"Denver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19"/>
        <v>start /low /b %USERPROFILE%\Documents\GitHub\eaglep3\Utilities\DownloadLogsFromS3.py --loco 4049 --day 2017-05-17</v>
      </c>
      <c r="AN244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03:39:18"},{"id":29,"name":"Sharepoint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795</v>
      </c>
      <c r="B245" s="7">
        <v>4049</v>
      </c>
      <c r="C245" s="21" t="s">
        <v>206</v>
      </c>
      <c r="D245" s="21" t="s">
        <v>937</v>
      </c>
      <c r="E245" s="13">
        <v>42872.820706018516</v>
      </c>
      <c r="F245" s="13">
        <v>42872.833101851851</v>
      </c>
      <c r="G245" s="7">
        <v>17</v>
      </c>
      <c r="H245" s="21" t="s">
        <v>938</v>
      </c>
      <c r="I245" s="13">
        <v>42872.839201388888</v>
      </c>
      <c r="J245" s="7">
        <v>1</v>
      </c>
      <c r="K245" s="92" t="str">
        <f>IF(ISEVEN(B245),(B245-1)&amp;"/"&amp;B245,B245&amp;"/"&amp;(B245+1))</f>
        <v>4049/4050</v>
      </c>
      <c r="L245" s="21" t="str">
        <f>VLOOKUP(A245,'Trips&amp;Operators'!$C$1:$G$99999,5,FALSE)</f>
        <v>SULLIVAN BRANDON</v>
      </c>
      <c r="M245" s="6">
        <f>I245-F245</f>
        <v>6.0995370367891155E-3</v>
      </c>
      <c r="N245" s="7">
        <f>24*60*SUM($M245:$M245)</f>
        <v>8.7833333329763263</v>
      </c>
      <c r="O245" s="7"/>
      <c r="P245" s="7"/>
      <c r="Q245" s="22"/>
      <c r="R245" s="190"/>
      <c r="S245" s="196">
        <f>SUM(U245:U245)/IF(AG245="EC",12,1)</f>
        <v>0</v>
      </c>
      <c r="T245" s="190" t="e">
        <f>IF(ISEVEN(LEFT(AD245,4)),"Southbound","NorthBound")</f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-05-17T18:41:49-0600',mode:absolute,to:'2017-05-17T21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5" s="192" t="str">
        <f>IF(AA245&lt;IF(AG245="EC",23,5.65),"Y","N")</f>
        <v>Y</v>
      </c>
      <c r="X245" s="192" t="e">
        <f>VALUE(LEFT(AD245,4))-VALUE(LEFT(AD244,4))</f>
        <v>#VALUE!</v>
      </c>
      <c r="Y245" s="192">
        <f>RIGHT(D245,LEN(D245)-4)/10000</f>
        <v>2.3502000000000001</v>
      </c>
      <c r="Z245" s="192">
        <f>RIGHT(H245,LEN(H245)-4)/10000</f>
        <v>8.7800000000000003E-2</v>
      </c>
      <c r="AA245" s="192">
        <f>ABS(Z245-Y245)</f>
        <v>2.2624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>IF(LEN(A245)=6,"0"&amp;A245,A245)</f>
        <v>80-17</v>
      </c>
      <c r="AE245" s="80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 &amp; aws s3 cp s3://rtdc.mdm.uploadarchive.raw/RTDC4049/ "%USERPROFILE%\AppData\Local\Temp\OnboardLogs"\RTDC4049\2017-05-18 --exclude "*" --recursive --include "*20170518*" &amp; "%USERPROFILE%\Documents\GitHub\mrs-test-scripts\Headless Mode &amp; Sideloading\WalkAndUnGZ.bat" "%USERPROFILE%\AppData\Local\Temp\OnboardLogs"\RTDC4049\2017-05-18</v>
      </c>
      <c r="AF245" s="77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/stypes="app*4049*20170518*" /stext=" 02:.+((SYSTEM_STATE.+slice.+state.+changed )|(ment ac)|(multiple cpu faults)|(system.+state.+changed )|(\[timeout)|(PRM\|1\|D)|(kpr)|(kdp)|(train st.+moving)|(\|lc)|(penalty))"</v>
      </c>
      <c r="AG245" s="1" t="str">
        <f>IFERROR(IF(VALUE(LEFT(AD245,2))&lt;=2,"EC",IF(OR(VALUE(LEFT(AD245,2))=8,VALUE(LEFT(AD245,2))=18),"NW","Other")),"Other")</f>
        <v>Other</v>
      </c>
      <c r="AH245" s="81" t="str">
        <f t="shared" si="17"/>
        <v>"%USERPROFILE%\Documents\GitHub\eaglep3\Utilities\RefineRTDCRunTimes.py" --tripid 80-17 --locoid 4049 --swversion DE.1.0.9.0 --startMP 300:23502 --initTime 2017-05-17T19:41:49 --startdatetime 2017-05-17T19:59:40 --delay 17 --endMP 204:878 --enddatetime 2017-05-17T20:08:27 --enforcementcount 1 &gt;&gt;C:\Users\stu\Documents\GitHub\eaglep3-reporting\EC\2017-05-17-refined-times.txt</v>
      </c>
      <c r="AI245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{"issue":{"subject":"","project_id":79,"tracker_id":40,"status_id":1,"priority_id":2,"assigned_to_id":23,"start_date":"2017-05-17","description":"","custom_fields":[{"id":1,"name":"Subdivision","value":"Other"},{"id":4,"name":"Milepost","value":"0.0878"},{"id":17,"name":"Train ID","value":"80-17"},{"id":16,"name":"Locomotive ID","value":"4049"},{"id":130,"name":"Impact","value":""},{"id":150,"name":"Time of Event (Mountain Time)","value":"20:08:27"},{"id":151,"name":"Denver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19"/>
        <v>start /low /b %USERPROFILE%\Documents\GitHub\eaglep3\Utilities\DownloadLogsFromS3.py --loco 4049 --day 2017-05-17</v>
      </c>
      <c r="AN245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02:08:27"},{"id":29,"name":"Sharepoint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800</v>
      </c>
      <c r="B246" s="7">
        <v>4050</v>
      </c>
      <c r="C246" s="21" t="s">
        <v>206</v>
      </c>
      <c r="D246" s="21" t="s">
        <v>951</v>
      </c>
      <c r="E246" s="13">
        <v>42872.840798611112</v>
      </c>
      <c r="F246" s="13">
        <v>42872.842905092592</v>
      </c>
      <c r="G246" s="7">
        <v>1</v>
      </c>
      <c r="H246" s="21" t="s">
        <v>546</v>
      </c>
      <c r="I246" s="13">
        <v>42872.877210648148</v>
      </c>
      <c r="J246" s="7">
        <v>1</v>
      </c>
      <c r="K246" s="92" t="str">
        <f>IF(ISEVEN(B246),(B246-1)&amp;"/"&amp;B246,B246&amp;"/"&amp;(B246+1))</f>
        <v>4049/4050</v>
      </c>
      <c r="L246" s="21" t="str">
        <f>VLOOKUP(A246,'Trips&amp;Operators'!$C$1:$G$99999,5,FALSE)</f>
        <v>SULLIVAN BRANDON</v>
      </c>
      <c r="M246" s="6">
        <f>I246-F246</f>
        <v>3.4305555556784384E-2</v>
      </c>
      <c r="N246" s="7">
        <f>24*60*SUM($M246:$M246)</f>
        <v>49.400000001769513</v>
      </c>
      <c r="O246" s="7"/>
      <c r="P246" s="7"/>
      <c r="Q246" s="22"/>
      <c r="R246" s="190"/>
      <c r="S246" s="196">
        <f>SUM(U246:U246)/IF(AG246="EC",12,1)</f>
        <v>0</v>
      </c>
      <c r="T246" s="190" t="e">
        <f>IF(ISEVEN(LEFT(AD246,4)),"Southbound","NorthBound")</f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-05-17T19:10:45-0600',mode:absolute,to:'2017-05-17T22:03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6" s="192" t="str">
        <f>IF(AA246&lt;IF(AG246="EC",23,5.65),"Y","N")</f>
        <v>N</v>
      </c>
      <c r="X246" s="192" t="e">
        <f>VALUE(LEFT(AD246,4))-VALUE(LEFT(AD245,4))</f>
        <v>#VALUE!</v>
      </c>
      <c r="Y246" s="192">
        <f>RIGHT(D246,LEN(D246)-4)/10000</f>
        <v>0.1201</v>
      </c>
      <c r="Z246" s="192">
        <f>RIGHT(H246,LEN(H246)-4)/10000</f>
        <v>23.332100000000001</v>
      </c>
      <c r="AA246" s="192">
        <f>ABS(Z246-Y246)</f>
        <v>23.212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>IF(LEN(A246)=6,"0"&amp;A246,A246)</f>
        <v>81-17</v>
      </c>
      <c r="AE246" s="80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 &amp; aws s3 cp s3://rtdc.mdm.uploadarchive.raw/RTDC4050/ "%USERPROFILE%\AppData\Local\Temp\OnboardLogs"\RTDC4050\2017-05-18 --exclude "*" --recursive --include "*20170518*" &amp; "%USERPROFILE%\Documents\GitHub\mrs-test-scripts\Headless Mode &amp; Sideloading\WalkAndUnGZ.bat" "%USERPROFILE%\AppData\Local\Temp\OnboardLogs"\RTDC4050\2017-05-18</v>
      </c>
      <c r="AF246" s="77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/stypes="app*4050*20170518*" /stext=" 03:.+((SYSTEM_STATE.+slice.+state.+changed )|(ment ac)|(multiple cpu faults)|(system.+state.+changed )|(\[timeout)|(PRM\|1\|D)|(kpr)|(kdp)|(train st.+moving)|(\|lc)|(penalty))"</v>
      </c>
      <c r="AG246" s="1" t="str">
        <f>IFERROR(IF(VALUE(LEFT(AD246,2))&lt;=2,"EC",IF(OR(VALUE(LEFT(AD246,2))=8,VALUE(LEFT(AD246,2))=18),"NW","Other")),"Other")</f>
        <v>Other</v>
      </c>
      <c r="AH246" s="81" t="str">
        <f t="shared" si="17"/>
        <v>"%USERPROFILE%\Documents\GitHub\eaglep3\Utilities\RefineRTDCRunTimes.py" --tripid 81-17 --locoid 4050 --swversion DE.1.0.9.0 --startMP 204:1201 --initTime 2017-05-17T20:10:45 --startdatetime 2017-05-17T20:13:47 --delay 1 --endMP 204:233321 --enddatetime 2017-05-17T21:03:11 --enforcementcount 1 &gt;&gt;C:\Users\stu\Documents\GitHub\eaglep3-reporting\EC\2017-05-17-refined-times.txt</v>
      </c>
      <c r="AI246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{"issue":{"subject":"","project_id":79,"tracker_id":40,"status_id":1,"priority_id":2,"assigned_to_id":23,"start_date":"2017-05-17","description":"","custom_fields":[{"id":1,"name":"Subdivision","value":"Other"},{"id":4,"name":"Milepost","value":"23.3321"},{"id":17,"name":"Train ID","value":"81-17"},{"id":16,"name":"Locomotive ID","value":"4050"},{"id":130,"name":"Impact","value":""},{"id":150,"name":"Time of Event (Mountain Time)","value":"21:03:11"},{"id":151,"name":"Denver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19"/>
        <v>start /low /b %USERPROFILE%\Documents\GitHub\eaglep3\Utilities\DownloadLogsFromS3.py --loco 4050 --day 2017-05-17</v>
      </c>
      <c r="AN246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03:03:11"},{"id":29,"name":"Sharepoint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800</v>
      </c>
      <c r="B247" s="7">
        <v>4050</v>
      </c>
      <c r="C247" s="21" t="s">
        <v>206</v>
      </c>
      <c r="D247" s="21" t="s">
        <v>952</v>
      </c>
      <c r="E247" s="13">
        <v>42872.903900462959</v>
      </c>
      <c r="F247" s="13">
        <v>42872.905162037037</v>
      </c>
      <c r="G247" s="7">
        <v>1</v>
      </c>
      <c r="H247" s="21" t="s">
        <v>953</v>
      </c>
      <c r="I247" s="13">
        <v>42872.91064814815</v>
      </c>
      <c r="J247" s="7">
        <v>1</v>
      </c>
      <c r="K247" s="92" t="str">
        <f>IF(ISEVEN(B247),(B247-1)&amp;"/"&amp;B247,B247&amp;"/"&amp;(B247+1))</f>
        <v>4049/4050</v>
      </c>
      <c r="L247" s="21" t="str">
        <f>VLOOKUP(A247,'Trips&amp;Operators'!$C$1:$G$99999,5,FALSE)</f>
        <v>SULLIVAN BRANDON</v>
      </c>
      <c r="M247" s="6">
        <f>I247-F247</f>
        <v>5.4861111129866913E-3</v>
      </c>
      <c r="N247" s="7">
        <f>24*60*SUM($M247:$M247)</f>
        <v>7.9000000027008355</v>
      </c>
      <c r="O247" s="7"/>
      <c r="P247" s="7"/>
      <c r="Q247" s="22"/>
      <c r="R247" s="190"/>
      <c r="S247" s="196">
        <f>SUM(U247:U247)/IF(AG247="EC",12,1)</f>
        <v>0</v>
      </c>
      <c r="T247" s="190" t="e">
        <f>IF(ISEVEN(LEFT(AD247,4)),"Southbound","NorthBound")</f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-05-17T20:41:37-0600',mode:absolute,to:'2017-05-17T22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7" s="192" t="str">
        <f>IF(AA247&lt;IF(AG247="EC",23,5.65),"Y","N")</f>
        <v>Y</v>
      </c>
      <c r="X247" s="192" t="e">
        <f>VALUE(LEFT(AD247,4))-VALUE(LEFT(AD246,4))</f>
        <v>#VALUE!</v>
      </c>
      <c r="Y247" s="192">
        <f>RIGHT(D247,LEN(D247)-4)/10000</f>
        <v>21.102499999999999</v>
      </c>
      <c r="Z247" s="192">
        <f>RIGHT(H247,LEN(H247)-4)/10000</f>
        <v>23.346599999999999</v>
      </c>
      <c r="AA247" s="192">
        <f>ABS(Z247-Y247)</f>
        <v>2.2440999999999995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>IF(LEN(A247)=6,"0"&amp;A247,A247)</f>
        <v>81-17</v>
      </c>
      <c r="AE247" s="80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 &amp; aws s3 cp s3://rtdc.mdm.uploadarchive.raw/RTDC4050/ "%USERPROFILE%\AppData\Local\Temp\OnboardLogs"\RTDC4050\2017-05-18 --exclude "*" --recursive --include "*20170518*" &amp; "%USERPROFILE%\Documents\GitHub\mrs-test-scripts\Headless Mode &amp; Sideloading\WalkAndUnGZ.bat" "%USERPROFILE%\AppData\Local\Temp\OnboardLogs"\RTDC4050\2017-05-18</v>
      </c>
      <c r="AF247" s="77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/stypes="app*4050*20170518*" /stext=" 03:.+((SYSTEM_STATE.+slice.+state.+changed )|(ment ac)|(multiple cpu faults)|(system.+state.+changed )|(\[timeout)|(PRM\|1\|D)|(kpr)|(kdp)|(train st.+moving)|(\|lc)|(penalty))"</v>
      </c>
      <c r="AG247" s="1" t="str">
        <f>IFERROR(IF(VALUE(LEFT(AD247,2))&lt;=2,"EC",IF(OR(VALUE(LEFT(AD247,2))=8,VALUE(LEFT(AD247,2))=18),"NW","Other")),"Other")</f>
        <v>Other</v>
      </c>
      <c r="AH247" s="81" t="str">
        <f t="shared" si="17"/>
        <v>"%USERPROFILE%\Documents\GitHub\eaglep3\Utilities\RefineRTDCRunTimes.py" --tripid 81-17 --locoid 4050 --swversion DE.1.0.9.0 --startMP 204:211025 --initTime 2017-05-17T21:41:37 --startdatetime 2017-05-17T21:43:26 --delay 1 --endMP 204:233466 --enddatetime 2017-05-17T21:51:20 --enforcementcount 1 &gt;&gt;C:\Users\stu\Documents\GitHub\eaglep3-reporting\EC\2017-05-17-refined-times.txt</v>
      </c>
      <c r="AI247" s="99" t="str">
        <f t="shared" si="18"/>
        <v>echo {"issue":{"subject":"","project_id":79,"tracker_id":40,"status_id":1,"priority_id":2,"assigned_to_id":23,"start_date":"2017-05-17","description":"","custom_fields":[{"id":1,"name":"Subdivision","value":"Other"},{"id":4,"name":"Milepost","value":"23.3466"},{"id":17,"name":"Train ID","value":"81-17"},{"id":16,"name":"Locomotive ID","value":"4050"},{"id":130,"name":"Impact","value":""},{"id":150,"name":"Time of Event (Mountain Time)","value":"21:51:20"},{"id":151,"name":"Denver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19"/>
        <v>start /low /b %USERPROFILE%\Documents\GitHub\eaglep3\Utilities\DownloadLogsFromS3.py --loco 4050 --day 2017-05-17</v>
      </c>
      <c r="AN247" s="154" t="str">
        <f t="shared" si="20"/>
        <v>echo {"issue":{"subject":"","project_id":30,"tracker_id":4,"status_id":1,"priority_id":1,"assigned_to_id":10,"start_date":"2017-05-18","description":"","custom_fields":[{"id":30,"name":"Category","value":"Issue"},{"id":3,"name":"Functional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UTC","value":"2017-05-18 03:51:20"},{"id":29,"name":"Sharepoint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</sheetData>
  <autoFilter ref="A12:AG269">
    <sortState ref="A13:AG271">
      <sortCondition ref="AG13:AG249"/>
      <sortCondition ref="AD13:AD249"/>
    </sortState>
  </autoFilter>
  <sortState ref="A13:AH200">
    <sortCondition ref="AG13:AG200"/>
    <sortCondition ref="AD13:AD200"/>
  </sortState>
  <mergeCells count="1">
    <mergeCell ref="A11:P11"/>
  </mergeCells>
  <conditionalFormatting sqref="W11:W12 W270:X1048576 W13:X247">
    <cfRule type="cellIs" dxfId="10" priority="401" operator="equal">
      <formula>"Y"</formula>
    </cfRule>
  </conditionalFormatting>
  <conditionalFormatting sqref="X270:X1048576 X13:X247">
    <cfRule type="cellIs" dxfId="9" priority="384" operator="greaterThan">
      <formula>1</formula>
    </cfRule>
  </conditionalFormatting>
  <conditionalFormatting sqref="X270:X1048576 X12:X247">
    <cfRule type="cellIs" dxfId="8" priority="381" operator="equal">
      <formula>0</formula>
    </cfRule>
  </conditionalFormatting>
  <conditionalFormatting sqref="A13:S247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P11" sqref="P11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COUNTIF($O$7:$O$288,"=Y")</f>
        <v>3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COUNTA($O$7:$O$288)-O2</f>
        <v>28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- 2017-05-17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42872.639768518522</v>
      </c>
      <c r="B7" s="30" t="s">
        <v>592</v>
      </c>
      <c r="C7" s="30" t="s">
        <v>596</v>
      </c>
      <c r="D7" s="30" t="s">
        <v>49</v>
      </c>
      <c r="E7" s="30" t="s">
        <v>191</v>
      </c>
      <c r="F7" s="42">
        <v>0</v>
      </c>
      <c r="G7" s="42">
        <v>220</v>
      </c>
      <c r="H7" s="42">
        <v>26997</v>
      </c>
      <c r="I7" s="42">
        <v>27320</v>
      </c>
      <c r="J7" s="30" t="s">
        <v>192</v>
      </c>
      <c r="K7" s="42">
        <v>27053</v>
      </c>
      <c r="L7" s="134" t="s">
        <v>50</v>
      </c>
      <c r="M7" s="135">
        <f>CONVERT((I7-K7)/10000,"mi","ft")*IF(L7="Increasing Mileposts (1)",-1,1)</f>
        <v>-140.976</v>
      </c>
      <c r="N7" s="136" t="str">
        <f>VLOOKUP(C7,'Trips&amp;Operators'!$C$1:$G$99999,5,FALSE)</f>
        <v>HELVIE ADAM</v>
      </c>
      <c r="O7" s="207" t="s">
        <v>184</v>
      </c>
      <c r="P7" s="137" t="s">
        <v>435</v>
      </c>
      <c r="Q7" s="30"/>
      <c r="R7" s="84" t="str">
        <f>IF(VLOOKUP(C7,'Train Runs'!$A$13:$AE$9928,1,1)=C7,VLOOKUP(C7,'Train Runs'!$A$13:$AE$9928,31,1),NA())</f>
        <v>aws s3 cp s3://rtdc.mdm.uploadarchive.raw/RTDC4046/ "%USERPROFILE%\AppData\Local\Temp\OnboardLogs"\RTDC4046\2017-05-17 --exclude "*" --recursive --include "*20170517*" &amp; "%USERPROFILE%\Documents\GitHub\mrs-test-scripts\Headless Mode &amp; Sideloading\WalkAndUnGZ.bat" "%USERPROFILE%\AppData\Local\Temp\OnboardLogs"\RTDC4046\2017-05-17 &amp; aws s3 cp s3://rtdc.mdm.uploadarchive.raw/RTDC4046/ "%USERPROFILE%\AppData\Local\Temp\OnboardLogs"\RTDC4046\2017-05-18 --exclude "*" --recursive --include "*20170518*" &amp; "%USERPROFILE%\Documents\GitHub\mrs-test-scripts\Headless Mode &amp; Sideloading\WalkAndUnGZ.bat" "%USERPROFILE%\AppData\Local\Temp\OnboardLogs"\RTDC4046\2017-05-18</v>
      </c>
      <c r="S7" s="87" t="str">
        <f>VLOOKUP(C7,'Train Runs'!$A$13:$AE$9928,22,0)</f>
        <v>https://d0f6bd738d7f1b3e5a7ca70fe4ff75f0.us-east-1.aws.found.io/app/kibana#/discover/Steve-Slow-Train-Analysis-(2080s-and-2083s)?_g=(refreshInterval:(display:Off,pause:!f,section:0,value:0),time:(from:'2017-05-17T14:12:48-0600',mode:absolute,to:'2017-05-17T16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/stypes="*4046*201705172*" /stext=" 21:.+((SYSTEM_STATE.+slice.+state.+changed )|(ment ac)|(multiple cpu faults)|(system.+state.+changed )|(\[timeout)|(PRM\|1\|D)|(kpr)|(kdp)|(train st.+moving)|(\|lc)|(penalty))"</v>
      </c>
      <c r="U7" s="9" t="str">
        <f>MID(B7,13,4)</f>
        <v>4046</v>
      </c>
      <c r="V7" s="31">
        <f>A7-utc_offset/24</f>
        <v>42872.889768518522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arrival","project_id":79,"tracker_id":40,"status_id":1,"priority_id":2,"assigned_to_id":23,"start_date":"2017-05-17","description":"","custom_fields":[{"id":1,"name":"Subdivision","value":"EC"},{"id":4,"name":"Milepost","value":"2.7053"},{"id":17,"name":"Train ID","value":"193-17"},{"id":16,"name":"Locomotive ID","value":"4046"},{"id":130,"name":"Impact","value":""},{"id":150,"name":"Time of Event (Mountain Time)","value":"15:21:16"},{"id":151,"name":"Denver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/cygdrive/c/Users/stu/AppData/Local/Temp/OnboardLogs/RTDC4046 --include="*4046*201705172*"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"%USERPROFILE%\AppData\Local\Temp\OnboardLogs"\RTDC4046\*4046*201705172* &gt;&gt; 2017-05-17-SliceDisagreementCheck.txt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4046 --day 2017-05-17</v>
      </c>
    </row>
    <row r="8" spans="1:32" s="1" customFormat="1" x14ac:dyDescent="0.25">
      <c r="A8" s="31">
        <v>42872.744432870371</v>
      </c>
      <c r="B8" s="30" t="s">
        <v>368</v>
      </c>
      <c r="C8" s="30" t="s">
        <v>603</v>
      </c>
      <c r="D8" s="30" t="s">
        <v>49</v>
      </c>
      <c r="E8" s="30" t="s">
        <v>191</v>
      </c>
      <c r="F8" s="42">
        <v>0</v>
      </c>
      <c r="G8" s="42">
        <v>223</v>
      </c>
      <c r="H8" s="42">
        <v>26943</v>
      </c>
      <c r="I8" s="42">
        <v>27256</v>
      </c>
      <c r="J8" s="30" t="s">
        <v>192</v>
      </c>
      <c r="K8" s="42">
        <v>27053</v>
      </c>
      <c r="L8" s="134" t="s">
        <v>50</v>
      </c>
      <c r="M8" s="135">
        <f>CONVERT((I8-K8)/10000,"mi","ft")*IF(L8="Increasing Mileposts (1)",-1,1)</f>
        <v>-107.184</v>
      </c>
      <c r="N8" s="136" t="str">
        <f>VLOOKUP(C8,'Trips&amp;Operators'!$C$1:$G$99999,5,FALSE)</f>
        <v>BIRENBAUM THOMAS</v>
      </c>
      <c r="O8" s="207" t="s">
        <v>184</v>
      </c>
      <c r="P8" s="137" t="s">
        <v>435</v>
      </c>
      <c r="Q8" s="30"/>
      <c r="R8" s="84" t="str">
        <f>IF(VLOOKUP(C8,'Train Runs'!$A$13:$AE$9928,1,1)=C8,VLOOKUP(C8,'Train Runs'!$A$13:$AE$9928,31,1),NA())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S8" s="87" t="str">
        <f>VLOOKUP(C8,'Train Runs'!$A$13:$AE$9928,22,0)</f>
        <v>https://d0f6bd738d7f1b3e5a7ca70fe4ff75f0.us-east-1.aws.found.io/app/kibana#/discover/Steve-Slow-Train-Analysis-(2080s-and-2083s)?_g=(refreshInterval:(display:Off,pause:!f,section:0,value:0),time:(from:'2017-05-17T16:43:33-0600',mode:absolute,to:'2017-05-17T19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/stypes="*4042*201705172*" /stext=" 23:.+((SYSTEM_STATE.+slice.+state.+changed )|(ment ac)|(multiple cpu faults)|(system.+state.+changed )|(\[timeout)|(PRM\|1\|D)|(kpr)|(kdp)|(train st.+moving)|(\|lc)|(penalty))"</v>
      </c>
      <c r="U8" s="9" t="str">
        <f>MID(B8,13,4)</f>
        <v>4042</v>
      </c>
      <c r="V8" s="31">
        <f>A8-utc_offset/24</f>
        <v>42872.994432870371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arrival","project_id":79,"tracker_id":40,"status_id":1,"priority_id":2,"assigned_to_id":23,"start_date":"2017-05-17","description":"","custom_fields":[{"id":1,"name":"Subdivision","value":"EC"},{"id":4,"name":"Milepost","value":"2.7053"},{"id":17,"name":"Train ID","value":"213-17"},{"id":16,"name":"Locomotive ID","value":"4042"},{"id":130,"name":"Impact","value":""},{"id":150,"name":"Time of Event (Mountain Time)","value":"17:51:59"},{"id":151,"name":"Denver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-hrE -A400 ""Enforcement Action"" "&amp;"/cygdrive/c/Users/stu/AppData/Local/Temp/OnboardLogs"&amp;"/RTDC"&amp;U8&amp;"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/cygdrive/c/Users/stu/AppData/Local/Temp/OnboardLogs/RTDC4042 --include="*4042*201705172*"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"%USERPROFILE%\AppData\Local\Temp\OnboardLogs"\RTDC4042\*4042*201705172* &gt;&gt; 2017-05-17-SliceDisagreementCheck.txt</v>
      </c>
      <c r="AE8" s="148" t="str">
        <f t="shared" ref="AE8:AE37" si="1">"start /low /b "&amp;dls3logs&amp;" --loco "&amp;U8&amp;" --day "&amp;TEXT(V8,"YYYY-MM-DD")</f>
        <v>start /low /b %USERPROFILE%\Documents\GitHub\eaglep3\Utilities\DownloadLogsFromS3.py --loco 4042 --day 2017-05-17</v>
      </c>
    </row>
    <row r="9" spans="1:32" s="1" customFormat="1" x14ac:dyDescent="0.25">
      <c r="A9" s="31">
        <v>42872.570798611108</v>
      </c>
      <c r="B9" s="30" t="s">
        <v>588</v>
      </c>
      <c r="C9" s="30" t="s">
        <v>591</v>
      </c>
      <c r="D9" s="30" t="s">
        <v>49</v>
      </c>
      <c r="E9" s="30" t="s">
        <v>191</v>
      </c>
      <c r="F9" s="42">
        <v>0</v>
      </c>
      <c r="G9" s="42">
        <v>185</v>
      </c>
      <c r="H9" s="42">
        <v>33359</v>
      </c>
      <c r="I9" s="42">
        <v>33143</v>
      </c>
      <c r="J9" s="30" t="s">
        <v>192</v>
      </c>
      <c r="K9" s="42">
        <v>33257</v>
      </c>
      <c r="L9" s="134" t="s">
        <v>51</v>
      </c>
      <c r="M9" s="135">
        <f>CONVERT((I9-K9)/10000,"mi","ft")*IF(L9="Increasing Mileposts (1)",-1,1)</f>
        <v>-60.192</v>
      </c>
      <c r="N9" s="136" t="str">
        <f>VLOOKUP(C9,'Trips&amp;Operators'!$C$1:$G$99999,5,FALSE)</f>
        <v>LEVIN SCOTT</v>
      </c>
      <c r="O9" s="207" t="s">
        <v>184</v>
      </c>
      <c r="P9" s="137" t="s">
        <v>435</v>
      </c>
      <c r="Q9" s="30"/>
      <c r="R9" s="84" t="str">
        <f>IF(VLOOKUP(C9,'Train Runs'!$A$13:$AE$9928,1,1)=C9,VLOOKUP(C9,'Train Runs'!$A$13:$AE$9928,31,1),NA())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S9" s="87" t="str">
        <f>VLOOKUP(C9,'Train Runs'!$A$13:$AE$9928,22,0)</f>
        <v>https://d0f6bd738d7f1b3e5a7ca70fe4ff75f0.us-east-1.aws.found.io/app/kibana#/discover/Steve-Slow-Train-Analysis-(2080s-and-2083s)?_g=(refreshInterval:(display:Off,pause:!f,section:0,value:0),time:(from:'2017-05-17T12:06:22-0600',mode:absolute,to:'2017-05-17T14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/stypes="*4029*201705171*" /stext=" 19:.+((SYSTEM_STATE.+slice.+state.+changed )|(ment ac)|(multiple cpu faults)|(system.+state.+changed )|(\[timeout)|(PRM\|1\|D)|(kpr)|(kdp)|(train st.+moving)|(\|lc)|(penalty))"</v>
      </c>
      <c r="U9" s="9" t="str">
        <f>MID(B9,13,4)</f>
        <v>4029</v>
      </c>
      <c r="V9" s="31">
        <f>A9-utc_offset/24</f>
        <v>42872.820798611108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arrival","project_id":79,"tracker_id":40,"status_id":1,"priority_id":2,"assigned_to_id":23,"start_date":"2017-05-17","description":"","custom_fields":[{"id":1,"name":"Subdivision","value":"EC"},{"id":4,"name":"Milepost","value":"3.3257"},{"id":17,"name":"Train ID","value":"170-17"},{"id":16,"name":"Locomotive ID","value":"4029"},{"id":130,"name":"Impact","value":""},{"id":150,"name":"Time of Event (Mountain Time)","value":"13:41:57"},{"id":151,"name":"Denver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-hrE -A400 ""Enforcement Action"" "&amp;"/cygdrive/c/Users/stu/AppData/Local/Temp/OnboardLogs"&amp;"/RTDC"&amp;U9&amp;"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/cygdrive/c/Users/stu/AppData/Local/Temp/OnboardLogs/RTDC4029 --include="*4029*201705171*"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"%USERPROFILE%\AppData\Local\Temp\OnboardLogs"\RTDC4029\*4029*201705171* &gt;&gt; 2017-05-17-SliceDisagreementCheck.txt</v>
      </c>
      <c r="AE9" s="148" t="str">
        <f t="shared" si="1"/>
        <v>start /low /b %USERPROFILE%\Documents\GitHub\eaglep3\Utilities\DownloadLogsFromS3.py --loco 4029 --day 2017-05-17</v>
      </c>
    </row>
    <row r="10" spans="1:32" s="1" customFormat="1" x14ac:dyDescent="0.25">
      <c r="A10" s="31">
        <v>42872.568344907406</v>
      </c>
      <c r="B10" s="30" t="s">
        <v>588</v>
      </c>
      <c r="C10" s="30" t="s">
        <v>591</v>
      </c>
      <c r="D10" s="30" t="s">
        <v>49</v>
      </c>
      <c r="E10" s="30" t="s">
        <v>191</v>
      </c>
      <c r="F10" s="42">
        <v>0</v>
      </c>
      <c r="G10" s="42">
        <v>555</v>
      </c>
      <c r="H10" s="42">
        <v>48249</v>
      </c>
      <c r="I10" s="42">
        <v>46073</v>
      </c>
      <c r="J10" s="30" t="s">
        <v>192</v>
      </c>
      <c r="K10" s="42">
        <v>48048</v>
      </c>
      <c r="L10" s="134" t="s">
        <v>51</v>
      </c>
      <c r="M10" s="135">
        <f>CONVERT((I10-K10)/10000,"mi","ft")*IF(L10="Increasing Mileposts (1)",-1,1)</f>
        <v>-1042.8</v>
      </c>
      <c r="N10" s="136" t="str">
        <f>VLOOKUP(C10,'Trips&amp;Operators'!$C$1:$G$99999,5,FALSE)</f>
        <v>LEVIN SCOTT</v>
      </c>
      <c r="O10" s="207" t="s">
        <v>184</v>
      </c>
      <c r="P10" s="137" t="s">
        <v>435</v>
      </c>
      <c r="Q10" s="30"/>
      <c r="R10" s="84" t="str">
        <f>IF(VLOOKUP(C10,'Train Runs'!$A$13:$AE$9928,1,1)=C10,VLOOKUP(C10,'Train Runs'!$A$13:$AE$9928,31,1),NA())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S10" s="87" t="str">
        <f>VLOOKUP(C10,'Train Runs'!$A$13:$AE$9928,22,0)</f>
        <v>https://d0f6bd738d7f1b3e5a7ca70fe4ff75f0.us-east-1.aws.found.io/app/kibana#/discover/Steve-Slow-Train-Analysis-(2080s-and-2083s)?_g=(refreshInterval:(display:Off,pause:!f,section:0,value:0),time:(from:'2017-05-17T12:06:22-0600',mode:absolute,to:'2017-05-17T14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/stypes="*4029*201705171*" /stext=" 19:.+((SYSTEM_STATE.+slice.+state.+changed )|(ment ac)|(multiple cpu faults)|(system.+state.+changed )|(\[timeout)|(PRM\|1\|D)|(kpr)|(kdp)|(train st.+moving)|(\|lc)|(penalty))"</v>
      </c>
      <c r="U10" s="9" t="str">
        <f>MID(B10,13,4)</f>
        <v>4029</v>
      </c>
      <c r="V10" s="31">
        <f>A10-utc_offset/24</f>
        <v>42872.818344907406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arrival","project_id":79,"tracker_id":40,"status_id":1,"priority_id":2,"assigned_to_id":23,"start_date":"2017-05-17","description":"","custom_fields":[{"id":1,"name":"Subdivision","value":"EC"},{"id":4,"name":"Milepost","value":"4.8048"},{"id":17,"name":"Train ID","value":"170-17"},{"id":16,"name":"Locomotive ID","value":"4029"},{"id":130,"name":"Impact","value":""},{"id":150,"name":"Time of Event (Mountain Time)","value":"13:38:25"},{"id":151,"name":"Denver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-hrE -A400 ""Enforcement Action"" "&amp;"/cygdrive/c/Users/stu/AppData/Local/Temp/OnboardLogs"&amp;"/RTDC"&amp;U10&amp;"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/cygdrive/c/Users/stu/AppData/Local/Temp/OnboardLogs/RTDC4029 --include="*4029*201705171*"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"%USERPROFILE%\AppData\Local\Temp\OnboardLogs"\RTDC4029\*4029*201705171* &gt;&gt; 2017-05-17-SliceDisagreementCheck.txt</v>
      </c>
      <c r="AE10" s="148" t="str">
        <f t="shared" si="1"/>
        <v>start /low /b %USERPROFILE%\Documents\GitHub\eaglep3\Utilities\DownloadLogsFromS3.py --loco 4029 --day 2017-05-17</v>
      </c>
    </row>
    <row r="11" spans="1:32" s="1" customFormat="1" x14ac:dyDescent="0.25">
      <c r="A11" s="31">
        <v>42872.619212962964</v>
      </c>
      <c r="B11" s="30" t="s">
        <v>582</v>
      </c>
      <c r="C11" s="30" t="s">
        <v>595</v>
      </c>
      <c r="D11" s="30" t="s">
        <v>49</v>
      </c>
      <c r="E11" s="30" t="s">
        <v>191</v>
      </c>
      <c r="F11" s="42">
        <v>0</v>
      </c>
      <c r="G11" s="42">
        <v>325</v>
      </c>
      <c r="H11" s="42">
        <v>53475</v>
      </c>
      <c r="I11" s="42">
        <v>53000</v>
      </c>
      <c r="J11" s="30" t="s">
        <v>192</v>
      </c>
      <c r="K11" s="42">
        <v>53277</v>
      </c>
      <c r="L11" s="134" t="s">
        <v>51</v>
      </c>
      <c r="M11" s="135">
        <f>CONVERT((I11-K11)/10000,"mi","ft")*IF(L11="Increasing Mileposts (1)",-1,1)</f>
        <v>-146.256</v>
      </c>
      <c r="N11" s="136" t="str">
        <f>VLOOKUP(C11,'Trips&amp;Operators'!$C$1:$G$99999,5,FALSE)</f>
        <v>HOLCOMB KAMDEN</v>
      </c>
      <c r="O11" s="207" t="s">
        <v>184</v>
      </c>
      <c r="P11" s="137" t="s">
        <v>435</v>
      </c>
      <c r="Q11" s="30"/>
      <c r="R11" s="84" t="str">
        <f>IF(VLOOKUP(C11,'Train Runs'!$A$13:$AE$9928,1,1)=C11,VLOOKUP(C11,'Train Runs'!$A$13:$AE$9928,31,1),NA())</f>
        <v>aws s3 cp s3://rtdc.mdm.uploadarchive.raw/RTDC4045/ "%USERPROFILE%\AppData\Local\Temp\OnboardLogs"\RTDC4045\2017-05-17 --exclude "*" --recursive --include "*20170517*" &amp; "%USERPROFILE%\Documents\GitHub\mrs-test-scripts\Headless Mode &amp; Sideloading\WalkAndUnGZ.bat" "%USERPROFILE%\AppData\Local\Temp\OnboardLogs"\RTDC4045\2017-05-17 &amp; aws s3 cp s3://rtdc.mdm.uploadarchive.raw/RTDC4045/ "%USERPROFILE%\AppData\Local\Temp\OnboardLogs"\RTDC4045\2017-05-18 --exclude "*" --recursive --include "*20170518*" &amp; "%USERPROFILE%\Documents\GitHub\mrs-test-scripts\Headless Mode &amp; Sideloading\WalkAndUnGZ.bat" "%USERPROFILE%\AppData\Local\Temp\OnboardLogs"\RTDC4045\2017-05-18</v>
      </c>
      <c r="S11" s="87" t="str">
        <f>VLOOKUP(C11,'Train Runs'!$A$13:$AE$9928,22,0)</f>
        <v>https://d0f6bd738d7f1b3e5a7ca70fe4ff75f0.us-east-1.aws.found.io/app/kibana#/discover/Steve-Slow-Train-Analysis-(2080s-and-2083s)?_g=(refreshInterval:(display:Off,pause:!f,section:0,value:0),time:(from:'2017-05-17T13:08:57-0600',mode:absolute,to:'2017-05-17T16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/stypes="*4045*201705172*" /stext=" 20:.+((SYSTEM_STATE.+slice.+state.+changed )|(ment ac)|(multiple cpu faults)|(system.+state.+changed )|(\[timeout)|(PRM\|1\|D)|(kpr)|(kdp)|(train st.+moving)|(\|lc)|(penalty))"</v>
      </c>
      <c r="U11" s="9" t="str">
        <f>MID(B11,13,4)</f>
        <v>4045</v>
      </c>
      <c r="V11" s="31">
        <f>A11-utc_offset/24</f>
        <v>42872.869212962964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arrival","project_id":79,"tracker_id":40,"status_id":1,"priority_id":2,"assigned_to_id":23,"start_date":"2017-05-17","description":"","custom_fields":[{"id":1,"name":"Subdivision","value":"EC"},{"id":4,"name":"Milepost","value":"5.3277"},{"id":17,"name":"Train ID","value":"180-17"},{"id":16,"name":"Locomotive ID","value":"4045"},{"id":130,"name":"Impact","value":""},{"id":150,"name":"Time of Event (Mountain Time)","value":"14:51:40"},{"id":151,"name":"Denver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-hrE -A400 ""Enforcement Action"" "&amp;"/cygdrive/c/Users/stu/AppData/Local/Temp/OnboardLogs"&amp;"/RTDC"&amp;U11&amp;"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/cygdrive/c/Users/stu/AppData/Local/Temp/OnboardLogs/RTDC4045 --include="*4045*201705172*"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"%USERPROFILE%\AppData\Local\Temp\OnboardLogs"\RTDC4045\*4045*201705172* &gt;&gt; 2017-05-17-SliceDisagreementCheck.txt</v>
      </c>
      <c r="AE11" s="148" t="str">
        <f t="shared" si="1"/>
        <v>start /low /b %USERPROFILE%\Documents\GitHub\eaglep3\Utilities\DownloadLogsFromS3.py --loco 4045 --day 2017-05-17</v>
      </c>
    </row>
    <row r="12" spans="1:32" s="1" customFormat="1" x14ac:dyDescent="0.25">
      <c r="A12" s="31">
        <v>42873.008668981478</v>
      </c>
      <c r="B12" s="30" t="s">
        <v>598</v>
      </c>
      <c r="C12" s="30" t="s">
        <v>612</v>
      </c>
      <c r="D12" s="30" t="s">
        <v>49</v>
      </c>
      <c r="E12" s="30" t="s">
        <v>191</v>
      </c>
      <c r="F12" s="42">
        <v>440</v>
      </c>
      <c r="G12" s="42">
        <v>495</v>
      </c>
      <c r="H12" s="42">
        <v>57789</v>
      </c>
      <c r="I12" s="42">
        <v>59383</v>
      </c>
      <c r="J12" s="30" t="s">
        <v>192</v>
      </c>
      <c r="K12" s="42">
        <v>58783</v>
      </c>
      <c r="L12" s="134" t="s">
        <v>50</v>
      </c>
      <c r="M12" s="135">
        <f>CONVERT((I12-K12)/10000,"mi","ft")*IF(L12="Increasing Mileposts (1)",-1,1)</f>
        <v>-316.8</v>
      </c>
      <c r="N12" s="136" t="str">
        <f>VLOOKUP(C12,'Trips&amp;Operators'!$C$1:$G$99999,5,FALSE)</f>
        <v>BROWN JACOB</v>
      </c>
      <c r="O12" s="207" t="s">
        <v>184</v>
      </c>
      <c r="P12" s="137" t="s">
        <v>435</v>
      </c>
      <c r="Q12" s="30"/>
      <c r="R12" s="84" t="str">
        <f>IF(VLOOKUP(C12,'Train Runs'!$A$13:$AE$9928,1,1)=C12,VLOOKUP(C12,'Train Runs'!$A$13:$AE$9928,31,1),NA())</f>
        <v>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 &amp; aws s3 cp s3://rtdc.mdm.uploadarchive.raw/RTDC4024/ "%USERPROFILE%\AppData\Local\Temp\OnboardLogs"\RTDC4024\2017-05-19 --exclude "*" --recursive --include "*20170519*" &amp; "%USERPROFILE%\Documents\GitHub\mrs-test-scripts\Headless Mode &amp; Sideloading\WalkAndUnGZ.bat" "%USERPROFILE%\AppData\Local\Temp\OnboardLogs"\RTDC4024\2017-05-19</v>
      </c>
      <c r="S12" s="87" t="str">
        <f>VLOOKUP(C12,'Train Runs'!$A$13:$AE$9928,22,0)</f>
        <v>https://d0f6bd738d7f1b3e5a7ca70fe4ff75f0.us-east-1.aws.found.io/app/kibana#/discover/Steve-Slow-Train-Analysis-(2080s-and-2083s)?_g=(refreshInterval:(display:Off,pause:!f,section:0,value:0),time:(from:'2017-05-17T22:58:43-0600',mode:absolute,to:'2017-05-18T01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/stypes="*4024*201705180*" /stext=" 06:.+((SYSTEM_STATE.+slice.+state.+changed )|(ment ac)|(multiple cpu faults)|(system.+state.+changed )|(\[timeout)|(PRM\|1\|D)|(kpr)|(kdp)|(train st.+moving)|(\|lc)|(penalty))"</v>
      </c>
      <c r="U12" s="9" t="str">
        <f>MID(B12,13,4)</f>
        <v>4024</v>
      </c>
      <c r="V12" s="31">
        <f>A12-utc_offset/24</f>
        <v>42873.258668981478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arrival","project_id":79,"tracker_id":40,"status_id":1,"priority_id":2,"assigned_to_id":23,"start_date":"2017-05-18","description":"","custom_fields":[{"id":1,"name":"Subdivision","value":"EC"},{"id":4,"name":"Milepost","value":"5.8783"},{"id":17,"name":"Train ID","value":"241-17"},{"id":16,"name":"Locomotive ID","value":"4024"},{"id":130,"name":"Impact","value":""},{"id":150,"name":"Time of Event (Mountain Time)","value":"00:12:29"},{"id":151,"name":"Denver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-hrE -A400 ""Enforcement Action"" "&amp;"/cygdrive/c/Users/stu/AppData/Local/Temp/OnboardLogs"&amp;"/RTDC"&amp;U12&amp;"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/cygdrive/c/Users/stu/AppData/Local/Temp/OnboardLogs/RTDC4024 --include="*4024*201705180*"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"%USERPROFILE%\AppData\Local\Temp\OnboardLogs"\RTDC4024\*4024*201705180* &gt;&gt; 2017-05-17-SliceDisagreementCheck.txt</v>
      </c>
      <c r="AE12" s="148" t="str">
        <f t="shared" si="1"/>
        <v>start /low /b %USERPROFILE%\Documents\GitHub\eaglep3\Utilities\DownloadLogsFromS3.py --loco 4024 --day 2017-05-18</v>
      </c>
    </row>
    <row r="13" spans="1:32" s="1" customFormat="1" x14ac:dyDescent="0.25">
      <c r="A13" s="31">
        <v>42872.14471064815</v>
      </c>
      <c r="B13" s="30" t="s">
        <v>423</v>
      </c>
      <c r="C13" s="30" t="s">
        <v>581</v>
      </c>
      <c r="D13" s="30" t="s">
        <v>49</v>
      </c>
      <c r="E13" s="30" t="s">
        <v>191</v>
      </c>
      <c r="F13" s="42">
        <v>440</v>
      </c>
      <c r="G13" s="42">
        <v>510</v>
      </c>
      <c r="H13" s="42">
        <v>62143</v>
      </c>
      <c r="I13" s="42">
        <v>63367</v>
      </c>
      <c r="J13" s="30" t="s">
        <v>192</v>
      </c>
      <c r="K13" s="42">
        <v>63069</v>
      </c>
      <c r="L13" s="134" t="s">
        <v>50</v>
      </c>
      <c r="M13" s="135">
        <f>CONVERT((I13-K13)/10000,"mi","ft")*IF(L13="Increasing Mileposts (1)",-1,1)</f>
        <v>-157.34399999999999</v>
      </c>
      <c r="N13" s="136" t="str">
        <f>VLOOKUP(C13,'Trips&amp;Operators'!$C$1:$G$99999,5,FALSE)</f>
        <v>BADERTSCHER DIANE</v>
      </c>
      <c r="O13" s="207" t="s">
        <v>184</v>
      </c>
      <c r="P13" s="137" t="s">
        <v>435</v>
      </c>
      <c r="Q13" s="30"/>
      <c r="R13" s="84" t="str">
        <f>IF(VLOOKUP(C13,'Train Runs'!$A$13:$AE$9928,1,1)=C13,VLOOKUP(C13,'Train Runs'!$A$13:$AE$9928,31,1),NA())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S13" s="87" t="str">
        <f>VLOOKUP(C13,'Train Runs'!$A$13:$AE$9928,22,0)</f>
        <v>https://d0f6bd738d7f1b3e5a7ca70fe4ff75f0.us-east-1.aws.found.io/app/kibana#/discover/Steve-Slow-Train-Analysis-(2080s-and-2083s)?_g=(refreshInterval:(display:Off,pause:!f,section:0,value:0),time:(from:'2017-05-17T02:06:07-0600',mode:absolute,to:'2017-05-17T04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/stypes="*4016*201705170*" /stext=" 09:.+((SYSTEM_STATE.+slice.+state.+changed )|(ment ac)|(multiple cpu faults)|(system.+state.+changed )|(\[timeout)|(PRM\|1\|D)|(kpr)|(kdp)|(train st.+moving)|(\|lc)|(penalty))"</v>
      </c>
      <c r="U13" s="9" t="str">
        <f>MID(B13,13,4)</f>
        <v>4016</v>
      </c>
      <c r="V13" s="31">
        <f>A13-utc_offset/24</f>
        <v>42872.39471064815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arrival","project_id":79,"tracker_id":40,"status_id":1,"priority_id":2,"assigned_to_id":23,"start_date":"2017-05-17","description":"","custom_fields":[{"id":1,"name":"Subdivision","value":"EC"},{"id":4,"name":"Milepost","value":"6.3069"},{"id":17,"name":"Train ID","value":"101-17"},{"id":16,"name":"Locomotive ID","value":"4016"},{"id":130,"name":"Impact","value":""},{"id":150,"name":"Time of Event (Mountain Time)","value":"03:28:23"},{"id":151,"name":"Denver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-hrE -A400 ""Enforcement Action"" "&amp;"/cygdrive/c/Users/stu/AppData/Local/Temp/OnboardLogs"&amp;"/RTDC"&amp;U13&amp;"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/cygdrive/c/Users/stu/AppData/Local/Temp/OnboardLogs/RTDC4016 --include="*4016*201705170*"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"%USERPROFILE%\AppData\Local\Temp\OnboardLogs"\RTDC4016\*4016*201705170* &gt;&gt; 2017-05-17-SliceDisagreementCheck.txt</v>
      </c>
      <c r="AE13" s="148" t="str">
        <f t="shared" si="1"/>
        <v>start /low /b %USERPROFILE%\Documents\GitHub\eaglep3\Utilities\DownloadLogsFromS3.py --loco 4016 --day 2017-05-17</v>
      </c>
    </row>
    <row r="14" spans="1:32" x14ac:dyDescent="0.25">
      <c r="A14" s="31">
        <v>42872.571226851855</v>
      </c>
      <c r="B14" s="30" t="s">
        <v>592</v>
      </c>
      <c r="C14" s="30" t="s">
        <v>593</v>
      </c>
      <c r="D14" s="30" t="s">
        <v>49</v>
      </c>
      <c r="E14" s="30" t="s">
        <v>191</v>
      </c>
      <c r="F14" s="42">
        <v>490</v>
      </c>
      <c r="G14" s="42">
        <v>600</v>
      </c>
      <c r="H14" s="42">
        <v>61106</v>
      </c>
      <c r="I14" s="42">
        <v>63236</v>
      </c>
      <c r="J14" s="30" t="s">
        <v>192</v>
      </c>
      <c r="K14" s="42">
        <v>63069</v>
      </c>
      <c r="L14" s="134" t="s">
        <v>50</v>
      </c>
      <c r="M14" s="135">
        <f>CONVERT((I14-K14)/10000,"mi","ft")*IF(L14="Increasing Mileposts (1)",-1,1)</f>
        <v>-88.176000000000002</v>
      </c>
      <c r="N14" s="136" t="str">
        <f>VLOOKUP(C14,'Trips&amp;Operators'!$C$1:$G$99999,5,FALSE)</f>
        <v>HOLCOMB KAMDEN</v>
      </c>
      <c r="O14" s="207" t="s">
        <v>184</v>
      </c>
      <c r="P14" s="137" t="s">
        <v>435</v>
      </c>
      <c r="Q14" s="30"/>
      <c r="R14" s="84" t="str">
        <f>IF(VLOOKUP(C14,'Train Runs'!$A$13:$AE$9928,1,1)=C14,VLOOKUP(C14,'Train Runs'!$A$13:$AE$9928,31,1),NA())</f>
        <v>aws s3 cp s3://rtdc.mdm.uploadarchive.raw/RTDC4046/ "%USERPROFILE%\AppData\Local\Temp\OnboardLogs"\RTDC4046\2017-05-17 --exclude "*" --recursive --include "*20170517*" &amp; "%USERPROFILE%\Documents\GitHub\mrs-test-scripts\Headless Mode &amp; Sideloading\WalkAndUnGZ.bat" "%USERPROFILE%\AppData\Local\Temp\OnboardLogs"\RTDC4046\2017-05-17 &amp; aws s3 cp s3://rtdc.mdm.uploadarchive.raw/RTDC4046/ "%USERPROFILE%\AppData\Local\Temp\OnboardLogs"\RTDC4046\2017-05-18 --exclude "*" --recursive --include "*20170518*" &amp; "%USERPROFILE%\Documents\GitHub\mrs-test-scripts\Headless Mode &amp; Sideloading\WalkAndUnGZ.bat" "%USERPROFILE%\AppData\Local\Temp\OnboardLogs"\RTDC4046\2017-05-18</v>
      </c>
      <c r="S14" s="87" t="str">
        <f>VLOOKUP(C14,'Train Runs'!$A$13:$AE$9928,22,0)</f>
        <v>https://d0f6bd738d7f1b3e5a7ca70fe4ff75f0.us-east-1.aws.found.io/app/kibana#/discover/Steve-Slow-Train-Analysis-(2080s-and-2083s)?_g=(refreshInterval:(display:Off,pause:!f,section:0,value:0),time:(from:'2017-05-17T12:26:12-0600',mode:absolute,to:'2017-05-17T15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/stypes="*4046*201705171*" /stext=" 19:.+((SYSTEM_STATE.+slice.+state.+changed )|(ment ac)|(multiple cpu faults)|(system.+state.+changed )|(\[timeout)|(PRM\|1\|D)|(kpr)|(kdp)|(train st.+moving)|(\|lc)|(penalty))"</v>
      </c>
      <c r="U14" s="9" t="str">
        <f>MID(B14,13,4)</f>
        <v>4046</v>
      </c>
      <c r="V14" s="31">
        <f>A14-utc_offset/24</f>
        <v>42872.821226851855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arrival","project_id":79,"tracker_id":40,"status_id":1,"priority_id":2,"assigned_to_id":23,"start_date":"2017-05-17","description":"","custom_fields":[{"id":1,"name":"Subdivision","value":"EC"},{"id":4,"name":"Milepost","value":"6.3069"},{"id":17,"name":"Train ID","value":"179-17"},{"id":16,"name":"Locomotive ID","value":"4046"},{"id":130,"name":"Impact","value":""},{"id":150,"name":"Time of Event (Mountain Time)","value":"13:42:34"},{"id":151,"name":"Denver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-hrE -A400 ""Enforcement Action"" "&amp;"/cygdrive/c/Users/stu/AppData/Local/Temp/OnboardLogs"&amp;"/RTDC"&amp;U14&amp;"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/cygdrive/c/Users/stu/AppData/Local/Temp/OnboardLogs/RTDC4046 --include="*4046*201705171*"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"%USERPROFILE%\AppData\Local\Temp\OnboardLogs"\RTDC4046\*4046*201705171* &gt;&gt; 2017-05-17-SliceDisagreementCheck.txt</v>
      </c>
      <c r="AE14" s="148" t="str">
        <f t="shared" si="1"/>
        <v>start /low /b %USERPROFILE%\Documents\GitHub\eaglep3\Utilities\DownloadLogsFromS3.py --loco 4046 --day 2017-05-17</v>
      </c>
      <c r="AF14" s="1"/>
    </row>
    <row r="15" spans="1:32" x14ac:dyDescent="0.25">
      <c r="A15" s="31">
        <v>42872.415578703702</v>
      </c>
      <c r="B15" s="30" t="s">
        <v>588</v>
      </c>
      <c r="C15" s="30" t="s">
        <v>589</v>
      </c>
      <c r="D15" s="30" t="s">
        <v>49</v>
      </c>
      <c r="E15" s="30" t="s">
        <v>191</v>
      </c>
      <c r="F15" s="42">
        <v>0</v>
      </c>
      <c r="G15" s="42">
        <v>416</v>
      </c>
      <c r="H15" s="42">
        <v>109570</v>
      </c>
      <c r="I15" s="42">
        <v>108521</v>
      </c>
      <c r="J15" s="30" t="s">
        <v>192</v>
      </c>
      <c r="K15" s="42">
        <v>109135</v>
      </c>
      <c r="L15" s="134" t="s">
        <v>51</v>
      </c>
      <c r="M15" s="135">
        <f>CONVERT((I15-K15)/10000,"mi","ft")*IF(L15="Increasing Mileposts (1)",-1,1)</f>
        <v>-324.19200000000001</v>
      </c>
      <c r="N15" s="136" t="str">
        <f>VLOOKUP(C15,'Trips&amp;Operators'!$C$1:$G$99999,5,FALSE)</f>
        <v>BADERTSCHER DIANE</v>
      </c>
      <c r="O15" s="207" t="s">
        <v>184</v>
      </c>
      <c r="P15" s="137" t="s">
        <v>435</v>
      </c>
      <c r="Q15" s="30"/>
      <c r="R15" s="84" t="str">
        <f>IF(VLOOKUP(C15,'Train Runs'!$A$13:$AE$9928,1,1)=C15,VLOOKUP(C15,'Train Runs'!$A$13:$AE$9928,31,1),NA())</f>
        <v>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 &amp; aws s3 cp s3://rtdc.mdm.uploadarchive.raw/RTDC4029/ "%USERPROFILE%\AppData\Local\Temp\OnboardLogs"\RTDC4029\2017-05-18 --exclude "*" --recursive --include "*20170518*" &amp; "%USERPROFILE%\Documents\GitHub\mrs-test-scripts\Headless Mode &amp; Sideloading\WalkAndUnGZ.bat" "%USERPROFILE%\AppData\Local\Temp\OnboardLogs"\RTDC4029\2017-05-18</v>
      </c>
      <c r="S15" s="87" t="str">
        <f>VLOOKUP(C15,'Train Runs'!$A$13:$AE$9928,22,0)</f>
        <v>https://d0f6bd738d7f1b3e5a7ca70fe4ff75f0.us-east-1.aws.found.io/app/kibana#/discover/Steve-Slow-Train-Analysis-(2080s-and-2083s)?_g=(refreshInterval:(display:Off,pause:!f,section:0,value:0),time:(from:'2017-05-17T08:29:48-0600',mode:absolute,to:'2017-05-17T11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/stypes="*4029*201705171*" /stext=" 15:.+((SYSTEM_STATE.+slice.+state.+changed )|(ment ac)|(multiple cpu faults)|(system.+state.+changed )|(\[timeout)|(PRM\|1\|D)|(kpr)|(kdp)|(train st.+moving)|(\|lc)|(penalty))"</v>
      </c>
      <c r="U15" s="9" t="str">
        <f>MID(B15,13,4)</f>
        <v>4029</v>
      </c>
      <c r="V15" s="31">
        <f>A15-utc_offset/24</f>
        <v>42872.665578703702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arrival","project_id":79,"tracker_id":40,"status_id":1,"priority_id":2,"assigned_to_id":23,"start_date":"2017-05-17","description":"","custom_fields":[{"id":1,"name":"Subdivision","value":"EC"},{"id":4,"name":"Milepost","value":"10.9135"},{"id":17,"name":"Train ID","value":"142-17"},{"id":16,"name":"Locomotive ID","value":"4029"},{"id":130,"name":"Impact","value":""},{"id":150,"name":"Time of Event (Mountain Time)","value":"09:58:26"},{"id":151,"name":"Denver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-hrE -A400 ""Enforcement Action"" "&amp;"/cygdrive/c/Users/stu/AppData/Local/Temp/OnboardLogs"&amp;"/RTDC"&amp;U15&amp;"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/cygdrive/c/Users/stu/AppData/Local/Temp/OnboardLogs/RTDC4029 --include="*4029*201705171*"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"%USERPROFILE%\AppData\Local\Temp\OnboardLogs"\RTDC4029\*4029*201705171* &gt;&gt; 2017-05-17-SliceDisagreementCheck.txt</v>
      </c>
      <c r="AE15" s="148" t="str">
        <f t="shared" si="1"/>
        <v>start /low /b %USERPROFILE%\Documents\GitHub\eaglep3\Utilities\DownloadLogsFromS3.py --loco 4029 --day 2017-05-17</v>
      </c>
      <c r="AF15" s="1"/>
    </row>
    <row r="16" spans="1:32" x14ac:dyDescent="0.25">
      <c r="A16" s="31">
        <v>42872.763310185182</v>
      </c>
      <c r="B16" s="30" t="s">
        <v>598</v>
      </c>
      <c r="C16" s="30" t="s">
        <v>607</v>
      </c>
      <c r="D16" s="30" t="s">
        <v>49</v>
      </c>
      <c r="E16" s="30" t="s">
        <v>204</v>
      </c>
      <c r="F16" s="42">
        <v>400</v>
      </c>
      <c r="G16" s="42">
        <v>560</v>
      </c>
      <c r="H16" s="42">
        <v>15575</v>
      </c>
      <c r="I16" s="42">
        <v>17829</v>
      </c>
      <c r="J16" s="30" t="s">
        <v>205</v>
      </c>
      <c r="K16" s="42">
        <v>17867</v>
      </c>
      <c r="L16" s="134" t="s">
        <v>50</v>
      </c>
      <c r="M16" s="135">
        <f>CONVERT((I16-K16)/10000,"mi","ft")*IF(L16="Increasing Mileposts (1)",-1,1)</f>
        <v>20.064</v>
      </c>
      <c r="N16" s="136" t="str">
        <f>VLOOKUP(C16,'Trips&amp;Operators'!$C$1:$G$99999,5,FALSE)</f>
        <v>BROWN JACOB</v>
      </c>
      <c r="O16" s="207" t="s">
        <v>184</v>
      </c>
      <c r="P16" s="137"/>
      <c r="Q16" s="30"/>
      <c r="R16" s="84" t="str">
        <f>IF(VLOOKUP(C16,'Train Runs'!$A$13:$AE$9928,1,1)=C16,VLOOKUP(C16,'Train Runs'!$A$13:$AE$9928,31,1),NA())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S16" s="87" t="str">
        <f>VLOOKUP(C16,'Train Runs'!$A$13:$AE$9928,22,0)</f>
        <v>https://d0f6bd738d7f1b3e5a7ca70fe4ff75f0.us-east-1.aws.found.io/app/kibana#/discover/Steve-Slow-Train-Analysis-(2080s-and-2083s)?_g=(refreshInterval:(display:Off,pause:!f,section:0,value:0),time:(from:'2017-05-17T17:12:24-0600',mode:absolute,to:'2017-05-17T19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/stypes="*4024*201705180*" /stext=" 00:.+((SYSTEM_STATE.+slice.+state.+changed )|(ment ac)|(multiple cpu faults)|(system.+state.+changed )|(\[timeout)|(PRM\|1\|D)|(kpr)|(kdp)|(train st.+moving)|(\|lc)|(penalty))"</v>
      </c>
      <c r="U16" s="9" t="str">
        <f>MID(B16,13,4)</f>
        <v>4024</v>
      </c>
      <c r="V16" s="31">
        <f>A16-utc_offset/24</f>
        <v>42873.013310185182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{"issue":{"subject":"","project_id":79,"tracker_id":40,"status_id":1,"priority_id":2,"assigned_to_id":23,"start_date":"2017-05-17","description":"","custom_fields":[{"id":1,"name":"Subdivision","value":"EC"},{"id":4,"name":"Milepost","value":"1.7867"},{"id":17,"name":"Train ID","value":"217-17"},{"id":16,"name":"Locomotive ID","value":"4024"},{"id":130,"name":"Impact","value":""},{"id":150,"name":"Time of Event (Mountain Time)","value":"18:19:10"},{"id":151,"name":"Denver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-hrE -A400 ""Enforcement Action"" "&amp;"/cygdrive/c/Users/stu/AppData/Local/Temp/OnboardLogs"&amp;"/RTDC"&amp;U16&amp;"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/cygdrive/c/Users/stu/AppData/Local/Temp/OnboardLogs/RTDC4024 --include="*4024*201705180*"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"%USERPROFILE%\AppData\Local\Temp\OnboardLogs"\RTDC4024\*4024*201705180* &gt;&gt; 2017-05-17-SliceDisagreementCheck.txt</v>
      </c>
      <c r="AE16" s="148" t="str">
        <f t="shared" si="1"/>
        <v>start /low /b %USERPROFILE%\Documents\GitHub\eaglep3\Utilities\DownloadLogsFromS3.py --loco 4024 --day 2017-05-18</v>
      </c>
      <c r="AF16" s="1"/>
    </row>
    <row r="17" spans="1:32" x14ac:dyDescent="0.25">
      <c r="A17" s="31">
        <v>42872.259236111109</v>
      </c>
      <c r="B17" s="30" t="s">
        <v>582</v>
      </c>
      <c r="C17" s="30" t="s">
        <v>583</v>
      </c>
      <c r="D17" s="30" t="s">
        <v>98</v>
      </c>
      <c r="E17" s="30" t="s">
        <v>204</v>
      </c>
      <c r="F17" s="42">
        <v>300</v>
      </c>
      <c r="G17" s="42">
        <v>354</v>
      </c>
      <c r="H17" s="42">
        <v>20250</v>
      </c>
      <c r="I17" s="42">
        <v>19180</v>
      </c>
      <c r="J17" s="30" t="s">
        <v>205</v>
      </c>
      <c r="K17" s="42">
        <v>21848</v>
      </c>
      <c r="L17" s="134" t="s">
        <v>51</v>
      </c>
      <c r="M17" s="135">
        <f>CONVERT((I17-K17)/10000,"mi","ft")*IF(L17="Increasing Mileposts (1)",-1,1)</f>
        <v>-1408.704</v>
      </c>
      <c r="N17" s="136" t="str">
        <f>VLOOKUP(C17,'Trips&amp;Operators'!$C$1:$G$99999,5,FALSE)</f>
        <v>SANTIZO D. EDY</v>
      </c>
      <c r="O17" s="207" t="s">
        <v>184</v>
      </c>
      <c r="P17" s="137"/>
      <c r="Q17" s="30"/>
      <c r="R17" s="84" t="str">
        <f>IF(VLOOKUP(C17,'Train Runs'!$A$13:$AE$9928,1,1)=C17,VLOOKUP(C17,'Train Runs'!$A$13:$AE$9928,31,1),NA())</f>
        <v>aws s3 cp s3://rtdc.mdm.uploadarchive.raw/RTDC4045/ "%USERPROFILE%\AppData\Local\Temp\OnboardLogs"\RTDC4045\2017-05-17 --exclude "*" --recursive --include "*20170517*" &amp; "%USERPROFILE%\Documents\GitHub\mrs-test-scripts\Headless Mode &amp; Sideloading\WalkAndUnGZ.bat" "%USERPROFILE%\AppData\Local\Temp\OnboardLogs"\RTDC4045\2017-05-17 &amp; aws s3 cp s3://rtdc.mdm.uploadarchive.raw/RTDC4045/ "%USERPROFILE%\AppData\Local\Temp\OnboardLogs"\RTDC4045\2017-05-18 --exclude "*" --recursive --include "*20170518*" &amp; "%USERPROFILE%\Documents\GitHub\mrs-test-scripts\Headless Mode &amp; Sideloading\WalkAndUnGZ.bat" "%USERPROFILE%\AppData\Local\Temp\OnboardLogs"\RTDC4045\2017-05-18</v>
      </c>
      <c r="S17" s="87" t="str">
        <f>VLOOKUP(C17,'Train Runs'!$A$13:$AE$9928,22,0)</f>
        <v>https://d0f6bd738d7f1b3e5a7ca70fe4ff75f0.us-east-1.aws.found.io/app/kibana#/discover/Steve-Slow-Train-Analysis-(2080s-and-2083s)?_g=(refreshInterval:(display:Off,pause:!f,section:0,value:0),time:(from:'2017-05-17T04:22:46-0600',mode:absolute,to:'2017-05-17T07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/stypes="*4045*201705171*" /stext=" 12:.+((SYSTEM_STATE.+slice.+state.+changed )|(ment ac)|(multiple cpu faults)|(system.+state.+changed )|(\[timeout)|(PRM\|1\|D)|(kpr)|(kdp)|(train st.+moving)|(\|lc)|(penalty))"</v>
      </c>
      <c r="U17" s="9" t="str">
        <f>MID(B17,13,4)</f>
        <v>4045</v>
      </c>
      <c r="V17" s="31">
        <f>A17-utc_offset/24</f>
        <v>42872.509236111109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{"issue":{"subject":"","project_id":79,"tracker_id":40,"status_id":1,"priority_id":2,"assigned_to_id":23,"start_date":"2017-05-17","description":"","custom_fields":[{"id":1,"name":"Subdivision","value":"EC"},{"id":4,"name":"Milepost","value":"2.1848"},{"id":17,"name":"Train ID","value":"110-17"},{"id":16,"name":"Locomotive ID","value":"4045"},{"id":130,"name":"Impact","value":""},{"id":150,"name":"Time of Event (Mountain Time)","value":"06:13:18"},{"id":151,"name":"Denver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-hrE -A400 ""Enforcement Action"" "&amp;"/cygdrive/c/Users/stu/AppData/Local/Temp/OnboardLogs"&amp;"/RTDC"&amp;U17&amp;"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/cygdrive/c/Users/stu/AppData/Local/Temp/OnboardLogs/RTDC4045 --include="*4045*201705171*"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"%USERPROFILE%\AppData\Local\Temp\OnboardLogs"\RTDC4045\*4045*201705171* &gt;&gt; 2017-05-17-SliceDisagreementCheck.txt</v>
      </c>
      <c r="AE17" s="148" t="str">
        <f t="shared" si="1"/>
        <v>start /low /b %USERPROFILE%\Documents\GitHub\eaglep3\Utilities\DownloadLogsFromS3.py --loco 4045 --day 2017-05-17</v>
      </c>
      <c r="AF17" s="1"/>
    </row>
    <row r="18" spans="1:32" x14ac:dyDescent="0.25">
      <c r="A18" s="31">
        <v>42872.322685185187</v>
      </c>
      <c r="B18" s="30" t="s">
        <v>368</v>
      </c>
      <c r="C18" s="30" t="s">
        <v>586</v>
      </c>
      <c r="D18" s="30" t="s">
        <v>49</v>
      </c>
      <c r="E18" s="30" t="s">
        <v>204</v>
      </c>
      <c r="F18" s="42">
        <v>600</v>
      </c>
      <c r="G18" s="42">
        <v>690</v>
      </c>
      <c r="H18" s="42">
        <v>182448</v>
      </c>
      <c r="I18" s="42">
        <v>184736</v>
      </c>
      <c r="J18" s="30" t="s">
        <v>205</v>
      </c>
      <c r="K18" s="42">
        <v>183829</v>
      </c>
      <c r="L18" s="134" t="s">
        <v>50</v>
      </c>
      <c r="M18" s="135">
        <f>CONVERT((I18-K18)/10000,"mi","ft")*IF(L18="Increasing Mileposts (1)",-1,1)</f>
        <v>-478.89600000000002</v>
      </c>
      <c r="N18" s="136" t="str">
        <f>VLOOKUP(C18,'Trips&amp;Operators'!$C$1:$G$99999,5,FALSE)</f>
        <v>STARKS ANGELINA</v>
      </c>
      <c r="O18" s="207" t="s">
        <v>184</v>
      </c>
      <c r="P18" s="137"/>
      <c r="Q18" s="30"/>
      <c r="R18" s="84" t="str">
        <f>IF(VLOOKUP(C18,'Train Runs'!$A$13:$AE$9928,1,1)=C18,VLOOKUP(C18,'Train Runs'!$A$13:$AE$9928,31,1),NA())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S18" s="87" t="str">
        <f>VLOOKUP(C18,'Train Runs'!$A$13:$AE$9928,22,0)</f>
        <v>https://d0f6bd738d7f1b3e5a7ca70fe4ff75f0.us-east-1.aws.found.io/app/kibana#/discover/Steve-Slow-Train-Analysis-(2080s-and-2083s)?_g=(refreshInterval:(display:Off,pause:!f,section:0,value:0),time:(from:'2017-05-17T06:11:21-0600',mode:absolute,to:'2017-05-17T08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/stypes="*4042*201705171*" /stext=" 13:.+((SYSTEM_STATE.+slice.+state.+changed )|(ment ac)|(multiple cpu faults)|(system.+state.+changed )|(\[timeout)|(PRM\|1\|D)|(kpr)|(kdp)|(train st.+moving)|(\|lc)|(penalty))"</v>
      </c>
      <c r="U18" s="9" t="str">
        <f>MID(B18,13,4)</f>
        <v>4042</v>
      </c>
      <c r="V18" s="31">
        <f>A18-utc_offset/24</f>
        <v>42872.572685185187</v>
      </c>
      <c r="W18" s="45" t="str">
        <f>IFERROR(IF(VALUE(LEFT(IF(LEN(C18)=6,"0"&amp;C18,C18),2))&lt;=2,"EC",IF(OR(VALUE(LEFT(IF(LEN(C18)=6,"0"&amp;C18,C18),2))=8,VALUE(LEFT(IF(LEN(C18)=6,"0"&amp;C18,C18),2))=18),"NW","Other")),"Other")</f>
        <v>EC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{"issue":{"subject":"","project_id":79,"tracker_id":40,"status_id":1,"priority_id":2,"assigned_to_id":23,"start_date":"2017-05-17","description":"","custom_fields":[{"id":1,"name":"Subdivision","value":"EC"},{"id":4,"name":"Milepost","value":"18.3829"},{"id":17,"name":"Train ID","value":"129-17"},{"id":16,"name":"Locomotive ID","value":"4042"},{"id":130,"name":"Impact","value":""},{"id":150,"name":"Time of Event (Mountain Time)","value":"07:44:40"},{"id":151,"name":"Denver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-hrE -A400 ""Enforcement Action"" "&amp;"/cygdrive/c/Users/stu/AppData/Local/Temp/OnboardLogs"&amp;"/RTDC"&amp;U18&amp;"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/cygdrive/c/Users/stu/AppData/Local/Temp/OnboardLogs/RTDC4042 --include="*4042*201705171*"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"%USERPROFILE%\AppData\Local\Temp\OnboardLogs"\RTDC4042\*4042*201705171* &gt;&gt; 2017-05-17-SliceDisagreementCheck.txt</v>
      </c>
      <c r="AE18" s="148" t="str">
        <f t="shared" si="1"/>
        <v>start /low /b %USERPROFILE%\Documents\GitHub\eaglep3\Utilities\DownloadLogsFromS3.py --loco 4042 --day 2017-05-17</v>
      </c>
      <c r="AF18" s="1"/>
    </row>
    <row r="19" spans="1:32" x14ac:dyDescent="0.25">
      <c r="A19" s="31">
        <v>42873.018993055557</v>
      </c>
      <c r="B19" s="30" t="s">
        <v>374</v>
      </c>
      <c r="C19" s="30" t="s">
        <v>613</v>
      </c>
      <c r="D19" s="30" t="s">
        <v>98</v>
      </c>
      <c r="E19" s="30" t="s">
        <v>204</v>
      </c>
      <c r="F19" s="42">
        <v>350</v>
      </c>
      <c r="G19" s="42">
        <v>403</v>
      </c>
      <c r="H19" s="42">
        <v>229835</v>
      </c>
      <c r="I19" s="42">
        <v>228846</v>
      </c>
      <c r="J19" s="30" t="s">
        <v>205</v>
      </c>
      <c r="K19" s="42">
        <v>232107</v>
      </c>
      <c r="L19" s="134" t="s">
        <v>51</v>
      </c>
      <c r="M19" s="135">
        <f>CONVERT((I19-K19)/10000,"mi","ft")*IF(L19="Increasing Mileposts (1)",-1,1)</f>
        <v>-1721.808</v>
      </c>
      <c r="N19" s="136" t="str">
        <f>VLOOKUP(C19,'Trips&amp;Operators'!$C$1:$G$99999,5,FALSE)</f>
        <v>BIRENBAUM THOMAS</v>
      </c>
      <c r="O19" s="207" t="s">
        <v>184</v>
      </c>
      <c r="P19" s="137"/>
      <c r="Q19" s="30"/>
      <c r="R19" s="84" t="str">
        <f>IF(VLOOKUP(C19,'Train Runs'!$A$13:$AE$9928,1,1)=C19,VLOOKUP(C19,'Train Runs'!$A$13:$AE$9928,31,1),NA())</f>
        <v>aws s3 cp s3://rtdc.mdm.uploadarchive.raw/RTDC4041/ "%USERPROFILE%\AppData\Local\Temp\OnboardLogs"\RTDC4041\2017-05-18 --exclude "*" --recursive --include "*20170518*" &amp; "%USERPROFILE%\Documents\GitHub\mrs-test-scripts\Headless Mode &amp; Sideloading\WalkAndUnGZ.bat" "%USERPROFILE%\AppData\Local\Temp\OnboardLogs"\RTDC4041\2017-05-18 &amp; aws s3 cp s3://rtdc.mdm.uploadarchive.raw/RTDC4041/ "%USERPROFILE%\AppData\Local\Temp\OnboardLogs"\RTDC4041\2017-05-19 --exclude "*" --recursive --include "*20170519*" &amp; "%USERPROFILE%\Documents\GitHub\mrs-test-scripts\Headless Mode &amp; Sideloading\WalkAndUnGZ.bat" "%USERPROFILE%\AppData\Local\Temp\OnboardLogs"\RTDC4041\2017-05-19</v>
      </c>
      <c r="S19" s="87" t="str">
        <f>VLOOKUP(C19,'Train Runs'!$A$13:$AE$9928,22,0)</f>
        <v>https://d0f6bd738d7f1b3e5a7ca70fe4ff75f0.us-east-1.aws.found.io/app/kibana#/discover/Steve-Slow-Train-Analysis-(2080s-and-2083s)?_g=(refreshInterval:(display:Off,pause:!f,section:0,value:0),time:(from:'2017-05-17T23:19:28-0600',mode:absolute,to:'2017-05-18T02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/stypes="*4041*201705180*" /stext=" 06:.+((SYSTEM_STATE.+slice.+state.+changed )|(ment ac)|(multiple cpu faults)|(system.+state.+changed )|(\[timeout)|(PRM\|1\|D)|(kpr)|(kdp)|(train st.+moving)|(\|lc)|(penalty))"</v>
      </c>
      <c r="U19" s="9" t="str">
        <f>MID(B19,13,4)</f>
        <v>4041</v>
      </c>
      <c r="V19" s="31">
        <f>A19-utc_offset/24</f>
        <v>42873.268993055557</v>
      </c>
      <c r="W19" s="45" t="str">
        <f>IFERROR(IF(VALUE(LEFT(IF(LEN(C19)=6,"0"&amp;C19,C19),2))&lt;=2,"EC",IF(OR(VALUE(LEFT(IF(LEN(C19)=6,"0"&amp;C19,C19),2))=8,VALUE(LEFT(IF(LEN(C19)=6,"0"&amp;C19,C19),2))=18),"NW","Other")),"Other")</f>
        <v>EC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{"issue":{"subject":"","project_id":79,"tracker_id":40,"status_id":1,"priority_id":2,"assigned_to_id":23,"start_date":"2017-05-18","description":"","custom_fields":[{"id":1,"name":"Subdivision","value":"EC"},{"id":4,"name":"Milepost","value":"23.2107"},{"id":17,"name":"Train ID","value":"240-17"},{"id":16,"name":"Locomotive ID","value":"4041"},{"id":130,"name":"Impact","value":""},{"id":150,"name":"Time of Event (Mountain Time)","value":"00:27:21"},{"id":151,"name":"Denver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-hrE -A400 ""Enforcement Action"" "&amp;"/cygdrive/c/Users/stu/AppData/Local/Temp/OnboardLogs"&amp;"/RTDC"&amp;U19&amp;"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/cygdrive/c/Users/stu/AppData/Local/Temp/OnboardLogs/RTDC4041 --include="*4041*201705180*"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"%USERPROFILE%\AppData\Local\Temp\OnboardLogs"\RTDC4041\*4041*201705180* &gt;&gt; 2017-05-17-SliceDisagreementCheck.txt</v>
      </c>
      <c r="AE19" s="148" t="str">
        <f t="shared" si="1"/>
        <v>start /low /b %USERPROFILE%\Documents\GitHub\eaglep3\Utilities\DownloadLogsFromS3.py --loco 4041 --day 2017-05-18</v>
      </c>
      <c r="AF19" s="1"/>
    </row>
    <row r="20" spans="1:32" x14ac:dyDescent="0.25">
      <c r="A20" s="31">
        <v>42872.579826388886</v>
      </c>
      <c r="B20" s="30" t="s">
        <v>592</v>
      </c>
      <c r="C20" s="30" t="s">
        <v>593</v>
      </c>
      <c r="D20" s="30" t="s">
        <v>49</v>
      </c>
      <c r="E20" s="30" t="s">
        <v>372</v>
      </c>
      <c r="F20" s="42">
        <v>0</v>
      </c>
      <c r="G20" s="42">
        <v>792</v>
      </c>
      <c r="H20" s="42">
        <v>144165</v>
      </c>
      <c r="I20" s="42">
        <v>148382</v>
      </c>
      <c r="J20" s="30" t="s">
        <v>373</v>
      </c>
      <c r="K20" s="42">
        <v>144300</v>
      </c>
      <c r="L20" s="134" t="s">
        <v>50</v>
      </c>
      <c r="M20" s="135">
        <f>CONVERT((I20-K20)/10000,"mi","ft")*IF(L20="Increasing Mileposts (1)",-1,1)</f>
        <v>-2155.2959999999998</v>
      </c>
      <c r="N20" s="136" t="str">
        <f>VLOOKUP(C20,'Trips&amp;Operators'!$C$1:$G$99999,5,FALSE)</f>
        <v>HOLCOMB KAMDEN</v>
      </c>
      <c r="O20" s="207" t="s">
        <v>614</v>
      </c>
      <c r="P20" s="137" t="s">
        <v>1018</v>
      </c>
      <c r="Q20" s="30"/>
      <c r="R20" s="84" t="str">
        <f>IF(VLOOKUP(C20,'Train Runs'!$A$13:$AE$9928,1,1)=C20,VLOOKUP(C20,'Train Runs'!$A$13:$AE$9928,31,1),NA())</f>
        <v>aws s3 cp s3://rtdc.mdm.uploadarchive.raw/RTDC4046/ "%USERPROFILE%\AppData\Local\Temp\OnboardLogs"\RTDC4046\2017-05-17 --exclude "*" --recursive --include "*20170517*" &amp; "%USERPROFILE%\Documents\GitHub\mrs-test-scripts\Headless Mode &amp; Sideloading\WalkAndUnGZ.bat" "%USERPROFILE%\AppData\Local\Temp\OnboardLogs"\RTDC4046\2017-05-17 &amp; aws s3 cp s3://rtdc.mdm.uploadarchive.raw/RTDC4046/ "%USERPROFILE%\AppData\Local\Temp\OnboardLogs"\RTDC4046\2017-05-18 --exclude "*" --recursive --include "*20170518*" &amp; "%USERPROFILE%\Documents\GitHub\mrs-test-scripts\Headless Mode &amp; Sideloading\WalkAndUnGZ.bat" "%USERPROFILE%\AppData\Local\Temp\OnboardLogs"\RTDC4046\2017-05-18</v>
      </c>
      <c r="S20" s="87" t="str">
        <f>VLOOKUP(C20,'Train Runs'!$A$13:$AE$9928,22,0)</f>
        <v>https://d0f6bd738d7f1b3e5a7ca70fe4ff75f0.us-east-1.aws.found.io/app/kibana#/discover/Steve-Slow-Train-Analysis-(2080s-and-2083s)?_g=(refreshInterval:(display:Off,pause:!f,section:0,value:0),time:(from:'2017-05-17T12:26:12-0600',mode:absolute,to:'2017-05-17T15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/stypes="*4046*201705171*" /stext=" 19:.+((SYSTEM_STATE.+slice.+state.+changed )|(ment ac)|(multiple cpu faults)|(system.+state.+changed )|(\[timeout)|(PRM\|1\|D)|(kpr)|(kdp)|(train st.+moving)|(\|lc)|(penalty))"</v>
      </c>
      <c r="U20" s="9" t="str">
        <f>MID(B20,13,4)</f>
        <v>4046</v>
      </c>
      <c r="V20" s="31">
        <f>A20-utc_offset/24</f>
        <v>42872.829826388886</v>
      </c>
      <c r="W20" s="45" t="str">
        <f>IFERROR(IF(VALUE(LEFT(IF(LEN(C20)=6,"0"&amp;C20,C20),2))&lt;=2,"EC",IF(OR(VALUE(LEFT(IF(LEN(C20)=6,"0"&amp;C20,C20),2))=8,VALUE(LEFT(IF(LEN(C20)=6,"0"&amp;C20,C20),2))=18),"NW","Other")),"Other")</f>
        <v>EC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drop","project_id":79,"tracker_id":40,"status_id":1,"priority_id":2,"assigned_to_id":23,"start_date":"2017-05-17","description":"","custom_fields":[{"id":1,"name":"Subdivision","value":"EC"},{"id":4,"name":"Milepost","value":"14.43"},{"id":17,"name":"Train ID","value":"179-17"},{"id":16,"name":"Locomotive ID","value":"4046"},{"id":130,"name":"Impact","value":""},{"id":150,"name":"Time of Event (Mountain Time)","value":"13:54:57"},{"id":151,"name":"Denver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-hrE -A400 ""Enforcement Action"" "&amp;"/cygdrive/c/Users/stu/AppData/Local/Temp/OnboardLogs"&amp;"/RTDC"&amp;U20&amp;"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/cygdrive/c/Users/stu/AppData/Local/Temp/OnboardLogs/RTDC4046 --include="*4046*201705171*"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"%USERPROFILE%\AppData\Local\Temp\OnboardLogs"\RTDC4046\*4046*201705171* &gt;&gt; 2017-05-17-SliceDisagreementCheck.txt</v>
      </c>
      <c r="AE20" s="148" t="str">
        <f t="shared" si="1"/>
        <v>start /low /b %USERPROFILE%\Documents\GitHub\eaglep3\Utilities\DownloadLogsFromS3.py --loco 4046 --day 2017-05-17</v>
      </c>
      <c r="AF20" s="1"/>
    </row>
    <row r="21" spans="1:32" x14ac:dyDescent="0.25">
      <c r="A21" s="31">
        <v>42872.791446759256</v>
      </c>
      <c r="B21" s="30" t="s">
        <v>390</v>
      </c>
      <c r="C21" s="30" t="s">
        <v>608</v>
      </c>
      <c r="D21" s="30" t="s">
        <v>49</v>
      </c>
      <c r="E21" s="30" t="s">
        <v>372</v>
      </c>
      <c r="F21" s="42">
        <v>0</v>
      </c>
      <c r="G21" s="42">
        <v>692</v>
      </c>
      <c r="H21" s="42">
        <v>149295</v>
      </c>
      <c r="I21" s="42">
        <v>152472</v>
      </c>
      <c r="J21" s="30" t="s">
        <v>373</v>
      </c>
      <c r="K21" s="42">
        <v>149694</v>
      </c>
      <c r="L21" s="134" t="s">
        <v>50</v>
      </c>
      <c r="M21" s="135">
        <f>CONVERT((I21-K21)/10000,"mi","ft")*IF(L21="Increasing Mileposts (1)",-1,1)</f>
        <v>-1466.7840000000001</v>
      </c>
      <c r="N21" s="136" t="str">
        <f>VLOOKUP(C21,'Trips&amp;Operators'!$C$1:$G$99999,5,FALSE)</f>
        <v>NEWELL JAMES</v>
      </c>
      <c r="O21" s="207" t="s">
        <v>614</v>
      </c>
      <c r="P21" s="137" t="s">
        <v>1018</v>
      </c>
      <c r="Q21" s="30"/>
      <c r="R21" s="84" t="str">
        <f>IF(VLOOKUP(C21,'Train Runs'!$A$13:$AE$9928,1,1)=C21,VLOOKUP(C21,'Train Runs'!$A$13:$AE$9928,31,1),NA())</f>
        <v>aws s3 cp s3://rtdc.mdm.uploadarchive.raw/RTDC4040/ "%USERPROFILE%\AppData\Local\Temp\OnboardLogs"\RTDC4040\2017-05-17 --exclude "*" --recursive --include "*20170517*" &amp; "%USERPROFILE%\Documents\GitHub\mrs-test-scripts\Headless Mode &amp; Sideloading\WalkAndUnGZ.bat" "%USERPROFILE%\AppData\Local\Temp\OnboardLogs"\RTDC4040\2017-05-17 &amp; aws s3 cp s3://rtdc.mdm.uploadarchive.raw/RTDC4040/ "%USERPROFILE%\AppData\Local\Temp\OnboardLogs"\RTDC4040\2017-05-18 --exclude "*" --recursive --include "*20170518*" &amp; "%USERPROFILE%\Documents\GitHub\mrs-test-scripts\Headless Mode &amp; Sideloading\WalkAndUnGZ.bat" "%USERPROFILE%\AppData\Local\Temp\OnboardLogs"\RTDC4040\2017-05-18</v>
      </c>
      <c r="S21" s="87" t="str">
        <f>VLOOKUP(C21,'Train Runs'!$A$13:$AE$9928,22,0)</f>
        <v>https://d0f6bd738d7f1b3e5a7ca70fe4ff75f0.us-east-1.aws.found.io/app/kibana#/discover/Steve-Slow-Train-Analysis-(2080s-and-2083s)?_g=(refreshInterval:(display:Off,pause:!f,section:0,value:0),time:(from:'2017-05-17T17:29:28-0600',mode:absolute,to:'2017-05-17T20:11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/stypes="*4040*201705180*" /stext=" 00:.+((SYSTEM_STATE.+slice.+state.+changed )|(ment ac)|(multiple cpu faults)|(system.+state.+changed )|(\[timeout)|(PRM\|1\|D)|(kpr)|(kdp)|(train st.+moving)|(\|lc)|(penalty))"</v>
      </c>
      <c r="U21" s="9" t="str">
        <f>MID(B21,13,4)</f>
        <v>4040</v>
      </c>
      <c r="V21" s="31">
        <f>A21-utc_offset/24</f>
        <v>42873.041446759256</v>
      </c>
      <c r="W21" s="45" t="str">
        <f>IFERROR(IF(VALUE(LEFT(IF(LEN(C21)=6,"0"&amp;C21,C21),2))&lt;=2,"EC",IF(OR(VALUE(LEFT(IF(LEN(C21)=6,"0"&amp;C21,C21),2))=8,VALUE(LEFT(IF(LEN(C21)=6,"0"&amp;C21,C21),2))=18),"NW","Other")),"Other")</f>
        <v>EC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drop","project_id":79,"tracker_id":40,"status_id":1,"priority_id":2,"assigned_to_id":23,"start_date":"2017-05-17","description":"","custom_fields":[{"id":1,"name":"Subdivision","value":"EC"},{"id":4,"name":"Milepost","value":"14.9694"},{"id":17,"name":"Train ID","value":"219-17"},{"id":16,"name":"Locomotive ID","value":"4040"},{"id":130,"name":"Impact","value":""},{"id":150,"name":"Time of Event (Mountain Time)","value":"18:59:41"},{"id":151,"name":"Denver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-hrE -A400 ""Enforcement Action"" "&amp;"/cygdrive/c/Users/stu/AppData/Local/Temp/OnboardLogs"&amp;"/RTDC"&amp;U21&amp;"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/cygdrive/c/Users/stu/AppData/Local/Temp/OnboardLogs/RTDC4040 --include="*4040*201705180*"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"%USERPROFILE%\AppData\Local\Temp\OnboardLogs"\RTDC4040\*4040*201705180* &gt;&gt; 2017-05-17-SliceDisagreementCheck.txt</v>
      </c>
      <c r="AE21" s="148" t="str">
        <f t="shared" si="1"/>
        <v>start /low /b %USERPROFILE%\Documents\GitHub\eaglep3\Utilities\DownloadLogsFromS3.py --loco 4040 --day 2017-05-18</v>
      </c>
      <c r="AF21" s="1"/>
    </row>
    <row r="22" spans="1:32" x14ac:dyDescent="0.25">
      <c r="A22" s="31">
        <v>42872.326956018522</v>
      </c>
      <c r="B22" s="30" t="s">
        <v>387</v>
      </c>
      <c r="C22" s="30" t="s">
        <v>587</v>
      </c>
      <c r="D22" s="30" t="s">
        <v>49</v>
      </c>
      <c r="E22" s="30" t="s">
        <v>185</v>
      </c>
      <c r="F22" s="42">
        <v>0</v>
      </c>
      <c r="G22" s="42">
        <v>46</v>
      </c>
      <c r="H22" s="42">
        <v>170</v>
      </c>
      <c r="I22" s="42">
        <v>112</v>
      </c>
      <c r="J22" s="30" t="s">
        <v>186</v>
      </c>
      <c r="K22" s="42">
        <v>1</v>
      </c>
      <c r="L22" s="134" t="s">
        <v>51</v>
      </c>
      <c r="M22" s="135">
        <f>CONVERT((I22-K22)/10000,"mi","ft")*IF(L22="Increasing Mileposts (1)",-1,1)</f>
        <v>58.607999999999997</v>
      </c>
      <c r="N22" s="136" t="str">
        <f>VLOOKUP(C22,'Trips&amp;Operators'!$C$1:$G$99999,5,FALSE)</f>
        <v>BONDS REYNALDO</v>
      </c>
      <c r="O22" s="207" t="s">
        <v>184</v>
      </c>
      <c r="P22" s="137"/>
      <c r="Q22" s="30"/>
      <c r="R22" s="84" t="str">
        <f>IF(VLOOKUP(C22,'Train Runs'!$A$13:$AE$9928,1,1)=C22,VLOOKUP(C22,'Train Runs'!$A$13:$AE$9928,31,1),NA())</f>
        <v>aws s3 cp s3://rtdc.mdm.uploadarchive.raw/RTDC4039/ "%USERPROFILE%\AppData\Local\Temp\OnboardLogs"\RTDC4039\2017-05-17 --exclude "*" --recursive --include "*20170517*" &amp; "%USERPROFILE%\Documents\GitHub\mrs-test-scripts\Headless Mode &amp; Sideloading\WalkAndUnGZ.bat" "%USERPROFILE%\AppData\Local\Temp\OnboardLogs"\RTDC4039\2017-05-17 &amp; aws s3 cp s3://rtdc.mdm.uploadarchive.raw/RTDC4039/ "%USERPROFILE%\AppData\Local\Temp\OnboardLogs"\RTDC4039\2017-05-18 --exclude "*" --recursive --include "*20170518*" &amp; "%USERPROFILE%\Documents\GitHub\mrs-test-scripts\Headless Mode &amp; Sideloading\WalkAndUnGZ.bat" "%USERPROFILE%\AppData\Local\Temp\OnboardLogs"\RTDC4039\2017-05-18</v>
      </c>
      <c r="S22" s="87" t="str">
        <f>VLOOKUP(C22,'Train Runs'!$A$13:$AE$9928,22,0)</f>
        <v>https://d0f6bd738d7f1b3e5a7ca70fe4ff75f0.us-east-1.aws.found.io/app/kibana#/discover/Steve-Slow-Train-Analysis-(2080s-and-2083s)?_g=(refreshInterval:(display:Off,pause:!f,section:0,value:0),time:(from:'2017-05-17T06:08:59-0600',mode:absolute,to:'2017-05-17T08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/stypes="*4039*201705171*" /stext=" 13:.+((SYSTEM_STATE.+slice.+state.+changed )|(ment ac)|(multiple cpu faults)|(system.+state.+changed )|(\[timeout)|(PRM\|1\|D)|(kpr)|(kdp)|(train st.+moving)|(\|lc)|(penalty))"</v>
      </c>
      <c r="U22" s="9" t="str">
        <f>MID(B22,13,4)</f>
        <v>4039</v>
      </c>
      <c r="V22" s="31">
        <f>A22-utc_offset/24</f>
        <v>42872.576956018522</v>
      </c>
      <c r="W22" s="45" t="str">
        <f>IFERROR(IF(VALUE(LEFT(IF(LEN(C22)=6,"0"&amp;C22,C22),2))&lt;=2,"EC",IF(OR(VALUE(LEFT(IF(LEN(C22)=6,"0"&amp;C22,C22),2))=8,VALUE(LEFT(IF(LEN(C22)=6,"0"&amp;C22,C22),2))=18),"NW","Other")),"Other")</f>
        <v>EC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{"issue":{"subject":"","project_id":79,"tracker_id":40,"status_id":1,"priority_id":2,"assigned_to_id":23,"start_date":"2017-05-17","description":"","custom_fields":[{"id":1,"name":"Subdivision","value":"EC"},{"id":4,"name":"Milepost","value":"0.0001"},{"id":17,"name":"Train ID","value":"122-17"},{"id":16,"name":"Locomotive ID","value":"4039"},{"id":130,"name":"Impact","value":""},{"id":150,"name":"Time of Event (Mountain Time)","value":"07:50:49"},{"id":151,"name":"Denver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>"grep -hrE -A400 ""Enforcement Action"" "&amp;"/cygdrive/c/Users/stu/AppData/Local/Temp/OnboardLogs"&amp;"/RTDC"&amp;U22&amp;"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/cygdrive/c/Users/stu/AppData/Local/Temp/OnboardLogs/RTDC4039 --include="*4039*201705171*"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"%USERPROFILE%\AppData\Local\Temp\OnboardLogs"\RTDC4039\*4039*201705171* &gt;&gt; 2017-05-17-SliceDisagreementCheck.txt</v>
      </c>
      <c r="AE22" s="148" t="str">
        <f t="shared" si="1"/>
        <v>start /low /b %USERPROFILE%\Documents\GitHub\eaglep3\Utilities\DownloadLogsFromS3.py --loco 4039 --day 2017-05-17</v>
      </c>
      <c r="AF22" s="1"/>
    </row>
    <row r="23" spans="1:32" x14ac:dyDescent="0.25">
      <c r="A23" s="31">
        <v>42872.628668981481</v>
      </c>
      <c r="B23" s="30" t="s">
        <v>582</v>
      </c>
      <c r="C23" s="30" t="s">
        <v>595</v>
      </c>
      <c r="D23" s="30" t="s">
        <v>49</v>
      </c>
      <c r="E23" s="30" t="s">
        <v>185</v>
      </c>
      <c r="F23" s="42">
        <v>0</v>
      </c>
      <c r="G23" s="42">
        <v>51</v>
      </c>
      <c r="H23" s="42">
        <v>138</v>
      </c>
      <c r="I23" s="42">
        <v>103</v>
      </c>
      <c r="J23" s="30" t="s">
        <v>186</v>
      </c>
      <c r="K23" s="42">
        <v>1</v>
      </c>
      <c r="L23" s="134" t="s">
        <v>51</v>
      </c>
      <c r="M23" s="135">
        <f>CONVERT((I23-K23)/10000,"mi","ft")*IF(L23="Increasing Mileposts (1)",-1,1)</f>
        <v>53.856000000000002</v>
      </c>
      <c r="N23" s="136" t="str">
        <f>VLOOKUP(C23,'Trips&amp;Operators'!$C$1:$G$99999,5,FALSE)</f>
        <v>HOLCOMB KAMDEN</v>
      </c>
      <c r="O23" s="207" t="s">
        <v>184</v>
      </c>
      <c r="P23" s="137"/>
      <c r="Q23" s="30"/>
      <c r="R23" s="84" t="str">
        <f>IF(VLOOKUP(C23,'Train Runs'!$A$13:$AE$9928,1,1)=C23,VLOOKUP(C23,'Train Runs'!$A$13:$AE$9928,31,1),NA())</f>
        <v>aws s3 cp s3://rtdc.mdm.uploadarchive.raw/RTDC4045/ "%USERPROFILE%\AppData\Local\Temp\OnboardLogs"\RTDC4045\2017-05-17 --exclude "*" --recursive --include "*20170517*" &amp; "%USERPROFILE%\Documents\GitHub\mrs-test-scripts\Headless Mode &amp; Sideloading\WalkAndUnGZ.bat" "%USERPROFILE%\AppData\Local\Temp\OnboardLogs"\RTDC4045\2017-05-17 &amp; aws s3 cp s3://rtdc.mdm.uploadarchive.raw/RTDC4045/ "%USERPROFILE%\AppData\Local\Temp\OnboardLogs"\RTDC4045\2017-05-18 --exclude "*" --recursive --include "*20170518*" &amp; "%USERPROFILE%\Documents\GitHub\mrs-test-scripts\Headless Mode &amp; Sideloading\WalkAndUnGZ.bat" "%USERPROFILE%\AppData\Local\Temp\OnboardLogs"\RTDC4045\2017-05-18</v>
      </c>
      <c r="S23" s="87" t="str">
        <f>VLOOKUP(C23,'Train Runs'!$A$13:$AE$9928,22,0)</f>
        <v>https://d0f6bd738d7f1b3e5a7ca70fe4ff75f0.us-east-1.aws.found.io/app/kibana#/discover/Steve-Slow-Train-Analysis-(2080s-and-2083s)?_g=(refreshInterval:(display:Off,pause:!f,section:0,value:0),time:(from:'2017-05-17T13:08:57-0600',mode:absolute,to:'2017-05-17T16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/stypes="*4045*201705172*" /stext=" 21:.+((SYSTEM_STATE.+slice.+state.+changed )|(ment ac)|(multiple cpu faults)|(system.+state.+changed )|(\[timeout)|(PRM\|1\|D)|(kpr)|(kdp)|(train st.+moving)|(\|lc)|(penalty))"</v>
      </c>
      <c r="U23" s="9" t="str">
        <f>MID(B23,13,4)</f>
        <v>4045</v>
      </c>
      <c r="V23" s="31">
        <f>A23-utc_offset/24</f>
        <v>42872.878668981481</v>
      </c>
      <c r="W23" s="45" t="str">
        <f>IFERROR(IF(VALUE(LEFT(IF(LEN(C23)=6,"0"&amp;C23,C23),2))&lt;=2,"EC",IF(OR(VALUE(LEFT(IF(LEN(C23)=6,"0"&amp;C23,C23),2))=8,VALUE(LEFT(IF(LEN(C23)=6,"0"&amp;C23,C23),2))=18),"NW","Other")),"Other")</f>
        <v>EC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{"issue":{"subject":"","project_id":79,"tracker_id":40,"status_id":1,"priority_id":2,"assigned_to_id":23,"start_date":"2017-05-17","description":"","custom_fields":[{"id":1,"name":"Subdivision","value":"EC"},{"id":4,"name":"Milepost","value":"0.0001"},{"id":17,"name":"Train ID","value":"180-17"},{"id":16,"name":"Locomotive ID","value":"4045"},{"id":130,"name":"Impact","value":""},{"id":150,"name":"Time of Event (Mountain Time)","value":"15:05:17"},{"id":151,"name":"Denver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-hrE -A400 ""Enforcement Action"" "&amp;"/cygdrive/c/Users/stu/AppData/Local/Temp/OnboardLogs"&amp;"/RTDC"&amp;U23&amp;"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/cygdrive/c/Users/stu/AppData/Local/Temp/OnboardLogs/RTDC4045 --include="*4045*201705172*"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"%USERPROFILE%\AppData\Local\Temp\OnboardLogs"\RTDC4045\*4045*201705172* &gt;&gt; 2017-05-17-SliceDisagreementCheck.txt</v>
      </c>
      <c r="AE23" s="148" t="str">
        <f t="shared" si="1"/>
        <v>start /low /b %USERPROFILE%\Documents\GitHub\eaglep3\Utilities\DownloadLogsFromS3.py --loco 4045 --day 2017-05-17</v>
      </c>
      <c r="AF23" s="1"/>
    </row>
    <row r="24" spans="1:32" x14ac:dyDescent="0.25">
      <c r="A24" s="31">
        <v>42872.60864583333</v>
      </c>
      <c r="B24" s="30" t="s">
        <v>462</v>
      </c>
      <c r="C24" s="30" t="s">
        <v>594</v>
      </c>
      <c r="D24" s="30" t="s">
        <v>49</v>
      </c>
      <c r="E24" s="30" t="s">
        <v>185</v>
      </c>
      <c r="F24" s="42">
        <v>0</v>
      </c>
      <c r="G24" s="42">
        <v>37</v>
      </c>
      <c r="H24" s="42">
        <v>233364</v>
      </c>
      <c r="I24" s="42">
        <v>233420</v>
      </c>
      <c r="J24" s="30" t="s">
        <v>186</v>
      </c>
      <c r="K24" s="42">
        <v>233491</v>
      </c>
      <c r="L24" s="134" t="s">
        <v>50</v>
      </c>
      <c r="M24" s="135">
        <f>CONVERT((I24-K24)/10000,"mi","ft")*IF(L24="Increasing Mileposts (1)",-1,1)</f>
        <v>37.488</v>
      </c>
      <c r="N24" s="136" t="str">
        <f>VLOOKUP(C24,'Trips&amp;Operators'!$C$1:$G$99999,5,FALSE)</f>
        <v>LEVIN SCOTT</v>
      </c>
      <c r="O24" s="207" t="s">
        <v>184</v>
      </c>
      <c r="P24" s="137"/>
      <c r="Q24" s="30"/>
      <c r="R24" s="84" t="str">
        <f>IF(VLOOKUP(C24,'Train Runs'!$A$13:$AE$9928,1,1)=C24,VLOOKUP(C24,'Train Runs'!$A$13:$AE$9928,31,1),NA())</f>
        <v>aws s3 cp s3://rtdc.mdm.uploadarchive.raw/RTDC4030/ "%USERPROFILE%\AppData\Local\Temp\OnboardLogs"\RTDC4030\2017-05-17 --exclude "*" --recursive --include "*20170517*" &amp; "%USERPROFILE%\Documents\GitHub\mrs-test-scripts\Headless Mode &amp; Sideloading\WalkAndUnGZ.bat" "%USERPROFILE%\AppData\Local\Temp\OnboardLogs"\RTDC4030\2017-05-17 &amp; 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</v>
      </c>
      <c r="S24" s="87" t="str">
        <f>VLOOKUP(C24,'Train Runs'!$A$13:$AE$9928,22,0)</f>
        <v>https://d0f6bd738d7f1b3e5a7ca70fe4ff75f0.us-east-1.aws.found.io/app/kibana#/discover/Steve-Slow-Train-Analysis-(2080s-and-2083s)?_g=(refreshInterval:(display:Off,pause:!f,section:0,value:0),time:(from:'2017-05-17T12:56:13-0600',mode:absolute,to:'2017-05-17T15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/stypes="*4030*201705172*" /stext=" 20:.+((SYSTEM_STATE.+slice.+state.+changed )|(ment ac)|(multiple cpu faults)|(system.+state.+changed )|(\[timeout)|(PRM\|1\|D)|(kpr)|(kdp)|(train st.+moving)|(\|lc)|(penalty))"</v>
      </c>
      <c r="U24" s="9" t="str">
        <f>MID(B24,13,4)</f>
        <v>4030</v>
      </c>
      <c r="V24" s="31">
        <f>A24-utc_offset/24</f>
        <v>42872.85864583333</v>
      </c>
      <c r="W24" s="45" t="str">
        <f>IFERROR(IF(VALUE(LEFT(IF(LEN(C24)=6,"0"&amp;C24,C24),2))&lt;=2,"EC",IF(OR(VALUE(LEFT(IF(LEN(C24)=6,"0"&amp;C24,C24),2))=8,VALUE(LEFT(IF(LEN(C24)=6,"0"&amp;C24,C24),2))=18),"NW","Other")),"Other")</f>
        <v>EC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{"issue":{"subject":"","project_id":79,"tracker_id":40,"status_id":1,"priority_id":2,"assigned_to_id":23,"start_date":"2017-05-17","description":"","custom_fields":[{"id":1,"name":"Subdivision","value":"EC"},{"id":4,"name":"Milepost","value":"23.3491"},{"id":17,"name":"Train ID","value":"183-17"},{"id":16,"name":"Locomotive ID","value":"4030"},{"id":130,"name":"Impact","value":""},{"id":150,"name":"Time of Event (Mountain Time)","value":"14:36:27"},{"id":151,"name":"Denver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>"grep -hrE -A400 ""Enforcement Action"" "&amp;"/cygdrive/c/Users/stu/AppData/Local/Temp/OnboardLogs"&amp;"/RTDC"&amp;U24&amp;"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/cygdrive/c/Users/stu/AppData/Local/Temp/OnboardLogs/RTDC4030 --include="*4030*201705172*"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"%USERPROFILE%\AppData\Local\Temp\OnboardLogs"\RTDC4030\*4030*201705172* &gt;&gt; 2017-05-17-SliceDisagreementCheck.txt</v>
      </c>
      <c r="AE24" s="148" t="str">
        <f t="shared" si="1"/>
        <v>start /low /b %USERPROFILE%\Documents\GitHub\eaglep3\Utilities\DownloadLogsFromS3.py --loco 4030 --day 2017-05-17</v>
      </c>
      <c r="AF24" s="1"/>
    </row>
    <row r="25" spans="1:32" x14ac:dyDescent="0.25">
      <c r="A25" s="31">
        <v>42872.681168981479</v>
      </c>
      <c r="B25" s="30" t="s">
        <v>462</v>
      </c>
      <c r="C25" s="30" t="s">
        <v>597</v>
      </c>
      <c r="D25" s="30" t="s">
        <v>49</v>
      </c>
      <c r="E25" s="30" t="s">
        <v>185</v>
      </c>
      <c r="F25" s="42">
        <v>0</v>
      </c>
      <c r="G25" s="42">
        <v>30</v>
      </c>
      <c r="H25" s="42">
        <v>233423</v>
      </c>
      <c r="I25" s="42">
        <v>233432</v>
      </c>
      <c r="J25" s="30" t="s">
        <v>186</v>
      </c>
      <c r="K25" s="42">
        <v>233491</v>
      </c>
      <c r="L25" s="134" t="s">
        <v>50</v>
      </c>
      <c r="M25" s="135">
        <f>CONVERT((I25-K25)/10000,"mi","ft")*IF(L25="Increasing Mileposts (1)",-1,1)</f>
        <v>31.152000000000001</v>
      </c>
      <c r="N25" s="136" t="str">
        <f>VLOOKUP(C25,'Trips&amp;Operators'!$C$1:$G$99999,5,FALSE)</f>
        <v>LEVIN SCOTT</v>
      </c>
      <c r="O25" s="207" t="s">
        <v>184</v>
      </c>
      <c r="P25" s="137"/>
      <c r="Q25" s="30"/>
      <c r="R25" s="84" t="str">
        <f>IF(VLOOKUP(C25,'Train Runs'!$A$13:$AE$9928,1,1)=C25,VLOOKUP(C25,'Train Runs'!$A$13:$AE$9928,31,1),NA())</f>
        <v>aws s3 cp s3://rtdc.mdm.uploadarchive.raw/RTDC4030/ "%USERPROFILE%\AppData\Local\Temp\OnboardLogs"\RTDC4030\2017-05-17 --exclude "*" --recursive --include "*20170517*" &amp; "%USERPROFILE%\Documents\GitHub\mrs-test-scripts\Headless Mode &amp; Sideloading\WalkAndUnGZ.bat" "%USERPROFILE%\AppData\Local\Temp\OnboardLogs"\RTDC4030\2017-05-17 &amp; aws s3 cp s3://rtdc.mdm.uploadarchive.raw/RTDC4030/ "%USERPROFILE%\AppData\Local\Temp\OnboardLogs"\RTDC4030\2017-05-18 --exclude "*" --recursive --include "*20170518*" &amp; "%USERPROFILE%\Documents\GitHub\mrs-test-scripts\Headless Mode &amp; Sideloading\WalkAndUnGZ.bat" "%USERPROFILE%\AppData\Local\Temp\OnboardLogs"\RTDC4030\2017-05-18</v>
      </c>
      <c r="S25" s="87" t="str">
        <f>VLOOKUP(C25,'Train Runs'!$A$13:$AE$9928,22,0)</f>
        <v>https://d0f6bd738d7f1b3e5a7ca70fe4ff75f0.us-east-1.aws.found.io/app/kibana#/discover/Steve-Slow-Train-Analysis-(2080s-and-2083s)?_g=(refreshInterval:(display:Off,pause:!f,section:0,value:0),time:(from:'2017-05-17T14:38:06-0600',mode:absolute,to:'2017-05-17T17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/stypes="*4030*201705172*" /stext=" 22:.+((SYSTEM_STATE.+slice.+state.+changed )|(ment ac)|(multiple cpu faults)|(system.+state.+changed )|(\[timeout)|(PRM\|1\|D)|(kpr)|(kdp)|(train st.+moving)|(\|lc)|(penalty))"</v>
      </c>
      <c r="U25" s="9" t="str">
        <f>MID(B25,13,4)</f>
        <v>4030</v>
      </c>
      <c r="V25" s="31">
        <f>A25-utc_offset/24</f>
        <v>42872.931168981479</v>
      </c>
      <c r="W25" s="45" t="str">
        <f>IFERROR(IF(VALUE(LEFT(IF(LEN(C25)=6,"0"&amp;C25,C25),2))&lt;=2,"EC",IF(OR(VALUE(LEFT(IF(LEN(C25)=6,"0"&amp;C25,C25),2))=8,VALUE(LEFT(IF(LEN(C25)=6,"0"&amp;C25,C25),2))=18),"NW","Other")),"Other")</f>
        <v>EC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{"issue":{"subject":"","project_id":79,"tracker_id":40,"status_id":1,"priority_id":2,"assigned_to_id":23,"start_date":"2017-05-17","description":"","custom_fields":[{"id":1,"name":"Subdivision","value":"EC"},{"id":4,"name":"Milepost","value":"23.3491"},{"id":17,"name":"Train ID","value":"197-17"},{"id":16,"name":"Locomotive ID","value":"4030"},{"id":130,"name":"Impact","value":""},{"id":150,"name":"Time of Event (Mountain Time)","value":"16:20:53"},{"id":151,"name":"Denver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-hrE -A400 ""Enforcement Action"" "&amp;"/cygdrive/c/Users/stu/AppData/Local/Temp/OnboardLogs"&amp;"/RTDC"&amp;U25&amp;"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/cygdrive/c/Users/stu/AppData/Local/Temp/OnboardLogs/RTDC4030 --include="*4030*201705172*"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"%USERPROFILE%\AppData\Local\Temp\OnboardLogs"\RTDC4030\*4030*201705172* &gt;&gt; 2017-05-17-SliceDisagreementCheck.txt</v>
      </c>
      <c r="AE25" s="148" t="str">
        <f t="shared" si="1"/>
        <v>start /low /b %USERPROFILE%\Documents\GitHub\eaglep3\Utilities\DownloadLogsFromS3.py --loco 4030 --day 2017-05-17</v>
      </c>
      <c r="AF25" s="1"/>
    </row>
    <row r="26" spans="1:32" x14ac:dyDescent="0.25">
      <c r="A26" s="31">
        <v>42872.717407407406</v>
      </c>
      <c r="B26" s="30" t="s">
        <v>598</v>
      </c>
      <c r="C26" s="30" t="s">
        <v>599</v>
      </c>
      <c r="D26" s="30" t="s">
        <v>49</v>
      </c>
      <c r="E26" s="30" t="s">
        <v>185</v>
      </c>
      <c r="F26" s="42">
        <v>0</v>
      </c>
      <c r="G26" s="42">
        <v>146</v>
      </c>
      <c r="H26" s="42">
        <v>232980</v>
      </c>
      <c r="I26" s="42">
        <v>233201</v>
      </c>
      <c r="J26" s="30" t="s">
        <v>186</v>
      </c>
      <c r="K26" s="42">
        <v>233491</v>
      </c>
      <c r="L26" s="134" t="s">
        <v>50</v>
      </c>
      <c r="M26" s="135">
        <f>CONVERT((I26-K26)/10000,"mi","ft")*IF(L26="Increasing Mileposts (1)",-1,1)</f>
        <v>153.12</v>
      </c>
      <c r="N26" s="136" t="str">
        <f>VLOOKUP(C26,'Trips&amp;Operators'!$C$1:$G$99999,5,FALSE)</f>
        <v>DAVIS MICHAEL</v>
      </c>
      <c r="O26" s="207" t="s">
        <v>184</v>
      </c>
      <c r="P26" s="137"/>
      <c r="Q26" s="30"/>
      <c r="R26" s="84" t="str">
        <f>IF(VLOOKUP(C26,'Train Runs'!$A$13:$AE$9928,1,1)=C26,VLOOKUP(C26,'Train Runs'!$A$13:$AE$9928,31,1),NA())</f>
        <v>aws s3 cp s3://rtdc.mdm.uploadarchive.raw/RTDC4024/ "%USERPROFILE%\AppData\Local\Temp\OnboardLogs"\RTDC4024\2017-05-17 --exclude "*" --recursive --include "*20170517*" &amp; "%USERPROFILE%\Documents\GitHub\mrs-test-scripts\Headless Mode &amp; Sideloading\WalkAndUnGZ.bat" "%USERPROFILE%\AppData\Local\Temp\OnboardLogs"\RTDC4024\2017-05-17 &amp; aws s3 cp s3://rtdc.mdm.uploadarchive.raw/RTDC4024/ "%USERPROFILE%\AppData\Local\Temp\OnboardLogs"\RTDC4024\2017-05-18 --exclude "*" --recursive --include "*20170518*" &amp; "%USERPROFILE%\Documents\GitHub\mrs-test-scripts\Headless Mode &amp; Sideloading\WalkAndUnGZ.bat" "%USERPROFILE%\AppData\Local\Temp\OnboardLogs"\RTDC4024\2017-05-18</v>
      </c>
      <c r="S26" s="87" t="str">
        <f>VLOOKUP(C26,'Train Runs'!$A$13:$AE$9928,22,0)</f>
        <v>https://d0f6bd738d7f1b3e5a7ca70fe4ff75f0.us-east-1.aws.found.io/app/kibana#/discover/Steve-Slow-Train-Analysis-(2080s-and-2083s)?_g=(refreshInterval:(display:Off,pause:!f,section:0,value:0),time:(from:'2017-05-17T15:25:43-0600',mode:absolute,to:'2017-05-17T18:13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/stypes="*4024*201705172*" /stext=" 23:.+((SYSTEM_STATE.+slice.+state.+changed )|(ment ac)|(multiple cpu faults)|(system.+state.+changed )|(\[timeout)|(PRM\|1\|D)|(kpr)|(kdp)|(train st.+moving)|(\|lc)|(penalty))"</v>
      </c>
      <c r="U26" s="9" t="str">
        <f>MID(B26,13,4)</f>
        <v>4024</v>
      </c>
      <c r="V26" s="31">
        <f>A26-utc_offset/24</f>
        <v>42872.967407407406</v>
      </c>
      <c r="W26" s="45" t="str">
        <f>IFERROR(IF(VALUE(LEFT(IF(LEN(C26)=6,"0"&amp;C26,C26),2))&lt;=2,"EC",IF(OR(VALUE(LEFT(IF(LEN(C26)=6,"0"&amp;C26,C26),2))=8,VALUE(LEFT(IF(LEN(C26)=6,"0"&amp;C26,C26),2))=18),"NW","Other")),"Other")</f>
        <v>EC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{"issue":{"subject":"","project_id":79,"tracker_id":40,"status_id":1,"priority_id":2,"assigned_to_id":23,"start_date":"2017-05-17","description":"","custom_fields":[{"id":1,"name":"Subdivision","value":"EC"},{"id":4,"name":"Milepost","value":"23.3491"},{"id":17,"name":"Train ID","value":"203-17"},{"id":16,"name":"Locomotive ID","value":"4024"},{"id":130,"name":"Impact","value":""},{"id":150,"name":"Time of Event (Mountain Time)","value":"17:13:04"},{"id":151,"name":"Denver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-hrE -A400 ""Enforcement Action"" "&amp;"/cygdrive/c/Users/stu/AppData/Local/Temp/OnboardLogs"&amp;"/RTDC"&amp;U26&amp;"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/cygdrive/c/Users/stu/AppData/Local/Temp/OnboardLogs/RTDC4024 --include="*4024*201705172*"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"%USERPROFILE%\AppData\Local\Temp\OnboardLogs"\RTDC4024\*4024*201705172* &gt;&gt; 2017-05-17-SliceDisagreementCheck.txt</v>
      </c>
      <c r="AE26" s="148" t="str">
        <f t="shared" si="1"/>
        <v>start /low /b %USERPROFILE%\Documents\GitHub\eaglep3\Utilities\DownloadLogsFromS3.py --loco 4024 --day 2017-05-17</v>
      </c>
      <c r="AF26" s="1"/>
    </row>
    <row r="27" spans="1:32" x14ac:dyDescent="0.25">
      <c r="A27" s="31">
        <v>42872.744675925926</v>
      </c>
      <c r="B27" s="30" t="s">
        <v>423</v>
      </c>
      <c r="C27" s="30" t="s">
        <v>604</v>
      </c>
      <c r="D27" s="30" t="s">
        <v>49</v>
      </c>
      <c r="E27" s="30" t="s">
        <v>185</v>
      </c>
      <c r="F27" s="42">
        <v>0</v>
      </c>
      <c r="G27" s="42">
        <v>31</v>
      </c>
      <c r="H27" s="42">
        <v>233372</v>
      </c>
      <c r="I27" s="42">
        <v>233408</v>
      </c>
      <c r="J27" s="30" t="s">
        <v>186</v>
      </c>
      <c r="K27" s="42">
        <v>233491</v>
      </c>
      <c r="L27" s="134" t="s">
        <v>50</v>
      </c>
      <c r="M27" s="135">
        <f>CONVERT((I27-K27)/10000,"mi","ft")*IF(L27="Increasing Mileposts (1)",-1,1)</f>
        <v>43.823999999999998</v>
      </c>
      <c r="N27" s="136" t="str">
        <f>VLOOKUP(C27,'Trips&amp;Operators'!$C$1:$G$99999,5,FALSE)</f>
        <v>SWANSON BRYCE</v>
      </c>
      <c r="O27" s="207" t="s">
        <v>184</v>
      </c>
      <c r="P27" s="137"/>
      <c r="Q27" s="30"/>
      <c r="R27" s="84" t="str">
        <f>IF(VLOOKUP(C27,'Train Runs'!$A$13:$AE$9928,1,1)=C27,VLOOKUP(C27,'Train Runs'!$A$13:$AE$9928,31,1),NA())</f>
        <v>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 &amp; aws s3 cp s3://rtdc.mdm.uploadarchive.raw/RTDC4016/ "%USERPROFILE%\AppData\Local\Temp\OnboardLogs"\RTDC4016\2017-05-18 --exclude "*" --recursive --include "*20170518*" &amp; "%USERPROFILE%\Documents\GitHub\mrs-test-scripts\Headless Mode &amp; Sideloading\WalkAndUnGZ.bat" "%USERPROFILE%\AppData\Local\Temp\OnboardLogs"\RTDC4016\2017-05-18</v>
      </c>
      <c r="S27" s="87" t="str">
        <f>VLOOKUP(C27,'Train Runs'!$A$13:$AE$9928,22,0)</f>
        <v>https://d0f6bd738d7f1b3e5a7ca70fe4ff75f0.us-east-1.aws.found.io/app/kibana#/discover/Steve-Slow-Train-Analysis-(2080s-and-2083s)?_g=(refreshInterval:(display:Off,pause:!f,section:0,value:0),time:(from:'2017-05-17T16:05:49-0600',mode:absolute,to:'2017-05-17T18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/stypes="*4016*201705172*" /stext=" 23:.+((SYSTEM_STATE.+slice.+state.+changed )|(ment ac)|(multiple cpu faults)|(system.+state.+changed )|(\[timeout)|(PRM\|1\|D)|(kpr)|(kdp)|(train st.+moving)|(\|lc)|(penalty))"</v>
      </c>
      <c r="U27" s="9" t="str">
        <f>MID(B27,13,4)</f>
        <v>4016</v>
      </c>
      <c r="V27" s="31">
        <f>A27-utc_offset/24</f>
        <v>42872.994675925926</v>
      </c>
      <c r="W27" s="45" t="str">
        <f>IFERROR(IF(VALUE(LEFT(IF(LEN(C27)=6,"0"&amp;C27,C27),2))&lt;=2,"EC",IF(OR(VALUE(LEFT(IF(LEN(C27)=6,"0"&amp;C27,C27),2))=8,VALUE(LEFT(IF(LEN(C27)=6,"0"&amp;C27,C27),2))=18),"NW","Other")),"Other")</f>
        <v>EC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{"issue":{"subject":"","project_id":79,"tracker_id":40,"status_id":1,"priority_id":2,"assigned_to_id":23,"start_date":"2017-05-17","description":"","custom_fields":[{"id":1,"name":"Subdivision","value":"EC"},{"id":4,"name":"Milepost","value":"23.3491"},{"id":17,"name":"Train ID","value":"209-17"},{"id":16,"name":"Locomotive ID","value":"4016"},{"id":130,"name":"Impact","value":""},{"id":150,"name":"Time of Event (Mountain Time)","value":"17:52:20"},{"id":151,"name":"Denver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>"grep -hrE -A400 ""Enforcement Action"" "&amp;"/cygdrive/c/Users/stu/AppData/Local/Temp/OnboardLogs"&amp;"/RTDC"&amp;U27&amp;"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/cygdrive/c/Users/stu/AppData/Local/Temp/OnboardLogs/RTDC4016 --include="*4016*201705172*"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"%USERPROFILE%\AppData\Local\Temp\OnboardLogs"\RTDC4016\*4016*201705172* &gt;&gt; 2017-05-17-SliceDisagreementCheck.txt</v>
      </c>
      <c r="AE27" s="148" t="str">
        <f t="shared" si="1"/>
        <v>start /low /b %USERPROFILE%\Documents\GitHub\eaglep3\Utilities\DownloadLogsFromS3.py --loco 4016 --day 2017-05-17</v>
      </c>
      <c r="AF27" s="1"/>
    </row>
    <row r="28" spans="1:32" x14ac:dyDescent="0.25">
      <c r="A28" s="31">
        <v>42873.004641203705</v>
      </c>
      <c r="B28" s="30" t="s">
        <v>368</v>
      </c>
      <c r="C28" s="30" t="s">
        <v>611</v>
      </c>
      <c r="D28" s="30" t="s">
        <v>49</v>
      </c>
      <c r="E28" s="30" t="s">
        <v>185</v>
      </c>
      <c r="F28" s="42">
        <v>0</v>
      </c>
      <c r="G28" s="42">
        <v>51</v>
      </c>
      <c r="H28" s="42">
        <v>233310</v>
      </c>
      <c r="I28" s="42">
        <v>233346</v>
      </c>
      <c r="J28" s="30" t="s">
        <v>186</v>
      </c>
      <c r="K28" s="42">
        <v>233491</v>
      </c>
      <c r="L28" s="134" t="s">
        <v>50</v>
      </c>
      <c r="M28" s="135">
        <f>CONVERT((I28-K28)/10000,"mi","ft")*IF(L28="Increasing Mileposts (1)",-1,1)</f>
        <v>76.56</v>
      </c>
      <c r="N28" s="136" t="str">
        <f>VLOOKUP(C28,'Trips&amp;Operators'!$C$1:$G$99999,5,FALSE)</f>
        <v>BIRENBAUM THOMAS</v>
      </c>
      <c r="O28" s="207" t="s">
        <v>184</v>
      </c>
      <c r="P28" s="137"/>
      <c r="Q28" s="30"/>
      <c r="R28" s="84" t="str">
        <f>IF(VLOOKUP(C28,'Train Runs'!$A$13:$AE$9928,1,1)=C28,VLOOKUP(C28,'Train Runs'!$A$13:$AE$9928,31,1),NA())</f>
        <v>aws s3 cp s3://rtdc.mdm.uploadarchive.raw/RTDC4042/ "%USERPROFILE%\AppData\Local\Temp\OnboardLogs"\RTDC4042\2017-05-17 --exclude "*" --recursive --include "*20170517*" &amp; "%USERPROFILE%\Documents\GitHub\mrs-test-scripts\Headless Mode &amp; Sideloading\WalkAndUnGZ.bat" "%USERPROFILE%\AppData\Local\Temp\OnboardLogs"\RTDC4042\2017-05-17 &amp; aws s3 cp s3://rtdc.mdm.uploadarchive.raw/RTDC4042/ "%USERPROFILE%\AppData\Local\Temp\OnboardLogs"\RTDC4042\2017-05-18 --exclude "*" --recursive --include "*20170518*" &amp; "%USERPROFILE%\Documents\GitHub\mrs-test-scripts\Headless Mode &amp; Sideloading\WalkAndUnGZ.bat" "%USERPROFILE%\AppData\Local\Temp\OnboardLogs"\RTDC4042\2017-05-18</v>
      </c>
      <c r="S28" s="87" t="str">
        <f>VLOOKUP(C28,'Train Runs'!$A$13:$AE$9928,22,0)</f>
        <v>https://d0f6bd738d7f1b3e5a7ca70fe4ff75f0.us-east-1.aws.found.io/app/kibana#/discover/Steve-Slow-Train-Analysis-(2080s-and-2083s)?_g=(refreshInterval:(display:Off,pause:!f,section:0,value:0),time:(from:'2017-05-17T22:27:07-0600',mode:absolute,to:'2017-05-18T01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/stypes="*4042*201705180*" /stext=" 06:.+((SYSTEM_STATE.+slice.+state.+changed )|(ment ac)|(multiple cpu faults)|(system.+state.+changed )|(\[timeout)|(PRM\|1\|D)|(kpr)|(kdp)|(train st.+moving)|(\|lc)|(penalty))"</v>
      </c>
      <c r="U28" s="9" t="str">
        <f>MID(B28,13,4)</f>
        <v>4042</v>
      </c>
      <c r="V28" s="31">
        <f>A28-utc_offset/24</f>
        <v>42873.254641203705</v>
      </c>
      <c r="W28" s="45" t="str">
        <f>IFERROR(IF(VALUE(LEFT(IF(LEN(C28)=6,"0"&amp;C28,C28),2))&lt;=2,"EC",IF(OR(VALUE(LEFT(IF(LEN(C28)=6,"0"&amp;C28,C28),2))=8,VALUE(LEFT(IF(LEN(C28)=6,"0"&amp;C28,C28),2))=18),"NW","Other")),"Other")</f>
        <v>EC</v>
      </c>
      <c r="X28" s="45" t="str">
        <f>IF(AND(E28="TRACK WARRANT AUTHORITY",G28&lt;10),"OMIT","KEEP")</f>
        <v>KEEP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{"issue":{"subject":"","project_id":79,"tracker_id":40,"status_id":1,"priority_id":2,"assigned_to_id":23,"start_date":"2017-05-18","description":"","custom_fields":[{"id":1,"name":"Subdivision","value":"EC"},{"id":4,"name":"Milepost","value":"23.3491"},{"id":17,"name":"Train ID","value":"239-17"},{"id":16,"name":"Locomotive ID","value":"4042"},{"id":130,"name":"Impact","value":""},{"id":150,"name":"Time of Event (Mountain Time)","value":"00:06:41"},{"id":151,"name":"Denver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-hrE -A400 ""Enforcement Action"" "&amp;"/cygdrive/c/Users/stu/AppData/Local/Temp/OnboardLogs"&amp;"/RTDC"&amp;U28&amp;"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/cygdrive/c/Users/stu/AppData/Local/Temp/OnboardLogs/RTDC4042 --include="*4042*201705180*"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"%USERPROFILE%\AppData\Local\Temp\OnboardLogs"\RTDC4042\*4042*201705180* &gt;&gt; 2017-05-17-SliceDisagreementCheck.txt</v>
      </c>
      <c r="AE28" s="148" t="str">
        <f t="shared" si="1"/>
        <v>start /low /b %USERPROFILE%\Documents\GitHub\eaglep3\Utilities\DownloadLogsFromS3.py --loco 4042 --day 2017-05-18</v>
      </c>
      <c r="AF28" s="1"/>
    </row>
    <row r="29" spans="1:32" x14ac:dyDescent="0.25">
      <c r="A29" s="31">
        <v>42872.293113425927</v>
      </c>
      <c r="B29" s="30" t="s">
        <v>584</v>
      </c>
      <c r="C29" s="30" t="s">
        <v>585</v>
      </c>
      <c r="D29" s="30" t="s">
        <v>49</v>
      </c>
      <c r="E29" s="30" t="s">
        <v>204</v>
      </c>
      <c r="F29" s="42">
        <v>150</v>
      </c>
      <c r="G29" s="42">
        <v>200</v>
      </c>
      <c r="H29" s="42">
        <v>56524</v>
      </c>
      <c r="I29" s="42">
        <v>56813</v>
      </c>
      <c r="J29" s="30" t="s">
        <v>205</v>
      </c>
      <c r="K29" s="42">
        <v>57008</v>
      </c>
      <c r="L29" s="134" t="s">
        <v>50</v>
      </c>
      <c r="M29" s="135">
        <f>CONVERT((I29-K29)/10000,"mi","ft")*IF(L29="Increasing Mileposts (1)",-1,1)</f>
        <v>102.96</v>
      </c>
      <c r="N29" s="136" t="str">
        <f>VLOOKUP(C29,'Trips&amp;Operators'!$C$1:$G$99999,5,FALSE)</f>
        <v>YORK EDGAR</v>
      </c>
      <c r="O29" s="207" t="s">
        <v>184</v>
      </c>
      <c r="P29" s="137"/>
      <c r="Q29" s="30"/>
      <c r="R29" s="84" t="str">
        <f>IF(VLOOKUP(C29,'Train Runs'!$A$13:$AE$9928,1,1)=C29,VLOOKUP(C29,'Train Runs'!$A$13:$AE$9928,31,1),NA())</f>
        <v>aws s3 cp s3://rtdc.mdm.uploadarchive.raw/RTDC4056/ "%USERPROFILE%\AppData\Local\Temp\OnboardLogs"\RTDC4056\2017-05-17 --exclude "*" --recursive --include "*20170517*" &amp; "%USERPROFILE%\Documents\GitHub\mrs-test-scripts\Headless Mode &amp; Sideloading\WalkAndUnGZ.bat" "%USERPROFILE%\AppData\Local\Temp\OnboardLogs"\RTDC4056\2017-05-17 &amp; aws s3 cp s3://rtdc.mdm.uploadarchive.raw/RTDC4056/ "%USERPROFILE%\AppData\Local\Temp\OnboardLogs"\RTDC4056\2017-05-18 --exclude "*" --recursive --include "*20170518*" &amp; "%USERPROFILE%\Documents\GitHub\mrs-test-scripts\Headless Mode &amp; Sideloading\WalkAndUnGZ.bat" "%USERPROFILE%\AppData\Local\Temp\OnboardLogs"\RTDC4056\2017-05-18</v>
      </c>
      <c r="S29" s="87" t="str">
        <f>VLOOKUP(C29,'Train Runs'!$A$13:$AE$9928,22,0)</f>
        <v>https://d0f6bd738d7f1b3e5a7ca70fe4ff75f0.us-east-1.aws.found.io/app/kibana#/discover/Steve-Slow-Train-Analysis-(2080s-and-2083s)?_g=(refreshInterval:(display:Off,pause:!f,section:0,value:0),time:(from:'2017-05-17T05:26:24-0600',mode:absolute,to:'2017-05-17T08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/stypes="*4056*201705171*" /stext=" 13:.+((SYSTEM_STATE.+slice.+state.+changed )|(ment ac)|(multiple cpu faults)|(system.+state.+changed )|(\[timeout)|(PRM\|1\|D)|(kpr)|(kdp)|(train st.+moving)|(\|lc)|(penalty))"</v>
      </c>
      <c r="U29" s="9" t="str">
        <f>MID(B29,13,4)</f>
        <v>4056</v>
      </c>
      <c r="V29" s="31">
        <f>A29-utc_offset/24</f>
        <v>42872.543113425927</v>
      </c>
      <c r="W29" s="45" t="str">
        <f>IFERROR(IF(VALUE(LEFT(IF(LEN(C29)=6,"0"&amp;C29,C29),2))&lt;=2,"EC",IF(OR(VALUE(LEFT(IF(LEN(C29)=6,"0"&amp;C29,C29),2))=8,VALUE(LEFT(IF(LEN(C29)=6,"0"&amp;C29,C29),2))=18),"NW","Other")),"Other")</f>
        <v>NW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{"issue":{"subject":"","project_id":79,"tracker_id":40,"status_id":1,"priority_id":2,"assigned_to_id":23,"start_date":"2017-05-17","description":"","custom_fields":[{"id":1,"name":"Subdivision","value":"NW"},{"id":4,"name":"Milepost","value":"5.7008"},{"id":17,"name":"Train ID","value":"805-17"},{"id":16,"name":"Locomotive ID","value":"4056"},{"id":130,"name":"Impact","value":""},{"id":150,"name":"Time of Event (Mountain Time)","value":"07:02:05"},{"id":151,"name":"Denver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-hrE -A400 ""Enforcement Action"" "&amp;"/cygdrive/c/Users/stu/AppData/Local/Temp/OnboardLogs"&amp;"/RTDC"&amp;U29&amp;"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/cygdrive/c/Users/stu/AppData/Local/Temp/OnboardLogs/RTDC4056 --include="*4056*201705171*"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"%USERPROFILE%\AppData\Local\Temp\OnboardLogs"\RTDC4056\*4056*201705171* &gt;&gt; 2017-05-17-SliceDisagreementCheck.txt</v>
      </c>
      <c r="AE29" s="148" t="str">
        <f t="shared" si="1"/>
        <v>start /low /b %USERPROFILE%\Documents\GitHub\eaglep3\Utilities\DownloadLogsFromS3.py --loco 4056 --day 2017-05-17</v>
      </c>
      <c r="AF29" s="1"/>
    </row>
    <row r="30" spans="1:32" x14ac:dyDescent="0.25">
      <c r="A30" s="31">
        <v>42872.791666666664</v>
      </c>
      <c r="B30" s="30" t="s">
        <v>496</v>
      </c>
      <c r="C30" s="30" t="s">
        <v>609</v>
      </c>
      <c r="D30" s="30" t="s">
        <v>49</v>
      </c>
      <c r="E30" s="30" t="s">
        <v>372</v>
      </c>
      <c r="F30" s="42">
        <v>0</v>
      </c>
      <c r="G30" s="42">
        <v>125</v>
      </c>
      <c r="H30" s="42">
        <v>4809</v>
      </c>
      <c r="I30" s="42">
        <v>4588</v>
      </c>
      <c r="J30" s="30" t="s">
        <v>373</v>
      </c>
      <c r="K30" s="42">
        <v>4790</v>
      </c>
      <c r="L30" s="134" t="s">
        <v>51</v>
      </c>
      <c r="M30" s="135">
        <f>CONVERT((I30-K30)/10000,"mi","ft")*IF(L30="Increasing Mileposts (1)",-1,1)</f>
        <v>-106.65600000000001</v>
      </c>
      <c r="N30" s="136" t="str">
        <f>VLOOKUP(C30,'Trips&amp;Operators'!$C$1:$G$99999,5,FALSE)</f>
        <v>FORTUNATO FRANK</v>
      </c>
      <c r="O30" s="207" t="s">
        <v>614</v>
      </c>
      <c r="P30" s="137" t="s">
        <v>1019</v>
      </c>
      <c r="Q30" s="30"/>
      <c r="R30" s="84" t="e">
        <f>IF(VLOOKUP(C30,'Train Runs'!$A$13:$AE$9928,1,1)=C30,VLOOKUP(C30,'Train Runs'!$A$13:$AE$9928,31,1),NA())</f>
        <v>#N/A</v>
      </c>
      <c r="S30" s="87" t="str">
        <f>VLOOKUP(C30,'Train Runs'!$A$13:$AE$9928,22,0)</f>
        <v>https://d0f6bd738d7f1b3e5a7ca70fe4ff75f0.us-east-1.aws.found.io/app/kibana#/discover/Steve-Slow-Train-Analysis-(2080s-and-2083s)?_g=(refreshInterval:(display:Off,pause:!f,section:0,value:0),time:(from:'2017-05-17T17:38:23-0600',mode:absolute,to:'2017-05-17T20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/stypes="*4053*201705180*" /stext=" 01:.+((SYSTEM_STATE.+slice.+state.+changed )|(ment ac)|(multiple cpu faults)|(system.+state.+changed )|(\[timeout)|(PRM\|1\|D)|(kpr)|(kdp)|(train st.+moving)|(\|lc)|(penalty))"</v>
      </c>
      <c r="U30" s="9" t="str">
        <f>MID(B30,13,4)</f>
        <v>4053</v>
      </c>
      <c r="V30" s="31">
        <f>A30-utc_offset/24</f>
        <v>42873.041666666664</v>
      </c>
      <c r="W30" s="45" t="str">
        <f>IFERROR(IF(VALUE(LEFT(IF(LEN(C30)=6,"0"&amp;C30,C30),2))&lt;=2,"EC",IF(OR(VALUE(LEFT(IF(LEN(C30)=6,"0"&amp;C30,C30),2))=8,VALUE(LEFT(IF(LEN(C30)=6,"0"&amp;C30,C30),2))=18),"NW","Other")),"Other")</f>
        <v>NW</v>
      </c>
      <c r="X30" s="45" t="str">
        <f>IF(AND(E30="TRACK WARRANT AUTHORITY",G30&lt;10),"OMIT","KEEP")</f>
        <v>KEEP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{"issue":{"subject":"DUS 28S flipping aspects","project_id":79,"tracker_id":40,"status_id":1,"priority_id":2,"assigned_to_id":23,"start_date":"2017-05-17","description":"Around 19:00, DUS 28S received clear requests from dispatch and flipped back and forth between CLEAR/STOP. Do logs show anything unusual?","custom_fields":[{"id":1,"name":"Subdivision","value":"NW"},{"id":4,"name":"Milepost","value":"0.479"},{"id":17,"name":"Train ID","value":"838-17"},{"id":16,"name":"Locomotive ID","value":"4053"},{"id":130,"name":"Impact","value":"Enforcement"},{"id":150,"name":"Time of Event (Mountain Time)","value":"19:00:00"},{"id":151,"name":"Denver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0" s="162" t="s">
        <v>1020</v>
      </c>
      <c r="AA30" s="47" t="s">
        <v>124</v>
      </c>
      <c r="AB30" s="47" t="s">
        <v>129</v>
      </c>
      <c r="AC30" s="118" t="str">
        <f>"grep -hrE -A400 ""Enforcement Action"" "&amp;"/cygdrive/c/Users/stu/AppData/Local/Temp/OnboardLogs"&amp;"/RTDC"&amp;U30&amp;"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/cygdrive/c/Users/stu/AppData/Local/Temp/OnboardLogs/RTDC4053 --include="*4053*201705180*"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"%USERPROFILE%\AppData\Local\Temp\OnboardLogs"\RTDC4053\*4053*201705180* &gt;&gt; 2017-05-17-SliceDisagreementCheck.txt</v>
      </c>
      <c r="AE30" s="148" t="str">
        <f t="shared" si="1"/>
        <v>start /low /b %USERPROFILE%\Documents\GitHub\eaglep3\Utilities\DownloadLogsFromS3.py --loco 4053 --day 2017-05-18</v>
      </c>
      <c r="AF30" s="1"/>
    </row>
    <row r="31" spans="1:32" x14ac:dyDescent="0.25">
      <c r="A31" s="31">
        <v>42872.749039351853</v>
      </c>
      <c r="B31" s="30" t="s">
        <v>584</v>
      </c>
      <c r="C31" s="30" t="s">
        <v>605</v>
      </c>
      <c r="D31" s="30" t="s">
        <v>49</v>
      </c>
      <c r="E31" s="30" t="s">
        <v>372</v>
      </c>
      <c r="F31" s="42">
        <v>0</v>
      </c>
      <c r="G31" s="42">
        <v>263</v>
      </c>
      <c r="H31" s="42">
        <v>32696</v>
      </c>
      <c r="I31" s="42">
        <v>33448</v>
      </c>
      <c r="J31" s="30" t="s">
        <v>373</v>
      </c>
      <c r="K31" s="42">
        <v>34583</v>
      </c>
      <c r="L31" s="134" t="s">
        <v>50</v>
      </c>
      <c r="M31" s="135">
        <f>CONVERT((I31-K31)/10000,"mi","ft")*IF(L31="Increasing Mileposts (1)",-1,1)</f>
        <v>599.28</v>
      </c>
      <c r="N31" s="136" t="str">
        <f>VLOOKUP(C31,'Trips&amp;Operators'!$C$1:$G$99999,5,FALSE)</f>
        <v>CHANDLER KELVIN</v>
      </c>
      <c r="O31" s="207" t="s">
        <v>184</v>
      </c>
      <c r="P31" s="137" t="s">
        <v>1021</v>
      </c>
      <c r="Q31" s="30"/>
      <c r="R31" s="84" t="e">
        <f>IF(VLOOKUP(C31,'Train Runs'!$A$13:$AE$9928,1,1)=C31,VLOOKUP(C31,'Train Runs'!$A$13:$AE$9928,31,1),NA())</f>
        <v>#N/A</v>
      </c>
      <c r="S31" s="87" t="str">
        <f>VLOOKUP(C31,'Train Runs'!$A$13:$AE$9928,22,0)</f>
        <v>https://d0f6bd738d7f1b3e5a7ca70fe4ff75f0.us-east-1.aws.found.io/app/kibana#/discover/Steve-Slow-Train-Analysis-(2080s-and-2083s)?_g=(refreshInterval:(display:Off,pause:!f,section:0,value:0),time:(from:'2017-05-17T16:46:17-0600',mode:absolute,to:'2017-05-17T19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/stypes="*4056*201705172*" /stext=" 23:.+((SYSTEM_STATE.+slice.+state.+changed )|(ment ac)|(multiple cpu faults)|(system.+state.+changed )|(\[timeout)|(PRM\|1\|D)|(kpr)|(kdp)|(train st.+moving)|(\|lc)|(penalty))"</v>
      </c>
      <c r="U31" s="9" t="str">
        <f>MID(B31,13,4)</f>
        <v>4056</v>
      </c>
      <c r="V31" s="31">
        <f>A31-utc_offset/24</f>
        <v>42872.999039351853</v>
      </c>
      <c r="W31" s="45" t="str">
        <f>IFERROR(IF(VALUE(LEFT(IF(LEN(C31)=6,"0"&amp;C31,C31),2))&lt;=2,"EC",IF(OR(VALUE(LEFT(IF(LEN(C31)=6,"0"&amp;C31,C31),2))=8,VALUE(LEFT(IF(LEN(C31)=6,"0"&amp;C31,C31),2))=18),"NW","Other")),"Other")</f>
        <v>NW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{"issue":{"subject":"RESTRICTING aspect","project_id":79,"tracker_id":40,"status_id":1,"priority_id":2,"assigned_to_id":23,"start_date":"2017-05-17","description":"","custom_fields":[{"id":1,"name":"Subdivision","value":"NW"},{"id":4,"name":"Milepost","value":"3.4583"},{"id":17,"name":"Train ID","value":"835-17"},{"id":16,"name":"Locomotive ID","value":"4056"},{"id":130,"name":"Impact","value":""},{"id":150,"name":"Time of Event (Mountain Time)","value":"17:58:37"},{"id":151,"name":"Denver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-hrE -A400 ""Enforcement Action"" "&amp;"/cygdrive/c/Users/stu/AppData/Local/Temp/OnboardLogs"&amp;"/RTDC"&amp;U31&amp;"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/cygdrive/c/Users/stu/AppData/Local/Temp/OnboardLogs/RTDC4056 --include="*4056*201705172*"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"%USERPROFILE%\AppData\Local\Temp\OnboardLogs"\RTDC4056\*4056*201705172* &gt;&gt; 2017-05-17-SliceDisagreementCheck.txt</v>
      </c>
      <c r="AE31" s="148" t="str">
        <f t="shared" si="1"/>
        <v>start /low /b %USERPROFILE%\Documents\GitHub\eaglep3\Utilities\DownloadLogsFromS3.py --loco 4056 --day 2017-05-17</v>
      </c>
      <c r="AF31" s="1"/>
    </row>
    <row r="32" spans="1:32" x14ac:dyDescent="0.25">
      <c r="A32" s="31">
        <v>42872.727696759262</v>
      </c>
      <c r="B32" s="30" t="s">
        <v>601</v>
      </c>
      <c r="C32" s="30" t="s">
        <v>602</v>
      </c>
      <c r="D32" s="30" t="s">
        <v>49</v>
      </c>
      <c r="E32" s="30" t="s">
        <v>185</v>
      </c>
      <c r="F32" s="42">
        <v>0</v>
      </c>
      <c r="G32" s="42">
        <v>36</v>
      </c>
      <c r="H32" s="42">
        <v>670</v>
      </c>
      <c r="I32" s="42">
        <v>624</v>
      </c>
      <c r="J32" s="30" t="s">
        <v>186</v>
      </c>
      <c r="K32" s="42">
        <v>575</v>
      </c>
      <c r="L32" s="134" t="s">
        <v>51</v>
      </c>
      <c r="M32" s="135">
        <f>CONVERT((I32-K32)/10000,"mi","ft")*IF(L32="Increasing Mileposts (1)",-1,1)</f>
        <v>25.872</v>
      </c>
      <c r="N32" s="136" t="str">
        <f>VLOOKUP(C32,'Trips&amp;Operators'!$C$1:$G$99999,5,FALSE)</f>
        <v>CHANDLER KELVIN</v>
      </c>
      <c r="O32" s="207" t="s">
        <v>184</v>
      </c>
      <c r="P32" s="137"/>
      <c r="Q32" s="30"/>
      <c r="R32" s="84" t="e">
        <f>IF(VLOOKUP(C32,'Train Runs'!$A$13:$AE$9928,1,1)=C32,VLOOKUP(C32,'Train Runs'!$A$13:$AE$9928,31,1),NA())</f>
        <v>#N/A</v>
      </c>
      <c r="S32" s="87" t="str">
        <f>VLOOKUP(C32,'Train Runs'!$A$13:$AE$9928,22,0)</f>
        <v>https://d0f6bd738d7f1b3e5a7ca70fe4ff75f0.us-east-1.aws.found.io/app/kibana#/discover/Steve-Slow-Train-Analysis-(2080s-and-2083s)?_g=(refreshInterval:(display:Off,pause:!f,section:0,value:0),time:(from:'2017-05-17T16:07:46-0600',mode:absolute,to:'2017-05-17T18:27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/stypes="*4055*201705172*" /stext=" 23:.+((SYSTEM_STATE.+slice.+state.+changed )|(ment ac)|(multiple cpu faults)|(system.+state.+changed )|(\[timeout)|(PRM\|1\|D)|(kpr)|(kdp)|(train st.+moving)|(\|lc)|(penalty))"</v>
      </c>
      <c r="U32" s="9" t="str">
        <f>MID(B32,13,4)</f>
        <v>4055</v>
      </c>
      <c r="V32" s="31">
        <f>A32-utc_offset/24</f>
        <v>42872.977696759262</v>
      </c>
      <c r="W32" s="45" t="str">
        <f>IFERROR(IF(VALUE(LEFT(IF(LEN(C32)=6,"0"&amp;C32,C32),2))&lt;=2,"EC",IF(OR(VALUE(LEFT(IF(LEN(C32)=6,"0"&amp;C32,C32),2))=8,VALUE(LEFT(IF(LEN(C32)=6,"0"&amp;C32,C32),2))=18),"NW","Other")),"Other")</f>
        <v>NW</v>
      </c>
      <c r="X32" s="45" t="str">
        <f>IF(AND(E32="TRACK WARRANT AUTHORITY",G32&lt;10),"OMIT","KEEP")</f>
        <v>KEEP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{"issue":{"subject":"","project_id":79,"tracker_id":40,"status_id":1,"priority_id":2,"assigned_to_id":23,"start_date":"2017-05-17","description":"","custom_fields":[{"id":1,"name":"Subdivision","value":"NW"},{"id":4,"name":"Milepost","value":"0.0575"},{"id":17,"name":"Train ID","value":"832-17"},{"id":16,"name":"Locomotive ID","value":"4055"},{"id":130,"name":"Impact","value":""},{"id":150,"name":"Time of Event (Mountain Time)","value":"17:27:53"},{"id":151,"name":"Denver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-hrE -A400 ""Enforcement Action"" "&amp;"/cygdrive/c/Users/stu/AppData/Local/Temp/OnboardLogs"&amp;"/RTDC"&amp;U32&amp;"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/cygdrive/c/Users/stu/AppData/Local/Temp/OnboardLogs/RTDC4055 --include="*4055*201705172*"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"%USERPROFILE%\AppData\Local\Temp\OnboardLogs"\RTDC4055\*4055*201705172* &gt;&gt; 2017-05-17-SliceDisagreementCheck.txt</v>
      </c>
      <c r="AE32" s="148" t="str">
        <f t="shared" si="1"/>
        <v>start /low /b %USERPROFILE%\Documents\GitHub\eaglep3\Utilities\DownloadLogsFromS3.py --loco 4055 --day 2017-05-17</v>
      </c>
      <c r="AF32" s="1"/>
    </row>
    <row r="33" spans="1:32" x14ac:dyDescent="0.25">
      <c r="A33" s="31">
        <v>42872.79855324074</v>
      </c>
      <c r="B33" s="30" t="s">
        <v>584</v>
      </c>
      <c r="C33" s="30" t="s">
        <v>610</v>
      </c>
      <c r="D33" s="30" t="s">
        <v>49</v>
      </c>
      <c r="E33" s="30" t="s">
        <v>185</v>
      </c>
      <c r="F33" s="42">
        <v>0</v>
      </c>
      <c r="G33" s="42">
        <v>17</v>
      </c>
      <c r="H33" s="42">
        <v>59025</v>
      </c>
      <c r="I33" s="42">
        <v>59039</v>
      </c>
      <c r="J33" s="30" t="s">
        <v>186</v>
      </c>
      <c r="K33" s="42">
        <v>59048</v>
      </c>
      <c r="L33" s="134" t="s">
        <v>50</v>
      </c>
      <c r="M33" s="135">
        <f>CONVERT((I33-K33)/10000,"mi","ft")*IF(L33="Increasing Mileposts (1)",-1,1)</f>
        <v>4.7519999999999998</v>
      </c>
      <c r="N33" s="136" t="str">
        <f>VLOOKUP(C33,'Trips&amp;Operators'!$C$1:$G$99999,5,FALSE)</f>
        <v>CHANDLER KELVIN</v>
      </c>
      <c r="O33" s="207" t="s">
        <v>184</v>
      </c>
      <c r="P33" s="137"/>
      <c r="Q33" s="30"/>
      <c r="R33" s="84" t="e">
        <f>IF(VLOOKUP(C33,'Train Runs'!$A$13:$AE$9928,1,1)=C33,VLOOKUP(C33,'Train Runs'!$A$13:$AE$9928,31,1),NA())</f>
        <v>#N/A</v>
      </c>
      <c r="S33" s="87" t="str">
        <f>VLOOKUP(C33,'Train Runs'!$A$13:$AE$9928,22,0)</f>
        <v>https://d0f6bd738d7f1b3e5a7ca70fe4ff75f0.us-east-1.aws.found.io/app/kibana#/discover/Steve-Slow-Train-Analysis-(2080s-and-2083s)?_g=(refreshInterval:(display:Off,pause:!f,section:0,value:0),time:(from:'2017-05-17T17:49:34-0600',mode:absolute,to:'2017-05-17T20:09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/stypes="*4056*201705180*" /stext=" 01:.+((SYSTEM_STATE.+slice.+state.+changed )|(ment ac)|(multiple cpu faults)|(system.+state.+changed )|(\[timeout)|(PRM\|1\|D)|(kpr)|(kdp)|(train st.+moving)|(\|lc)|(penalty))"</v>
      </c>
      <c r="U33" s="9" t="str">
        <f>MID(B33,13,4)</f>
        <v>4056</v>
      </c>
      <c r="V33" s="31">
        <f>A33-utc_offset/24</f>
        <v>42873.04855324074</v>
      </c>
      <c r="W33" s="45" t="str">
        <f>IFERROR(IF(VALUE(LEFT(IF(LEN(C33)=6,"0"&amp;C33,C33),2))&lt;=2,"EC",IF(OR(VALUE(LEFT(IF(LEN(C33)=6,"0"&amp;C33,C33),2))=8,VALUE(LEFT(IF(LEN(C33)=6,"0"&amp;C33,C33),2))=18),"NW","Other")),"Other")</f>
        <v>NW</v>
      </c>
      <c r="X33" s="45" t="str">
        <f>IF(AND(E33="TRACK WARRANT AUTHORITY",G33&lt;10),"OMIT","KEEP")</f>
        <v>KEEP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{"issue":{"subject":"","project_id":79,"tracker_id":40,"status_id":1,"priority_id":2,"assigned_to_id":23,"start_date":"2017-05-17","description":"","custom_fields":[{"id":1,"name":"Subdivision","value":"NW"},{"id":4,"name":"Milepost","value":"5.9048"},{"id":17,"name":"Train ID","value":"839-17"},{"id":16,"name":"Locomotive ID","value":"4056"},{"id":130,"name":"Impact","value":""},{"id":150,"name":"Time of Event (Mountain Time)","value":"19:09:55"},{"id":151,"name":"Denver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-hrE -A400 ""Enforcement Action"" "&amp;"/cygdrive/c/Users/stu/AppData/Local/Temp/OnboardLogs"&amp;"/RTDC"&amp;U33&amp;"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/cygdrive/c/Users/stu/AppData/Local/Temp/OnboardLogs/RTDC4056 --include="*4056*201705180*"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"%USERPROFILE%\AppData\Local\Temp\OnboardLogs"\RTDC4056\*4056*201705180* &gt;&gt; 2017-05-17-SliceDisagreementCheck.txt</v>
      </c>
      <c r="AE33" s="148" t="str">
        <f t="shared" si="1"/>
        <v>start /low /b %USERPROFILE%\Documents\GitHub\eaglep3\Utilities\DownloadLogsFromS3.py --loco 4056 --day 2017-05-18</v>
      </c>
      <c r="AF33" s="1"/>
    </row>
    <row r="34" spans="1:32" x14ac:dyDescent="0.25">
      <c r="A34" s="31">
        <v>42872.724490740744</v>
      </c>
      <c r="B34" s="30" t="s">
        <v>492</v>
      </c>
      <c r="C34" s="30" t="s">
        <v>600</v>
      </c>
      <c r="D34" s="30" t="s">
        <v>49</v>
      </c>
      <c r="E34" s="30" t="s">
        <v>185</v>
      </c>
      <c r="F34" s="42">
        <v>0</v>
      </c>
      <c r="G34" s="42">
        <v>55</v>
      </c>
      <c r="H34" s="42">
        <v>216</v>
      </c>
      <c r="I34" s="42">
        <v>164</v>
      </c>
      <c r="J34" s="30" t="s">
        <v>186</v>
      </c>
      <c r="K34" s="42">
        <v>1</v>
      </c>
      <c r="L34" s="134" t="s">
        <v>51</v>
      </c>
      <c r="M34" s="135">
        <f>CONVERT((I34-K34)/10000,"mi","ft")*IF(L34="Increasing Mileposts (1)",-1,1)</f>
        <v>86.063999999999993</v>
      </c>
      <c r="N34" s="136" t="str">
        <f>VLOOKUP(C34,'Trips&amp;Operators'!$C$1:$G$99999,5,FALSE)</f>
        <v>BIRENBAUM THOMAS</v>
      </c>
      <c r="O34" s="207" t="s">
        <v>184</v>
      </c>
      <c r="P34" s="137"/>
      <c r="Q34" s="30"/>
      <c r="R34" s="84" t="e">
        <f>IF(VLOOKUP(C34,'Train Runs'!$A$13:$AE$9928,1,1)=C34,VLOOKUP(C34,'Train Runs'!$A$13:$AE$9928,31,1),NA())</f>
        <v>#N/A</v>
      </c>
      <c r="S34" s="87" t="str">
        <f>VLOOKUP(C34,'Train Runs'!$A$13:$AE$9928,22,0)</f>
        <v>https://d0f6bd738d7f1b3e5a7ca70fe4ff75f0.us-east-1.aws.found.io/app/kibana#/discover/Steve-Slow-Train-Analysis-(2080s-and-2083s)?_g=(refreshInterval:(display:Off,pause:!f,section:0,value:0),time:(from:'2017-05-17T16:09:14-0600',mode:absolute,to:'2017-05-17T18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/stypes="*4005*201705172*" /stext=" 23:.+((SYSTEM_STATE.+slice.+state.+changed )|(ment ac)|(multiple cpu faults)|(system.+state.+changed )|(\[timeout)|(PRM\|1\|D)|(kpr)|(kdp)|(train st.+moving)|(\|lc)|(penalty))"</v>
      </c>
      <c r="U34" s="9" t="str">
        <f>MID(B34,13,4)</f>
        <v>4005</v>
      </c>
      <c r="V34" s="31">
        <f>A34-utc_offset/24</f>
        <v>42872.974490740744</v>
      </c>
      <c r="W34" s="45" t="str">
        <f>IFERROR(IF(VALUE(LEFT(IF(LEN(C34)=6,"0"&amp;C34,C34),2))&lt;=2,"EC",IF(OR(VALUE(LEFT(IF(LEN(C34)=6,"0"&amp;C34,C34),2))=8,VALUE(LEFT(IF(LEN(C34)=6,"0"&amp;C34,C34),2))=18),"NW","Other")),"Other")</f>
        <v>Other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{"issue":{"subject":"","project_id":79,"tracker_id":40,"status_id":1,"priority_id":2,"assigned_to_id":23,"start_date":"2017-05-17","description":"","custom_fields":[{"id":1,"name":"Subdivision","value":"Other"},{"id":4,"name":"Milepost","value":"0.0001"},{"id":17,"name":"Train ID","value":"70-17"},{"id":16,"name":"Locomotive ID","value":"4005"},{"id":130,"name":"Impact","value":""},{"id":150,"name":"Time of Event (Mountain Time)","value":"17:23:16"},{"id":151,"name":"Denver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-hrE -A400 ""Enforcement Action"" "&amp;"/cygdrive/c/Users/stu/AppData/Local/Temp/OnboardLogs"&amp;"/RTDC"&amp;U34&amp;"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/cygdrive/c/Users/stu/AppData/Local/Temp/OnboardLogs/RTDC4005 --include="*4005*201705172*"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"%USERPROFILE%\AppData\Local\Temp\OnboardLogs"\RTDC4005\*4005*201705172* &gt;&gt; 2017-05-17-SliceDisagreementCheck.txt</v>
      </c>
      <c r="AE34" s="148" t="str">
        <f t="shared" si="1"/>
        <v>start /low /b %USERPROFILE%\Documents\GitHub\eaglep3\Utilities\DownloadLogsFromS3.py --loco 4005 --day 2017-05-17</v>
      </c>
      <c r="AF34" s="1"/>
    </row>
    <row r="35" spans="1:32" x14ac:dyDescent="0.25">
      <c r="A35" s="31">
        <v>42872.725046296298</v>
      </c>
      <c r="B35" s="30" t="s">
        <v>492</v>
      </c>
      <c r="C35" s="30" t="s">
        <v>600</v>
      </c>
      <c r="D35" s="30" t="s">
        <v>49</v>
      </c>
      <c r="E35" s="30" t="s">
        <v>185</v>
      </c>
      <c r="F35" s="42">
        <v>0</v>
      </c>
      <c r="G35" s="42">
        <v>4</v>
      </c>
      <c r="H35" s="42">
        <v>158</v>
      </c>
      <c r="I35" s="42">
        <v>138</v>
      </c>
      <c r="J35" s="30" t="s">
        <v>186</v>
      </c>
      <c r="K35" s="42">
        <v>1</v>
      </c>
      <c r="L35" s="134" t="s">
        <v>51</v>
      </c>
      <c r="M35" s="135">
        <f>CONVERT((I35-K35)/10000,"mi","ft")*IF(L35="Increasing Mileposts (1)",-1,1)</f>
        <v>72.335999999999999</v>
      </c>
      <c r="N35" s="136" t="str">
        <f>VLOOKUP(C35,'Trips&amp;Operators'!$C$1:$G$99999,5,FALSE)</f>
        <v>BIRENBAUM THOMAS</v>
      </c>
      <c r="O35" s="207" t="s">
        <v>184</v>
      </c>
      <c r="P35" s="137"/>
      <c r="Q35" s="30"/>
      <c r="R35" s="84" t="e">
        <f>IF(VLOOKUP(C35,'Train Runs'!$A$13:$AE$9928,1,1)=C35,VLOOKUP(C35,'Train Runs'!$A$13:$AE$9928,31,1),NA())</f>
        <v>#N/A</v>
      </c>
      <c r="S35" s="87" t="str">
        <f>VLOOKUP(C35,'Train Runs'!$A$13:$AE$9928,22,0)</f>
        <v>https://d0f6bd738d7f1b3e5a7ca70fe4ff75f0.us-east-1.aws.found.io/app/kibana#/discover/Steve-Slow-Train-Analysis-(2080s-and-2083s)?_g=(refreshInterval:(display:Off,pause:!f,section:0,value:0),time:(from:'2017-05-17T16:09:14-0600',mode:absolute,to:'2017-05-17T18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5" s="89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/stypes="*4005*201705172*" /stext=" 23:.+((SYSTEM_STATE.+slice.+state.+changed )|(ment ac)|(multiple cpu faults)|(system.+state.+changed )|(\[timeout)|(PRM\|1\|D)|(kpr)|(kdp)|(train st.+moving)|(\|lc)|(penalty))"</v>
      </c>
      <c r="U35" s="9" t="str">
        <f>MID(B35,13,4)</f>
        <v>4005</v>
      </c>
      <c r="V35" s="31">
        <f>A35-utc_offset/24</f>
        <v>42872.975046296298</v>
      </c>
      <c r="W35" s="45" t="str">
        <f>IFERROR(IF(VALUE(LEFT(IF(LEN(C35)=6,"0"&amp;C35,C35),2))&lt;=2,"EC",IF(OR(VALUE(LEFT(IF(LEN(C35)=6,"0"&amp;C35,C35),2))=8,VALUE(LEFT(IF(LEN(C35)=6,"0"&amp;C35,C35),2))=18),"NW","Other")),"Other")</f>
        <v>Other</v>
      </c>
      <c r="X35" s="45" t="str">
        <f>IF(AND(E35="TRACK WARRANT AUTHORITY",G35&lt;10),"OMIT","KEEP")</f>
        <v>OMIT</v>
      </c>
      <c r="Y35" s="9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{"issue":{"subject":"","project_id":79,"tracker_id":40,"status_id":1,"priority_id":2,"assigned_to_id":23,"start_date":"2017-05-17","description":"","custom_fields":[{"id":1,"name":"Subdivision","value":"Other"},{"id":4,"name":"Milepost","value":"0.0001"},{"id":17,"name":"Train ID","value":"70-17"},{"id":16,"name":"Locomotive ID","value":"4005"},{"id":130,"name":"Impact","value":""},{"id":150,"name":"Time of Event (Mountain Time)","value":"17:24:04"},{"id":151,"name":"Denver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>"grep -hrE -A400 ""Enforcement Action"" "&amp;"/cygdrive/c/Users/stu/AppData/Local/Temp/OnboardLogs"&amp;"/RTDC"&amp;U35&amp;"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/cygdrive/c/Users/stu/AppData/Local/Temp/OnboardLogs/RTDC4005 --include="*4005*201705172*"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"%USERPROFILE%\AppData\Local\Temp\OnboardLogs"\RTDC4005\*4005*201705172* &gt;&gt; 2017-05-17-SliceDisagreementCheck.txt</v>
      </c>
      <c r="AE35" s="148" t="str">
        <f t="shared" si="1"/>
        <v>start /low /b %USERPROFILE%\Documents\GitHub\eaglep3\Utilities\DownloadLogsFromS3.py --loco 4005 --day 2017-05-17</v>
      </c>
      <c r="AF35" s="1"/>
    </row>
    <row r="36" spans="1:32" x14ac:dyDescent="0.25">
      <c r="A36" s="31">
        <v>42872.757175925923</v>
      </c>
      <c r="B36" s="30" t="s">
        <v>496</v>
      </c>
      <c r="C36" s="30" t="s">
        <v>606</v>
      </c>
      <c r="D36" s="30" t="s">
        <v>49</v>
      </c>
      <c r="E36" s="30" t="s">
        <v>185</v>
      </c>
      <c r="F36" s="42">
        <v>0</v>
      </c>
      <c r="G36" s="42">
        <v>107</v>
      </c>
      <c r="H36" s="42">
        <v>1242</v>
      </c>
      <c r="I36" s="42">
        <v>1130</v>
      </c>
      <c r="J36" s="30" t="s">
        <v>186</v>
      </c>
      <c r="K36" s="42">
        <v>575</v>
      </c>
      <c r="L36" s="134" t="s">
        <v>51</v>
      </c>
      <c r="M36" s="135">
        <f>CONVERT((I36-K36)/10000,"mi","ft")*IF(L36="Increasing Mileposts (1)",-1,1)</f>
        <v>293.04000000000002</v>
      </c>
      <c r="N36" s="136" t="str">
        <f>VLOOKUP(C36,'Trips&amp;Operators'!$C$1:$G$99999,5,FALSE)</f>
        <v>FORTUNATO FRANK</v>
      </c>
      <c r="O36" s="207" t="s">
        <v>184</v>
      </c>
      <c r="P36" s="137"/>
      <c r="Q36" s="30"/>
      <c r="R36" s="84" t="e">
        <f>IF(VLOOKUP(C36,'Train Runs'!$A$13:$AE$9928,1,1)=C36,VLOOKUP(C36,'Train Runs'!$A$13:$AE$9928,31,1),NA())</f>
        <v>#N/A</v>
      </c>
      <c r="S36" s="87" t="str">
        <f>VLOOKUP(C36,'Train Runs'!$A$13:$AE$9928,22,0)</f>
        <v>https://d0f6bd738d7f1b3e5a7ca70fe4ff75f0.us-east-1.aws.found.io/app/kibana#/discover/Steve-Slow-Train-Analysis-(2080s-and-2083s)?_g=(refreshInterval:(display:Off,pause:!f,section:0,value:0),time:(from:'2017-05-17T16:58:23-0600',mode:absolute,to:'2017-05-17T19:10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6" s="89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/stypes="*4053*201705180*" /stext=" 00:.+((SYSTEM_STATE.+slice.+state.+changed )|(ment ac)|(multiple cpu faults)|(system.+state.+changed )|(\[timeout)|(PRM\|1\|D)|(kpr)|(kdp)|(train st.+moving)|(\|lc)|(penalty))"</v>
      </c>
      <c r="U36" s="9" t="str">
        <f>MID(B36,13,4)</f>
        <v>4053</v>
      </c>
      <c r="V36" s="31">
        <f>A36-utc_offset/24</f>
        <v>42873.007175925923</v>
      </c>
      <c r="W36" s="45" t="str">
        <f>IFERROR(IF(VALUE(LEFT(IF(LEN(C36)=6,"0"&amp;C36,C36),2))&lt;=2,"EC",IF(OR(VALUE(LEFT(IF(LEN(C36)=6,"0"&amp;C36,C36),2))=8,VALUE(LEFT(IF(LEN(C36)=6,"0"&amp;C36,C36),2))=18),"NW","Other")),"Other")</f>
        <v>Other</v>
      </c>
      <c r="X36" s="45" t="str">
        <f>IF(AND(E36="TRACK WARRANT AUTHORITY",G36&lt;10),"OMIT","KEEP")</f>
        <v>KEEP</v>
      </c>
      <c r="Y36" s="9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{"issue":{"subject":"","project_id":79,"tracker_id":40,"status_id":1,"priority_id":2,"assigned_to_id":23,"start_date":"2017-05-17","description":"","custom_fields":[{"id":1,"name":"Subdivision","value":"Other"},{"id":4,"name":"Milepost","value":"0.0575"},{"id":17,"name":"Train ID","value":"74-17"},{"id":16,"name":"Locomotive ID","value":"4053"},{"id":130,"name":"Impact","value":""},{"id":150,"name":"Time of Event (Mountain Time)","value":"18:10:20"},{"id":151,"name":"Denver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>"grep -hrE -A400 ""Enforcement Action"" "&amp;"/cygdrive/c/Users/stu/AppData/Local/Temp/OnboardLogs"&amp;"/RTDC"&amp;U36&amp;"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/cygdrive/c/Users/stu/AppData/Local/Temp/OnboardLogs/RTDC4053 --include="*4053*201705180*"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"%USERPROFILE%\AppData\Local\Temp\OnboardLogs"\RTDC4053\*4053*201705180* &gt;&gt; 2017-05-17-SliceDisagreementCheck.txt</v>
      </c>
      <c r="AE36" s="148" t="str">
        <f t="shared" si="1"/>
        <v>start /low /b %USERPROFILE%\Documents\GitHub\eaglep3\Utilities\DownloadLogsFromS3.py --loco 4053 --day 2017-05-18</v>
      </c>
      <c r="AF36" s="1"/>
    </row>
    <row r="37" spans="1:32" x14ac:dyDescent="0.25">
      <c r="A37" s="31">
        <v>42872.442407407405</v>
      </c>
      <c r="B37" s="30" t="s">
        <v>492</v>
      </c>
      <c r="C37" s="30" t="s">
        <v>590</v>
      </c>
      <c r="D37" s="30" t="s">
        <v>49</v>
      </c>
      <c r="E37" s="30" t="s">
        <v>185</v>
      </c>
      <c r="F37" s="42">
        <v>0</v>
      </c>
      <c r="G37" s="42">
        <v>15</v>
      </c>
      <c r="H37" s="42">
        <v>839</v>
      </c>
      <c r="I37" s="42">
        <v>833</v>
      </c>
      <c r="J37" s="30" t="s">
        <v>186</v>
      </c>
      <c r="K37" s="42">
        <v>826</v>
      </c>
      <c r="L37" s="134" t="s">
        <v>51</v>
      </c>
      <c r="M37" s="135">
        <f>CONVERT((I37-K37)/10000,"mi","ft")*IF(L37="Increasing Mileposts (1)",-1,1)</f>
        <v>3.6960000000000002</v>
      </c>
      <c r="N37" s="136" t="str">
        <f>VLOOKUP(C37,'Trips&amp;Operators'!$C$1:$G$99999,5,FALSE)</f>
        <v>DE LA ROSA ALEX</v>
      </c>
      <c r="O37" s="207" t="s">
        <v>184</v>
      </c>
      <c r="P37" s="137"/>
      <c r="Q37" s="30"/>
      <c r="R37" s="84" t="e">
        <f>IF(VLOOKUP(C37,'Train Runs'!$A$13:$AE$9928,1,1)=C37,VLOOKUP(C37,'Train Runs'!$A$13:$AE$9928,31,1),NA())</f>
        <v>#N/A</v>
      </c>
      <c r="S37" s="87" t="str">
        <f>VLOOKUP(C37,'Train Runs'!$A$13:$AE$9928,22,0)</f>
        <v>https://d0f6bd738d7f1b3e5a7ca70fe4ff75f0.us-east-1.aws.found.io/app/kibana#/discover/Steve-Slow-Train-Analysis-(2080s-and-2083s)?_g=(refreshInterval:(display:Off,pause:!f,section:0,value:0),time:(from:'2017-05-17T09:24:43-0600',mode:absolute,to:'2017-05-17T11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7" s="89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/stypes="*4005*201705171*" /stext=" 16:.+((SYSTEM_STATE.+slice.+state.+changed )|(ment ac)|(multiple cpu faults)|(system.+state.+changed )|(\[timeout)|(PRM\|1\|D)|(kpr)|(kdp)|(train st.+moving)|(\|lc)|(penalty))"</v>
      </c>
      <c r="U37" s="9" t="str">
        <f>MID(B37,13,4)</f>
        <v>4005</v>
      </c>
      <c r="V37" s="31">
        <f>A37-utc_offset/24</f>
        <v>42872.692407407405</v>
      </c>
      <c r="W37" s="45" t="str">
        <f>IFERROR(IF(VALUE(LEFT(IF(LEN(C37)=6,"0"&amp;C37,C37),2))&lt;=2,"EC",IF(OR(VALUE(LEFT(IF(LEN(C37)=6,"0"&amp;C37,C37),2))=8,VALUE(LEFT(IF(LEN(C37)=6,"0"&amp;C37,C37),2))=18),"NW","Other")),"Other")</f>
        <v>Other</v>
      </c>
      <c r="X37" s="45" t="str">
        <f>IF(AND(E37="TRACK WARRANT AUTHORITY",G37&lt;10),"OMIT","KEEP")</f>
        <v>KEEP</v>
      </c>
      <c r="Y37" s="9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{"issue":{"subject":"","project_id":79,"tracker_id":40,"status_id":1,"priority_id":2,"assigned_to_id":23,"start_date":"2017-05-17","description":"","custom_fields":[{"id":1,"name":"Subdivision","value":"Other"},{"id":4,"name":"Milepost","value":"0.0826"},{"id":17,"name":"Train ID","value":"52-17"},{"id":16,"name":"Locomotive ID","value":"4005"},{"id":130,"name":"Impact","value":""},{"id":150,"name":"Time of Event (Mountain Time)","value":"10:37:04"},{"id":151,"name":"Denver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>"grep -hrE -A400 ""Enforcement Action"" "&amp;"/cygdrive/c/Users/stu/AppData/Local/Temp/OnboardLogs"&amp;"/RTDC"&amp;U37&amp;"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/cygdrive/c/Users/stu/AppData/Local/Temp/OnboardLogs/RTDC4005 --include="*4005*201705171*"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"%USERPROFILE%\AppData\Local\Temp\OnboardLogs"\RTDC4005\*4005*201705171* &gt;&gt; 2017-05-17-SliceDisagreementCheck.txt</v>
      </c>
      <c r="AE37" s="148" t="str">
        <f t="shared" si="1"/>
        <v>start /low /b %USERPROFILE%\Documents\GitHub\eaglep3\Utilities\DownloadLogsFromS3.py --loco 4005 --day 2017-05-17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0">
    <sortState ref="A7:AC61">
      <sortCondition ref="W7:W38"/>
      <sortCondition ref="E7:E38"/>
      <sortCondition ref="K7:K38"/>
      <sortCondition ref="F7:F38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4"/>
  <sheetViews>
    <sheetView workbookViewId="0"/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2017-05-17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834</v>
      </c>
      <c r="B3" s="42" t="str">
        <f>A3&amp;"-"&amp;IF(DAY(Variables!$A$2)&lt;10,0,"")&amp;DAY(Variables!$A$2)</f>
        <v>834-17</v>
      </c>
      <c r="C3" s="138"/>
      <c r="D3" s="156"/>
      <c r="E3" s="30" t="s">
        <v>1015</v>
      </c>
      <c r="F3" s="21" t="str">
        <f>VLOOKUP(B3,'Trips&amp;Operators'!$C$2:$E$10000,3,FALSE)</f>
        <v>MCREYNOLDS</v>
      </c>
      <c r="G3" s="21" t="str">
        <f>VLOOKUP(B3,'Trips&amp;Operators'!$C$1:$F$10000,4,FALSE)</f>
        <v>KYLE</v>
      </c>
      <c r="H3" s="29" t="str">
        <f>VLOOKUP(B3,'Trips&amp;Operators'!$C$1:$H$10000,5,FALSE)</f>
        <v>MCREYNOLDS KYLE</v>
      </c>
      <c r="I3" s="45" t="str">
        <f t="shared" ref="I3:I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22834-17%22)),sort:!(Time.ISO8601,asc))</v>
      </c>
      <c r="J3" s="30" t="e">
        <f>VLOOKUP(B3,'Train Runs'!$A$13:$A$99925,1,FALSE)</f>
        <v>#N/A</v>
      </c>
    </row>
    <row r="4" spans="1:10" x14ac:dyDescent="0.25">
      <c r="A4" s="190"/>
      <c r="B4" s="42" t="str">
        <f>A4&amp;"-"&amp;IF(DAY(Variables!$A$2)&lt;10,0,"")&amp;DAY(Variables!$A$2)</f>
        <v>-17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Runs'!$A$13:$A$99925,1,FALSE)</f>
        <v>#N/A</v>
      </c>
    </row>
    <row r="5" spans="1:10" x14ac:dyDescent="0.25">
      <c r="A5" s="190"/>
      <c r="B5" s="42" t="str">
        <f>A5&amp;"-"&amp;IF(DAY(Variables!$A$2)&lt;10,0,"")&amp;DAY(Variables!$A$2)</f>
        <v>-17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Runs'!$A$13:$A$99925,1,FALSE)</f>
        <v>#N/A</v>
      </c>
    </row>
    <row r="6" spans="1:10" x14ac:dyDescent="0.25">
      <c r="A6" s="190"/>
      <c r="B6" s="42" t="str">
        <f>A6&amp;"-"&amp;IF(DAY(Variables!$A$2)&lt;10,0,"")&amp;DAY(Variables!$A$2)</f>
        <v>-17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ref="I6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Runs'!$A$13:$A$99925,1,FALSE)</f>
        <v>#N/A</v>
      </c>
    </row>
    <row r="7" spans="1:10" x14ac:dyDescent="0.25">
      <c r="A7" s="190"/>
      <c r="B7" s="42" t="str">
        <f>A7&amp;"-"&amp;IF(DAY(Variables!$A$2)&lt;10,0,"")&amp;DAY(Variables!$A$2)</f>
        <v>-17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Runs'!$A$13:$A$99925,1,FALSE)</f>
        <v>#N/A</v>
      </c>
    </row>
    <row r="8" spans="1:10" x14ac:dyDescent="0.25">
      <c r="A8" s="190"/>
      <c r="B8" s="42" t="str">
        <f>A8&amp;"-"&amp;IF(DAY(Variables!$A$2)&lt;10,0,"")&amp;DAY(Variables!$A$2)</f>
        <v>-17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Runs'!$A$13:$A$99925,1,FALSE)</f>
        <v>#N/A</v>
      </c>
    </row>
    <row r="9" spans="1:10" x14ac:dyDescent="0.25">
      <c r="A9" s="190"/>
      <c r="B9" s="42" t="str">
        <f>A9&amp;"-"&amp;IF(DAY(Variables!$A$2)&lt;10,0,"")&amp;DAY(Variables!$A$2)</f>
        <v>-17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Runs'!$A$13:$A$99925,1,FALSE)</f>
        <v>#N/A</v>
      </c>
    </row>
    <row r="10" spans="1:10" x14ac:dyDescent="0.25">
      <c r="A10" s="190"/>
      <c r="B10" s="42" t="str">
        <f>A10&amp;"-"&amp;IF(DAY(Variables!$A$2)&lt;10,0,"")&amp;DAY(Variables!$A$2)</f>
        <v>-17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Runs'!$A$13:$A$99925,1,FALSE)</f>
        <v>#N/A</v>
      </c>
    </row>
    <row r="11" spans="1:10" x14ac:dyDescent="0.25">
      <c r="A11" s="190"/>
      <c r="B11" s="42" t="str">
        <f>A11&amp;"-"&amp;IF(DAY(Variables!$A$2)&lt;10,0,"")&amp;DAY(Variables!$A$2)</f>
        <v>-17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Runs'!$A$13:$A$99925,1,FALSE)</f>
        <v>#N/A</v>
      </c>
    </row>
    <row r="12" spans="1:10" x14ac:dyDescent="0.25">
      <c r="A12" s="190"/>
      <c r="B12" s="42" t="str">
        <f>A12&amp;"-"&amp;IF(DAY(Variables!$A$2)&lt;10,0,"")&amp;DAY(Variables!$A$2)</f>
        <v>-17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Runs'!$A$13:$A$99925,1,FALSE)</f>
        <v>#N/A</v>
      </c>
    </row>
    <row r="13" spans="1:10" x14ac:dyDescent="0.25">
      <c r="A13" s="190"/>
      <c r="B13" s="42" t="str">
        <f>A13&amp;"-"&amp;IF(DAY(Variables!$A$2)&lt;10,0,"")&amp;DAY(Variables!$A$2)</f>
        <v>-17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Runs'!$A$13:$A$99925,1,FALSE)</f>
        <v>#N/A</v>
      </c>
    </row>
    <row r="14" spans="1:10" x14ac:dyDescent="0.25">
      <c r="A14" s="190"/>
      <c r="B14" s="42" t="str">
        <f>A14&amp;"-"&amp;IF(DAY(Variables!$A$2)&lt;10,0,"")&amp;DAY(Variables!$A$2)</f>
        <v>-17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Runs'!$A$13:$A$99925,1,FALSE)</f>
        <v>#N/A</v>
      </c>
    </row>
    <row r="15" spans="1:10" x14ac:dyDescent="0.25">
      <c r="A15" s="190"/>
      <c r="B15" s="42" t="str">
        <f>A15&amp;"-"&amp;IF(DAY(Variables!$A$2)&lt;10,0,"")&amp;DAY(Variables!$A$2)</f>
        <v>-17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Runs'!$A$13:$A$99925,1,FALSE)</f>
        <v>#N/A</v>
      </c>
    </row>
    <row r="16" spans="1:10" x14ac:dyDescent="0.25">
      <c r="A16" s="190"/>
      <c r="B16" s="42" t="str">
        <f>A16&amp;"-"&amp;IF(DAY(Variables!$A$2)&lt;10,0,"")&amp;DAY(Variables!$A$2)</f>
        <v>-17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Runs'!$A$13:$A$99925,1,FALSE)</f>
        <v>#N/A</v>
      </c>
    </row>
    <row r="17" spans="1:10" x14ac:dyDescent="0.25">
      <c r="A17" s="190"/>
      <c r="B17" s="42" t="str">
        <f>A17&amp;"-"&amp;IF(DAY(Variables!$A$2)&lt;10,0,"")&amp;DAY(Variables!$A$2)</f>
        <v>-17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Runs'!$A$13:$A$99925,1,FALSE)</f>
        <v>#N/A</v>
      </c>
    </row>
    <row r="18" spans="1:10" x14ac:dyDescent="0.25">
      <c r="A18" s="190"/>
      <c r="B18" s="42" t="str">
        <f>A18&amp;"-"&amp;IF(DAY(Variables!$A$2)&lt;10,0,"")&amp;DAY(Variables!$A$2)</f>
        <v>-17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Runs'!$A$13:$A$99925,1,FALSE)</f>
        <v>#N/A</v>
      </c>
    </row>
    <row r="19" spans="1:10" x14ac:dyDescent="0.25">
      <c r="A19" s="190"/>
      <c r="B19" s="42" t="str">
        <f>A19&amp;"-"&amp;IF(DAY(Variables!$A$2)&lt;10,0,"")&amp;DAY(Variables!$A$2)</f>
        <v>-17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9" s="30" t="e">
        <f>VLOOKUP(B19,'Train Runs'!$A$13:$A$99925,1,FALSE)</f>
        <v>#N/A</v>
      </c>
    </row>
    <row r="20" spans="1:10" x14ac:dyDescent="0.25">
      <c r="A20" s="190"/>
      <c r="B20" s="42" t="str">
        <f>A20&amp;"-"&amp;IF(DAY(Variables!$A$2)&lt;10,0,"")&amp;DAY(Variables!$A$2)</f>
        <v>-17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0" s="30" t="e">
        <f>VLOOKUP(B20,'Train Runs'!$A$13:$A$99925,1,FALSE)</f>
        <v>#N/A</v>
      </c>
    </row>
    <row r="21" spans="1:10" x14ac:dyDescent="0.25">
      <c r="A21" s="190"/>
      <c r="B21" s="42" t="str">
        <f>A21&amp;"-"&amp;IF(DAY(Variables!$A$2)&lt;10,0,"")&amp;DAY(Variables!$A$2)</f>
        <v>-17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1" s="30" t="e">
        <f>VLOOKUP(B21,'Train Runs'!$A$13:$A$99925,1,FALSE)</f>
        <v>#N/A</v>
      </c>
    </row>
    <row r="22" spans="1:10" x14ac:dyDescent="0.25">
      <c r="A22" s="190"/>
      <c r="B22" s="42" t="str">
        <f>A22&amp;"-"&amp;IF(DAY(Variables!$A$2)&lt;10,0,"")&amp;DAY(Variables!$A$2)</f>
        <v>-17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2" s="30" t="e">
        <f>VLOOKUP(B22,'Train Runs'!$A$13:$A$99925,1,FALSE)</f>
        <v>#N/A</v>
      </c>
    </row>
    <row r="23" spans="1:10" x14ac:dyDescent="0.25">
      <c r="A23" s="190"/>
      <c r="B23" s="42" t="str">
        <f>A23&amp;"-"&amp;IF(DAY(Variables!$A$2)&lt;10,0,"")&amp;DAY(Variables!$A$2)</f>
        <v>-17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3" s="30" t="e">
        <f>VLOOKUP(B23,'Train Runs'!$A$13:$A$99925,1,FALSE)</f>
        <v>#N/A</v>
      </c>
    </row>
    <row r="24" spans="1:10" x14ac:dyDescent="0.25">
      <c r="A24" s="190"/>
      <c r="B24" s="42" t="str">
        <f>A24&amp;"-"&amp;IF(DAY(Variables!$A$2)&lt;10,0,"")&amp;DAY(Variables!$A$2)</f>
        <v>-17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4" s="30" t="e">
        <f>VLOOKUP(B24,'Train Runs'!$A$13:$A$99925,1,FALSE)</f>
        <v>#N/A</v>
      </c>
    </row>
    <row r="25" spans="1:10" x14ac:dyDescent="0.25">
      <c r="A25" s="190"/>
      <c r="B25" s="42" t="str">
        <f>A25&amp;"-"&amp;IF(DAY(Variables!$A$2)&lt;10,0,"")&amp;DAY(Variables!$A$2)</f>
        <v>-17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5" s="30" t="e">
        <f>VLOOKUP(B25,'Train Runs'!$A$13:$A$99925,1,FALSE)</f>
        <v>#N/A</v>
      </c>
    </row>
    <row r="26" spans="1:10" x14ac:dyDescent="0.25">
      <c r="A26" s="190"/>
      <c r="B26" s="42" t="str">
        <f>A26&amp;"-"&amp;IF(DAY(Variables!$A$2)&lt;10,0,"")&amp;DAY(Variables!$A$2)</f>
        <v>-17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6" s="30" t="e">
        <f>VLOOKUP(B26,'Train Runs'!$A$13:$A$99925,1,FALSE)</f>
        <v>#N/A</v>
      </c>
    </row>
    <row r="27" spans="1:10" x14ac:dyDescent="0.25">
      <c r="A27" s="190"/>
      <c r="B27" s="42" t="str">
        <f>A27&amp;"-"&amp;IF(DAY(Variables!$A$2)&lt;10,0,"")&amp;DAY(Variables!$A$2)</f>
        <v>-17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7" s="30" t="e">
        <f>VLOOKUP(B27,'Train Runs'!$A$13:$A$99925,1,FALSE)</f>
        <v>#N/A</v>
      </c>
    </row>
    <row r="28" spans="1:10" x14ac:dyDescent="0.25">
      <c r="A28" s="190"/>
      <c r="B28" s="42" t="str">
        <f>A28&amp;"-"&amp;IF(DAY(Variables!$A$2)&lt;10,0,"")&amp;DAY(Variables!$A$2)</f>
        <v>-17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8" s="30" t="e">
        <f>VLOOKUP(B28,'Train Runs'!$A$13:$A$99925,1,FALSE)</f>
        <v>#N/A</v>
      </c>
    </row>
    <row r="29" spans="1:10" x14ac:dyDescent="0.25">
      <c r="A29" s="190"/>
      <c r="B29" s="42" t="str">
        <f>A29&amp;"-"&amp;IF(DAY(Variables!$A$2)&lt;10,0,"")&amp;DAY(Variables!$A$2)</f>
        <v>-17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9" s="30" t="e">
        <f>VLOOKUP(B29,'Train Runs'!$A$13:$A$99925,1,FALSE)</f>
        <v>#N/A</v>
      </c>
    </row>
    <row r="30" spans="1:10" x14ac:dyDescent="0.25">
      <c r="A30" s="190"/>
      <c r="B30" s="42" t="str">
        <f>A30&amp;"-"&amp;IF(DAY(Variables!$A$2)&lt;10,0,"")&amp;DAY(Variables!$A$2)</f>
        <v>-17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0" s="30" t="e">
        <f>VLOOKUP(B30,'Train Runs'!$A$13:$A$99925,1,FALSE)</f>
        <v>#N/A</v>
      </c>
    </row>
    <row r="31" spans="1:10" x14ac:dyDescent="0.25">
      <c r="A31" s="190"/>
      <c r="B31" s="42" t="str">
        <f>A31&amp;"-"&amp;IF(DAY(Variables!$A$2)&lt;10,0,"")&amp;DAY(Variables!$A$2)</f>
        <v>-17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1" s="30" t="e">
        <f>VLOOKUP(B31,'Train Runs'!$A$13:$A$99925,1,FALSE)</f>
        <v>#N/A</v>
      </c>
    </row>
    <row r="32" spans="1:10" x14ac:dyDescent="0.25">
      <c r="A32" s="190"/>
      <c r="B32" s="42" t="str">
        <f>A32&amp;"-"&amp;IF(DAY(Variables!$A$2)&lt;10,0,"")&amp;DAY(Variables!$A$2)</f>
        <v>-17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2" s="30" t="e">
        <f>VLOOKUP(B32,'Train Runs'!$A$13:$A$99925,1,FALSE)</f>
        <v>#N/A</v>
      </c>
    </row>
    <row r="33" spans="1:10" x14ac:dyDescent="0.25">
      <c r="A33" s="190"/>
      <c r="B33" s="42" t="str">
        <f>A33&amp;"-"&amp;IF(DAY(Variables!$A$2)&lt;10,0,"")&amp;DAY(Variables!$A$2)</f>
        <v>-17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3" s="30" t="e">
        <f>VLOOKUP(B33,'Train Runs'!$A$13:$A$99925,1,FALSE)</f>
        <v>#N/A</v>
      </c>
    </row>
    <row r="34" spans="1:10" x14ac:dyDescent="0.25">
      <c r="A34" s="190"/>
      <c r="B34" s="42" t="str">
        <f>A34&amp;"-"&amp;IF(DAY(Variables!$A$2)&lt;10,0,"")&amp;DAY(Variables!$A$2)</f>
        <v>-17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4" s="30" t="e">
        <f>VLOOKUP(B34,'Train Runs'!$A$13:$A$99925,1,FALSE)</f>
        <v>#N/A</v>
      </c>
    </row>
    <row r="35" spans="1:10" x14ac:dyDescent="0.25">
      <c r="A35" s="190"/>
      <c r="B35" s="42" t="str">
        <f>A35&amp;"-"&amp;IF(DAY(Variables!$A$2)&lt;10,0,"")&amp;DAY(Variables!$A$2)</f>
        <v>-17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5" s="30" t="e">
        <f>VLOOKUP(B35,'Train Runs'!$A$13:$A$99925,1,FALSE)</f>
        <v>#N/A</v>
      </c>
    </row>
    <row r="36" spans="1:10" x14ac:dyDescent="0.25">
      <c r="A36" s="190"/>
      <c r="B36" s="42" t="str">
        <f>A36&amp;"-"&amp;IF(DAY(Variables!$A$2)&lt;10,0,"")&amp;DAY(Variables!$A$2)</f>
        <v>-17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6" s="30" t="e">
        <f>VLOOKUP(B36,'Train Runs'!$A$13:$A$99925,1,FALSE)</f>
        <v>#N/A</v>
      </c>
    </row>
    <row r="37" spans="1:10" x14ac:dyDescent="0.25">
      <c r="A37" s="190"/>
      <c r="B37" s="42" t="str">
        <f>A37&amp;"-"&amp;IF(DAY(Variables!$A$2)&lt;10,0,"")&amp;DAY(Variables!$A$2)</f>
        <v>-17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7" s="30" t="e">
        <f>VLOOKUP(B37,'Train Runs'!$A$13:$A$99925,1,FALSE)</f>
        <v>#N/A</v>
      </c>
    </row>
    <row r="38" spans="1:10" x14ac:dyDescent="0.25">
      <c r="A38" s="190"/>
      <c r="B38" s="42" t="str">
        <f>A38&amp;"-"&amp;IF(DAY(Variables!$A$2)&lt;10,0,"")&amp;DAY(Variables!$A$2)</f>
        <v>-17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8" s="30" t="e">
        <f>VLOOKUP(B38,'Train Runs'!$A$13:$A$99925,1,FALSE)</f>
        <v>#N/A</v>
      </c>
    </row>
    <row r="39" spans="1:10" x14ac:dyDescent="0.25">
      <c r="A39" s="190"/>
      <c r="B39" s="42" t="str">
        <f>A39&amp;"-"&amp;IF(DAY(Variables!$A$2)&lt;10,0,"")&amp;DAY(Variables!$A$2)</f>
        <v>-17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9" s="30" t="e">
        <f>VLOOKUP(B39,'Train Runs'!$A$13:$A$99925,1,FALSE)</f>
        <v>#N/A</v>
      </c>
    </row>
    <row r="40" spans="1:10" x14ac:dyDescent="0.25">
      <c r="A40" s="190"/>
      <c r="B40" s="42" t="str">
        <f>A40&amp;"-"&amp;IF(DAY(Variables!$A$2)&lt;10,0,"")&amp;DAY(Variables!$A$2)</f>
        <v>-17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0" s="30" t="e">
        <f>VLOOKUP(B40,'Train Runs'!$A$13:$A$99925,1,FALSE)</f>
        <v>#N/A</v>
      </c>
    </row>
    <row r="41" spans="1:10" x14ac:dyDescent="0.25">
      <c r="A41" s="190"/>
      <c r="B41" s="42" t="str">
        <f>A41&amp;"-"&amp;IF(DAY(Variables!$A$2)&lt;10,0,"")&amp;DAY(Variables!$A$2)</f>
        <v>-17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1" s="30" t="e">
        <f>VLOOKUP(B41,'Train Runs'!$A$13:$A$99925,1,FALSE)</f>
        <v>#N/A</v>
      </c>
    </row>
    <row r="42" spans="1:10" x14ac:dyDescent="0.25">
      <c r="A42" s="190"/>
      <c r="B42" s="42" t="str">
        <f>A42&amp;"-"&amp;IF(DAY(Variables!$A$2)&lt;10,0,"")&amp;DAY(Variables!$A$2)</f>
        <v>-17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2" s="30" t="e">
        <f>VLOOKUP(B42,'Train Runs'!$A$13:$A$99925,1,FALSE)</f>
        <v>#N/A</v>
      </c>
    </row>
    <row r="43" spans="1:10" x14ac:dyDescent="0.25">
      <c r="A43" s="190"/>
      <c r="B43" s="42" t="str">
        <f>A43&amp;"-"&amp;IF(DAY(Variables!$A$2)&lt;10,0,"")&amp;DAY(Variables!$A$2)</f>
        <v>-17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3" s="30" t="e">
        <f>VLOOKUP(B43,'Train Runs'!$A$13:$A$99925,1,FALSE)</f>
        <v>#N/A</v>
      </c>
    </row>
    <row r="44" spans="1:10" x14ac:dyDescent="0.25">
      <c r="A44" s="190"/>
      <c r="B44" s="42" t="str">
        <f>A44&amp;"-"&amp;IF(DAY(Variables!$A$2)&lt;10,0,"")&amp;DAY(Variables!$A$2)</f>
        <v>-17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4" s="30" t="e">
        <f>VLOOKUP(B44,'Train Runs'!$A$13:$A$99925,1,FALSE)</f>
        <v>#N/A</v>
      </c>
    </row>
    <row r="45" spans="1:10" x14ac:dyDescent="0.25">
      <c r="A45" s="190"/>
      <c r="B45" s="42" t="str">
        <f>A45&amp;"-"&amp;IF(DAY(Variables!$A$2)&lt;10,0,"")&amp;DAY(Variables!$A$2)</f>
        <v>-17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5" s="30" t="e">
        <f>VLOOKUP(B45,'Train Runs'!$A$13:$A$99925,1,FALSE)</f>
        <v>#N/A</v>
      </c>
    </row>
    <row r="46" spans="1:10" x14ac:dyDescent="0.25">
      <c r="A46" s="190"/>
      <c r="B46" s="42" t="str">
        <f>A46&amp;"-"&amp;IF(DAY(Variables!$A$2)&lt;10,0,"")&amp;DAY(Variables!$A$2)</f>
        <v>-17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6" s="30" t="e">
        <f>VLOOKUP(B46,'Train Runs'!$A$13:$A$99925,1,FALSE)</f>
        <v>#N/A</v>
      </c>
    </row>
    <row r="47" spans="1:10" x14ac:dyDescent="0.25">
      <c r="A47" s="190"/>
      <c r="B47" s="42" t="str">
        <f>A47&amp;"-"&amp;IF(DAY(Variables!$A$2)&lt;10,0,"")&amp;DAY(Variables!$A$2)</f>
        <v>-17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7" s="30" t="e">
        <f>VLOOKUP(B47,'Train Runs'!$A$13:$A$99925,1,FALSE)</f>
        <v>#N/A</v>
      </c>
    </row>
    <row r="48" spans="1:10" x14ac:dyDescent="0.25">
      <c r="A48" s="190"/>
      <c r="B48" s="42" t="str">
        <f>A48&amp;"-"&amp;IF(DAY(Variables!$A$2)&lt;10,0,"")&amp;DAY(Variables!$A$2)</f>
        <v>-17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ref="I48:I68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8" s="30" t="e">
        <f>VLOOKUP(B48,'Train Runs'!$A$13:$A$99925,1,FALSE)</f>
        <v>#N/A</v>
      </c>
    </row>
    <row r="49" spans="1:10" x14ac:dyDescent="0.25">
      <c r="A49" s="190"/>
      <c r="B49" s="42" t="str">
        <f>A49&amp;"-"&amp;IF(DAY(Variables!$A$2)&lt;10,0,"")&amp;DAY(Variables!$A$2)</f>
        <v>-17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9" s="30" t="e">
        <f>VLOOKUP(B49,'Train Runs'!$A$13:$A$99925,1,FALSE)</f>
        <v>#N/A</v>
      </c>
    </row>
    <row r="50" spans="1:10" x14ac:dyDescent="0.25">
      <c r="A50" s="190"/>
      <c r="B50" s="42" t="str">
        <f>A50&amp;"-"&amp;IF(DAY(Variables!$A$2)&lt;10,0,"")&amp;DAY(Variables!$A$2)</f>
        <v>-17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0" s="30" t="e">
        <f>VLOOKUP(B50,'Train Runs'!$A$13:$A$99925,1,FALSE)</f>
        <v>#N/A</v>
      </c>
    </row>
    <row r="51" spans="1:10" x14ac:dyDescent="0.25">
      <c r="A51" s="190"/>
      <c r="B51" s="42" t="str">
        <f>A51&amp;"-"&amp;IF(DAY(Variables!$A$2)&lt;10,0,"")&amp;DAY(Variables!$A$2)</f>
        <v>-17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1" s="30" t="e">
        <f>VLOOKUP(B51,'Train Runs'!$A$13:$A$99925,1,FALSE)</f>
        <v>#N/A</v>
      </c>
    </row>
    <row r="52" spans="1:10" x14ac:dyDescent="0.25">
      <c r="A52" s="190"/>
      <c r="B52" s="42" t="str">
        <f>A52&amp;"-"&amp;IF(DAY(Variables!$A$2)&lt;10,0,"")&amp;DAY(Variables!$A$2)</f>
        <v>-17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2" s="30" t="e">
        <f>VLOOKUP(B52,'Train Runs'!$A$13:$A$99925,1,FALSE)</f>
        <v>#N/A</v>
      </c>
    </row>
    <row r="53" spans="1:10" x14ac:dyDescent="0.25">
      <c r="A53" s="190"/>
      <c r="B53" s="42" t="str">
        <f>A53&amp;"-"&amp;IF(DAY(Variables!$A$2)&lt;10,0,"")&amp;DAY(Variables!$A$2)</f>
        <v>-17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3" s="30" t="e">
        <f>VLOOKUP(B53,'Train Runs'!$A$13:$A$99925,1,FALSE)</f>
        <v>#N/A</v>
      </c>
    </row>
    <row r="54" spans="1:10" x14ac:dyDescent="0.25">
      <c r="A54" s="190"/>
      <c r="B54" s="42" t="str">
        <f>A54&amp;"-"&amp;IF(DAY(Variables!$A$2)&lt;10,0,"")&amp;DAY(Variables!$A$2)</f>
        <v>-17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4" s="30" t="e">
        <f>VLOOKUP(B54,'Train Runs'!$A$13:$A$99925,1,FALSE)</f>
        <v>#N/A</v>
      </c>
    </row>
    <row r="55" spans="1:10" x14ac:dyDescent="0.25">
      <c r="A55" s="190"/>
      <c r="B55" s="42" t="str">
        <f>A55&amp;"-"&amp;IF(DAY(Variables!$A$2)&lt;10,0,"")&amp;DAY(Variables!$A$2)</f>
        <v>-17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5" s="30" t="e">
        <f>VLOOKUP(B55,'Train Runs'!$A$13:$A$99925,1,FALSE)</f>
        <v>#N/A</v>
      </c>
    </row>
    <row r="56" spans="1:10" x14ac:dyDescent="0.25">
      <c r="A56" s="190"/>
      <c r="B56" s="42" t="str">
        <f>A56&amp;"-"&amp;IF(DAY(Variables!$A$2)&lt;10,0,"")&amp;DAY(Variables!$A$2)</f>
        <v>-17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6" s="30" t="e">
        <f>VLOOKUP(B56,'Train Runs'!$A$13:$A$99925,1,FALSE)</f>
        <v>#N/A</v>
      </c>
    </row>
    <row r="57" spans="1:10" x14ac:dyDescent="0.25">
      <c r="A57" s="190"/>
      <c r="B57" s="42" t="str">
        <f>A57&amp;"-"&amp;IF(DAY(Variables!$A$2)&lt;10,0,"")&amp;DAY(Variables!$A$2)</f>
        <v>-17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7" s="30" t="e">
        <f>VLOOKUP(B57,'Train Runs'!$A$13:$A$99925,1,FALSE)</f>
        <v>#N/A</v>
      </c>
    </row>
    <row r="58" spans="1:10" x14ac:dyDescent="0.25">
      <c r="A58" s="190"/>
      <c r="B58" s="42" t="str">
        <f>A58&amp;"-"&amp;IF(DAY(Variables!$A$2)&lt;10,0,"")&amp;DAY(Variables!$A$2)</f>
        <v>-17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8" s="30" t="e">
        <f>VLOOKUP(B58,'Train Runs'!$A$13:$A$99925,1,FALSE)</f>
        <v>#N/A</v>
      </c>
    </row>
    <row r="59" spans="1:10" x14ac:dyDescent="0.25">
      <c r="A59" s="190"/>
      <c r="B59" s="42" t="str">
        <f>A59&amp;"-"&amp;IF(DAY(Variables!$A$2)&lt;10,0,"")&amp;DAY(Variables!$A$2)</f>
        <v>-17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9" s="30" t="e">
        <f>VLOOKUP(B59,'Train Runs'!$A$13:$A$99925,1,FALSE)</f>
        <v>#N/A</v>
      </c>
    </row>
    <row r="60" spans="1:10" x14ac:dyDescent="0.25">
      <c r="A60" s="190"/>
      <c r="B60" s="42" t="str">
        <f>A60&amp;"-"&amp;IF(DAY(Variables!$A$2)&lt;10,0,"")&amp;DAY(Variables!$A$2)</f>
        <v>-17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0" s="30" t="e">
        <f>VLOOKUP(B60,'Train Runs'!$A$13:$A$99925,1,FALSE)</f>
        <v>#N/A</v>
      </c>
    </row>
    <row r="61" spans="1:10" x14ac:dyDescent="0.25">
      <c r="A61" s="190"/>
      <c r="B61" s="42" t="str">
        <f>A61&amp;"-"&amp;IF(DAY(Variables!$A$2)&lt;10,0,"")&amp;DAY(Variables!$A$2)</f>
        <v>-17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1" s="30" t="e">
        <f>VLOOKUP(B61,'Train Runs'!$A$13:$A$99925,1,FALSE)</f>
        <v>#N/A</v>
      </c>
    </row>
    <row r="62" spans="1:10" x14ac:dyDescent="0.25">
      <c r="A62" s="190"/>
      <c r="B62" s="42" t="str">
        <f>A62&amp;"-"&amp;IF(DAY(Variables!$A$2)&lt;10,0,"")&amp;DAY(Variables!$A$2)</f>
        <v>-17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2" s="30" t="e">
        <f>VLOOKUP(B62,'Train Runs'!$A$13:$A$99925,1,FALSE)</f>
        <v>#N/A</v>
      </c>
    </row>
    <row r="63" spans="1:10" x14ac:dyDescent="0.25">
      <c r="A63" s="190"/>
      <c r="B63" s="42" t="str">
        <f>A63&amp;"-"&amp;IF(DAY(Variables!$A$2)&lt;10,0,"")&amp;DAY(Variables!$A$2)</f>
        <v>-17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3" s="30" t="e">
        <f>VLOOKUP(B63,'Train Runs'!$A$13:$A$99925,1,FALSE)</f>
        <v>#N/A</v>
      </c>
    </row>
    <row r="64" spans="1:10" x14ac:dyDescent="0.25">
      <c r="A64" s="190"/>
      <c r="B64" s="42" t="str">
        <f>A64&amp;"-"&amp;IF(DAY(Variables!$A$2)&lt;10,0,"")&amp;DAY(Variables!$A$2)</f>
        <v>-17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4" s="30" t="e">
        <f>VLOOKUP(B64,'Train Runs'!$A$13:$A$99925,1,FALSE)</f>
        <v>#N/A</v>
      </c>
    </row>
    <row r="65" spans="1:10" x14ac:dyDescent="0.25">
      <c r="A65" s="190"/>
      <c r="B65" s="42" t="str">
        <f>A65&amp;"-"&amp;IF(DAY(Variables!$A$2)&lt;10,0,"")&amp;DAY(Variables!$A$2)</f>
        <v>-17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5" s="30" t="e">
        <f>VLOOKUP(B65,'Train Runs'!$A$13:$A$99925,1,FALSE)</f>
        <v>#N/A</v>
      </c>
    </row>
    <row r="66" spans="1:10" x14ac:dyDescent="0.25">
      <c r="A66" s="190"/>
      <c r="B66" s="42" t="str">
        <f>A66&amp;"-"&amp;IF(DAY(Variables!$A$2)&lt;10,0,"")&amp;DAY(Variables!$A$2)</f>
        <v>-17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6" s="30" t="e">
        <f>VLOOKUP(B66,'Train Runs'!$A$13:$A$99925,1,FALSE)</f>
        <v>#N/A</v>
      </c>
    </row>
    <row r="67" spans="1:10" x14ac:dyDescent="0.25">
      <c r="A67" s="190"/>
      <c r="B67" s="42" t="str">
        <f>A67&amp;"-"&amp;IF(DAY(Variables!$A$2)&lt;10,0,"")&amp;DAY(Variables!$A$2)</f>
        <v>-17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7" s="30" t="e">
        <f>VLOOKUP(B67,'Train Runs'!$A$13:$A$99925,1,FALSE)</f>
        <v>#N/A</v>
      </c>
    </row>
    <row r="68" spans="1:10" x14ac:dyDescent="0.25">
      <c r="A68" s="190"/>
      <c r="B68" s="42" t="str">
        <f>A68&amp;"-"&amp;IF(DAY(Variables!$A$2)&lt;10,0,"")&amp;DAY(Variables!$A$2)</f>
        <v>-17</v>
      </c>
      <c r="C68" s="138"/>
      <c r="D68" s="156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8" s="30" t="e">
        <f>VLOOKUP(B68,'Train Runs'!$A$13:$A$99925,1,FALSE)</f>
        <v>#N/A</v>
      </c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90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90"/>
      <c r="B123" s="42"/>
      <c r="C123" s="138"/>
      <c r="D123" s="156"/>
      <c r="E123" s="30"/>
      <c r="F123" s="21"/>
      <c r="G123" s="21"/>
      <c r="H123" s="29"/>
      <c r="I123" s="45"/>
      <c r="J123" s="30"/>
    </row>
    <row r="124" spans="1:10" x14ac:dyDescent="0.25">
      <c r="A124" s="190"/>
      <c r="B124" s="42"/>
      <c r="C124" s="138"/>
      <c r="D124" s="156"/>
      <c r="E124" s="30"/>
      <c r="F124" s="21"/>
      <c r="G124" s="21"/>
      <c r="H124" s="29"/>
      <c r="I124" s="45"/>
      <c r="J124" s="30"/>
    </row>
  </sheetData>
  <autoFilter ref="A2:J7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42872.035462962966</v>
      </c>
      <c r="B2" s="20" t="s">
        <v>494</v>
      </c>
      <c r="C2" s="20" t="s">
        <v>524</v>
      </c>
      <c r="D2" s="141">
        <v>3030000</v>
      </c>
      <c r="E2" s="20" t="s">
        <v>399</v>
      </c>
      <c r="F2" s="20" t="s">
        <v>382</v>
      </c>
      <c r="G2" s="8" t="str">
        <f>E2&amp;" "&amp;F2</f>
        <v>BIRENBAUM THOMAS</v>
      </c>
    </row>
    <row r="3" spans="1:7" x14ac:dyDescent="0.25">
      <c r="A3" s="8">
        <v>42872.036921296298</v>
      </c>
      <c r="B3" s="20" t="s">
        <v>461</v>
      </c>
      <c r="C3" s="20" t="s">
        <v>511</v>
      </c>
      <c r="D3" s="141">
        <v>3010000</v>
      </c>
      <c r="E3" s="20" t="s">
        <v>426</v>
      </c>
      <c r="F3" s="20" t="s">
        <v>427</v>
      </c>
      <c r="G3" s="8" t="str">
        <f t="shared" ref="G3:G66" si="0">E3&amp;" "&amp;F3</f>
        <v>SULLIVAN BRANDON</v>
      </c>
    </row>
    <row r="4" spans="1:7" x14ac:dyDescent="0.25">
      <c r="A4" s="8">
        <v>42872.037488425929</v>
      </c>
      <c r="B4" s="20" t="s">
        <v>461</v>
      </c>
      <c r="C4" s="20" t="s">
        <v>511</v>
      </c>
      <c r="D4" s="141">
        <v>3010000</v>
      </c>
      <c r="E4" s="20" t="s">
        <v>426</v>
      </c>
      <c r="F4" s="20" t="s">
        <v>427</v>
      </c>
      <c r="G4" s="8" t="str">
        <f t="shared" si="0"/>
        <v>SULLIVAN BRANDON</v>
      </c>
    </row>
    <row r="5" spans="1:7" x14ac:dyDescent="0.25">
      <c r="A5" s="8">
        <v>42872.041689814818</v>
      </c>
      <c r="B5" s="20" t="s">
        <v>498</v>
      </c>
      <c r="C5" s="20" t="s">
        <v>499</v>
      </c>
      <c r="D5" s="141">
        <v>2970000</v>
      </c>
      <c r="E5" s="20" t="s">
        <v>397</v>
      </c>
      <c r="F5" s="20" t="s">
        <v>398</v>
      </c>
      <c r="G5" s="8" t="str">
        <f t="shared" si="0"/>
        <v>GUZMAN DANNY</v>
      </c>
    </row>
    <row r="6" spans="1:7" x14ac:dyDescent="0.25">
      <c r="A6" s="8">
        <v>42872.04792824074</v>
      </c>
      <c r="B6" s="20" t="s">
        <v>497</v>
      </c>
      <c r="C6" s="20" t="s">
        <v>525</v>
      </c>
      <c r="D6" s="141">
        <v>1810000</v>
      </c>
      <c r="E6" s="20" t="s">
        <v>383</v>
      </c>
      <c r="F6" s="20" t="s">
        <v>193</v>
      </c>
      <c r="G6" s="8" t="str">
        <f t="shared" si="0"/>
        <v>NEWELL JAMES</v>
      </c>
    </row>
    <row r="7" spans="1:7" x14ac:dyDescent="0.25">
      <c r="A7" s="8">
        <v>42872.049421296295</v>
      </c>
      <c r="B7" s="20" t="s">
        <v>344</v>
      </c>
      <c r="C7" s="20" t="s">
        <v>526</v>
      </c>
      <c r="D7" s="141">
        <v>3090000</v>
      </c>
      <c r="E7" s="20" t="s">
        <v>393</v>
      </c>
      <c r="F7" s="20" t="s">
        <v>394</v>
      </c>
      <c r="G7" s="8" t="str">
        <f t="shared" si="0"/>
        <v>LAMAR NEKESHA</v>
      </c>
    </row>
    <row r="8" spans="1:7" x14ac:dyDescent="0.25">
      <c r="A8" s="8">
        <v>42872.051990740743</v>
      </c>
      <c r="B8" s="20" t="s">
        <v>463</v>
      </c>
      <c r="C8" s="20" t="s">
        <v>511</v>
      </c>
      <c r="D8" s="141">
        <v>3010000</v>
      </c>
      <c r="E8" s="20" t="s">
        <v>426</v>
      </c>
      <c r="F8" s="20" t="s">
        <v>427</v>
      </c>
      <c r="G8" s="8" t="str">
        <f t="shared" si="0"/>
        <v>SULLIVAN BRANDON</v>
      </c>
    </row>
    <row r="9" spans="1:7" ht="15.75" thickBot="1" x14ac:dyDescent="0.3">
      <c r="A9" s="24">
        <v>42872.055347222224</v>
      </c>
      <c r="B9" s="20" t="s">
        <v>512</v>
      </c>
      <c r="C9" s="20" t="s">
        <v>513</v>
      </c>
      <c r="D9" s="141">
        <v>2970000</v>
      </c>
      <c r="E9" s="20" t="s">
        <v>397</v>
      </c>
      <c r="F9" s="20" t="s">
        <v>398</v>
      </c>
      <c r="G9" s="8" t="str">
        <f t="shared" si="0"/>
        <v>GUZMAN DANNY</v>
      </c>
    </row>
    <row r="10" spans="1:7" x14ac:dyDescent="0.25">
      <c r="A10" s="8">
        <v>42872.065578703703</v>
      </c>
      <c r="B10" s="20" t="s">
        <v>461</v>
      </c>
      <c r="C10" s="20" t="s">
        <v>511</v>
      </c>
      <c r="D10" s="141">
        <v>3010000</v>
      </c>
      <c r="E10" s="20" t="s">
        <v>426</v>
      </c>
      <c r="F10" s="20" t="s">
        <v>427</v>
      </c>
      <c r="G10" s="8" t="str">
        <f t="shared" si="0"/>
        <v>SULLIVAN BRANDON</v>
      </c>
    </row>
    <row r="11" spans="1:7" x14ac:dyDescent="0.25">
      <c r="A11" s="8">
        <v>42872.066493055558</v>
      </c>
      <c r="B11" s="20" t="s">
        <v>493</v>
      </c>
      <c r="C11" s="20" t="s">
        <v>527</v>
      </c>
      <c r="D11" s="141">
        <v>3030000</v>
      </c>
      <c r="E11" s="20" t="s">
        <v>399</v>
      </c>
      <c r="F11" s="20" t="s">
        <v>382</v>
      </c>
      <c r="G11" s="8" t="str">
        <f t="shared" si="0"/>
        <v>BIRENBAUM THOMAS</v>
      </c>
    </row>
    <row r="12" spans="1:7" x14ac:dyDescent="0.25">
      <c r="A12" s="8">
        <v>42872.067164351851</v>
      </c>
      <c r="B12" s="20" t="s">
        <v>461</v>
      </c>
      <c r="C12" s="20" t="s">
        <v>511</v>
      </c>
      <c r="D12" s="141">
        <v>3010000</v>
      </c>
      <c r="E12" s="20" t="s">
        <v>426</v>
      </c>
      <c r="F12" s="20" t="s">
        <v>427</v>
      </c>
      <c r="G12" s="8" t="str">
        <f t="shared" si="0"/>
        <v>SULLIVAN BRANDON</v>
      </c>
    </row>
    <row r="13" spans="1:7" x14ac:dyDescent="0.25">
      <c r="A13" s="8">
        <v>42872.068761574075</v>
      </c>
      <c r="B13" s="20" t="s">
        <v>498</v>
      </c>
      <c r="C13" s="20" t="s">
        <v>499</v>
      </c>
      <c r="D13" s="141">
        <v>2970000</v>
      </c>
      <c r="E13" s="20" t="s">
        <v>397</v>
      </c>
      <c r="F13" s="20" t="s">
        <v>398</v>
      </c>
      <c r="G13" s="8" t="str">
        <f t="shared" si="0"/>
        <v>GUZMAN DANNY</v>
      </c>
    </row>
    <row r="14" spans="1:7" x14ac:dyDescent="0.25">
      <c r="A14" s="8">
        <v>42872.08258101852</v>
      </c>
      <c r="B14" s="20" t="s">
        <v>512</v>
      </c>
      <c r="C14" s="20" t="s">
        <v>513</v>
      </c>
      <c r="D14" s="141">
        <v>2970000</v>
      </c>
      <c r="E14" s="20" t="s">
        <v>397</v>
      </c>
      <c r="F14" s="20" t="s">
        <v>398</v>
      </c>
      <c r="G14" s="8" t="str">
        <f t="shared" si="0"/>
        <v>GUZMAN DANNY</v>
      </c>
    </row>
    <row r="15" spans="1:7" x14ac:dyDescent="0.25">
      <c r="A15" s="8">
        <v>42872.08861111111</v>
      </c>
      <c r="B15" s="20" t="s">
        <v>343</v>
      </c>
      <c r="C15" s="20" t="s">
        <v>528</v>
      </c>
      <c r="D15" s="141">
        <v>3090000</v>
      </c>
      <c r="E15" s="20" t="s">
        <v>393</v>
      </c>
      <c r="F15" s="20" t="s">
        <v>394</v>
      </c>
      <c r="G15" s="8" t="str">
        <f t="shared" si="0"/>
        <v>LAMAR NEKESHA</v>
      </c>
    </row>
    <row r="16" spans="1:7" x14ac:dyDescent="0.25">
      <c r="A16" s="8">
        <v>42872.095833333333</v>
      </c>
      <c r="B16" s="20" t="s">
        <v>498</v>
      </c>
      <c r="C16" s="20" t="s">
        <v>499</v>
      </c>
      <c r="D16" s="141">
        <v>2970000</v>
      </c>
      <c r="E16" s="20" t="s">
        <v>397</v>
      </c>
      <c r="F16" s="20" t="s">
        <v>398</v>
      </c>
      <c r="G16" s="8" t="str">
        <f t="shared" si="0"/>
        <v>GUZMAN DANNY</v>
      </c>
    </row>
    <row r="17" spans="1:7" x14ac:dyDescent="0.25">
      <c r="A17" s="8">
        <v>42872.099791666667</v>
      </c>
      <c r="B17" s="20" t="s">
        <v>463</v>
      </c>
      <c r="C17" s="20" t="s">
        <v>511</v>
      </c>
      <c r="D17" s="141">
        <v>3010000</v>
      </c>
      <c r="E17" s="20" t="s">
        <v>426</v>
      </c>
      <c r="F17" s="20" t="s">
        <v>427</v>
      </c>
      <c r="G17" s="8" t="str">
        <f t="shared" si="0"/>
        <v>SULLIVAN BRANDON</v>
      </c>
    </row>
    <row r="18" spans="1:7" x14ac:dyDescent="0.25">
      <c r="A18" s="8">
        <v>42872.100324074076</v>
      </c>
      <c r="B18" s="20" t="s">
        <v>463</v>
      </c>
      <c r="C18" s="20" t="s">
        <v>511</v>
      </c>
      <c r="D18" s="141">
        <v>3010000</v>
      </c>
      <c r="E18" s="20" t="s">
        <v>426</v>
      </c>
      <c r="F18" s="20" t="s">
        <v>427</v>
      </c>
      <c r="G18" s="8" t="str">
        <f t="shared" si="0"/>
        <v>SULLIVAN BRANDON</v>
      </c>
    </row>
    <row r="19" spans="1:7" x14ac:dyDescent="0.25">
      <c r="A19" s="8">
        <v>42872.100856481484</v>
      </c>
      <c r="B19" s="20" t="s">
        <v>463</v>
      </c>
      <c r="C19" s="20" t="s">
        <v>511</v>
      </c>
      <c r="D19" s="141">
        <v>3010000</v>
      </c>
      <c r="E19" s="20" t="s">
        <v>426</v>
      </c>
      <c r="F19" s="20" t="s">
        <v>427</v>
      </c>
      <c r="G19" s="8" t="str">
        <f t="shared" si="0"/>
        <v>SULLIVAN BRANDON</v>
      </c>
    </row>
    <row r="20" spans="1:7" x14ac:dyDescent="0.25">
      <c r="A20" s="8">
        <v>42872.1018287037</v>
      </c>
      <c r="B20" s="20" t="s">
        <v>463</v>
      </c>
      <c r="C20" s="20" t="s">
        <v>511</v>
      </c>
      <c r="D20" s="141">
        <v>3010000</v>
      </c>
      <c r="E20" s="20" t="s">
        <v>426</v>
      </c>
      <c r="F20" s="20" t="s">
        <v>427</v>
      </c>
      <c r="G20" s="8" t="str">
        <f t="shared" si="0"/>
        <v>SULLIVAN BRANDON</v>
      </c>
    </row>
    <row r="21" spans="1:7" x14ac:dyDescent="0.25">
      <c r="A21" s="8">
        <v>42872.110578703701</v>
      </c>
      <c r="B21" s="20" t="s">
        <v>512</v>
      </c>
      <c r="C21" s="20" t="s">
        <v>513</v>
      </c>
      <c r="D21" s="141">
        <v>2970000</v>
      </c>
      <c r="E21" s="20" t="s">
        <v>397</v>
      </c>
      <c r="F21" s="20" t="s">
        <v>398</v>
      </c>
      <c r="G21" s="8" t="str">
        <f t="shared" si="0"/>
        <v>GUZMAN DANNY</v>
      </c>
    </row>
    <row r="22" spans="1:7" x14ac:dyDescent="0.25">
      <c r="A22" s="26">
        <v>42872.117789351854</v>
      </c>
      <c r="B22" s="20" t="s">
        <v>588</v>
      </c>
      <c r="C22" s="20" t="s">
        <v>615</v>
      </c>
      <c r="D22" s="141">
        <v>2550000</v>
      </c>
      <c r="E22" s="20" t="s">
        <v>616</v>
      </c>
      <c r="F22" s="20" t="s">
        <v>617</v>
      </c>
      <c r="G22" s="8" t="str">
        <f t="shared" si="0"/>
        <v>BADERTSCHER DIANE</v>
      </c>
    </row>
    <row r="23" spans="1:7" x14ac:dyDescent="0.25">
      <c r="A23" s="8">
        <v>42872.122407407405</v>
      </c>
      <c r="B23" s="20" t="s">
        <v>498</v>
      </c>
      <c r="C23" s="20" t="s">
        <v>499</v>
      </c>
      <c r="D23" s="141">
        <v>2970000</v>
      </c>
      <c r="E23" s="20" t="s">
        <v>397</v>
      </c>
      <c r="F23" s="20" t="s">
        <v>398</v>
      </c>
      <c r="G23" s="8" t="str">
        <f t="shared" si="0"/>
        <v>GUZMAN DANNY</v>
      </c>
    </row>
    <row r="24" spans="1:7" x14ac:dyDescent="0.25">
      <c r="A24" s="8">
        <v>42872.12976851852</v>
      </c>
      <c r="B24" s="20" t="s">
        <v>423</v>
      </c>
      <c r="C24" s="20" t="s">
        <v>581</v>
      </c>
      <c r="D24" s="141">
        <v>2550000</v>
      </c>
      <c r="E24" s="20" t="s">
        <v>616</v>
      </c>
      <c r="F24" s="20" t="s">
        <v>617</v>
      </c>
      <c r="G24" s="8" t="str">
        <f t="shared" si="0"/>
        <v>BADERTSCHER DIANE</v>
      </c>
    </row>
    <row r="25" spans="1:7" x14ac:dyDescent="0.25">
      <c r="A25" s="8">
        <v>42872.135231481479</v>
      </c>
      <c r="B25" s="20" t="s">
        <v>512</v>
      </c>
      <c r="C25" s="20" t="s">
        <v>513</v>
      </c>
      <c r="D25" s="141">
        <v>2970000</v>
      </c>
      <c r="E25" s="20" t="s">
        <v>397</v>
      </c>
      <c r="F25" s="20" t="s">
        <v>398</v>
      </c>
      <c r="G25" s="8" t="str">
        <f t="shared" si="0"/>
        <v>GUZMAN DANNY</v>
      </c>
    </row>
    <row r="26" spans="1:7" x14ac:dyDescent="0.25">
      <c r="A26" s="8">
        <v>42872.140127314815</v>
      </c>
      <c r="B26" s="20" t="s">
        <v>510</v>
      </c>
      <c r="C26" s="20" t="s">
        <v>618</v>
      </c>
      <c r="D26" s="141">
        <v>2010000</v>
      </c>
      <c r="E26" s="20" t="s">
        <v>438</v>
      </c>
      <c r="F26" s="20" t="s">
        <v>439</v>
      </c>
      <c r="G26" s="8" t="str">
        <f t="shared" si="0"/>
        <v>MAELZER KURT</v>
      </c>
    </row>
    <row r="27" spans="1:7" x14ac:dyDescent="0.25">
      <c r="A27" s="8">
        <v>42872.152858796297</v>
      </c>
      <c r="B27" s="20" t="s">
        <v>368</v>
      </c>
      <c r="C27" s="20" t="s">
        <v>619</v>
      </c>
      <c r="D27" s="141">
        <v>2010000</v>
      </c>
      <c r="E27" s="20" t="s">
        <v>438</v>
      </c>
      <c r="F27" s="20" t="s">
        <v>439</v>
      </c>
      <c r="G27" s="8" t="str">
        <f t="shared" si="0"/>
        <v>MAELZER KURT</v>
      </c>
    </row>
    <row r="28" spans="1:7" x14ac:dyDescent="0.25">
      <c r="A28" s="8">
        <v>42872.160486111112</v>
      </c>
      <c r="B28" s="20" t="s">
        <v>620</v>
      </c>
      <c r="C28" s="20" t="s">
        <v>621</v>
      </c>
      <c r="D28" s="141">
        <v>1100000</v>
      </c>
      <c r="E28" s="20" t="s">
        <v>622</v>
      </c>
      <c r="F28" s="20" t="s">
        <v>623</v>
      </c>
      <c r="G28" s="8" t="str">
        <f t="shared" si="0"/>
        <v>GEBRETEKLE DAGNEW</v>
      </c>
    </row>
    <row r="29" spans="1:7" x14ac:dyDescent="0.25">
      <c r="A29" s="8">
        <v>42872.170219907406</v>
      </c>
      <c r="B29" s="20" t="s">
        <v>588</v>
      </c>
      <c r="C29" s="20" t="s">
        <v>624</v>
      </c>
      <c r="D29" s="141">
        <v>2550000</v>
      </c>
      <c r="E29" s="20" t="s">
        <v>616</v>
      </c>
      <c r="F29" s="20" t="s">
        <v>617</v>
      </c>
      <c r="G29" s="8" t="str">
        <f t="shared" si="0"/>
        <v>BADERTSCHER DIANE</v>
      </c>
    </row>
    <row r="30" spans="1:7" x14ac:dyDescent="0.25">
      <c r="A30" s="8">
        <v>42872.171354166669</v>
      </c>
      <c r="B30" s="20" t="s">
        <v>387</v>
      </c>
      <c r="C30" s="20" t="s">
        <v>625</v>
      </c>
      <c r="D30" s="141">
        <v>940000</v>
      </c>
      <c r="E30" s="20" t="s">
        <v>464</v>
      </c>
      <c r="F30" s="20" t="s">
        <v>465</v>
      </c>
      <c r="G30" s="8" t="str">
        <f t="shared" si="0"/>
        <v>BONDS REYNALDO</v>
      </c>
    </row>
    <row r="31" spans="1:7" x14ac:dyDescent="0.25">
      <c r="A31" s="8">
        <v>42872.171886574077</v>
      </c>
      <c r="B31" s="20" t="s">
        <v>598</v>
      </c>
      <c r="C31" s="20" t="s">
        <v>626</v>
      </c>
      <c r="D31" s="141">
        <v>1100000</v>
      </c>
      <c r="E31" s="20" t="s">
        <v>622</v>
      </c>
      <c r="F31" s="20" t="s">
        <v>623</v>
      </c>
      <c r="G31" s="8" t="str">
        <f t="shared" si="0"/>
        <v>GEBRETEKLE DAGNEW</v>
      </c>
    </row>
    <row r="32" spans="1:7" x14ac:dyDescent="0.25">
      <c r="A32" s="8">
        <v>42872.181840277779</v>
      </c>
      <c r="B32" s="20" t="s">
        <v>582</v>
      </c>
      <c r="C32" s="20" t="s">
        <v>627</v>
      </c>
      <c r="D32" s="141">
        <v>1360000</v>
      </c>
      <c r="E32" s="20" t="s">
        <v>436</v>
      </c>
      <c r="F32" s="20" t="s">
        <v>437</v>
      </c>
      <c r="G32" s="8" t="str">
        <f t="shared" si="0"/>
        <v>SANTIZO D. EDY</v>
      </c>
    </row>
    <row r="33" spans="1:7" x14ac:dyDescent="0.25">
      <c r="A33" s="8">
        <v>42872.182118055556</v>
      </c>
      <c r="B33" s="20" t="s">
        <v>390</v>
      </c>
      <c r="C33" s="20" t="s">
        <v>628</v>
      </c>
      <c r="D33" s="141">
        <v>940000</v>
      </c>
      <c r="E33" s="20" t="s">
        <v>464</v>
      </c>
      <c r="F33" s="20" t="s">
        <v>465</v>
      </c>
      <c r="G33" s="8" t="str">
        <f t="shared" si="0"/>
        <v>BONDS REYNALDO</v>
      </c>
    </row>
    <row r="34" spans="1:7" x14ac:dyDescent="0.25">
      <c r="A34" s="8">
        <v>42872.188391203701</v>
      </c>
      <c r="B34" s="20" t="s">
        <v>510</v>
      </c>
      <c r="C34" s="20" t="s">
        <v>629</v>
      </c>
      <c r="D34" s="141">
        <v>2010000</v>
      </c>
      <c r="E34" s="20" t="s">
        <v>438</v>
      </c>
      <c r="F34" s="20" t="s">
        <v>439</v>
      </c>
      <c r="G34" s="8" t="str">
        <f t="shared" si="0"/>
        <v>MAELZER KURT</v>
      </c>
    </row>
    <row r="35" spans="1:7" x14ac:dyDescent="0.25">
      <c r="A35" s="8">
        <v>42872.194120370368</v>
      </c>
      <c r="B35" s="20" t="s">
        <v>592</v>
      </c>
      <c r="C35" s="20" t="s">
        <v>630</v>
      </c>
      <c r="D35" s="141">
        <v>1360000</v>
      </c>
      <c r="E35" s="20" t="s">
        <v>436</v>
      </c>
      <c r="F35" s="20" t="s">
        <v>437</v>
      </c>
      <c r="G35" s="8" t="str">
        <f t="shared" si="0"/>
        <v>SANTIZO D. EDY</v>
      </c>
    </row>
    <row r="36" spans="1:7" x14ac:dyDescent="0.25">
      <c r="A36" s="8">
        <v>42872.204236111109</v>
      </c>
      <c r="B36" s="20" t="s">
        <v>584</v>
      </c>
      <c r="C36" s="20" t="s">
        <v>631</v>
      </c>
      <c r="D36" s="141">
        <v>1830000</v>
      </c>
      <c r="E36" s="20" t="s">
        <v>632</v>
      </c>
      <c r="F36" s="20" t="s">
        <v>633</v>
      </c>
      <c r="G36" s="8" t="str">
        <f t="shared" si="0"/>
        <v>YORK EDGAR</v>
      </c>
    </row>
    <row r="37" spans="1:7" x14ac:dyDescent="0.25">
      <c r="A37" s="8">
        <v>42872.206076388888</v>
      </c>
      <c r="B37" s="20" t="s">
        <v>423</v>
      </c>
      <c r="C37" s="20" t="s">
        <v>634</v>
      </c>
      <c r="D37" s="141">
        <v>900000</v>
      </c>
      <c r="E37" s="20" t="s">
        <v>505</v>
      </c>
      <c r="F37" s="20" t="s">
        <v>506</v>
      </c>
      <c r="G37" s="8" t="str">
        <f t="shared" si="0"/>
        <v>ROCHA YAOTL</v>
      </c>
    </row>
    <row r="38" spans="1:7" x14ac:dyDescent="0.25">
      <c r="A38" s="8">
        <v>42872.209722222222</v>
      </c>
      <c r="B38" s="20" t="s">
        <v>462</v>
      </c>
      <c r="C38" s="20" t="s">
        <v>635</v>
      </c>
      <c r="D38" s="141">
        <v>2550000</v>
      </c>
      <c r="E38" s="20" t="s">
        <v>616</v>
      </c>
      <c r="F38" s="20" t="s">
        <v>617</v>
      </c>
      <c r="G38" s="8" t="str">
        <f t="shared" si="0"/>
        <v>BADERTSCHER DIANE</v>
      </c>
    </row>
    <row r="39" spans="1:7" x14ac:dyDescent="0.25">
      <c r="A39" s="8">
        <v>42872.213356481479</v>
      </c>
      <c r="B39" s="20" t="s">
        <v>601</v>
      </c>
      <c r="C39" s="20" t="s">
        <v>636</v>
      </c>
      <c r="D39" s="141">
        <v>1830000</v>
      </c>
      <c r="E39" s="20" t="s">
        <v>632</v>
      </c>
      <c r="F39" s="20" t="s">
        <v>633</v>
      </c>
      <c r="G39" s="8" t="str">
        <f t="shared" si="0"/>
        <v>YORK EDGAR</v>
      </c>
    </row>
    <row r="40" spans="1:7" x14ac:dyDescent="0.25">
      <c r="A40" s="8">
        <v>42872.213888888888</v>
      </c>
      <c r="B40" s="25" t="s">
        <v>620</v>
      </c>
      <c r="C40" s="20" t="s">
        <v>637</v>
      </c>
      <c r="D40" s="141">
        <v>1100000</v>
      </c>
      <c r="E40" s="20" t="s">
        <v>622</v>
      </c>
      <c r="F40" s="20" t="s">
        <v>623</v>
      </c>
      <c r="G40" s="8" t="str">
        <f t="shared" si="0"/>
        <v>GEBRETEKLE DAGNEW</v>
      </c>
    </row>
    <row r="41" spans="1:7" x14ac:dyDescent="0.25">
      <c r="A41" s="8">
        <v>42872.21875</v>
      </c>
      <c r="B41" s="20" t="s">
        <v>387</v>
      </c>
      <c r="C41" s="20" t="s">
        <v>638</v>
      </c>
      <c r="D41" s="141">
        <v>940000</v>
      </c>
      <c r="E41" s="20" t="s">
        <v>464</v>
      </c>
      <c r="F41" s="20" t="s">
        <v>465</v>
      </c>
      <c r="G41" s="8" t="str">
        <f t="shared" si="0"/>
        <v>BONDS REYNALDO</v>
      </c>
    </row>
    <row r="42" spans="1:7" x14ac:dyDescent="0.25">
      <c r="A42" s="8">
        <v>42872.224432870367</v>
      </c>
      <c r="B42" s="20" t="s">
        <v>582</v>
      </c>
      <c r="C42" s="20" t="s">
        <v>583</v>
      </c>
      <c r="D42" s="141">
        <v>1360000</v>
      </c>
      <c r="E42" s="20" t="s">
        <v>436</v>
      </c>
      <c r="F42" s="20" t="s">
        <v>437</v>
      </c>
      <c r="G42" s="8" t="str">
        <f t="shared" si="0"/>
        <v>SANTIZO D. EDY</v>
      </c>
    </row>
    <row r="43" spans="1:7" x14ac:dyDescent="0.25">
      <c r="A43" s="8">
        <v>42872.225254629629</v>
      </c>
      <c r="B43" s="20" t="s">
        <v>368</v>
      </c>
      <c r="C43" s="20" t="s">
        <v>639</v>
      </c>
      <c r="D43" s="141">
        <v>1110000</v>
      </c>
      <c r="E43" s="20" t="s">
        <v>501</v>
      </c>
      <c r="F43" s="20" t="s">
        <v>502</v>
      </c>
      <c r="G43" s="8" t="str">
        <f t="shared" si="0"/>
        <v>STARKS ANGELINA</v>
      </c>
    </row>
    <row r="44" spans="1:7" x14ac:dyDescent="0.25">
      <c r="A44" s="8">
        <v>42872.22625</v>
      </c>
      <c r="B44" s="20" t="s">
        <v>584</v>
      </c>
      <c r="C44" s="20" t="s">
        <v>640</v>
      </c>
      <c r="D44" s="141">
        <v>1830000</v>
      </c>
      <c r="E44" s="20" t="s">
        <v>632</v>
      </c>
      <c r="F44" s="20" t="s">
        <v>633</v>
      </c>
      <c r="G44" s="8" t="str">
        <f t="shared" si="0"/>
        <v>YORK EDGAR</v>
      </c>
    </row>
    <row r="45" spans="1:7" x14ac:dyDescent="0.25">
      <c r="A45" s="8">
        <v>42872.22960648148</v>
      </c>
      <c r="B45" s="20" t="s">
        <v>507</v>
      </c>
      <c r="C45" s="20" t="s">
        <v>641</v>
      </c>
      <c r="D45" s="141">
        <v>2010000</v>
      </c>
      <c r="E45" s="20" t="s">
        <v>438</v>
      </c>
      <c r="F45" s="20" t="s">
        <v>439</v>
      </c>
      <c r="G45" s="8" t="str">
        <f t="shared" si="0"/>
        <v>MAELZER KURT</v>
      </c>
    </row>
    <row r="46" spans="1:7" x14ac:dyDescent="0.25">
      <c r="A46" s="8">
        <v>42872.245868055557</v>
      </c>
      <c r="B46" s="20" t="s">
        <v>421</v>
      </c>
      <c r="C46" s="20" t="s">
        <v>642</v>
      </c>
      <c r="D46" s="141">
        <v>900000</v>
      </c>
      <c r="E46" s="20" t="s">
        <v>505</v>
      </c>
      <c r="F46" s="20" t="s">
        <v>506</v>
      </c>
      <c r="G46" s="8" t="str">
        <f t="shared" si="0"/>
        <v>ROCHA YAOTL</v>
      </c>
    </row>
    <row r="47" spans="1:7" x14ac:dyDescent="0.25">
      <c r="A47" s="8">
        <v>42872.246319444443</v>
      </c>
      <c r="B47" s="20" t="s">
        <v>598</v>
      </c>
      <c r="C47" s="20" t="s">
        <v>643</v>
      </c>
      <c r="D47" s="141">
        <v>1100000</v>
      </c>
      <c r="E47" s="20" t="s">
        <v>622</v>
      </c>
      <c r="F47" s="20" t="s">
        <v>623</v>
      </c>
      <c r="G47" s="8" t="str">
        <f t="shared" si="0"/>
        <v>GEBRETEKLE DAGNEW</v>
      </c>
    </row>
    <row r="48" spans="1:7" x14ac:dyDescent="0.25">
      <c r="A48" s="8">
        <v>42872.246712962966</v>
      </c>
      <c r="B48" s="20" t="s">
        <v>644</v>
      </c>
      <c r="C48" s="20" t="s">
        <v>645</v>
      </c>
      <c r="D48" s="141">
        <v>1090000</v>
      </c>
      <c r="E48" s="20" t="s">
        <v>466</v>
      </c>
      <c r="F48" s="20" t="s">
        <v>196</v>
      </c>
      <c r="G48" s="8" t="str">
        <f t="shared" si="0"/>
        <v>SPECTOR MICHAEL</v>
      </c>
    </row>
    <row r="49" spans="1:7" x14ac:dyDescent="0.25">
      <c r="A49" s="8">
        <v>42872.247465277775</v>
      </c>
      <c r="B49" s="20" t="s">
        <v>588</v>
      </c>
      <c r="C49" s="20" t="s">
        <v>646</v>
      </c>
      <c r="D49" s="141">
        <v>2550000</v>
      </c>
      <c r="E49" s="20" t="s">
        <v>616</v>
      </c>
      <c r="F49" s="20" t="s">
        <v>617</v>
      </c>
      <c r="G49" s="8" t="str">
        <f t="shared" si="0"/>
        <v>BADERTSCHER DIANE</v>
      </c>
    </row>
    <row r="50" spans="1:7" x14ac:dyDescent="0.25">
      <c r="A50" s="8">
        <v>42872.25172453704</v>
      </c>
      <c r="B50" s="20" t="s">
        <v>647</v>
      </c>
      <c r="C50" s="20" t="s">
        <v>648</v>
      </c>
      <c r="D50" s="141">
        <v>890000</v>
      </c>
      <c r="E50" s="20" t="s">
        <v>503</v>
      </c>
      <c r="F50" s="20" t="s">
        <v>504</v>
      </c>
      <c r="G50" s="8" t="str">
        <f t="shared" si="0"/>
        <v>LOZA FIDEL</v>
      </c>
    </row>
    <row r="51" spans="1:7" x14ac:dyDescent="0.25">
      <c r="A51" s="8">
        <v>42872.253541666665</v>
      </c>
      <c r="B51" s="20" t="s">
        <v>601</v>
      </c>
      <c r="C51" s="20" t="s">
        <v>649</v>
      </c>
      <c r="D51" s="141">
        <v>1830000</v>
      </c>
      <c r="E51" s="20" t="s">
        <v>632</v>
      </c>
      <c r="F51" s="20" t="s">
        <v>633</v>
      </c>
      <c r="G51" s="8" t="str">
        <f t="shared" si="0"/>
        <v>YORK EDGAR</v>
      </c>
    </row>
    <row r="52" spans="1:7" x14ac:dyDescent="0.25">
      <c r="A52" s="8">
        <v>42872.255798611113</v>
      </c>
      <c r="B52" s="20" t="s">
        <v>390</v>
      </c>
      <c r="C52" s="20" t="s">
        <v>650</v>
      </c>
      <c r="D52" s="141">
        <v>940000</v>
      </c>
      <c r="E52" s="20" t="s">
        <v>464</v>
      </c>
      <c r="F52" s="20" t="s">
        <v>465</v>
      </c>
      <c r="G52" s="8" t="str">
        <f t="shared" si="0"/>
        <v>BONDS REYNALDO</v>
      </c>
    </row>
    <row r="53" spans="1:7" x14ac:dyDescent="0.25">
      <c r="A53" s="8">
        <v>42872.25677083333</v>
      </c>
      <c r="B53" s="20" t="s">
        <v>620</v>
      </c>
      <c r="C53" s="20" t="s">
        <v>645</v>
      </c>
      <c r="D53" s="141">
        <v>1090000</v>
      </c>
      <c r="E53" s="20" t="s">
        <v>466</v>
      </c>
      <c r="F53" s="20" t="s">
        <v>196</v>
      </c>
      <c r="G53" s="8" t="str">
        <f t="shared" si="0"/>
        <v>SPECTOR MICHAEL</v>
      </c>
    </row>
    <row r="54" spans="1:7" x14ac:dyDescent="0.25">
      <c r="A54" s="8">
        <v>42872.257754629631</v>
      </c>
      <c r="B54" s="20" t="s">
        <v>620</v>
      </c>
      <c r="C54" s="20" t="s">
        <v>645</v>
      </c>
      <c r="D54" s="141">
        <v>1090000</v>
      </c>
      <c r="E54" s="20" t="s">
        <v>466</v>
      </c>
      <c r="F54" s="20" t="s">
        <v>196</v>
      </c>
      <c r="G54" s="8" t="str">
        <f t="shared" si="0"/>
        <v>SPECTOR MICHAEL</v>
      </c>
    </row>
    <row r="55" spans="1:7" x14ac:dyDescent="0.25">
      <c r="A55" s="8">
        <v>42872.262986111113</v>
      </c>
      <c r="B55" s="20" t="s">
        <v>651</v>
      </c>
      <c r="C55" s="20" t="s">
        <v>652</v>
      </c>
      <c r="D55" s="141">
        <v>890000</v>
      </c>
      <c r="E55" s="20" t="s">
        <v>503</v>
      </c>
      <c r="F55" s="20" t="s">
        <v>504</v>
      </c>
      <c r="G55" s="8" t="str">
        <f t="shared" si="0"/>
        <v>LOZA FIDEL</v>
      </c>
    </row>
    <row r="56" spans="1:7" x14ac:dyDescent="0.25">
      <c r="A56" s="8">
        <v>42872.264594907407</v>
      </c>
      <c r="B56" s="20" t="s">
        <v>592</v>
      </c>
      <c r="C56" s="20" t="s">
        <v>653</v>
      </c>
      <c r="D56" s="141">
        <v>1360000</v>
      </c>
      <c r="E56" s="20" t="s">
        <v>436</v>
      </c>
      <c r="F56" s="20" t="s">
        <v>437</v>
      </c>
      <c r="G56" s="8" t="str">
        <f t="shared" si="0"/>
        <v>SANTIZO D. EDY</v>
      </c>
    </row>
    <row r="57" spans="1:7" x14ac:dyDescent="0.25">
      <c r="A57" s="8">
        <v>42872.267118055555</v>
      </c>
      <c r="B57" s="20" t="s">
        <v>374</v>
      </c>
      <c r="C57" s="20" t="s">
        <v>654</v>
      </c>
      <c r="D57" s="141">
        <v>1110000</v>
      </c>
      <c r="E57" s="20" t="s">
        <v>501</v>
      </c>
      <c r="F57" s="20" t="s">
        <v>502</v>
      </c>
      <c r="G57" s="8" t="str">
        <f t="shared" si="0"/>
        <v>STARKS ANGELINA</v>
      </c>
    </row>
    <row r="58" spans="1:7" x14ac:dyDescent="0.25">
      <c r="A58" s="8">
        <v>42872.268576388888</v>
      </c>
      <c r="B58" s="20" t="s">
        <v>584</v>
      </c>
      <c r="C58" s="20" t="s">
        <v>585</v>
      </c>
      <c r="D58" s="141">
        <v>1830000</v>
      </c>
      <c r="E58" s="20" t="s">
        <v>632</v>
      </c>
      <c r="F58" s="20" t="s">
        <v>633</v>
      </c>
      <c r="G58" s="8" t="str">
        <f t="shared" si="0"/>
        <v>YORK EDGAR</v>
      </c>
    </row>
    <row r="59" spans="1:7" x14ac:dyDescent="0.25">
      <c r="A59" s="8">
        <v>42872.273449074077</v>
      </c>
      <c r="B59" s="20" t="s">
        <v>510</v>
      </c>
      <c r="C59" s="20" t="s">
        <v>655</v>
      </c>
      <c r="D59" s="141">
        <v>2010000</v>
      </c>
      <c r="E59" s="20" t="s">
        <v>438</v>
      </c>
      <c r="F59" s="20" t="s">
        <v>439</v>
      </c>
      <c r="G59" s="8" t="str">
        <f t="shared" si="0"/>
        <v>MAELZER KURT</v>
      </c>
    </row>
    <row r="60" spans="1:7" x14ac:dyDescent="0.25">
      <c r="A60" s="8">
        <v>42872.276145833333</v>
      </c>
      <c r="B60" s="20" t="s">
        <v>647</v>
      </c>
      <c r="C60" s="20" t="s">
        <v>656</v>
      </c>
      <c r="D60" s="141">
        <v>890000</v>
      </c>
      <c r="E60" s="20" t="s">
        <v>503</v>
      </c>
      <c r="F60" s="20" t="s">
        <v>504</v>
      </c>
      <c r="G60" s="8" t="str">
        <f t="shared" si="0"/>
        <v>LOZA FIDEL</v>
      </c>
    </row>
    <row r="61" spans="1:7" x14ac:dyDescent="0.25">
      <c r="A61" s="8">
        <v>42872.280127314814</v>
      </c>
      <c r="B61" s="20" t="s">
        <v>423</v>
      </c>
      <c r="C61" s="20" t="s">
        <v>657</v>
      </c>
      <c r="D61" s="141">
        <v>900000</v>
      </c>
      <c r="E61" s="20" t="s">
        <v>505</v>
      </c>
      <c r="F61" s="20" t="s">
        <v>506</v>
      </c>
      <c r="G61" s="8" t="str">
        <f t="shared" si="0"/>
        <v>ROCHA YAOTL</v>
      </c>
    </row>
    <row r="62" spans="1:7" x14ac:dyDescent="0.25">
      <c r="A62" s="8">
        <v>42872.28638888889</v>
      </c>
      <c r="B62" s="20" t="s">
        <v>658</v>
      </c>
      <c r="C62" s="20" t="s">
        <v>659</v>
      </c>
      <c r="D62" s="141">
        <v>1100000</v>
      </c>
      <c r="E62" s="20" t="s">
        <v>622</v>
      </c>
      <c r="F62" s="20" t="s">
        <v>623</v>
      </c>
      <c r="G62" s="8" t="str">
        <f t="shared" si="0"/>
        <v>GEBRETEKLE DAGNEW</v>
      </c>
    </row>
    <row r="63" spans="1:7" x14ac:dyDescent="0.25">
      <c r="A63" s="8">
        <v>42872.288564814815</v>
      </c>
      <c r="B63" s="20" t="s">
        <v>462</v>
      </c>
      <c r="C63" s="20" t="s">
        <v>660</v>
      </c>
      <c r="D63" s="141">
        <v>2550000</v>
      </c>
      <c r="E63" s="20" t="s">
        <v>616</v>
      </c>
      <c r="F63" s="20" t="s">
        <v>617</v>
      </c>
      <c r="G63" s="8" t="str">
        <f t="shared" si="0"/>
        <v>BADERTSCHER DIANE</v>
      </c>
    </row>
    <row r="64" spans="1:7" x14ac:dyDescent="0.25">
      <c r="A64" s="26">
        <v>42872.295995370368</v>
      </c>
      <c r="B64" s="20" t="s">
        <v>601</v>
      </c>
      <c r="C64" s="20" t="s">
        <v>661</v>
      </c>
      <c r="D64" s="141">
        <v>1830000</v>
      </c>
      <c r="E64" s="20" t="s">
        <v>632</v>
      </c>
      <c r="F64" s="20" t="s">
        <v>633</v>
      </c>
      <c r="G64" s="8" t="str">
        <f t="shared" si="0"/>
        <v>YORK EDGAR</v>
      </c>
    </row>
    <row r="65" spans="1:7" x14ac:dyDescent="0.25">
      <c r="A65" s="8">
        <v>42872.296701388892</v>
      </c>
      <c r="B65" s="20" t="s">
        <v>582</v>
      </c>
      <c r="C65" s="20" t="s">
        <v>662</v>
      </c>
      <c r="D65" s="141">
        <v>1360000</v>
      </c>
      <c r="E65" s="20" t="s">
        <v>436</v>
      </c>
      <c r="F65" s="20" t="s">
        <v>437</v>
      </c>
      <c r="G65" s="8" t="str">
        <f t="shared" si="0"/>
        <v>SANTIZO D. EDY</v>
      </c>
    </row>
    <row r="66" spans="1:7" x14ac:dyDescent="0.25">
      <c r="A66" s="8">
        <v>42872.298275462963</v>
      </c>
      <c r="B66" s="20" t="s">
        <v>387</v>
      </c>
      <c r="C66" s="20" t="s">
        <v>587</v>
      </c>
      <c r="D66" s="141">
        <v>940000</v>
      </c>
      <c r="E66" s="20" t="s">
        <v>464</v>
      </c>
      <c r="F66" s="20" t="s">
        <v>465</v>
      </c>
      <c r="G66" s="8" t="str">
        <f t="shared" si="0"/>
        <v>BONDS REYNALDO</v>
      </c>
    </row>
    <row r="67" spans="1:7" x14ac:dyDescent="0.25">
      <c r="A67" s="8">
        <v>42872.29991898148</v>
      </c>
      <c r="B67" s="20" t="s">
        <v>368</v>
      </c>
      <c r="C67" s="20" t="s">
        <v>586</v>
      </c>
      <c r="D67" s="141">
        <v>1110000</v>
      </c>
      <c r="E67" s="20" t="s">
        <v>501</v>
      </c>
      <c r="F67" s="20" t="s">
        <v>502</v>
      </c>
      <c r="G67" s="8" t="str">
        <f t="shared" ref="G67:G130" si="1">E67&amp;" "&amp;F67</f>
        <v>STARKS ANGELINA</v>
      </c>
    </row>
    <row r="68" spans="1:7" x14ac:dyDescent="0.25">
      <c r="A68" s="8">
        <v>42872.305335648147</v>
      </c>
      <c r="B68" s="20" t="s">
        <v>651</v>
      </c>
      <c r="C68" s="20" t="s">
        <v>663</v>
      </c>
      <c r="D68" s="141">
        <v>890000</v>
      </c>
      <c r="E68" s="20" t="s">
        <v>503</v>
      </c>
      <c r="F68" s="20" t="s">
        <v>504</v>
      </c>
      <c r="G68" s="8" t="str">
        <f t="shared" si="1"/>
        <v>LOZA FIDEL</v>
      </c>
    </row>
    <row r="69" spans="1:7" x14ac:dyDescent="0.25">
      <c r="A69" s="8">
        <v>42872.307303240741</v>
      </c>
      <c r="B69" s="20" t="s">
        <v>507</v>
      </c>
      <c r="C69" s="20" t="s">
        <v>664</v>
      </c>
      <c r="D69" s="141">
        <v>2010000</v>
      </c>
      <c r="E69" s="20" t="s">
        <v>438</v>
      </c>
      <c r="F69" s="20" t="s">
        <v>439</v>
      </c>
      <c r="G69" s="8" t="str">
        <f t="shared" si="1"/>
        <v>MAELZER KURT</v>
      </c>
    </row>
    <row r="70" spans="1:7" x14ac:dyDescent="0.25">
      <c r="A70" s="8">
        <v>42872.311874999999</v>
      </c>
      <c r="B70" s="20" t="s">
        <v>584</v>
      </c>
      <c r="C70" s="20" t="s">
        <v>665</v>
      </c>
      <c r="D70" s="141">
        <v>1830000</v>
      </c>
      <c r="E70" s="20" t="s">
        <v>632</v>
      </c>
      <c r="F70" s="20" t="s">
        <v>633</v>
      </c>
      <c r="G70" s="8" t="str">
        <f t="shared" si="1"/>
        <v>YORK EDGAR</v>
      </c>
    </row>
    <row r="71" spans="1:7" x14ac:dyDescent="0.25">
      <c r="A71" s="8">
        <v>42872.318599537037</v>
      </c>
      <c r="B71" s="20" t="s">
        <v>598</v>
      </c>
      <c r="C71" s="20" t="s">
        <v>666</v>
      </c>
      <c r="D71" s="141">
        <v>1100000</v>
      </c>
      <c r="E71" s="20" t="s">
        <v>622</v>
      </c>
      <c r="F71" s="20" t="s">
        <v>623</v>
      </c>
      <c r="G71" s="8" t="str">
        <f t="shared" si="1"/>
        <v>GEBRETEKLE DAGNEW</v>
      </c>
    </row>
    <row r="72" spans="1:7" x14ac:dyDescent="0.25">
      <c r="A72" s="8">
        <v>42872.318726851852</v>
      </c>
      <c r="B72" s="20" t="s">
        <v>647</v>
      </c>
      <c r="C72" s="20" t="s">
        <v>667</v>
      </c>
      <c r="D72" s="141">
        <v>890000</v>
      </c>
      <c r="E72" s="20" t="s">
        <v>503</v>
      </c>
      <c r="F72" s="20" t="s">
        <v>504</v>
      </c>
      <c r="G72" s="8" t="str">
        <f t="shared" si="1"/>
        <v>LOZA FIDEL</v>
      </c>
    </row>
    <row r="73" spans="1:7" x14ac:dyDescent="0.25">
      <c r="A73" s="8">
        <v>42872.320254629631</v>
      </c>
      <c r="B73" s="20" t="s">
        <v>421</v>
      </c>
      <c r="C73" s="20" t="s">
        <v>668</v>
      </c>
      <c r="D73" s="141">
        <v>900000</v>
      </c>
      <c r="E73" s="20" t="s">
        <v>505</v>
      </c>
      <c r="F73" s="20" t="s">
        <v>506</v>
      </c>
      <c r="G73" s="8" t="str">
        <f t="shared" si="1"/>
        <v>ROCHA YAOTL</v>
      </c>
    </row>
    <row r="74" spans="1:7" x14ac:dyDescent="0.25">
      <c r="A74" s="8">
        <v>42872.324502314812</v>
      </c>
      <c r="B74" s="20" t="s">
        <v>588</v>
      </c>
      <c r="C74" s="20" t="s">
        <v>669</v>
      </c>
      <c r="D74" s="141">
        <v>2550000</v>
      </c>
      <c r="E74" s="20" t="s">
        <v>616</v>
      </c>
      <c r="F74" s="20" t="s">
        <v>617</v>
      </c>
      <c r="G74" s="8" t="str">
        <f t="shared" si="1"/>
        <v>BADERTSCHER DIANE</v>
      </c>
    </row>
    <row r="75" spans="1:7" x14ac:dyDescent="0.25">
      <c r="A75" s="8">
        <v>42872.329074074078</v>
      </c>
      <c r="B75" s="20" t="s">
        <v>390</v>
      </c>
      <c r="C75" s="20" t="s">
        <v>670</v>
      </c>
      <c r="D75" s="141">
        <v>940000</v>
      </c>
      <c r="E75" s="20" t="s">
        <v>464</v>
      </c>
      <c r="F75" s="20" t="s">
        <v>465</v>
      </c>
      <c r="G75" s="8" t="str">
        <f t="shared" si="1"/>
        <v>BONDS REYNALDO</v>
      </c>
    </row>
    <row r="76" spans="1:7" x14ac:dyDescent="0.25">
      <c r="A76" s="8">
        <v>42872.333287037036</v>
      </c>
      <c r="B76" s="20" t="s">
        <v>651</v>
      </c>
      <c r="C76" s="20" t="s">
        <v>671</v>
      </c>
      <c r="D76" s="141">
        <v>890000</v>
      </c>
      <c r="E76" s="20" t="s">
        <v>503</v>
      </c>
      <c r="F76" s="20" t="s">
        <v>504</v>
      </c>
      <c r="G76" s="8" t="str">
        <f t="shared" si="1"/>
        <v>LOZA FIDEL</v>
      </c>
    </row>
    <row r="77" spans="1:7" x14ac:dyDescent="0.25">
      <c r="A77" s="8">
        <v>42872.336840277778</v>
      </c>
      <c r="B77" s="20" t="s">
        <v>601</v>
      </c>
      <c r="C77" s="20" t="s">
        <v>672</v>
      </c>
      <c r="D77" s="141">
        <v>1830000</v>
      </c>
      <c r="E77" s="20" t="s">
        <v>632</v>
      </c>
      <c r="F77" s="20" t="s">
        <v>633</v>
      </c>
      <c r="G77" s="8" t="str">
        <f t="shared" si="1"/>
        <v>YORK EDGAR</v>
      </c>
    </row>
    <row r="78" spans="1:7" x14ac:dyDescent="0.25">
      <c r="A78" s="8">
        <v>42872.338553240741</v>
      </c>
      <c r="B78" s="20" t="s">
        <v>592</v>
      </c>
      <c r="C78" s="20" t="s">
        <v>673</v>
      </c>
      <c r="D78" s="141">
        <v>1360000</v>
      </c>
      <c r="E78" s="20" t="s">
        <v>436</v>
      </c>
      <c r="F78" s="20" t="s">
        <v>437</v>
      </c>
      <c r="G78" s="8" t="str">
        <f t="shared" si="1"/>
        <v>SANTIZO D. EDY</v>
      </c>
    </row>
    <row r="79" spans="1:7" x14ac:dyDescent="0.25">
      <c r="A79" s="8">
        <v>42872.340081018519</v>
      </c>
      <c r="B79" s="20" t="s">
        <v>374</v>
      </c>
      <c r="C79" s="20" t="s">
        <v>674</v>
      </c>
      <c r="D79" s="141">
        <v>1110000</v>
      </c>
      <c r="E79" s="20" t="s">
        <v>501</v>
      </c>
      <c r="F79" s="20" t="s">
        <v>502</v>
      </c>
      <c r="G79" s="8" t="str">
        <f t="shared" si="1"/>
        <v>STARKS ANGELINA</v>
      </c>
    </row>
    <row r="80" spans="1:7" x14ac:dyDescent="0.25">
      <c r="A80" s="8">
        <v>42872.343622685185</v>
      </c>
      <c r="B80" s="20" t="s">
        <v>510</v>
      </c>
      <c r="C80" s="20" t="s">
        <v>675</v>
      </c>
      <c r="D80" s="141">
        <v>2010000</v>
      </c>
      <c r="E80" s="20" t="s">
        <v>438</v>
      </c>
      <c r="F80" s="20" t="s">
        <v>439</v>
      </c>
      <c r="G80" s="8" t="str">
        <f t="shared" si="1"/>
        <v>MAELZER KURT</v>
      </c>
    </row>
    <row r="81" spans="1:7" x14ac:dyDescent="0.25">
      <c r="A81" s="8">
        <v>42872.349236111113</v>
      </c>
      <c r="B81" s="20" t="s">
        <v>423</v>
      </c>
      <c r="C81" s="20" t="s">
        <v>676</v>
      </c>
      <c r="D81" s="141">
        <v>900000</v>
      </c>
      <c r="E81" s="20" t="s">
        <v>505</v>
      </c>
      <c r="F81" s="20" t="s">
        <v>506</v>
      </c>
      <c r="G81" s="8" t="str">
        <f t="shared" si="1"/>
        <v>ROCHA YAOTL</v>
      </c>
    </row>
    <row r="82" spans="1:7" x14ac:dyDescent="0.25">
      <c r="A82" s="8">
        <v>42872.351435185185</v>
      </c>
      <c r="B82" s="20" t="s">
        <v>584</v>
      </c>
      <c r="C82" s="20" t="s">
        <v>677</v>
      </c>
      <c r="D82" s="141">
        <v>1830000</v>
      </c>
      <c r="E82" s="20" t="s">
        <v>632</v>
      </c>
      <c r="F82" s="20" t="s">
        <v>633</v>
      </c>
      <c r="G82" s="8" t="str">
        <f t="shared" si="1"/>
        <v>YORK EDGAR</v>
      </c>
    </row>
    <row r="83" spans="1:7" x14ac:dyDescent="0.25">
      <c r="A83" s="8">
        <v>42872.356828703705</v>
      </c>
      <c r="B83" s="20" t="s">
        <v>658</v>
      </c>
      <c r="C83" s="20" t="s">
        <v>678</v>
      </c>
      <c r="D83" s="141">
        <v>1100000</v>
      </c>
      <c r="E83" s="20" t="s">
        <v>622</v>
      </c>
      <c r="F83" s="20" t="s">
        <v>623</v>
      </c>
      <c r="G83" s="8" t="str">
        <f t="shared" si="1"/>
        <v>GEBRETEKLE DAGNEW</v>
      </c>
    </row>
    <row r="84" spans="1:7" x14ac:dyDescent="0.25">
      <c r="A84" s="8">
        <v>42872.35833333333</v>
      </c>
      <c r="B84" s="20" t="s">
        <v>647</v>
      </c>
      <c r="C84" s="20" t="s">
        <v>679</v>
      </c>
      <c r="D84" s="141">
        <v>890000</v>
      </c>
      <c r="E84" s="20" t="s">
        <v>503</v>
      </c>
      <c r="F84" s="20" t="s">
        <v>504</v>
      </c>
      <c r="G84" s="8" t="str">
        <f t="shared" si="1"/>
        <v>LOZA FIDEL</v>
      </c>
    </row>
    <row r="85" spans="1:7" x14ac:dyDescent="0.25">
      <c r="A85" s="8">
        <v>42872.360914351855</v>
      </c>
      <c r="B85" s="20" t="s">
        <v>462</v>
      </c>
      <c r="C85" s="20" t="s">
        <v>680</v>
      </c>
      <c r="D85" s="141">
        <v>2550000</v>
      </c>
      <c r="E85" s="20" t="s">
        <v>616</v>
      </c>
      <c r="F85" s="20" t="s">
        <v>617</v>
      </c>
      <c r="G85" s="8" t="str">
        <f t="shared" si="1"/>
        <v>BADERTSCHER DIANE</v>
      </c>
    </row>
    <row r="86" spans="1:7" x14ac:dyDescent="0.25">
      <c r="A86" s="8">
        <v>42872.368750000001</v>
      </c>
      <c r="B86" s="20" t="s">
        <v>387</v>
      </c>
      <c r="C86" s="20" t="s">
        <v>681</v>
      </c>
      <c r="D86" s="141">
        <v>940000</v>
      </c>
      <c r="E86" s="20" t="s">
        <v>464</v>
      </c>
      <c r="F86" s="20" t="s">
        <v>465</v>
      </c>
      <c r="G86" s="8" t="str">
        <f t="shared" si="1"/>
        <v>BONDS REYNALDO</v>
      </c>
    </row>
    <row r="87" spans="1:7" x14ac:dyDescent="0.25">
      <c r="A87" s="8">
        <v>42872.369699074072</v>
      </c>
      <c r="B87" s="20" t="s">
        <v>368</v>
      </c>
      <c r="C87" s="20" t="s">
        <v>682</v>
      </c>
      <c r="D87" s="141">
        <v>1110000</v>
      </c>
      <c r="E87" s="20" t="s">
        <v>501</v>
      </c>
      <c r="F87" s="20" t="s">
        <v>502</v>
      </c>
      <c r="G87" s="8" t="str">
        <f t="shared" si="1"/>
        <v>STARKS ANGELINA</v>
      </c>
    </row>
    <row r="88" spans="1:7" x14ac:dyDescent="0.25">
      <c r="A88" s="8">
        <v>42872.370659722219</v>
      </c>
      <c r="B88" s="20" t="s">
        <v>582</v>
      </c>
      <c r="C88" s="20" t="s">
        <v>683</v>
      </c>
      <c r="D88" s="141">
        <v>1360000</v>
      </c>
      <c r="E88" s="20" t="s">
        <v>436</v>
      </c>
      <c r="F88" s="20" t="s">
        <v>437</v>
      </c>
      <c r="G88" s="8" t="str">
        <f t="shared" si="1"/>
        <v>SANTIZO D. EDY</v>
      </c>
    </row>
    <row r="89" spans="1:7" x14ac:dyDescent="0.25">
      <c r="A89" s="8">
        <v>42872.38208333333</v>
      </c>
      <c r="B89" s="20" t="s">
        <v>507</v>
      </c>
      <c r="C89" s="20" t="s">
        <v>684</v>
      </c>
      <c r="D89" s="141">
        <v>2010000</v>
      </c>
      <c r="E89" s="20" t="s">
        <v>438</v>
      </c>
      <c r="F89" s="20" t="s">
        <v>439</v>
      </c>
      <c r="G89" s="8" t="str">
        <f t="shared" si="1"/>
        <v>MAELZER KURT</v>
      </c>
    </row>
    <row r="90" spans="1:7" x14ac:dyDescent="0.25">
      <c r="A90" s="8">
        <v>42872.384791666664</v>
      </c>
      <c r="B90" s="20" t="s">
        <v>651</v>
      </c>
      <c r="C90" s="20" t="s">
        <v>685</v>
      </c>
      <c r="D90" s="141">
        <v>890000</v>
      </c>
      <c r="E90" s="20" t="s">
        <v>503</v>
      </c>
      <c r="F90" s="20" t="s">
        <v>504</v>
      </c>
      <c r="G90" s="8" t="str">
        <f t="shared" si="1"/>
        <v>LOZA FIDEL</v>
      </c>
    </row>
    <row r="91" spans="1:7" x14ac:dyDescent="0.25">
      <c r="A91" s="8">
        <v>42872.39</v>
      </c>
      <c r="B91" s="20" t="s">
        <v>421</v>
      </c>
      <c r="C91" s="20" t="s">
        <v>686</v>
      </c>
      <c r="D91" s="141">
        <v>900000</v>
      </c>
      <c r="E91" s="20" t="s">
        <v>505</v>
      </c>
      <c r="F91" s="20" t="s">
        <v>506</v>
      </c>
      <c r="G91" s="8" t="str">
        <f t="shared" si="1"/>
        <v>ROCHA YAOTL</v>
      </c>
    </row>
    <row r="92" spans="1:7" x14ac:dyDescent="0.25">
      <c r="A92" s="8">
        <v>42872.390034722222</v>
      </c>
      <c r="B92" s="20" t="s">
        <v>598</v>
      </c>
      <c r="C92" s="20" t="s">
        <v>687</v>
      </c>
      <c r="D92" s="141">
        <v>1100000</v>
      </c>
      <c r="E92" s="20" t="s">
        <v>622</v>
      </c>
      <c r="F92" s="20" t="s">
        <v>623</v>
      </c>
      <c r="G92" s="8" t="str">
        <f t="shared" si="1"/>
        <v>GEBRETEKLE DAGNEW</v>
      </c>
    </row>
    <row r="93" spans="1:7" x14ac:dyDescent="0.25">
      <c r="A93" s="8">
        <v>42872.396261574075</v>
      </c>
      <c r="B93" s="20" t="s">
        <v>588</v>
      </c>
      <c r="C93" s="20" t="s">
        <v>589</v>
      </c>
      <c r="D93" s="141">
        <v>2550000</v>
      </c>
      <c r="E93" s="20" t="s">
        <v>616</v>
      </c>
      <c r="F93" s="20" t="s">
        <v>617</v>
      </c>
      <c r="G93" s="8" t="str">
        <f t="shared" si="1"/>
        <v>BADERTSCHER DIANE</v>
      </c>
    </row>
    <row r="94" spans="1:7" x14ac:dyDescent="0.25">
      <c r="A94" s="8">
        <v>42872.400960648149</v>
      </c>
      <c r="B94" s="20" t="s">
        <v>647</v>
      </c>
      <c r="C94" s="20" t="s">
        <v>688</v>
      </c>
      <c r="D94" s="141">
        <v>890000</v>
      </c>
      <c r="E94" s="20" t="s">
        <v>503</v>
      </c>
      <c r="F94" s="20" t="s">
        <v>504</v>
      </c>
      <c r="G94" s="8" t="str">
        <f t="shared" si="1"/>
        <v>LOZA FIDEL</v>
      </c>
    </row>
    <row r="95" spans="1:7" x14ac:dyDescent="0.25">
      <c r="A95" s="8">
        <v>42872.401736111111</v>
      </c>
      <c r="B95" s="20" t="s">
        <v>390</v>
      </c>
      <c r="C95" s="20" t="s">
        <v>689</v>
      </c>
      <c r="D95" s="141">
        <v>940000</v>
      </c>
      <c r="E95" s="20" t="s">
        <v>464</v>
      </c>
      <c r="F95" s="20" t="s">
        <v>465</v>
      </c>
      <c r="G95" s="8" t="str">
        <f t="shared" si="1"/>
        <v>BONDS REYNALDO</v>
      </c>
    </row>
    <row r="96" spans="1:7" x14ac:dyDescent="0.25">
      <c r="A96" s="8">
        <v>42872.410208333335</v>
      </c>
      <c r="B96" s="20" t="s">
        <v>592</v>
      </c>
      <c r="C96" s="20" t="s">
        <v>690</v>
      </c>
      <c r="D96" s="141">
        <v>1360000</v>
      </c>
      <c r="E96" s="20" t="s">
        <v>436</v>
      </c>
      <c r="F96" s="20" t="s">
        <v>437</v>
      </c>
      <c r="G96" s="8" t="str">
        <f t="shared" si="1"/>
        <v>SANTIZO D. EDY</v>
      </c>
    </row>
    <row r="97" spans="1:7" x14ac:dyDescent="0.25">
      <c r="A97" s="8">
        <v>42872.411041666666</v>
      </c>
      <c r="B97" s="20" t="s">
        <v>374</v>
      </c>
      <c r="C97" s="20" t="s">
        <v>691</v>
      </c>
      <c r="D97" s="141">
        <v>1110000</v>
      </c>
      <c r="E97" s="20" t="s">
        <v>501</v>
      </c>
      <c r="F97" s="20" t="s">
        <v>502</v>
      </c>
      <c r="G97" s="8" t="str">
        <f t="shared" si="1"/>
        <v>STARKS ANGELINA</v>
      </c>
    </row>
    <row r="98" spans="1:7" x14ac:dyDescent="0.25">
      <c r="A98" s="8">
        <v>42872.41679398148</v>
      </c>
      <c r="B98" s="20" t="s">
        <v>651</v>
      </c>
      <c r="C98" s="20" t="s">
        <v>692</v>
      </c>
      <c r="D98" s="141">
        <v>890000</v>
      </c>
      <c r="E98" s="20" t="s">
        <v>503</v>
      </c>
      <c r="F98" s="20" t="s">
        <v>504</v>
      </c>
      <c r="G98" s="8" t="str">
        <f t="shared" si="1"/>
        <v>LOZA FIDEL</v>
      </c>
    </row>
    <row r="99" spans="1:7" x14ac:dyDescent="0.25">
      <c r="A99" s="8">
        <v>42872.41946759259</v>
      </c>
      <c r="B99" s="20" t="s">
        <v>510</v>
      </c>
      <c r="C99" s="20" t="s">
        <v>693</v>
      </c>
      <c r="D99" s="141">
        <v>2010000</v>
      </c>
      <c r="E99" s="20" t="s">
        <v>438</v>
      </c>
      <c r="F99" s="20" t="s">
        <v>439</v>
      </c>
      <c r="G99" s="8" t="str">
        <f t="shared" si="1"/>
        <v>MAELZER KURT</v>
      </c>
    </row>
    <row r="100" spans="1:7" x14ac:dyDescent="0.25">
      <c r="A100" s="8">
        <v>42872.422951388886</v>
      </c>
      <c r="B100" s="20" t="s">
        <v>658</v>
      </c>
      <c r="C100" s="20" t="s">
        <v>694</v>
      </c>
      <c r="D100" s="141">
        <v>1100000</v>
      </c>
      <c r="E100" s="20" t="s">
        <v>622</v>
      </c>
      <c r="F100" s="20" t="s">
        <v>623</v>
      </c>
      <c r="G100" s="8" t="str">
        <f t="shared" si="1"/>
        <v>GEBRETEKLE DAGNEW</v>
      </c>
    </row>
    <row r="101" spans="1:7" x14ac:dyDescent="0.25">
      <c r="A101" s="8">
        <v>42872.42392361111</v>
      </c>
      <c r="B101" s="20" t="s">
        <v>423</v>
      </c>
      <c r="C101" s="20" t="s">
        <v>695</v>
      </c>
      <c r="D101" s="141">
        <v>900000</v>
      </c>
      <c r="E101" s="20" t="s">
        <v>505</v>
      </c>
      <c r="F101" s="20" t="s">
        <v>506</v>
      </c>
      <c r="G101" s="8" t="str">
        <f t="shared" si="1"/>
        <v>ROCHA YAOTL</v>
      </c>
    </row>
    <row r="102" spans="1:7" x14ac:dyDescent="0.25">
      <c r="A102" s="8">
        <v>42872.433680555558</v>
      </c>
      <c r="B102" s="20" t="s">
        <v>462</v>
      </c>
      <c r="C102" s="20" t="s">
        <v>696</v>
      </c>
      <c r="D102" s="141">
        <v>1830000</v>
      </c>
      <c r="E102" s="20" t="s">
        <v>632</v>
      </c>
      <c r="F102" s="20" t="s">
        <v>633</v>
      </c>
      <c r="G102" s="8" t="str">
        <f t="shared" si="1"/>
        <v>YORK EDGAR</v>
      </c>
    </row>
    <row r="103" spans="1:7" x14ac:dyDescent="0.25">
      <c r="A103" s="8">
        <v>42872.434490740743</v>
      </c>
      <c r="B103" s="20" t="s">
        <v>492</v>
      </c>
      <c r="C103" s="20" t="s">
        <v>590</v>
      </c>
      <c r="D103" s="141">
        <v>1780000</v>
      </c>
      <c r="E103" s="20" t="s">
        <v>508</v>
      </c>
      <c r="F103" s="20" t="s">
        <v>509</v>
      </c>
      <c r="G103" s="8" t="str">
        <f t="shared" si="1"/>
        <v>DE LA ROSA ALEX</v>
      </c>
    </row>
    <row r="104" spans="1:7" x14ac:dyDescent="0.25">
      <c r="A104" s="8">
        <v>42872.442245370374</v>
      </c>
      <c r="B104" s="20" t="s">
        <v>387</v>
      </c>
      <c r="C104" s="20" t="s">
        <v>697</v>
      </c>
      <c r="D104" s="141">
        <v>940000</v>
      </c>
      <c r="E104" s="20" t="s">
        <v>464</v>
      </c>
      <c r="F104" s="20" t="s">
        <v>465</v>
      </c>
      <c r="G104" s="8" t="str">
        <f t="shared" si="1"/>
        <v>BONDS REYNALDO</v>
      </c>
    </row>
    <row r="105" spans="1:7" x14ac:dyDescent="0.25">
      <c r="A105" s="8">
        <v>42872.442372685182</v>
      </c>
      <c r="B105" s="20" t="s">
        <v>368</v>
      </c>
      <c r="C105" s="20" t="s">
        <v>698</v>
      </c>
      <c r="D105" s="141">
        <v>1110000</v>
      </c>
      <c r="E105" s="20" t="s">
        <v>501</v>
      </c>
      <c r="F105" s="20" t="s">
        <v>502</v>
      </c>
      <c r="G105" s="8" t="str">
        <f t="shared" si="1"/>
        <v>STARKS ANGELINA</v>
      </c>
    </row>
    <row r="106" spans="1:7" x14ac:dyDescent="0.25">
      <c r="A106" s="8">
        <v>42872.442395833335</v>
      </c>
      <c r="B106" s="20" t="s">
        <v>647</v>
      </c>
      <c r="C106" s="20" t="s">
        <v>699</v>
      </c>
      <c r="D106" s="141">
        <v>890000</v>
      </c>
      <c r="E106" s="20" t="s">
        <v>503</v>
      </c>
      <c r="F106" s="20" t="s">
        <v>504</v>
      </c>
      <c r="G106" s="8" t="str">
        <f t="shared" si="1"/>
        <v>LOZA FIDEL</v>
      </c>
    </row>
    <row r="107" spans="1:7" x14ac:dyDescent="0.25">
      <c r="A107" s="8">
        <v>42872.442777777775</v>
      </c>
      <c r="B107" s="20" t="s">
        <v>582</v>
      </c>
      <c r="C107" s="20" t="s">
        <v>700</v>
      </c>
      <c r="D107" s="141">
        <v>1360000</v>
      </c>
      <c r="E107" s="20" t="s">
        <v>436</v>
      </c>
      <c r="F107" s="20" t="s">
        <v>437</v>
      </c>
      <c r="G107" s="8" t="str">
        <f t="shared" si="1"/>
        <v>SANTIZO D. EDY</v>
      </c>
    </row>
    <row r="108" spans="1:7" x14ac:dyDescent="0.25">
      <c r="A108" s="8">
        <v>42872.453900462962</v>
      </c>
      <c r="B108" s="20" t="s">
        <v>507</v>
      </c>
      <c r="C108" s="20" t="s">
        <v>701</v>
      </c>
      <c r="D108" s="141">
        <v>1780000</v>
      </c>
      <c r="E108" s="20" t="s">
        <v>508</v>
      </c>
      <c r="F108" s="20" t="s">
        <v>509</v>
      </c>
      <c r="G108" s="8" t="str">
        <f t="shared" si="1"/>
        <v>DE LA ROSA ALEX</v>
      </c>
    </row>
    <row r="109" spans="1:7" x14ac:dyDescent="0.25">
      <c r="A109" s="8">
        <v>42872.463333333333</v>
      </c>
      <c r="B109" s="20" t="s">
        <v>588</v>
      </c>
      <c r="C109" s="20" t="s">
        <v>702</v>
      </c>
      <c r="D109" s="141">
        <v>1830000</v>
      </c>
      <c r="E109" s="20" t="s">
        <v>632</v>
      </c>
      <c r="F109" s="20" t="s">
        <v>633</v>
      </c>
      <c r="G109" s="8" t="str">
        <f t="shared" si="1"/>
        <v>YORK EDGAR</v>
      </c>
    </row>
    <row r="110" spans="1:7" x14ac:dyDescent="0.25">
      <c r="A110" s="8">
        <v>42872.464571759258</v>
      </c>
      <c r="B110" s="20" t="s">
        <v>421</v>
      </c>
      <c r="C110" s="20" t="s">
        <v>703</v>
      </c>
      <c r="D110" s="141">
        <v>900000</v>
      </c>
      <c r="E110" s="20" t="s">
        <v>505</v>
      </c>
      <c r="F110" s="20" t="s">
        <v>506</v>
      </c>
      <c r="G110" s="8" t="str">
        <f t="shared" si="1"/>
        <v>ROCHA YAOTL</v>
      </c>
    </row>
    <row r="111" spans="1:7" x14ac:dyDescent="0.25">
      <c r="A111" s="8">
        <v>42872.465115740742</v>
      </c>
      <c r="B111" s="20" t="s">
        <v>415</v>
      </c>
      <c r="C111" s="20" t="s">
        <v>704</v>
      </c>
      <c r="D111" s="141">
        <v>2010000</v>
      </c>
      <c r="E111" s="20" t="s">
        <v>438</v>
      </c>
      <c r="F111" s="20" t="s">
        <v>439</v>
      </c>
      <c r="G111" s="8" t="str">
        <f t="shared" si="1"/>
        <v>MAELZER KURT</v>
      </c>
    </row>
    <row r="112" spans="1:7" x14ac:dyDescent="0.25">
      <c r="A112" s="8">
        <v>42872.465381944443</v>
      </c>
      <c r="B112" s="20" t="s">
        <v>598</v>
      </c>
      <c r="C112" s="20" t="s">
        <v>705</v>
      </c>
      <c r="D112" s="141">
        <v>920000</v>
      </c>
      <c r="E112" s="20" t="s">
        <v>440</v>
      </c>
      <c r="F112" s="20" t="s">
        <v>196</v>
      </c>
      <c r="G112" s="8" t="str">
        <f t="shared" si="1"/>
        <v>DAVIS MICHAEL</v>
      </c>
    </row>
    <row r="113" spans="1:7" x14ac:dyDescent="0.25">
      <c r="A113" s="8">
        <v>42872.471828703703</v>
      </c>
      <c r="B113" s="20" t="s">
        <v>651</v>
      </c>
      <c r="C113" s="20" t="s">
        <v>706</v>
      </c>
      <c r="D113" s="141">
        <v>890000</v>
      </c>
      <c r="E113" s="20" t="s">
        <v>503</v>
      </c>
      <c r="F113" s="20" t="s">
        <v>504</v>
      </c>
      <c r="G113" s="8" t="str">
        <f t="shared" si="1"/>
        <v>LOZA FIDEL</v>
      </c>
    </row>
    <row r="114" spans="1:7" x14ac:dyDescent="0.25">
      <c r="A114" s="8">
        <v>42872.475474537037</v>
      </c>
      <c r="B114" s="20" t="s">
        <v>374</v>
      </c>
      <c r="C114" s="20" t="s">
        <v>707</v>
      </c>
      <c r="D114" s="141">
        <v>1110000</v>
      </c>
      <c r="E114" s="20" t="s">
        <v>501</v>
      </c>
      <c r="F114" s="20" t="s">
        <v>502</v>
      </c>
      <c r="G114" s="8" t="str">
        <f t="shared" si="1"/>
        <v>STARKS ANGELINA</v>
      </c>
    </row>
    <row r="115" spans="1:7" x14ac:dyDescent="0.25">
      <c r="A115" s="8">
        <v>42872.476053240738</v>
      </c>
      <c r="B115" s="20" t="s">
        <v>390</v>
      </c>
      <c r="C115" s="20" t="s">
        <v>708</v>
      </c>
      <c r="D115" s="141">
        <v>3120000</v>
      </c>
      <c r="E115" s="20" t="s">
        <v>469</v>
      </c>
      <c r="F115" s="20" t="s">
        <v>470</v>
      </c>
      <c r="G115" s="8" t="str">
        <f t="shared" si="1"/>
        <v>THOMPSON LESTER</v>
      </c>
    </row>
    <row r="116" spans="1:7" x14ac:dyDescent="0.25">
      <c r="A116" s="8">
        <v>42872.483784722222</v>
      </c>
      <c r="B116" s="20" t="s">
        <v>647</v>
      </c>
      <c r="C116" s="20" t="s">
        <v>709</v>
      </c>
      <c r="D116" s="141">
        <v>890000</v>
      </c>
      <c r="E116" s="20" t="s">
        <v>503</v>
      </c>
      <c r="F116" s="20" t="s">
        <v>504</v>
      </c>
      <c r="G116" s="8" t="str">
        <f t="shared" si="1"/>
        <v>LOZA FIDEL</v>
      </c>
    </row>
    <row r="117" spans="1:7" x14ac:dyDescent="0.25">
      <c r="A117" s="8">
        <v>42872.485520833332</v>
      </c>
      <c r="B117" s="20" t="s">
        <v>592</v>
      </c>
      <c r="C117" s="20" t="s">
        <v>710</v>
      </c>
      <c r="D117" s="141">
        <v>1540000</v>
      </c>
      <c r="E117" s="20" t="s">
        <v>711</v>
      </c>
      <c r="F117" s="20" t="s">
        <v>712</v>
      </c>
      <c r="G117" s="8" t="str">
        <f t="shared" si="1"/>
        <v>HELVIE ADAM</v>
      </c>
    </row>
    <row r="118" spans="1:7" x14ac:dyDescent="0.25">
      <c r="A118" s="8">
        <v>42872.492858796293</v>
      </c>
      <c r="B118" s="20" t="s">
        <v>510</v>
      </c>
      <c r="C118" s="20" t="s">
        <v>713</v>
      </c>
      <c r="D118" s="141">
        <v>1780000</v>
      </c>
      <c r="E118" s="20" t="s">
        <v>508</v>
      </c>
      <c r="F118" s="20" t="s">
        <v>509</v>
      </c>
      <c r="G118" s="8" t="str">
        <f t="shared" si="1"/>
        <v>DE LA ROSA ALEX</v>
      </c>
    </row>
    <row r="119" spans="1:7" x14ac:dyDescent="0.25">
      <c r="A119" s="8">
        <v>42872.498194444444</v>
      </c>
      <c r="B119" s="20" t="s">
        <v>423</v>
      </c>
      <c r="C119" s="20" t="s">
        <v>714</v>
      </c>
      <c r="D119" s="141">
        <v>3090000</v>
      </c>
      <c r="E119" s="20" t="s">
        <v>393</v>
      </c>
      <c r="F119" s="20" t="s">
        <v>394</v>
      </c>
      <c r="G119" s="8" t="str">
        <f t="shared" si="1"/>
        <v>LAMAR NEKESHA</v>
      </c>
    </row>
    <row r="120" spans="1:7" x14ac:dyDescent="0.25">
      <c r="A120" s="8">
        <v>42872.498773148145</v>
      </c>
      <c r="B120" s="20" t="s">
        <v>651</v>
      </c>
      <c r="C120" s="20" t="s">
        <v>715</v>
      </c>
      <c r="D120" s="141">
        <v>890000</v>
      </c>
      <c r="E120" s="20" t="s">
        <v>503</v>
      </c>
      <c r="F120" s="20" t="s">
        <v>504</v>
      </c>
      <c r="G120" s="8" t="str">
        <f t="shared" si="1"/>
        <v>LOZA FIDEL</v>
      </c>
    </row>
    <row r="121" spans="1:7" x14ac:dyDescent="0.25">
      <c r="A121" s="8">
        <v>42872.50608796296</v>
      </c>
      <c r="B121" s="20" t="s">
        <v>658</v>
      </c>
      <c r="C121" s="20" t="s">
        <v>716</v>
      </c>
      <c r="D121" s="141">
        <v>920000</v>
      </c>
      <c r="E121" s="20" t="s">
        <v>440</v>
      </c>
      <c r="F121" s="20" t="s">
        <v>196</v>
      </c>
      <c r="G121" s="8" t="str">
        <f t="shared" si="1"/>
        <v>DAVIS MICHAEL</v>
      </c>
    </row>
    <row r="122" spans="1:7" x14ac:dyDescent="0.25">
      <c r="A122" s="8">
        <v>42872.506215277775</v>
      </c>
      <c r="B122" s="25" t="s">
        <v>462</v>
      </c>
      <c r="C122" s="20" t="s">
        <v>717</v>
      </c>
      <c r="D122" s="141">
        <v>1300000</v>
      </c>
      <c r="E122" s="20" t="s">
        <v>441</v>
      </c>
      <c r="F122" s="20" t="s">
        <v>442</v>
      </c>
      <c r="G122" s="8" t="str">
        <f t="shared" si="1"/>
        <v>LEVIN SCOTT</v>
      </c>
    </row>
    <row r="123" spans="1:7" x14ac:dyDescent="0.25">
      <c r="A123" s="8">
        <v>42872.514490740738</v>
      </c>
      <c r="B123" s="20" t="s">
        <v>387</v>
      </c>
      <c r="C123" s="20" t="s">
        <v>718</v>
      </c>
      <c r="D123" s="141">
        <v>3120000</v>
      </c>
      <c r="E123" s="20" t="s">
        <v>469</v>
      </c>
      <c r="F123" s="20" t="s">
        <v>470</v>
      </c>
      <c r="G123" s="8" t="str">
        <f t="shared" si="1"/>
        <v>THOMPSON LESTER</v>
      </c>
    </row>
    <row r="124" spans="1:7" x14ac:dyDescent="0.25">
      <c r="A124" s="8">
        <v>42872.519560185188</v>
      </c>
      <c r="B124" s="20" t="s">
        <v>368</v>
      </c>
      <c r="C124" s="20" t="s">
        <v>719</v>
      </c>
      <c r="D124" s="141">
        <v>3130000</v>
      </c>
      <c r="E124" s="20" t="s">
        <v>402</v>
      </c>
      <c r="F124" s="20" t="s">
        <v>403</v>
      </c>
      <c r="G124" s="8" t="str">
        <f t="shared" si="1"/>
        <v>ZEWDU DEREJE</v>
      </c>
    </row>
    <row r="125" spans="1:7" x14ac:dyDescent="0.25">
      <c r="A125" s="8">
        <v>42872.524768518517</v>
      </c>
      <c r="B125" s="20" t="s">
        <v>582</v>
      </c>
      <c r="C125" s="20" t="s">
        <v>720</v>
      </c>
      <c r="D125" s="141">
        <v>1540000</v>
      </c>
      <c r="E125" s="20" t="s">
        <v>711</v>
      </c>
      <c r="F125" s="20" t="s">
        <v>712</v>
      </c>
      <c r="G125" s="8" t="str">
        <f t="shared" si="1"/>
        <v>HELVIE ADAM</v>
      </c>
    </row>
    <row r="126" spans="1:7" x14ac:dyDescent="0.25">
      <c r="A126" s="8">
        <v>42872.52553240741</v>
      </c>
      <c r="B126" s="20" t="s">
        <v>647</v>
      </c>
      <c r="C126" s="20" t="s">
        <v>721</v>
      </c>
      <c r="D126" s="141">
        <v>890000</v>
      </c>
      <c r="E126" s="20" t="s">
        <v>503</v>
      </c>
      <c r="F126" s="20" t="s">
        <v>504</v>
      </c>
      <c r="G126" s="8" t="str">
        <f t="shared" si="1"/>
        <v>LOZA FIDEL</v>
      </c>
    </row>
    <row r="127" spans="1:7" x14ac:dyDescent="0.25">
      <c r="A127" s="8">
        <v>42872.526620370372</v>
      </c>
      <c r="B127" s="20" t="s">
        <v>421</v>
      </c>
      <c r="C127" s="20" t="s">
        <v>722</v>
      </c>
      <c r="D127" s="141">
        <v>3090000</v>
      </c>
      <c r="E127" s="20" t="s">
        <v>393</v>
      </c>
      <c r="F127" s="20" t="s">
        <v>394</v>
      </c>
      <c r="G127" s="8" t="str">
        <f t="shared" si="1"/>
        <v>LAMAR NEKESHA</v>
      </c>
    </row>
    <row r="128" spans="1:7" x14ac:dyDescent="0.25">
      <c r="A128" s="8">
        <v>42872.528148148151</v>
      </c>
      <c r="B128" s="20" t="s">
        <v>507</v>
      </c>
      <c r="C128" s="20" t="s">
        <v>723</v>
      </c>
      <c r="D128" s="141">
        <v>930000</v>
      </c>
      <c r="E128" s="20" t="s">
        <v>467</v>
      </c>
      <c r="F128" s="20" t="s">
        <v>468</v>
      </c>
      <c r="G128" s="8" t="str">
        <f t="shared" si="1"/>
        <v>CLARK KATHLEEN</v>
      </c>
    </row>
    <row r="129" spans="1:7" x14ac:dyDescent="0.25">
      <c r="A129" s="8">
        <v>42872.539224537039</v>
      </c>
      <c r="B129" s="20" t="s">
        <v>598</v>
      </c>
      <c r="C129" s="20" t="s">
        <v>724</v>
      </c>
      <c r="D129" s="141">
        <v>920000</v>
      </c>
      <c r="E129" s="20" t="s">
        <v>440</v>
      </c>
      <c r="F129" s="20" t="s">
        <v>196</v>
      </c>
      <c r="G129" s="8" t="str">
        <f t="shared" si="1"/>
        <v>DAVIS MICHAEL</v>
      </c>
    </row>
    <row r="130" spans="1:7" x14ac:dyDescent="0.25">
      <c r="A130" s="8">
        <v>42872.546689814815</v>
      </c>
      <c r="B130" s="20" t="s">
        <v>588</v>
      </c>
      <c r="C130" s="20" t="s">
        <v>591</v>
      </c>
      <c r="D130" s="141">
        <v>1300000</v>
      </c>
      <c r="E130" s="20" t="s">
        <v>441</v>
      </c>
      <c r="F130" s="20" t="s">
        <v>442</v>
      </c>
      <c r="G130" s="8" t="str">
        <f t="shared" si="1"/>
        <v>LEVIN SCOTT</v>
      </c>
    </row>
    <row r="131" spans="1:7" x14ac:dyDescent="0.25">
      <c r="A131" s="8">
        <v>42872.547314814816</v>
      </c>
      <c r="B131" s="20" t="s">
        <v>390</v>
      </c>
      <c r="C131" s="20" t="s">
        <v>725</v>
      </c>
      <c r="D131" s="141">
        <v>3120000</v>
      </c>
      <c r="E131" s="20" t="s">
        <v>469</v>
      </c>
      <c r="F131" s="20" t="s">
        <v>470</v>
      </c>
      <c r="G131" s="8" t="str">
        <f t="shared" ref="G131:G194" si="2">E131&amp;" "&amp;F131</f>
        <v>THOMPSON LESTER</v>
      </c>
    </row>
    <row r="132" spans="1:7" x14ac:dyDescent="0.25">
      <c r="A132" s="8">
        <v>42872.552395833336</v>
      </c>
      <c r="B132" s="20" t="s">
        <v>374</v>
      </c>
      <c r="C132" s="20" t="s">
        <v>726</v>
      </c>
      <c r="D132" s="141">
        <v>3130000</v>
      </c>
      <c r="E132" s="20" t="s">
        <v>402</v>
      </c>
      <c r="F132" s="20" t="s">
        <v>403</v>
      </c>
      <c r="G132" s="8" t="str">
        <f t="shared" si="2"/>
        <v>ZEWDU DEREJE</v>
      </c>
    </row>
    <row r="133" spans="1:7" x14ac:dyDescent="0.25">
      <c r="A133" s="8">
        <v>42872.553472222222</v>
      </c>
      <c r="B133" s="20" t="s">
        <v>651</v>
      </c>
      <c r="C133" s="20" t="s">
        <v>727</v>
      </c>
      <c r="D133" s="141">
        <v>2540000</v>
      </c>
      <c r="E133" s="20" t="s">
        <v>728</v>
      </c>
      <c r="F133" s="20" t="s">
        <v>729</v>
      </c>
      <c r="G133" s="8" t="str">
        <f t="shared" si="2"/>
        <v>MCREYNOLDS KYLE</v>
      </c>
    </row>
    <row r="134" spans="1:7" x14ac:dyDescent="0.25">
      <c r="A134" s="8">
        <v>42872.560254629629</v>
      </c>
      <c r="B134" s="20" t="s">
        <v>592</v>
      </c>
      <c r="C134" s="20" t="s">
        <v>593</v>
      </c>
      <c r="D134" s="141">
        <v>2420000</v>
      </c>
      <c r="E134" s="20" t="s">
        <v>730</v>
      </c>
      <c r="F134" s="20" t="s">
        <v>731</v>
      </c>
      <c r="G134" s="8" t="str">
        <f t="shared" si="2"/>
        <v>HOLCOMB KAMDEN</v>
      </c>
    </row>
    <row r="135" spans="1:7" x14ac:dyDescent="0.25">
      <c r="A135" s="8">
        <v>42872.567696759259</v>
      </c>
      <c r="B135" s="20" t="s">
        <v>510</v>
      </c>
      <c r="C135" s="20" t="s">
        <v>732</v>
      </c>
      <c r="D135" s="141">
        <v>930000</v>
      </c>
      <c r="E135" s="20" t="s">
        <v>467</v>
      </c>
      <c r="F135" s="20" t="s">
        <v>468</v>
      </c>
      <c r="G135" s="8" t="str">
        <f t="shared" si="2"/>
        <v>CLARK KATHLEEN</v>
      </c>
    </row>
    <row r="136" spans="1:7" x14ac:dyDescent="0.25">
      <c r="A136" s="8">
        <v>42872.56790509259</v>
      </c>
      <c r="B136" s="20" t="s">
        <v>647</v>
      </c>
      <c r="C136" s="20" t="s">
        <v>733</v>
      </c>
      <c r="D136" s="141">
        <v>2540000</v>
      </c>
      <c r="E136" s="20" t="s">
        <v>728</v>
      </c>
      <c r="F136" s="20" t="s">
        <v>729</v>
      </c>
      <c r="G136" s="8" t="str">
        <f t="shared" si="2"/>
        <v>MCREYNOLDS KYLE</v>
      </c>
    </row>
    <row r="137" spans="1:7" x14ac:dyDescent="0.25">
      <c r="A137" s="8">
        <v>42872.569826388892</v>
      </c>
      <c r="B137" s="20" t="s">
        <v>423</v>
      </c>
      <c r="C137" s="20" t="s">
        <v>734</v>
      </c>
      <c r="D137" s="141">
        <v>3090000</v>
      </c>
      <c r="E137" s="20" t="s">
        <v>393</v>
      </c>
      <c r="F137" s="20" t="s">
        <v>394</v>
      </c>
      <c r="G137" s="8" t="str">
        <f t="shared" si="2"/>
        <v>LAMAR NEKESHA</v>
      </c>
    </row>
    <row r="138" spans="1:7" x14ac:dyDescent="0.25">
      <c r="A138" s="8">
        <v>42872.579201388886</v>
      </c>
      <c r="B138" s="20" t="s">
        <v>658</v>
      </c>
      <c r="C138" s="20" t="s">
        <v>735</v>
      </c>
      <c r="D138" s="141">
        <v>920000</v>
      </c>
      <c r="E138" s="20" t="s">
        <v>440</v>
      </c>
      <c r="F138" s="20" t="s">
        <v>196</v>
      </c>
      <c r="G138" s="8" t="str">
        <f t="shared" si="2"/>
        <v>DAVIS MICHAEL</v>
      </c>
    </row>
    <row r="139" spans="1:7" x14ac:dyDescent="0.25">
      <c r="A139" s="8">
        <v>42872.581006944441</v>
      </c>
      <c r="B139" s="20" t="s">
        <v>462</v>
      </c>
      <c r="C139" s="20" t="s">
        <v>594</v>
      </c>
      <c r="D139" s="141">
        <v>1300000</v>
      </c>
      <c r="E139" s="20" t="s">
        <v>441</v>
      </c>
      <c r="F139" s="20" t="s">
        <v>442</v>
      </c>
      <c r="G139" s="8" t="str">
        <f t="shared" si="2"/>
        <v>LEVIN SCOTT</v>
      </c>
    </row>
    <row r="140" spans="1:7" x14ac:dyDescent="0.25">
      <c r="A140" s="8">
        <v>42872.583865740744</v>
      </c>
      <c r="B140" s="20" t="s">
        <v>387</v>
      </c>
      <c r="C140" s="20" t="s">
        <v>736</v>
      </c>
      <c r="D140" s="141">
        <v>3120000</v>
      </c>
      <c r="E140" s="20" t="s">
        <v>469</v>
      </c>
      <c r="F140" s="20" t="s">
        <v>470</v>
      </c>
      <c r="G140" s="8" t="str">
        <f t="shared" si="2"/>
        <v>THOMPSON LESTER</v>
      </c>
    </row>
    <row r="141" spans="1:7" x14ac:dyDescent="0.25">
      <c r="A141" s="8">
        <v>42872.589965277781</v>
      </c>
      <c r="B141" s="20" t="s">
        <v>582</v>
      </c>
      <c r="C141" s="20" t="s">
        <v>595</v>
      </c>
      <c r="D141" s="141">
        <v>2420000</v>
      </c>
      <c r="E141" s="20" t="s">
        <v>730</v>
      </c>
      <c r="F141" s="20" t="s">
        <v>731</v>
      </c>
      <c r="G141" s="8" t="str">
        <f t="shared" si="2"/>
        <v>HOLCOMB KAMDEN</v>
      </c>
    </row>
    <row r="142" spans="1:7" x14ac:dyDescent="0.25">
      <c r="A142" s="8">
        <v>42872.590682870374</v>
      </c>
      <c r="B142" s="20" t="s">
        <v>368</v>
      </c>
      <c r="C142" s="20" t="s">
        <v>737</v>
      </c>
      <c r="D142" s="141">
        <v>3130000</v>
      </c>
      <c r="E142" s="20" t="s">
        <v>402</v>
      </c>
      <c r="F142" s="20" t="s">
        <v>403</v>
      </c>
      <c r="G142" s="8" t="str">
        <f t="shared" si="2"/>
        <v>ZEWDU DEREJE</v>
      </c>
    </row>
    <row r="143" spans="1:7" x14ac:dyDescent="0.25">
      <c r="A143" s="8">
        <v>42872.594293981485</v>
      </c>
      <c r="B143" s="20" t="s">
        <v>651</v>
      </c>
      <c r="C143" s="20" t="s">
        <v>738</v>
      </c>
      <c r="D143" s="141">
        <v>2540000</v>
      </c>
      <c r="E143" s="20" t="s">
        <v>728</v>
      </c>
      <c r="F143" s="20" t="s">
        <v>729</v>
      </c>
      <c r="G143" s="8" t="str">
        <f t="shared" si="2"/>
        <v>MCREYNOLDS KYLE</v>
      </c>
    </row>
    <row r="144" spans="1:7" x14ac:dyDescent="0.25">
      <c r="A144" s="8">
        <v>42872.600057870368</v>
      </c>
      <c r="B144" s="20" t="s">
        <v>421</v>
      </c>
      <c r="C144" s="20" t="s">
        <v>739</v>
      </c>
      <c r="D144" s="141">
        <v>3090000</v>
      </c>
      <c r="E144" s="20" t="s">
        <v>393</v>
      </c>
      <c r="F144" s="20" t="s">
        <v>394</v>
      </c>
      <c r="G144" s="8" t="str">
        <f t="shared" si="2"/>
        <v>LAMAR NEKESHA</v>
      </c>
    </row>
    <row r="145" spans="1:7" x14ac:dyDescent="0.25">
      <c r="A145" s="8">
        <v>42872.600937499999</v>
      </c>
      <c r="B145" s="20" t="s">
        <v>507</v>
      </c>
      <c r="C145" s="20" t="s">
        <v>740</v>
      </c>
      <c r="D145" s="141">
        <v>930000</v>
      </c>
      <c r="E145" s="20" t="s">
        <v>467</v>
      </c>
      <c r="F145" s="20" t="s">
        <v>468</v>
      </c>
      <c r="G145" s="8" t="str">
        <f t="shared" si="2"/>
        <v>CLARK KATHLEEN</v>
      </c>
    </row>
    <row r="146" spans="1:7" x14ac:dyDescent="0.25">
      <c r="A146" s="8">
        <v>42872.610324074078</v>
      </c>
      <c r="B146" s="20" t="s">
        <v>647</v>
      </c>
      <c r="C146" s="20" t="s">
        <v>741</v>
      </c>
      <c r="D146" s="141">
        <v>2540000</v>
      </c>
      <c r="E146" s="20" t="s">
        <v>728</v>
      </c>
      <c r="F146" s="20" t="s">
        <v>729</v>
      </c>
      <c r="G146" s="8" t="str">
        <f t="shared" si="2"/>
        <v>MCREYNOLDS KYLE</v>
      </c>
    </row>
    <row r="147" spans="1:7" x14ac:dyDescent="0.25">
      <c r="A147" s="8">
        <v>42872.612615740742</v>
      </c>
      <c r="B147" s="20" t="s">
        <v>598</v>
      </c>
      <c r="C147" s="20" t="s">
        <v>742</v>
      </c>
      <c r="D147" s="141">
        <v>920000</v>
      </c>
      <c r="E147" s="20" t="s">
        <v>440</v>
      </c>
      <c r="F147" s="20" t="s">
        <v>196</v>
      </c>
      <c r="G147" s="8" t="str">
        <f t="shared" si="2"/>
        <v>DAVIS MICHAEL</v>
      </c>
    </row>
    <row r="148" spans="1:7" x14ac:dyDescent="0.25">
      <c r="A148" s="8">
        <v>42872.620810185188</v>
      </c>
      <c r="B148" s="20" t="s">
        <v>390</v>
      </c>
      <c r="C148" s="20" t="s">
        <v>743</v>
      </c>
      <c r="D148" s="141">
        <v>3120000</v>
      </c>
      <c r="E148" s="20" t="s">
        <v>469</v>
      </c>
      <c r="F148" s="20" t="s">
        <v>470</v>
      </c>
      <c r="G148" s="8" t="str">
        <f t="shared" si="2"/>
        <v>THOMPSON LESTER</v>
      </c>
    </row>
    <row r="149" spans="1:7" x14ac:dyDescent="0.25">
      <c r="A149" s="8">
        <v>42872.621793981481</v>
      </c>
      <c r="B149" s="20" t="s">
        <v>588</v>
      </c>
      <c r="C149" s="20" t="s">
        <v>744</v>
      </c>
      <c r="D149" s="141">
        <v>1300000</v>
      </c>
      <c r="E149" s="20" t="s">
        <v>441</v>
      </c>
      <c r="F149" s="20" t="s">
        <v>442</v>
      </c>
      <c r="G149" s="8" t="str">
        <f t="shared" si="2"/>
        <v>LEVIN SCOTT</v>
      </c>
    </row>
    <row r="150" spans="1:7" x14ac:dyDescent="0.25">
      <c r="A150" s="8">
        <v>42872.623668981483</v>
      </c>
      <c r="B150" s="20" t="s">
        <v>651</v>
      </c>
      <c r="C150" s="20" t="s">
        <v>745</v>
      </c>
      <c r="D150" s="141">
        <v>2540000</v>
      </c>
      <c r="E150" s="20" t="s">
        <v>728</v>
      </c>
      <c r="F150" s="20" t="s">
        <v>729</v>
      </c>
      <c r="G150" s="8" t="str">
        <f t="shared" si="2"/>
        <v>MCREYNOLDS KYLE</v>
      </c>
    </row>
    <row r="151" spans="1:7" x14ac:dyDescent="0.25">
      <c r="A151" s="8">
        <v>42872.628657407404</v>
      </c>
      <c r="B151" s="20" t="s">
        <v>374</v>
      </c>
      <c r="C151" s="20" t="s">
        <v>746</v>
      </c>
      <c r="D151" s="141">
        <v>3130000</v>
      </c>
      <c r="E151" s="20" t="s">
        <v>402</v>
      </c>
      <c r="F151" s="20" t="s">
        <v>403</v>
      </c>
      <c r="G151" s="8" t="str">
        <f t="shared" si="2"/>
        <v>ZEWDU DEREJE</v>
      </c>
    </row>
    <row r="152" spans="1:7" x14ac:dyDescent="0.25">
      <c r="A152" s="8">
        <v>42872.63453703704</v>
      </c>
      <c r="B152" s="20" t="s">
        <v>592</v>
      </c>
      <c r="C152" s="20" t="s">
        <v>596</v>
      </c>
      <c r="D152" s="141">
        <v>1540000</v>
      </c>
      <c r="E152" s="20" t="s">
        <v>711</v>
      </c>
      <c r="F152" s="20" t="s">
        <v>712</v>
      </c>
      <c r="G152" s="8" t="str">
        <f t="shared" si="2"/>
        <v>HELVIE ADAM</v>
      </c>
    </row>
    <row r="153" spans="1:7" x14ac:dyDescent="0.25">
      <c r="A153" s="8">
        <v>42872.638680555552</v>
      </c>
      <c r="B153" s="20" t="s">
        <v>601</v>
      </c>
      <c r="C153" s="20" t="s">
        <v>747</v>
      </c>
      <c r="D153" s="141">
        <v>1800000</v>
      </c>
      <c r="E153" s="20" t="s">
        <v>395</v>
      </c>
      <c r="F153" s="20" t="s">
        <v>396</v>
      </c>
      <c r="G153" s="8" t="str">
        <f t="shared" si="2"/>
        <v>CHANDLER KELVIN</v>
      </c>
    </row>
    <row r="154" spans="1:7" x14ac:dyDescent="0.25">
      <c r="A154" s="8">
        <v>42872.63958333333</v>
      </c>
      <c r="B154" s="20" t="s">
        <v>510</v>
      </c>
      <c r="C154" s="20" t="s">
        <v>748</v>
      </c>
      <c r="D154" s="141">
        <v>930000</v>
      </c>
      <c r="E154" s="20" t="s">
        <v>467</v>
      </c>
      <c r="F154" s="20" t="s">
        <v>468</v>
      </c>
      <c r="G154" s="8" t="str">
        <f t="shared" si="2"/>
        <v>CLARK KATHLEEN</v>
      </c>
    </row>
    <row r="155" spans="1:7" x14ac:dyDescent="0.25">
      <c r="A155" s="8">
        <v>42872.641064814816</v>
      </c>
      <c r="B155" s="20" t="s">
        <v>423</v>
      </c>
      <c r="C155" s="20" t="s">
        <v>749</v>
      </c>
      <c r="D155" s="141">
        <v>3090000</v>
      </c>
      <c r="E155" s="20" t="s">
        <v>393</v>
      </c>
      <c r="F155" s="20" t="s">
        <v>394</v>
      </c>
      <c r="G155" s="8" t="str">
        <f t="shared" si="2"/>
        <v>LAMAR NEKESHA</v>
      </c>
    </row>
    <row r="156" spans="1:7" x14ac:dyDescent="0.25">
      <c r="A156" s="8">
        <v>42872.651250000003</v>
      </c>
      <c r="B156" s="20" t="s">
        <v>647</v>
      </c>
      <c r="C156" s="20" t="s">
        <v>750</v>
      </c>
      <c r="D156" s="141">
        <v>2540000</v>
      </c>
      <c r="E156" s="20" t="s">
        <v>728</v>
      </c>
      <c r="F156" s="20" t="s">
        <v>729</v>
      </c>
      <c r="G156" s="8" t="str">
        <f t="shared" si="2"/>
        <v>MCREYNOLDS KYLE</v>
      </c>
    </row>
    <row r="157" spans="1:7" x14ac:dyDescent="0.25">
      <c r="A157" s="8">
        <v>42872.651770833334</v>
      </c>
      <c r="B157" s="20" t="s">
        <v>462</v>
      </c>
      <c r="C157" s="20" t="s">
        <v>597</v>
      </c>
      <c r="D157" s="141">
        <v>1300000</v>
      </c>
      <c r="E157" s="20" t="s">
        <v>441</v>
      </c>
      <c r="F157" s="20" t="s">
        <v>442</v>
      </c>
      <c r="G157" s="8" t="str">
        <f t="shared" si="2"/>
        <v>LEVIN SCOTT</v>
      </c>
    </row>
    <row r="158" spans="1:7" x14ac:dyDescent="0.25">
      <c r="A158" s="8">
        <v>42872.651863425926</v>
      </c>
      <c r="B158" s="20" t="s">
        <v>658</v>
      </c>
      <c r="C158" s="20" t="s">
        <v>751</v>
      </c>
      <c r="D158" s="141">
        <v>920000</v>
      </c>
      <c r="E158" s="20" t="s">
        <v>440</v>
      </c>
      <c r="F158" s="20" t="s">
        <v>196</v>
      </c>
      <c r="G158" s="8" t="str">
        <f t="shared" si="2"/>
        <v>DAVIS MICHAEL</v>
      </c>
    </row>
    <row r="159" spans="1:7" x14ac:dyDescent="0.25">
      <c r="A159" s="8">
        <v>42872.65824074074</v>
      </c>
      <c r="B159" s="20" t="s">
        <v>387</v>
      </c>
      <c r="C159" s="20" t="s">
        <v>752</v>
      </c>
      <c r="D159" s="141">
        <v>3120000</v>
      </c>
      <c r="E159" s="20" t="s">
        <v>469</v>
      </c>
      <c r="F159" s="20" t="s">
        <v>470</v>
      </c>
      <c r="G159" s="8" t="str">
        <f t="shared" si="2"/>
        <v>THOMPSON LESTER</v>
      </c>
    </row>
    <row r="160" spans="1:7" x14ac:dyDescent="0.25">
      <c r="A160" s="8">
        <v>42872.658576388887</v>
      </c>
      <c r="B160" s="20" t="s">
        <v>584</v>
      </c>
      <c r="C160" s="20" t="s">
        <v>753</v>
      </c>
      <c r="D160" s="141">
        <v>1800000</v>
      </c>
      <c r="E160" s="20" t="s">
        <v>395</v>
      </c>
      <c r="F160" s="20" t="s">
        <v>396</v>
      </c>
      <c r="G160" s="8" t="str">
        <f t="shared" si="2"/>
        <v>CHANDLER KELVIN</v>
      </c>
    </row>
    <row r="161" spans="1:7" x14ac:dyDescent="0.25">
      <c r="A161" s="8">
        <v>42872.663171296299</v>
      </c>
      <c r="B161" s="20" t="s">
        <v>368</v>
      </c>
      <c r="C161" s="20" t="s">
        <v>754</v>
      </c>
      <c r="D161" s="141">
        <v>3130000</v>
      </c>
      <c r="E161" s="20" t="s">
        <v>402</v>
      </c>
      <c r="F161" s="20" t="s">
        <v>403</v>
      </c>
      <c r="G161" s="8" t="str">
        <f t="shared" si="2"/>
        <v>ZEWDU DEREJE</v>
      </c>
    </row>
    <row r="162" spans="1:7" x14ac:dyDescent="0.25">
      <c r="A162" s="8">
        <v>42872.668425925927</v>
      </c>
      <c r="B162" s="20" t="s">
        <v>651</v>
      </c>
      <c r="C162" s="20" t="s">
        <v>755</v>
      </c>
      <c r="D162" s="141">
        <v>2540000</v>
      </c>
      <c r="E162" s="20" t="s">
        <v>728</v>
      </c>
      <c r="F162" s="20" t="s">
        <v>729</v>
      </c>
      <c r="G162" s="8" t="str">
        <f t="shared" si="2"/>
        <v>MCREYNOLDS KYLE</v>
      </c>
    </row>
    <row r="163" spans="1:7" x14ac:dyDescent="0.25">
      <c r="A163" s="8">
        <v>42872.671331018515</v>
      </c>
      <c r="B163" s="20" t="s">
        <v>651</v>
      </c>
      <c r="C163" s="20" t="s">
        <v>755</v>
      </c>
      <c r="D163" s="141">
        <v>2420000</v>
      </c>
      <c r="E163" s="20" t="s">
        <v>730</v>
      </c>
      <c r="F163" s="20" t="s">
        <v>731</v>
      </c>
      <c r="G163" s="8" t="str">
        <f t="shared" si="2"/>
        <v>HOLCOMB KAMDEN</v>
      </c>
    </row>
    <row r="164" spans="1:7" x14ac:dyDescent="0.25">
      <c r="A164" s="8">
        <v>42872.672638888886</v>
      </c>
      <c r="B164" s="20" t="s">
        <v>582</v>
      </c>
      <c r="C164" s="20" t="s">
        <v>756</v>
      </c>
      <c r="D164" s="141">
        <v>1540000</v>
      </c>
      <c r="E164" s="20" t="s">
        <v>711</v>
      </c>
      <c r="F164" s="20" t="s">
        <v>712</v>
      </c>
      <c r="G164" s="8" t="str">
        <f t="shared" si="2"/>
        <v>HELVIE ADAM</v>
      </c>
    </row>
    <row r="165" spans="1:7" x14ac:dyDescent="0.25">
      <c r="A165" s="8">
        <v>42872.673032407409</v>
      </c>
      <c r="B165" s="20" t="s">
        <v>421</v>
      </c>
      <c r="C165" s="20" t="s">
        <v>757</v>
      </c>
      <c r="D165" s="141">
        <v>3090000</v>
      </c>
      <c r="E165" s="20" t="s">
        <v>393</v>
      </c>
      <c r="F165" s="20" t="s">
        <v>394</v>
      </c>
      <c r="G165" s="8" t="str">
        <f t="shared" si="2"/>
        <v>LAMAR NEKESHA</v>
      </c>
    </row>
    <row r="166" spans="1:7" x14ac:dyDescent="0.25">
      <c r="A166" s="8">
        <v>42872.67459490741</v>
      </c>
      <c r="B166" s="20" t="s">
        <v>601</v>
      </c>
      <c r="C166" s="20" t="s">
        <v>758</v>
      </c>
      <c r="D166" s="141">
        <v>1800000</v>
      </c>
      <c r="E166" s="20" t="s">
        <v>395</v>
      </c>
      <c r="F166" s="20" t="s">
        <v>396</v>
      </c>
      <c r="G166" s="8" t="str">
        <f t="shared" si="2"/>
        <v>CHANDLER KELVIN</v>
      </c>
    </row>
    <row r="167" spans="1:7" x14ac:dyDescent="0.25">
      <c r="A167" s="8">
        <v>42872.675462962965</v>
      </c>
      <c r="B167" s="20" t="s">
        <v>507</v>
      </c>
      <c r="C167" s="20" t="s">
        <v>759</v>
      </c>
      <c r="D167" s="141">
        <v>930000</v>
      </c>
      <c r="E167" s="20" t="s">
        <v>467</v>
      </c>
      <c r="F167" s="20" t="s">
        <v>468</v>
      </c>
      <c r="G167" s="8" t="str">
        <f t="shared" si="2"/>
        <v>CLARK KATHLEEN</v>
      </c>
    </row>
    <row r="168" spans="1:7" x14ac:dyDescent="0.25">
      <c r="A168" s="8">
        <v>42872.684872685182</v>
      </c>
      <c r="B168" s="20" t="s">
        <v>598</v>
      </c>
      <c r="C168" s="20" t="s">
        <v>599</v>
      </c>
      <c r="D168" s="141">
        <v>920000</v>
      </c>
      <c r="E168" s="20" t="s">
        <v>440</v>
      </c>
      <c r="F168" s="20" t="s">
        <v>196</v>
      </c>
      <c r="G168" s="8" t="str">
        <f t="shared" si="2"/>
        <v>DAVIS MICHAEL</v>
      </c>
    </row>
    <row r="169" spans="1:7" x14ac:dyDescent="0.25">
      <c r="A169" s="8">
        <v>42872.692800925928</v>
      </c>
      <c r="B169" s="20" t="s">
        <v>588</v>
      </c>
      <c r="C169" s="20" t="s">
        <v>760</v>
      </c>
      <c r="D169" s="141">
        <v>1300000</v>
      </c>
      <c r="E169" s="20" t="s">
        <v>441</v>
      </c>
      <c r="F169" s="20" t="s">
        <v>442</v>
      </c>
      <c r="G169" s="8" t="str">
        <f t="shared" si="2"/>
        <v>LEVIN SCOTT</v>
      </c>
    </row>
    <row r="170" spans="1:7" x14ac:dyDescent="0.25">
      <c r="A170" s="8">
        <v>42872.692870370367</v>
      </c>
      <c r="B170" s="20" t="s">
        <v>647</v>
      </c>
      <c r="C170" s="20" t="s">
        <v>761</v>
      </c>
      <c r="D170" s="141">
        <v>2420000</v>
      </c>
      <c r="E170" s="20" t="s">
        <v>730</v>
      </c>
      <c r="F170" s="20" t="s">
        <v>731</v>
      </c>
      <c r="G170" s="8" t="str">
        <f t="shared" si="2"/>
        <v>HOLCOMB KAMDEN</v>
      </c>
    </row>
    <row r="171" spans="1:7" x14ac:dyDescent="0.25">
      <c r="A171" s="8">
        <v>42872.694618055553</v>
      </c>
      <c r="B171" s="20" t="s">
        <v>374</v>
      </c>
      <c r="C171" s="20" t="s">
        <v>762</v>
      </c>
      <c r="D171" s="141">
        <v>3130000</v>
      </c>
      <c r="E171" s="20" t="s">
        <v>402</v>
      </c>
      <c r="F171" s="20" t="s">
        <v>403</v>
      </c>
      <c r="G171" s="8" t="str">
        <f t="shared" si="2"/>
        <v>ZEWDU DEREJE</v>
      </c>
    </row>
    <row r="172" spans="1:7" x14ac:dyDescent="0.25">
      <c r="A172" s="8">
        <v>42872.696203703701</v>
      </c>
      <c r="B172" s="20" t="s">
        <v>390</v>
      </c>
      <c r="C172" s="20" t="s">
        <v>763</v>
      </c>
      <c r="D172" s="141">
        <v>3120000</v>
      </c>
      <c r="E172" s="20" t="s">
        <v>469</v>
      </c>
      <c r="F172" s="20" t="s">
        <v>470</v>
      </c>
      <c r="G172" s="8" t="str">
        <f t="shared" si="2"/>
        <v>THOMPSON LESTER</v>
      </c>
    </row>
    <row r="173" spans="1:7" x14ac:dyDescent="0.25">
      <c r="A173" s="8">
        <v>42872.698518518519</v>
      </c>
      <c r="B173" s="20" t="s">
        <v>584</v>
      </c>
      <c r="C173" s="20" t="s">
        <v>764</v>
      </c>
      <c r="D173" s="141">
        <v>1800000</v>
      </c>
      <c r="E173" s="20" t="s">
        <v>395</v>
      </c>
      <c r="F173" s="20" t="s">
        <v>396</v>
      </c>
      <c r="G173" s="8" t="str">
        <f t="shared" si="2"/>
        <v>CHANDLER KELVIN</v>
      </c>
    </row>
    <row r="174" spans="1:7" x14ac:dyDescent="0.25">
      <c r="A174" s="8">
        <v>42872.704988425925</v>
      </c>
      <c r="B174" s="20" t="s">
        <v>592</v>
      </c>
      <c r="C174" s="20" t="s">
        <v>765</v>
      </c>
      <c r="D174" s="141">
        <v>1540000</v>
      </c>
      <c r="E174" s="20" t="s">
        <v>711</v>
      </c>
      <c r="F174" s="20" t="s">
        <v>712</v>
      </c>
      <c r="G174" s="8" t="str">
        <f t="shared" si="2"/>
        <v>HELVIE ADAM</v>
      </c>
    </row>
    <row r="175" spans="1:7" x14ac:dyDescent="0.25">
      <c r="A175" s="8">
        <v>42872.707812499997</v>
      </c>
      <c r="B175" s="20" t="s">
        <v>651</v>
      </c>
      <c r="C175" s="20" t="s">
        <v>766</v>
      </c>
      <c r="D175" s="141">
        <v>2540000</v>
      </c>
      <c r="E175" s="20" t="s">
        <v>728</v>
      </c>
      <c r="F175" s="20" t="s">
        <v>729</v>
      </c>
      <c r="G175" s="8" t="str">
        <f t="shared" si="2"/>
        <v>MCREYNOLDS KYLE</v>
      </c>
    </row>
    <row r="176" spans="1:7" x14ac:dyDescent="0.25">
      <c r="A176" s="8">
        <v>42872.712951388887</v>
      </c>
      <c r="B176" s="20" t="s">
        <v>423</v>
      </c>
      <c r="C176" s="20" t="s">
        <v>604</v>
      </c>
      <c r="D176" s="141">
        <v>2150000</v>
      </c>
      <c r="E176" s="20" t="s">
        <v>416</v>
      </c>
      <c r="F176" s="20" t="s">
        <v>417</v>
      </c>
      <c r="G176" s="8" t="str">
        <f t="shared" si="2"/>
        <v>SWANSON BRYCE</v>
      </c>
    </row>
    <row r="177" spans="1:7" x14ac:dyDescent="0.25">
      <c r="A177" s="8">
        <v>42872.713530092595</v>
      </c>
      <c r="B177" s="20" t="s">
        <v>510</v>
      </c>
      <c r="C177" s="20" t="s">
        <v>767</v>
      </c>
      <c r="D177" s="141">
        <v>930000</v>
      </c>
      <c r="E177" s="20" t="s">
        <v>467</v>
      </c>
      <c r="F177" s="20" t="s">
        <v>468</v>
      </c>
      <c r="G177" s="8" t="str">
        <f t="shared" si="2"/>
        <v>CLARK KATHLEEN</v>
      </c>
    </row>
    <row r="178" spans="1:7" x14ac:dyDescent="0.25">
      <c r="A178" s="8">
        <v>42872.714120370372</v>
      </c>
      <c r="B178" s="20" t="s">
        <v>601</v>
      </c>
      <c r="C178" s="20" t="s">
        <v>602</v>
      </c>
      <c r="D178" s="141">
        <v>1800000</v>
      </c>
      <c r="E178" s="20" t="s">
        <v>395</v>
      </c>
      <c r="F178" s="20" t="s">
        <v>396</v>
      </c>
      <c r="G178" s="8" t="str">
        <f t="shared" si="2"/>
        <v>CHANDLER KELVIN</v>
      </c>
    </row>
    <row r="179" spans="1:7" x14ac:dyDescent="0.25">
      <c r="A179" s="8">
        <v>42872.716909722221</v>
      </c>
      <c r="B179" s="20" t="s">
        <v>492</v>
      </c>
      <c r="C179" s="20" t="s">
        <v>600</v>
      </c>
      <c r="D179" s="141">
        <v>3030000</v>
      </c>
      <c r="E179" s="20" t="s">
        <v>399</v>
      </c>
      <c r="F179" s="20" t="s">
        <v>382</v>
      </c>
      <c r="G179" s="8" t="str">
        <f t="shared" si="2"/>
        <v>BIRENBAUM THOMAS</v>
      </c>
    </row>
    <row r="180" spans="1:7" x14ac:dyDescent="0.25">
      <c r="A180" s="8">
        <v>42872.722824074073</v>
      </c>
      <c r="B180" s="20" t="s">
        <v>644</v>
      </c>
      <c r="C180" s="20" t="s">
        <v>768</v>
      </c>
      <c r="D180" s="141">
        <v>2370000</v>
      </c>
      <c r="E180" s="20" t="s">
        <v>769</v>
      </c>
      <c r="F180" s="20" t="s">
        <v>770</v>
      </c>
      <c r="G180" s="8" t="str">
        <f t="shared" si="2"/>
        <v>DELGADO DIANAH</v>
      </c>
    </row>
    <row r="181" spans="1:7" x14ac:dyDescent="0.25">
      <c r="A181" s="8">
        <v>42872.725428240738</v>
      </c>
      <c r="B181" s="20" t="s">
        <v>658</v>
      </c>
      <c r="C181" s="20" t="s">
        <v>771</v>
      </c>
      <c r="D181" s="141">
        <v>920000</v>
      </c>
      <c r="E181" s="20" t="s">
        <v>440</v>
      </c>
      <c r="F181" s="20" t="s">
        <v>196</v>
      </c>
      <c r="G181" s="8" t="str">
        <f t="shared" si="2"/>
        <v>DAVIS MICHAEL</v>
      </c>
    </row>
    <row r="182" spans="1:7" x14ac:dyDescent="0.25">
      <c r="A182" s="8">
        <v>42872.726921296293</v>
      </c>
      <c r="B182" s="20" t="s">
        <v>462</v>
      </c>
      <c r="C182" s="20" t="s">
        <v>772</v>
      </c>
      <c r="D182" s="141">
        <v>3090000</v>
      </c>
      <c r="E182" s="20" t="s">
        <v>393</v>
      </c>
      <c r="F182" s="20" t="s">
        <v>394</v>
      </c>
      <c r="G182" s="8" t="str">
        <f t="shared" si="2"/>
        <v>LAMAR NEKESHA</v>
      </c>
    </row>
    <row r="183" spans="1:7" x14ac:dyDescent="0.25">
      <c r="A183" s="8">
        <v>42872.730254629627</v>
      </c>
      <c r="B183" s="20" t="s">
        <v>387</v>
      </c>
      <c r="C183" s="20" t="s">
        <v>773</v>
      </c>
      <c r="D183" s="141">
        <v>3120000</v>
      </c>
      <c r="E183" s="20" t="s">
        <v>469</v>
      </c>
      <c r="F183" s="20" t="s">
        <v>470</v>
      </c>
      <c r="G183" s="8" t="str">
        <f t="shared" si="2"/>
        <v>THOMPSON LESTER</v>
      </c>
    </row>
    <row r="184" spans="1:7" x14ac:dyDescent="0.25">
      <c r="A184" s="8">
        <v>42872.739016203705</v>
      </c>
      <c r="B184" s="20" t="s">
        <v>368</v>
      </c>
      <c r="C184" s="20" t="s">
        <v>603</v>
      </c>
      <c r="D184" s="141">
        <v>3030000</v>
      </c>
      <c r="E184" s="20" t="s">
        <v>399</v>
      </c>
      <c r="F184" s="20" t="s">
        <v>382</v>
      </c>
      <c r="G184" s="8" t="str">
        <f t="shared" si="2"/>
        <v>BIRENBAUM THOMAS</v>
      </c>
    </row>
    <row r="185" spans="1:7" x14ac:dyDescent="0.25">
      <c r="A185" s="8">
        <v>42872.739895833336</v>
      </c>
      <c r="B185" s="20" t="s">
        <v>647</v>
      </c>
      <c r="C185" s="20" t="s">
        <v>774</v>
      </c>
      <c r="D185" s="141">
        <v>2540000</v>
      </c>
      <c r="E185" s="20" t="s">
        <v>728</v>
      </c>
      <c r="F185" s="20" t="s">
        <v>729</v>
      </c>
      <c r="G185" s="8" t="str">
        <f t="shared" si="2"/>
        <v>MCREYNOLDS KYLE</v>
      </c>
    </row>
    <row r="186" spans="1:7" x14ac:dyDescent="0.25">
      <c r="A186" s="8">
        <v>42872.740914351853</v>
      </c>
      <c r="B186" s="20" t="s">
        <v>584</v>
      </c>
      <c r="C186" s="20" t="s">
        <v>605</v>
      </c>
      <c r="D186" s="141">
        <v>1800000</v>
      </c>
      <c r="E186" s="20" t="s">
        <v>395</v>
      </c>
      <c r="F186" s="20" t="s">
        <v>396</v>
      </c>
      <c r="G186" s="8" t="str">
        <f t="shared" si="2"/>
        <v>CHANDLER KELVIN</v>
      </c>
    </row>
    <row r="187" spans="1:7" x14ac:dyDescent="0.25">
      <c r="A187" s="8">
        <v>42872.745520833334</v>
      </c>
      <c r="B187" s="20" t="s">
        <v>582</v>
      </c>
      <c r="C187" s="20" t="s">
        <v>775</v>
      </c>
      <c r="D187" s="141">
        <v>1540000</v>
      </c>
      <c r="E187" s="20" t="s">
        <v>711</v>
      </c>
      <c r="F187" s="20" t="s">
        <v>712</v>
      </c>
      <c r="G187" s="8" t="str">
        <f t="shared" si="2"/>
        <v>HELVIE ADAM</v>
      </c>
    </row>
    <row r="188" spans="1:7" x14ac:dyDescent="0.25">
      <c r="A188" s="8">
        <v>42872.747939814813</v>
      </c>
      <c r="B188" s="20" t="s">
        <v>507</v>
      </c>
      <c r="C188" s="20" t="s">
        <v>776</v>
      </c>
      <c r="D188" s="141">
        <v>3130000</v>
      </c>
      <c r="E188" s="20" t="s">
        <v>402</v>
      </c>
      <c r="F188" s="20" t="s">
        <v>403</v>
      </c>
      <c r="G188" s="8" t="str">
        <f t="shared" si="2"/>
        <v>ZEWDU DEREJE</v>
      </c>
    </row>
    <row r="189" spans="1:7" x14ac:dyDescent="0.25">
      <c r="A189" s="8">
        <v>42872.749409722222</v>
      </c>
      <c r="B189" s="20" t="s">
        <v>496</v>
      </c>
      <c r="C189" s="20" t="s">
        <v>606</v>
      </c>
      <c r="D189" s="141">
        <v>3000000</v>
      </c>
      <c r="E189" s="20" t="s">
        <v>418</v>
      </c>
      <c r="F189" s="20" t="s">
        <v>419</v>
      </c>
      <c r="G189" s="8" t="str">
        <f t="shared" si="2"/>
        <v>FORTUNATO FRANK</v>
      </c>
    </row>
    <row r="190" spans="1:7" x14ac:dyDescent="0.25">
      <c r="A190" s="8">
        <v>42872.751944444448</v>
      </c>
      <c r="B190" s="20" t="s">
        <v>415</v>
      </c>
      <c r="C190" s="20" t="s">
        <v>777</v>
      </c>
      <c r="D190" s="141">
        <v>930000</v>
      </c>
      <c r="E190" s="20" t="s">
        <v>467</v>
      </c>
      <c r="F190" s="20" t="s">
        <v>468</v>
      </c>
      <c r="G190" s="8" t="str">
        <f t="shared" si="2"/>
        <v>CLARK KATHLEEN</v>
      </c>
    </row>
    <row r="191" spans="1:7" x14ac:dyDescent="0.25">
      <c r="A191" s="8">
        <v>42872.755347222221</v>
      </c>
      <c r="B191" s="20" t="s">
        <v>421</v>
      </c>
      <c r="C191" s="20" t="s">
        <v>778</v>
      </c>
      <c r="D191" s="141">
        <v>2150000</v>
      </c>
      <c r="E191" s="20" t="s">
        <v>416</v>
      </c>
      <c r="F191" s="20" t="s">
        <v>417</v>
      </c>
      <c r="G191" s="8" t="str">
        <f t="shared" si="2"/>
        <v>SWANSON BRYCE</v>
      </c>
    </row>
    <row r="192" spans="1:7" x14ac:dyDescent="0.25">
      <c r="A192" s="8">
        <v>42872.758263888885</v>
      </c>
      <c r="B192" s="20" t="s">
        <v>601</v>
      </c>
      <c r="C192" s="20" t="s">
        <v>779</v>
      </c>
      <c r="D192" s="141">
        <v>1800000</v>
      </c>
      <c r="E192" s="20" t="s">
        <v>395</v>
      </c>
      <c r="F192" s="20" t="s">
        <v>396</v>
      </c>
      <c r="G192" s="8" t="str">
        <f t="shared" si="2"/>
        <v>CHANDLER KELVIN</v>
      </c>
    </row>
    <row r="193" spans="1:7" x14ac:dyDescent="0.25">
      <c r="A193" s="8">
        <v>42872.75917824074</v>
      </c>
      <c r="B193" s="20" t="s">
        <v>598</v>
      </c>
      <c r="C193" s="20" t="s">
        <v>607</v>
      </c>
      <c r="D193" s="141">
        <v>2270000</v>
      </c>
      <c r="E193" s="20" t="s">
        <v>424</v>
      </c>
      <c r="F193" s="20" t="s">
        <v>425</v>
      </c>
      <c r="G193" s="8" t="str">
        <f t="shared" si="2"/>
        <v>BROWN JACOB</v>
      </c>
    </row>
    <row r="194" spans="1:7" x14ac:dyDescent="0.25">
      <c r="A194" s="8">
        <v>42872.760868055557</v>
      </c>
      <c r="B194" s="20" t="s">
        <v>497</v>
      </c>
      <c r="C194" s="20" t="s">
        <v>780</v>
      </c>
      <c r="D194" s="141">
        <v>3000000</v>
      </c>
      <c r="E194" s="20" t="s">
        <v>418</v>
      </c>
      <c r="F194" s="20" t="s">
        <v>419</v>
      </c>
      <c r="G194" s="8" t="str">
        <f t="shared" si="2"/>
        <v>FORTUNATO FRANK</v>
      </c>
    </row>
    <row r="195" spans="1:7" x14ac:dyDescent="0.25">
      <c r="A195" s="8">
        <v>42872.763437499998</v>
      </c>
      <c r="B195" s="20" t="s">
        <v>588</v>
      </c>
      <c r="C195" s="20" t="s">
        <v>781</v>
      </c>
      <c r="D195" s="141">
        <v>3090000</v>
      </c>
      <c r="E195" s="20" t="s">
        <v>393</v>
      </c>
      <c r="F195" s="20" t="s">
        <v>394</v>
      </c>
      <c r="G195" s="8" t="str">
        <f t="shared" ref="G195:G258" si="3">E195&amp;" "&amp;F195</f>
        <v>LAMAR NEKESHA</v>
      </c>
    </row>
    <row r="196" spans="1:7" x14ac:dyDescent="0.25">
      <c r="A196" s="8">
        <v>42872.77140046296</v>
      </c>
      <c r="B196" s="20" t="s">
        <v>390</v>
      </c>
      <c r="C196" s="20" t="s">
        <v>608</v>
      </c>
      <c r="D196" s="141">
        <v>1810000</v>
      </c>
      <c r="E196" s="20" t="s">
        <v>383</v>
      </c>
      <c r="F196" s="20" t="s">
        <v>193</v>
      </c>
      <c r="G196" s="8" t="str">
        <f t="shared" si="3"/>
        <v>NEWELL JAMES</v>
      </c>
    </row>
    <row r="197" spans="1:7" x14ac:dyDescent="0.25">
      <c r="A197" s="8">
        <v>42872.774791666663</v>
      </c>
      <c r="B197" s="20" t="s">
        <v>374</v>
      </c>
      <c r="C197" s="20" t="s">
        <v>782</v>
      </c>
      <c r="D197" s="141">
        <v>3030000</v>
      </c>
      <c r="E197" s="20" t="s">
        <v>399</v>
      </c>
      <c r="F197" s="20" t="s">
        <v>382</v>
      </c>
      <c r="G197" s="8" t="str">
        <f t="shared" si="3"/>
        <v>BIRENBAUM THOMAS</v>
      </c>
    </row>
    <row r="198" spans="1:7" x14ac:dyDescent="0.25">
      <c r="A198" s="8">
        <v>42872.777453703704</v>
      </c>
      <c r="B198" s="20" t="s">
        <v>496</v>
      </c>
      <c r="C198" s="20" t="s">
        <v>609</v>
      </c>
      <c r="D198" s="141">
        <v>3000000</v>
      </c>
      <c r="E198" s="20" t="s">
        <v>418</v>
      </c>
      <c r="F198" s="20" t="s">
        <v>419</v>
      </c>
      <c r="G198" s="8" t="str">
        <f t="shared" si="3"/>
        <v>FORTUNATO FRANK</v>
      </c>
    </row>
    <row r="199" spans="1:7" x14ac:dyDescent="0.25">
      <c r="A199" s="8">
        <v>42872.778171296297</v>
      </c>
      <c r="B199" s="20" t="s">
        <v>592</v>
      </c>
      <c r="C199" s="20" t="s">
        <v>783</v>
      </c>
      <c r="D199" s="141">
        <v>1540000</v>
      </c>
      <c r="E199" s="20" t="s">
        <v>711</v>
      </c>
      <c r="F199" s="20" t="s">
        <v>712</v>
      </c>
      <c r="G199" s="8" t="str">
        <f t="shared" si="3"/>
        <v>HELVIE ADAM</v>
      </c>
    </row>
    <row r="200" spans="1:7" x14ac:dyDescent="0.25">
      <c r="A200" s="8">
        <v>42872.784861111111</v>
      </c>
      <c r="B200" s="20" t="s">
        <v>584</v>
      </c>
      <c r="C200" s="20" t="s">
        <v>610</v>
      </c>
      <c r="D200" s="141">
        <v>1800000</v>
      </c>
      <c r="E200" s="20" t="s">
        <v>395</v>
      </c>
      <c r="F200" s="20" t="s">
        <v>396</v>
      </c>
      <c r="G200" s="8" t="str">
        <f t="shared" si="3"/>
        <v>CHANDLER KELVIN</v>
      </c>
    </row>
    <row r="201" spans="1:7" x14ac:dyDescent="0.25">
      <c r="A201" s="8">
        <v>42872.78534722222</v>
      </c>
      <c r="B201" s="20" t="s">
        <v>647</v>
      </c>
      <c r="C201" s="20" t="s">
        <v>784</v>
      </c>
      <c r="D201" s="141">
        <v>2540000</v>
      </c>
      <c r="E201" s="20" t="s">
        <v>728</v>
      </c>
      <c r="F201" s="20" t="s">
        <v>729</v>
      </c>
      <c r="G201" s="8" t="str">
        <f t="shared" si="3"/>
        <v>MCREYNOLDS KYLE</v>
      </c>
    </row>
    <row r="202" spans="1:7" x14ac:dyDescent="0.25">
      <c r="A202" s="26">
        <v>42872.785451388889</v>
      </c>
      <c r="B202" s="20" t="s">
        <v>510</v>
      </c>
      <c r="C202" s="20" t="s">
        <v>785</v>
      </c>
      <c r="D202" s="141">
        <v>3130000</v>
      </c>
      <c r="E202" s="20" t="s">
        <v>402</v>
      </c>
      <c r="F202" s="20" t="s">
        <v>403</v>
      </c>
      <c r="G202" s="8" t="str">
        <f t="shared" si="3"/>
        <v>ZEWDU DEREJE</v>
      </c>
    </row>
    <row r="203" spans="1:7" x14ac:dyDescent="0.25">
      <c r="A203" s="8">
        <v>42872.790960648148</v>
      </c>
      <c r="B203" s="20" t="s">
        <v>423</v>
      </c>
      <c r="C203" s="20" t="s">
        <v>786</v>
      </c>
      <c r="D203" s="141">
        <v>2150000</v>
      </c>
      <c r="E203" s="20" t="s">
        <v>416</v>
      </c>
      <c r="F203" s="20" t="s">
        <v>417</v>
      </c>
      <c r="G203" s="8" t="str">
        <f t="shared" si="3"/>
        <v>SWANSON BRYCE</v>
      </c>
    </row>
    <row r="204" spans="1:7" x14ac:dyDescent="0.25">
      <c r="A204" s="8">
        <v>42872.794571759259</v>
      </c>
      <c r="B204" s="20" t="s">
        <v>658</v>
      </c>
      <c r="C204" s="20" t="s">
        <v>787</v>
      </c>
      <c r="D204" s="141">
        <v>2270000</v>
      </c>
      <c r="E204" s="20" t="s">
        <v>424</v>
      </c>
      <c r="F204" s="20" t="s">
        <v>425</v>
      </c>
      <c r="G204" s="8" t="str">
        <f t="shared" si="3"/>
        <v>BROWN JACOB</v>
      </c>
    </row>
    <row r="205" spans="1:7" x14ac:dyDescent="0.25">
      <c r="A205" s="8">
        <v>42872.802060185182</v>
      </c>
      <c r="B205" s="20" t="s">
        <v>601</v>
      </c>
      <c r="C205" s="20" t="s">
        <v>788</v>
      </c>
      <c r="D205" s="141">
        <v>1800000</v>
      </c>
      <c r="E205" s="20" t="s">
        <v>395</v>
      </c>
      <c r="F205" s="20" t="s">
        <v>396</v>
      </c>
      <c r="G205" s="8" t="str">
        <f t="shared" si="3"/>
        <v>CHANDLER KELVIN</v>
      </c>
    </row>
    <row r="206" spans="1:7" x14ac:dyDescent="0.25">
      <c r="A206" s="8">
        <v>42872.80364583333</v>
      </c>
      <c r="B206" s="20" t="s">
        <v>462</v>
      </c>
      <c r="C206" s="20" t="s">
        <v>789</v>
      </c>
      <c r="D206" s="141">
        <v>3090000</v>
      </c>
      <c r="E206" s="20" t="s">
        <v>393</v>
      </c>
      <c r="F206" s="20" t="s">
        <v>394</v>
      </c>
      <c r="G206" s="8" t="str">
        <f t="shared" si="3"/>
        <v>LAMAR NEKESHA</v>
      </c>
    </row>
    <row r="207" spans="1:7" x14ac:dyDescent="0.25">
      <c r="A207" s="8">
        <v>42872.803773148145</v>
      </c>
      <c r="B207" s="20" t="s">
        <v>601</v>
      </c>
      <c r="C207" s="20" t="s">
        <v>790</v>
      </c>
      <c r="D207" s="141">
        <v>1800000</v>
      </c>
      <c r="E207" s="20" t="s">
        <v>395</v>
      </c>
      <c r="F207" s="20" t="s">
        <v>396</v>
      </c>
      <c r="G207" s="8" t="str">
        <f t="shared" si="3"/>
        <v>CHANDLER KELVIN</v>
      </c>
    </row>
    <row r="208" spans="1:7" x14ac:dyDescent="0.25">
      <c r="A208" s="8">
        <v>42872.804444444446</v>
      </c>
      <c r="B208" s="20" t="s">
        <v>497</v>
      </c>
      <c r="C208" s="20" t="s">
        <v>791</v>
      </c>
      <c r="D208" s="141">
        <v>2540000</v>
      </c>
      <c r="E208" s="20" t="s">
        <v>728</v>
      </c>
      <c r="F208" s="20" t="s">
        <v>729</v>
      </c>
      <c r="G208" s="8" t="str">
        <f t="shared" si="3"/>
        <v>MCREYNOLDS KYLE</v>
      </c>
    </row>
    <row r="209" spans="1:7" x14ac:dyDescent="0.25">
      <c r="A209" s="8">
        <v>42872.805486111109</v>
      </c>
      <c r="B209" s="20" t="s">
        <v>387</v>
      </c>
      <c r="C209" s="20" t="s">
        <v>792</v>
      </c>
      <c r="D209" s="141">
        <v>1810000</v>
      </c>
      <c r="E209" s="20" t="s">
        <v>383</v>
      </c>
      <c r="F209" s="20" t="s">
        <v>193</v>
      </c>
      <c r="G209" s="8" t="str">
        <f t="shared" si="3"/>
        <v>NEWELL JAMES</v>
      </c>
    </row>
    <row r="210" spans="1:7" x14ac:dyDescent="0.25">
      <c r="A210" s="8">
        <v>42872.80972222222</v>
      </c>
      <c r="B210" s="20" t="s">
        <v>368</v>
      </c>
      <c r="C210" s="20" t="s">
        <v>793</v>
      </c>
      <c r="D210" s="141">
        <v>3030000</v>
      </c>
      <c r="E210" s="20" t="s">
        <v>399</v>
      </c>
      <c r="F210" s="20" t="s">
        <v>382</v>
      </c>
      <c r="G210" s="8" t="str">
        <f t="shared" si="3"/>
        <v>BIRENBAUM THOMAS</v>
      </c>
    </row>
    <row r="211" spans="1:7" x14ac:dyDescent="0.25">
      <c r="A211" s="8">
        <v>42872.812534722223</v>
      </c>
      <c r="B211" s="20" t="s">
        <v>651</v>
      </c>
      <c r="C211" s="20" t="s">
        <v>788</v>
      </c>
      <c r="D211" s="141">
        <v>2420000</v>
      </c>
      <c r="E211" s="20" t="s">
        <v>730</v>
      </c>
      <c r="F211" s="20" t="s">
        <v>731</v>
      </c>
      <c r="G211" s="8" t="str">
        <f t="shared" si="3"/>
        <v>HOLCOMB KAMDEN</v>
      </c>
    </row>
    <row r="212" spans="1:7" x14ac:dyDescent="0.25">
      <c r="A212" s="8">
        <v>42872.818969907406</v>
      </c>
      <c r="B212" s="20" t="s">
        <v>496</v>
      </c>
      <c r="C212" s="20" t="s">
        <v>794</v>
      </c>
      <c r="D212" s="141">
        <v>2540000</v>
      </c>
      <c r="E212" s="20" t="s">
        <v>728</v>
      </c>
      <c r="F212" s="20" t="s">
        <v>729</v>
      </c>
      <c r="G212" s="8" t="str">
        <f t="shared" si="3"/>
        <v>MCREYNOLDS KYLE</v>
      </c>
    </row>
    <row r="213" spans="1:7" x14ac:dyDescent="0.25">
      <c r="A213" s="8">
        <v>42872.821388888886</v>
      </c>
      <c r="B213" s="20" t="s">
        <v>461</v>
      </c>
      <c r="C213" s="20" t="s">
        <v>795</v>
      </c>
      <c r="D213" s="141">
        <v>3010000</v>
      </c>
      <c r="E213" s="20" t="s">
        <v>426</v>
      </c>
      <c r="F213" s="20" t="s">
        <v>427</v>
      </c>
      <c r="G213" s="8" t="str">
        <f t="shared" si="3"/>
        <v>SULLIVAN BRANDON</v>
      </c>
    </row>
    <row r="214" spans="1:7" x14ac:dyDescent="0.25">
      <c r="A214" s="8">
        <v>42872.823252314818</v>
      </c>
      <c r="B214" s="20" t="s">
        <v>507</v>
      </c>
      <c r="C214" s="20" t="s">
        <v>796</v>
      </c>
      <c r="D214" s="141">
        <v>3130000</v>
      </c>
      <c r="E214" s="20" t="s">
        <v>402</v>
      </c>
      <c r="F214" s="20" t="s">
        <v>403</v>
      </c>
      <c r="G214" s="8" t="str">
        <f t="shared" si="3"/>
        <v>ZEWDU DEREJE</v>
      </c>
    </row>
    <row r="215" spans="1:7" x14ac:dyDescent="0.25">
      <c r="A215" s="8">
        <v>42872.827743055554</v>
      </c>
      <c r="B215" s="20" t="s">
        <v>421</v>
      </c>
      <c r="C215" s="20" t="s">
        <v>797</v>
      </c>
      <c r="D215" s="141">
        <v>2150000</v>
      </c>
      <c r="E215" s="20" t="s">
        <v>416</v>
      </c>
      <c r="F215" s="20" t="s">
        <v>417</v>
      </c>
      <c r="G215" s="8" t="str">
        <f t="shared" si="3"/>
        <v>SWANSON BRYCE</v>
      </c>
    </row>
    <row r="216" spans="1:7" x14ac:dyDescent="0.25">
      <c r="A216" s="8">
        <v>42872.830381944441</v>
      </c>
      <c r="B216" s="20" t="s">
        <v>598</v>
      </c>
      <c r="C216" s="20" t="s">
        <v>798</v>
      </c>
      <c r="D216" s="141">
        <v>2270000</v>
      </c>
      <c r="E216" s="20" t="s">
        <v>424</v>
      </c>
      <c r="F216" s="20" t="s">
        <v>425</v>
      </c>
      <c r="G216" s="8" t="str">
        <f t="shared" si="3"/>
        <v>BROWN JACOB</v>
      </c>
    </row>
    <row r="217" spans="1:7" x14ac:dyDescent="0.25">
      <c r="A217" s="8">
        <v>42872.839756944442</v>
      </c>
      <c r="B217" s="20" t="s">
        <v>584</v>
      </c>
      <c r="C217" s="20" t="s">
        <v>799</v>
      </c>
      <c r="D217" s="141">
        <v>2540000</v>
      </c>
      <c r="E217" s="20" t="s">
        <v>728</v>
      </c>
      <c r="F217" s="20" t="s">
        <v>729</v>
      </c>
      <c r="G217" s="8" t="str">
        <f t="shared" si="3"/>
        <v>MCREYNOLDS KYLE</v>
      </c>
    </row>
    <row r="218" spans="1:7" x14ac:dyDescent="0.25">
      <c r="A218" s="8">
        <v>42872.841261574074</v>
      </c>
      <c r="B218" s="20" t="s">
        <v>463</v>
      </c>
      <c r="C218" s="20" t="s">
        <v>800</v>
      </c>
      <c r="D218" s="141">
        <v>3010000</v>
      </c>
      <c r="E218" s="20" t="s">
        <v>426</v>
      </c>
      <c r="F218" s="20" t="s">
        <v>427</v>
      </c>
      <c r="G218" s="8" t="str">
        <f t="shared" si="3"/>
        <v>SULLIVAN BRANDON</v>
      </c>
    </row>
    <row r="219" spans="1:7" x14ac:dyDescent="0.25">
      <c r="A219" s="8">
        <v>42872.848171296297</v>
      </c>
      <c r="B219" s="20" t="s">
        <v>374</v>
      </c>
      <c r="C219" s="20" t="s">
        <v>801</v>
      </c>
      <c r="D219" s="141">
        <v>3030000</v>
      </c>
      <c r="E219" s="20" t="s">
        <v>399</v>
      </c>
      <c r="F219" s="20" t="s">
        <v>382</v>
      </c>
      <c r="G219" s="8" t="str">
        <f t="shared" si="3"/>
        <v>BIRENBAUM THOMAS</v>
      </c>
    </row>
    <row r="220" spans="1:7" x14ac:dyDescent="0.25">
      <c r="A220" s="8">
        <v>42872.849444444444</v>
      </c>
      <c r="B220" s="20" t="s">
        <v>390</v>
      </c>
      <c r="C220" s="20" t="s">
        <v>802</v>
      </c>
      <c r="D220" s="141">
        <v>1810000</v>
      </c>
      <c r="E220" s="20" t="s">
        <v>383</v>
      </c>
      <c r="F220" s="20" t="s">
        <v>193</v>
      </c>
      <c r="G220" s="8" t="str">
        <f t="shared" si="3"/>
        <v>NEWELL JAMES</v>
      </c>
    </row>
    <row r="221" spans="1:7" x14ac:dyDescent="0.25">
      <c r="A221" s="8">
        <v>42872.859884259262</v>
      </c>
      <c r="B221" s="20" t="s">
        <v>601</v>
      </c>
      <c r="C221" s="20" t="s">
        <v>803</v>
      </c>
      <c r="D221" s="141">
        <v>2540000</v>
      </c>
      <c r="E221" s="20" t="s">
        <v>728</v>
      </c>
      <c r="F221" s="20" t="s">
        <v>729</v>
      </c>
      <c r="G221" s="8" t="str">
        <f t="shared" si="3"/>
        <v>MCREYNOLDS KYLE</v>
      </c>
    </row>
    <row r="222" spans="1:7" x14ac:dyDescent="0.25">
      <c r="A222" s="8">
        <v>42872.869837962964</v>
      </c>
      <c r="B222" s="20" t="s">
        <v>658</v>
      </c>
      <c r="C222" s="20" t="s">
        <v>804</v>
      </c>
      <c r="D222" s="141">
        <v>2270000</v>
      </c>
      <c r="E222" s="20" t="s">
        <v>424</v>
      </c>
      <c r="F222" s="20" t="s">
        <v>425</v>
      </c>
      <c r="G222" s="8" t="str">
        <f t="shared" si="3"/>
        <v>BROWN JACOB</v>
      </c>
    </row>
    <row r="223" spans="1:7" x14ac:dyDescent="0.25">
      <c r="A223" s="8">
        <v>42872.87096064815</v>
      </c>
      <c r="B223" s="20" t="s">
        <v>423</v>
      </c>
      <c r="C223" s="20" t="s">
        <v>805</v>
      </c>
      <c r="D223" s="141">
        <v>2150000</v>
      </c>
      <c r="E223" s="20" t="s">
        <v>416</v>
      </c>
      <c r="F223" s="20" t="s">
        <v>417</v>
      </c>
      <c r="G223" s="8" t="str">
        <f t="shared" si="3"/>
        <v>SWANSON BRYCE</v>
      </c>
    </row>
    <row r="224" spans="1:7" x14ac:dyDescent="0.25">
      <c r="A224" s="8">
        <v>42872.883761574078</v>
      </c>
      <c r="B224" t="s">
        <v>461</v>
      </c>
      <c r="C224" t="s">
        <v>795</v>
      </c>
      <c r="D224" s="141">
        <v>3010000</v>
      </c>
      <c r="E224" t="s">
        <v>426</v>
      </c>
      <c r="F224" s="20" t="s">
        <v>427</v>
      </c>
      <c r="G224" s="8" t="str">
        <f t="shared" si="3"/>
        <v>SULLIVAN BRANDON</v>
      </c>
    </row>
    <row r="225" spans="1:7" x14ac:dyDescent="0.25">
      <c r="A225" s="8">
        <v>42872.888229166667</v>
      </c>
      <c r="B225" t="s">
        <v>387</v>
      </c>
      <c r="C225" t="s">
        <v>806</v>
      </c>
      <c r="D225" s="141">
        <v>1810000</v>
      </c>
      <c r="E225" t="s">
        <v>383</v>
      </c>
      <c r="F225" s="20" t="s">
        <v>193</v>
      </c>
      <c r="G225" s="8" t="str">
        <f t="shared" si="3"/>
        <v>NEWELL JAMES</v>
      </c>
    </row>
    <row r="226" spans="1:7" x14ac:dyDescent="0.25">
      <c r="A226" s="8">
        <v>42872.889004629629</v>
      </c>
      <c r="B226" t="s">
        <v>584</v>
      </c>
      <c r="C226" t="s">
        <v>807</v>
      </c>
      <c r="D226" s="141">
        <v>1800000</v>
      </c>
      <c r="E226" t="s">
        <v>395</v>
      </c>
      <c r="F226" s="20" t="s">
        <v>396</v>
      </c>
      <c r="G226" s="8" t="str">
        <f t="shared" si="3"/>
        <v>CHANDLER KELVIN</v>
      </c>
    </row>
    <row r="227" spans="1:7" x14ac:dyDescent="0.25">
      <c r="A227" s="8">
        <v>42872.891261574077</v>
      </c>
      <c r="B227" t="s">
        <v>368</v>
      </c>
      <c r="C227" t="s">
        <v>808</v>
      </c>
      <c r="D227" s="141">
        <v>3030000</v>
      </c>
      <c r="E227" t="s">
        <v>399</v>
      </c>
      <c r="F227" s="20" t="s">
        <v>382</v>
      </c>
      <c r="G227" s="8" t="str">
        <f t="shared" si="3"/>
        <v>BIRENBAUM THOMAS</v>
      </c>
    </row>
    <row r="228" spans="1:7" x14ac:dyDescent="0.25">
      <c r="A228" s="8">
        <v>42872.903020833335</v>
      </c>
      <c r="B228" t="s">
        <v>601</v>
      </c>
      <c r="C228" t="s">
        <v>809</v>
      </c>
      <c r="D228" s="141">
        <v>1800000</v>
      </c>
      <c r="E228" t="s">
        <v>395</v>
      </c>
      <c r="F228" s="20" t="s">
        <v>396</v>
      </c>
      <c r="G228" s="8" t="str">
        <f t="shared" si="3"/>
        <v>CHANDLER KELVIN</v>
      </c>
    </row>
    <row r="229" spans="1:7" x14ac:dyDescent="0.25">
      <c r="A229" s="8">
        <v>42872.90425925926</v>
      </c>
      <c r="B229" t="s">
        <v>463</v>
      </c>
      <c r="C229" t="s">
        <v>800</v>
      </c>
      <c r="D229" s="141">
        <v>3010000</v>
      </c>
      <c r="E229" t="s">
        <v>426</v>
      </c>
      <c r="F229" s="20" t="s">
        <v>427</v>
      </c>
      <c r="G229" s="8" t="str">
        <f t="shared" si="3"/>
        <v>SULLIVAN BRANDON</v>
      </c>
    </row>
    <row r="230" spans="1:7" x14ac:dyDescent="0.25">
      <c r="A230" s="8">
        <v>42872.911782407406</v>
      </c>
      <c r="B230" t="s">
        <v>421</v>
      </c>
      <c r="C230" t="s">
        <v>810</v>
      </c>
      <c r="D230" s="141">
        <v>2150000</v>
      </c>
      <c r="E230" t="s">
        <v>416</v>
      </c>
      <c r="F230" s="20" t="s">
        <v>417</v>
      </c>
      <c r="G230" s="8" t="str">
        <f t="shared" si="3"/>
        <v>SWANSON BRYCE</v>
      </c>
    </row>
    <row r="231" spans="1:7" x14ac:dyDescent="0.25">
      <c r="A231" s="8">
        <v>42872.913368055553</v>
      </c>
      <c r="B231" t="s">
        <v>598</v>
      </c>
      <c r="C231" t="s">
        <v>811</v>
      </c>
      <c r="D231" s="141">
        <v>2270000</v>
      </c>
      <c r="E231" t="s">
        <v>424</v>
      </c>
      <c r="F231" s="20" t="s">
        <v>425</v>
      </c>
      <c r="G231" s="8" t="str">
        <f t="shared" si="3"/>
        <v>BROWN JACOB</v>
      </c>
    </row>
    <row r="232" spans="1:7" x14ac:dyDescent="0.25">
      <c r="A232" s="8">
        <v>42872.927349537036</v>
      </c>
      <c r="B232" t="s">
        <v>374</v>
      </c>
      <c r="C232" t="s">
        <v>812</v>
      </c>
      <c r="D232" s="141">
        <v>3030000</v>
      </c>
      <c r="E232" t="s">
        <v>399</v>
      </c>
      <c r="F232" s="20" t="s">
        <v>382</v>
      </c>
      <c r="G232" s="8" t="str">
        <f t="shared" si="3"/>
        <v>BIRENBAUM THOMAS</v>
      </c>
    </row>
    <row r="233" spans="1:7" x14ac:dyDescent="0.25">
      <c r="A233" s="8">
        <v>42872.930347222224</v>
      </c>
      <c r="B233" t="s">
        <v>584</v>
      </c>
      <c r="C233" t="s">
        <v>813</v>
      </c>
      <c r="D233" s="141">
        <v>1800000</v>
      </c>
      <c r="E233" t="s">
        <v>395</v>
      </c>
      <c r="F233" s="20" t="s">
        <v>396</v>
      </c>
      <c r="G233" s="8" t="str">
        <f t="shared" si="3"/>
        <v>CHANDLER KELVIN</v>
      </c>
    </row>
    <row r="234" spans="1:7" x14ac:dyDescent="0.25">
      <c r="A234" s="8">
        <v>42872.932013888887</v>
      </c>
      <c r="B234" t="s">
        <v>461</v>
      </c>
      <c r="C234" t="s">
        <v>814</v>
      </c>
      <c r="D234" s="141">
        <v>3010000</v>
      </c>
      <c r="E234" t="s">
        <v>426</v>
      </c>
      <c r="F234" s="20" t="s">
        <v>427</v>
      </c>
      <c r="G234" s="8" t="str">
        <f t="shared" si="3"/>
        <v>SULLIVAN BRANDON</v>
      </c>
    </row>
    <row r="235" spans="1:7" x14ac:dyDescent="0.25">
      <c r="A235" s="8">
        <v>42872.935219907406</v>
      </c>
      <c r="B235" t="s">
        <v>390</v>
      </c>
      <c r="C235" t="s">
        <v>815</v>
      </c>
      <c r="D235" s="141">
        <v>1810000</v>
      </c>
      <c r="E235" t="s">
        <v>383</v>
      </c>
      <c r="F235" s="20" t="s">
        <v>193</v>
      </c>
      <c r="G235" s="8" t="str">
        <f t="shared" si="3"/>
        <v>NEWELL JAMES</v>
      </c>
    </row>
    <row r="236" spans="1:7" x14ac:dyDescent="0.25">
      <c r="A236" s="8">
        <v>42872.9371875</v>
      </c>
      <c r="B236" t="s">
        <v>463</v>
      </c>
      <c r="C236" t="s">
        <v>816</v>
      </c>
      <c r="D236" s="141">
        <v>3010000</v>
      </c>
      <c r="E236" t="s">
        <v>426</v>
      </c>
      <c r="F236" s="20" t="s">
        <v>427</v>
      </c>
      <c r="G236" s="8" t="str">
        <f t="shared" si="3"/>
        <v>SULLIVAN BRANDON</v>
      </c>
    </row>
    <row r="237" spans="1:7" x14ac:dyDescent="0.25">
      <c r="A237" s="8">
        <v>42872.941157407404</v>
      </c>
      <c r="B237" t="s">
        <v>461</v>
      </c>
      <c r="C237" t="s">
        <v>814</v>
      </c>
      <c r="D237" s="141">
        <v>3010000</v>
      </c>
      <c r="E237" t="s">
        <v>426</v>
      </c>
      <c r="F237" s="20" t="s">
        <v>427</v>
      </c>
      <c r="G237" s="8" t="str">
        <f t="shared" si="3"/>
        <v>SULLIVAN BRANDON</v>
      </c>
    </row>
    <row r="238" spans="1:7" x14ac:dyDescent="0.25">
      <c r="A238" s="8">
        <v>42872.943715277775</v>
      </c>
      <c r="B238" t="s">
        <v>601</v>
      </c>
      <c r="C238" t="s">
        <v>817</v>
      </c>
      <c r="D238" s="141">
        <v>1800000</v>
      </c>
      <c r="E238" t="s">
        <v>395</v>
      </c>
      <c r="F238" s="20" t="s">
        <v>396</v>
      </c>
      <c r="G238" s="8" t="str">
        <f t="shared" si="3"/>
        <v>CHANDLER KELVIN</v>
      </c>
    </row>
    <row r="239" spans="1:7" x14ac:dyDescent="0.25">
      <c r="A239" s="8">
        <v>42872.945104166669</v>
      </c>
      <c r="B239" t="s">
        <v>463</v>
      </c>
      <c r="C239" t="s">
        <v>816</v>
      </c>
      <c r="D239" s="141">
        <v>3010000</v>
      </c>
      <c r="E239" t="s">
        <v>426</v>
      </c>
      <c r="F239" s="20" t="s">
        <v>427</v>
      </c>
      <c r="G239" s="8" t="str">
        <f t="shared" si="3"/>
        <v>SULLIVAN BRANDON</v>
      </c>
    </row>
    <row r="240" spans="1:7" x14ac:dyDescent="0.25">
      <c r="A240" s="8">
        <v>42872.945856481485</v>
      </c>
      <c r="B240" t="s">
        <v>423</v>
      </c>
      <c r="C240" t="s">
        <v>818</v>
      </c>
      <c r="D240" s="141">
        <v>2150000</v>
      </c>
      <c r="E240" t="s">
        <v>416</v>
      </c>
      <c r="F240" s="20" t="s">
        <v>417</v>
      </c>
      <c r="G240" s="8" t="str">
        <f t="shared" si="3"/>
        <v>SWANSON BRYCE</v>
      </c>
    </row>
    <row r="241" spans="1:7" x14ac:dyDescent="0.25">
      <c r="A241" s="8">
        <v>42872.952534722222</v>
      </c>
      <c r="B241" t="s">
        <v>658</v>
      </c>
      <c r="C241" t="s">
        <v>819</v>
      </c>
      <c r="D241" s="141">
        <v>2270000</v>
      </c>
      <c r="E241" t="s">
        <v>424</v>
      </c>
      <c r="F241" s="20" t="s">
        <v>425</v>
      </c>
      <c r="G241" s="8" t="str">
        <f t="shared" si="3"/>
        <v>BROWN JACOB</v>
      </c>
    </row>
    <row r="242" spans="1:7" x14ac:dyDescent="0.25">
      <c r="A242" s="8">
        <v>42872.954409722224</v>
      </c>
      <c r="B242" t="s">
        <v>461</v>
      </c>
      <c r="C242" t="s">
        <v>814</v>
      </c>
      <c r="D242" s="141">
        <v>3010000</v>
      </c>
      <c r="E242" t="s">
        <v>426</v>
      </c>
      <c r="F242" s="20" t="s">
        <v>427</v>
      </c>
      <c r="G242" s="8" t="str">
        <f t="shared" si="3"/>
        <v>SULLIVAN BRANDON</v>
      </c>
    </row>
    <row r="243" spans="1:7" x14ac:dyDescent="0.25">
      <c r="A243" s="8">
        <v>42872.971458333333</v>
      </c>
      <c r="B243" t="s">
        <v>387</v>
      </c>
      <c r="C243" t="s">
        <v>820</v>
      </c>
      <c r="D243" s="141">
        <v>1810000</v>
      </c>
      <c r="E243" t="s">
        <v>383</v>
      </c>
      <c r="F243" s="20" t="s">
        <v>193</v>
      </c>
      <c r="G243" s="8" t="str">
        <f t="shared" si="3"/>
        <v>NEWELL JAMES</v>
      </c>
    </row>
    <row r="244" spans="1:7" x14ac:dyDescent="0.25">
      <c r="A244" s="8">
        <v>42872.977465277778</v>
      </c>
      <c r="B244" t="s">
        <v>368</v>
      </c>
      <c r="C244" t="s">
        <v>611</v>
      </c>
      <c r="D244" s="141">
        <v>3030000</v>
      </c>
      <c r="E244" t="s">
        <v>399</v>
      </c>
      <c r="F244" s="20" t="s">
        <v>382</v>
      </c>
      <c r="G244" s="8" t="str">
        <f t="shared" si="3"/>
        <v>BIRENBAUM THOMAS</v>
      </c>
    </row>
    <row r="245" spans="1:7" x14ac:dyDescent="0.25">
      <c r="A245" s="8">
        <v>42872.992986111109</v>
      </c>
      <c r="B245" t="s">
        <v>463</v>
      </c>
      <c r="C245" t="s">
        <v>816</v>
      </c>
      <c r="D245" s="141">
        <v>3010000</v>
      </c>
      <c r="E245" t="s">
        <v>426</v>
      </c>
      <c r="F245" s="20" t="s">
        <v>427</v>
      </c>
      <c r="G245" s="8" t="str">
        <f t="shared" si="3"/>
        <v>SULLIVAN BRANDON</v>
      </c>
    </row>
    <row r="246" spans="1:7" x14ac:dyDescent="0.25">
      <c r="A246" s="8">
        <v>42872.99454861111</v>
      </c>
      <c r="B246" t="s">
        <v>421</v>
      </c>
      <c r="C246" t="s">
        <v>821</v>
      </c>
      <c r="D246" s="141">
        <v>2150000</v>
      </c>
      <c r="E246" t="s">
        <v>416</v>
      </c>
      <c r="F246" s="20" t="s">
        <v>417</v>
      </c>
      <c r="G246" s="8" t="str">
        <f t="shared" si="3"/>
        <v>SWANSON BRYCE</v>
      </c>
    </row>
    <row r="247" spans="1:7" x14ac:dyDescent="0.25">
      <c r="A247" s="8">
        <v>42872.999444444446</v>
      </c>
      <c r="B247" t="s">
        <v>598</v>
      </c>
      <c r="C247" t="s">
        <v>612</v>
      </c>
      <c r="D247" s="141">
        <v>2270000</v>
      </c>
      <c r="E247" t="s">
        <v>424</v>
      </c>
      <c r="F247" s="20" t="s">
        <v>425</v>
      </c>
      <c r="G247" s="8" t="str">
        <f t="shared" si="3"/>
        <v>BROWN JACOB</v>
      </c>
    </row>
    <row r="248" spans="1:7" x14ac:dyDescent="0.25">
      <c r="A248" s="8">
        <v>42873.01390046296</v>
      </c>
      <c r="B248" t="s">
        <v>374</v>
      </c>
      <c r="C248" t="s">
        <v>613</v>
      </c>
      <c r="D248" s="141">
        <v>3030000</v>
      </c>
      <c r="E248" t="s">
        <v>399</v>
      </c>
      <c r="F248" s="20" t="s">
        <v>382</v>
      </c>
      <c r="G248" s="8" t="str">
        <f t="shared" si="3"/>
        <v>BIRENBAUM THOMAS</v>
      </c>
    </row>
    <row r="249" spans="1:7" x14ac:dyDescent="0.25">
      <c r="A249" s="8">
        <v>42873.017789351848</v>
      </c>
      <c r="B249" t="s">
        <v>390</v>
      </c>
      <c r="C249" t="s">
        <v>822</v>
      </c>
      <c r="D249" s="141">
        <v>1810000</v>
      </c>
      <c r="E249" t="s">
        <v>383</v>
      </c>
      <c r="F249" s="20" t="s">
        <v>193</v>
      </c>
      <c r="G249" s="8" t="str">
        <f t="shared" si="3"/>
        <v>NEWELL JAMES</v>
      </c>
    </row>
    <row r="250" spans="1:7" x14ac:dyDescent="0.25">
      <c r="A250" s="8">
        <v>42873.028425925928</v>
      </c>
      <c r="B250" t="s">
        <v>423</v>
      </c>
      <c r="C250" t="s">
        <v>823</v>
      </c>
      <c r="D250" s="141">
        <v>2150000</v>
      </c>
      <c r="E250" t="s">
        <v>416</v>
      </c>
      <c r="F250" s="20" t="s">
        <v>417</v>
      </c>
      <c r="G250" s="8" t="str">
        <f t="shared" si="3"/>
        <v>SWANSON BRYCE</v>
      </c>
    </row>
    <row r="251" spans="1:7" x14ac:dyDescent="0.25">
      <c r="A251" s="8">
        <v>42873.035011574073</v>
      </c>
      <c r="B251" t="s">
        <v>658</v>
      </c>
      <c r="C251" t="s">
        <v>824</v>
      </c>
      <c r="D251" s="141">
        <v>2270000</v>
      </c>
      <c r="E251" t="s">
        <v>424</v>
      </c>
      <c r="F251" s="20" t="s">
        <v>425</v>
      </c>
      <c r="G251" s="8" t="str">
        <f t="shared" si="3"/>
        <v>BROWN JACOB</v>
      </c>
    </row>
    <row r="252" spans="1:7" x14ac:dyDescent="0.25">
      <c r="A252" s="8">
        <v>42873.046157407407</v>
      </c>
      <c r="B252" t="s">
        <v>368</v>
      </c>
      <c r="C252" t="s">
        <v>825</v>
      </c>
      <c r="D252" s="141">
        <v>3030000</v>
      </c>
      <c r="E252" t="s">
        <v>399</v>
      </c>
      <c r="F252" s="20" t="s">
        <v>382</v>
      </c>
      <c r="G252" s="8" t="str">
        <f t="shared" si="3"/>
        <v>BIRENBAUM THOMAS</v>
      </c>
    </row>
    <row r="253" spans="1:7" x14ac:dyDescent="0.25">
      <c r="A253" s="8">
        <v>42873.057743055557</v>
      </c>
      <c r="B253" t="s">
        <v>387</v>
      </c>
      <c r="C253" t="s">
        <v>826</v>
      </c>
      <c r="D253" s="141">
        <v>1810000</v>
      </c>
      <c r="E253" t="s">
        <v>383</v>
      </c>
      <c r="F253" s="20" t="s">
        <v>193</v>
      </c>
      <c r="G253" s="8" t="str">
        <f t="shared" si="3"/>
        <v>NEWELL JAMES</v>
      </c>
    </row>
    <row r="254" spans="1:7" x14ac:dyDescent="0.25">
      <c r="A254" s="8">
        <v>42873.067557870374</v>
      </c>
      <c r="B254" t="s">
        <v>598</v>
      </c>
      <c r="C254" t="s">
        <v>827</v>
      </c>
      <c r="D254" s="141">
        <v>2270000</v>
      </c>
      <c r="E254" t="s">
        <v>424</v>
      </c>
      <c r="F254" s="20" t="s">
        <v>425</v>
      </c>
      <c r="G254" s="8" t="str">
        <f t="shared" si="3"/>
        <v>BROWN JACOB</v>
      </c>
    </row>
    <row r="255" spans="1:7" x14ac:dyDescent="0.25">
      <c r="A255" s="8">
        <v>42873.089456018519</v>
      </c>
      <c r="B255" t="s">
        <v>390</v>
      </c>
      <c r="C255" t="s">
        <v>828</v>
      </c>
      <c r="D255" s="141">
        <v>1810000</v>
      </c>
      <c r="E255" t="s">
        <v>383</v>
      </c>
      <c r="F255" s="20" t="s">
        <v>193</v>
      </c>
      <c r="G255" s="8" t="str">
        <f t="shared" si="3"/>
        <v>NEWELL JAMES</v>
      </c>
    </row>
    <row r="256" spans="1:7" x14ac:dyDescent="0.25">
      <c r="A256" s="8">
        <v>42871.942418981482</v>
      </c>
      <c r="B256" t="s">
        <v>491</v>
      </c>
      <c r="C256" t="s">
        <v>515</v>
      </c>
      <c r="D256" s="141">
        <v>2150000</v>
      </c>
      <c r="E256" t="s">
        <v>416</v>
      </c>
      <c r="F256" s="20" t="s">
        <v>417</v>
      </c>
      <c r="G256" s="8" t="str">
        <f t="shared" si="3"/>
        <v>SWANSON BRYCE</v>
      </c>
    </row>
    <row r="257" spans="1:7" x14ac:dyDescent="0.25">
      <c r="A257" s="8">
        <v>42871.949490740742</v>
      </c>
      <c r="B257" t="s">
        <v>495</v>
      </c>
      <c r="C257" t="s">
        <v>515</v>
      </c>
      <c r="D257" s="141">
        <v>2150000</v>
      </c>
      <c r="E257" t="s">
        <v>416</v>
      </c>
      <c r="F257" s="20" t="s">
        <v>417</v>
      </c>
      <c r="G257" s="8" t="str">
        <f t="shared" si="3"/>
        <v>SWANSON BRYCE</v>
      </c>
    </row>
    <row r="258" spans="1:7" x14ac:dyDescent="0.25">
      <c r="A258" s="8">
        <v>42871.953217592592</v>
      </c>
      <c r="B258" t="s">
        <v>494</v>
      </c>
      <c r="C258" t="s">
        <v>516</v>
      </c>
      <c r="D258" s="141">
        <v>3030000</v>
      </c>
      <c r="E258" t="s">
        <v>399</v>
      </c>
      <c r="F258" s="20" t="s">
        <v>382</v>
      </c>
      <c r="G258" s="8" t="str">
        <f t="shared" si="3"/>
        <v>BIRENBAUM THOMAS</v>
      </c>
    </row>
    <row r="259" spans="1:7" x14ac:dyDescent="0.25">
      <c r="A259" s="8">
        <v>42871.953240740739</v>
      </c>
      <c r="B259" t="s">
        <v>430</v>
      </c>
      <c r="C259" t="s">
        <v>517</v>
      </c>
      <c r="D259" s="141">
        <v>1800000</v>
      </c>
      <c r="E259" t="s">
        <v>395</v>
      </c>
      <c r="F259" s="20" t="s">
        <v>396</v>
      </c>
      <c r="G259" s="8" t="str">
        <f t="shared" ref="G259:G322" si="4">E259&amp;" "&amp;F259</f>
        <v>CHANDLER KELVIN</v>
      </c>
    </row>
    <row r="260" spans="1:7" x14ac:dyDescent="0.25">
      <c r="A260" s="8">
        <v>42871.953981481478</v>
      </c>
      <c r="B260" t="s">
        <v>463</v>
      </c>
      <c r="C260" t="s">
        <v>514</v>
      </c>
      <c r="D260" s="141">
        <v>3010000</v>
      </c>
      <c r="E260" t="s">
        <v>426</v>
      </c>
      <c r="F260" s="20" t="s">
        <v>427</v>
      </c>
      <c r="G260" s="8" t="str">
        <f t="shared" si="4"/>
        <v>SULLIVAN BRANDON</v>
      </c>
    </row>
    <row r="261" spans="1:7" x14ac:dyDescent="0.25">
      <c r="A261" s="8">
        <v>42871.962569444448</v>
      </c>
      <c r="B261" t="s">
        <v>498</v>
      </c>
      <c r="C261" t="s">
        <v>513</v>
      </c>
      <c r="D261" s="141">
        <v>2970000</v>
      </c>
      <c r="E261" t="s">
        <v>397</v>
      </c>
      <c r="F261" s="20" t="s">
        <v>398</v>
      </c>
      <c r="G261" s="8" t="str">
        <f t="shared" si="4"/>
        <v>GUZMAN DANNY</v>
      </c>
    </row>
    <row r="262" spans="1:7" x14ac:dyDescent="0.25">
      <c r="A262" s="8">
        <v>42871.964386574073</v>
      </c>
      <c r="B262" t="s">
        <v>498</v>
      </c>
      <c r="C262" t="s">
        <v>499</v>
      </c>
      <c r="D262" s="141">
        <v>2970000</v>
      </c>
      <c r="E262" t="s">
        <v>397</v>
      </c>
      <c r="F262" s="20" t="s">
        <v>398</v>
      </c>
      <c r="G262" s="8" t="str">
        <f t="shared" si="4"/>
        <v>GUZMAN DANNY</v>
      </c>
    </row>
    <row r="263" spans="1:7" x14ac:dyDescent="0.25">
      <c r="A263" s="8">
        <v>42871.96947916667</v>
      </c>
      <c r="B263" t="s">
        <v>344</v>
      </c>
      <c r="C263" t="s">
        <v>518</v>
      </c>
      <c r="D263" s="141">
        <v>3090000</v>
      </c>
      <c r="E263" t="s">
        <v>393</v>
      </c>
      <c r="F263" s="20" t="s">
        <v>394</v>
      </c>
      <c r="G263" s="8" t="str">
        <f t="shared" si="4"/>
        <v>LAMAR NEKESHA</v>
      </c>
    </row>
    <row r="264" spans="1:7" x14ac:dyDescent="0.25">
      <c r="A264" s="8">
        <v>42871.973587962966</v>
      </c>
      <c r="B264" t="s">
        <v>461</v>
      </c>
      <c r="C264" t="s">
        <v>511</v>
      </c>
      <c r="D264" s="141">
        <v>3010000</v>
      </c>
      <c r="E264" t="s">
        <v>426</v>
      </c>
      <c r="F264" s="20" t="s">
        <v>427</v>
      </c>
      <c r="G264" s="8" t="str">
        <f t="shared" si="4"/>
        <v>SULLIVAN BRANDON</v>
      </c>
    </row>
    <row r="265" spans="1:7" x14ac:dyDescent="0.25">
      <c r="A265" s="8">
        <v>42871.975798611114</v>
      </c>
      <c r="B265" t="s">
        <v>497</v>
      </c>
      <c r="C265" t="s">
        <v>519</v>
      </c>
      <c r="D265" s="141">
        <v>1810000</v>
      </c>
      <c r="E265" t="s">
        <v>383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42871.992731481485</v>
      </c>
      <c r="B266" t="s">
        <v>512</v>
      </c>
      <c r="C266" t="s">
        <v>513</v>
      </c>
      <c r="D266" s="141">
        <v>2970000</v>
      </c>
      <c r="E266" t="s">
        <v>397</v>
      </c>
      <c r="F266" s="20" t="s">
        <v>398</v>
      </c>
      <c r="G266" s="8" t="str">
        <f t="shared" si="4"/>
        <v>GUZMAN DANNY</v>
      </c>
    </row>
    <row r="267" spans="1:7" x14ac:dyDescent="0.25">
      <c r="A267" s="8">
        <v>42871.995324074072</v>
      </c>
      <c r="B267" t="s">
        <v>493</v>
      </c>
      <c r="C267" t="s">
        <v>520</v>
      </c>
      <c r="D267" s="141">
        <v>3030000</v>
      </c>
      <c r="E267" t="s">
        <v>399</v>
      </c>
      <c r="F267" s="20" t="s">
        <v>382</v>
      </c>
      <c r="G267" s="8" t="str">
        <f t="shared" si="4"/>
        <v>BIRENBAUM THOMAS</v>
      </c>
    </row>
    <row r="268" spans="1:7" x14ac:dyDescent="0.25">
      <c r="A268" s="8">
        <v>42871.995393518519</v>
      </c>
      <c r="B268" t="s">
        <v>422</v>
      </c>
      <c r="C268" t="s">
        <v>521</v>
      </c>
      <c r="D268" s="141">
        <v>1800000</v>
      </c>
      <c r="E268" t="s">
        <v>395</v>
      </c>
      <c r="F268" s="20" t="s">
        <v>396</v>
      </c>
      <c r="G268" s="8" t="str">
        <f t="shared" si="4"/>
        <v>CHANDLER KELVIN</v>
      </c>
    </row>
    <row r="269" spans="1:7" x14ac:dyDescent="0.25">
      <c r="A269" s="8">
        <v>42872.004918981482</v>
      </c>
      <c r="B269" t="s">
        <v>343</v>
      </c>
      <c r="C269" t="s">
        <v>500</v>
      </c>
      <c r="D269" s="141">
        <v>3090000</v>
      </c>
      <c r="E269" t="s">
        <v>393</v>
      </c>
      <c r="F269" s="20" t="s">
        <v>394</v>
      </c>
      <c r="G269" s="8" t="str">
        <f t="shared" si="4"/>
        <v>LAMAR NEKESHA</v>
      </c>
    </row>
    <row r="270" spans="1:7" x14ac:dyDescent="0.25">
      <c r="A270" s="8">
        <v>42872.006157407406</v>
      </c>
      <c r="B270" t="s">
        <v>496</v>
      </c>
      <c r="C270" t="s">
        <v>522</v>
      </c>
      <c r="D270" s="141">
        <v>1810000</v>
      </c>
      <c r="E270" t="s">
        <v>383</v>
      </c>
      <c r="F270" s="20" t="s">
        <v>193</v>
      </c>
      <c r="G270" s="8" t="str">
        <f t="shared" si="4"/>
        <v>NEWELL JAMES</v>
      </c>
    </row>
    <row r="271" spans="1:7" x14ac:dyDescent="0.25">
      <c r="A271" s="8">
        <v>42872.014236111114</v>
      </c>
      <c r="B271" t="s">
        <v>498</v>
      </c>
      <c r="C271" t="s">
        <v>499</v>
      </c>
      <c r="D271" s="141">
        <v>2970000</v>
      </c>
      <c r="E271" t="s">
        <v>397</v>
      </c>
      <c r="F271" s="20" t="s">
        <v>398</v>
      </c>
      <c r="G271" s="8" t="str">
        <f t="shared" si="4"/>
        <v>GUZMAN DANNY</v>
      </c>
    </row>
    <row r="272" spans="1:7" x14ac:dyDescent="0.25">
      <c r="A272" s="8">
        <v>42872.015636574077</v>
      </c>
      <c r="B272" t="s">
        <v>463</v>
      </c>
      <c r="C272" t="s">
        <v>511</v>
      </c>
      <c r="D272" s="141">
        <v>3010000</v>
      </c>
      <c r="E272" t="s">
        <v>426</v>
      </c>
      <c r="F272" s="20" t="s">
        <v>427</v>
      </c>
      <c r="G272" s="8" t="str">
        <f t="shared" si="4"/>
        <v>SULLIVAN BRANDON</v>
      </c>
    </row>
    <row r="273" spans="1:7" x14ac:dyDescent="0.25">
      <c r="A273" s="8">
        <v>42872.026469907411</v>
      </c>
      <c r="B273" t="s">
        <v>512</v>
      </c>
      <c r="C273" t="s">
        <v>513</v>
      </c>
      <c r="D273" s="141">
        <v>2970000</v>
      </c>
      <c r="E273" t="s">
        <v>397</v>
      </c>
      <c r="F273" s="20" t="s">
        <v>398</v>
      </c>
      <c r="G273" s="8" t="str">
        <f t="shared" si="4"/>
        <v>GUZMAN DANNY</v>
      </c>
    </row>
    <row r="274" spans="1:7" x14ac:dyDescent="0.25">
      <c r="A274" s="8">
        <v>42872.028356481482</v>
      </c>
      <c r="B274" t="s">
        <v>430</v>
      </c>
      <c r="C274" t="s">
        <v>523</v>
      </c>
      <c r="D274" s="141">
        <v>1800000</v>
      </c>
      <c r="E274" t="s">
        <v>395</v>
      </c>
      <c r="F274" s="20" t="s">
        <v>396</v>
      </c>
      <c r="G274" s="8" t="str">
        <f t="shared" si="4"/>
        <v>CHANDLER KELVIN</v>
      </c>
    </row>
    <row r="275" spans="1:7" x14ac:dyDescent="0.25">
      <c r="A275" s="8">
        <v>42872.035462962966</v>
      </c>
      <c r="B275" t="s">
        <v>494</v>
      </c>
      <c r="C275" t="s">
        <v>524</v>
      </c>
      <c r="D275" s="141">
        <v>3030000</v>
      </c>
      <c r="E275" t="s">
        <v>399</v>
      </c>
      <c r="F275" s="20" t="s">
        <v>382</v>
      </c>
      <c r="G275" s="8" t="str">
        <f t="shared" si="4"/>
        <v>BIRENBAUM THOMAS</v>
      </c>
    </row>
    <row r="276" spans="1:7" x14ac:dyDescent="0.25">
      <c r="A276" s="8">
        <v>42872.036921296298</v>
      </c>
      <c r="B276" t="s">
        <v>461</v>
      </c>
      <c r="C276" t="s">
        <v>511</v>
      </c>
      <c r="D276" s="141">
        <v>3010000</v>
      </c>
      <c r="E276" t="s">
        <v>426</v>
      </c>
      <c r="F276" s="20" t="s">
        <v>427</v>
      </c>
      <c r="G276" s="8" t="str">
        <f t="shared" si="4"/>
        <v>SULLIVAN BRANDON</v>
      </c>
    </row>
    <row r="277" spans="1:7" x14ac:dyDescent="0.25">
      <c r="A277" s="8">
        <v>42872.037488425929</v>
      </c>
      <c r="B277" t="s">
        <v>461</v>
      </c>
      <c r="C277" t="s">
        <v>511</v>
      </c>
      <c r="D277" s="141">
        <v>3010000</v>
      </c>
      <c r="E277" t="s">
        <v>426</v>
      </c>
      <c r="F277" s="20" t="s">
        <v>427</v>
      </c>
      <c r="G277" s="8" t="str">
        <f t="shared" si="4"/>
        <v>SULLIVAN BRANDON</v>
      </c>
    </row>
    <row r="278" spans="1:7" x14ac:dyDescent="0.25">
      <c r="A278" s="8">
        <v>42872.041689814818</v>
      </c>
      <c r="B278" t="s">
        <v>498</v>
      </c>
      <c r="C278" t="s">
        <v>499</v>
      </c>
      <c r="D278" s="141">
        <v>2970000</v>
      </c>
      <c r="E278" t="s">
        <v>397</v>
      </c>
      <c r="F278" s="20" t="s">
        <v>398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497</v>
      </c>
      <c r="C279" t="s">
        <v>525</v>
      </c>
      <c r="D279" s="141">
        <v>1810000</v>
      </c>
      <c r="E279" t="s">
        <v>383</v>
      </c>
      <c r="F279" s="20" t="s">
        <v>193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344</v>
      </c>
      <c r="C280" t="s">
        <v>526</v>
      </c>
      <c r="D280" s="141">
        <v>3090000</v>
      </c>
      <c r="E280" t="s">
        <v>393</v>
      </c>
      <c r="F280" s="20" t="s">
        <v>394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463</v>
      </c>
      <c r="C281" t="s">
        <v>511</v>
      </c>
      <c r="D281" s="141">
        <v>3010000</v>
      </c>
      <c r="E281" t="s">
        <v>426</v>
      </c>
      <c r="F281" s="20" t="s">
        <v>427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512</v>
      </c>
      <c r="C282" t="s">
        <v>513</v>
      </c>
      <c r="D282" s="141">
        <v>2970000</v>
      </c>
      <c r="E282" t="s">
        <v>397</v>
      </c>
      <c r="F282" s="20" t="s">
        <v>398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461</v>
      </c>
      <c r="C283" t="s">
        <v>511</v>
      </c>
      <c r="D283" s="141">
        <v>3010000</v>
      </c>
      <c r="E283" t="s">
        <v>426</v>
      </c>
      <c r="F283" s="20" t="s">
        <v>427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493</v>
      </c>
      <c r="C284" t="s">
        <v>527</v>
      </c>
      <c r="D284" s="141">
        <v>3030000</v>
      </c>
      <c r="E284" t="s">
        <v>399</v>
      </c>
      <c r="F284" s="20" t="s">
        <v>382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461</v>
      </c>
      <c r="C285" t="s">
        <v>511</v>
      </c>
      <c r="D285" s="141">
        <v>3010000</v>
      </c>
      <c r="E285" t="s">
        <v>426</v>
      </c>
      <c r="F285" s="20" t="s">
        <v>427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498</v>
      </c>
      <c r="C286" t="s">
        <v>499</v>
      </c>
      <c r="D286" s="141">
        <v>2970000</v>
      </c>
      <c r="E286" t="s">
        <v>397</v>
      </c>
      <c r="F286" s="20" t="s">
        <v>398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512</v>
      </c>
      <c r="C287" t="s">
        <v>513</v>
      </c>
      <c r="D287" s="141">
        <v>2970000</v>
      </c>
      <c r="E287" t="s">
        <v>397</v>
      </c>
      <c r="F287" s="20" t="s">
        <v>398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343</v>
      </c>
      <c r="C288" t="s">
        <v>528</v>
      </c>
      <c r="D288" s="141">
        <v>3090000</v>
      </c>
      <c r="E288" t="s">
        <v>393</v>
      </c>
      <c r="F288" s="20" t="s">
        <v>394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498</v>
      </c>
      <c r="C289" t="s">
        <v>499</v>
      </c>
      <c r="D289" s="141">
        <v>2970000</v>
      </c>
      <c r="E289" t="s">
        <v>397</v>
      </c>
      <c r="F289" s="20" t="s">
        <v>398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463</v>
      </c>
      <c r="C290" t="s">
        <v>511</v>
      </c>
      <c r="D290" s="141">
        <v>3010000</v>
      </c>
      <c r="E290" t="s">
        <v>426</v>
      </c>
      <c r="F290" s="20" t="s">
        <v>427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463</v>
      </c>
      <c r="C291" t="s">
        <v>511</v>
      </c>
      <c r="D291" s="141">
        <v>3010000</v>
      </c>
      <c r="E291" t="s">
        <v>426</v>
      </c>
      <c r="F291" s="20" t="s">
        <v>427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463</v>
      </c>
      <c r="C292" t="s">
        <v>511</v>
      </c>
      <c r="D292" s="141">
        <v>3010000</v>
      </c>
      <c r="E292" t="s">
        <v>426</v>
      </c>
      <c r="F292" s="20" t="s">
        <v>427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463</v>
      </c>
      <c r="C293" t="s">
        <v>511</v>
      </c>
      <c r="D293" s="141">
        <v>3010000</v>
      </c>
      <c r="E293" t="s">
        <v>426</v>
      </c>
      <c r="F293" s="20" t="s">
        <v>427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512</v>
      </c>
      <c r="C294" t="s">
        <v>513</v>
      </c>
      <c r="D294" s="141">
        <v>2970000</v>
      </c>
      <c r="E294" t="s">
        <v>397</v>
      </c>
      <c r="F294" s="20" t="s">
        <v>398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343</v>
      </c>
      <c r="C295" t="s">
        <v>404</v>
      </c>
      <c r="D295" s="141">
        <v>1800000</v>
      </c>
      <c r="E295" t="s">
        <v>395</v>
      </c>
      <c r="F295" s="20" t="s">
        <v>396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381</v>
      </c>
      <c r="C296" t="s">
        <v>405</v>
      </c>
      <c r="D296" s="141">
        <v>3030000</v>
      </c>
      <c r="E296" t="s">
        <v>399</v>
      </c>
      <c r="F296" s="20" t="s">
        <v>382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392</v>
      </c>
      <c r="C297" t="s">
        <v>388</v>
      </c>
      <c r="D297" s="141">
        <v>2970000</v>
      </c>
      <c r="E297" t="s">
        <v>397</v>
      </c>
      <c r="F297" s="20" t="s">
        <v>398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368</v>
      </c>
      <c r="C298" t="s">
        <v>406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386</v>
      </c>
      <c r="C299" t="s">
        <v>388</v>
      </c>
      <c r="D299" s="141">
        <v>2970000</v>
      </c>
      <c r="E299" t="s">
        <v>397</v>
      </c>
      <c r="F299" s="20" t="s">
        <v>398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387</v>
      </c>
      <c r="C300" t="s">
        <v>391</v>
      </c>
      <c r="D300" s="141">
        <v>3130000</v>
      </c>
      <c r="E300" t="s">
        <v>402</v>
      </c>
      <c r="F300" s="20" t="s">
        <v>403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386</v>
      </c>
      <c r="C301" t="s">
        <v>388</v>
      </c>
      <c r="D301" s="141">
        <v>2970000</v>
      </c>
      <c r="E301" t="s">
        <v>397</v>
      </c>
      <c r="F301" s="20" t="s">
        <v>398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376</v>
      </c>
      <c r="C302" t="s">
        <v>389</v>
      </c>
      <c r="D302" s="141">
        <v>3040000</v>
      </c>
      <c r="E302" t="s">
        <v>400</v>
      </c>
      <c r="F302" s="20" t="s">
        <v>401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376</v>
      </c>
      <c r="C303" t="s">
        <v>389</v>
      </c>
      <c r="D303" s="141">
        <v>3040000</v>
      </c>
      <c r="E303" t="s">
        <v>400</v>
      </c>
      <c r="F303" s="20" t="s">
        <v>401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407</v>
      </c>
      <c r="D304" s="141">
        <v>3030000</v>
      </c>
      <c r="E304" t="s">
        <v>399</v>
      </c>
      <c r="F304" s="20" t="s">
        <v>382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392</v>
      </c>
      <c r="C305" t="s">
        <v>388</v>
      </c>
      <c r="D305" s="141">
        <v>2970000</v>
      </c>
      <c r="E305" t="s">
        <v>397</v>
      </c>
      <c r="F305" s="20" t="s">
        <v>398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386</v>
      </c>
      <c r="C306" t="s">
        <v>388</v>
      </c>
      <c r="D306" s="141">
        <v>2970000</v>
      </c>
      <c r="E306" t="s">
        <v>397</v>
      </c>
      <c r="F306" s="20" t="s">
        <v>398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377</v>
      </c>
      <c r="C307" t="s">
        <v>389</v>
      </c>
      <c r="D307" s="141">
        <v>3040000</v>
      </c>
      <c r="E307" t="s">
        <v>400</v>
      </c>
      <c r="F307" s="20" t="s">
        <v>401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390</v>
      </c>
      <c r="C308" t="s">
        <v>408</v>
      </c>
      <c r="D308" s="141">
        <v>3130000</v>
      </c>
      <c r="E308" t="s">
        <v>402</v>
      </c>
      <c r="F308" s="20" t="s">
        <v>403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376</v>
      </c>
      <c r="C309" t="s">
        <v>389</v>
      </c>
      <c r="D309" s="141">
        <v>3040000</v>
      </c>
      <c r="E309" t="s">
        <v>400</v>
      </c>
      <c r="F309" s="20" t="s">
        <v>401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392</v>
      </c>
      <c r="C310" t="s">
        <v>388</v>
      </c>
      <c r="D310" s="141">
        <v>2970000</v>
      </c>
      <c r="E310" t="s">
        <v>397</v>
      </c>
      <c r="F310" s="20" t="s">
        <v>398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386</v>
      </c>
      <c r="C311" t="s">
        <v>388</v>
      </c>
      <c r="D311" s="141">
        <v>2970000</v>
      </c>
      <c r="E311" t="s">
        <v>397</v>
      </c>
      <c r="F311" s="20" t="s">
        <v>398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384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48.51</v>
      </c>
      <c r="B2" s="168">
        <v>0.76</v>
      </c>
      <c r="C2" s="168">
        <v>40.700000000000003</v>
      </c>
      <c r="D2" s="8">
        <v>42872</v>
      </c>
      <c r="E2" s="168">
        <v>0.74</v>
      </c>
      <c r="F2" s="168" t="s">
        <v>829</v>
      </c>
      <c r="G2" s="168">
        <v>366.4</v>
      </c>
      <c r="H2" s="168">
        <v>1.1000000000000001E-3</v>
      </c>
      <c r="I2" s="168">
        <v>0.02</v>
      </c>
      <c r="J2" s="168" t="s">
        <v>385</v>
      </c>
      <c r="K2" s="168">
        <v>1001.49</v>
      </c>
      <c r="L2" s="168" t="s">
        <v>830</v>
      </c>
      <c r="M2" s="168">
        <v>48.51</v>
      </c>
      <c r="N2" s="168">
        <v>1495000800</v>
      </c>
      <c r="O2" s="168">
        <v>1.93</v>
      </c>
      <c r="P2" s="168">
        <v>247</v>
      </c>
      <c r="Q2" s="168">
        <v>1.37</v>
      </c>
      <c r="R2"/>
    </row>
    <row r="3" spans="1:18" x14ac:dyDescent="0.25">
      <c r="A3" s="168">
        <v>48.87</v>
      </c>
      <c r="B3" s="168">
        <v>0.76</v>
      </c>
      <c r="C3" s="168">
        <v>40.99</v>
      </c>
      <c r="D3" s="8">
        <v>42872.041666666664</v>
      </c>
      <c r="E3" s="168">
        <v>0.74</v>
      </c>
      <c r="F3" s="168" t="s">
        <v>829</v>
      </c>
      <c r="G3" s="168">
        <v>367.36</v>
      </c>
      <c r="H3" s="168">
        <v>0</v>
      </c>
      <c r="I3" s="168">
        <v>0</v>
      </c>
      <c r="J3" s="168"/>
      <c r="K3" s="168">
        <v>1001.67</v>
      </c>
      <c r="L3" s="168" t="s">
        <v>830</v>
      </c>
      <c r="M3" s="168">
        <v>48.87</v>
      </c>
      <c r="N3" s="168">
        <v>1495004400</v>
      </c>
      <c r="O3" s="168">
        <v>1.99</v>
      </c>
      <c r="P3" s="168">
        <v>285</v>
      </c>
      <c r="Q3" s="168">
        <v>1.36</v>
      </c>
      <c r="R3"/>
    </row>
    <row r="4" spans="1:18" x14ac:dyDescent="0.25">
      <c r="A4" s="168">
        <v>49.11</v>
      </c>
      <c r="B4" s="168">
        <v>0.76</v>
      </c>
      <c r="C4" s="168">
        <v>41.69</v>
      </c>
      <c r="D4" s="8">
        <v>42872.083333333336</v>
      </c>
      <c r="E4" s="168">
        <v>0.75</v>
      </c>
      <c r="F4" s="168" t="s">
        <v>829</v>
      </c>
      <c r="G4" s="168">
        <v>368.32</v>
      </c>
      <c r="H4" s="168">
        <v>0</v>
      </c>
      <c r="I4" s="168">
        <v>0</v>
      </c>
      <c r="J4" s="168"/>
      <c r="K4" s="168">
        <v>1001.88</v>
      </c>
      <c r="L4" s="168" t="s">
        <v>830</v>
      </c>
      <c r="M4" s="168">
        <v>49.11</v>
      </c>
      <c r="N4" s="168">
        <v>1495008000</v>
      </c>
      <c r="O4" s="168">
        <v>1.96</v>
      </c>
      <c r="P4" s="168">
        <v>175</v>
      </c>
      <c r="Q4" s="168">
        <v>1.45</v>
      </c>
      <c r="R4"/>
    </row>
    <row r="5" spans="1:18" x14ac:dyDescent="0.25">
      <c r="A5" s="168">
        <v>47.38</v>
      </c>
      <c r="B5" s="168">
        <v>0.77</v>
      </c>
      <c r="C5" s="168">
        <v>41.26</v>
      </c>
      <c r="D5" s="8">
        <v>42872.125</v>
      </c>
      <c r="E5" s="168">
        <v>0.79</v>
      </c>
      <c r="F5" s="168" t="s">
        <v>829</v>
      </c>
      <c r="G5" s="168">
        <v>369.28</v>
      </c>
      <c r="H5" s="168">
        <v>0</v>
      </c>
      <c r="I5" s="168">
        <v>0</v>
      </c>
      <c r="J5" s="168"/>
      <c r="K5" s="168">
        <v>1002.13</v>
      </c>
      <c r="L5" s="168" t="s">
        <v>830</v>
      </c>
      <c r="M5" s="168">
        <v>47.38</v>
      </c>
      <c r="N5" s="168">
        <v>1495011600</v>
      </c>
      <c r="O5" s="168">
        <v>1.91</v>
      </c>
      <c r="P5" s="168">
        <v>148</v>
      </c>
      <c r="Q5" s="168">
        <v>2.89</v>
      </c>
      <c r="R5"/>
    </row>
    <row r="6" spans="1:18" x14ac:dyDescent="0.25">
      <c r="A6" s="168">
        <v>44.73</v>
      </c>
      <c r="B6" s="168">
        <v>0.73</v>
      </c>
      <c r="C6" s="168">
        <v>40.799999999999997</v>
      </c>
      <c r="D6" s="8">
        <v>42872.166666666664</v>
      </c>
      <c r="E6" s="168">
        <v>0.82</v>
      </c>
      <c r="F6" s="168" t="s">
        <v>444</v>
      </c>
      <c r="G6" s="168">
        <v>368.63</v>
      </c>
      <c r="H6" s="168">
        <v>0</v>
      </c>
      <c r="I6" s="168">
        <v>0</v>
      </c>
      <c r="J6" s="168"/>
      <c r="K6" s="168">
        <v>1002.33</v>
      </c>
      <c r="L6" s="168" t="s">
        <v>443</v>
      </c>
      <c r="M6" s="168">
        <v>45.98</v>
      </c>
      <c r="N6" s="168">
        <v>1495015200</v>
      </c>
      <c r="O6" s="168">
        <v>7.54</v>
      </c>
      <c r="P6" s="168">
        <v>183</v>
      </c>
      <c r="Q6" s="168">
        <v>3.41</v>
      </c>
      <c r="R6"/>
    </row>
    <row r="7" spans="1:18" x14ac:dyDescent="0.25">
      <c r="A7" s="168">
        <v>44.33</v>
      </c>
      <c r="B7" s="168">
        <v>0.67</v>
      </c>
      <c r="C7" s="168">
        <v>39.69</v>
      </c>
      <c r="D7" s="8">
        <v>42872.208333333336</v>
      </c>
      <c r="E7" s="168">
        <v>0.84</v>
      </c>
      <c r="F7" s="168" t="s">
        <v>829</v>
      </c>
      <c r="G7" s="168">
        <v>367.27</v>
      </c>
      <c r="H7" s="168">
        <v>0</v>
      </c>
      <c r="I7" s="168">
        <v>0</v>
      </c>
      <c r="J7" s="168"/>
      <c r="K7" s="168">
        <v>1002.48</v>
      </c>
      <c r="L7" s="168" t="s">
        <v>830</v>
      </c>
      <c r="M7" s="168">
        <v>44.33</v>
      </c>
      <c r="N7" s="168">
        <v>1495018800</v>
      </c>
      <c r="O7" s="168">
        <v>1.54</v>
      </c>
      <c r="P7" s="168">
        <v>188</v>
      </c>
      <c r="Q7" s="168">
        <v>2.77</v>
      </c>
      <c r="R7"/>
    </row>
    <row r="8" spans="1:18" x14ac:dyDescent="0.25">
      <c r="A8" s="168">
        <v>42.07</v>
      </c>
      <c r="B8" s="168">
        <v>0.63</v>
      </c>
      <c r="C8" s="168">
        <v>38.33</v>
      </c>
      <c r="D8" s="8">
        <v>42872.25</v>
      </c>
      <c r="E8" s="168">
        <v>0.82</v>
      </c>
      <c r="F8" s="168" t="s">
        <v>829</v>
      </c>
      <c r="G8" s="168">
        <v>365.82</v>
      </c>
      <c r="H8" s="168">
        <v>0</v>
      </c>
      <c r="I8" s="168">
        <v>0</v>
      </c>
      <c r="J8" s="168"/>
      <c r="K8" s="168">
        <v>1002.28</v>
      </c>
      <c r="L8" s="168" t="s">
        <v>830</v>
      </c>
      <c r="M8" s="168">
        <v>43.47</v>
      </c>
      <c r="N8" s="168">
        <v>1495022400</v>
      </c>
      <c r="O8" s="168">
        <v>1.45</v>
      </c>
      <c r="P8" s="168">
        <v>198</v>
      </c>
      <c r="Q8" s="168">
        <v>3.21</v>
      </c>
      <c r="R8"/>
    </row>
    <row r="9" spans="1:18" x14ac:dyDescent="0.25">
      <c r="A9" s="168">
        <v>46.51</v>
      </c>
      <c r="B9" s="168">
        <v>0.61</v>
      </c>
      <c r="C9" s="168">
        <v>38.270000000000003</v>
      </c>
      <c r="D9" s="8">
        <v>42872.291666666664</v>
      </c>
      <c r="E9" s="168">
        <v>0.73</v>
      </c>
      <c r="F9" s="168" t="s">
        <v>829</v>
      </c>
      <c r="G9" s="168">
        <v>364.53</v>
      </c>
      <c r="H9" s="168">
        <v>0</v>
      </c>
      <c r="I9" s="168">
        <v>0</v>
      </c>
      <c r="J9" s="168"/>
      <c r="K9" s="168">
        <v>1001.41</v>
      </c>
      <c r="L9" s="168" t="s">
        <v>830</v>
      </c>
      <c r="M9" s="168">
        <v>46.51</v>
      </c>
      <c r="N9" s="168">
        <v>1495026000</v>
      </c>
      <c r="O9" s="168">
        <v>1.57</v>
      </c>
      <c r="P9" s="168">
        <v>182</v>
      </c>
      <c r="Q9" s="168">
        <v>2.67</v>
      </c>
      <c r="R9"/>
    </row>
    <row r="10" spans="1:18" x14ac:dyDescent="0.25">
      <c r="A10" s="168">
        <v>52.13</v>
      </c>
      <c r="B10" s="168">
        <v>0.61</v>
      </c>
      <c r="C10" s="168">
        <v>38.590000000000003</v>
      </c>
      <c r="D10" s="8">
        <v>42872.333333333336</v>
      </c>
      <c r="E10" s="168">
        <v>0.6</v>
      </c>
      <c r="F10" s="168" t="s">
        <v>829</v>
      </c>
      <c r="G10" s="168">
        <v>363.15</v>
      </c>
      <c r="H10" s="168">
        <v>0</v>
      </c>
      <c r="I10" s="168">
        <v>0</v>
      </c>
      <c r="J10" s="168"/>
      <c r="K10" s="168">
        <v>1000.17</v>
      </c>
      <c r="L10" s="168" t="s">
        <v>830</v>
      </c>
      <c r="M10" s="168">
        <v>52.13</v>
      </c>
      <c r="N10" s="168">
        <v>1495029600</v>
      </c>
      <c r="O10" s="168">
        <v>1.57</v>
      </c>
      <c r="P10" s="168">
        <v>195</v>
      </c>
      <c r="Q10" s="168">
        <v>3</v>
      </c>
      <c r="R10"/>
    </row>
    <row r="11" spans="1:18" x14ac:dyDescent="0.25">
      <c r="A11" s="168">
        <v>57.77</v>
      </c>
      <c r="B11" s="168">
        <v>0.62</v>
      </c>
      <c r="C11" s="168">
        <v>37.93</v>
      </c>
      <c r="D11" s="8">
        <v>42872.375</v>
      </c>
      <c r="E11" s="168">
        <v>0.47</v>
      </c>
      <c r="F11" s="168" t="s">
        <v>829</v>
      </c>
      <c r="G11" s="168">
        <v>361.5</v>
      </c>
      <c r="H11" s="168">
        <v>0</v>
      </c>
      <c r="I11" s="168">
        <v>0</v>
      </c>
      <c r="J11" s="168"/>
      <c r="K11" s="168">
        <v>999.05</v>
      </c>
      <c r="L11" s="168" t="s">
        <v>830</v>
      </c>
      <c r="M11" s="168">
        <v>57.77</v>
      </c>
      <c r="N11" s="168">
        <v>1495033200</v>
      </c>
      <c r="O11" s="168">
        <v>1.55</v>
      </c>
      <c r="P11" s="168">
        <v>206</v>
      </c>
      <c r="Q11" s="168">
        <v>3.54</v>
      </c>
      <c r="R11"/>
    </row>
    <row r="12" spans="1:18" x14ac:dyDescent="0.25">
      <c r="A12" s="168">
        <v>62.81</v>
      </c>
      <c r="B12" s="168">
        <v>0.56999999999999995</v>
      </c>
      <c r="C12" s="168">
        <v>35.76</v>
      </c>
      <c r="D12" s="8">
        <v>42872.416666666664</v>
      </c>
      <c r="E12" s="168">
        <v>0.36</v>
      </c>
      <c r="F12" s="168" t="s">
        <v>829</v>
      </c>
      <c r="G12" s="168">
        <v>359.32</v>
      </c>
      <c r="H12" s="168">
        <v>0</v>
      </c>
      <c r="I12" s="168">
        <v>0</v>
      </c>
      <c r="J12" s="168"/>
      <c r="K12" s="168">
        <v>998.16</v>
      </c>
      <c r="L12" s="168" t="s">
        <v>830</v>
      </c>
      <c r="M12" s="168">
        <v>62.81</v>
      </c>
      <c r="N12" s="168">
        <v>1495036800</v>
      </c>
      <c r="O12" s="168">
        <v>1.54</v>
      </c>
      <c r="P12" s="168">
        <v>234</v>
      </c>
      <c r="Q12" s="168">
        <v>3.99</v>
      </c>
      <c r="R12"/>
    </row>
    <row r="13" spans="1:18" x14ac:dyDescent="0.25">
      <c r="A13" s="168">
        <v>65.41</v>
      </c>
      <c r="B13" s="168">
        <v>0.5</v>
      </c>
      <c r="C13" s="168">
        <v>34.82</v>
      </c>
      <c r="D13" s="8">
        <v>42872.458333333336</v>
      </c>
      <c r="E13" s="168">
        <v>0.32</v>
      </c>
      <c r="F13" s="168" t="s">
        <v>378</v>
      </c>
      <c r="G13" s="168">
        <v>356.86</v>
      </c>
      <c r="H13" s="168">
        <v>0</v>
      </c>
      <c r="I13" s="168">
        <v>0</v>
      </c>
      <c r="J13" s="168"/>
      <c r="K13" s="168">
        <v>997.49</v>
      </c>
      <c r="L13" s="168" t="s">
        <v>431</v>
      </c>
      <c r="M13" s="168">
        <v>65.41</v>
      </c>
      <c r="N13" s="168">
        <v>1495040400</v>
      </c>
      <c r="O13" s="168">
        <v>10</v>
      </c>
      <c r="P13" s="168">
        <v>275</v>
      </c>
      <c r="Q13" s="168">
        <v>4.82</v>
      </c>
      <c r="R13"/>
    </row>
    <row r="14" spans="1:18" x14ac:dyDescent="0.25">
      <c r="A14" s="168">
        <v>67.41</v>
      </c>
      <c r="B14" s="168">
        <v>0.5</v>
      </c>
      <c r="C14" s="168">
        <v>34.33</v>
      </c>
      <c r="D14" s="8">
        <v>42872.5</v>
      </c>
      <c r="E14" s="168">
        <v>0.28999999999999998</v>
      </c>
      <c r="F14" s="168" t="s">
        <v>829</v>
      </c>
      <c r="G14" s="168">
        <v>354.72</v>
      </c>
      <c r="H14" s="168">
        <v>0</v>
      </c>
      <c r="I14" s="168">
        <v>0</v>
      </c>
      <c r="J14" s="168"/>
      <c r="K14" s="168">
        <v>996.75</v>
      </c>
      <c r="L14" s="168" t="s">
        <v>830</v>
      </c>
      <c r="M14" s="168">
        <v>67.41</v>
      </c>
      <c r="N14" s="168">
        <v>1495044000</v>
      </c>
      <c r="O14" s="168">
        <v>1.57</v>
      </c>
      <c r="P14" s="168">
        <v>233</v>
      </c>
      <c r="Q14" s="168">
        <v>3.21</v>
      </c>
      <c r="R14"/>
    </row>
    <row r="15" spans="1:18" x14ac:dyDescent="0.25">
      <c r="A15" s="168">
        <v>70.739999999999995</v>
      </c>
      <c r="B15" s="168">
        <v>0.6</v>
      </c>
      <c r="C15" s="168">
        <v>35.97</v>
      </c>
      <c r="D15" s="8">
        <v>42872.541666666664</v>
      </c>
      <c r="E15" s="168">
        <v>0.28000000000000003</v>
      </c>
      <c r="F15" s="168" t="s">
        <v>829</v>
      </c>
      <c r="G15" s="168">
        <v>352.91</v>
      </c>
      <c r="H15" s="168">
        <v>0</v>
      </c>
      <c r="I15" s="168">
        <v>0</v>
      </c>
      <c r="J15" s="168"/>
      <c r="K15" s="168">
        <v>996.14</v>
      </c>
      <c r="L15" s="168" t="s">
        <v>830</v>
      </c>
      <c r="M15" s="168">
        <v>70.739999999999995</v>
      </c>
      <c r="N15" s="168">
        <v>1495047600</v>
      </c>
      <c r="O15" s="168">
        <v>1.58</v>
      </c>
      <c r="P15" s="168">
        <v>323</v>
      </c>
      <c r="Q15" s="168">
        <v>0.79</v>
      </c>
      <c r="R15"/>
    </row>
    <row r="16" spans="1:18" x14ac:dyDescent="0.25">
      <c r="A16" s="168">
        <v>71.69</v>
      </c>
      <c r="B16" s="168">
        <v>0.74</v>
      </c>
      <c r="C16" s="168">
        <v>36.020000000000003</v>
      </c>
      <c r="D16" s="8">
        <v>42872.583333333336</v>
      </c>
      <c r="E16" s="168">
        <v>0.27</v>
      </c>
      <c r="F16" s="168" t="s">
        <v>829</v>
      </c>
      <c r="G16" s="168">
        <v>351.42</v>
      </c>
      <c r="H16" s="168">
        <v>8.9999999999999998E-4</v>
      </c>
      <c r="I16" s="168">
        <v>0.01</v>
      </c>
      <c r="J16" s="168" t="s">
        <v>385</v>
      </c>
      <c r="K16" s="168">
        <v>995.77</v>
      </c>
      <c r="L16" s="168" t="s">
        <v>830</v>
      </c>
      <c r="M16" s="168">
        <v>71.69</v>
      </c>
      <c r="N16" s="168">
        <v>1495051200</v>
      </c>
      <c r="O16" s="168">
        <v>1.57</v>
      </c>
      <c r="P16" s="168">
        <v>99</v>
      </c>
      <c r="Q16" s="168">
        <v>0.86</v>
      </c>
      <c r="R16"/>
    </row>
    <row r="17" spans="1:18" x14ac:dyDescent="0.25">
      <c r="A17" s="168">
        <v>70.510000000000005</v>
      </c>
      <c r="B17" s="168">
        <v>0.69</v>
      </c>
      <c r="C17" s="168">
        <v>34.5</v>
      </c>
      <c r="D17" s="8">
        <v>42872.625</v>
      </c>
      <c r="E17" s="168">
        <v>0.27</v>
      </c>
      <c r="F17" s="168" t="s">
        <v>378</v>
      </c>
      <c r="G17" s="168">
        <v>350.81</v>
      </c>
      <c r="H17" s="168">
        <v>1.6999999999999999E-3</v>
      </c>
      <c r="I17" s="168">
        <v>0.04</v>
      </c>
      <c r="J17" s="168" t="s">
        <v>385</v>
      </c>
      <c r="K17" s="168">
        <v>995.85</v>
      </c>
      <c r="L17" s="168" t="s">
        <v>443</v>
      </c>
      <c r="M17" s="168">
        <v>70.510000000000005</v>
      </c>
      <c r="N17" s="168">
        <v>1495054800</v>
      </c>
      <c r="O17" s="168">
        <v>10</v>
      </c>
      <c r="P17" s="168">
        <v>321</v>
      </c>
      <c r="Q17" s="168">
        <v>1.7</v>
      </c>
      <c r="R17"/>
    </row>
    <row r="18" spans="1:18" x14ac:dyDescent="0.25">
      <c r="A18" s="168">
        <v>67.17</v>
      </c>
      <c r="B18" s="168">
        <v>0.78</v>
      </c>
      <c r="C18" s="168">
        <v>34.03</v>
      </c>
      <c r="D18" s="8">
        <v>42872.666666666664</v>
      </c>
      <c r="E18" s="168">
        <v>0.28999999999999998</v>
      </c>
      <c r="F18" s="168" t="s">
        <v>378</v>
      </c>
      <c r="G18" s="168">
        <v>351.45</v>
      </c>
      <c r="H18" s="168">
        <v>2.0999999999999999E-3</v>
      </c>
      <c r="I18" s="168">
        <v>0.05</v>
      </c>
      <c r="J18" s="168" t="s">
        <v>385</v>
      </c>
      <c r="K18" s="168">
        <v>996.5</v>
      </c>
      <c r="L18" s="168" t="s">
        <v>443</v>
      </c>
      <c r="M18" s="168">
        <v>67.17</v>
      </c>
      <c r="N18" s="168">
        <v>1495058400</v>
      </c>
      <c r="O18" s="168">
        <v>3.48</v>
      </c>
      <c r="P18" s="168">
        <v>0</v>
      </c>
      <c r="Q18" s="168">
        <v>3.52</v>
      </c>
      <c r="R18"/>
    </row>
    <row r="19" spans="1:18" x14ac:dyDescent="0.25">
      <c r="A19" s="168">
        <v>65.3</v>
      </c>
      <c r="B19" s="168">
        <v>0.85</v>
      </c>
      <c r="C19" s="168">
        <v>35.979999999999997</v>
      </c>
      <c r="D19" s="8">
        <v>42872.708333333336</v>
      </c>
      <c r="E19" s="168">
        <v>0.34</v>
      </c>
      <c r="F19" s="168" t="s">
        <v>378</v>
      </c>
      <c r="G19" s="168">
        <v>352.97</v>
      </c>
      <c r="H19" s="168">
        <v>8.9999999999999998E-4</v>
      </c>
      <c r="I19" s="168">
        <v>0.01</v>
      </c>
      <c r="J19" s="168" t="s">
        <v>385</v>
      </c>
      <c r="K19" s="168">
        <v>997.58</v>
      </c>
      <c r="L19" s="168" t="s">
        <v>443</v>
      </c>
      <c r="M19" s="168">
        <v>65.3</v>
      </c>
      <c r="N19" s="168">
        <v>1495062000</v>
      </c>
      <c r="O19" s="168">
        <v>3.5</v>
      </c>
      <c r="P19" s="168">
        <v>29</v>
      </c>
      <c r="Q19" s="168">
        <v>5.52</v>
      </c>
      <c r="R19"/>
    </row>
    <row r="20" spans="1:18" x14ac:dyDescent="0.25">
      <c r="A20" s="168">
        <v>62.98</v>
      </c>
      <c r="B20" s="168">
        <v>0.95</v>
      </c>
      <c r="C20" s="168">
        <v>35.880000000000003</v>
      </c>
      <c r="D20" s="8">
        <v>42872.75</v>
      </c>
      <c r="E20" s="168">
        <v>0.36</v>
      </c>
      <c r="F20" s="168" t="s">
        <v>385</v>
      </c>
      <c r="G20" s="168">
        <v>354.81</v>
      </c>
      <c r="H20" s="168">
        <v>6.0000000000000001E-3</v>
      </c>
      <c r="I20" s="168">
        <v>0.27</v>
      </c>
      <c r="J20" s="168" t="s">
        <v>385</v>
      </c>
      <c r="K20" s="168">
        <v>998.88</v>
      </c>
      <c r="L20" s="168" t="s">
        <v>529</v>
      </c>
      <c r="M20" s="168">
        <v>62.98</v>
      </c>
      <c r="N20" s="168">
        <v>1495065600</v>
      </c>
      <c r="O20" s="168">
        <v>3.62</v>
      </c>
      <c r="P20" s="168">
        <v>23</v>
      </c>
      <c r="Q20" s="168">
        <v>5.0599999999999996</v>
      </c>
      <c r="R20"/>
    </row>
    <row r="21" spans="1:18" x14ac:dyDescent="0.25">
      <c r="A21" s="168">
        <v>61.91</v>
      </c>
      <c r="B21" s="168">
        <v>0.82</v>
      </c>
      <c r="C21" s="168">
        <v>38.32</v>
      </c>
      <c r="D21" s="8">
        <v>42872.791666666664</v>
      </c>
      <c r="E21" s="168">
        <v>0.42</v>
      </c>
      <c r="F21" s="168" t="s">
        <v>385</v>
      </c>
      <c r="G21" s="168">
        <v>356.97</v>
      </c>
      <c r="H21" s="168">
        <v>1.89E-2</v>
      </c>
      <c r="I21" s="168">
        <v>0.6</v>
      </c>
      <c r="J21" s="168" t="s">
        <v>385</v>
      </c>
      <c r="K21" s="168">
        <v>1000.1</v>
      </c>
      <c r="L21" s="168" t="s">
        <v>530</v>
      </c>
      <c r="M21" s="168">
        <v>61.91</v>
      </c>
      <c r="N21" s="168">
        <v>1495069200</v>
      </c>
      <c r="O21" s="168">
        <v>3.98</v>
      </c>
      <c r="P21" s="168">
        <v>2</v>
      </c>
      <c r="Q21" s="168">
        <v>5.23</v>
      </c>
      <c r="R21"/>
    </row>
    <row r="22" spans="1:18" x14ac:dyDescent="0.25">
      <c r="A22" s="168">
        <v>56.1</v>
      </c>
      <c r="B22" s="168">
        <v>0.7</v>
      </c>
      <c r="C22" s="168">
        <v>43.72</v>
      </c>
      <c r="D22" s="8">
        <v>42872.833333333336</v>
      </c>
      <c r="E22" s="168">
        <v>0.63</v>
      </c>
      <c r="F22" s="168" t="s">
        <v>385</v>
      </c>
      <c r="G22" s="168">
        <v>359.44</v>
      </c>
      <c r="H22" s="168">
        <v>3.1099999999999999E-2</v>
      </c>
      <c r="I22" s="168">
        <v>0.67</v>
      </c>
      <c r="J22" s="168" t="s">
        <v>385</v>
      </c>
      <c r="K22" s="168">
        <v>1001.78</v>
      </c>
      <c r="L22" s="168" t="s">
        <v>530</v>
      </c>
      <c r="M22" s="168">
        <v>56.1</v>
      </c>
      <c r="N22" s="168">
        <v>1495072800</v>
      </c>
      <c r="O22" s="168">
        <v>4.8499999999999996</v>
      </c>
      <c r="P22" s="168">
        <v>12</v>
      </c>
      <c r="Q22" s="168">
        <v>6.63</v>
      </c>
      <c r="R22"/>
    </row>
    <row r="23" spans="1:18" x14ac:dyDescent="0.25">
      <c r="A23" s="168">
        <v>43.3</v>
      </c>
      <c r="B23" s="168">
        <v>0.69</v>
      </c>
      <c r="C23" s="168">
        <v>42.59</v>
      </c>
      <c r="D23" s="8">
        <v>42872.875</v>
      </c>
      <c r="E23" s="168">
        <v>0.85</v>
      </c>
      <c r="F23" s="168" t="s">
        <v>385</v>
      </c>
      <c r="G23" s="168">
        <v>361.64</v>
      </c>
      <c r="H23" s="168">
        <v>4.53E-2</v>
      </c>
      <c r="I23" s="168">
        <v>0.71</v>
      </c>
      <c r="J23" s="168" t="s">
        <v>385</v>
      </c>
      <c r="K23" s="168">
        <v>1003.59</v>
      </c>
      <c r="L23" s="168" t="s">
        <v>530</v>
      </c>
      <c r="M23" s="168">
        <v>46.8</v>
      </c>
      <c r="N23" s="168">
        <v>1495076400</v>
      </c>
      <c r="O23" s="168">
        <v>4.5599999999999996</v>
      </c>
      <c r="P23" s="168">
        <v>351</v>
      </c>
      <c r="Q23" s="168">
        <v>7.08</v>
      </c>
      <c r="R23"/>
    </row>
    <row r="24" spans="1:18" x14ac:dyDescent="0.25">
      <c r="A24" s="168">
        <v>41.47</v>
      </c>
      <c r="B24" s="168">
        <v>0.85</v>
      </c>
      <c r="C24" s="168">
        <v>41.7</v>
      </c>
      <c r="D24" s="8">
        <v>42872.916666666664</v>
      </c>
      <c r="E24" s="168">
        <v>0.91</v>
      </c>
      <c r="F24" s="168" t="s">
        <v>385</v>
      </c>
      <c r="G24" s="168">
        <v>363.3</v>
      </c>
      <c r="H24" s="168">
        <v>4.2799999999999998E-2</v>
      </c>
      <c r="I24" s="168">
        <v>0.71</v>
      </c>
      <c r="J24" s="168" t="s">
        <v>385</v>
      </c>
      <c r="K24" s="168">
        <v>1005.65</v>
      </c>
      <c r="L24" s="168" t="s">
        <v>530</v>
      </c>
      <c r="M24" s="168">
        <v>44.04</v>
      </c>
      <c r="N24" s="168">
        <v>1495080000</v>
      </c>
      <c r="O24" s="168">
        <v>2.58</v>
      </c>
      <c r="P24" s="168">
        <v>347</v>
      </c>
      <c r="Q24" s="168">
        <v>4.6500000000000004</v>
      </c>
      <c r="R24"/>
    </row>
    <row r="25" spans="1:18" x14ac:dyDescent="0.25">
      <c r="A25" s="168">
        <v>39.950000000000003</v>
      </c>
      <c r="B25" s="168">
        <v>0.94</v>
      </c>
      <c r="C25" s="168">
        <v>40.9</v>
      </c>
      <c r="D25" s="8">
        <v>42872.958333333336</v>
      </c>
      <c r="E25" s="168">
        <v>0.93</v>
      </c>
      <c r="F25" s="168" t="s">
        <v>385</v>
      </c>
      <c r="G25" s="168">
        <v>364.68</v>
      </c>
      <c r="H25" s="168">
        <v>2.47E-2</v>
      </c>
      <c r="I25" s="168">
        <v>0.63</v>
      </c>
      <c r="J25" s="168" t="s">
        <v>385</v>
      </c>
      <c r="K25" s="168">
        <v>1007.69</v>
      </c>
      <c r="L25" s="168" t="s">
        <v>530</v>
      </c>
      <c r="M25" s="168">
        <v>42.69</v>
      </c>
      <c r="N25" s="168">
        <v>1495083600</v>
      </c>
      <c r="O25" s="168">
        <v>2.33</v>
      </c>
      <c r="P25" s="168">
        <v>336</v>
      </c>
      <c r="Q25" s="168">
        <v>4.58</v>
      </c>
      <c r="R25"/>
    </row>
    <row r="26" spans="1:18" x14ac:dyDescent="0.25">
      <c r="A26" s="168">
        <v>39.32</v>
      </c>
      <c r="B26" s="168">
        <v>0.99</v>
      </c>
      <c r="C26" s="168">
        <v>40.08</v>
      </c>
      <c r="D26" s="8">
        <v>42873</v>
      </c>
      <c r="E26" s="168">
        <v>0.94</v>
      </c>
      <c r="F26" s="168" t="s">
        <v>385</v>
      </c>
      <c r="G26" s="168">
        <v>366.03</v>
      </c>
      <c r="H26" s="168">
        <v>2.6800000000000001E-2</v>
      </c>
      <c r="I26" s="168">
        <v>0.65</v>
      </c>
      <c r="J26" s="168" t="s">
        <v>385</v>
      </c>
      <c r="K26" s="168">
        <v>1008.91</v>
      </c>
      <c r="L26" s="168" t="s">
        <v>530</v>
      </c>
      <c r="M26" s="168">
        <v>41.79</v>
      </c>
      <c r="N26" s="168">
        <v>1495087200</v>
      </c>
      <c r="O26" s="168">
        <v>1.86</v>
      </c>
      <c r="P26" s="168">
        <v>335</v>
      </c>
      <c r="Q26" s="168">
        <v>4.07</v>
      </c>
      <c r="R26"/>
    </row>
    <row r="27" spans="1:18" x14ac:dyDescent="0.25">
      <c r="A27" s="168">
        <v>38.57</v>
      </c>
      <c r="B27" s="168">
        <v>1</v>
      </c>
      <c r="C27" s="168">
        <v>39.18</v>
      </c>
      <c r="D27" s="8">
        <v>42873.041666666664</v>
      </c>
      <c r="E27" s="168">
        <v>0.94</v>
      </c>
      <c r="F27" s="168" t="s">
        <v>385</v>
      </c>
      <c r="G27" s="168">
        <v>367.37</v>
      </c>
      <c r="H27" s="168">
        <v>5.8200000000000002E-2</v>
      </c>
      <c r="I27" s="168">
        <v>0.74</v>
      </c>
      <c r="J27" s="168" t="s">
        <v>385</v>
      </c>
      <c r="K27" s="168">
        <v>1008.29</v>
      </c>
      <c r="L27" s="168" t="s">
        <v>831</v>
      </c>
      <c r="M27" s="168">
        <v>40.78</v>
      </c>
      <c r="N27" s="168">
        <v>1495090800</v>
      </c>
      <c r="O27" s="168">
        <v>1.55</v>
      </c>
      <c r="P27" s="168">
        <v>323</v>
      </c>
      <c r="Q27" s="168">
        <v>3.63</v>
      </c>
      <c r="R27"/>
    </row>
    <row r="28" spans="1:18" x14ac:dyDescent="0.25">
      <c r="A28" s="168">
        <v>37.11</v>
      </c>
      <c r="B28" s="168">
        <v>1</v>
      </c>
      <c r="C28" s="168">
        <v>37.979999999999997</v>
      </c>
      <c r="D28" s="8">
        <v>42873.083333333336</v>
      </c>
      <c r="E28" s="168">
        <v>0.94</v>
      </c>
      <c r="F28" s="168" t="s">
        <v>385</v>
      </c>
      <c r="G28" s="168">
        <v>368.72</v>
      </c>
      <c r="H28" s="168">
        <v>8.4400000000000003E-2</v>
      </c>
      <c r="I28" s="168">
        <v>0.78</v>
      </c>
      <c r="J28" s="168" t="s">
        <v>385</v>
      </c>
      <c r="K28" s="168">
        <v>1007.73</v>
      </c>
      <c r="L28" s="168" t="s">
        <v>831</v>
      </c>
      <c r="M28" s="168">
        <v>39.46</v>
      </c>
      <c r="N28" s="168">
        <v>1495094400</v>
      </c>
      <c r="O28" s="168">
        <v>1.37</v>
      </c>
      <c r="P28" s="168">
        <v>297</v>
      </c>
      <c r="Q28" s="168">
        <v>3.58</v>
      </c>
      <c r="R28"/>
    </row>
    <row r="29" spans="1:18" x14ac:dyDescent="0.25">
      <c r="A29" s="168">
        <v>35.11</v>
      </c>
      <c r="B29" s="168">
        <v>1</v>
      </c>
      <c r="C29" s="168">
        <v>36.04</v>
      </c>
      <c r="D29" s="8">
        <v>42873.125</v>
      </c>
      <c r="E29" s="168">
        <v>0.94</v>
      </c>
      <c r="F29" s="168" t="s">
        <v>385</v>
      </c>
      <c r="G29" s="168">
        <v>370.06</v>
      </c>
      <c r="H29" s="168">
        <v>0.10059999999999999</v>
      </c>
      <c r="I29" s="168">
        <v>0.8</v>
      </c>
      <c r="J29" s="168" t="s">
        <v>385</v>
      </c>
      <c r="K29" s="168">
        <v>1007.13</v>
      </c>
      <c r="L29" s="168" t="s">
        <v>831</v>
      </c>
      <c r="M29" s="168">
        <v>37.56</v>
      </c>
      <c r="N29" s="168">
        <v>1495098000</v>
      </c>
      <c r="O29" s="168">
        <v>1.29</v>
      </c>
      <c r="P29" s="168">
        <v>302</v>
      </c>
      <c r="Q29" s="168">
        <v>3.42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6"/>
  <sheetViews>
    <sheetView workbookViewId="0">
      <selection activeCell="C18" sqref="C18:C36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42872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996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997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998</v>
      </c>
      <c r="J20" s="143" t="s">
        <v>87</v>
      </c>
      <c r="M20" s="157" t="s">
        <v>371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999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1000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1001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1002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1003</v>
      </c>
      <c r="J25" s="143" t="s">
        <v>150</v>
      </c>
      <c r="M25" s="157" t="b">
        <v>1</v>
      </c>
    </row>
    <row r="26" spans="3:24" x14ac:dyDescent="0.25">
      <c r="C26" t="s">
        <v>1004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C:\Users\stu\Documents\GitHub\eaglep3-reporting\EC\2017-05-17-refined-times.txt</v>
      </c>
    </row>
    <row r="27" spans="3:24" x14ac:dyDescent="0.25">
      <c r="C27" t="s">
        <v>1005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C:\Users\stu\Documents\GitHub\eaglep3-reporting\EC\2017-05-17-Enforcements.txt</v>
      </c>
    </row>
    <row r="28" spans="3:24" x14ac:dyDescent="0.25">
      <c r="C28" t="s">
        <v>1006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C:\Users\stu\Documents\GitHub\eaglep3-reporting\EC\2017-05-17-Runs-refined.txt</v>
      </c>
    </row>
    <row r="29" spans="3:24" x14ac:dyDescent="0.25">
      <c r="C29" t="s">
        <v>1007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C:\Users\stu\Documents\GitHub\eaglep3-reporting\EC\2017-05-17-Trips.txt</v>
      </c>
    </row>
    <row r="30" spans="3:24" x14ac:dyDescent="0.25">
      <c r="C30" t="s">
        <v>1008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C:\Users\stu\Documents\GitHub\eaglep3-reporting\EC\2017-05-17-Weather.txt</v>
      </c>
    </row>
    <row r="31" spans="3:24" x14ac:dyDescent="0.25">
      <c r="C31" t="s">
        <v>1009</v>
      </c>
      <c r="J31" s="143" t="s">
        <v>200</v>
      </c>
      <c r="M31" s="157" t="s">
        <v>201</v>
      </c>
    </row>
    <row r="32" spans="3:24" x14ac:dyDescent="0.25">
      <c r="C32" t="s">
        <v>1010</v>
      </c>
    </row>
    <row r="33" spans="3:3" x14ac:dyDescent="0.25">
      <c r="C33" t="s">
        <v>1011</v>
      </c>
    </row>
    <row r="34" spans="3:3" x14ac:dyDescent="0.25">
      <c r="C34" t="s">
        <v>1012</v>
      </c>
    </row>
    <row r="35" spans="3:3" x14ac:dyDescent="0.25">
      <c r="C35" t="s">
        <v>1013</v>
      </c>
    </row>
    <row r="36" spans="3:3" x14ac:dyDescent="0.25">
      <c r="C36" t="s">
        <v>1014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2017-05-18T15:33:16Z</dcterms:modified>
</cp:coreProperties>
</file>