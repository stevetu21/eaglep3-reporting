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0" i="1" l="1"/>
  <c r="K160" i="1"/>
  <c r="L160" i="1"/>
  <c r="V160" i="1"/>
  <c r="Y160" i="1"/>
  <c r="Z160" i="1"/>
  <c r="AB160" i="1"/>
  <c r="AC160" i="1"/>
  <c r="AD160" i="1"/>
  <c r="AG160" i="1" s="1"/>
  <c r="AE160" i="1"/>
  <c r="AF160" i="1"/>
  <c r="M12" i="3"/>
  <c r="N12" i="3"/>
  <c r="T12" i="3"/>
  <c r="U12" i="3"/>
  <c r="V12" i="3"/>
  <c r="W12" i="3"/>
  <c r="Y12" i="3" s="1"/>
  <c r="X12" i="3"/>
  <c r="AC12" i="3"/>
  <c r="I119" i="1"/>
  <c r="AF119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P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P104" i="1" s="1"/>
  <c r="V104" i="1"/>
  <c r="AB104" i="1"/>
  <c r="AC104" i="1"/>
  <c r="AD104" i="1"/>
  <c r="X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S12" i="3" s="1"/>
  <c r="Y108" i="1"/>
  <c r="Z108" i="1"/>
  <c r="AB108" i="1"/>
  <c r="AC108" i="1"/>
  <c r="AD108" i="1"/>
  <c r="T108" i="1" s="1"/>
  <c r="AE108" i="1"/>
  <c r="R12" i="3" s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P113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V119" i="1"/>
  <c r="AB119" i="1"/>
  <c r="AC119" i="1"/>
  <c r="AD119" i="1"/>
  <c r="T119" i="1" s="1"/>
  <c r="AE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P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P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P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M39" i="3"/>
  <c r="N39" i="3"/>
  <c r="U39" i="3"/>
  <c r="T39" i="3" s="1"/>
  <c r="V39" i="3"/>
  <c r="W39" i="3"/>
  <c r="X39" i="3"/>
  <c r="M28" i="3"/>
  <c r="N28" i="3"/>
  <c r="U28" i="3"/>
  <c r="T28" i="3" s="1"/>
  <c r="V28" i="3"/>
  <c r="W28" i="3"/>
  <c r="X28" i="3"/>
  <c r="M40" i="3"/>
  <c r="N40" i="3"/>
  <c r="U40" i="3"/>
  <c r="T40" i="3" s="1"/>
  <c r="V40" i="3"/>
  <c r="W40" i="3"/>
  <c r="X40" i="3"/>
  <c r="M18" i="3"/>
  <c r="N18" i="3"/>
  <c r="U18" i="3"/>
  <c r="T18" i="3" s="1"/>
  <c r="V18" i="3"/>
  <c r="W18" i="3"/>
  <c r="X18" i="3"/>
  <c r="M19" i="3"/>
  <c r="N19" i="3"/>
  <c r="U19" i="3"/>
  <c r="T19" i="3" s="1"/>
  <c r="V19" i="3"/>
  <c r="W19" i="3"/>
  <c r="X19" i="3"/>
  <c r="M20" i="3"/>
  <c r="N20" i="3"/>
  <c r="U20" i="3"/>
  <c r="T20" i="3" s="1"/>
  <c r="V20" i="3"/>
  <c r="W20" i="3"/>
  <c r="X20" i="3"/>
  <c r="M30" i="3"/>
  <c r="N30" i="3"/>
  <c r="U30" i="3"/>
  <c r="T30" i="3" s="1"/>
  <c r="V30" i="3"/>
  <c r="W30" i="3"/>
  <c r="X30" i="3"/>
  <c r="M15" i="3"/>
  <c r="N15" i="3"/>
  <c r="U15" i="3"/>
  <c r="T15" i="3" s="1"/>
  <c r="V15" i="3"/>
  <c r="W15" i="3"/>
  <c r="X15" i="3"/>
  <c r="M31" i="3"/>
  <c r="N31" i="3"/>
  <c r="U31" i="3"/>
  <c r="T31" i="3" s="1"/>
  <c r="V31" i="3"/>
  <c r="W31" i="3"/>
  <c r="X31" i="3"/>
  <c r="M34" i="3"/>
  <c r="N34" i="3"/>
  <c r="U34" i="3"/>
  <c r="T34" i="3" s="1"/>
  <c r="V34" i="3"/>
  <c r="W34" i="3"/>
  <c r="X34" i="3"/>
  <c r="M21" i="3"/>
  <c r="N21" i="3"/>
  <c r="U21" i="3"/>
  <c r="T21" i="3" s="1"/>
  <c r="V21" i="3"/>
  <c r="W21" i="3"/>
  <c r="X21" i="3"/>
  <c r="M41" i="3"/>
  <c r="N41" i="3"/>
  <c r="U41" i="3"/>
  <c r="T41" i="3" s="1"/>
  <c r="V41" i="3"/>
  <c r="W41" i="3"/>
  <c r="X41" i="3"/>
  <c r="M42" i="3"/>
  <c r="N42" i="3"/>
  <c r="U42" i="3"/>
  <c r="T42" i="3" s="1"/>
  <c r="V42" i="3"/>
  <c r="W42" i="3"/>
  <c r="X42" i="3"/>
  <c r="M32" i="3"/>
  <c r="N32" i="3"/>
  <c r="U32" i="3"/>
  <c r="T32" i="3" s="1"/>
  <c r="V32" i="3"/>
  <c r="W32" i="3"/>
  <c r="X32" i="3"/>
  <c r="M23" i="3"/>
  <c r="N23" i="3"/>
  <c r="U23" i="3"/>
  <c r="T23" i="3" s="1"/>
  <c r="V23" i="3"/>
  <c r="W23" i="3"/>
  <c r="X23" i="3"/>
  <c r="M7" i="3"/>
  <c r="N7" i="3"/>
  <c r="U7" i="3"/>
  <c r="T7" i="3" s="1"/>
  <c r="V7" i="3"/>
  <c r="W7" i="3"/>
  <c r="X7" i="3"/>
  <c r="M43" i="3"/>
  <c r="N43" i="3"/>
  <c r="U43" i="3"/>
  <c r="T43" i="3" s="1"/>
  <c r="V43" i="3"/>
  <c r="W43" i="3"/>
  <c r="X43" i="3"/>
  <c r="M29" i="3"/>
  <c r="N29" i="3"/>
  <c r="U29" i="3"/>
  <c r="T29" i="3" s="1"/>
  <c r="V29" i="3"/>
  <c r="W29" i="3"/>
  <c r="X29" i="3"/>
  <c r="M35" i="3"/>
  <c r="N35" i="3"/>
  <c r="U35" i="3"/>
  <c r="T35" i="3" s="1"/>
  <c r="V35" i="3"/>
  <c r="W35" i="3"/>
  <c r="X35" i="3"/>
  <c r="M22" i="3"/>
  <c r="N22" i="3"/>
  <c r="U22" i="3"/>
  <c r="T22" i="3" s="1"/>
  <c r="V22" i="3"/>
  <c r="W22" i="3"/>
  <c r="X22" i="3"/>
  <c r="M27" i="3"/>
  <c r="N27" i="3"/>
  <c r="U27" i="3"/>
  <c r="T27" i="3" s="1"/>
  <c r="V27" i="3"/>
  <c r="W27" i="3"/>
  <c r="X27" i="3"/>
  <c r="M44" i="3"/>
  <c r="N44" i="3"/>
  <c r="U44" i="3"/>
  <c r="T44" i="3" s="1"/>
  <c r="V44" i="3"/>
  <c r="W44" i="3"/>
  <c r="X44" i="3"/>
  <c r="M36" i="3"/>
  <c r="N36" i="3"/>
  <c r="U36" i="3"/>
  <c r="T36" i="3" s="1"/>
  <c r="V36" i="3"/>
  <c r="W36" i="3"/>
  <c r="X36" i="3"/>
  <c r="M24" i="3"/>
  <c r="N24" i="3"/>
  <c r="U24" i="3"/>
  <c r="T24" i="3" s="1"/>
  <c r="V24" i="3"/>
  <c r="W24" i="3"/>
  <c r="X24" i="3"/>
  <c r="M25" i="3"/>
  <c r="N25" i="3"/>
  <c r="U25" i="3"/>
  <c r="T25" i="3" s="1"/>
  <c r="V25" i="3"/>
  <c r="W25" i="3"/>
  <c r="X25" i="3"/>
  <c r="M33" i="3"/>
  <c r="N33" i="3"/>
  <c r="U33" i="3"/>
  <c r="T33" i="3" s="1"/>
  <c r="V33" i="3"/>
  <c r="W33" i="3"/>
  <c r="X33" i="3"/>
  <c r="M16" i="3"/>
  <c r="N16" i="3"/>
  <c r="U16" i="3"/>
  <c r="T16" i="3" s="1"/>
  <c r="V16" i="3"/>
  <c r="W16" i="3"/>
  <c r="X16" i="3"/>
  <c r="M10" i="3"/>
  <c r="N10" i="3"/>
  <c r="U10" i="3"/>
  <c r="T10" i="3" s="1"/>
  <c r="V10" i="3"/>
  <c r="W10" i="3"/>
  <c r="X10" i="3"/>
  <c r="M13" i="3"/>
  <c r="N13" i="3"/>
  <c r="U13" i="3"/>
  <c r="T13" i="3" s="1"/>
  <c r="V13" i="3"/>
  <c r="W13" i="3"/>
  <c r="X13" i="3"/>
  <c r="M37" i="3"/>
  <c r="N37" i="3"/>
  <c r="U37" i="3"/>
  <c r="T37" i="3" s="1"/>
  <c r="V37" i="3"/>
  <c r="W37" i="3"/>
  <c r="X37" i="3"/>
  <c r="M26" i="3"/>
  <c r="N26" i="3"/>
  <c r="U26" i="3"/>
  <c r="T26" i="3" s="1"/>
  <c r="V26" i="3"/>
  <c r="W26" i="3"/>
  <c r="X26" i="3"/>
  <c r="M11" i="3"/>
  <c r="N11" i="3"/>
  <c r="U11" i="3"/>
  <c r="T11" i="3" s="1"/>
  <c r="V11" i="3"/>
  <c r="W11" i="3"/>
  <c r="X11" i="3"/>
  <c r="M45" i="3"/>
  <c r="N45" i="3"/>
  <c r="U45" i="3"/>
  <c r="T45" i="3" s="1"/>
  <c r="V45" i="3"/>
  <c r="W45" i="3"/>
  <c r="X45" i="3"/>
  <c r="M38" i="3"/>
  <c r="N38" i="3"/>
  <c r="U38" i="3"/>
  <c r="T38" i="3" s="1"/>
  <c r="V38" i="3"/>
  <c r="W38" i="3"/>
  <c r="X38" i="3"/>
  <c r="M46" i="3"/>
  <c r="N46" i="3"/>
  <c r="U46" i="3"/>
  <c r="T46" i="3" s="1"/>
  <c r="V46" i="3"/>
  <c r="W46" i="3"/>
  <c r="X46" i="3"/>
  <c r="M47" i="3"/>
  <c r="N47" i="3"/>
  <c r="U47" i="3"/>
  <c r="T47" i="3" s="1"/>
  <c r="V47" i="3"/>
  <c r="W47" i="3"/>
  <c r="X47" i="3"/>
  <c r="M48" i="3"/>
  <c r="N48" i="3"/>
  <c r="U48" i="3"/>
  <c r="T48" i="3" s="1"/>
  <c r="V48" i="3"/>
  <c r="W48" i="3"/>
  <c r="X48" i="3"/>
  <c r="M8" i="3"/>
  <c r="N8" i="3"/>
  <c r="U8" i="3"/>
  <c r="T8" i="3" s="1"/>
  <c r="V8" i="3"/>
  <c r="W8" i="3"/>
  <c r="X8" i="3"/>
  <c r="M14" i="3"/>
  <c r="N14" i="3"/>
  <c r="U14" i="3"/>
  <c r="T14" i="3" s="1"/>
  <c r="V14" i="3"/>
  <c r="W14" i="3"/>
  <c r="X14" i="3"/>
  <c r="M17" i="3"/>
  <c r="N17" i="3"/>
  <c r="U17" i="3"/>
  <c r="T17" i="3" s="1"/>
  <c r="V17" i="3"/>
  <c r="W17" i="3"/>
  <c r="X17" i="3"/>
  <c r="AA160" i="1" l="1"/>
  <c r="W160" i="1" s="1"/>
  <c r="AA133" i="1"/>
  <c r="P152" i="1"/>
  <c r="AG14" i="1"/>
  <c r="AI14" i="1" s="1"/>
  <c r="X161" i="1"/>
  <c r="T160" i="1"/>
  <c r="X160" i="1"/>
  <c r="U160" i="1"/>
  <c r="S160" i="1" s="1"/>
  <c r="AI160" i="1"/>
  <c r="X129" i="1"/>
  <c r="X125" i="1"/>
  <c r="X128" i="1"/>
  <c r="X124" i="1"/>
  <c r="X127" i="1"/>
  <c r="X130" i="1"/>
  <c r="X126" i="1"/>
  <c r="X121" i="1"/>
  <c r="X120" i="1"/>
  <c r="X119" i="1"/>
  <c r="T46" i="1"/>
  <c r="U46" i="1" s="1"/>
  <c r="S46" i="1" s="1"/>
  <c r="M119" i="1"/>
  <c r="P119" i="1" s="1"/>
  <c r="AA115" i="1"/>
  <c r="W115" i="1" s="1"/>
  <c r="AA107" i="1"/>
  <c r="W107" i="1" s="1"/>
  <c r="X107" i="1"/>
  <c r="X103" i="1"/>
  <c r="X92" i="1"/>
  <c r="T57" i="1"/>
  <c r="U57" i="1" s="1"/>
  <c r="S57" i="1" s="1"/>
  <c r="X106" i="1"/>
  <c r="X102" i="1"/>
  <c r="X109" i="1"/>
  <c r="X105" i="1"/>
  <c r="AA99" i="1"/>
  <c r="AA86" i="1"/>
  <c r="W86" i="1" s="1"/>
  <c r="AA82" i="1"/>
  <c r="X27" i="1"/>
  <c r="X108" i="1"/>
  <c r="AA149" i="1"/>
  <c r="X140" i="1"/>
  <c r="T132" i="1"/>
  <c r="U132" i="1" s="1"/>
  <c r="S132" i="1" s="1"/>
  <c r="AA123" i="1"/>
  <c r="AI115" i="1"/>
  <c r="X101" i="1"/>
  <c r="AA97" i="1"/>
  <c r="W97" i="1" s="1"/>
  <c r="AI75" i="1"/>
  <c r="AI71" i="1"/>
  <c r="AI67" i="1"/>
  <c r="AI59" i="1"/>
  <c r="AA151" i="1"/>
  <c r="AA29" i="1"/>
  <c r="AG26" i="1"/>
  <c r="AA24" i="1"/>
  <c r="X23" i="1"/>
  <c r="X31" i="1"/>
  <c r="AG16" i="1"/>
  <c r="U16" i="1" s="1"/>
  <c r="S16" i="1" s="1"/>
  <c r="AA128" i="1"/>
  <c r="AI86" i="1"/>
  <c r="AA78" i="1"/>
  <c r="W78" i="1" s="1"/>
  <c r="AA62" i="1"/>
  <c r="W62" i="1" s="1"/>
  <c r="AA144" i="1"/>
  <c r="AA110" i="1"/>
  <c r="AA93" i="1"/>
  <c r="AA67" i="1"/>
  <c r="W67" i="1" s="1"/>
  <c r="AG44" i="1"/>
  <c r="U44" i="1" s="1"/>
  <c r="S44" i="1" s="1"/>
  <c r="AA42" i="1"/>
  <c r="AA71" i="1"/>
  <c r="W71" i="1" s="1"/>
  <c r="AA51" i="1"/>
  <c r="W51" i="1" s="1"/>
  <c r="AA36" i="1"/>
  <c r="AG106" i="1"/>
  <c r="AG139" i="1"/>
  <c r="U139" i="1" s="1"/>
  <c r="S139" i="1" s="1"/>
  <c r="AG133" i="1"/>
  <c r="AI133" i="1" s="1"/>
  <c r="AG73" i="1"/>
  <c r="AI73" i="1" s="1"/>
  <c r="AA14" i="1"/>
  <c r="X144" i="1"/>
  <c r="AG96" i="1"/>
  <c r="U96" i="1" s="1"/>
  <c r="S96" i="1" s="1"/>
  <c r="X74" i="1"/>
  <c r="T156" i="1"/>
  <c r="U156" i="1" s="1"/>
  <c r="S156" i="1" s="1"/>
  <c r="AA161" i="1"/>
  <c r="AA156" i="1"/>
  <c r="W156" i="1" s="1"/>
  <c r="X133" i="1"/>
  <c r="AG130" i="1"/>
  <c r="AI130" i="1" s="1"/>
  <c r="AI111" i="1"/>
  <c r="X100" i="1"/>
  <c r="AG89" i="1"/>
  <c r="AI89" i="1" s="1"/>
  <c r="X89" i="1"/>
  <c r="AA74" i="1"/>
  <c r="W74" i="1" s="1"/>
  <c r="AA70" i="1"/>
  <c r="W70" i="1" s="1"/>
  <c r="AG42" i="1"/>
  <c r="AA40" i="1"/>
  <c r="AA26" i="1"/>
  <c r="T19" i="1"/>
  <c r="U19" i="1" s="1"/>
  <c r="S19" i="1" s="1"/>
  <c r="AA166" i="1"/>
  <c r="AA162" i="1"/>
  <c r="T144" i="1"/>
  <c r="AA141" i="1"/>
  <c r="AA121" i="1"/>
  <c r="AA105" i="1"/>
  <c r="AA100" i="1"/>
  <c r="T100" i="1"/>
  <c r="AA79" i="1"/>
  <c r="W79" i="1" s="1"/>
  <c r="AI63" i="1"/>
  <c r="AA59" i="1"/>
  <c r="W59" i="1" s="1"/>
  <c r="AA58" i="1"/>
  <c r="W58" i="1" s="1"/>
  <c r="AA39" i="1"/>
  <c r="W39" i="1" s="1"/>
  <c r="X163" i="1"/>
  <c r="AA30" i="1"/>
  <c r="AA25" i="1"/>
  <c r="AG22" i="1"/>
  <c r="U22" i="1" s="1"/>
  <c r="S22" i="1" s="1"/>
  <c r="X162" i="1"/>
  <c r="X148" i="1"/>
  <c r="AG129" i="1"/>
  <c r="U129" i="1" s="1"/>
  <c r="S129" i="1" s="1"/>
  <c r="AG121" i="1"/>
  <c r="AA111" i="1"/>
  <c r="W111" i="1" s="1"/>
  <c r="X110" i="1"/>
  <c r="AG100" i="1"/>
  <c r="X78" i="1"/>
  <c r="T172" i="1"/>
  <c r="U172" i="1" s="1"/>
  <c r="S172" i="1" s="1"/>
  <c r="T159" i="1"/>
  <c r="U159" i="1" s="1"/>
  <c r="S159" i="1" s="1"/>
  <c r="AA172" i="1"/>
  <c r="W172" i="1" s="1"/>
  <c r="AA169" i="1"/>
  <c r="AA165" i="1"/>
  <c r="AA158" i="1"/>
  <c r="AA157" i="1"/>
  <c r="AG153" i="1"/>
  <c r="U153" i="1" s="1"/>
  <c r="AA146" i="1"/>
  <c r="X145" i="1"/>
  <c r="AG135" i="1"/>
  <c r="U135" i="1" s="1"/>
  <c r="S135" i="1" s="1"/>
  <c r="AA132" i="1"/>
  <c r="W132" i="1" s="1"/>
  <c r="AG128" i="1"/>
  <c r="U128" i="1" s="1"/>
  <c r="S128" i="1" s="1"/>
  <c r="AG123" i="1"/>
  <c r="AI123" i="1" s="1"/>
  <c r="AA120" i="1"/>
  <c r="X111" i="1"/>
  <c r="AA106" i="1"/>
  <c r="T92" i="1"/>
  <c r="AA76" i="1"/>
  <c r="T69" i="1"/>
  <c r="U69" i="1" s="1"/>
  <c r="S69" i="1" s="1"/>
  <c r="AA66" i="1"/>
  <c r="W66" i="1" s="1"/>
  <c r="AA65" i="1"/>
  <c r="AA55" i="1"/>
  <c r="W55" i="1" s="1"/>
  <c r="AA53" i="1"/>
  <c r="AA52" i="1"/>
  <c r="W52" i="1" s="1"/>
  <c r="AA49" i="1"/>
  <c r="AA48" i="1"/>
  <c r="T39" i="1"/>
  <c r="U39" i="1" s="1"/>
  <c r="S39" i="1" s="1"/>
  <c r="AG36" i="1"/>
  <c r="AI36" i="1" s="1"/>
  <c r="AG30" i="1"/>
  <c r="AI30" i="1" s="1"/>
  <c r="AA28" i="1"/>
  <c r="AA22" i="1"/>
  <c r="X159" i="1"/>
  <c r="X172" i="1"/>
  <c r="T171" i="1"/>
  <c r="U171" i="1" s="1"/>
  <c r="S171" i="1" s="1"/>
  <c r="T164" i="1"/>
  <c r="U164" i="1" s="1"/>
  <c r="S164" i="1" s="1"/>
  <c r="X156" i="1"/>
  <c r="T155" i="1"/>
  <c r="AG149" i="1"/>
  <c r="AI149" i="1" s="1"/>
  <c r="AA131" i="1"/>
  <c r="AG122" i="1"/>
  <c r="U122" i="1" s="1"/>
  <c r="S122" i="1" s="1"/>
  <c r="X122" i="1"/>
  <c r="AA119" i="1"/>
  <c r="AG118" i="1"/>
  <c r="U118" i="1" s="1"/>
  <c r="S118" i="1" s="1"/>
  <c r="AG114" i="1"/>
  <c r="AI114" i="1" s="1"/>
  <c r="AA108" i="1"/>
  <c r="AA104" i="1"/>
  <c r="T104" i="1"/>
  <c r="AA101" i="1"/>
  <c r="W101" i="1" s="1"/>
  <c r="X96" i="1"/>
  <c r="AA95" i="1"/>
  <c r="AA94" i="1"/>
  <c r="AA83" i="1"/>
  <c r="AA164" i="1"/>
  <c r="W164" i="1" s="1"/>
  <c r="AA153" i="1"/>
  <c r="AG144" i="1"/>
  <c r="AI144" i="1" s="1"/>
  <c r="AA143" i="1"/>
  <c r="AA142" i="1"/>
  <c r="AG136" i="1"/>
  <c r="U136" i="1" s="1"/>
  <c r="S136" i="1" s="1"/>
  <c r="X136" i="1"/>
  <c r="AA130" i="1"/>
  <c r="AA127" i="1"/>
  <c r="AA63" i="1"/>
  <c r="W63" i="1" s="1"/>
  <c r="X47" i="1"/>
  <c r="AG34" i="1"/>
  <c r="AI34" i="1" s="1"/>
  <c r="AA167" i="1"/>
  <c r="AA145" i="1"/>
  <c r="AA137" i="1"/>
  <c r="AA126" i="1"/>
  <c r="X123" i="1"/>
  <c r="X115" i="1"/>
  <c r="T110" i="1"/>
  <c r="AG104" i="1"/>
  <c r="AI104" i="1" s="1"/>
  <c r="AA103" i="1"/>
  <c r="AA102" i="1"/>
  <c r="X97" i="1"/>
  <c r="AA96" i="1"/>
  <c r="X93" i="1"/>
  <c r="AA92" i="1"/>
  <c r="AA88" i="1"/>
  <c r="T85" i="1"/>
  <c r="U85" i="1" s="1"/>
  <c r="S85" i="1" s="1"/>
  <c r="AI79" i="1"/>
  <c r="AG77" i="1"/>
  <c r="U77" i="1" s="1"/>
  <c r="S77" i="1" s="1"/>
  <c r="AA68" i="1"/>
  <c r="AA54" i="1"/>
  <c r="W54" i="1" s="1"/>
  <c r="AA44" i="1"/>
  <c r="AA41" i="1"/>
  <c r="X39" i="1"/>
  <c r="AA38" i="1"/>
  <c r="AA21" i="1"/>
  <c r="AA20" i="1"/>
  <c r="AA19" i="1"/>
  <c r="W19" i="1" s="1"/>
  <c r="AA16" i="1"/>
  <c r="AG169" i="1"/>
  <c r="U169" i="1" s="1"/>
  <c r="S169" i="1" s="1"/>
  <c r="AA98" i="1"/>
  <c r="AA87" i="1"/>
  <c r="AA80" i="1"/>
  <c r="AA75" i="1"/>
  <c r="W75" i="1" s="1"/>
  <c r="AA64" i="1"/>
  <c r="T61" i="1"/>
  <c r="U61" i="1" s="1"/>
  <c r="S61" i="1" s="1"/>
  <c r="AA47" i="1"/>
  <c r="W47" i="1" s="1"/>
  <c r="T47" i="1"/>
  <c r="U47" i="1" s="1"/>
  <c r="S47" i="1" s="1"/>
  <c r="AA34" i="1"/>
  <c r="AA33" i="1"/>
  <c r="AA32" i="1"/>
  <c r="AA150" i="1"/>
  <c r="AA140" i="1"/>
  <c r="T140" i="1"/>
  <c r="AG82" i="1"/>
  <c r="X82" i="1"/>
  <c r="T32" i="1"/>
  <c r="AG32" i="1"/>
  <c r="T18" i="1"/>
  <c r="AG18" i="1"/>
  <c r="AI18" i="1" s="1"/>
  <c r="AA163" i="1"/>
  <c r="X152" i="1"/>
  <c r="AG151" i="1"/>
  <c r="T145" i="1"/>
  <c r="AG137" i="1"/>
  <c r="AI137" i="1" s="1"/>
  <c r="X137" i="1"/>
  <c r="AG126" i="1"/>
  <c r="T53" i="1"/>
  <c r="X53" i="1"/>
  <c r="AG53" i="1"/>
  <c r="X54" i="1"/>
  <c r="T28" i="1"/>
  <c r="AG28" i="1"/>
  <c r="X168" i="1"/>
  <c r="AG167" i="1"/>
  <c r="AI167" i="1" s="1"/>
  <c r="AG165" i="1"/>
  <c r="AI165" i="1" s="1"/>
  <c r="X164" i="1"/>
  <c r="AG163" i="1"/>
  <c r="U163" i="1" s="1"/>
  <c r="S163" i="1" s="1"/>
  <c r="AG161" i="1"/>
  <c r="AA159" i="1"/>
  <c r="W159" i="1" s="1"/>
  <c r="AG145" i="1"/>
  <c r="X141" i="1"/>
  <c r="AG140" i="1"/>
  <c r="T131" i="1"/>
  <c r="X132" i="1"/>
  <c r="AG131" i="1"/>
  <c r="AI131" i="1" s="1"/>
  <c r="AG125" i="1"/>
  <c r="U125" i="1" s="1"/>
  <c r="S125" i="1" s="1"/>
  <c r="AG119" i="1"/>
  <c r="U119" i="1" s="1"/>
  <c r="S119" i="1" s="1"/>
  <c r="T91" i="1"/>
  <c r="AG91" i="1"/>
  <c r="AI91" i="1" s="1"/>
  <c r="T65" i="1"/>
  <c r="AG65" i="1"/>
  <c r="AI65" i="1" s="1"/>
  <c r="X66" i="1"/>
  <c r="AG43" i="1"/>
  <c r="AI43" i="1" s="1"/>
  <c r="T43" i="1"/>
  <c r="X43" i="1"/>
  <c r="T24" i="1"/>
  <c r="AG24" i="1"/>
  <c r="AG15" i="1"/>
  <c r="AI15" i="1" s="1"/>
  <c r="T15" i="1"/>
  <c r="X15" i="1"/>
  <c r="AA171" i="1"/>
  <c r="W171" i="1" s="1"/>
  <c r="AA170" i="1"/>
  <c r="AA168" i="1"/>
  <c r="W168" i="1" s="1"/>
  <c r="T168" i="1"/>
  <c r="U168" i="1" s="1"/>
  <c r="S168" i="1" s="1"/>
  <c r="AG157" i="1"/>
  <c r="AA155" i="1"/>
  <c r="W155" i="1" s="1"/>
  <c r="AA154" i="1"/>
  <c r="AA152" i="1"/>
  <c r="W152" i="1" s="1"/>
  <c r="T152" i="1"/>
  <c r="U152" i="1" s="1"/>
  <c r="S152" i="1" s="1"/>
  <c r="T143" i="1"/>
  <c r="AG143" i="1"/>
  <c r="AG141" i="1"/>
  <c r="AA136" i="1"/>
  <c r="T20" i="1"/>
  <c r="AG20" i="1"/>
  <c r="T93" i="1"/>
  <c r="T86" i="1"/>
  <c r="U86" i="1" s="1"/>
  <c r="S86" i="1" s="1"/>
  <c r="AA81" i="1"/>
  <c r="T70" i="1"/>
  <c r="U70" i="1" s="1"/>
  <c r="S70" i="1" s="1"/>
  <c r="T62" i="1"/>
  <c r="U62" i="1" s="1"/>
  <c r="S62" i="1" s="1"/>
  <c r="T58" i="1"/>
  <c r="U58" i="1" s="1"/>
  <c r="S58" i="1" s="1"/>
  <c r="AA50" i="1"/>
  <c r="AA37" i="1"/>
  <c r="AA35" i="1"/>
  <c r="W35" i="1" s="1"/>
  <c r="T35" i="1"/>
  <c r="U35" i="1" s="1"/>
  <c r="S35" i="1" s="1"/>
  <c r="AA31" i="1"/>
  <c r="T31" i="1"/>
  <c r="AA27" i="1"/>
  <c r="T27" i="1"/>
  <c r="AA23" i="1"/>
  <c r="T23" i="1"/>
  <c r="AA139" i="1"/>
  <c r="AA138" i="1"/>
  <c r="AA135" i="1"/>
  <c r="AA134" i="1"/>
  <c r="AA129" i="1"/>
  <c r="AA122" i="1"/>
  <c r="T115" i="1"/>
  <c r="U115" i="1" s="1"/>
  <c r="S115" i="1" s="1"/>
  <c r="T111" i="1"/>
  <c r="U111" i="1" s="1"/>
  <c r="S111" i="1" s="1"/>
  <c r="AG109" i="1"/>
  <c r="U109" i="1" s="1"/>
  <c r="S109" i="1" s="1"/>
  <c r="T107" i="1"/>
  <c r="U107" i="1" s="1"/>
  <c r="S107" i="1" s="1"/>
  <c r="AG93" i="1"/>
  <c r="AG92" i="1"/>
  <c r="AA85" i="1"/>
  <c r="W85" i="1" s="1"/>
  <c r="AG81" i="1"/>
  <c r="AI81" i="1" s="1"/>
  <c r="T78" i="1"/>
  <c r="U78" i="1" s="1"/>
  <c r="S78" i="1" s="1"/>
  <c r="T74" i="1"/>
  <c r="U74" i="1" s="1"/>
  <c r="S74" i="1" s="1"/>
  <c r="AA69" i="1"/>
  <c r="W69" i="1" s="1"/>
  <c r="AA61" i="1"/>
  <c r="W61" i="1" s="1"/>
  <c r="AA57" i="1"/>
  <c r="W57" i="1" s="1"/>
  <c r="AI51" i="1"/>
  <c r="AG50" i="1"/>
  <c r="AI50" i="1" s="1"/>
  <c r="AG48" i="1"/>
  <c r="X19" i="1"/>
  <c r="AA125" i="1"/>
  <c r="AA124" i="1"/>
  <c r="AA118" i="1"/>
  <c r="AA117" i="1"/>
  <c r="AA116" i="1"/>
  <c r="W116" i="1" s="1"/>
  <c r="AA112" i="1"/>
  <c r="AG110" i="1"/>
  <c r="AI110" i="1" s="1"/>
  <c r="AG105" i="1"/>
  <c r="U105" i="1" s="1"/>
  <c r="S105" i="1" s="1"/>
  <c r="AG103" i="1"/>
  <c r="U103" i="1" s="1"/>
  <c r="S103" i="1" s="1"/>
  <c r="T101" i="1"/>
  <c r="U101" i="1" s="1"/>
  <c r="S101" i="1" s="1"/>
  <c r="AG99" i="1"/>
  <c r="T97" i="1"/>
  <c r="U97" i="1" s="1"/>
  <c r="S97" i="1" s="1"/>
  <c r="AG95" i="1"/>
  <c r="AI95" i="1" s="1"/>
  <c r="AA91" i="1"/>
  <c r="AA90" i="1"/>
  <c r="AA89" i="1"/>
  <c r="X86" i="1"/>
  <c r="AA77" i="1"/>
  <c r="AA73" i="1"/>
  <c r="AA72" i="1"/>
  <c r="X70" i="1"/>
  <c r="T66" i="1"/>
  <c r="U66" i="1" s="1"/>
  <c r="S66" i="1" s="1"/>
  <c r="X62" i="1"/>
  <c r="AA60" i="1"/>
  <c r="X58" i="1"/>
  <c r="AA56" i="1"/>
  <c r="T54" i="1"/>
  <c r="U54" i="1" s="1"/>
  <c r="S54" i="1" s="1"/>
  <c r="AA46" i="1"/>
  <c r="W46" i="1" s="1"/>
  <c r="AA45" i="1"/>
  <c r="AA43" i="1"/>
  <c r="AG40" i="1"/>
  <c r="AG38" i="1"/>
  <c r="X35" i="1"/>
  <c r="AG31" i="1"/>
  <c r="AI31" i="1" s="1"/>
  <c r="AG27" i="1"/>
  <c r="AG23" i="1"/>
  <c r="AI23" i="1" s="1"/>
  <c r="AA18" i="1"/>
  <c r="AA17" i="1"/>
  <c r="AA15" i="1"/>
  <c r="AI172" i="1"/>
  <c r="AI156" i="1"/>
  <c r="AI168" i="1"/>
  <c r="AI164" i="1"/>
  <c r="AI152" i="1"/>
  <c r="AI171" i="1"/>
  <c r="X169" i="1"/>
  <c r="X165" i="1"/>
  <c r="X157" i="1"/>
  <c r="X153" i="1"/>
  <c r="X149" i="1"/>
  <c r="AA148" i="1"/>
  <c r="AA147" i="1"/>
  <c r="T146" i="1"/>
  <c r="X146" i="1"/>
  <c r="AG146" i="1"/>
  <c r="AI116" i="1"/>
  <c r="AI113" i="1"/>
  <c r="U155" i="1"/>
  <c r="S155" i="1" s="1"/>
  <c r="T148" i="1"/>
  <c r="T147" i="1"/>
  <c r="X147" i="1"/>
  <c r="X171" i="1"/>
  <c r="AG170" i="1"/>
  <c r="X167" i="1"/>
  <c r="AG166" i="1"/>
  <c r="AG162" i="1"/>
  <c r="AG158" i="1"/>
  <c r="X155" i="1"/>
  <c r="AG154" i="1"/>
  <c r="X151" i="1"/>
  <c r="AG150" i="1"/>
  <c r="AG148" i="1"/>
  <c r="AG147" i="1"/>
  <c r="X170" i="1"/>
  <c r="X166" i="1"/>
  <c r="AI159" i="1"/>
  <c r="X158" i="1"/>
  <c r="AI155" i="1"/>
  <c r="X154" i="1"/>
  <c r="X150" i="1"/>
  <c r="AG127" i="1"/>
  <c r="AG124" i="1"/>
  <c r="AG120" i="1"/>
  <c r="X118" i="1"/>
  <c r="AG117" i="1"/>
  <c r="X114" i="1"/>
  <c r="X143" i="1"/>
  <c r="AG142" i="1"/>
  <c r="AI140" i="1"/>
  <c r="X139" i="1"/>
  <c r="AG138" i="1"/>
  <c r="X135" i="1"/>
  <c r="AG134" i="1"/>
  <c r="AI132" i="1"/>
  <c r="X131" i="1"/>
  <c r="X117" i="1"/>
  <c r="X142" i="1"/>
  <c r="AI139" i="1"/>
  <c r="X138" i="1"/>
  <c r="X134" i="1"/>
  <c r="AA114" i="1"/>
  <c r="AA113" i="1"/>
  <c r="W113" i="1" s="1"/>
  <c r="T112" i="1"/>
  <c r="X112" i="1"/>
  <c r="AG112" i="1"/>
  <c r="AI107" i="1"/>
  <c r="T116" i="1"/>
  <c r="U116" i="1" s="1"/>
  <c r="S116" i="1" s="1"/>
  <c r="X116" i="1"/>
  <c r="T113" i="1"/>
  <c r="U113" i="1" s="1"/>
  <c r="X113" i="1"/>
  <c r="AA109" i="1"/>
  <c r="AI101" i="1"/>
  <c r="AI97" i="1"/>
  <c r="AG87" i="1"/>
  <c r="T87" i="1"/>
  <c r="X87" i="1"/>
  <c r="T84" i="1"/>
  <c r="X84" i="1"/>
  <c r="AI78" i="1"/>
  <c r="T72" i="1"/>
  <c r="X72" i="1"/>
  <c r="AG72" i="1"/>
  <c r="X73" i="1"/>
  <c r="AI69" i="1"/>
  <c r="AI62" i="1"/>
  <c r="AG108" i="1"/>
  <c r="AG102" i="1"/>
  <c r="X99" i="1"/>
  <c r="AG98" i="1"/>
  <c r="X95" i="1"/>
  <c r="AG94" i="1"/>
  <c r="X91" i="1"/>
  <c r="AG90" i="1"/>
  <c r="T88" i="1"/>
  <c r="X88" i="1"/>
  <c r="AI85" i="1"/>
  <c r="X85" i="1"/>
  <c r="AG84" i="1"/>
  <c r="AI74" i="1"/>
  <c r="T68" i="1"/>
  <c r="X68" i="1"/>
  <c r="AG68" i="1"/>
  <c r="X69" i="1"/>
  <c r="AI58" i="1"/>
  <c r="AI55" i="1"/>
  <c r="AI105" i="1"/>
  <c r="X98" i="1"/>
  <c r="X94" i="1"/>
  <c r="X90" i="1"/>
  <c r="AG88" i="1"/>
  <c r="T80" i="1"/>
  <c r="X80" i="1"/>
  <c r="AG80" i="1"/>
  <c r="X81" i="1"/>
  <c r="AI70" i="1"/>
  <c r="T64" i="1"/>
  <c r="X64" i="1"/>
  <c r="AG64" i="1"/>
  <c r="X65" i="1"/>
  <c r="AI61" i="1"/>
  <c r="AA84" i="1"/>
  <c r="AG83" i="1"/>
  <c r="T83" i="1"/>
  <c r="X83" i="1"/>
  <c r="T76" i="1"/>
  <c r="X76" i="1"/>
  <c r="AG76" i="1"/>
  <c r="X77" i="1"/>
  <c r="AI66" i="1"/>
  <c r="T60" i="1"/>
  <c r="X60" i="1"/>
  <c r="AG60" i="1"/>
  <c r="X61" i="1"/>
  <c r="AI57" i="1"/>
  <c r="AI54" i="1"/>
  <c r="AI52" i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T51" i="1"/>
  <c r="U51" i="1" s="1"/>
  <c r="S51" i="1" s="1"/>
  <c r="T49" i="1"/>
  <c r="X49" i="1"/>
  <c r="AG49" i="1"/>
  <c r="X50" i="1"/>
  <c r="T45" i="1"/>
  <c r="X45" i="1"/>
  <c r="AG45" i="1"/>
  <c r="X46" i="1"/>
  <c r="AI19" i="1"/>
  <c r="X57" i="1"/>
  <c r="AG56" i="1"/>
  <c r="X51" i="1"/>
  <c r="AI47" i="1"/>
  <c r="AI35" i="1"/>
  <c r="X56" i="1"/>
  <c r="T52" i="1"/>
  <c r="U52" i="1" s="1"/>
  <c r="S52" i="1" s="1"/>
  <c r="X52" i="1"/>
  <c r="AI46" i="1"/>
  <c r="AI39" i="1"/>
  <c r="X48" i="1"/>
  <c r="X44" i="1"/>
  <c r="X40" i="1"/>
  <c r="X36" i="1"/>
  <c r="X32" i="1"/>
  <c r="X28" i="1"/>
  <c r="X24" i="1"/>
  <c r="X20" i="1"/>
  <c r="X16" i="1"/>
  <c r="X42" i="1"/>
  <c r="AG41" i="1"/>
  <c r="X38" i="1"/>
  <c r="AG37" i="1"/>
  <c r="X34" i="1"/>
  <c r="AG33" i="1"/>
  <c r="X30" i="1"/>
  <c r="AG29" i="1"/>
  <c r="W29" i="1" s="1"/>
  <c r="AI27" i="1"/>
  <c r="X26" i="1"/>
  <c r="AG25" i="1"/>
  <c r="X22" i="1"/>
  <c r="AG21" i="1"/>
  <c r="X18" i="1"/>
  <c r="AG17" i="1"/>
  <c r="X41" i="1"/>
  <c r="X37" i="1"/>
  <c r="X33" i="1"/>
  <c r="X29" i="1"/>
  <c r="X25" i="1"/>
  <c r="X21" i="1"/>
  <c r="X17" i="1"/>
  <c r="S22" i="3"/>
  <c r="R22" i="3"/>
  <c r="B8" i="6"/>
  <c r="H8" i="6" s="1"/>
  <c r="B9" i="6"/>
  <c r="H9" i="6" s="1"/>
  <c r="B10" i="6"/>
  <c r="G10" i="6" s="1"/>
  <c r="B11" i="6"/>
  <c r="F11" i="6" s="1"/>
  <c r="G11" i="6"/>
  <c r="H11" i="6"/>
  <c r="I11" i="6"/>
  <c r="B12" i="6"/>
  <c r="H12" i="6" s="1"/>
  <c r="F12" i="6"/>
  <c r="G12" i="6"/>
  <c r="I12" i="6"/>
  <c r="B13" i="6"/>
  <c r="H13" i="6" s="1"/>
  <c r="F13" i="6"/>
  <c r="I13" i="6"/>
  <c r="B14" i="6"/>
  <c r="G14" i="6" s="1"/>
  <c r="S39" i="3"/>
  <c r="R39" i="3"/>
  <c r="S30" i="3"/>
  <c r="R30" i="3"/>
  <c r="S40" i="3"/>
  <c r="R40" i="3"/>
  <c r="S15" i="3"/>
  <c r="R15" i="3"/>
  <c r="S21" i="3"/>
  <c r="R21" i="3"/>
  <c r="S32" i="3"/>
  <c r="R32" i="3"/>
  <c r="S23" i="3"/>
  <c r="R23" i="3"/>
  <c r="S43" i="3"/>
  <c r="R43" i="3"/>
  <c r="S7" i="3"/>
  <c r="R7" i="3"/>
  <c r="S35" i="3"/>
  <c r="R35" i="3"/>
  <c r="S29" i="3"/>
  <c r="R29" i="3"/>
  <c r="S36" i="3"/>
  <c r="R36" i="3"/>
  <c r="S27" i="3"/>
  <c r="R27" i="3"/>
  <c r="S44" i="3"/>
  <c r="R44" i="3"/>
  <c r="S33" i="3"/>
  <c r="R33" i="3"/>
  <c r="S26" i="3"/>
  <c r="R26" i="3"/>
  <c r="S38" i="3"/>
  <c r="R38" i="3"/>
  <c r="S14" i="3"/>
  <c r="R14" i="3"/>
  <c r="S8" i="3"/>
  <c r="R8" i="3"/>
  <c r="S17" i="3"/>
  <c r="R17" i="3"/>
  <c r="S48" i="3"/>
  <c r="R48" i="3"/>
  <c r="S45" i="3"/>
  <c r="R45" i="3"/>
  <c r="AC40" i="3"/>
  <c r="M9" i="3"/>
  <c r="N9" i="3"/>
  <c r="U9" i="3"/>
  <c r="T9" i="3" s="1"/>
  <c r="V9" i="3"/>
  <c r="W9" i="3"/>
  <c r="X9" i="3"/>
  <c r="AC17" i="3"/>
  <c r="U167" i="1" l="1"/>
  <c r="S167" i="1" s="1"/>
  <c r="W125" i="1"/>
  <c r="U114" i="1"/>
  <c r="W38" i="1"/>
  <c r="W143" i="1"/>
  <c r="AI109" i="1"/>
  <c r="AI77" i="1"/>
  <c r="U137" i="1"/>
  <c r="S137" i="1" s="1"/>
  <c r="W82" i="1"/>
  <c r="U14" i="1"/>
  <c r="S14" i="1" s="1"/>
  <c r="U131" i="1"/>
  <c r="S131" i="1" s="1"/>
  <c r="W166" i="1"/>
  <c r="W14" i="1"/>
  <c r="W106" i="1"/>
  <c r="W77" i="1"/>
  <c r="W53" i="1"/>
  <c r="U106" i="1"/>
  <c r="S106" i="1" s="1"/>
  <c r="W128" i="1"/>
  <c r="W151" i="1"/>
  <c r="AI106" i="1"/>
  <c r="W99" i="1"/>
  <c r="U91" i="1"/>
  <c r="S91" i="1" s="1"/>
  <c r="U130" i="1"/>
  <c r="S130" i="1" s="1"/>
  <c r="W42" i="1"/>
  <c r="S113" i="1"/>
  <c r="W43" i="1"/>
  <c r="W91" i="1"/>
  <c r="U38" i="1"/>
  <c r="S38" i="1" s="1"/>
  <c r="AI128" i="1"/>
  <c r="AI129" i="1"/>
  <c r="U165" i="1"/>
  <c r="S165" i="1" s="1"/>
  <c r="U123" i="1"/>
  <c r="S123" i="1" s="1"/>
  <c r="U89" i="1"/>
  <c r="S89" i="1" s="1"/>
  <c r="AI153" i="1"/>
  <c r="U95" i="1"/>
  <c r="S95" i="1" s="1"/>
  <c r="W109" i="1"/>
  <c r="AI143" i="1"/>
  <c r="W135" i="1"/>
  <c r="AI169" i="1"/>
  <c r="U143" i="1"/>
  <c r="S143" i="1" s="1"/>
  <c r="W153" i="1"/>
  <c r="W21" i="1"/>
  <c r="AI103" i="1"/>
  <c r="W154" i="1"/>
  <c r="U151" i="1"/>
  <c r="S151" i="1" s="1"/>
  <c r="W136" i="1"/>
  <c r="U34" i="1"/>
  <c r="S34" i="1" s="1"/>
  <c r="U99" i="1"/>
  <c r="S99" i="1" s="1"/>
  <c r="AI99" i="1"/>
  <c r="AI119" i="1"/>
  <c r="W157" i="1"/>
  <c r="U43" i="1"/>
  <c r="S43" i="1" s="1"/>
  <c r="U73" i="1"/>
  <c r="S73" i="1" s="1"/>
  <c r="U100" i="1"/>
  <c r="S100" i="1" s="1"/>
  <c r="W100" i="1"/>
  <c r="U92" i="1"/>
  <c r="S92" i="1" s="1"/>
  <c r="W122" i="1"/>
  <c r="U30" i="1"/>
  <c r="S30" i="1" s="1"/>
  <c r="U36" i="1"/>
  <c r="S36" i="1" s="1"/>
  <c r="W45" i="1"/>
  <c r="W49" i="1"/>
  <c r="W73" i="1"/>
  <c r="W124" i="1"/>
  <c r="W40" i="1"/>
  <c r="U31" i="1"/>
  <c r="S31" i="1" s="1"/>
  <c r="U133" i="1"/>
  <c r="S133" i="1" s="1"/>
  <c r="W65" i="1"/>
  <c r="W161" i="1"/>
  <c r="W137" i="1"/>
  <c r="AI44" i="1"/>
  <c r="U144" i="1"/>
  <c r="S144" i="1" s="1"/>
  <c r="W121" i="1"/>
  <c r="W26" i="1"/>
  <c r="AI100" i="1"/>
  <c r="W44" i="1"/>
  <c r="AI22" i="1"/>
  <c r="W17" i="1"/>
  <c r="AI96" i="1"/>
  <c r="W102" i="1"/>
  <c r="AI125" i="1"/>
  <c r="AI136" i="1"/>
  <c r="AI122" i="1"/>
  <c r="W105" i="1"/>
  <c r="W129" i="1"/>
  <c r="W96" i="1"/>
  <c r="W22" i="1"/>
  <c r="W133" i="1"/>
  <c r="AI121" i="1"/>
  <c r="U121" i="1"/>
  <c r="S121" i="1" s="1"/>
  <c r="W93" i="1"/>
  <c r="AI16" i="1"/>
  <c r="W123" i="1"/>
  <c r="W37" i="1"/>
  <c r="U23" i="1"/>
  <c r="S23" i="1" s="1"/>
  <c r="W16" i="1"/>
  <c r="AI26" i="1"/>
  <c r="U26" i="1"/>
  <c r="S26" i="1" s="1"/>
  <c r="U50" i="1"/>
  <c r="S50" i="1" s="1"/>
  <c r="AI163" i="1"/>
  <c r="U18" i="1"/>
  <c r="S18" i="1" s="1"/>
  <c r="U42" i="1"/>
  <c r="S42" i="1" s="1"/>
  <c r="AI92" i="1"/>
  <c r="AI135" i="1"/>
  <c r="W150" i="1"/>
  <c r="W89" i="1"/>
  <c r="W139" i="1"/>
  <c r="W130" i="1"/>
  <c r="AI42" i="1"/>
  <c r="W87" i="1"/>
  <c r="W114" i="1"/>
  <c r="W120" i="1"/>
  <c r="W131" i="1"/>
  <c r="AI53" i="1"/>
  <c r="W95" i="1"/>
  <c r="W103" i="1"/>
  <c r="U104" i="1"/>
  <c r="S104" i="1" s="1"/>
  <c r="W84" i="1"/>
  <c r="U27" i="1"/>
  <c r="S27" i="1" s="1"/>
  <c r="U65" i="1"/>
  <c r="S65" i="1" s="1"/>
  <c r="W30" i="1"/>
  <c r="W72" i="1"/>
  <c r="W32" i="1"/>
  <c r="W104" i="1"/>
  <c r="W36" i="1"/>
  <c r="AI38" i="1"/>
  <c r="W60" i="1"/>
  <c r="AI151" i="1"/>
  <c r="W167" i="1"/>
  <c r="W149" i="1"/>
  <c r="U15" i="1"/>
  <c r="S15" i="1" s="1"/>
  <c r="U82" i="1"/>
  <c r="S82" i="1" s="1"/>
  <c r="U81" i="1"/>
  <c r="S81" i="1" s="1"/>
  <c r="W68" i="1"/>
  <c r="W142" i="1"/>
  <c r="U149" i="1"/>
  <c r="S149" i="1" s="1"/>
  <c r="W169" i="1"/>
  <c r="W15" i="1"/>
  <c r="AI82" i="1"/>
  <c r="AI118" i="1"/>
  <c r="U110" i="1"/>
  <c r="S110" i="1" s="1"/>
  <c r="W118" i="1"/>
  <c r="U140" i="1"/>
  <c r="S140" i="1" s="1"/>
  <c r="W163" i="1"/>
  <c r="W18" i="1"/>
  <c r="W144" i="1"/>
  <c r="W34" i="1"/>
  <c r="U40" i="1"/>
  <c r="S40" i="1" s="1"/>
  <c r="AI40" i="1"/>
  <c r="U48" i="1"/>
  <c r="S48" i="1" s="1"/>
  <c r="AI48" i="1"/>
  <c r="W81" i="1"/>
  <c r="W110" i="1"/>
  <c r="U20" i="1"/>
  <c r="S20" i="1" s="1"/>
  <c r="AI20" i="1"/>
  <c r="U141" i="1"/>
  <c r="S141" i="1" s="1"/>
  <c r="AI141" i="1"/>
  <c r="W20" i="1"/>
  <c r="U145" i="1"/>
  <c r="S145" i="1" s="1"/>
  <c r="AI145" i="1"/>
  <c r="U126" i="1"/>
  <c r="S126" i="1" s="1"/>
  <c r="AI126" i="1"/>
  <c r="W92" i="1"/>
  <c r="W23" i="1"/>
  <c r="W31" i="1"/>
  <c r="U24" i="1"/>
  <c r="S24" i="1" s="1"/>
  <c r="AI24" i="1"/>
  <c r="W24" i="1"/>
  <c r="W145" i="1"/>
  <c r="W48" i="1"/>
  <c r="U28" i="1"/>
  <c r="S28" i="1" s="1"/>
  <c r="AI28" i="1"/>
  <c r="U53" i="1"/>
  <c r="S53" i="1" s="1"/>
  <c r="W141" i="1"/>
  <c r="W28" i="1"/>
  <c r="W165" i="1"/>
  <c r="U93" i="1"/>
  <c r="S93" i="1" s="1"/>
  <c r="AI93" i="1"/>
  <c r="W27" i="1"/>
  <c r="W50" i="1"/>
  <c r="U157" i="1"/>
  <c r="S157" i="1" s="1"/>
  <c r="AI157" i="1"/>
  <c r="U161" i="1"/>
  <c r="S161" i="1" s="1"/>
  <c r="AI161" i="1"/>
  <c r="W119" i="1"/>
  <c r="U32" i="1"/>
  <c r="S32" i="1" s="1"/>
  <c r="AI32" i="1"/>
  <c r="W140" i="1"/>
  <c r="W126" i="1"/>
  <c r="U83" i="1"/>
  <c r="S83" i="1" s="1"/>
  <c r="AI83" i="1"/>
  <c r="U64" i="1"/>
  <c r="S64" i="1" s="1"/>
  <c r="AI64" i="1"/>
  <c r="AI88" i="1"/>
  <c r="U88" i="1"/>
  <c r="S88" i="1" s="1"/>
  <c r="W83" i="1"/>
  <c r="W147" i="1"/>
  <c r="U33" i="1"/>
  <c r="S33" i="1" s="1"/>
  <c r="AI33" i="1"/>
  <c r="U41" i="1"/>
  <c r="S41" i="1" s="1"/>
  <c r="AI41" i="1"/>
  <c r="W33" i="1"/>
  <c r="U17" i="1"/>
  <c r="S17" i="1" s="1"/>
  <c r="AI17" i="1"/>
  <c r="U29" i="1"/>
  <c r="S29" i="1" s="1"/>
  <c r="AI29" i="1"/>
  <c r="W41" i="1"/>
  <c r="W64" i="1"/>
  <c r="U68" i="1"/>
  <c r="S68" i="1" s="1"/>
  <c r="AI68" i="1"/>
  <c r="AI90" i="1"/>
  <c r="U90" i="1"/>
  <c r="S90" i="1" s="1"/>
  <c r="AI94" i="1"/>
  <c r="U94" i="1"/>
  <c r="S94" i="1" s="1"/>
  <c r="AI98" i="1"/>
  <c r="U98" i="1"/>
  <c r="S98" i="1" s="1"/>
  <c r="AI102" i="1"/>
  <c r="U102" i="1"/>
  <c r="S102" i="1" s="1"/>
  <c r="AI108" i="1"/>
  <c r="U108" i="1"/>
  <c r="S108" i="1" s="1"/>
  <c r="W90" i="1"/>
  <c r="U112" i="1"/>
  <c r="S112" i="1" s="1"/>
  <c r="AI112" i="1"/>
  <c r="AI134" i="1"/>
  <c r="U134" i="1"/>
  <c r="S134" i="1" s="1"/>
  <c r="AI138" i="1"/>
  <c r="U138" i="1"/>
  <c r="S138" i="1" s="1"/>
  <c r="AI142" i="1"/>
  <c r="U142" i="1"/>
  <c r="S142" i="1" s="1"/>
  <c r="W108" i="1"/>
  <c r="AI117" i="1"/>
  <c r="U117" i="1"/>
  <c r="S117" i="1" s="1"/>
  <c r="AI120" i="1"/>
  <c r="U120" i="1"/>
  <c r="S120" i="1" s="1"/>
  <c r="AI124" i="1"/>
  <c r="U124" i="1"/>
  <c r="S124" i="1" s="1"/>
  <c r="AI127" i="1"/>
  <c r="U127" i="1"/>
  <c r="S127" i="1" s="1"/>
  <c r="W112" i="1"/>
  <c r="AI147" i="1"/>
  <c r="U147" i="1"/>
  <c r="S147" i="1" s="1"/>
  <c r="U154" i="1"/>
  <c r="S154" i="1" s="1"/>
  <c r="AI154" i="1"/>
  <c r="U162" i="1"/>
  <c r="S162" i="1" s="1"/>
  <c r="AI162" i="1"/>
  <c r="U170" i="1"/>
  <c r="S170" i="1" s="1"/>
  <c r="AI170" i="1"/>
  <c r="W127" i="1"/>
  <c r="U146" i="1"/>
  <c r="S146" i="1" s="1"/>
  <c r="AI146" i="1"/>
  <c r="W148" i="1"/>
  <c r="U25" i="1"/>
  <c r="S25" i="1" s="1"/>
  <c r="AI25" i="1"/>
  <c r="U37" i="1"/>
  <c r="S37" i="1" s="1"/>
  <c r="AI37" i="1"/>
  <c r="U56" i="1"/>
  <c r="S56" i="1" s="1"/>
  <c r="AI56" i="1"/>
  <c r="W25" i="1"/>
  <c r="W56" i="1"/>
  <c r="U60" i="1"/>
  <c r="S60" i="1" s="1"/>
  <c r="AI60" i="1"/>
  <c r="AI84" i="1"/>
  <c r="U84" i="1"/>
  <c r="S84" i="1" s="1"/>
  <c r="U72" i="1"/>
  <c r="S72" i="1" s="1"/>
  <c r="AI72" i="1"/>
  <c r="U87" i="1"/>
  <c r="S87" i="1" s="1"/>
  <c r="AI87" i="1"/>
  <c r="W94" i="1"/>
  <c r="W117" i="1"/>
  <c r="W134" i="1"/>
  <c r="AI148" i="1"/>
  <c r="U148" i="1"/>
  <c r="S148" i="1" s="1"/>
  <c r="W162" i="1"/>
  <c r="W170" i="1"/>
  <c r="W146" i="1"/>
  <c r="U21" i="1"/>
  <c r="S21" i="1" s="1"/>
  <c r="AI21" i="1"/>
  <c r="U45" i="1"/>
  <c r="S45" i="1" s="1"/>
  <c r="AI45" i="1"/>
  <c r="U49" i="1"/>
  <c r="S49" i="1" s="1"/>
  <c r="AI49" i="1"/>
  <c r="U76" i="1"/>
  <c r="S76" i="1" s="1"/>
  <c r="AI76" i="1"/>
  <c r="W76" i="1"/>
  <c r="U80" i="1"/>
  <c r="S80" i="1" s="1"/>
  <c r="AI80" i="1"/>
  <c r="W80" i="1"/>
  <c r="W88" i="1"/>
  <c r="W98" i="1"/>
  <c r="W138" i="1"/>
  <c r="U150" i="1"/>
  <c r="S150" i="1" s="1"/>
  <c r="AI150" i="1"/>
  <c r="U158" i="1"/>
  <c r="S158" i="1" s="1"/>
  <c r="AI158" i="1"/>
  <c r="U166" i="1"/>
  <c r="S166" i="1" s="1"/>
  <c r="AI166" i="1"/>
  <c r="W158" i="1"/>
  <c r="S47" i="3"/>
  <c r="S46" i="3"/>
  <c r="R11" i="3"/>
  <c r="R25" i="3"/>
  <c r="R10" i="3"/>
  <c r="R13" i="3"/>
  <c r="R37" i="3"/>
  <c r="R24" i="3"/>
  <c r="R16" i="3"/>
  <c r="S41" i="3"/>
  <c r="S42" i="3"/>
  <c r="R18" i="3"/>
  <c r="R20" i="3"/>
  <c r="R28" i="3"/>
  <c r="R19" i="3"/>
  <c r="R46" i="3"/>
  <c r="R47" i="3"/>
  <c r="S11" i="3"/>
  <c r="S10" i="3"/>
  <c r="S13" i="3"/>
  <c r="S37" i="3"/>
  <c r="S24" i="3"/>
  <c r="S25" i="3"/>
  <c r="S16" i="3"/>
  <c r="R41" i="3"/>
  <c r="R42" i="3"/>
  <c r="R31" i="3"/>
  <c r="R34" i="3"/>
  <c r="S31" i="3"/>
  <c r="S34" i="3"/>
  <c r="S28" i="3"/>
  <c r="S18" i="3"/>
  <c r="S19" i="3"/>
  <c r="S20" i="3"/>
  <c r="Y16" i="3"/>
  <c r="Y8" i="3"/>
  <c r="Y18" i="3"/>
  <c r="Y22" i="3"/>
  <c r="Y35" i="3"/>
  <c r="Y38" i="3"/>
  <c r="Y30" i="3"/>
  <c r="Y20" i="3"/>
  <c r="Y34" i="3"/>
  <c r="Y31" i="3"/>
  <c r="AC22" i="3"/>
  <c r="I14" i="6"/>
  <c r="I9" i="6"/>
  <c r="F9" i="6"/>
  <c r="I8" i="6"/>
  <c r="G8" i="6"/>
  <c r="F8" i="6"/>
  <c r="F14" i="6"/>
  <c r="G13" i="6"/>
  <c r="F10" i="6"/>
  <c r="G9" i="6"/>
  <c r="I10" i="6"/>
  <c r="H14" i="6"/>
  <c r="H10" i="6"/>
  <c r="Y26" i="3"/>
  <c r="Y24" i="3"/>
  <c r="Y46" i="3"/>
  <c r="Y28" i="3"/>
  <c r="Y47" i="3"/>
  <c r="Y7" i="3"/>
  <c r="Y17" i="3"/>
  <c r="AC45" i="3"/>
  <c r="AC44" i="3"/>
  <c r="AC32" i="3"/>
  <c r="AC28" i="3"/>
  <c r="AC11" i="3"/>
  <c r="AC34" i="3"/>
  <c r="Y19" i="3"/>
  <c r="Y32" i="3"/>
  <c r="Y37" i="3"/>
  <c r="Y45" i="3"/>
  <c r="Y15" i="3"/>
  <c r="Y21" i="3"/>
  <c r="Y42" i="3"/>
  <c r="Y41" i="3"/>
  <c r="Y13" i="3"/>
  <c r="Y27" i="3"/>
  <c r="Y23" i="3"/>
  <c r="AC48" i="3"/>
  <c r="AC37" i="3"/>
  <c r="AC29" i="3"/>
  <c r="AC15" i="3"/>
  <c r="Y25" i="3"/>
  <c r="Y29" i="3"/>
  <c r="Y48" i="3"/>
  <c r="Y11" i="3"/>
  <c r="Y10" i="3"/>
  <c r="Y39" i="3"/>
  <c r="Y40" i="3"/>
  <c r="Y44" i="3"/>
  <c r="Y36" i="3"/>
  <c r="AC46" i="3"/>
  <c r="AC10" i="3"/>
  <c r="AC7" i="3"/>
  <c r="AC20" i="3"/>
  <c r="AC14" i="3"/>
  <c r="AC33" i="3"/>
  <c r="AC24" i="3"/>
  <c r="Y14" i="3"/>
  <c r="Y33" i="3"/>
  <c r="AC41" i="3"/>
  <c r="AC18" i="3"/>
  <c r="AC8" i="3"/>
  <c r="AC47" i="3"/>
  <c r="AC38" i="3"/>
  <c r="AC26" i="3"/>
  <c r="AC13" i="3"/>
  <c r="AC16" i="3"/>
  <c r="AC25" i="3"/>
  <c r="AC36" i="3"/>
  <c r="AC27" i="3"/>
  <c r="AC35" i="3"/>
  <c r="AC23" i="3"/>
  <c r="AC42" i="3"/>
  <c r="AC21" i="3"/>
  <c r="AC31" i="3"/>
  <c r="AC30" i="3"/>
  <c r="AC19" i="3"/>
  <c r="AC39" i="3"/>
  <c r="S9" i="3"/>
  <c r="R9" i="3"/>
  <c r="Y43" i="3" l="1"/>
  <c r="AC43" i="3"/>
  <c r="Y9" i="3"/>
  <c r="AC9" i="3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60" i="1" s="1"/>
  <c r="AH14" i="1" l="1"/>
  <c r="AH15" i="1"/>
  <c r="AH26" i="1"/>
  <c r="AH27" i="1"/>
  <c r="AH28" i="1"/>
  <c r="AH29" i="1"/>
  <c r="AH42" i="1"/>
  <c r="AH43" i="1"/>
  <c r="AH46" i="1"/>
  <c r="AH47" i="1"/>
  <c r="AH48" i="1"/>
  <c r="AH56" i="1"/>
  <c r="AH60" i="1"/>
  <c r="AH61" i="1"/>
  <c r="AH69" i="1"/>
  <c r="AH70" i="1"/>
  <c r="AH72" i="1"/>
  <c r="AH76" i="1"/>
  <c r="AH77" i="1"/>
  <c r="AH82" i="1"/>
  <c r="AH83" i="1"/>
  <c r="AH84" i="1"/>
  <c r="AH85" i="1"/>
  <c r="AH88" i="1"/>
  <c r="AH93" i="1"/>
  <c r="AH94" i="1"/>
  <c r="AH95" i="1"/>
  <c r="AH100" i="1"/>
  <c r="AH112" i="1"/>
  <c r="AH113" i="1"/>
  <c r="AH114" i="1"/>
  <c r="AH121" i="1"/>
  <c r="AH132" i="1"/>
  <c r="AH139" i="1"/>
  <c r="AH153" i="1"/>
  <c r="AH155" i="1"/>
  <c r="AH163" i="1"/>
  <c r="AH165" i="1"/>
  <c r="AH167" i="1"/>
  <c r="AH169" i="1"/>
  <c r="AH21" i="1"/>
  <c r="AH45" i="1"/>
  <c r="AH62" i="1"/>
  <c r="AH65" i="1"/>
  <c r="AH78" i="1"/>
  <c r="AH81" i="1"/>
  <c r="AH90" i="1"/>
  <c r="AH103" i="1"/>
  <c r="AH107" i="1"/>
  <c r="AH110" i="1"/>
  <c r="AH117" i="1"/>
  <c r="AH136" i="1"/>
  <c r="AH146" i="1"/>
  <c r="AH149" i="1"/>
  <c r="AH170" i="1"/>
  <c r="AH16" i="1"/>
  <c r="AH17" i="1"/>
  <c r="AH18" i="1"/>
  <c r="AH30" i="1"/>
  <c r="AH31" i="1"/>
  <c r="AH32" i="1"/>
  <c r="AH33" i="1"/>
  <c r="AH34" i="1"/>
  <c r="AH35" i="1"/>
  <c r="AH37" i="1"/>
  <c r="AH38" i="1"/>
  <c r="AH44" i="1"/>
  <c r="AH49" i="1"/>
  <c r="AH50" i="1"/>
  <c r="AH51" i="1"/>
  <c r="AH52" i="1"/>
  <c r="AH57" i="1"/>
  <c r="AH58" i="1"/>
  <c r="AH67" i="1"/>
  <c r="AH96" i="1"/>
  <c r="AH97" i="1"/>
  <c r="AH98" i="1"/>
  <c r="AH99" i="1"/>
  <c r="AH101" i="1"/>
  <c r="AH106" i="1"/>
  <c r="AH115" i="1"/>
  <c r="AH123" i="1"/>
  <c r="AH124" i="1"/>
  <c r="AH125" i="1"/>
  <c r="AH126" i="1"/>
  <c r="AH129" i="1"/>
  <c r="AH134" i="1"/>
  <c r="AH142" i="1"/>
  <c r="AH143" i="1"/>
  <c r="AH156" i="1"/>
  <c r="AH157" i="1"/>
  <c r="AH19" i="1"/>
  <c r="AH39" i="1"/>
  <c r="AH53" i="1"/>
  <c r="AH64" i="1"/>
  <c r="AH71" i="1"/>
  <c r="AH79" i="1"/>
  <c r="AH86" i="1"/>
  <c r="AH91" i="1"/>
  <c r="AH105" i="1"/>
  <c r="AH108" i="1"/>
  <c r="AH109" i="1"/>
  <c r="AH116" i="1"/>
  <c r="AH118" i="1"/>
  <c r="AH135" i="1"/>
  <c r="AH145" i="1"/>
  <c r="AH148" i="1"/>
  <c r="AH151" i="1"/>
  <c r="AH22" i="1"/>
  <c r="AH23" i="1"/>
  <c r="AH24" i="1"/>
  <c r="AH25" i="1"/>
  <c r="AH36" i="1"/>
  <c r="AH41" i="1"/>
  <c r="AH54" i="1"/>
  <c r="AH55" i="1"/>
  <c r="AH66" i="1"/>
  <c r="AH68" i="1"/>
  <c r="AH74" i="1"/>
  <c r="AH75" i="1"/>
  <c r="AH87" i="1"/>
  <c r="AH92" i="1"/>
  <c r="AH111" i="1"/>
  <c r="AH119" i="1"/>
  <c r="AH120" i="1"/>
  <c r="AH128" i="1"/>
  <c r="AH130" i="1"/>
  <c r="AH131" i="1"/>
  <c r="AH133" i="1"/>
  <c r="AH138" i="1"/>
  <c r="AH152" i="1"/>
  <c r="AH159" i="1"/>
  <c r="AH161" i="1"/>
  <c r="AH172" i="1"/>
  <c r="AH122" i="1"/>
  <c r="AH140" i="1"/>
  <c r="AH141" i="1"/>
  <c r="AH154" i="1"/>
  <c r="AH162" i="1"/>
  <c r="AH164" i="1"/>
  <c r="AH166" i="1"/>
  <c r="AH168" i="1"/>
  <c r="AH20" i="1"/>
  <c r="AH40" i="1"/>
  <c r="AH59" i="1"/>
  <c r="AH63" i="1"/>
  <c r="AH73" i="1"/>
  <c r="AH80" i="1"/>
  <c r="AH89" i="1"/>
  <c r="AH102" i="1"/>
  <c r="AH104" i="1"/>
  <c r="AH127" i="1"/>
  <c r="AH137" i="1"/>
  <c r="AH144" i="1"/>
  <c r="AH147" i="1"/>
  <c r="AH150" i="1"/>
  <c r="AH158" i="1"/>
  <c r="AH171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<sst xmlns="http://schemas.openxmlformats.org/spreadsheetml/2006/main" count="2019" uniqueCount="690">
  <si>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</si>
  <si>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</si>
  <si>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</si>
  <si>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</si>
  <si>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</si>
  <si>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</si>
  <si>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</si>
  <si>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</si>
  <si>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</si>
  <si>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</si>
  <si>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</si>
  <si>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</si>
  <si>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</si>
  <si>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</si>
  <si>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</si>
  <si>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</si>
  <si>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</si>
  <si>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</si>
  <si>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</si>
  <si>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</si>
  <si>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</si>
  <si>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</si>
  <si>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</si>
  <si>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</si>
  <si>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</si>
  <si>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</si>
  <si>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</si>
  <si>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</si>
  <si>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</si>
  <si>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</si>
  <si>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</si>
  <si>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</si>
  <si>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</si>
  <si>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</si>
  <si>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</si>
  <si>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</si>
  <si>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</si>
  <si>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</si>
  <si>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</si>
  <si>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</si>
  <si>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</si>
  <si>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</si>
  <si>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</si>
  <si>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</si>
  <si>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</si>
  <si>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</si>
  <si>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</si>
  <si>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</si>
  <si>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</si>
  <si>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</si>
  <si>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</si>
  <si>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</si>
  <si>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</si>
  <si>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</si>
  <si>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</si>
  <si>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</si>
  <si>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</si>
  <si>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</si>
  <si>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</si>
  <si>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</si>
  <si>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</si>
  <si>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</si>
  <si>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</si>
  <si>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</si>
  <si>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</si>
  <si>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</si>
  <si>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</si>
  <si>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</si>
  <si>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</si>
  <si>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</si>
  <si>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</si>
  <si>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</si>
  <si>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</si>
  <si>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</si>
  <si>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</si>
  <si>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</si>
  <si>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</si>
  <si>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</si>
  <si>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</si>
  <si>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</si>
  <si>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</si>
  <si>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</si>
  <si>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</si>
  <si>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</si>
  <si>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</si>
  <si>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</si>
  <si>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</si>
  <si>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</si>
  <si>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</si>
  <si>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</si>
  <si>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</si>
  <si>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</si>
  <si>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</si>
  <si>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</si>
  <si>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</si>
  <si>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</si>
  <si>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</si>
  <si>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</si>
  <si>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</si>
  <si>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</si>
  <si>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</si>
  <si>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</si>
  <si>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</si>
  <si>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</si>
  <si>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</si>
  <si>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</si>
  <si>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</si>
  <si>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</si>
  <si>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</si>
  <si>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</si>
  <si>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</si>
  <si>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</si>
  <si>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</si>
  <si>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</si>
  <si>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</si>
  <si>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</si>
  <si>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</si>
  <si>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</si>
  <si>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</si>
  <si>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</si>
  <si>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</si>
  <si>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</si>
  <si>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</si>
  <si>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</si>
  <si>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</si>
  <si>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</si>
  <si>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</si>
  <si>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</si>
  <si>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</si>
  <si>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</si>
  <si>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</si>
  <si>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</si>
  <si>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</si>
  <si>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</si>
  <si>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</si>
  <si>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</si>
  <si>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</si>
  <si>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</si>
  <si>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</si>
  <si>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</si>
  <si>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</si>
  <si>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</si>
  <si>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</si>
  <si>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</si>
  <si>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</si>
  <si>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</si>
  <si>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</si>
  <si>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</si>
  <si>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</si>
  <si>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</si>
  <si>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</si>
  <si>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</si>
  <si>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</si>
  <si>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</si>
  <si>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</si>
  <si>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</si>
  <si>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</si>
  <si>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</si>
  <si>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</si>
  <si>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</si>
  <si>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</si>
  <si>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</si>
  <si>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</si>
  <si>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</si>
  <si>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</si>
  <si>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</si>
  <si>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</si>
  <si>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</si>
  <si>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</si>
  <si>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</si>
  <si>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</si>
  <si>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</si>
  <si>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</si>
  <si>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</si>
  <si>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</si>
  <si>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</si>
  <si>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</si>
  <si>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</si>
  <si>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</si>
  <si>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</si>
  <si>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</si>
  <si>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</si>
  <si>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</si>
  <si>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</si>
  <si>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</si>
  <si>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</si>
  <si>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</si>
  <si>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</si>
  <si>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</si>
  <si>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</si>
  <si>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</si>
  <si>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</si>
  <si>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</si>
  <si>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</si>
  <si>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</si>
  <si>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</si>
  <si>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</si>
  <si>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</si>
  <si>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</si>
  <si>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</si>
  <si>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</si>
  <si>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</si>
  <si>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</si>
  <si>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</si>
  <si>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</si>
  <si>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</si>
  <si>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</si>
  <si>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</si>
  <si>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</si>
  <si>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</si>
  <si>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</si>
  <si>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</si>
  <si>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</si>
  <si>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</si>
  <si>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</si>
  <si>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</si>
  <si>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</si>
  <si>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</si>
  <si>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</si>
  <si>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</si>
  <si>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</si>
  <si>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</si>
  <si>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</si>
  <si>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</si>
  <si>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</si>
  <si>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</si>
  <si>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</si>
  <si>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</si>
  <si>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204:139</t>
  </si>
  <si>
    <t>204:458</t>
  </si>
  <si>
    <t>204:467</t>
  </si>
  <si>
    <t>204:460</t>
  </si>
  <si>
    <t>human_readable_time</t>
  </si>
  <si>
    <t>204:232978</t>
  </si>
  <si>
    <t>204:138</t>
  </si>
  <si>
    <t>204:232994</t>
  </si>
  <si>
    <t>204:469</t>
  </si>
  <si>
    <t>204:462</t>
  </si>
  <si>
    <t>rtdc.l.rtdc.4044:itc</t>
  </si>
  <si>
    <t>rtdc.l.rtdc.4043:itc</t>
  </si>
  <si>
    <t>STURGEON</t>
  </si>
  <si>
    <t>Loco - PTC</t>
  </si>
  <si>
    <t>Power</t>
  </si>
  <si>
    <t>204:233297</t>
  </si>
  <si>
    <t>204:161</t>
  </si>
  <si>
    <t>rtdc.l.rtdc.4003:itc</t>
  </si>
  <si>
    <t>rtdc.l.rtdc.4004:itc</t>
  </si>
  <si>
    <t>YANAI</t>
  </si>
  <si>
    <t>CHANDLER</t>
  </si>
  <si>
    <t>204:156</t>
  </si>
  <si>
    <t>204:440</t>
  </si>
  <si>
    <t>rtdc.l.rtdc.4011:itc</t>
  </si>
  <si>
    <t>rtdc.l.rtdc.4012:itc</t>
  </si>
  <si>
    <t>204:233293</t>
  </si>
  <si>
    <t>204:233314</t>
  </si>
  <si>
    <t>CLI Grep</t>
  </si>
  <si>
    <t>204:233295</t>
  </si>
  <si>
    <t>204:145</t>
  </si>
  <si>
    <t>204:233000</t>
  </si>
  <si>
    <t>204:136</t>
  </si>
  <si>
    <t>rtdc.l.rtdc.4008:itc</t>
  </si>
  <si>
    <t>204:233334</t>
  </si>
  <si>
    <t>204:232981</t>
  </si>
  <si>
    <t>204:141</t>
  </si>
  <si>
    <t>204:442</t>
  </si>
  <si>
    <t>204:232963</t>
  </si>
  <si>
    <t>204:484</t>
  </si>
  <si>
    <t>204:233287</t>
  </si>
  <si>
    <t>204:233312</t>
  </si>
  <si>
    <t>precipType</t>
  </si>
  <si>
    <t>partly-cloudy-day</t>
  </si>
  <si>
    <t>rain</t>
  </si>
  <si>
    <t>partly-cloudy-night</t>
  </si>
  <si>
    <t>Mostly Cloudy</t>
  </si>
  <si>
    <t>Early arrival</t>
  </si>
  <si>
    <t>rtdc.l.rtdc.4014:itc</t>
  </si>
  <si>
    <t>GEBRETEKLE</t>
  </si>
  <si>
    <t>rtdc.l.rtdc.4013:itc</t>
  </si>
  <si>
    <t>HELVIE</t>
  </si>
  <si>
    <t>rtdc.l.rtdc.4006:itc</t>
  </si>
  <si>
    <t>STORY</t>
  </si>
  <si>
    <t>rtdc.l.rtdc.4005:itc</t>
  </si>
  <si>
    <t>204:232996</t>
  </si>
  <si>
    <t>204:232983</t>
  </si>
  <si>
    <t>204:232998</t>
  </si>
  <si>
    <t>204:233288</t>
  </si>
  <si>
    <t>204:232993</t>
  </si>
  <si>
    <t>204:232991</t>
  </si>
  <si>
    <t>204:446</t>
  </si>
  <si>
    <t>204:233300</t>
  </si>
  <si>
    <t>Partly Cloudy</t>
  </si>
  <si>
    <t>Time (US/Mountain)</t>
  </si>
  <si>
    <t>Source</t>
  </si>
  <si>
    <t>Employee Identifier</t>
  </si>
  <si>
    <t>Employee Last Name</t>
  </si>
  <si>
    <t>MAELZER</t>
  </si>
  <si>
    <t>rtdc.l.rtdc.4016:itc</t>
  </si>
  <si>
    <t>rtdc.l.rtdc.4027:itc</t>
  </si>
  <si>
    <t>STRICKLAND</t>
  </si>
  <si>
    <t>rtdc.l.rtdc.4028:itc</t>
  </si>
  <si>
    <t>MOSES</t>
  </si>
  <si>
    <t>204:755</t>
  </si>
  <si>
    <t>204:167</t>
  </si>
  <si>
    <t>204:233284</t>
  </si>
  <si>
    <t>204:169</t>
  </si>
  <si>
    <t>204:464</t>
  </si>
  <si>
    <t>204:232992</t>
  </si>
  <si>
    <t>204:232973</t>
  </si>
  <si>
    <t>Form C</t>
  </si>
  <si>
    <t>rtdc.l.rtdc.4029:itc</t>
  </si>
  <si>
    <t>MALAVE</t>
  </si>
  <si>
    <t>rtdc.l.rtdc.4054:itc</t>
  </si>
  <si>
    <t>rtdc.l.rtdc.4030:itc</t>
  </si>
  <si>
    <t>NEWELL</t>
  </si>
  <si>
    <t>SHOOK</t>
  </si>
  <si>
    <t>204:143</t>
  </si>
  <si>
    <t>204:232977</t>
  </si>
  <si>
    <t>204:233270</t>
  </si>
  <si>
    <t>204:233280</t>
  </si>
  <si>
    <t>204:233310</t>
  </si>
  <si>
    <t>204:475</t>
  </si>
  <si>
    <t>204:232975</t>
  </si>
  <si>
    <t>204:233011</t>
  </si>
  <si>
    <t>204:233306</t>
  </si>
  <si>
    <t>204:233332</t>
  </si>
  <si>
    <t>204:233299</t>
  </si>
  <si>
    <t>204:233320</t>
  </si>
  <si>
    <t>204:232990</t>
  </si>
  <si>
    <t>204:233302</t>
  </si>
  <si>
    <t>204:438</t>
  </si>
  <si>
    <t>204:431</t>
  </si>
  <si>
    <t>204:741</t>
  </si>
  <si>
    <t>clear-night</t>
  </si>
  <si>
    <t>Clear</t>
  </si>
  <si>
    <t>clear-day</t>
  </si>
  <si>
    <t>DAVIS</t>
  </si>
  <si>
    <t>rtdc.l.rtdc.4040:itc</t>
  </si>
  <si>
    <t>rtdc.l.rtdc.4017:itc</t>
  </si>
  <si>
    <t>rtdc.l.rtdc.4015:itc</t>
  </si>
  <si>
    <t>rtdc.l.rtdc.4018:itc</t>
  </si>
  <si>
    <t>rtdc.l.rtdc.4039:itc</t>
  </si>
  <si>
    <t>STEWART</t>
  </si>
  <si>
    <t>rtdc.l.rtdc.4021:itc</t>
  </si>
  <si>
    <t>52-23</t>
  </si>
  <si>
    <t>CLARK</t>
  </si>
  <si>
    <t>BONDS</t>
  </si>
  <si>
    <t>SWANSON</t>
  </si>
  <si>
    <t>210-23</t>
  </si>
  <si>
    <t>217-23</t>
  </si>
  <si>
    <t>212-23</t>
  </si>
  <si>
    <t>839-23</t>
  </si>
  <si>
    <t>219-23</t>
  </si>
  <si>
    <t>838-23</t>
  </si>
  <si>
    <t>214-23</t>
  </si>
  <si>
    <t>57-23</t>
  </si>
  <si>
    <t>216-23</t>
  </si>
  <si>
    <t>303-23</t>
  </si>
  <si>
    <t>221-23</t>
  </si>
  <si>
    <t>906-23</t>
  </si>
  <si>
    <t>218-23</t>
  </si>
  <si>
    <t>rtdc.l.rtdc.4022:itc</t>
  </si>
  <si>
    <t>67-23</t>
  </si>
  <si>
    <t>841-23</t>
  </si>
  <si>
    <t>305-23</t>
  </si>
  <si>
    <t>220-23</t>
  </si>
  <si>
    <t>223-23</t>
  </si>
  <si>
    <t>840-23</t>
  </si>
  <si>
    <t>307-23</t>
  </si>
  <si>
    <t>222-23</t>
  </si>
  <si>
    <t>225-23</t>
  </si>
  <si>
    <t>843-23</t>
  </si>
  <si>
    <t>224-23</t>
  </si>
  <si>
    <t>227-23</t>
  </si>
  <si>
    <t>842-23</t>
  </si>
  <si>
    <t>229-23</t>
  </si>
  <si>
    <t>226-23</t>
  </si>
  <si>
    <t>231-23</t>
  </si>
  <si>
    <t>228-23</t>
  </si>
  <si>
    <t>230-23</t>
  </si>
  <si>
    <t>233-23</t>
  </si>
  <si>
    <t>847-23</t>
  </si>
  <si>
    <t>232-23</t>
  </si>
  <si>
    <t>235-23</t>
  </si>
  <si>
    <t>908-23</t>
  </si>
  <si>
    <t>234-23</t>
  </si>
  <si>
    <t>237-23</t>
  </si>
  <si>
    <t>239-23</t>
  </si>
  <si>
    <t>236-23</t>
  </si>
  <si>
    <t>238-23</t>
  </si>
  <si>
    <t>241-23</t>
  </si>
  <si>
    <t>243-23</t>
  </si>
  <si>
    <t>240-23</t>
  </si>
  <si>
    <t>242-23</t>
  </si>
  <si>
    <t>245-23</t>
  </si>
  <si>
    <t>309-23</t>
  </si>
  <si>
    <t>244-23</t>
  </si>
  <si>
    <t>311-23</t>
  </si>
  <si>
    <t>246-23</t>
  </si>
  <si>
    <t>313-23</t>
  </si>
  <si>
    <t>315-23</t>
  </si>
  <si>
    <t>TEMPORARY SPEED RESTRICTION</t>
  </si>
  <si>
    <t>Y</t>
  </si>
  <si>
    <t>204:165</t>
  </si>
  <si>
    <t>204:233301</t>
  </si>
  <si>
    <t>204:435</t>
  </si>
  <si>
    <t>204:233311</t>
  </si>
  <si>
    <t>204:233319</t>
  </si>
  <si>
    <t>204:233285</t>
  </si>
  <si>
    <t>204:232967</t>
  </si>
  <si>
    <t>204:233281</t>
  </si>
  <si>
    <t>204:232972</t>
  </si>
  <si>
    <t>204:233264</t>
  </si>
  <si>
    <t>204:477</t>
  </si>
  <si>
    <t>204:232989</t>
  </si>
  <si>
    <t>204:232979</t>
  </si>
  <si>
    <t>204:233274</t>
  </si>
  <si>
    <t>204:232946</t>
  </si>
  <si>
    <t>204:232986</t>
  </si>
  <si>
    <t>204:233047</t>
  </si>
  <si>
    <t>204:174</t>
  </si>
  <si>
    <t>204:233323</t>
  </si>
  <si>
    <t>204:233266</t>
  </si>
  <si>
    <t>300:23304</t>
  </si>
  <si>
    <t>300:23310</t>
  </si>
  <si>
    <t>300:24208</t>
  </si>
  <si>
    <t>204:759</t>
  </si>
  <si>
    <t>204:657</t>
  </si>
  <si>
    <t>Wi-MAX outage</t>
  </si>
  <si>
    <t>Did not init</t>
  </si>
  <si>
    <t>103-24</t>
  </si>
  <si>
    <t>rtdc.l.rtdc.4053:itc</t>
  </si>
  <si>
    <t>105-24</t>
  </si>
  <si>
    <t>104-24</t>
  </si>
  <si>
    <t>rtdc.l.rtdc.4007:itc</t>
  </si>
  <si>
    <t>107-24</t>
  </si>
  <si>
    <t>rtdc.l.rtdc.4045:itc</t>
  </si>
  <si>
    <t>106-24</t>
  </si>
  <si>
    <t>114-24</t>
  </si>
  <si>
    <t>116-24</t>
  </si>
  <si>
    <t>118-24</t>
  </si>
  <si>
    <t>129-24</t>
  </si>
  <si>
    <t>132-24</t>
  </si>
  <si>
    <t>145-24</t>
  </si>
  <si>
    <t>157-24</t>
  </si>
  <si>
    <t>155-24</t>
  </si>
  <si>
    <t>165-24</t>
  </si>
  <si>
    <t>158-24</t>
  </si>
  <si>
    <t>160-24</t>
  </si>
  <si>
    <t>174-24</t>
  </si>
  <si>
    <t>179-24</t>
  </si>
  <si>
    <t>172-24</t>
  </si>
  <si>
    <t>186-24</t>
  </si>
  <si>
    <t>184-24</t>
  </si>
  <si>
    <t>192-24</t>
  </si>
  <si>
    <t>196-24</t>
  </si>
  <si>
    <t>63-24</t>
  </si>
  <si>
    <t>200-24</t>
  </si>
  <si>
    <t>68-24</t>
  </si>
  <si>
    <t>52-24</t>
  </si>
  <si>
    <t>221-24</t>
  </si>
  <si>
    <t>216-24</t>
  </si>
  <si>
    <t>234-24</t>
  </si>
  <si>
    <t>101-24</t>
  </si>
  <si>
    <t>102-24</t>
  </si>
  <si>
    <t>ACKERMAN</t>
  </si>
  <si>
    <t>109-24</t>
  </si>
  <si>
    <t>DE LA ROSA</t>
  </si>
  <si>
    <t>111-24</t>
  </si>
  <si>
    <t>113-24</t>
  </si>
  <si>
    <t>108-24</t>
  </si>
  <si>
    <t>110-24</t>
  </si>
  <si>
    <t>115-24</t>
  </si>
  <si>
    <t>117-24</t>
  </si>
  <si>
    <t>112-24</t>
  </si>
  <si>
    <t>119-24</t>
  </si>
  <si>
    <t>121-24</t>
  </si>
  <si>
    <t>123-24</t>
  </si>
  <si>
    <t>125-24</t>
  </si>
  <si>
    <t>120-24</t>
  </si>
  <si>
    <t>127-24</t>
  </si>
  <si>
    <t>122-24</t>
  </si>
  <si>
    <t>124-24</t>
  </si>
  <si>
    <t>131-24</t>
  </si>
  <si>
    <t>126-24</t>
  </si>
  <si>
    <t>133-24</t>
  </si>
  <si>
    <t>128-24</t>
  </si>
  <si>
    <t>135-24</t>
  </si>
  <si>
    <t>130-24</t>
  </si>
  <si>
    <t>137-24</t>
  </si>
  <si>
    <t>139-24</t>
  </si>
  <si>
    <t>134-24</t>
  </si>
  <si>
    <t>141-24</t>
  </si>
  <si>
    <t>136-24</t>
  </si>
  <si>
    <t>143-24</t>
  </si>
  <si>
    <t>BEAM</t>
  </si>
  <si>
    <t>138-24</t>
  </si>
  <si>
    <t>140-24</t>
  </si>
  <si>
    <t>147-24</t>
  </si>
  <si>
    <t>142-24</t>
  </si>
  <si>
    <t>149-24</t>
  </si>
  <si>
    <t>144-24</t>
  </si>
  <si>
    <t>151-24</t>
  </si>
  <si>
    <t>146-24</t>
  </si>
  <si>
    <t>153-24</t>
  </si>
  <si>
    <t>148-24</t>
  </si>
  <si>
    <t>150-24</t>
  </si>
  <si>
    <t>152-24</t>
  </si>
  <si>
    <t>159-24</t>
  </si>
  <si>
    <t>154-24</t>
  </si>
  <si>
    <t>161-24</t>
  </si>
  <si>
    <t>BARTLETT</t>
  </si>
  <si>
    <t>156-24</t>
  </si>
  <si>
    <t>163-24</t>
  </si>
  <si>
    <t>162-24</t>
  </si>
  <si>
    <t>167-24</t>
  </si>
  <si>
    <t>BRUDER</t>
  </si>
  <si>
    <t>169-24</t>
  </si>
  <si>
    <t>164-24</t>
  </si>
  <si>
    <t>171-24</t>
  </si>
  <si>
    <t>166-24</t>
  </si>
  <si>
    <t>173-24</t>
  </si>
  <si>
    <t>168-24</t>
  </si>
  <si>
    <t>175-24</t>
  </si>
  <si>
    <t>170-24</t>
  </si>
  <si>
    <t>177-24</t>
  </si>
  <si>
    <t>181-24</t>
  </si>
  <si>
    <t>176-24</t>
  </si>
  <si>
    <t>183-24</t>
  </si>
  <si>
    <t>178-24</t>
  </si>
  <si>
    <t>185-24</t>
  </si>
  <si>
    <t>180-24</t>
  </si>
  <si>
    <t>182-24</t>
  </si>
  <si>
    <t>187-24</t>
  </si>
  <si>
    <t>189-24</t>
  </si>
  <si>
    <t>191-24</t>
  </si>
  <si>
    <t>193-24</t>
  </si>
  <si>
    <t>188-24</t>
  </si>
  <si>
    <t>195-24</t>
  </si>
  <si>
    <t>190-24</t>
  </si>
  <si>
    <t>197-24</t>
  </si>
  <si>
    <t>BROWN</t>
  </si>
  <si>
    <t>194-24</t>
  </si>
  <si>
    <t>199-24</t>
  </si>
  <si>
    <t>MAHAN</t>
  </si>
  <si>
    <t>201-24</t>
  </si>
  <si>
    <t>203-24</t>
  </si>
  <si>
    <t>198-24</t>
  </si>
  <si>
    <t>205-24</t>
  </si>
  <si>
    <t>207-24</t>
  </si>
  <si>
    <t>209-24</t>
  </si>
  <si>
    <t>202-24</t>
  </si>
  <si>
    <t>204-24</t>
  </si>
  <si>
    <t>ISHMAEL</t>
  </si>
  <si>
    <t>211-24</t>
  </si>
  <si>
    <t>206-24</t>
  </si>
  <si>
    <t>213-24</t>
  </si>
  <si>
    <t>208-24</t>
  </si>
  <si>
    <t>215-24</t>
  </si>
  <si>
    <t>62-24</t>
  </si>
  <si>
    <t>210-24</t>
  </si>
  <si>
    <t>217-24</t>
  </si>
  <si>
    <t>212-24</t>
  </si>
  <si>
    <t>SMITH</t>
  </si>
  <si>
    <t>219-24</t>
  </si>
  <si>
    <t>214-24</t>
  </si>
  <si>
    <t>53-24</t>
  </si>
  <si>
    <t>303-24</t>
  </si>
  <si>
    <t>51-24</t>
  </si>
  <si>
    <t>218-24</t>
  </si>
  <si>
    <t>220-24</t>
  </si>
  <si>
    <t>305-24</t>
  </si>
  <si>
    <t>223-24</t>
  </si>
  <si>
    <t>307-24</t>
  </si>
  <si>
    <t>222-24</t>
  </si>
  <si>
    <t>225-24</t>
  </si>
  <si>
    <t>224-24</t>
  </si>
  <si>
    <t>227-24</t>
  </si>
  <si>
    <t>229-24</t>
  </si>
  <si>
    <t>226-24</t>
  </si>
  <si>
    <t>228-24</t>
  </si>
  <si>
    <t>231-24</t>
  </si>
  <si>
    <t>230-24</t>
  </si>
  <si>
    <t>233-24</t>
  </si>
  <si>
    <t>232-24</t>
  </si>
  <si>
    <t>235-24</t>
  </si>
  <si>
    <t>237-24</t>
  </si>
  <si>
    <t>236-24</t>
  </si>
  <si>
    <t>239-24</t>
  </si>
  <si>
    <t>238-24</t>
  </si>
  <si>
    <t>241-24</t>
  </si>
  <si>
    <t>240-24</t>
  </si>
  <si>
    <t>243-24</t>
  </si>
  <si>
    <t>242-24</t>
  </si>
  <si>
    <t>245-24</t>
  </si>
  <si>
    <t>309-24</t>
  </si>
  <si>
    <t>244-24</t>
  </si>
  <si>
    <t>311-24</t>
  </si>
  <si>
    <t>246-24</t>
  </si>
  <si>
    <t>313-24</t>
  </si>
  <si>
    <t>Summary for DUS 2016-09-24: Partly cloudy starting in the afternoon.</t>
  </si>
  <si>
    <t>204:232673</t>
  </si>
  <si>
    <t>204:132</t>
  </si>
  <si>
    <t>204:232627</t>
  </si>
  <si>
    <t>204:20886</t>
  </si>
  <si>
    <t>204:233355</t>
  </si>
  <si>
    <t>204:232726</t>
  </si>
  <si>
    <t>204:123</t>
  </si>
  <si>
    <t>204:233257</t>
  </si>
  <si>
    <t>204:232938</t>
  </si>
  <si>
    <t>204:746</t>
  </si>
  <si>
    <t>204:170</t>
  </si>
  <si>
    <t>204:737</t>
  </si>
  <si>
    <t>204:721</t>
  </si>
  <si>
    <t>204:185</t>
  </si>
  <si>
    <t>204:437</t>
  </si>
  <si>
    <t>204:233172</t>
  </si>
  <si>
    <t>204:232840</t>
  </si>
  <si>
    <t>204:232960</t>
  </si>
  <si>
    <t>204:486</t>
  </si>
  <si>
    <t>204:232982</t>
  </si>
  <si>
    <t>204:233308</t>
  </si>
  <si>
    <t>204:232988</t>
  </si>
  <si>
    <t>204:232985</t>
  </si>
  <si>
    <t>204:233167</t>
  </si>
  <si>
    <t>204:232842</t>
  </si>
  <si>
    <t>204:19140</t>
  </si>
  <si>
    <t>204:129</t>
  </si>
  <si>
    <t>204:233349</t>
  </si>
  <si>
    <t>204:233023</t>
  </si>
  <si>
    <t>204:473</t>
  </si>
  <si>
    <t>204:233336</t>
  </si>
  <si>
    <t>204:233001</t>
  </si>
  <si>
    <t>204:1192</t>
  </si>
  <si>
    <t>204:424</t>
  </si>
  <si>
    <t>204:233008</t>
  </si>
  <si>
    <t>204:130</t>
  </si>
  <si>
    <t>204:449</t>
  </si>
  <si>
    <t>204:233255</t>
  </si>
  <si>
    <t>204:233351</t>
  </si>
  <si>
    <t>204:233030</t>
  </si>
  <si>
    <t>204:232952</t>
  </si>
  <si>
    <t>204:233316</t>
  </si>
  <si>
    <t>204:127842</t>
  </si>
  <si>
    <t>204:127382</t>
  </si>
  <si>
    <t>204:233010</t>
  </si>
  <si>
    <t>204:128268</t>
  </si>
  <si>
    <t>204:233305</t>
  </si>
  <si>
    <t>204:105685</t>
  </si>
  <si>
    <t>204:493</t>
  </si>
  <si>
    <t>204:233032</t>
  </si>
  <si>
    <t>204:154010</t>
  </si>
  <si>
    <t>204:233324</t>
  </si>
  <si>
    <t>204:233263</t>
  </si>
  <si>
    <t>204:232947</t>
  </si>
  <si>
    <t>204:110667</t>
  </si>
  <si>
    <t>204:480</t>
  </si>
  <si>
    <t>204:232980</t>
  </si>
  <si>
    <t>204:110232</t>
  </si>
  <si>
    <t>204:482</t>
  </si>
  <si>
    <t>204:232984</t>
  </si>
  <si>
    <t>204:232965</t>
  </si>
  <si>
    <t>204:233303</t>
  </si>
  <si>
    <t>204:232971</t>
  </si>
  <si>
    <t>204:232974</t>
  </si>
  <si>
    <t>204:232970</t>
  </si>
  <si>
    <t>204:37179</t>
  </si>
  <si>
    <t>204:233322</t>
  </si>
  <si>
    <t>204:6489</t>
  </si>
  <si>
    <t>300:23301</t>
  </si>
  <si>
    <t>300:23299</t>
  </si>
  <si>
    <t>300:22828</t>
  </si>
  <si>
    <t>300:22214</t>
  </si>
  <si>
    <t>204:2092</t>
  </si>
  <si>
    <t>300:23455</t>
  </si>
  <si>
    <t>204:151</t>
  </si>
  <si>
    <t>204:1500</t>
  </si>
  <si>
    <t>204:1775</t>
  </si>
  <si>
    <t>300:24692</t>
  </si>
  <si>
    <t>300:24138</t>
  </si>
  <si>
    <t>Onboard in-route failure</t>
  </si>
  <si>
    <t>At 11:32:37, as the train just initialized and started moving, triplex failure</t>
  </si>
  <si>
    <t>Train initialized at 15:51:45, when it started moving CPU-2 was voted out and the timing of the vote-out caused the system to stay in DISENGAGED for most of the trip, until the operator re-initialized</t>
  </si>
  <si>
    <t>Train stopped at Chambers 2N at 16:40. No clear controls sent from TMDS from 16:35:09.422 - 16:46:16.665. At 16:46:16.665 the clear control was finally sent (by then the train was already cut out)</t>
  </si>
  <si>
    <t>No clear from TMDS at Chambers 2N, talked past signal</t>
  </si>
  <si>
    <t>Train initialized at 17:39:45, when it started moving CPU-2 was voted out and the timing of the vote-out caused the system to stay in DISENGAGED for most of the trip, until the operator re-initialized</t>
  </si>
  <si>
    <t>Improper execution of Form C (phase break?)</t>
  </si>
  <si>
    <t>Train came to stop ~830 ft in advance of the Form C'd crossing and then cut out. Needed to pull within 500 ft. Only other explanation other than improper Form C handling is wanting to avoid a phase break</t>
  </si>
  <si>
    <t>At 23:54:57, multiple CPU faults</t>
  </si>
  <si>
    <t>40th 4S STOP, cleared afterward</t>
  </si>
  <si>
    <t>Wi-MAX outage, 4003/4004 CCU in bad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</si>
</sst>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0"/>
  <sheetViews>
    <sheetView topLeftCell="A142" workbookViewId="0">
      <selection activeCell="K167" sqref="K16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42637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42637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0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COUNTIFS($N$13:$N$9393,"&gt;0",$AG$13:$AG$9393,I1)</f>
        <v>136</v>
      </c>
      <c r="K5" s="46"/>
      <c r="L5" s="46"/>
      <c r="M5" s="47">
        <f>AVERAGEIFS($N$13:$N$9393,$AG$13:$AG$9393,I1)</f>
        <v>41.167647058781071</v>
      </c>
      <c r="N5" s="45">
        <f t="array" ref="N5">MIN(IF($AG$13:$AG$9393=I1,IF(ISNUMBER($N$13:$N$9393),IF($N$13:$N$9393&gt;0,$N$13:$N$9393))))</f>
        <v>35.916666659759358</v>
      </c>
      <c r="O5" s="3">
        <f t="array" ref="O5">MAX(IF($AG$13:$AG$9393=I1,IF(ISNUMBER($N$13:$N$9393),IF($N$13:$N$9393&gt;0,$N$13:$N$9393))))</f>
        <v>53.066666666418314</v>
      </c>
      <c r="P5" s="2"/>
      <c r="R5" s="87" t="s">
        <v>17</v>
      </c>
      <c r="S5" s="57">
        <f>COUNTIFS($N$13:$N$9393,"&gt;0",$AG$13:$AG$9393,R1)</f>
        <v>0</v>
      </c>
      <c r="T5" s="46"/>
      <c r="U5" s="160"/>
      <c r="V5" s="47" t="e">
        <f>AVERAGEIFS($N$13:$N$9393,$AG$13:$AG$9393,R1)</f>
        <v>#DIV/0!</v>
      </c>
      <c r="W5" s="45">
        <f t="array" ref="W5">MIN(IF($AG$13:$AG$9393=R1,IF(ISNUMBER($N$13:$N$9393),IF($N$13:$N$9393&gt;0,$N$13:$N$9393))))</f>
        <v>0</v>
      </c>
      <c r="X5" s="165">
        <f t="array" ref="X5">MAX(IF($AG$13:$AG$9393=R1,IF(ISNUMBER($N$13:$N$9393),IF($N$13:$N$9393&gt;0,$N$13:$N$9393))))</f>
        <v>0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COUNT($O$13:$O$168)</f>
        <v>0</v>
      </c>
      <c r="K6" s="46"/>
      <c r="L6" s="46"/>
      <c r="M6" s="47">
        <f>IFERROR(AVERAGE($O$13:$O$168),0)</f>
        <v>0</v>
      </c>
      <c r="N6" s="45">
        <f>MIN($O$13:$O$168)</f>
        <v>0</v>
      </c>
      <c r="O6" s="3">
        <f>MAX($O$13:$O$168)</f>
        <v>0</v>
      </c>
      <c r="P6" s="2"/>
      <c r="R6" s="88" t="s">
        <v>43</v>
      </c>
      <c r="S6" s="57">
        <f>COUNT($O$13:$O$168)</f>
        <v>0</v>
      </c>
      <c r="T6" s="46"/>
      <c r="U6" s="160"/>
      <c r="V6" s="47">
        <f>IFERROR(AVERAGE($O$13:$O$168),0)</f>
        <v>0</v>
      </c>
      <c r="W6" s="45">
        <f>MIN($O$13:$O$168)</f>
        <v>0</v>
      </c>
      <c r="X6" s="165">
        <f>MAX($O$13:$O$168)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COUNTIFS($P$13:$P$9393,"&gt;0",$AG$13:$AG$9393,I1)</f>
        <v>10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COUNTIFS($P$13:$P$9393,"&gt;0",$AG$13:$AG$9393,R1)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136</v>
      </c>
      <c r="K8" s="46"/>
      <c r="L8" s="46"/>
      <c r="M8" s="47">
        <f>M5</f>
        <v>41.167647058781071</v>
      </c>
      <c r="N8" s="45">
        <f>N5</f>
        <v>35.916666659759358</v>
      </c>
      <c r="O8" s="3">
        <f>O5</f>
        <v>53.066666666418314</v>
      </c>
      <c r="P8" s="2"/>
      <c r="R8" s="87" t="s">
        <v>16</v>
      </c>
      <c r="S8" s="57">
        <f>S5</f>
        <v>0</v>
      </c>
      <c r="T8" s="46"/>
      <c r="U8" s="160"/>
      <c r="V8" s="47" t="e">
        <f>V5</f>
        <v>#DIV/0!</v>
      </c>
      <c r="W8" s="45">
        <f>W5</f>
        <v>0</v>
      </c>
      <c r="X8" s="165">
        <f>X5</f>
        <v>0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0.93150684931506844</v>
      </c>
      <c r="K9" s="48"/>
      <c r="L9" s="48"/>
      <c r="M9" s="90"/>
      <c r="N9" s="43"/>
      <c r="O9" s="91"/>
      <c r="P9" s="2"/>
      <c r="R9" s="87" t="s">
        <v>19</v>
      </c>
      <c r="S9" s="71" t="e">
        <f>S8/S4</f>
        <v>#DIV/0!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- 2016-09-24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AVERAGE(S13:S108)</f>
        <v>0.99826388888888884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462</v>
      </c>
      <c r="B13" s="7">
        <v>4018</v>
      </c>
      <c r="C13" s="24" t="s">
        <v>106</v>
      </c>
      <c r="D13" s="24" t="s">
        <v>331</v>
      </c>
      <c r="E13" s="15">
        <v>42637.131874999999</v>
      </c>
      <c r="F13" s="15">
        <v>42637.136238425926</v>
      </c>
      <c r="G13" s="7">
        <v>2</v>
      </c>
      <c r="H13" s="15" t="s">
        <v>261</v>
      </c>
      <c r="I13" s="15">
        <v>42637.162870370368</v>
      </c>
      <c r="J13" s="7">
        <v>0</v>
      </c>
      <c r="K13" s="121" t="str">
        <f t="shared" ref="K13:K44" si="0">IF(ISEVEN(B13),(B13-1)&amp;"/"&amp;B13,B13&amp;"/"&amp;(B13+1))</f>
        <v>4017/4018</v>
      </c>
      <c r="L13" s="24" t="str">
        <f>VLOOKUP(A13,'Trips&amp;Operators'!$C$1:$E$10000,3,FALSE)</f>
        <v>MAELZER</v>
      </c>
      <c r="M13" s="6">
        <f t="shared" ref="M13:M44" si="1">I13-F13</f>
        <v>2.6631944441760425E-2</v>
      </c>
      <c r="N13" s="7">
        <f>24*60*SUM($M13:$M13)</f>
        <v>38.349999996135011</v>
      </c>
      <c r="O13" s="7"/>
      <c r="P13" s="7"/>
      <c r="Q13" s="25"/>
      <c r="R13" s="25"/>
      <c r="S13" s="37">
        <f t="shared" ref="S13:S44" si="2">SUM(U13:U13)/IF(AG13="EC",12,1)</f>
        <v>1</v>
      </c>
      <c r="T13" s="52" t="str">
        <f t="shared" ref="T13:T44" si="3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https://search-rtdc-monitor-bjffxe2xuh6vdkpspy63sjmuny.us-east-1.es.amazonaws.com/_plugin/kibana/#/discover/Steve-Slow-Train-Analysis-(2080s-and-2083s)?_g=(refreshInterval:(display:Off,section:0,value:0),time:(from:'2016-09-24 02:09:54-0600',mode:absolute,to:'2016-09-24 04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" s="54" t="str">
        <f t="shared" ref="W13:W44" si="5">IF(AA13&lt;IF(AG13="EC",23,5.65),"Y","N")</f>
        <v>N</v>
      </c>
      <c r="X13" s="168" t="e">
        <f t="shared" ref="X13:X44" si="6">VALUE(LEFT(AD13,4))-VALUE(LEFT(AD12,4))</f>
        <v>#VALUE!</v>
      </c>
      <c r="Y13" s="69">
        <f t="shared" ref="Y13:Y44" si="7">RIGHT(D13,LEN(D13)-4)/10000</f>
        <v>7.4099999999999999E-2</v>
      </c>
      <c r="Z13" s="69">
        <f t="shared" ref="Z13:Z44" si="8">RIGHT(H13,LEN(H13)-4)/10000</f>
        <v>23.333400000000001</v>
      </c>
      <c r="AA13" s="69">
        <f t="shared" ref="AA13:AA44" si="9">ABS(Z13-Y13)</f>
        <v>23.2593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0">IF(LEN(A13)=6,"0"&amp;A13,A13)</f>
        <v>0101-24</v>
      </c>
      <c r="AE13" s="99" t="str">
        <f t="shared" ref="AE13:AE44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13" s="96" t="str">
        <f t="shared" ref="AF13:AF44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/stypes="app*4018*20160924*" /stext=" 09:.+((SYSTEM_STATE.+slice.+state.+changed )|(ment ac)|(system.+state.+changed )|(\|lc)|(penalty)|(\[timeout)|(PRM\|1\|D)|(kpr)|(kdp))" /e /r /s</v>
      </c>
      <c r="AG13" s="1" t="str">
        <f t="shared" ref="AG13:AG44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4018 --swversion DE.1.0.7.0 --startMP 204:741 --initTime 2016-09-24T03:09:54 --startdatetime 2016-09-24T03:16:11 --delay 2 --endMP 204:233334 --enddatetime 2016-09-24T03:54:32 --enforcementcount 0 &gt;&gt;C:\Users\stu\Documents\GitHub\eaglep3-reporting\EC\2016-09-24-refined-times.txt</v>
      </c>
      <c r="AI13" s="13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{"issue":{"subject":"","project_id":79,"tracker_id":40,"status_id":1,"priority_id":2,"assigned_to_id":23,"start_date":"2016-09-24","description":"","custom_fields":[{"id":1,"name":"Subdivision","value":"EC"},{"id":4,"name":"Milepost","value":"23.3334"},{"id":17,"name":"Train ID","value":"101-24"},{"id":16,"name":"Locomotive ID","value":"4018"},{"id":130,"name":"Impact","value":""},{"id":150,"name":"Time of Event (Mountain Time)","value":"03:54:32"},{"id":151,"name":"Denver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463</v>
      </c>
      <c r="B14" s="7">
        <v>4010</v>
      </c>
      <c r="C14" s="24" t="s">
        <v>106</v>
      </c>
      <c r="D14" s="24" t="s">
        <v>600</v>
      </c>
      <c r="E14" s="15">
        <v>42637.171886574077</v>
      </c>
      <c r="F14" s="15">
        <v>42637.174490740741</v>
      </c>
      <c r="G14" s="7">
        <v>1</v>
      </c>
      <c r="H14" s="15" t="s">
        <v>601</v>
      </c>
      <c r="I14" s="15">
        <v>42637.202094907407</v>
      </c>
      <c r="J14" s="7">
        <v>0</v>
      </c>
      <c r="K14" s="121" t="str">
        <f t="shared" si="0"/>
        <v>4009/4010</v>
      </c>
      <c r="L14" s="24" t="str">
        <f>VLOOKUP(A14,'Trips&amp;Operators'!$C$1:$E$10000,3,FALSE)</f>
        <v>MAELZER</v>
      </c>
      <c r="M14" s="6">
        <f t="shared" si="1"/>
        <v>2.7604166665696539E-2</v>
      </c>
      <c r="N14" s="7">
        <f>24*60*SUM($M14:$M14)</f>
        <v>39.749999998603016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03:07:31-0600',mode:absolute,to:'2016-09-24 05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" s="54" t="str">
        <f t="shared" si="5"/>
        <v>N</v>
      </c>
      <c r="X14" s="168">
        <f t="shared" si="6"/>
        <v>1</v>
      </c>
      <c r="Y14" s="69">
        <f t="shared" si="7"/>
        <v>23.267299999999999</v>
      </c>
      <c r="Z14" s="69">
        <f t="shared" si="8"/>
        <v>1.32E-2</v>
      </c>
      <c r="AA14" s="69">
        <f t="shared" si="9"/>
        <v>23.254099999999998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0"/>
        <v>0102-24</v>
      </c>
      <c r="AE14" s="99" t="str">
        <f t="shared" si="11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14" s="96" t="str">
        <f t="shared" si="12"/>
        <v>"C:\Program Files (x86)\AstroGrep\AstroGrep.exe" /spath="%USERPROFILE%\AppData\Local\Temp\OnboardLogs" /stypes="app*4010*20160924*"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4010 --swversion DE.1.0.7.0 --startMP 204:232673 --initTime 2016-09-24T04:07:31 --startdatetime 2016-09-24T04:11:16 --delay 1 --endMP 204:132 --enddatetime 2016-09-24T04:51:01 --enforcementcount 0 &gt;&gt;C:\Users\stu\Documents\GitHub\eaglep3-reporting\EC\2016-09-24-refined-times.txt</v>
      </c>
      <c r="AI14" s="134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{"issue":{"subject":"","project_id":79,"tracker_id":40,"status_id":1,"priority_id":2,"assigned_to_id":23,"start_date":"2016-09-24","description":"","custom_fields":[{"id":1,"name":"Subdivision","value":"EC"},{"id":4,"name":"Milepost","value":"0.0132"},{"id":17,"name":"Train ID","value":"102-24"},{"id":16,"name":"Locomotive ID","value":"4010"},{"id":130,"name":"Impact","value":""},{"id":150,"name":"Time of Event (Mountain Time)","value":"04:51:01"},{"id":151,"name":"Denver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429</v>
      </c>
      <c r="B15" s="7">
        <v>4014</v>
      </c>
      <c r="C15" s="24" t="s">
        <v>106</v>
      </c>
      <c r="D15" s="24" t="s">
        <v>425</v>
      </c>
      <c r="E15" s="15">
        <v>42637.156006944446</v>
      </c>
      <c r="F15" s="15">
        <v>42637.157199074078</v>
      </c>
      <c r="G15" s="7">
        <v>1</v>
      </c>
      <c r="H15" s="15" t="s">
        <v>415</v>
      </c>
      <c r="I15" s="15">
        <v>42637.187893518516</v>
      </c>
      <c r="J15" s="7">
        <v>0</v>
      </c>
      <c r="K15" s="121" t="str">
        <f t="shared" si="0"/>
        <v>4013/4014</v>
      </c>
      <c r="L15" s="24" t="str">
        <f>VLOOKUP(A15,'Trips&amp;Operators'!$C$1:$E$10000,3,FALSE)</f>
        <v>MALAVE</v>
      </c>
      <c r="M15" s="6">
        <f t="shared" si="1"/>
        <v>3.0694444438267965E-2</v>
      </c>
      <c r="N15" s="7">
        <f>24*60*SUM($M15:$M15)</f>
        <v>44.199999991105869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02:44:39-0600',mode:absolute,to:'2016-09-24 05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" s="54" t="str">
        <f t="shared" si="5"/>
        <v>N</v>
      </c>
      <c r="X15" s="168">
        <f t="shared" si="6"/>
        <v>1</v>
      </c>
      <c r="Y15" s="69">
        <f t="shared" si="7"/>
        <v>7.5899999999999995E-2</v>
      </c>
      <c r="Z15" s="69">
        <f t="shared" si="8"/>
        <v>23.327400000000001</v>
      </c>
      <c r="AA15" s="69">
        <f t="shared" si="9"/>
        <v>23.2515</v>
      </c>
      <c r="AB15" s="66" t="str">
        <f>VLOOKUP(A15,Enforcements!$C$7:$K$20,8,0)</f>
        <v>Bulletin (2)</v>
      </c>
      <c r="AC15" s="62" t="str">
        <f>VLOOKUP(A15,Enforcements!$C$7:$E$20,3,0)</f>
        <v>GRADE CROSSING</v>
      </c>
      <c r="AD15" s="63" t="str">
        <f t="shared" si="10"/>
        <v>0103-24</v>
      </c>
      <c r="AE15" s="99" t="str">
        <f t="shared" si="11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5" s="96" t="str">
        <f t="shared" si="12"/>
        <v>"C:\Program Files (x86)\AstroGrep\AstroGrep.exe" /spath="%USERPROFILE%\AppData\Local\Temp\OnboardLogs" /stypes="app*4014*20160924*"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6"/>
        <v>"%USERPROFILE%\Documents\GitHub\eaglep3\Utilities\RefineRTDCRunTimes.py" --tripid 103-24 --locoid 4014 --swversion DE.1.0.7.0 --startMP 204:759 --initTime 2016-09-24T03:44:39 --startdatetime 2016-09-24T03:46:22 --delay 1 --endMP 204:233274 --enddatetime 2016-09-24T04:30:34 --enforcementcount 0 &gt;&gt;C:\Users\stu\Documents\GitHub\eaglep3-reporting\EC\2016-09-24-refined-times.txt</v>
      </c>
      <c r="AI15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{"issue":{"subject":"","project_id":79,"tracker_id":40,"status_id":1,"priority_id":2,"assigned_to_id":23,"start_date":"2016-09-24","description":"","custom_fields":[{"id":1,"name":"Subdivision","value":"EC"},{"id":4,"name":"Milepost","value":"23.3274"},{"id":17,"name":"Train ID","value":"103-24"},{"id":16,"name":"Locomotive ID","value":"4014"},{"id":130,"name":"Impact","value":""},{"id":150,"name":"Time of Event (Mountain Time)","value":"04:30:34"},{"id":151,"name":"Denver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432</v>
      </c>
      <c r="B16" s="7">
        <v>4004</v>
      </c>
      <c r="C16" s="24" t="s">
        <v>106</v>
      </c>
      <c r="D16" s="24" t="s">
        <v>602</v>
      </c>
      <c r="E16" s="15">
        <v>42637.191006944442</v>
      </c>
      <c r="F16" s="15">
        <v>42637.195347222223</v>
      </c>
      <c r="G16" s="7">
        <v>1</v>
      </c>
      <c r="H16" s="15" t="s">
        <v>603</v>
      </c>
      <c r="I16" s="15">
        <v>42637.224814814814</v>
      </c>
      <c r="J16" s="7">
        <v>0</v>
      </c>
      <c r="K16" s="121" t="str">
        <f t="shared" si="0"/>
        <v>4003/4004</v>
      </c>
      <c r="L16" s="24" t="str">
        <f>VLOOKUP(A16,'Trips&amp;Operators'!$C$1:$E$10000,3,FALSE)</f>
        <v>MALAVE</v>
      </c>
      <c r="M16" s="6">
        <f t="shared" si="1"/>
        <v>2.9467592590663116E-2</v>
      </c>
      <c r="N16" s="7"/>
      <c r="O16" s="7"/>
      <c r="P16" s="7">
        <f>24*60*SUM($M16:$M16)</f>
        <v>42.433333330554888</v>
      </c>
      <c r="Q16" s="25"/>
      <c r="R16" s="25" t="s">
        <v>427</v>
      </c>
      <c r="S16" s="37">
        <f t="shared" si="2"/>
        <v>1</v>
      </c>
      <c r="T16" s="52" t="str">
        <f t="shared" si="3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03:35:03-0600',mode:absolute,to:'2016-09-24 06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" s="54" t="str">
        <f t="shared" si="5"/>
        <v>Y</v>
      </c>
      <c r="X16" s="168">
        <f t="shared" si="6"/>
        <v>1</v>
      </c>
      <c r="Y16" s="69">
        <f t="shared" si="7"/>
        <v>23.262699999999999</v>
      </c>
      <c r="Z16" s="69">
        <f t="shared" si="8"/>
        <v>2.0886</v>
      </c>
      <c r="AA16" s="69">
        <f t="shared" si="9"/>
        <v>21.174099999999999</v>
      </c>
      <c r="AB16" s="66" t="str">
        <f>VLOOKUP(A16,Enforcements!$C$7:$K$20,8,0)</f>
        <v>Signal based authority (5)</v>
      </c>
      <c r="AC16" s="62" t="str">
        <f>VLOOKUP(A16,Enforcements!$C$7:$E$20,3,0)</f>
        <v>SIGNAL</v>
      </c>
      <c r="AD16" s="63" t="str">
        <f t="shared" si="10"/>
        <v>0104-24</v>
      </c>
      <c r="AE16" s="99" t="str">
        <f t="shared" si="11"/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AF16" s="96" t="str">
        <f t="shared" si="12"/>
        <v>"C:\Program Files (x86)\AstroGrep\AstroGrep.exe" /spath="%USERPROFILE%\AppData\Local\Temp\OnboardLogs" /stypes="app*4004*20160924*"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6"/>
        <v>"%USERPROFILE%\Documents\GitHub\eaglep3\Utilities\RefineRTDCRunTimes.py" --tripid 104-24 --locoid 4004 --swversion DE.1.0.7.0 --startMP 204:232627 --initTime 2016-09-24T04:35:03 --startdatetime 2016-09-24T04:41:18 --delay 1 --endMP 204:20886 --enddatetime 2016-09-24T05:23:44 --enforcementcount 0 &gt;&gt;C:\Users\stu\Documents\GitHub\eaglep3-reporting\EC\2016-09-24-refined-times.txt</v>
      </c>
      <c r="AI16" s="134" t="str">
        <f t="shared" si="17"/>
        <v>echo {"issue":{"subject":"Wi-MAX outage","project_id":79,"tracker_id":40,"status_id":1,"priority_id":2,"assigned_to_id":23,"start_date":"2016-09-24","description":"","custom_fields":[{"id":1,"name":"Subdivision","value":"EC"},{"id":4,"name":"Milepost","value":"2.0886"},{"id":17,"name":"Train ID","value":"104-24"},{"id":16,"name":"Locomotive ID","value":"4004"},{"id":130,"name":"Impact","value":""},{"id":150,"name":"Time of Event (Mountain Time)","value":"05:23:44"},{"id":151,"name":"Denver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431</v>
      </c>
      <c r="B17" s="7">
        <v>4053</v>
      </c>
      <c r="C17" s="24" t="s">
        <v>106</v>
      </c>
      <c r="D17" s="24" t="s">
        <v>426</v>
      </c>
      <c r="E17" s="15">
        <v>42637.173032407409</v>
      </c>
      <c r="F17" s="15">
        <v>42637.177361111113</v>
      </c>
      <c r="G17" s="7">
        <v>2</v>
      </c>
      <c r="H17" s="15" t="s">
        <v>604</v>
      </c>
      <c r="I17" s="15">
        <v>42637.204687500001</v>
      </c>
      <c r="J17" s="7">
        <v>0</v>
      </c>
      <c r="K17" s="121" t="str">
        <f t="shared" si="0"/>
        <v>4053/4054</v>
      </c>
      <c r="L17" s="24" t="str">
        <f>VLOOKUP(A17,'Trips&amp;Operators'!$C$1:$E$10000,3,FALSE)</f>
        <v>ACKERMAN</v>
      </c>
      <c r="M17" s="6">
        <f t="shared" si="1"/>
        <v>2.73263888884685E-2</v>
      </c>
      <c r="N17" s="7">
        <f t="shared" ref="N17:N48" si="18">24*60*SUM($M17:$M17)</f>
        <v>39.34999999939464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03:09:10-0600',mode:absolute,to:'2016-09-24 05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7" s="54" t="str">
        <f t="shared" si="5"/>
        <v>N</v>
      </c>
      <c r="X17" s="168">
        <f t="shared" si="6"/>
        <v>1</v>
      </c>
      <c r="Y17" s="69">
        <f t="shared" si="7"/>
        <v>6.5699999999999995E-2</v>
      </c>
      <c r="Z17" s="69">
        <f t="shared" si="8"/>
        <v>23.3355</v>
      </c>
      <c r="AA17" s="69">
        <f t="shared" si="9"/>
        <v>23.2698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0"/>
        <v>0105-24</v>
      </c>
      <c r="AE17" s="99" t="str">
        <f t="shared" si="11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17" s="96" t="str">
        <f t="shared" si="12"/>
        <v>"C:\Program Files (x86)\AstroGrep\AstroGrep.exe" /spath="%USERPROFILE%\AppData\Local\Temp\OnboardLogs" /stypes="app*4053*20160924*"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6"/>
        <v>"%USERPROFILE%\Documents\GitHub\eaglep3\Utilities\RefineRTDCRunTimes.py" --tripid 105-24 --locoid 4053 --swversion DE.1.0.7.0 --startMP 204:657 --initTime 2016-09-24T04:09:10 --startdatetime 2016-09-24T04:15:24 --delay 2 --endMP 204:233355 --enddatetime 2016-09-24T04:54:45 --enforcementcount 0 &gt;&gt;C:\Users\stu\Documents\GitHub\eaglep3-reporting\EC\2016-09-24-refined-times.txt</v>
      </c>
      <c r="AI1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{"issue":{"subject":"","project_id":79,"tracker_id":40,"status_id":1,"priority_id":2,"assigned_to_id":23,"start_date":"2016-09-24","description":"","custom_fields":[{"id":1,"name":"Subdivision","value":"EC"},{"id":4,"name":"Milepost","value":"23.3355"},{"id":17,"name":"Train ID","value":"105-24"},{"id":16,"name":"Locomotive ID","value":"4053"},{"id":130,"name":"Impact","value":""},{"id":150,"name":"Time of Event (Mountain Time)","value":"04:54:45"},{"id":151,"name":"Denver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436</v>
      </c>
      <c r="B18" s="7">
        <v>4045</v>
      </c>
      <c r="C18" s="24" t="s">
        <v>106</v>
      </c>
      <c r="D18" s="24" t="s">
        <v>605</v>
      </c>
      <c r="E18" s="15">
        <v>42637.208715277775</v>
      </c>
      <c r="F18" s="15">
        <v>42637.216249999998</v>
      </c>
      <c r="G18" s="7">
        <v>1</v>
      </c>
      <c r="H18" s="15" t="s">
        <v>606</v>
      </c>
      <c r="I18" s="15">
        <v>42637.246932870374</v>
      </c>
      <c r="J18" s="7">
        <v>0</v>
      </c>
      <c r="K18" s="121" t="str">
        <f t="shared" si="0"/>
        <v>4045/4046</v>
      </c>
      <c r="L18" s="24" t="str">
        <f>VLOOKUP(A18,'Trips&amp;Operators'!$C$1:$E$10000,3,FALSE)</f>
        <v>ACKERMAN</v>
      </c>
      <c r="M18" s="6">
        <f t="shared" si="1"/>
        <v>3.0682870376040228E-2</v>
      </c>
      <c r="N18" s="7">
        <f t="shared" si="18"/>
        <v>44.183333341497928</v>
      </c>
      <c r="O18" s="7"/>
      <c r="P18" s="7"/>
      <c r="Q18" s="25"/>
      <c r="R18" s="25"/>
      <c r="S18" s="37">
        <f t="shared" si="2"/>
        <v>1</v>
      </c>
      <c r="T18" s="52" t="str">
        <f t="shared" si="3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04:00:33-0600',mode:absolute,to:'2016-09-24 06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" s="54" t="str">
        <f t="shared" si="5"/>
        <v>N</v>
      </c>
      <c r="X18" s="168">
        <f t="shared" si="6"/>
        <v>1</v>
      </c>
      <c r="Y18" s="69">
        <f t="shared" si="7"/>
        <v>23.272600000000001</v>
      </c>
      <c r="Z18" s="69">
        <f t="shared" si="8"/>
        <v>1.23E-2</v>
      </c>
      <c r="AA18" s="69">
        <f t="shared" si="9"/>
        <v>23.260300000000001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0"/>
        <v>0106-24</v>
      </c>
      <c r="AE18" s="99" t="str">
        <f t="shared" si="11"/>
        <v>aws s3 cp s3://rtdc.mdm.uploadarchive/RTDC4045/2016-09-24/ "%USERPROFILE%\AppData\Local\Temp\OnboardLogs"\RTDC4045\2016-09-24 --recursive &amp; "%USERPROFILE%\Documents\GitHub\mrs-test-scripts\Headless Mode &amp; Sideloading\WalkAndUnGZ.bat" "%USERPROFILE%\AppData\Local\Temp\OnboardLogs"\RTDC4045\2016-09-24 &amp; aws s3 cp s3://rtdc.mdm.uploadarchive/RTDC4045/2016-09-25/ "%USERPROFILE%\AppData\Local\Temp\OnboardLogs"\RTDC4045\2016-09-25 --recursive &amp; "%USERPROFILE%\Documents\GitHub\mrs-test-scripts\Headless Mode &amp; Sideloading\WalkAndUnGZ.bat" "%USERPROFILE%\AppData\Local\Temp\OnboardLogs"\RTDC4045\2016-09-25</v>
      </c>
      <c r="AF18" s="96" t="str">
        <f t="shared" si="12"/>
        <v>"C:\Program Files (x86)\AstroGrep\AstroGrep.exe" /spath="%USERPROFILE%\AppData\Local\Temp\OnboardLogs" /stypes="app*4045*20160924*"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si="16"/>
        <v>"%USERPROFILE%\Documents\GitHub\eaglep3\Utilities\RefineRTDCRunTimes.py" --tripid 106-24 --locoid 4045 --swversion DE.1.0.7.0 --startMP 204:232726 --initTime 2016-09-24T05:00:33 --startdatetime 2016-09-24T05:11:24 --delay 1 --endMP 204:123 --enddatetime 2016-09-24T05:55:35 --enforcementcount 0 &gt;&gt;C:\Users\stu\Documents\GitHub\eaglep3-reporting\EC\2016-09-24-refined-times.txt</v>
      </c>
      <c r="AI18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{"issue":{"subject":"","project_id":79,"tracker_id":40,"status_id":1,"priority_id":2,"assigned_to_id":23,"start_date":"2016-09-24","description":"","custom_fields":[{"id":1,"name":"Subdivision","value":"EC"},{"id":4,"name":"Milepost","value":"0.0123"},{"id":17,"name":"Train ID","value":"106-24"},{"id":16,"name":"Locomotive ID","value":"4045"},{"id":130,"name":"Impact","value":""},{"id":150,"name":"Time of Event (Mountain Time)","value":"05:55:35"},{"id":151,"name":"Denver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434</v>
      </c>
      <c r="B19" s="7">
        <v>4007</v>
      </c>
      <c r="C19" s="24" t="s">
        <v>106</v>
      </c>
      <c r="D19" s="24" t="s">
        <v>227</v>
      </c>
      <c r="E19" s="15">
        <v>42637.182118055556</v>
      </c>
      <c r="F19" s="15">
        <v>42637.187662037039</v>
      </c>
      <c r="G19" s="7">
        <v>1</v>
      </c>
      <c r="H19" s="15" t="s">
        <v>607</v>
      </c>
      <c r="I19" s="15">
        <v>42637.21534722222</v>
      </c>
      <c r="J19" s="7">
        <v>0</v>
      </c>
      <c r="K19" s="121" t="str">
        <f t="shared" si="0"/>
        <v>4007/4008</v>
      </c>
      <c r="L19" s="24" t="str">
        <f>VLOOKUP(A19,'Trips&amp;Operators'!$C$1:$E$10000,3,FALSE)</f>
        <v>DAVIS</v>
      </c>
      <c r="M19" s="6">
        <f t="shared" si="1"/>
        <v>2.7685185181326233E-2</v>
      </c>
      <c r="N19" s="7">
        <f t="shared" si="18"/>
        <v>39.866666661109775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03:22:15-0600',mode:absolute,to:'2016-09-24 06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9" s="54" t="str">
        <f t="shared" si="5"/>
        <v>N</v>
      </c>
      <c r="X19" s="168">
        <f t="shared" si="6"/>
        <v>1</v>
      </c>
      <c r="Y19" s="69">
        <f t="shared" si="7"/>
        <v>4.5499999999999999E-2</v>
      </c>
      <c r="Z19" s="69">
        <f t="shared" si="8"/>
        <v>23.325700000000001</v>
      </c>
      <c r="AA19" s="69">
        <f t="shared" si="9"/>
        <v>23.280200000000001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0"/>
        <v>0107-24</v>
      </c>
      <c r="AE19" s="99" t="str">
        <f t="shared" si="11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19" s="96" t="str">
        <f t="shared" si="12"/>
        <v>"C:\Program Files (x86)\AstroGrep\AstroGrep.exe" /spath="%USERPROFILE%\AppData\Local\Temp\OnboardLogs" /stypes="app*4007*20160924*"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6"/>
        <v>"%USERPROFILE%\Documents\GitHub\eaglep3\Utilities\RefineRTDCRunTimes.py" --tripid 107-24 --locoid 4007 --swversion DE.1.0.7.0 --startMP 204:455 --initTime 2016-09-24T04:22:15 --startdatetime 2016-09-24T04:30:14 --delay 1 --endMP 204:233257 --enddatetime 2016-09-24T05:10:06 --enforcementcount 0 &gt;&gt;C:\Users\stu\Documents\GitHub\eaglep3-reporting\EC\2016-09-24-refined-times.txt</v>
      </c>
      <c r="AI19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{"issue":{"subject":"","project_id":79,"tracker_id":40,"status_id":1,"priority_id":2,"assigned_to_id":23,"start_date":"2016-09-24","description":"","custom_fields":[{"id":1,"name":"Subdivision","value":"EC"},{"id":4,"name":"Milepost","value":"23.3257"},{"id":17,"name":"Train ID","value":"107-24"},{"id":16,"name":"Locomotive ID","value":"4007"},{"id":130,"name":"Impact","value":""},{"id":150,"name":"Time of Event (Mountain Time)","value":"05:10:06"},{"id":151,"name":"Denver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469</v>
      </c>
      <c r="B20" s="7">
        <v>4008</v>
      </c>
      <c r="C20" s="24" t="s">
        <v>106</v>
      </c>
      <c r="D20" s="24" t="s">
        <v>608</v>
      </c>
      <c r="E20" s="15">
        <v>42637.218738425923</v>
      </c>
      <c r="F20" s="15">
        <v>42637.226585648146</v>
      </c>
      <c r="G20" s="7">
        <v>1</v>
      </c>
      <c r="H20" s="15" t="s">
        <v>218</v>
      </c>
      <c r="I20" s="15">
        <v>42637.257592592592</v>
      </c>
      <c r="J20" s="7">
        <v>0</v>
      </c>
      <c r="K20" s="121" t="str">
        <f t="shared" si="0"/>
        <v>4007/4008</v>
      </c>
      <c r="L20" s="24" t="str">
        <f>VLOOKUP(A20,'Trips&amp;Operators'!$C$1:$E$10000,3,FALSE)</f>
        <v>DAVIS</v>
      </c>
      <c r="M20" s="6">
        <f t="shared" si="1"/>
        <v>3.1006944445834961E-2</v>
      </c>
      <c r="N20" s="7">
        <f t="shared" si="18"/>
        <v>44.650000002002344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04:14:59-0600',mode:absolute,to:'2016-09-24 07:10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20" s="54" t="str">
        <f t="shared" si="5"/>
        <v>N</v>
      </c>
      <c r="X20" s="168">
        <f t="shared" si="6"/>
        <v>1</v>
      </c>
      <c r="Y20" s="69">
        <f t="shared" si="7"/>
        <v>23.293800000000001</v>
      </c>
      <c r="Z20" s="69">
        <f t="shared" si="8"/>
        <v>1.47E-2</v>
      </c>
      <c r="AA20" s="69">
        <f t="shared" si="9"/>
        <v>23.2791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0"/>
        <v>0108-24</v>
      </c>
      <c r="AE20" s="99" t="str">
        <f t="shared" si="11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20" s="96" t="str">
        <f t="shared" si="12"/>
        <v>"C:\Program Files (x86)\AstroGrep\AstroGrep.exe" /spath="%USERPROFILE%\AppData\Local\Temp\OnboardLogs" /stypes="app*4008*20160924*"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6"/>
        <v>"%USERPROFILE%\Documents\GitHub\eaglep3\Utilities\RefineRTDCRunTimes.py" --tripid 108-24 --locoid 4008 --swversion DE.1.0.7.0 --startMP 204:232938 --initTime 2016-09-24T05:14:59 --startdatetime 2016-09-24T05:26:17 --delay 1 --endMP 204:147 --enddatetime 2016-09-24T06:10:56 --enforcementcount 0 &gt;&gt;C:\Users\stu\Documents\GitHub\eaglep3-reporting\EC\2016-09-24-refined-times.txt</v>
      </c>
      <c r="AI20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{"issue":{"subject":"","project_id":79,"tracker_id":40,"status_id":1,"priority_id":2,"assigned_to_id":23,"start_date":"2016-09-24","description":"","custom_fields":[{"id":1,"name":"Subdivision","value":"EC"},{"id":4,"name":"Milepost","value":"0.0147"},{"id":17,"name":"Train ID","value":"108-24"},{"id":16,"name":"Locomotive ID","value":"4008"},{"id":130,"name":"Impact","value":""},{"id":150,"name":"Time of Event (Mountain Time)","value":"06:10:56"},{"id":151,"name":"Denver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465</v>
      </c>
      <c r="B21" s="7">
        <v>4042</v>
      </c>
      <c r="C21" s="24" t="s">
        <v>106</v>
      </c>
      <c r="D21" s="24" t="s">
        <v>225</v>
      </c>
      <c r="E21" s="15">
        <v>42637.192384259259</v>
      </c>
      <c r="F21" s="15">
        <v>42637.198194444441</v>
      </c>
      <c r="G21" s="7">
        <v>1</v>
      </c>
      <c r="H21" s="15" t="s">
        <v>317</v>
      </c>
      <c r="I21" s="15">
        <v>42637.225381944445</v>
      </c>
      <c r="J21" s="7">
        <v>0</v>
      </c>
      <c r="K21" s="121" t="str">
        <f t="shared" si="0"/>
        <v>4041/4042</v>
      </c>
      <c r="L21" s="24" t="str">
        <f>VLOOKUP(A21,'Trips&amp;Operators'!$C$1:$E$10000,3,FALSE)</f>
        <v>DE LA ROSA</v>
      </c>
      <c r="M21" s="6">
        <f t="shared" si="1"/>
        <v>2.718750000349246E-2</v>
      </c>
      <c r="N21" s="7">
        <f t="shared" si="18"/>
        <v>39.150000005029142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03:37:02-0600',mode:absolute,to:'2016-09-24 06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 t="shared" si="5"/>
        <v>N</v>
      </c>
      <c r="X21" s="168">
        <f t="shared" si="6"/>
        <v>1</v>
      </c>
      <c r="Y21" s="69">
        <f t="shared" si="7"/>
        <v>4.6600000000000003E-2</v>
      </c>
      <c r="Z21" s="69">
        <f t="shared" si="8"/>
        <v>23.327000000000002</v>
      </c>
      <c r="AA21" s="69">
        <f t="shared" si="9"/>
        <v>23.2804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0"/>
        <v>0109-24</v>
      </c>
      <c r="AE21" s="99" t="str">
        <f t="shared" si="11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21" s="96" t="str">
        <f t="shared" si="12"/>
        <v>"C:\Program Files (x86)\AstroGrep\AstroGrep.exe" /spath="%USERPROFILE%\AppData\Local\Temp\OnboardLogs" /stypes="app*4042*20160924*"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6"/>
        <v>"%USERPROFILE%\Documents\GitHub\eaglep3\Utilities\RefineRTDCRunTimes.py" --tripid 109-24 --locoid 4042 --swversion DE.1.0.7.0 --startMP 204:466 --initTime 2016-09-24T04:37:02 --startdatetime 2016-09-24T04:45:24 --delay 1 --endMP 204:233270 --enddatetime 2016-09-24T05:24:33 --enforcementcount 0 &gt;&gt;C:\Users\stu\Documents\GitHub\eaglep3-reporting\EC\2016-09-24-refined-times.txt</v>
      </c>
      <c r="AI21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{"issue":{"subject":"","project_id":79,"tracker_id":40,"status_id":1,"priority_id":2,"assigned_to_id":23,"start_date":"2016-09-24","description":"","custom_fields":[{"id":1,"name":"Subdivision","value":"EC"},{"id":4,"name":"Milepost","value":"23.327"},{"id":17,"name":"Train ID","value":"109-24"},{"id":16,"name":"Locomotive ID","value":"4042"},{"id":130,"name":"Impact","value":""},{"id":150,"name":"Time of Event (Mountain Time)","value":"05:24:33"},{"id":151,"name":"Denver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470</v>
      </c>
      <c r="B22" s="7">
        <v>4041</v>
      </c>
      <c r="C22" s="24" t="s">
        <v>106</v>
      </c>
      <c r="D22" s="24" t="s">
        <v>410</v>
      </c>
      <c r="E22" s="15">
        <v>42637.227893518517</v>
      </c>
      <c r="F22" s="15">
        <v>42637.237002314818</v>
      </c>
      <c r="G22" s="7">
        <v>2</v>
      </c>
      <c r="H22" s="15" t="s">
        <v>127</v>
      </c>
      <c r="I22" s="15">
        <v>42637.265381944446</v>
      </c>
      <c r="J22" s="7">
        <v>0</v>
      </c>
      <c r="K22" s="121" t="str">
        <f t="shared" si="0"/>
        <v>4041/4042</v>
      </c>
      <c r="L22" s="24" t="str">
        <f>VLOOKUP(A22,'Trips&amp;Operators'!$C$1:$E$10000,3,FALSE)</f>
        <v>DE LA ROSA</v>
      </c>
      <c r="M22" s="6">
        <f t="shared" si="1"/>
        <v>2.8379629628034309E-2</v>
      </c>
      <c r="N22" s="7">
        <f t="shared" si="18"/>
        <v>40.866666664369404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04:28:10-0600',mode:absolute,to:'2016-09-24 07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 t="shared" si="5"/>
        <v>N</v>
      </c>
      <c r="X22" s="168">
        <f t="shared" si="6"/>
        <v>1</v>
      </c>
      <c r="Y22" s="69">
        <f t="shared" si="7"/>
        <v>23.2972</v>
      </c>
      <c r="Z22" s="69">
        <f t="shared" si="8"/>
        <v>1.54E-2</v>
      </c>
      <c r="AA22" s="69">
        <f t="shared" si="9"/>
        <v>23.2818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0"/>
        <v>0110-24</v>
      </c>
      <c r="AE22" s="99" t="str">
        <f t="shared" si="11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22" s="96" t="str">
        <f t="shared" si="12"/>
        <v>"C:\Program Files (x86)\AstroGrep\AstroGrep.exe" /spath="%USERPROFILE%\AppData\Local\Temp\OnboardLogs" /stypes="app*4041*20160924*"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6"/>
        <v>"%USERPROFILE%\Documents\GitHub\eaglep3\Utilities\RefineRTDCRunTimes.py" --tripid 110-24 --locoid 4041 --swversion DE.1.0.7.0 --startMP 204:232972 --initTime 2016-09-24T05:28:10 --startdatetime 2016-09-24T05:41:17 --delay 2 --endMP 204:154 --enddatetime 2016-09-24T06:22:09 --enforcementcount 0 &gt;&gt;C:\Users\stu\Documents\GitHub\eaglep3-reporting\EC\2016-09-24-refined-times.txt</v>
      </c>
      <c r="AI22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{"issue":{"subject":"","project_id":79,"tracker_id":40,"status_id":1,"priority_id":2,"assigned_to_id":23,"start_date":"2016-09-24","description":"","custom_fields":[{"id":1,"name":"Subdivision","value":"EC"},{"id":4,"name":"Milepost","value":"0.0154"},{"id":17,"name":"Train ID","value":"110-24"},{"id":16,"name":"Locomotive ID","value":"4041"},{"id":130,"name":"Impact","value":""},{"id":150,"name":"Time of Event (Mountain Time)","value":"06:22:09"},{"id":151,"name":"Denver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467</v>
      </c>
      <c r="B23" s="7">
        <v>4018</v>
      </c>
      <c r="C23" s="24" t="s">
        <v>106</v>
      </c>
      <c r="D23" s="24" t="s">
        <v>609</v>
      </c>
      <c r="E23" s="15">
        <v>42637.204479166663</v>
      </c>
      <c r="F23" s="15">
        <v>42637.208796296298</v>
      </c>
      <c r="G23" s="7">
        <v>1</v>
      </c>
      <c r="H23" s="15" t="s">
        <v>325</v>
      </c>
      <c r="I23" s="15">
        <v>42637.235381944447</v>
      </c>
      <c r="J23" s="7">
        <v>0</v>
      </c>
      <c r="K23" s="121" t="str">
        <f t="shared" si="0"/>
        <v>4017/4018</v>
      </c>
      <c r="L23" s="24" t="str">
        <f>VLOOKUP(A23,'Trips&amp;Operators'!$C$1:$E$10000,3,FALSE)</f>
        <v>GEBRETEKLE</v>
      </c>
      <c r="M23" s="6">
        <f t="shared" si="1"/>
        <v>2.658564814919373E-2</v>
      </c>
      <c r="N23" s="7">
        <f t="shared" si="18"/>
        <v>38.283333334838971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03:54:27-0600',mode:absolute,to:'2016-09-24 06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3" s="54" t="str">
        <f t="shared" si="5"/>
        <v>N</v>
      </c>
      <c r="X23" s="168">
        <f t="shared" si="6"/>
        <v>1</v>
      </c>
      <c r="Y23" s="69">
        <f t="shared" si="7"/>
        <v>7.46E-2</v>
      </c>
      <c r="Z23" s="69">
        <f t="shared" si="8"/>
        <v>23.329899999999999</v>
      </c>
      <c r="AA23" s="69">
        <f t="shared" si="9"/>
        <v>23.255299999999998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0"/>
        <v>0111-24</v>
      </c>
      <c r="AE23" s="99" t="str">
        <f t="shared" si="11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23" s="96" t="str">
        <f t="shared" si="12"/>
        <v>"C:\Program Files (x86)\AstroGrep\AstroGrep.exe" /spath="%USERPROFILE%\AppData\Local\Temp\OnboardLogs" /stypes="app*4018*20160924*"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6"/>
        <v>"%USERPROFILE%\Documents\GitHub\eaglep3\Utilities\RefineRTDCRunTimes.py" --tripid 111-24 --locoid 4018 --swversion DE.1.0.7.0 --startMP 204:746 --initTime 2016-09-24T04:54:27 --startdatetime 2016-09-24T05:00:40 --delay 1 --endMP 204:233299 --enddatetime 2016-09-24T05:38:57 --enforcementcount 0 &gt;&gt;C:\Users\stu\Documents\GitHub\eaglep3-reporting\EC\2016-09-24-refined-times.txt</v>
      </c>
      <c r="AI23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{"issue":{"subject":"","project_id":79,"tracker_id":40,"status_id":1,"priority_id":2,"assigned_to_id":23,"start_date":"2016-09-24","description":"","custom_fields":[{"id":1,"name":"Subdivision","value":"EC"},{"id":4,"name":"Milepost","value":"23.3299"},{"id":17,"name":"Train ID","value":"111-24"},{"id":16,"name":"Locomotive ID","value":"4018"},{"id":130,"name":"Impact","value":""},{"id":150,"name":"Time of Event (Mountain Time)","value":"05:38:57"},{"id":151,"name":"Denver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473</v>
      </c>
      <c r="B24" s="7">
        <v>4017</v>
      </c>
      <c r="C24" s="24" t="s">
        <v>106</v>
      </c>
      <c r="D24" s="24" t="s">
        <v>233</v>
      </c>
      <c r="E24" s="15">
        <v>42637.242002314815</v>
      </c>
      <c r="F24" s="15">
        <v>42637.247430555559</v>
      </c>
      <c r="G24" s="7">
        <v>1</v>
      </c>
      <c r="H24" s="15" t="s">
        <v>610</v>
      </c>
      <c r="I24" s="15">
        <v>42637.275416666664</v>
      </c>
      <c r="J24" s="7">
        <v>0</v>
      </c>
      <c r="K24" s="121" t="str">
        <f t="shared" si="0"/>
        <v>4017/4018</v>
      </c>
      <c r="L24" s="24" t="str">
        <f>VLOOKUP(A24,'Trips&amp;Operators'!$C$1:$E$10000,3,FALSE)</f>
        <v>GEBRETEKLE</v>
      </c>
      <c r="M24" s="6">
        <f t="shared" si="1"/>
        <v>2.7986111104837619E-2</v>
      </c>
      <c r="N24" s="7">
        <f t="shared" si="18"/>
        <v>40.299999990966171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04:48:29-0600',mode:absolute,to:'2016-09-24 07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4" s="54" t="str">
        <f t="shared" si="5"/>
        <v>N</v>
      </c>
      <c r="X24" s="168">
        <f t="shared" si="6"/>
        <v>1</v>
      </c>
      <c r="Y24" s="69">
        <f t="shared" si="7"/>
        <v>23.297799999999999</v>
      </c>
      <c r="Z24" s="69">
        <f t="shared" si="8"/>
        <v>1.7000000000000001E-2</v>
      </c>
      <c r="AA24" s="69">
        <f t="shared" si="9"/>
        <v>23.280799999999999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0"/>
        <v>0112-24</v>
      </c>
      <c r="AE24" s="99" t="str">
        <f t="shared" si="11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24" s="96" t="str">
        <f t="shared" si="12"/>
        <v>"C:\Program Files (x86)\AstroGrep\AstroGrep.exe" /spath="%USERPROFILE%\AppData\Local\Temp\OnboardLogs" /stypes="app*4017*20160924*"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6"/>
        <v>"%USERPROFILE%\Documents\GitHub\eaglep3\Utilities\RefineRTDCRunTimes.py" --tripid 112-24 --locoid 4017 --swversion DE.1.0.7.0 --startMP 204:232978 --initTime 2016-09-24T05:48:29 --startdatetime 2016-09-24T05:56:18 --delay 1 --endMP 204:170 --enddatetime 2016-09-24T06:36:36 --enforcementcount 0 &gt;&gt;C:\Users\stu\Documents\GitHub\eaglep3-reporting\EC\2016-09-24-refined-times.txt</v>
      </c>
      <c r="AI24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{"issue":{"subject":"","project_id":79,"tracker_id":40,"status_id":1,"priority_id":2,"assigned_to_id":23,"start_date":"2016-09-24","description":"","custom_fields":[{"id":1,"name":"Subdivision","value":"EC"},{"id":4,"name":"Milepost","value":"0.017"},{"id":17,"name":"Train ID","value":"112-24"},{"id":16,"name":"Locomotive ID","value":"4017"},{"id":130,"name":"Impact","value":""},{"id":150,"name":"Time of Event (Mountain Time)","value":"06:36:36"},{"id":151,"name":"Denver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468</v>
      </c>
      <c r="B25" s="7">
        <v>4009</v>
      </c>
      <c r="C25" s="24" t="s">
        <v>106</v>
      </c>
      <c r="D25" s="24" t="s">
        <v>250</v>
      </c>
      <c r="E25" s="15">
        <v>42637.214803240742</v>
      </c>
      <c r="F25" s="15">
        <v>42637.219236111108</v>
      </c>
      <c r="G25" s="7">
        <v>1</v>
      </c>
      <c r="H25" s="15" t="s">
        <v>319</v>
      </c>
      <c r="I25" s="15">
        <v>42637.245717592596</v>
      </c>
      <c r="J25" s="7">
        <v>0</v>
      </c>
      <c r="K25" s="121" t="str">
        <f t="shared" si="0"/>
        <v>4009/4010</v>
      </c>
      <c r="L25" s="24" t="str">
        <f>VLOOKUP(A25,'Trips&amp;Operators'!$C$1:$E$10000,3,FALSE)</f>
        <v>MAELZER</v>
      </c>
      <c r="M25" s="6">
        <f t="shared" si="1"/>
        <v>2.6481481487280689E-2</v>
      </c>
      <c r="N25" s="7">
        <f t="shared" si="18"/>
        <v>38.133333341684192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04:09:19-0600',mode:absolute,to:'2016-09-24 06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5" s="54" t="str">
        <f t="shared" si="5"/>
        <v>N</v>
      </c>
      <c r="X25" s="168">
        <f t="shared" si="6"/>
        <v>1</v>
      </c>
      <c r="Y25" s="69">
        <f t="shared" si="7"/>
        <v>4.3999999999999997E-2</v>
      </c>
      <c r="Z25" s="69">
        <f t="shared" si="8"/>
        <v>23.331</v>
      </c>
      <c r="AA25" s="69">
        <f t="shared" si="9"/>
        <v>23.286999999999999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0"/>
        <v>0113-24</v>
      </c>
      <c r="AE25" s="99" t="str">
        <f t="shared" si="11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25" s="96" t="str">
        <f t="shared" si="12"/>
        <v>"C:\Program Files (x86)\AstroGrep\AstroGrep.exe" /spath="%USERPROFILE%\AppData\Local\Temp\OnboardLogs" /stypes="app*4009*20160924*"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6"/>
        <v>"%USERPROFILE%\Documents\GitHub\eaglep3\Utilities\RefineRTDCRunTimes.py" --tripid 113-24 --locoid 4009 --swversion DE.1.0.7.0 --startMP 204:440 --initTime 2016-09-24T05:09:19 --startdatetime 2016-09-24T05:15:42 --delay 1 --endMP 204:233310 --enddatetime 2016-09-24T05:53:50 --enforcementcount 0 &gt;&gt;C:\Users\stu\Documents\GitHub\eaglep3-reporting\EC\2016-09-24-refined-times.txt</v>
      </c>
      <c r="AI25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{"issue":{"subject":"","project_id":79,"tracker_id":40,"status_id":1,"priority_id":2,"assigned_to_id":23,"start_date":"2016-09-24","description":"","custom_fields":[{"id":1,"name":"Subdivision","value":"EC"},{"id":4,"name":"Milepost","value":"23.331"},{"id":17,"name":"Train ID","value":"113-24"},{"id":16,"name":"Locomotive ID","value":"4009"},{"id":130,"name":"Impact","value":""},{"id":150,"name":"Time of Event (Mountain Time)","value":"05:53:50"},{"id":151,"name":"Denver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437</v>
      </c>
      <c r="B26" s="7">
        <v>4010</v>
      </c>
      <c r="C26" s="24" t="s">
        <v>106</v>
      </c>
      <c r="D26" s="24" t="s">
        <v>287</v>
      </c>
      <c r="E26" s="15">
        <v>42637.255567129629</v>
      </c>
      <c r="F26" s="15">
        <v>42637.257974537039</v>
      </c>
      <c r="G26" s="7">
        <v>1</v>
      </c>
      <c r="H26" s="15" t="s">
        <v>249</v>
      </c>
      <c r="I26" s="15">
        <v>42637.288912037038</v>
      </c>
      <c r="J26" s="7">
        <v>0</v>
      </c>
      <c r="K26" s="121" t="str">
        <f t="shared" si="0"/>
        <v>4009/4010</v>
      </c>
      <c r="L26" s="24" t="str">
        <f>VLOOKUP(A26,'Trips&amp;Operators'!$C$1:$E$10000,3,FALSE)</f>
        <v>MAELZER</v>
      </c>
      <c r="M26" s="6">
        <f t="shared" si="1"/>
        <v>3.0937499999708962E-2</v>
      </c>
      <c r="N26" s="7">
        <f t="shared" si="18"/>
        <v>44.549999999580905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05:08:01-0600',mode:absolute,to:'2016-09-24 07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6" s="54" t="str">
        <f t="shared" si="5"/>
        <v>N</v>
      </c>
      <c r="X26" s="168">
        <f t="shared" si="6"/>
        <v>1</v>
      </c>
      <c r="Y26" s="69">
        <f t="shared" si="7"/>
        <v>23.299099999999999</v>
      </c>
      <c r="Z26" s="69">
        <f t="shared" si="8"/>
        <v>1.5599999999999999E-2</v>
      </c>
      <c r="AA26" s="69">
        <f t="shared" si="9"/>
        <v>23.2835</v>
      </c>
      <c r="AB26" s="66" t="str">
        <f>VLOOKUP(A26,Enforcements!$C$7:$K$20,8,0)</f>
        <v>Speed (6)</v>
      </c>
      <c r="AC26" s="62" t="str">
        <f>VLOOKUP(A26,Enforcements!$C$7:$E$20,3,0)</f>
        <v>PERMANENT SPEED RESTRICTION</v>
      </c>
      <c r="AD26" s="63" t="str">
        <f t="shared" si="10"/>
        <v>0114-24</v>
      </c>
      <c r="AE26" s="99" t="str">
        <f t="shared" si="11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26" s="96" t="str">
        <f t="shared" si="12"/>
        <v>"C:\Program Files (x86)\AstroGrep\AstroGrep.exe" /spath="%USERPROFILE%\AppData\Local\Temp\OnboardLogs" /stypes="app*4010*20160924*"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6"/>
        <v>"%USERPROFILE%\Documents\GitHub\eaglep3\Utilities\RefineRTDCRunTimes.py" --tripid 114-24 --locoid 4010 --swversion DE.1.0.7.0 --startMP 204:232991 --initTime 2016-09-24T06:08:01 --startdatetime 2016-09-24T06:11:29 --delay 1 --endMP 204:156 --enddatetime 2016-09-24T06:56:02 --enforcementcount 0 &gt;&gt;C:\Users\stu\Documents\GitHub\eaglep3-reporting\EC\2016-09-24-refined-times.txt</v>
      </c>
      <c r="AI26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{"issue":{"subject":"","project_id":79,"tracker_id":40,"status_id":1,"priority_id":2,"assigned_to_id":23,"start_date":"2016-09-24","description":"","custom_fields":[{"id":1,"name":"Subdivision","value":"EC"},{"id":4,"name":"Milepost","value":"0.0156"},{"id":17,"name":"Train ID","value":"114-24"},{"id":16,"name":"Locomotive ID","value":"4010"},{"id":130,"name":"Impact","value":""},{"id":150,"name":"Time of Event (Mountain Time)","value":"06:56:02"},{"id":151,"name":"Denver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471</v>
      </c>
      <c r="B27" s="7">
        <v>4014</v>
      </c>
      <c r="C27" s="24" t="s">
        <v>106</v>
      </c>
      <c r="D27" s="24" t="s">
        <v>611</v>
      </c>
      <c r="E27" s="15">
        <v>42637.232812499999</v>
      </c>
      <c r="F27" s="15">
        <v>42637.234664351854</v>
      </c>
      <c r="G27" s="7">
        <v>1</v>
      </c>
      <c r="H27" s="15" t="s">
        <v>243</v>
      </c>
      <c r="I27" s="15">
        <v>42637.263437499998</v>
      </c>
      <c r="J27" s="7">
        <v>0</v>
      </c>
      <c r="K27" s="121" t="str">
        <f t="shared" si="0"/>
        <v>4013/4014</v>
      </c>
      <c r="L27" s="24" t="str">
        <f>VLOOKUP(A27,'Trips&amp;Operators'!$C$1:$E$10000,3,FALSE)</f>
        <v>STRICKLAND</v>
      </c>
      <c r="M27" s="6">
        <f t="shared" si="1"/>
        <v>2.8773148143955041E-2</v>
      </c>
      <c r="N27" s="7">
        <f t="shared" si="18"/>
        <v>41.433333327295259</v>
      </c>
      <c r="O27" s="7"/>
      <c r="P27" s="7"/>
      <c r="Q27" s="25"/>
      <c r="R27" s="25"/>
      <c r="S27" s="37">
        <f t="shared" si="2"/>
        <v>1</v>
      </c>
      <c r="T27" s="52" t="str">
        <f t="shared" si="3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04:35:15-0600',mode:absolute,to:'2016-09-24 07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7" s="54" t="str">
        <f t="shared" si="5"/>
        <v>N</v>
      </c>
      <c r="X27" s="168">
        <f t="shared" si="6"/>
        <v>1</v>
      </c>
      <c r="Y27" s="69">
        <f t="shared" si="7"/>
        <v>7.3700000000000002E-2</v>
      </c>
      <c r="Z27" s="69">
        <f t="shared" si="8"/>
        <v>23.329699999999999</v>
      </c>
      <c r="AA27" s="69">
        <f t="shared" si="9"/>
        <v>23.256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0"/>
        <v>0115-24</v>
      </c>
      <c r="AE27" s="99" t="str">
        <f t="shared" si="11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27" s="96" t="str">
        <f t="shared" si="12"/>
        <v>"C:\Program Files (x86)\AstroGrep\AstroGrep.exe" /spath="%USERPROFILE%\AppData\Local\Temp\OnboardLogs" /stypes="app*4014*20160924*"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6"/>
        <v>"%USERPROFILE%\Documents\GitHub\eaglep3\Utilities\RefineRTDCRunTimes.py" --tripid 115-24 --locoid 4014 --swversion DE.1.0.7.0 --startMP 204:737 --initTime 2016-09-24T05:35:15 --startdatetime 2016-09-24T05:37:55 --delay 1 --endMP 204:233297 --enddatetime 2016-09-24T06:19:21 --enforcementcount 0 &gt;&gt;C:\Users\stu\Documents\GitHub\eaglep3-reporting\EC\2016-09-24-refined-times.txt</v>
      </c>
      <c r="AI2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{"issue":{"subject":"","project_id":79,"tracker_id":40,"status_id":1,"priority_id":2,"assigned_to_id":23,"start_date":"2016-09-24","description":"","custom_fields":[{"id":1,"name":"Subdivision","value":"EC"},{"id":4,"name":"Milepost","value":"23.3297"},{"id":17,"name":"Train ID","value":"115-24"},{"id":16,"name":"Locomotive ID","value":"4014"},{"id":130,"name":"Impact","value":""},{"id":150,"name":"Time of Event (Mountain Time)","value":"06:19:21"},{"id":151,"name":"Denver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438</v>
      </c>
      <c r="B28" s="7">
        <v>4013</v>
      </c>
      <c r="C28" s="24" t="s">
        <v>106</v>
      </c>
      <c r="D28" s="24" t="s">
        <v>414</v>
      </c>
      <c r="E28" s="15">
        <v>42637.265798611108</v>
      </c>
      <c r="F28" s="15">
        <v>42637.26835648148</v>
      </c>
      <c r="G28" s="7">
        <v>2</v>
      </c>
      <c r="H28" s="15" t="s">
        <v>214</v>
      </c>
      <c r="I28" s="15">
        <v>42637.298449074071</v>
      </c>
      <c r="J28" s="7">
        <v>0</v>
      </c>
      <c r="K28" s="121" t="str">
        <f t="shared" si="0"/>
        <v>4013/4014</v>
      </c>
      <c r="L28" s="24" t="str">
        <f>VLOOKUP(A28,'Trips&amp;Operators'!$C$1:$E$10000,3,FALSE)</f>
        <v>STRICKLAND</v>
      </c>
      <c r="M28" s="6">
        <f t="shared" si="1"/>
        <v>3.0092592591245193E-2</v>
      </c>
      <c r="N28" s="7">
        <f t="shared" si="18"/>
        <v>43.333333331393078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05:22:45-0600',mode:absolute,to:'2016-09-24 08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8" s="54" t="str">
        <f t="shared" si="5"/>
        <v>N</v>
      </c>
      <c r="X28" s="168">
        <f t="shared" si="6"/>
        <v>1</v>
      </c>
      <c r="Y28" s="69">
        <f t="shared" si="7"/>
        <v>23.297899999999998</v>
      </c>
      <c r="Z28" s="69">
        <f t="shared" si="8"/>
        <v>1.6E-2</v>
      </c>
      <c r="AA28" s="69">
        <f t="shared" si="9"/>
        <v>23.2819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0"/>
        <v>0116-24</v>
      </c>
      <c r="AE28" s="99" t="str">
        <f t="shared" si="11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28" s="96" t="str">
        <f t="shared" si="12"/>
        <v>"C:\Program Files (x86)\AstroGrep\AstroGrep.exe" /spath="%USERPROFILE%\AppData\Local\Temp\OnboardLogs" /stypes="app*4013*20160924*"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6"/>
        <v>"%USERPROFILE%\Documents\GitHub\eaglep3\Utilities\RefineRTDCRunTimes.py" --tripid 116-24 --locoid 4013 --swversion DE.1.0.7.0 --startMP 204:232979 --initTime 2016-09-24T06:22:45 --startdatetime 2016-09-24T06:26:26 --delay 2 --endMP 204:160 --enddatetime 2016-09-24T07:09:46 --enforcementcount 0 &gt;&gt;C:\Users\stu\Documents\GitHub\eaglep3-reporting\EC\2016-09-24-refined-times.txt</v>
      </c>
      <c r="AI28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{"issue":{"subject":"","project_id":79,"tracker_id":40,"status_id":1,"priority_id":2,"assigned_to_id":23,"start_date":"2016-09-24","description":"","custom_fields":[{"id":1,"name":"Subdivision","value":"EC"},{"id":4,"name":"Milepost","value":"0.016"},{"id":17,"name":"Train ID","value":"116-24"},{"id":16,"name":"Locomotive ID","value":"4013"},{"id":130,"name":"Impact","value":""},{"id":150,"name":"Time of Event (Mountain Time)","value":"07:09:46"},{"id":151,"name":"Denver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472</v>
      </c>
      <c r="B29" s="7">
        <v>4003</v>
      </c>
      <c r="C29" s="24" t="s">
        <v>106</v>
      </c>
      <c r="D29" s="24" t="s">
        <v>250</v>
      </c>
      <c r="E29" s="15">
        <v>42637.237905092596</v>
      </c>
      <c r="F29" s="15">
        <v>42637.239895833336</v>
      </c>
      <c r="G29" s="7">
        <v>1</v>
      </c>
      <c r="H29" s="15" t="s">
        <v>421</v>
      </c>
      <c r="I29" s="15">
        <v>42637.266967592594</v>
      </c>
      <c r="J29" s="7">
        <v>0</v>
      </c>
      <c r="K29" s="121" t="str">
        <f t="shared" si="0"/>
        <v>4003/4004</v>
      </c>
      <c r="L29" s="24" t="str">
        <f>VLOOKUP(A29,'Trips&amp;Operators'!$C$1:$E$10000,3,FALSE)</f>
        <v>MALAVE</v>
      </c>
      <c r="M29" s="6">
        <f t="shared" si="1"/>
        <v>2.7071759257523809E-2</v>
      </c>
      <c r="N29" s="7">
        <f t="shared" si="18"/>
        <v>38.983333330834284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04:42:35-0600',mode:absolute,to:'2016-09-24 07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9" s="54" t="str">
        <f t="shared" si="5"/>
        <v>N</v>
      </c>
      <c r="X29" s="168">
        <f t="shared" si="6"/>
        <v>1</v>
      </c>
      <c r="Y29" s="69">
        <f t="shared" si="7"/>
        <v>4.3999999999999997E-2</v>
      </c>
      <c r="Z29" s="69">
        <f t="shared" si="8"/>
        <v>23.326599999999999</v>
      </c>
      <c r="AA29" s="69">
        <f t="shared" si="9"/>
        <v>23.282599999999999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0"/>
        <v>0117-24</v>
      </c>
      <c r="AE29" s="99" t="str">
        <f t="shared" si="11"/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AF29" s="96" t="str">
        <f t="shared" si="12"/>
        <v>"C:\Program Files (x86)\AstroGrep\AstroGrep.exe" /spath="%USERPROFILE%\AppData\Local\Temp\OnboardLogs" /stypes="app*4003*20160924*"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6"/>
        <v>"%USERPROFILE%\Documents\GitHub\eaglep3\Utilities\RefineRTDCRunTimes.py" --tripid 117-24 --locoid 4003 --swversion DE.1.0.7.0 --startMP 204:440 --initTime 2016-09-24T05:42:35 --startdatetime 2016-09-24T05:45:27 --delay 1 --endMP 204:233266 --enddatetime 2016-09-24T06:24:26 --enforcementcount 0 &gt;&gt;C:\Users\stu\Documents\GitHub\eaglep3-reporting\EC\2016-09-24-refined-times.txt</v>
      </c>
      <c r="AI29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{"issue":{"subject":"","project_id":79,"tracker_id":40,"status_id":1,"priority_id":2,"assigned_to_id":23,"start_date":"2016-09-24","description":"","custom_fields":[{"id":1,"name":"Subdivision","value":"EC"},{"id":4,"name":"Milepost","value":"23.3266"},{"id":17,"name":"Train ID","value":"117-24"},{"id":16,"name":"Locomotive ID","value":"4003"},{"id":130,"name":"Impact","value":""},{"id":150,"name":"Time of Event (Mountain Time)","value":"06:24:26"},{"id":151,"name":"Denver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439</v>
      </c>
      <c r="B30" s="7">
        <v>4004</v>
      </c>
      <c r="C30" s="24" t="s">
        <v>106</v>
      </c>
      <c r="D30" s="24" t="s">
        <v>608</v>
      </c>
      <c r="E30" s="15">
        <v>42637.271145833336</v>
      </c>
      <c r="F30" s="15">
        <v>42637.278761574074</v>
      </c>
      <c r="G30" s="7">
        <v>1</v>
      </c>
      <c r="H30" s="15" t="s">
        <v>127</v>
      </c>
      <c r="I30" s="15">
        <v>42637.30909722222</v>
      </c>
      <c r="J30" s="7">
        <v>0</v>
      </c>
      <c r="K30" s="121" t="str">
        <f t="shared" si="0"/>
        <v>4003/4004</v>
      </c>
      <c r="L30" s="24" t="str">
        <f>VLOOKUP(A30,'Trips&amp;Operators'!$C$1:$E$10000,3,FALSE)</f>
        <v>MALAVE</v>
      </c>
      <c r="M30" s="6">
        <f t="shared" si="1"/>
        <v>3.0335648145410232E-2</v>
      </c>
      <c r="N30" s="7">
        <f t="shared" si="18"/>
        <v>43.683333329390734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05:30:27-0600',mode:absolute,to:'2016-09-24 08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0" s="54" t="str">
        <f t="shared" si="5"/>
        <v>N</v>
      </c>
      <c r="X30" s="168">
        <f t="shared" si="6"/>
        <v>1</v>
      </c>
      <c r="Y30" s="69">
        <f t="shared" si="7"/>
        <v>23.293800000000001</v>
      </c>
      <c r="Z30" s="69">
        <f t="shared" si="8"/>
        <v>1.54E-2</v>
      </c>
      <c r="AA30" s="69">
        <f t="shared" si="9"/>
        <v>23.278400000000001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0"/>
        <v>0118-24</v>
      </c>
      <c r="AE30" s="99" t="str">
        <f t="shared" si="11"/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AF30" s="96" t="str">
        <f t="shared" si="12"/>
        <v>"C:\Program Files (x86)\AstroGrep\AstroGrep.exe" /spath="%USERPROFILE%\AppData\Local\Temp\OnboardLogs" /stypes="app*4004*20160924*"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6"/>
        <v>"%USERPROFILE%\Documents\GitHub\eaglep3\Utilities\RefineRTDCRunTimes.py" --tripid 118-24 --locoid 4004 --swversion DE.1.0.7.0 --startMP 204:232938 --initTime 2016-09-24T06:30:27 --startdatetime 2016-09-24T06:41:25 --delay 1 --endMP 204:154 --enddatetime 2016-09-24T07:25:06 --enforcementcount 0 &gt;&gt;C:\Users\stu\Documents\GitHub\eaglep3-reporting\EC\2016-09-24-refined-times.txt</v>
      </c>
      <c r="AI30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{"issue":{"subject":"","project_id":79,"tracker_id":40,"status_id":1,"priority_id":2,"assigned_to_id":23,"start_date":"2016-09-24","description":"","custom_fields":[{"id":1,"name":"Subdivision","value":"EC"},{"id":4,"name":"Milepost","value":"0.0154"},{"id":17,"name":"Train ID","value":"118-24"},{"id":16,"name":"Locomotive ID","value":"4004"},{"id":130,"name":"Impact","value":""},{"id":150,"name":"Time of Event (Mountain Time)","value":"07:25:06"},{"id":151,"name":"Denver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474</v>
      </c>
      <c r="B31" s="7">
        <v>4053</v>
      </c>
      <c r="C31" s="24" t="s">
        <v>106</v>
      </c>
      <c r="D31" s="24" t="s">
        <v>612</v>
      </c>
      <c r="E31" s="15">
        <v>42637.251770833333</v>
      </c>
      <c r="F31" s="15">
        <v>42637.253506944442</v>
      </c>
      <c r="G31" s="7">
        <v>1</v>
      </c>
      <c r="H31" s="15" t="s">
        <v>319</v>
      </c>
      <c r="I31" s="15">
        <v>42637.282719907409</v>
      </c>
      <c r="J31" s="7">
        <v>0</v>
      </c>
      <c r="K31" s="121" t="str">
        <f t="shared" si="0"/>
        <v>4053/4054</v>
      </c>
      <c r="L31" s="24" t="str">
        <f>VLOOKUP(A31,'Trips&amp;Operators'!$C$1:$E$10000,3,FALSE)</f>
        <v>ACKERMAN</v>
      </c>
      <c r="M31" s="6">
        <f t="shared" si="1"/>
        <v>2.9212962966994382E-2</v>
      </c>
      <c r="N31" s="7">
        <f t="shared" si="18"/>
        <v>42.066666672471911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05:02:33-0600',mode:absolute,to:'2016-09-24 07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1" s="54" t="str">
        <f t="shared" si="5"/>
        <v>N</v>
      </c>
      <c r="X31" s="168">
        <f t="shared" si="6"/>
        <v>1</v>
      </c>
      <c r="Y31" s="69">
        <f t="shared" si="7"/>
        <v>7.2099999999999997E-2</v>
      </c>
      <c r="Z31" s="69">
        <f t="shared" si="8"/>
        <v>23.331</v>
      </c>
      <c r="AA31" s="69">
        <f t="shared" si="9"/>
        <v>23.258900000000001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0"/>
        <v>0119-24</v>
      </c>
      <c r="AE31" s="99" t="str">
        <f t="shared" si="11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31" s="96" t="str">
        <f t="shared" si="12"/>
        <v>"C:\Program Files (x86)\AstroGrep\AstroGrep.exe" /spath="%USERPROFILE%\AppData\Local\Temp\OnboardLogs" /stypes="app*4053*20160924*"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6"/>
        <v>"%USERPROFILE%\Documents\GitHub\eaglep3\Utilities\RefineRTDCRunTimes.py" --tripid 119-24 --locoid 4053 --swversion DE.1.0.7.0 --startMP 204:721 --initTime 2016-09-24T06:02:33 --startdatetime 2016-09-24T06:05:03 --delay 1 --endMP 204:233310 --enddatetime 2016-09-24T06:47:07 --enforcementcount 0 &gt;&gt;C:\Users\stu\Documents\GitHub\eaglep3-reporting\EC\2016-09-24-refined-times.txt</v>
      </c>
      <c r="AI31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{"issue":{"subject":"","project_id":79,"tracker_id":40,"status_id":1,"priority_id":2,"assigned_to_id":23,"start_date":"2016-09-24","description":"","custom_fields":[{"id":1,"name":"Subdivision","value":"EC"},{"id":4,"name":"Milepost","value":"23.331"},{"id":17,"name":"Train ID","value":"119-24"},{"id":16,"name":"Locomotive ID","value":"4053"},{"id":130,"name":"Impact","value":""},{"id":150,"name":"Time of Event (Mountain Time)","value":"06:47:07"},{"id":151,"name":"Denver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478</v>
      </c>
      <c r="B32" s="7">
        <v>4054</v>
      </c>
      <c r="C32" s="24" t="s">
        <v>106</v>
      </c>
      <c r="D32" s="24" t="s">
        <v>287</v>
      </c>
      <c r="E32" s="15">
        <v>42637.286296296297</v>
      </c>
      <c r="F32" s="15">
        <v>42637.289247685185</v>
      </c>
      <c r="G32" s="7">
        <v>1</v>
      </c>
      <c r="H32" s="15" t="s">
        <v>613</v>
      </c>
      <c r="I32" s="15">
        <v>42637.31689814815</v>
      </c>
      <c r="J32" s="7">
        <v>0</v>
      </c>
      <c r="K32" s="121" t="str">
        <f t="shared" si="0"/>
        <v>4053/4054</v>
      </c>
      <c r="L32" s="24" t="str">
        <f>VLOOKUP(A32,'Trips&amp;Operators'!$C$1:$E$10000,3,FALSE)</f>
        <v>ACKERMAN</v>
      </c>
      <c r="M32" s="6">
        <f t="shared" si="1"/>
        <v>2.7650462965539191E-2</v>
      </c>
      <c r="N32" s="7">
        <f t="shared" si="18"/>
        <v>39.816666670376435</v>
      </c>
      <c r="O32" s="7"/>
      <c r="P32" s="7"/>
      <c r="Q32" s="25"/>
      <c r="R32" s="25"/>
      <c r="S32" s="37">
        <f t="shared" si="2"/>
        <v>1</v>
      </c>
      <c r="T32" s="52" t="str">
        <f t="shared" si="3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05:52:16-0600',mode:absolute,to:'2016-09-24 08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2" s="54" t="str">
        <f t="shared" si="5"/>
        <v>N</v>
      </c>
      <c r="X32" s="168">
        <f t="shared" si="6"/>
        <v>1</v>
      </c>
      <c r="Y32" s="69">
        <f t="shared" si="7"/>
        <v>23.299099999999999</v>
      </c>
      <c r="Z32" s="69">
        <f t="shared" si="8"/>
        <v>1.8499999999999999E-2</v>
      </c>
      <c r="AA32" s="69">
        <f t="shared" si="9"/>
        <v>23.2806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0"/>
        <v>0120-24</v>
      </c>
      <c r="AE32" s="99" t="str">
        <f t="shared" si="11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32" s="96" t="str">
        <f t="shared" si="12"/>
        <v>"C:\Program Files (x86)\AstroGrep\AstroGrep.exe" /spath="%USERPROFILE%\AppData\Local\Temp\OnboardLogs" /stypes="app*4054*20160924*"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6"/>
        <v>"%USERPROFILE%\Documents\GitHub\eaglep3\Utilities\RefineRTDCRunTimes.py" --tripid 120-24 --locoid 4054 --swversion DE.1.0.7.0 --startMP 204:232991 --initTime 2016-09-24T06:52:16 --startdatetime 2016-09-24T06:56:31 --delay 1 --endMP 204:185 --enddatetime 2016-09-24T07:36:20 --enforcementcount 0 &gt;&gt;C:\Users\stu\Documents\GitHub\eaglep3-reporting\EC\2016-09-24-refined-times.txt</v>
      </c>
      <c r="AI32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{"issue":{"subject":"","project_id":79,"tracker_id":40,"status_id":1,"priority_id":2,"assigned_to_id":23,"start_date":"2016-09-24","description":"","custom_fields":[{"id":1,"name":"Subdivision","value":"EC"},{"id":4,"name":"Milepost","value":"0.0185"},{"id":17,"name":"Train ID","value":"120-24"},{"id":16,"name":"Locomotive ID","value":"4054"},{"id":130,"name":"Impact","value":""},{"id":150,"name":"Time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475</v>
      </c>
      <c r="B33" s="7">
        <v>4007</v>
      </c>
      <c r="C33" s="24" t="s">
        <v>106</v>
      </c>
      <c r="D33" s="24" t="s">
        <v>329</v>
      </c>
      <c r="E33" s="15">
        <v>42637.258680555555</v>
      </c>
      <c r="F33" s="15">
        <v>42637.260578703703</v>
      </c>
      <c r="G33" s="7">
        <v>1</v>
      </c>
      <c r="H33" s="15" t="s">
        <v>325</v>
      </c>
      <c r="I33" s="15">
        <v>42637.287534722222</v>
      </c>
      <c r="J33" s="7">
        <v>0</v>
      </c>
      <c r="K33" s="121" t="str">
        <f t="shared" si="0"/>
        <v>4007/4008</v>
      </c>
      <c r="L33" s="24" t="str">
        <f>VLOOKUP(A33,'Trips&amp;Operators'!$C$1:$E$10000,3,FALSE)</f>
        <v>DAVIS</v>
      </c>
      <c r="M33" s="6">
        <f t="shared" si="1"/>
        <v>2.6956018518831115E-2</v>
      </c>
      <c r="N33" s="7">
        <f t="shared" si="18"/>
        <v>38.816666667116806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05:12:30-0600',mode:absolute,to:'2016-09-24 07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33" s="54" t="str">
        <f t="shared" si="5"/>
        <v>N</v>
      </c>
      <c r="X33" s="168">
        <f t="shared" si="6"/>
        <v>1</v>
      </c>
      <c r="Y33" s="69">
        <f t="shared" si="7"/>
        <v>4.3799999999999999E-2</v>
      </c>
      <c r="Z33" s="69">
        <f t="shared" si="8"/>
        <v>23.329899999999999</v>
      </c>
      <c r="AA33" s="69">
        <f t="shared" si="9"/>
        <v>23.286099999999998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0"/>
        <v>0121-24</v>
      </c>
      <c r="AE33" s="99" t="str">
        <f t="shared" si="11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33" s="96" t="str">
        <f t="shared" si="12"/>
        <v>"C:\Program Files (x86)\AstroGrep\AstroGrep.exe" /spath="%USERPROFILE%\AppData\Local\Temp\OnboardLogs" /stypes="app*4007*20160924*"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6"/>
        <v>"%USERPROFILE%\Documents\GitHub\eaglep3\Utilities\RefineRTDCRunTimes.py" --tripid 121-24 --locoid 4007 --swversion DE.1.0.7.0 --startMP 204:438 --initTime 2016-09-24T06:12:30 --startdatetime 2016-09-24T06:15:14 --delay 1 --endMP 204:233299 --enddatetime 2016-09-24T06:54:03 --enforcementcount 0 &gt;&gt;C:\Users\stu\Documents\GitHub\eaglep3-reporting\EC\2016-09-24-refined-times.txt</v>
      </c>
      <c r="AI33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{"issue":{"subject":"","project_id":79,"tracker_id":40,"status_id":1,"priority_id":2,"assigned_to_id":23,"start_date":"2016-09-24","description":"","custom_fields":[{"id":1,"name":"Subdivision","value":"EC"},{"id":4,"name":"Milepost","value":"23.3299"},{"id":17,"name":"Train ID","value":"121-24"},{"id":16,"name":"Locomotive ID","value":"4007"},{"id":130,"name":"Impact","value":""},{"id":150,"name":"Time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480</v>
      </c>
      <c r="B34" s="7">
        <v>4008</v>
      </c>
      <c r="C34" s="24" t="s">
        <v>106</v>
      </c>
      <c r="D34" s="24" t="s">
        <v>233</v>
      </c>
      <c r="E34" s="15">
        <v>42637.292523148149</v>
      </c>
      <c r="F34" s="15">
        <v>42637.299479166664</v>
      </c>
      <c r="G34" s="7">
        <v>1</v>
      </c>
      <c r="H34" s="15" t="s">
        <v>263</v>
      </c>
      <c r="I34" s="15">
        <v>42637.328275462962</v>
      </c>
      <c r="J34" s="7">
        <v>0</v>
      </c>
      <c r="K34" s="121" t="str">
        <f t="shared" si="0"/>
        <v>4007/4008</v>
      </c>
      <c r="L34" s="24" t="str">
        <f>VLOOKUP(A34,'Trips&amp;Operators'!$C$1:$E$10000,3,FALSE)</f>
        <v>DAVIS</v>
      </c>
      <c r="M34" s="6">
        <f t="shared" si="1"/>
        <v>2.8796296297514345E-2</v>
      </c>
      <c r="N34" s="7">
        <f t="shared" si="18"/>
        <v>41.466666668420658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06:01:14-0600',mode:absolute,to:'2016-09-24 08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34" s="54" t="str">
        <f t="shared" si="5"/>
        <v>N</v>
      </c>
      <c r="X34" s="168">
        <f t="shared" si="6"/>
        <v>1</v>
      </c>
      <c r="Y34" s="69">
        <f t="shared" si="7"/>
        <v>23.297799999999999</v>
      </c>
      <c r="Z34" s="69">
        <f t="shared" si="8"/>
        <v>1.41E-2</v>
      </c>
      <c r="AA34" s="69">
        <f t="shared" si="9"/>
        <v>23.2837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0"/>
        <v>0122-24</v>
      </c>
      <c r="AE34" s="99" t="str">
        <f t="shared" si="11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34" s="96" t="str">
        <f t="shared" si="12"/>
        <v>"C:\Program Files (x86)\AstroGrep\AstroGrep.exe" /spath="%USERPROFILE%\AppData\Local\Temp\OnboardLogs" /stypes="app*4008*20160924*"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6"/>
        <v>"%USERPROFILE%\Documents\GitHub\eaglep3\Utilities\RefineRTDCRunTimes.py" --tripid 122-24 --locoid 4008 --swversion DE.1.0.7.0 --startMP 204:232978 --initTime 2016-09-24T07:01:14 --startdatetime 2016-09-24T07:11:15 --delay 1 --endMP 204:141 --enddatetime 2016-09-24T07:52:43 --enforcementcount 0 &gt;&gt;C:\Users\stu\Documents\GitHub\eaglep3-reporting\EC\2016-09-24-refined-times.txt</v>
      </c>
      <c r="AI34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{"issue":{"subject":"","project_id":79,"tracker_id":40,"status_id":1,"priority_id":2,"assigned_to_id":23,"start_date":"2016-09-24","description":"","custom_fields":[{"id":1,"name":"Subdivision","value":"EC"},{"id":4,"name":"Milepost","value":"0.0141"},{"id":17,"name":"Train ID","value":"122-24"},{"id":16,"name":"Locomotive ID","value":"4008"},{"id":130,"name":"Impact","value":""},{"id":150,"name":"Time of Event (Mountain Time)","value":"07:52:43"},{"id":151,"name":"Denver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476</v>
      </c>
      <c r="B35" s="7">
        <v>4042</v>
      </c>
      <c r="C35" s="24" t="s">
        <v>106</v>
      </c>
      <c r="D35" s="24" t="s">
        <v>219</v>
      </c>
      <c r="E35" s="15">
        <v>42637.267106481479</v>
      </c>
      <c r="F35" s="15">
        <v>42637.271053240744</v>
      </c>
      <c r="G35" s="7">
        <v>1</v>
      </c>
      <c r="H35" s="15" t="s">
        <v>221</v>
      </c>
      <c r="I35" s="15">
        <v>42637.303159722222</v>
      </c>
      <c r="J35" s="7">
        <v>0</v>
      </c>
      <c r="K35" s="121" t="str">
        <f t="shared" si="0"/>
        <v>4041/4042</v>
      </c>
      <c r="L35" s="24" t="str">
        <f>VLOOKUP(A35,'Trips&amp;Operators'!$C$1:$E$10000,3,FALSE)</f>
        <v>DE LA ROSA</v>
      </c>
      <c r="M35" s="6">
        <f t="shared" si="1"/>
        <v>3.2106481477967463E-2</v>
      </c>
      <c r="N35" s="7">
        <f t="shared" si="18"/>
        <v>46.233333328273147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05:24:38-0600',mode:absolute,to:'2016-09-24 08:16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 t="shared" si="5"/>
        <v>N</v>
      </c>
      <c r="X35" s="168">
        <f t="shared" si="6"/>
        <v>1</v>
      </c>
      <c r="Y35" s="69">
        <f t="shared" si="7"/>
        <v>4.53E-2</v>
      </c>
      <c r="Z35" s="69">
        <f t="shared" si="8"/>
        <v>23.3291</v>
      </c>
      <c r="AA35" s="69">
        <f t="shared" si="9"/>
        <v>23.283799999999999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0"/>
        <v>0123-24</v>
      </c>
      <c r="AE35" s="99" t="str">
        <f t="shared" si="11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35" s="96" t="str">
        <f t="shared" si="12"/>
        <v>"C:\Program Files (x86)\AstroGrep\AstroGrep.exe" /spath="%USERPROFILE%\AppData\Local\Temp\OnboardLogs" /stypes="app*4042*20160924*"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6"/>
        <v>"%USERPROFILE%\Documents\GitHub\eaglep3\Utilities\RefineRTDCRunTimes.py" --tripid 123-24 --locoid 4042 --swversion DE.1.0.7.0 --startMP 204:453 --initTime 2016-09-24T06:24:38 --startdatetime 2016-09-24T06:30:19 --delay 1 --endMP 204:233291 --enddatetime 2016-09-24T07:16:33 --enforcementcount 0 &gt;&gt;C:\Users\stu\Documents\GitHub\eaglep3-reporting\EC\2016-09-24-refined-times.txt</v>
      </c>
      <c r="AI35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{"issue":{"subject":"","project_id":79,"tracker_id":40,"status_id":1,"priority_id":2,"assigned_to_id":23,"start_date":"2016-09-24","description":"","custom_fields":[{"id":1,"name":"Subdivision","value":"EC"},{"id":4,"name":"Milepost","value":"23.3291"},{"id":17,"name":"Train ID","value":"123-24"},{"id":16,"name":"Locomotive ID","value":"4042"},{"id":130,"name":"Impact","value":""},{"id":150,"name":"Time of Event (Mountain Time)","value":"07:16:33"},{"id":151,"name":"Denver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481</v>
      </c>
      <c r="B36" s="7">
        <v>4041</v>
      </c>
      <c r="C36" s="24" t="s">
        <v>106</v>
      </c>
      <c r="D36" s="24" t="s">
        <v>316</v>
      </c>
      <c r="E36" s="15">
        <v>42637.307500000003</v>
      </c>
      <c r="F36" s="15">
        <v>42637.310046296298</v>
      </c>
      <c r="G36" s="7">
        <v>1</v>
      </c>
      <c r="H36" s="15" t="s">
        <v>127</v>
      </c>
      <c r="I36" s="15">
        <v>42637.337418981479</v>
      </c>
      <c r="J36" s="7">
        <v>0</v>
      </c>
      <c r="K36" s="121" t="str">
        <f t="shared" si="0"/>
        <v>4041/4042</v>
      </c>
      <c r="L36" s="24" t="str">
        <f>VLOOKUP(A36,'Trips&amp;Operators'!$C$1:$E$10000,3,FALSE)</f>
        <v>DE LA ROSA</v>
      </c>
      <c r="M36" s="6">
        <f t="shared" si="1"/>
        <v>2.7372685181035195E-2</v>
      </c>
      <c r="N36" s="7">
        <f t="shared" si="18"/>
        <v>39.41666666069068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06:22:48-0600',mode:absolute,to:'2016-09-24 09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 t="shared" si="5"/>
        <v>N</v>
      </c>
      <c r="X36" s="168">
        <f t="shared" si="6"/>
        <v>1</v>
      </c>
      <c r="Y36" s="69">
        <f t="shared" si="7"/>
        <v>23.297699999999999</v>
      </c>
      <c r="Z36" s="69">
        <f t="shared" si="8"/>
        <v>1.54E-2</v>
      </c>
      <c r="AA36" s="69">
        <f t="shared" si="9"/>
        <v>23.282299999999999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0"/>
        <v>0124-24</v>
      </c>
      <c r="AE36" s="99" t="str">
        <f t="shared" si="11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36" s="96" t="str">
        <f t="shared" si="12"/>
        <v>"C:\Program Files (x86)\AstroGrep\AstroGrep.exe" /spath="%USERPROFILE%\AppData\Local\Temp\OnboardLogs" /stypes="app*4041*20160924*"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6"/>
        <v>"%USERPROFILE%\Documents\GitHub\eaglep3\Utilities\RefineRTDCRunTimes.py" --tripid 124-24 --locoid 4041 --swversion DE.1.0.7.0 --startMP 204:232977 --initTime 2016-09-24T07:22:48 --startdatetime 2016-09-24T07:26:28 --delay 1 --endMP 204:154 --enddatetime 2016-09-24T08:05:53 --enforcementcount 0 &gt;&gt;C:\Users\stu\Documents\GitHub\eaglep3-reporting\EC\2016-09-24-refined-times.txt</v>
      </c>
      <c r="AI36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{"issue":{"subject":"","project_id":79,"tracker_id":40,"status_id":1,"priority_id":2,"assigned_to_id":23,"start_date":"2016-09-24","description":"","custom_fields":[{"id":1,"name":"Subdivision","value":"EC"},{"id":4,"name":"Milepost","value":"0.0154"},{"id":17,"name":"Train ID","value":"124-24"},{"id":16,"name":"Locomotive ID","value":"4041"},{"id":130,"name":"Impact","value":""},{"id":150,"name":"Time of Event (Mountain Time)","value":"08:05:53"},{"id":151,"name":"Denver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477</v>
      </c>
      <c r="B37" s="7">
        <v>4018</v>
      </c>
      <c r="C37" s="24" t="s">
        <v>106</v>
      </c>
      <c r="D37" s="24" t="s">
        <v>266</v>
      </c>
      <c r="E37" s="15">
        <v>42637.278171296297</v>
      </c>
      <c r="F37" s="15">
        <v>42637.28162037037</v>
      </c>
      <c r="G37" s="7">
        <v>1</v>
      </c>
      <c r="H37" s="15" t="s">
        <v>243</v>
      </c>
      <c r="I37" s="15">
        <v>42637.306643518517</v>
      </c>
      <c r="J37" s="7">
        <v>0</v>
      </c>
      <c r="K37" s="121" t="str">
        <f t="shared" si="0"/>
        <v>4017/4018</v>
      </c>
      <c r="L37" s="24" t="str">
        <f>VLOOKUP(A37,'Trips&amp;Operators'!$C$1:$E$10000,3,FALSE)</f>
        <v>GEBRETEKLE</v>
      </c>
      <c r="M37" s="6">
        <f t="shared" si="1"/>
        <v>2.5023148147738539E-2</v>
      </c>
      <c r="N37" s="7">
        <f t="shared" si="18"/>
        <v>36.033333332743496</v>
      </c>
      <c r="O37" s="7"/>
      <c r="P37" s="7"/>
      <c r="Q37" s="25"/>
      <c r="R37" s="25"/>
      <c r="S37" s="37">
        <f t="shared" si="2"/>
        <v>1</v>
      </c>
      <c r="T37" s="52" t="str">
        <f t="shared" si="3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05:40:34-0600',mode:absolute,to:'2016-09-24 08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7" s="54" t="str">
        <f t="shared" si="5"/>
        <v>N</v>
      </c>
      <c r="X37" s="168">
        <f t="shared" si="6"/>
        <v>1</v>
      </c>
      <c r="Y37" s="69">
        <f t="shared" si="7"/>
        <v>4.8399999999999999E-2</v>
      </c>
      <c r="Z37" s="69">
        <f t="shared" si="8"/>
        <v>23.329699999999999</v>
      </c>
      <c r="AA37" s="69">
        <f t="shared" si="9"/>
        <v>23.281299999999998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0"/>
        <v>0125-24</v>
      </c>
      <c r="AE37" s="99" t="str">
        <f t="shared" si="11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37" s="96" t="str">
        <f t="shared" si="12"/>
        <v>"C:\Program Files (x86)\AstroGrep\AstroGrep.exe" /spath="%USERPROFILE%\AppData\Local\Temp\OnboardLogs" /stypes="app*4018*20160924*"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6"/>
        <v>"%USERPROFILE%\Documents\GitHub\eaglep3\Utilities\RefineRTDCRunTimes.py" --tripid 125-24 --locoid 4018 --swversion DE.1.0.7.0 --startMP 204:484 --initTime 2016-09-24T06:40:34 --startdatetime 2016-09-24T06:45:32 --delay 1 --endMP 204:233297 --enddatetime 2016-09-24T07:21:34 --enforcementcount 0 &gt;&gt;C:\Users\stu\Documents\GitHub\eaglep3-reporting\EC\2016-09-24-refined-times.txt</v>
      </c>
      <c r="AI3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{"issue":{"subject":"","project_id":79,"tracker_id":40,"status_id":1,"priority_id":2,"assigned_to_id":23,"start_date":"2016-09-24","description":"","custom_fields":[{"id":1,"name":"Subdivision","value":"EC"},{"id":4,"name":"Milepost","value":"23.3297"},{"id":17,"name":"Train ID","value":"125-24"},{"id":16,"name":"Locomotive ID","value":"4018"},{"id":130,"name":"Impact","value":""},{"id":150,"name":"Time of Event (Mountain Time)","value":"07:21:34"},{"id":151,"name":"Denver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483</v>
      </c>
      <c r="B38" s="7">
        <v>4017</v>
      </c>
      <c r="C38" s="24" t="s">
        <v>106</v>
      </c>
      <c r="D38" s="24" t="s">
        <v>265</v>
      </c>
      <c r="E38" s="15">
        <v>42637.316967592589</v>
      </c>
      <c r="F38" s="15">
        <v>42637.320416666669</v>
      </c>
      <c r="G38" s="7">
        <v>1</v>
      </c>
      <c r="H38" s="15" t="s">
        <v>217</v>
      </c>
      <c r="I38" s="15">
        <v>42637.348692129628</v>
      </c>
      <c r="J38" s="7">
        <v>0</v>
      </c>
      <c r="K38" s="121" t="str">
        <f t="shared" si="0"/>
        <v>4017/4018</v>
      </c>
      <c r="L38" s="24" t="str">
        <f>VLOOKUP(A38,'Trips&amp;Operators'!$C$1:$E$10000,3,FALSE)</f>
        <v>GEBRETEKLE</v>
      </c>
      <c r="M38" s="6">
        <f t="shared" si="1"/>
        <v>2.827546295884531E-2</v>
      </c>
      <c r="N38" s="7">
        <f t="shared" si="18"/>
        <v>40.716666660737246</v>
      </c>
      <c r="O38" s="7"/>
      <c r="P38" s="7"/>
      <c r="Q38" s="25"/>
      <c r="R38" s="25"/>
      <c r="S38" s="37">
        <f t="shared" si="2"/>
        <v>1</v>
      </c>
      <c r="T38" s="52" t="str">
        <f t="shared" si="3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06:36:26-0600',mode:absolute,to:'2016-09-24 09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8" s="54" t="str">
        <f t="shared" si="5"/>
        <v>N</v>
      </c>
      <c r="X38" s="168">
        <f t="shared" si="6"/>
        <v>1</v>
      </c>
      <c r="Y38" s="69">
        <f t="shared" si="7"/>
        <v>23.296299999999999</v>
      </c>
      <c r="Z38" s="69">
        <f t="shared" si="8"/>
        <v>1.5800000000000002E-2</v>
      </c>
      <c r="AA38" s="69">
        <f t="shared" si="9"/>
        <v>23.2805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0"/>
        <v>0126-24</v>
      </c>
      <c r="AE38" s="99" t="str">
        <f t="shared" si="11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38" s="96" t="str">
        <f t="shared" si="12"/>
        <v>"C:\Program Files (x86)\AstroGrep\AstroGrep.exe" /spath="%USERPROFILE%\AppData\Local\Temp\OnboardLogs" /stypes="app*4017*20160924*"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6"/>
        <v>"%USERPROFILE%\Documents\GitHub\eaglep3\Utilities\RefineRTDCRunTimes.py" --tripid 126-24 --locoid 4017 --swversion DE.1.0.7.0 --startMP 204:232963 --initTime 2016-09-24T07:36:26 --startdatetime 2016-09-24T07:41:24 --delay 1 --endMP 204:158 --enddatetime 2016-09-24T08:22:07 --enforcementcount 0 &gt;&gt;C:\Users\stu\Documents\GitHub\eaglep3-reporting\EC\2016-09-24-refined-times.txt</v>
      </c>
      <c r="AI38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{"issue":{"subject":"","project_id":79,"tracker_id":40,"status_id":1,"priority_id":2,"assigned_to_id":23,"start_date":"2016-09-24","description":"","custom_fields":[{"id":1,"name":"Subdivision","value":"EC"},{"id":4,"name":"Milepost","value":"0.0158"},{"id":17,"name":"Train ID","value":"126-24"},{"id":16,"name":"Locomotive ID","value":"4017"},{"id":130,"name":"Impact","value":""},{"id":150,"name":"Time of Event (Mountain Time)","value":"08:22:07"},{"id":151,"name":"Denver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479</v>
      </c>
      <c r="B39" s="7">
        <v>4009</v>
      </c>
      <c r="C39" s="24" t="s">
        <v>106</v>
      </c>
      <c r="D39" s="24" t="s">
        <v>231</v>
      </c>
      <c r="E39" s="15">
        <v>42637.290034722224</v>
      </c>
      <c r="F39" s="15">
        <v>42637.291886574072</v>
      </c>
      <c r="G39" s="7">
        <v>1</v>
      </c>
      <c r="H39" s="15" t="s">
        <v>323</v>
      </c>
      <c r="I39" s="15">
        <v>42637.317465277774</v>
      </c>
      <c r="J39" s="7">
        <v>0</v>
      </c>
      <c r="K39" s="121" t="str">
        <f t="shared" si="0"/>
        <v>4009/4010</v>
      </c>
      <c r="L39" s="24" t="str">
        <f>VLOOKUP(A39,'Trips&amp;Operators'!$C$1:$E$10000,3,FALSE)</f>
        <v>MAELZER</v>
      </c>
      <c r="M39" s="6">
        <f t="shared" si="1"/>
        <v>2.5578703702194616E-2</v>
      </c>
      <c r="N39" s="7">
        <f t="shared" si="18"/>
        <v>36.833333331160247</v>
      </c>
      <c r="O39" s="7"/>
      <c r="P39" s="7"/>
      <c r="Q39" s="25"/>
      <c r="R39" s="25"/>
      <c r="S39" s="37">
        <f t="shared" si="2"/>
        <v>1</v>
      </c>
      <c r="T39" s="52" t="str">
        <f t="shared" si="3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05:57:39-0600',mode:absolute,to:'2016-09-24 08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9" s="54" t="str">
        <f t="shared" si="5"/>
        <v>N</v>
      </c>
      <c r="X39" s="168">
        <f t="shared" si="6"/>
        <v>1</v>
      </c>
      <c r="Y39" s="69">
        <f t="shared" si="7"/>
        <v>4.5999999999999999E-2</v>
      </c>
      <c r="Z39" s="69">
        <f t="shared" si="8"/>
        <v>23.3306</v>
      </c>
      <c r="AA39" s="69">
        <f t="shared" si="9"/>
        <v>23.284600000000001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0"/>
        <v>0127-24</v>
      </c>
      <c r="AE39" s="99" t="str">
        <f t="shared" si="11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39" s="96" t="str">
        <f t="shared" si="12"/>
        <v>"C:\Program Files (x86)\AstroGrep\AstroGrep.exe" /spath="%USERPROFILE%\AppData\Local\Temp\OnboardLogs" /stypes="app*4009*20160924*"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6"/>
        <v>"%USERPROFILE%\Documents\GitHub\eaglep3\Utilities\RefineRTDCRunTimes.py" --tripid 127-24 --locoid 4009 --swversion DE.1.0.7.0 --startMP 204:460 --initTime 2016-09-24T06:57:39 --startdatetime 2016-09-24T07:00:19 --delay 1 --endMP 204:233306 --enddatetime 2016-09-24T07:37:09 --enforcementcount 0 &gt;&gt;C:\Users\stu\Documents\GitHub\eaglep3-reporting\EC\2016-09-24-refined-times.txt</v>
      </c>
      <c r="AI39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{"issue":{"subject":"","project_id":79,"tracker_id":40,"status_id":1,"priority_id":2,"assigned_to_id":23,"start_date":"2016-09-24","description":"","custom_fields":[{"id":1,"name":"Subdivision","value":"EC"},{"id":4,"name":"Milepost","value":"23.3306"},{"id":17,"name":"Train ID","value":"127-24"},{"id":16,"name":"Locomotive ID","value":"4009"},{"id":130,"name":"Impact","value":""},{"id":150,"name":"Time of Event (Mountain Time)","value":"07:37:09"},{"id":151,"name":"Denver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485</v>
      </c>
      <c r="B40" s="7">
        <v>4010</v>
      </c>
      <c r="C40" s="24" t="s">
        <v>106</v>
      </c>
      <c r="D40" s="24" t="s">
        <v>286</v>
      </c>
      <c r="E40" s="15">
        <v>42637.326921296299</v>
      </c>
      <c r="F40" s="15">
        <v>42637.330868055556</v>
      </c>
      <c r="G40" s="7">
        <v>1</v>
      </c>
      <c r="H40" s="15" t="s">
        <v>304</v>
      </c>
      <c r="I40" s="15">
        <v>42637.359155092592</v>
      </c>
      <c r="J40" s="7">
        <v>0</v>
      </c>
      <c r="K40" s="121" t="str">
        <f t="shared" si="0"/>
        <v>4009/4010</v>
      </c>
      <c r="L40" s="24" t="str">
        <f>VLOOKUP(A40,'Trips&amp;Operators'!$C$1:$E$10000,3,FALSE)</f>
        <v>MAELZER</v>
      </c>
      <c r="M40" s="6">
        <f t="shared" si="1"/>
        <v>2.8287037035624962E-2</v>
      </c>
      <c r="N40" s="7">
        <f t="shared" si="18"/>
        <v>40.733333331299946</v>
      </c>
      <c r="O40" s="7"/>
      <c r="P40" s="7"/>
      <c r="Q40" s="25"/>
      <c r="R40" s="25"/>
      <c r="S40" s="37">
        <f t="shared" si="2"/>
        <v>1</v>
      </c>
      <c r="T40" s="52" t="str">
        <f t="shared" si="3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06:50:46-0600',mode:absolute,to:'2016-09-24 09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0" s="54" t="str">
        <f t="shared" si="5"/>
        <v>N</v>
      </c>
      <c r="X40" s="168">
        <f t="shared" si="6"/>
        <v>1</v>
      </c>
      <c r="Y40" s="69">
        <f t="shared" si="7"/>
        <v>23.299299999999999</v>
      </c>
      <c r="Z40" s="69">
        <f t="shared" si="8"/>
        <v>1.6899999999999998E-2</v>
      </c>
      <c r="AA40" s="69">
        <f t="shared" si="9"/>
        <v>23.282399999999999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0"/>
        <v>0128-24</v>
      </c>
      <c r="AE40" s="99" t="str">
        <f t="shared" si="11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40" s="96" t="str">
        <f t="shared" si="12"/>
        <v>"C:\Program Files (x86)\AstroGrep\AstroGrep.exe" /spath="%USERPROFILE%\AppData\Local\Temp\OnboardLogs" /stypes="app*4010*20160924*"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6"/>
        <v>"%USERPROFILE%\Documents\GitHub\eaglep3\Utilities\RefineRTDCRunTimes.py" --tripid 128-24 --locoid 4010 --swversion DE.1.0.7.0 --startMP 204:232993 --initTime 2016-09-24T07:50:46 --startdatetime 2016-09-24T07:56:27 --delay 1 --endMP 204:169 --enddatetime 2016-09-24T08:37:11 --enforcementcount 0 &gt;&gt;C:\Users\stu\Documents\GitHub\eaglep3-reporting\EC\2016-09-24-refined-times.txt</v>
      </c>
      <c r="AI40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{"issue":{"subject":"","project_id":79,"tracker_id":40,"status_id":1,"priority_id":2,"assigned_to_id":23,"start_date":"2016-09-24","description":"","custom_fields":[{"id":1,"name":"Subdivision","value":"EC"},{"id":4,"name":"Milepost","value":"0.0169"},{"id":17,"name":"Train ID","value":"128-24"},{"id":16,"name":"Locomotive ID","value":"4010"},{"id":130,"name":"Impact","value":""},{"id":150,"name":"Time of Event (Mountain Time)","value":"08:37:11"},{"id":151,"name":"Denver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440</v>
      </c>
      <c r="B41" s="7">
        <v>4014</v>
      </c>
      <c r="C41" s="24" t="s">
        <v>106</v>
      </c>
      <c r="D41" s="24" t="s">
        <v>614</v>
      </c>
      <c r="E41" s="15">
        <v>42637.299629629626</v>
      </c>
      <c r="F41" s="15">
        <v>42637.302407407406</v>
      </c>
      <c r="G41" s="7">
        <v>1</v>
      </c>
      <c r="H41" s="15" t="s">
        <v>615</v>
      </c>
      <c r="I41" s="15">
        <v>42637.330648148149</v>
      </c>
      <c r="J41" s="7">
        <v>0</v>
      </c>
      <c r="K41" s="121" t="str">
        <f t="shared" si="0"/>
        <v>4013/4014</v>
      </c>
      <c r="L41" s="24" t="str">
        <f>VLOOKUP(A41,'Trips&amp;Operators'!$C$1:$E$10000,3,FALSE)</f>
        <v>STRICKLAND</v>
      </c>
      <c r="M41" s="6">
        <f t="shared" si="1"/>
        <v>2.8240740743058268E-2</v>
      </c>
      <c r="N41" s="7">
        <f t="shared" si="18"/>
        <v>40.666666670003906</v>
      </c>
      <c r="O41" s="7"/>
      <c r="P41" s="7"/>
      <c r="Q41" s="25"/>
      <c r="R41" s="25"/>
      <c r="S41" s="37">
        <f t="shared" si="2"/>
        <v>1</v>
      </c>
      <c r="T41" s="52" t="str">
        <f t="shared" si="3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06:11:28-0600',mode:absolute,to:'2016-09-24 08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1" s="54" t="str">
        <f t="shared" si="5"/>
        <v>N</v>
      </c>
      <c r="X41" s="168">
        <f t="shared" si="6"/>
        <v>1</v>
      </c>
      <c r="Y41" s="69">
        <f t="shared" si="7"/>
        <v>4.3700000000000003E-2</v>
      </c>
      <c r="Z41" s="69">
        <f t="shared" si="8"/>
        <v>23.3172</v>
      </c>
      <c r="AA41" s="69">
        <f t="shared" si="9"/>
        <v>23.273499999999999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0"/>
        <v>0129-24</v>
      </c>
      <c r="AE41" s="99" t="str">
        <f t="shared" si="11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41" s="96" t="str">
        <f t="shared" si="12"/>
        <v>"C:\Program Files (x86)\AstroGrep\AstroGrep.exe" /spath="%USERPROFILE%\AppData\Local\Temp\OnboardLogs" /stypes="app*4014*20160924*"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6"/>
        <v>"%USERPROFILE%\Documents\GitHub\eaglep3\Utilities\RefineRTDCRunTimes.py" --tripid 129-24 --locoid 4014 --swversion DE.1.0.7.0 --startMP 204:437 --initTime 2016-09-24T07:11:28 --startdatetime 2016-09-24T07:15:28 --delay 1 --endMP 204:233172 --enddatetime 2016-09-24T07:56:08 --enforcementcount 0 &gt;&gt;C:\Users\stu\Documents\GitHub\eaglep3-reporting\EC\2016-09-24-refined-times.txt</v>
      </c>
      <c r="AI41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{"issue":{"subject":"","project_id":79,"tracker_id":40,"status_id":1,"priority_id":2,"assigned_to_id":23,"start_date":"2016-09-24","description":"","custom_fields":[{"id":1,"name":"Subdivision","value":"EC"},{"id":4,"name":"Milepost","value":"23.3172"},{"id":17,"name":"Train ID","value":"129-24"},{"id":16,"name":"Locomotive ID","value":"4014"},{"id":130,"name":"Impact","value":""},{"id":150,"name":"Time of Event (Mountain Time)","value":"07:56:08"},{"id":151,"name":"Denver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487</v>
      </c>
      <c r="B42" s="7">
        <v>4013</v>
      </c>
      <c r="C42" s="24" t="s">
        <v>106</v>
      </c>
      <c r="D42" s="24" t="s">
        <v>616</v>
      </c>
      <c r="E42" s="15">
        <v>42637.340011574073</v>
      </c>
      <c r="F42" s="15">
        <v>42637.342523148145</v>
      </c>
      <c r="G42" s="7">
        <v>1</v>
      </c>
      <c r="H42" s="15" t="s">
        <v>402</v>
      </c>
      <c r="I42" s="15">
        <v>42637.372152777774</v>
      </c>
      <c r="J42" s="7">
        <v>0</v>
      </c>
      <c r="K42" s="121" t="str">
        <f t="shared" si="0"/>
        <v>4013/4014</v>
      </c>
      <c r="L42" s="24" t="str">
        <f>VLOOKUP(A42,'Trips&amp;Operators'!$C$1:$E$10000,3,FALSE)</f>
        <v>STRICKLAND</v>
      </c>
      <c r="M42" s="6">
        <f t="shared" si="1"/>
        <v>2.9629629629198462E-2</v>
      </c>
      <c r="N42" s="7">
        <f t="shared" si="18"/>
        <v>42.666666666045785</v>
      </c>
      <c r="O42" s="7"/>
      <c r="P42" s="7"/>
      <c r="Q42" s="25"/>
      <c r="R42" s="25"/>
      <c r="S42" s="37">
        <f t="shared" si="2"/>
        <v>1</v>
      </c>
      <c r="T42" s="52" t="str">
        <f t="shared" si="3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07:09:37-0600',mode:absolute,to:'2016-09-24 09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2" s="54" t="str">
        <f t="shared" si="5"/>
        <v>N</v>
      </c>
      <c r="X42" s="168">
        <f t="shared" si="6"/>
        <v>1</v>
      </c>
      <c r="Y42" s="69">
        <f t="shared" si="7"/>
        <v>23.283999999999999</v>
      </c>
      <c r="Z42" s="69">
        <f t="shared" si="8"/>
        <v>1.6500000000000001E-2</v>
      </c>
      <c r="AA42" s="69">
        <f t="shared" si="9"/>
        <v>23.267499999999998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0"/>
        <v>0130-24</v>
      </c>
      <c r="AE42" s="99" t="str">
        <f t="shared" si="11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42" s="96" t="str">
        <f t="shared" si="12"/>
        <v>"C:\Program Files (x86)\AstroGrep\AstroGrep.exe" /spath="%USERPROFILE%\AppData\Local\Temp\OnboardLogs" /stypes="app*4013*20160924*"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6"/>
        <v>"%USERPROFILE%\Documents\GitHub\eaglep3\Utilities\RefineRTDCRunTimes.py" --tripid 130-24 --locoid 4013 --swversion DE.1.0.7.0 --startMP 204:232840 --initTime 2016-09-24T08:09:37 --startdatetime 2016-09-24T08:13:14 --delay 1 --endMP 204:165 --enddatetime 2016-09-24T08:55:54 --enforcementcount 0 &gt;&gt;C:\Users\stu\Documents\GitHub\eaglep3-reporting\EC\2016-09-24-refined-times.txt</v>
      </c>
      <c r="AI42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{"issue":{"subject":"","project_id":79,"tracker_id":40,"status_id":1,"priority_id":2,"assigned_to_id":23,"start_date":"2016-09-24","description":"","custom_fields":[{"id":1,"name":"Subdivision","value":"EC"},{"id":4,"name":"Milepost","value":"0.0165"},{"id":17,"name":"Train ID","value":"130-24"},{"id":16,"name":"Locomotive ID","value":"4013"},{"id":130,"name":"Impact","value":""},{"id":150,"name":"Time of Event (Mountain Time)","value":"08:55:54"},{"id":151,"name":"Denver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482</v>
      </c>
      <c r="B43" s="7">
        <v>4003</v>
      </c>
      <c r="C43" s="24" t="s">
        <v>106</v>
      </c>
      <c r="D43" s="24" t="s">
        <v>231</v>
      </c>
      <c r="E43" s="15">
        <v>42637.311122685183</v>
      </c>
      <c r="F43" s="15">
        <v>42637.312835648147</v>
      </c>
      <c r="G43" s="7">
        <v>1</v>
      </c>
      <c r="H43" s="15" t="s">
        <v>267</v>
      </c>
      <c r="I43" s="15">
        <v>42637.339282407411</v>
      </c>
      <c r="J43" s="7">
        <v>0</v>
      </c>
      <c r="K43" s="121" t="str">
        <f t="shared" si="0"/>
        <v>4003/4004</v>
      </c>
      <c r="L43" s="24" t="str">
        <f>VLOOKUP(A43,'Trips&amp;Operators'!$C$1:$E$10000,3,FALSE)</f>
        <v>MALAVE</v>
      </c>
      <c r="M43" s="6">
        <f t="shared" si="1"/>
        <v>2.644675926421769E-2</v>
      </c>
      <c r="N43" s="7">
        <f t="shared" si="18"/>
        <v>38.083333340473473</v>
      </c>
      <c r="O43" s="7"/>
      <c r="P43" s="7"/>
      <c r="Q43" s="25"/>
      <c r="R43" s="25"/>
      <c r="S43" s="37">
        <f t="shared" si="2"/>
        <v>1</v>
      </c>
      <c r="T43" s="52" t="str">
        <f t="shared" si="3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06:28:01-0600',mode:absolute,to:'2016-09-24 09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3" s="54" t="str">
        <f t="shared" si="5"/>
        <v>N</v>
      </c>
      <c r="X43" s="168">
        <f t="shared" si="6"/>
        <v>1</v>
      </c>
      <c r="Y43" s="69">
        <f t="shared" si="7"/>
        <v>4.5999999999999999E-2</v>
      </c>
      <c r="Z43" s="69">
        <f t="shared" si="8"/>
        <v>23.328700000000001</v>
      </c>
      <c r="AA43" s="69">
        <f t="shared" si="9"/>
        <v>23.282700000000002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0"/>
        <v>0131-24</v>
      </c>
      <c r="AE43" s="99" t="str">
        <f t="shared" si="11"/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AF43" s="96" t="str">
        <f t="shared" si="12"/>
        <v>"C:\Program Files (x86)\AstroGrep\AstroGrep.exe" /spath="%USERPROFILE%\AppData\Local\Temp\OnboardLogs" /stypes="app*4003*20160924*"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6"/>
        <v>"%USERPROFILE%\Documents\GitHub\eaglep3\Utilities\RefineRTDCRunTimes.py" --tripid 131-24 --locoid 4003 --swversion DE.1.0.7.0 --startMP 204:460 --initTime 2016-09-24T07:28:01 --startdatetime 2016-09-24T07:30:29 --delay 1 --endMP 204:233287 --enddatetime 2016-09-24T08:08:34 --enforcementcount 0 &gt;&gt;C:\Users\stu\Documents\GitHub\eaglep3-reporting\EC\2016-09-24-refined-times.txt</v>
      </c>
      <c r="AI43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{"issue":{"subject":"","project_id":79,"tracker_id":40,"status_id":1,"priority_id":2,"assigned_to_id":23,"start_date":"2016-09-24","description":"","custom_fields":[{"id":1,"name":"Subdivision","value":"EC"},{"id":4,"name":"Milepost","value":"23.3287"},{"id":17,"name":"Train ID","value":"131-24"},{"id":16,"name":"Locomotive ID","value":"4003"},{"id":130,"name":"Impact","value":""},{"id":150,"name":"Time of Event (Mountain Time)","value":"08:08:34"},{"id":151,"name":"Denver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441</v>
      </c>
      <c r="B44" s="7">
        <v>4004</v>
      </c>
      <c r="C44" s="24" t="s">
        <v>106</v>
      </c>
      <c r="D44" s="24" t="s">
        <v>617</v>
      </c>
      <c r="E44" s="15">
        <v>42637.349942129629</v>
      </c>
      <c r="F44" s="15">
        <v>42637.351712962962</v>
      </c>
      <c r="G44" s="7">
        <v>2</v>
      </c>
      <c r="H44" s="15" t="s">
        <v>220</v>
      </c>
      <c r="I44" s="15">
        <v>42637.380509259259</v>
      </c>
      <c r="J44" s="7">
        <v>0</v>
      </c>
      <c r="K44" s="121" t="str">
        <f t="shared" si="0"/>
        <v>4003/4004</v>
      </c>
      <c r="L44" s="24" t="str">
        <f>VLOOKUP(A44,'Trips&amp;Operators'!$C$1:$E$10000,3,FALSE)</f>
        <v>MALAVE</v>
      </c>
      <c r="M44" s="6">
        <f t="shared" si="1"/>
        <v>2.8796296297514345E-2</v>
      </c>
      <c r="N44" s="7">
        <f t="shared" si="18"/>
        <v>41.466666668420658</v>
      </c>
      <c r="O44" s="7"/>
      <c r="P44" s="7"/>
      <c r="Q44" s="25"/>
      <c r="R44" s="25"/>
      <c r="S44" s="37">
        <f t="shared" si="2"/>
        <v>1</v>
      </c>
      <c r="T44" s="52" t="str">
        <f t="shared" si="3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https://search-rtdc-monitor-bjffxe2xuh6vdkpspy63sjmuny.us-east-1.es.amazonaws.com/_plugin/kibana/#/discover/Steve-Slow-Train-Analysis-(2080s-and-2083s)?_g=(refreshInterval:(display:Off,section:0,value:0),time:(from:'2016-09-24 07:23:55-0600',mode:absolute,to:'2016-09-24 10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44" s="54" t="str">
        <f t="shared" si="5"/>
        <v>N</v>
      </c>
      <c r="X44" s="168">
        <f t="shared" si="6"/>
        <v>1</v>
      </c>
      <c r="Y44" s="69">
        <f t="shared" si="7"/>
        <v>23.295999999999999</v>
      </c>
      <c r="Z44" s="69">
        <f t="shared" si="8"/>
        <v>1.4999999999999999E-2</v>
      </c>
      <c r="AA44" s="69">
        <f t="shared" si="9"/>
        <v>23.280999999999999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0"/>
        <v>0132-24</v>
      </c>
      <c r="AE44" s="99" t="str">
        <f t="shared" si="11"/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AF44" s="96" t="str">
        <f t="shared" si="12"/>
        <v>"C:\Program Files (x86)\AstroGrep\AstroGrep.exe" /spath="%USERPROFILE%\AppData\Local\Temp\OnboardLogs" /stypes="app*4004*20160924*"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6"/>
        <v>"%USERPROFILE%\Documents\GitHub\eaglep3\Utilities\RefineRTDCRunTimes.py" --tripid 132-24 --locoid 4004 --swversion DE.1.0.7.0 --startMP 204:232960 --initTime 2016-09-24T08:23:55 --startdatetime 2016-09-24T08:26:28 --delay 2 --endMP 204:150 --enddatetime 2016-09-24T09:07:56 --enforcementcount 0 &gt;&gt;C:\Users\stu\Documents\GitHub\eaglep3-reporting\EC\2016-09-24-refined-times.txt</v>
      </c>
      <c r="AI44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{"issue":{"subject":"","project_id":79,"tracker_id":40,"status_id":1,"priority_id":2,"assigned_to_id":23,"start_date":"2016-09-24","description":"","custom_fields":[{"id":1,"name":"Subdivision","value":"EC"},{"id":4,"name":"Milepost","value":"0.015"},{"id":17,"name":"Train ID","value":"132-24"},{"id":16,"name":"Locomotive ID","value":"4004"},{"id":130,"name":"Impact","value":""},{"id":150,"name":"Time of Event (Mountain Time)","value":"09:07:56"},{"id":151,"name":"Denver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484</v>
      </c>
      <c r="B45" s="7">
        <v>4053</v>
      </c>
      <c r="C45" s="24" t="s">
        <v>106</v>
      </c>
      <c r="D45" s="24" t="s">
        <v>618</v>
      </c>
      <c r="E45" s="15">
        <v>42637.318784722222</v>
      </c>
      <c r="F45" s="15">
        <v>42637.323159722226</v>
      </c>
      <c r="G45" s="7">
        <v>1</v>
      </c>
      <c r="H45" s="15" t="s">
        <v>403</v>
      </c>
      <c r="I45" s="15">
        <v>42637.350046296298</v>
      </c>
      <c r="J45" s="7">
        <v>0</v>
      </c>
      <c r="K45" s="121" t="str">
        <f t="shared" ref="K45:K76" si="19">IF(ISEVEN(B45),(B45-1)&amp;"/"&amp;B45,B45&amp;"/"&amp;(B45+1))</f>
        <v>4053/4054</v>
      </c>
      <c r="L45" s="24" t="str">
        <f>VLOOKUP(A45,'Trips&amp;Operators'!$C$1:$E$10000,3,FALSE)</f>
        <v>ACKERMAN</v>
      </c>
      <c r="M45" s="6">
        <f t="shared" ref="M45:M76" si="20">I45-F45</f>
        <v>2.6886574072705116E-2</v>
      </c>
      <c r="N45" s="7">
        <f t="shared" si="18"/>
        <v>38.716666664695367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ref="T45:T76" si="22"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https://search-rtdc-monitor-bjffxe2xuh6vdkpspy63sjmuny.us-east-1.es.amazonaws.com/_plugin/kibana/#/discover/Steve-Slow-Train-Analysis-(2080s-and-2083s)?_g=(refreshInterval:(display:Off,section:0,value:0),time:(from:'2016-09-24 06:39:03-0600',mode:absolute,to:'2016-09-24 09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45" s="54" t="str">
        <f t="shared" ref="W45:W76" si="24">IF(AA45&lt;IF(AG45="EC",23,5.65),"Y","N")</f>
        <v>N</v>
      </c>
      <c r="X45" s="168">
        <f t="shared" ref="X45:X76" si="25">VALUE(LEFT(AD45,4))-VALUE(LEFT(AD44,4))</f>
        <v>1</v>
      </c>
      <c r="Y45" s="69">
        <f t="shared" ref="Y45:Y76" si="26">RIGHT(D45,LEN(D45)-4)/10000</f>
        <v>4.8599999999999997E-2</v>
      </c>
      <c r="Z45" s="69">
        <f t="shared" ref="Z45:Z76" si="27">RIGHT(H45,LEN(H45)-4)/10000</f>
        <v>23.330100000000002</v>
      </c>
      <c r="AA45" s="69">
        <f t="shared" ref="AA45:AA76" si="28">ABS(Z45-Y45)</f>
        <v>23.281500000000001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29">IF(LEN(A45)=6,"0"&amp;A45,A45)</f>
        <v>0133-24</v>
      </c>
      <c r="AE45" s="99" t="str">
        <f t="shared" ref="AE45:AE76" si="30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45" s="96" t="str">
        <f t="shared" ref="AF45:AF76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/stypes="app*4053*20160924*" /stext=" 14:.+((SYSTEM_STATE.+slice.+state.+changed )|(ment ac)|(system.+state.+changed )|(\|lc)|(penalty)|(\[timeout)|(PRM\|1\|D)|(kpr)|(kdp))" /e /r /s</v>
      </c>
      <c r="AG45" s="1" t="str">
        <f t="shared" ref="AG45:AG76" si="32">IFERROR(IF(VALUE(LEFT(AD45,2))&lt;=2,"EC",IF(OR(VALUE(LEFT(AD45,2))=8,VALUE(LEFT(AD45,2))=18),"NW","Other")),"Other")</f>
        <v>EC</v>
      </c>
      <c r="AH45" s="100" t="str">
        <f t="shared" si="16"/>
        <v>"%USERPROFILE%\Documents\GitHub\eaglep3\Utilities\RefineRTDCRunTimes.py" --tripid 133-24 --locoid 4053 --swversion DE.1.0.7.0 --startMP 204:486 --initTime 2016-09-24T07:39:03 --startdatetime 2016-09-24T07:45:21 --delay 1 --endMP 204:233301 --enddatetime 2016-09-24T08:24:04 --enforcementcount 0 &gt;&gt;C:\Users\stu\Documents\GitHub\eaglep3-reporting\EC\2016-09-24-refined-times.txt</v>
      </c>
      <c r="AI45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{"issue":{"subject":"","project_id":79,"tracker_id":40,"status_id":1,"priority_id":2,"assigned_to_id":23,"start_date":"2016-09-24","description":"","custom_fields":[{"id":1,"name":"Subdivision","value":"EC"},{"id":4,"name":"Milepost","value":"23.3301"},{"id":17,"name":"Train ID","value":"133-24"},{"id":16,"name":"Locomotive ID","value":"4053"},{"id":130,"name":"Impact","value":""},{"id":150,"name":"Time of Event (Mountain Time)","value":"08:24:04"},{"id":151,"name":"Denver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490</v>
      </c>
      <c r="B46" s="7">
        <v>4054</v>
      </c>
      <c r="C46" s="24" t="s">
        <v>106</v>
      </c>
      <c r="D46" s="24" t="s">
        <v>619</v>
      </c>
      <c r="E46" s="15">
        <v>42637.356712962966</v>
      </c>
      <c r="F46" s="15">
        <v>42637.362280092595</v>
      </c>
      <c r="G46" s="7">
        <v>1</v>
      </c>
      <c r="H46" s="15" t="s">
        <v>222</v>
      </c>
      <c r="I46" s="15">
        <v>42637.390011574076</v>
      </c>
      <c r="J46" s="7">
        <v>0</v>
      </c>
      <c r="K46" s="121" t="str">
        <f t="shared" si="19"/>
        <v>4053/4054</v>
      </c>
      <c r="L46" s="24" t="str">
        <f>VLOOKUP(A46,'Trips&amp;Operators'!$C$1:$E$10000,3,FALSE)</f>
        <v>ACKERMAN</v>
      </c>
      <c r="M46" s="6">
        <f t="shared" si="20"/>
        <v>2.7731481481168885E-2</v>
      </c>
      <c r="N46" s="7">
        <f t="shared" si="18"/>
        <v>39.933333332883194</v>
      </c>
      <c r="O46" s="7"/>
      <c r="P46" s="7"/>
      <c r="Q46" s="25"/>
      <c r="R46" s="25"/>
      <c r="S46" s="37">
        <f t="shared" si="21"/>
        <v>1</v>
      </c>
      <c r="T46" s="52" t="str">
        <f t="shared" si="22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07:33:40-0600',mode:absolute,to:'2016-09-24 10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6" s="54" t="str">
        <f t="shared" si="24"/>
        <v>N</v>
      </c>
      <c r="X46" s="168">
        <f t="shared" si="25"/>
        <v>1</v>
      </c>
      <c r="Y46" s="69">
        <f t="shared" si="26"/>
        <v>23.298200000000001</v>
      </c>
      <c r="Z46" s="69">
        <f t="shared" si="27"/>
        <v>1.52E-2</v>
      </c>
      <c r="AA46" s="69">
        <f t="shared" si="28"/>
        <v>23.283000000000001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29"/>
        <v>0134-24</v>
      </c>
      <c r="AE46" s="99" t="str">
        <f t="shared" si="30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46" s="96" t="str">
        <f t="shared" si="31"/>
        <v>"C:\Program Files (x86)\AstroGrep\AstroGrep.exe" /spath="%USERPROFILE%\AppData\Local\Temp\OnboardLogs" /stypes="app*4054*20160924*" /stext=" 15:.+((SYSTEM_STATE.+slice.+state.+changed )|(ment ac)|(system.+state.+changed )|(\|lc)|(penalty)|(\[timeout)|(PRM\|1\|D)|(kpr)|(kdp))" /e /r /s</v>
      </c>
      <c r="AG46" s="1" t="str">
        <f t="shared" si="32"/>
        <v>EC</v>
      </c>
      <c r="AH46" s="100" t="str">
        <f t="shared" si="16"/>
        <v>"%USERPROFILE%\Documents\GitHub\eaglep3\Utilities\RefineRTDCRunTimes.py" --tripid 134-24 --locoid 4054 --swversion DE.1.0.7.0 --startMP 204:232982 --initTime 2016-09-24T08:33:40 --startdatetime 2016-09-24T08:41:41 --delay 1 --endMP 204:152 --enddatetime 2016-09-24T09:21:37 --enforcementcount 0 &gt;&gt;C:\Users\stu\Documents\GitHub\eaglep3-reporting\EC\2016-09-24-refined-times.txt</v>
      </c>
      <c r="AI46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{"issue":{"subject":"","project_id":79,"tracker_id":40,"status_id":1,"priority_id":2,"assigned_to_id":23,"start_date":"2016-09-24","description":"","custom_fields":[{"id":1,"name":"Subdivision","value":"EC"},{"id":4,"name":"Milepost","value":"0.0152"},{"id":17,"name":"Train ID","value":"134-24"},{"id":16,"name":"Locomotive ID","value":"4054"},{"id":130,"name":"Impact","value":""},{"id":150,"name":"Time of Event (Mountain Time)","value":"09:21:37"},{"id":151,"name":"Denver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486</v>
      </c>
      <c r="B47" s="7">
        <v>4007</v>
      </c>
      <c r="C47" s="24" t="s">
        <v>106</v>
      </c>
      <c r="D47" s="24" t="s">
        <v>614</v>
      </c>
      <c r="E47" s="15">
        <v>42637.329328703701</v>
      </c>
      <c r="F47" s="15">
        <v>42637.333483796298</v>
      </c>
      <c r="G47" s="7">
        <v>0</v>
      </c>
      <c r="H47" s="15" t="s">
        <v>620</v>
      </c>
      <c r="I47" s="15">
        <v>42637.360659722224</v>
      </c>
      <c r="J47" s="7">
        <v>0</v>
      </c>
      <c r="K47" s="121" t="str">
        <f t="shared" si="19"/>
        <v>4007/4008</v>
      </c>
      <c r="L47" s="24" t="str">
        <f>VLOOKUP(A47,'Trips&amp;Operators'!$C$1:$E$10000,3,FALSE)</f>
        <v>DAVIS</v>
      </c>
      <c r="M47" s="6">
        <f t="shared" si="20"/>
        <v>2.7175925926712807E-2</v>
      </c>
      <c r="N47" s="7">
        <f t="shared" si="18"/>
        <v>39.133333334466442</v>
      </c>
      <c r="O47" s="7"/>
      <c r="P47" s="7"/>
      <c r="Q47" s="25"/>
      <c r="R47" s="25"/>
      <c r="S47" s="37">
        <f t="shared" si="21"/>
        <v>1</v>
      </c>
      <c r="T47" s="52" t="str">
        <f t="shared" si="22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06:54:14-0600',mode:absolute,to:'2016-09-24 09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47" s="54" t="str">
        <f t="shared" si="24"/>
        <v>N</v>
      </c>
      <c r="X47" s="168">
        <f t="shared" si="25"/>
        <v>1</v>
      </c>
      <c r="Y47" s="69">
        <f t="shared" si="26"/>
        <v>4.3700000000000003E-2</v>
      </c>
      <c r="Z47" s="69">
        <f t="shared" si="27"/>
        <v>23.3308</v>
      </c>
      <c r="AA47" s="69">
        <f t="shared" si="28"/>
        <v>23.287099999999999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29"/>
        <v>0135-24</v>
      </c>
      <c r="AE47" s="99" t="str">
        <f t="shared" si="30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47" s="96" t="str">
        <f t="shared" si="31"/>
        <v>"C:\Program Files (x86)\AstroGrep\AstroGrep.exe" /spath="%USERPROFILE%\AppData\Local\Temp\OnboardLogs" /stypes="app*4007*20160924*" /stext=" 14:.+((SYSTEM_STATE.+slice.+state.+changed )|(ment ac)|(system.+state.+changed )|(\|lc)|(penalty)|(\[timeout)|(PRM\|1\|D)|(kpr)|(kdp))" /e /r /s</v>
      </c>
      <c r="AG47" s="1" t="str">
        <f t="shared" si="32"/>
        <v>EC</v>
      </c>
      <c r="AH47" s="100" t="str">
        <f t="shared" si="16"/>
        <v>"%USERPROFILE%\Documents\GitHub\eaglep3\Utilities\RefineRTDCRunTimes.py" --tripid 135-24 --locoid 4007 --swversion DE.1.0.7.0 --startMP 204:437 --initTime 2016-09-24T07:54:14 --startdatetime 2016-09-24T08:00:13 --delay 0 --endMP 204:233308 --enddatetime 2016-09-24T08:39:21 --enforcementcount 0 &gt;&gt;C:\Users\stu\Documents\GitHub\eaglep3-reporting\EC\2016-09-24-refined-times.txt</v>
      </c>
      <c r="AI4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{"issue":{"subject":"","project_id":79,"tracker_id":40,"status_id":1,"priority_id":2,"assigned_to_id":23,"start_date":"2016-09-24","description":"","custom_fields":[{"id":1,"name":"Subdivision","value":"EC"},{"id":4,"name":"Milepost","value":"23.3308"},{"id":17,"name":"Train ID","value":"135-24"},{"id":16,"name":"Locomotive ID","value":"4007"},{"id":130,"name":"Impact","value":""},{"id":150,"name":"Time of Event (Mountain Time)","value":"08:39:21"},{"id":151,"name":"Denver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492</v>
      </c>
      <c r="B48" s="7">
        <v>4008</v>
      </c>
      <c r="C48" s="24" t="s">
        <v>106</v>
      </c>
      <c r="D48" s="24" t="s">
        <v>413</v>
      </c>
      <c r="E48" s="15">
        <v>42637.367326388892</v>
      </c>
      <c r="F48" s="15">
        <v>42637.372384259259</v>
      </c>
      <c r="G48" s="7">
        <v>1</v>
      </c>
      <c r="H48" s="15" t="s">
        <v>259</v>
      </c>
      <c r="I48" s="15">
        <v>42637.400462962964</v>
      </c>
      <c r="J48" s="7">
        <v>0</v>
      </c>
      <c r="K48" s="121" t="str">
        <f t="shared" si="19"/>
        <v>4007/4008</v>
      </c>
      <c r="L48" s="24" t="str">
        <f>VLOOKUP(A48,'Trips&amp;Operators'!$C$1:$E$10000,3,FALSE)</f>
        <v>DAVIS</v>
      </c>
      <c r="M48" s="6">
        <f t="shared" si="20"/>
        <v>2.8078703704522923E-2</v>
      </c>
      <c r="N48" s="7">
        <f t="shared" si="18"/>
        <v>40.433333334513009</v>
      </c>
      <c r="O48" s="7"/>
      <c r="P48" s="7"/>
      <c r="Q48" s="25"/>
      <c r="R48" s="25"/>
      <c r="S48" s="37">
        <f t="shared" si="21"/>
        <v>1</v>
      </c>
      <c r="T48" s="52" t="str">
        <f t="shared" si="22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07:48:57-0600',mode:absolute,to:'2016-09-24 10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48" s="54" t="str">
        <f t="shared" si="24"/>
        <v>N</v>
      </c>
      <c r="X48" s="168">
        <f t="shared" si="25"/>
        <v>1</v>
      </c>
      <c r="Y48" s="69">
        <f t="shared" si="26"/>
        <v>23.2989</v>
      </c>
      <c r="Z48" s="69">
        <f t="shared" si="27"/>
        <v>1.3599999999999999E-2</v>
      </c>
      <c r="AA48" s="69">
        <f t="shared" si="28"/>
        <v>23.285299999999999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29"/>
        <v>0136-24</v>
      </c>
      <c r="AE48" s="99" t="str">
        <f t="shared" si="30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48" s="96" t="str">
        <f t="shared" si="31"/>
        <v>"C:\Program Files (x86)\AstroGrep\AstroGrep.exe" /spath="%USERPROFILE%\AppData\Local\Temp\OnboardLogs" /stypes="app*4008*20160924*" /stext=" 15:.+((SYSTEM_STATE.+slice.+state.+changed )|(ment ac)|(system.+state.+changed )|(\|lc)|(penalty)|(\[timeout)|(PRM\|1\|D)|(kpr)|(kdp))" /e /r /s</v>
      </c>
      <c r="AG48" s="1" t="str">
        <f t="shared" si="32"/>
        <v>EC</v>
      </c>
      <c r="AH48" s="100" t="str">
        <f t="shared" si="16"/>
        <v>"%USERPROFILE%\Documents\GitHub\eaglep3\Utilities\RefineRTDCRunTimes.py" --tripid 136-24 --locoid 4008 --swversion DE.1.0.7.0 --startMP 204:232989 --initTime 2016-09-24T08:48:57 --startdatetime 2016-09-24T08:56:14 --delay 1 --endMP 204:136 --enddatetime 2016-09-24T09:36:40 --enforcementcount 0 &gt;&gt;C:\Users\stu\Documents\GitHub\eaglep3-reporting\EC\2016-09-24-refined-times.txt</v>
      </c>
      <c r="AI48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{"issue":{"subject":"","project_id":79,"tracker_id":40,"status_id":1,"priority_id":2,"assigned_to_id":23,"start_date":"2016-09-24","description":"","custom_fields":[{"id":1,"name":"Subdivision","value":"EC"},{"id":4,"name":"Milepost","value":"0.0136"},{"id":17,"name":"Train ID","value":"136-24"},{"id":16,"name":"Locomotive ID","value":"4008"},{"id":130,"name":"Impact","value":""},{"id":150,"name":"Time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488</v>
      </c>
      <c r="B49" s="7">
        <v>4042</v>
      </c>
      <c r="C49" s="24" t="s">
        <v>106</v>
      </c>
      <c r="D49" s="24" t="s">
        <v>227</v>
      </c>
      <c r="E49" s="15">
        <v>42637.340624999997</v>
      </c>
      <c r="F49" s="15">
        <v>42637.343958333331</v>
      </c>
      <c r="G49" s="7">
        <v>1</v>
      </c>
      <c r="H49" s="15" t="s">
        <v>285</v>
      </c>
      <c r="I49" s="15">
        <v>42637.369583333333</v>
      </c>
      <c r="J49" s="7">
        <v>0</v>
      </c>
      <c r="K49" s="121" t="str">
        <f t="shared" si="19"/>
        <v>4041/4042</v>
      </c>
      <c r="L49" s="24" t="str">
        <f>VLOOKUP(A49,'Trips&amp;Operators'!$C$1:$E$10000,3,FALSE)</f>
        <v>DE LA ROSA</v>
      </c>
      <c r="M49" s="6">
        <f t="shared" si="20"/>
        <v>2.5625000002037268E-2</v>
      </c>
      <c r="N49" s="7">
        <f t="shared" ref="N49:N74" si="33">24*60*SUM($M49:$M49)</f>
        <v>36.900000002933666</v>
      </c>
      <c r="O49" s="7"/>
      <c r="P49" s="7"/>
      <c r="Q49" s="25"/>
      <c r="R49" s="25"/>
      <c r="S49" s="37">
        <f t="shared" si="21"/>
        <v>1</v>
      </c>
      <c r="T49" s="52" t="str">
        <f t="shared" si="22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07:10:30-0600',mode:absolute,to:'2016-09-24 09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 t="shared" si="24"/>
        <v>N</v>
      </c>
      <c r="X49" s="168">
        <f t="shared" si="25"/>
        <v>1</v>
      </c>
      <c r="Y49" s="69">
        <f t="shared" si="26"/>
        <v>4.5499999999999999E-2</v>
      </c>
      <c r="Z49" s="69">
        <f t="shared" si="27"/>
        <v>23.328800000000001</v>
      </c>
      <c r="AA49" s="69">
        <f t="shared" si="28"/>
        <v>23.283300000000001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29"/>
        <v>0137-24</v>
      </c>
      <c r="AE49" s="99" t="str">
        <f t="shared" si="30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49" s="96" t="str">
        <f t="shared" si="31"/>
        <v>"C:\Program Files (x86)\AstroGrep\AstroGrep.exe" /spath="%USERPROFILE%\AppData\Local\Temp\OnboardLogs" /stypes="app*4042*20160924*" /stext=" 14:.+((SYSTEM_STATE.+slice.+state.+changed )|(ment ac)|(system.+state.+changed )|(\|lc)|(penalty)|(\[timeout)|(PRM\|1\|D)|(kpr)|(kdp))" /e /r /s</v>
      </c>
      <c r="AG49" s="1" t="str">
        <f t="shared" si="32"/>
        <v>EC</v>
      </c>
      <c r="AH49" s="100" t="str">
        <f t="shared" si="16"/>
        <v>"%USERPROFILE%\Documents\GitHub\eaglep3\Utilities\RefineRTDCRunTimes.py" --tripid 137-24 --locoid 4042 --swversion DE.1.0.7.0 --startMP 204:455 --initTime 2016-09-24T08:10:30 --startdatetime 2016-09-24T08:15:18 --delay 1 --endMP 204:233288 --enddatetime 2016-09-24T08:52:12 --enforcementcount 0 &gt;&gt;C:\Users\stu\Documents\GitHub\eaglep3-reporting\EC\2016-09-24-refined-times.txt</v>
      </c>
      <c r="AI49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{"issue":{"subject":"","project_id":79,"tracker_id":40,"status_id":1,"priority_id":2,"assigned_to_id":23,"start_date":"2016-09-24","description":"","custom_fields":[{"id":1,"name":"Subdivision","value":"EC"},{"id":4,"name":"Milepost","value":"23.3288"},{"id":17,"name":"Train ID","value":"137-24"},{"id":16,"name":"Locomotive ID","value":"4042"},{"id":130,"name":"Impact","value":""},{"id":150,"name":"Time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495</v>
      </c>
      <c r="B50" s="7">
        <v>4041</v>
      </c>
      <c r="C50" s="24" t="s">
        <v>106</v>
      </c>
      <c r="D50" s="24" t="s">
        <v>408</v>
      </c>
      <c r="E50" s="15">
        <v>42637.375347222223</v>
      </c>
      <c r="F50" s="15">
        <v>42637.383090277777</v>
      </c>
      <c r="G50" s="7">
        <v>2</v>
      </c>
      <c r="H50" s="15" t="s">
        <v>220</v>
      </c>
      <c r="I50" s="15">
        <v>42637.410937499997</v>
      </c>
      <c r="J50" s="7">
        <v>0</v>
      </c>
      <c r="K50" s="121" t="str">
        <f t="shared" si="19"/>
        <v>4041/4042</v>
      </c>
      <c r="L50" s="24" t="str">
        <f>VLOOKUP(A50,'Trips&amp;Operators'!$C$1:$E$10000,3,FALSE)</f>
        <v>DE LA ROSA</v>
      </c>
      <c r="M50" s="6">
        <f t="shared" si="20"/>
        <v>2.7847222219861578E-2</v>
      </c>
      <c r="N50" s="7">
        <f t="shared" si="33"/>
        <v>40.099999996600673</v>
      </c>
      <c r="O50" s="7"/>
      <c r="P50" s="7"/>
      <c r="Q50" s="25"/>
      <c r="R50" s="25"/>
      <c r="S50" s="37">
        <f t="shared" si="21"/>
        <v>1</v>
      </c>
      <c r="T50" s="52" t="str">
        <f t="shared" si="22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08:00:30-0600',mode:absolute,to:'2016-09-24 10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 t="shared" si="24"/>
        <v>N</v>
      </c>
      <c r="X50" s="168">
        <f t="shared" si="25"/>
        <v>1</v>
      </c>
      <c r="Y50" s="69">
        <f t="shared" si="26"/>
        <v>23.296700000000001</v>
      </c>
      <c r="Z50" s="69">
        <f t="shared" si="27"/>
        <v>1.4999999999999999E-2</v>
      </c>
      <c r="AA50" s="69">
        <f t="shared" si="28"/>
        <v>23.281700000000001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29"/>
        <v>0138-24</v>
      </c>
      <c r="AE50" s="99" t="str">
        <f t="shared" si="30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50" s="96" t="str">
        <f t="shared" si="31"/>
        <v>"C:\Program Files (x86)\AstroGrep\AstroGrep.exe" /spath="%USERPROFILE%\AppData\Local\Temp\OnboardLogs" /stypes="app*4041*20160924*" /stext=" 15:.+((SYSTEM_STATE.+slice.+state.+changed )|(ment ac)|(system.+state.+changed )|(\|lc)|(penalty)|(\[timeout)|(PRM\|1\|D)|(kpr)|(kdp))" /e /r /s</v>
      </c>
      <c r="AG50" s="1" t="str">
        <f t="shared" si="32"/>
        <v>EC</v>
      </c>
      <c r="AH50" s="100" t="str">
        <f t="shared" si="16"/>
        <v>"%USERPROFILE%\Documents\GitHub\eaglep3\Utilities\RefineRTDCRunTimes.py" --tripid 138-24 --locoid 4041 --swversion DE.1.0.7.0 --startMP 204:232967 --initTime 2016-09-24T09:00:30 --startdatetime 2016-09-24T09:11:39 --delay 2 --endMP 204:150 --enddatetime 2016-09-24T09:51:45 --enforcementcount 0 &gt;&gt;C:\Users\stu\Documents\GitHub\eaglep3-reporting\EC\2016-09-24-refined-times.txt</v>
      </c>
      <c r="AI50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{"issue":{"subject":"","project_id":79,"tracker_id":40,"status_id":1,"priority_id":2,"assigned_to_id":23,"start_date":"2016-09-24","description":"","custom_fields":[{"id":1,"name":"Subdivision","value":"EC"},{"id":4,"name":"Milepost","value":"0.015"},{"id":17,"name":"Train ID","value":"138-24"},{"id":16,"name":"Locomotive ID","value":"4041"},{"id":130,"name":"Impact","value":""},{"id":150,"name":"Time of Event (Mountain Time)","value":"09:51:45"},{"id":151,"name":"Denver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489</v>
      </c>
      <c r="B51" s="7">
        <v>4018</v>
      </c>
      <c r="C51" s="24" t="s">
        <v>106</v>
      </c>
      <c r="D51" s="24" t="s">
        <v>264</v>
      </c>
      <c r="E51" s="15">
        <v>42637.351053240738</v>
      </c>
      <c r="F51" s="15">
        <v>42637.35434027778</v>
      </c>
      <c r="G51" s="7">
        <v>1</v>
      </c>
      <c r="H51" s="15" t="s">
        <v>328</v>
      </c>
      <c r="I51" s="15">
        <v>42637.37976851852</v>
      </c>
      <c r="J51" s="7">
        <v>0</v>
      </c>
      <c r="K51" s="121" t="str">
        <f t="shared" si="19"/>
        <v>4017/4018</v>
      </c>
      <c r="L51" s="24" t="str">
        <f>VLOOKUP(A51,'Trips&amp;Operators'!$C$1:$E$10000,3,FALSE)</f>
        <v>GEBRETEKLE</v>
      </c>
      <c r="M51" s="6">
        <f t="shared" si="20"/>
        <v>2.5428240740438923E-2</v>
      </c>
      <c r="N51" s="7">
        <f t="shared" si="33"/>
        <v>36.616666666232049</v>
      </c>
      <c r="O51" s="7"/>
      <c r="P51" s="7"/>
      <c r="Q51" s="25"/>
      <c r="R51" s="25"/>
      <c r="S51" s="37">
        <f t="shared" si="21"/>
        <v>1</v>
      </c>
      <c r="T51" s="52" t="str">
        <f t="shared" si="22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07:25:31-0600',mode:absolute,to:'2016-09-24 10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1" s="54" t="str">
        <f t="shared" si="24"/>
        <v>N</v>
      </c>
      <c r="X51" s="168">
        <f t="shared" si="25"/>
        <v>1</v>
      </c>
      <c r="Y51" s="69">
        <f t="shared" si="26"/>
        <v>4.4200000000000003E-2</v>
      </c>
      <c r="Z51" s="69">
        <f t="shared" si="27"/>
        <v>23.330200000000001</v>
      </c>
      <c r="AA51" s="69">
        <f t="shared" si="28"/>
        <v>23.286000000000001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29"/>
        <v>0139-24</v>
      </c>
      <c r="AE51" s="99" t="str">
        <f t="shared" si="30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51" s="96" t="str">
        <f t="shared" si="31"/>
        <v>"C:\Program Files (x86)\AstroGrep\AstroGrep.exe" /spath="%USERPROFILE%\AppData\Local\Temp\OnboardLogs" /stypes="app*4018*20160924*" /stext=" 15:.+((SYSTEM_STATE.+slice.+state.+changed )|(ment ac)|(system.+state.+changed )|(\|lc)|(penalty)|(\[timeout)|(PRM\|1\|D)|(kpr)|(kdp))" /e /r /s</v>
      </c>
      <c r="AG51" s="1" t="str">
        <f t="shared" si="32"/>
        <v>EC</v>
      </c>
      <c r="AH51" s="100" t="str">
        <f t="shared" si="16"/>
        <v>"%USERPROFILE%\Documents\GitHub\eaglep3\Utilities\RefineRTDCRunTimes.py" --tripid 139-24 --locoid 4018 --swversion DE.1.0.7.0 --startMP 204:442 --initTime 2016-09-24T08:25:31 --startdatetime 2016-09-24T08:30:15 --delay 1 --endMP 204:233302 --enddatetime 2016-09-24T09:06:52 --enforcementcount 0 &gt;&gt;C:\Users\stu\Documents\GitHub\eaglep3-reporting\EC\2016-09-24-refined-times.txt</v>
      </c>
      <c r="AI51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{"issue":{"subject":"","project_id":79,"tracker_id":40,"status_id":1,"priority_id":2,"assigned_to_id":23,"start_date":"2016-09-24","description":"","custom_fields":[{"id":1,"name":"Subdivision","value":"EC"},{"id":4,"name":"Milepost","value":"23.3302"},{"id":17,"name":"Train ID","value":"139-24"},{"id":16,"name":"Locomotive ID","value":"4018"},{"id":130,"name":"Impact","value":""},{"id":150,"name":"Time of Event (Mountain Time)","value":"09:06:52"},{"id":151,"name":"Denver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496</v>
      </c>
      <c r="B52" s="7">
        <v>4017</v>
      </c>
      <c r="C52" s="24" t="s">
        <v>106</v>
      </c>
      <c r="D52" s="24" t="s">
        <v>235</v>
      </c>
      <c r="E52" s="15">
        <v>42637.391261574077</v>
      </c>
      <c r="F52" s="15">
        <v>42637.393229166664</v>
      </c>
      <c r="G52" s="7">
        <v>0</v>
      </c>
      <c r="H52" s="15" t="s">
        <v>222</v>
      </c>
      <c r="I52" s="15">
        <v>42637.422500000001</v>
      </c>
      <c r="J52" s="7">
        <v>0</v>
      </c>
      <c r="K52" s="121" t="str">
        <f t="shared" si="19"/>
        <v>4017/4018</v>
      </c>
      <c r="L52" s="24" t="str">
        <f>VLOOKUP(A52,'Trips&amp;Operators'!$C$1:$E$10000,3,FALSE)</f>
        <v>GEBRETEKLE</v>
      </c>
      <c r="M52" s="6">
        <f t="shared" si="20"/>
        <v>2.9270833336340729E-2</v>
      </c>
      <c r="N52" s="7">
        <f t="shared" si="33"/>
        <v>42.15000000433065</v>
      </c>
      <c r="O52" s="7"/>
      <c r="P52" s="7"/>
      <c r="Q52" s="25"/>
      <c r="R52" s="25"/>
      <c r="S52" s="37">
        <f t="shared" si="21"/>
        <v>1</v>
      </c>
      <c r="T52" s="52" t="str">
        <f t="shared" si="22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08:23:25-0600',mode:absolute,to:'2016-09-24 11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2" s="54" t="str">
        <f t="shared" si="24"/>
        <v>N</v>
      </c>
      <c r="X52" s="168">
        <f t="shared" si="25"/>
        <v>1</v>
      </c>
      <c r="Y52" s="69">
        <f t="shared" si="26"/>
        <v>23.299399999999999</v>
      </c>
      <c r="Z52" s="69">
        <f t="shared" si="27"/>
        <v>1.52E-2</v>
      </c>
      <c r="AA52" s="69">
        <f t="shared" si="28"/>
        <v>23.284199999999998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29"/>
        <v>0140-24</v>
      </c>
      <c r="AE52" s="99" t="str">
        <f t="shared" si="30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52" s="96" t="str">
        <f t="shared" si="31"/>
        <v>"C:\Program Files (x86)\AstroGrep\AstroGrep.exe" /spath="%USERPROFILE%\AppData\Local\Temp\OnboardLogs" /stypes="app*4017*20160924*" /stext=" 16:.+((SYSTEM_STATE.+slice.+state.+changed )|(ment ac)|(system.+state.+changed )|(\|lc)|(penalty)|(\[timeout)|(PRM\|1\|D)|(kpr)|(kdp))" /e /r /s</v>
      </c>
      <c r="AG52" s="1" t="str">
        <f t="shared" si="32"/>
        <v>EC</v>
      </c>
      <c r="AH52" s="100" t="str">
        <f t="shared" si="16"/>
        <v>"%USERPROFILE%\Documents\GitHub\eaglep3\Utilities\RefineRTDCRunTimes.py" --tripid 140-24 --locoid 4017 --swversion DE.1.0.7.0 --startMP 204:232994 --initTime 2016-09-24T09:23:25 --startdatetime 2016-09-24T09:26:15 --delay 0 --endMP 204:152 --enddatetime 2016-09-24T10:08:24 --enforcementcount 0 &gt;&gt;C:\Users\stu\Documents\GitHub\eaglep3-reporting\EC\2016-09-24-refined-times.txt</v>
      </c>
      <c r="AI52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{"issue":{"subject":"","project_id":79,"tracker_id":40,"status_id":1,"priority_id":2,"assigned_to_id":23,"start_date":"2016-09-24","description":"","custom_fields":[{"id":1,"name":"Subdivision","value":"EC"},{"id":4,"name":"Milepost","value":"0.0152"},{"id":17,"name":"Train ID","value":"140-24"},{"id":16,"name":"Locomotive ID","value":"4017"},{"id":130,"name":"Impact","value":""},{"id":150,"name":"Time of Event (Mountain Time)","value":"10:08:24"},{"id":151,"name":"Denver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491</v>
      </c>
      <c r="B53" s="7">
        <v>4009</v>
      </c>
      <c r="C53" s="24" t="s">
        <v>106</v>
      </c>
      <c r="D53" s="24" t="s">
        <v>230</v>
      </c>
      <c r="E53" s="15">
        <v>42637.361516203702</v>
      </c>
      <c r="F53" s="15">
        <v>42637.364733796298</v>
      </c>
      <c r="G53" s="7">
        <v>1</v>
      </c>
      <c r="H53" s="15" t="s">
        <v>254</v>
      </c>
      <c r="I53" s="15">
        <v>42637.390729166669</v>
      </c>
      <c r="J53" s="7">
        <v>0</v>
      </c>
      <c r="K53" s="121" t="str">
        <f t="shared" si="19"/>
        <v>4009/4010</v>
      </c>
      <c r="L53" s="24" t="str">
        <f>VLOOKUP(A53,'Trips&amp;Operators'!$C$1:$E$10000,3,FALSE)</f>
        <v>MAELZER</v>
      </c>
      <c r="M53" s="6">
        <f t="shared" si="20"/>
        <v>2.5995370371674653E-2</v>
      </c>
      <c r="N53" s="7">
        <f t="shared" si="33"/>
        <v>37.433333335211501</v>
      </c>
      <c r="O53" s="7"/>
      <c r="P53" s="7"/>
      <c r="Q53" s="25"/>
      <c r="R53" s="25"/>
      <c r="S53" s="37">
        <f t="shared" si="21"/>
        <v>1</v>
      </c>
      <c r="T53" s="52" t="str">
        <f t="shared" si="22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07:40:35-0600',mode:absolute,to:'2016-09-24 10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3" s="54" t="str">
        <f t="shared" si="24"/>
        <v>N</v>
      </c>
      <c r="X53" s="168">
        <f t="shared" si="25"/>
        <v>1</v>
      </c>
      <c r="Y53" s="69">
        <f t="shared" si="26"/>
        <v>4.6699999999999998E-2</v>
      </c>
      <c r="Z53" s="69">
        <f t="shared" si="27"/>
        <v>23.331399999999999</v>
      </c>
      <c r="AA53" s="69">
        <f t="shared" si="28"/>
        <v>23.284699999999997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29"/>
        <v>0141-24</v>
      </c>
      <c r="AE53" s="99" t="str">
        <f t="shared" si="30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53" s="96" t="str">
        <f t="shared" si="31"/>
        <v>"C:\Program Files (x86)\AstroGrep\AstroGrep.exe" /spath="%USERPROFILE%\AppData\Local\Temp\OnboardLogs" /stypes="app*4009*20160924*" /stext=" 15:.+((SYSTEM_STATE.+slice.+state.+changed )|(ment ac)|(system.+state.+changed )|(\|lc)|(penalty)|(\[timeout)|(PRM\|1\|D)|(kpr)|(kdp))" /e /r /s</v>
      </c>
      <c r="AG53" s="1" t="str">
        <f t="shared" si="32"/>
        <v>EC</v>
      </c>
      <c r="AH53" s="100" t="str">
        <f t="shared" si="16"/>
        <v>"%USERPROFILE%\Documents\GitHub\eaglep3\Utilities\RefineRTDCRunTimes.py" --tripid 141-24 --locoid 4009 --swversion DE.1.0.7.0 --startMP 204:467 --initTime 2016-09-24T08:40:35 --startdatetime 2016-09-24T08:45:13 --delay 1 --endMP 204:233314 --enddatetime 2016-09-24T09:22:39 --enforcementcount 0 &gt;&gt;C:\Users\stu\Documents\GitHub\eaglep3-reporting\EC\2016-09-24-refined-times.txt</v>
      </c>
      <c r="AI53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{"issue":{"subject":"","project_id":79,"tracker_id":40,"status_id":1,"priority_id":2,"assigned_to_id":23,"start_date":"2016-09-24","description":"","custom_fields":[{"id":1,"name":"Subdivision","value":"EC"},{"id":4,"name":"Milepost","value":"23.3314"},{"id":17,"name":"Train ID","value":"141-24"},{"id":16,"name":"Locomotive ID","value":"4009"},{"id":130,"name":"Impact","value":""},{"id":150,"name":"Time of Event (Mountain Time)","value":"09:22:39"},{"id":151,"name":"Denver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498</v>
      </c>
      <c r="B54" s="7">
        <v>4010</v>
      </c>
      <c r="C54" s="24" t="s">
        <v>106</v>
      </c>
      <c r="D54" s="24" t="s">
        <v>621</v>
      </c>
      <c r="E54" s="15">
        <v>42637.396180555559</v>
      </c>
      <c r="F54" s="15">
        <v>42637.403749999998</v>
      </c>
      <c r="G54" s="7">
        <v>1</v>
      </c>
      <c r="H54" s="15" t="s">
        <v>228</v>
      </c>
      <c r="I54" s="15">
        <v>42637.431388888886</v>
      </c>
      <c r="J54" s="7">
        <v>0</v>
      </c>
      <c r="K54" s="121" t="str">
        <f t="shared" si="19"/>
        <v>4009/4010</v>
      </c>
      <c r="L54" s="24" t="str">
        <f>VLOOKUP(A54,'Trips&amp;Operators'!$C$1:$E$10000,3,FALSE)</f>
        <v>MAELZER</v>
      </c>
      <c r="M54" s="6">
        <f t="shared" si="20"/>
        <v>2.7638888888759539E-2</v>
      </c>
      <c r="N54" s="7">
        <f t="shared" si="33"/>
        <v>39.799999999813735</v>
      </c>
      <c r="O54" s="7"/>
      <c r="P54" s="7"/>
      <c r="Q54" s="25"/>
      <c r="R54" s="25"/>
      <c r="S54" s="37">
        <f t="shared" si="21"/>
        <v>1</v>
      </c>
      <c r="T54" s="52" t="str">
        <f t="shared" si="22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08:30:30-0600',mode:absolute,to:'2016-09-24 11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4" s="54" t="str">
        <f t="shared" si="24"/>
        <v>N</v>
      </c>
      <c r="X54" s="168">
        <f t="shared" si="25"/>
        <v>1</v>
      </c>
      <c r="Y54" s="69">
        <f t="shared" si="26"/>
        <v>23.2988</v>
      </c>
      <c r="Z54" s="69">
        <f t="shared" si="27"/>
        <v>1.3899999999999999E-2</v>
      </c>
      <c r="AA54" s="69">
        <f t="shared" si="28"/>
        <v>23.2849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29"/>
        <v>0142-24</v>
      </c>
      <c r="AE54" s="99" t="str">
        <f t="shared" si="30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54" s="96" t="str">
        <f t="shared" si="31"/>
        <v>"C:\Program Files (x86)\AstroGrep\AstroGrep.exe" /spath="%USERPROFILE%\AppData\Local\Temp\OnboardLogs" /stypes="app*4010*20160924*" /stext=" 16:.+((SYSTEM_STATE.+slice.+state.+changed )|(ment ac)|(system.+state.+changed )|(\|lc)|(penalty)|(\[timeout)|(PRM\|1\|D)|(kpr)|(kdp))" /e /r /s</v>
      </c>
      <c r="AG54" s="1" t="str">
        <f t="shared" si="32"/>
        <v>EC</v>
      </c>
      <c r="AH54" s="100" t="str">
        <f t="shared" si="16"/>
        <v>"%USERPROFILE%\Documents\GitHub\eaglep3\Utilities\RefineRTDCRunTimes.py" --tripid 142-24 --locoid 4010 --swversion DE.1.0.7.0 --startMP 204:232988 --initTime 2016-09-24T09:30:30 --startdatetime 2016-09-24T09:41:24 --delay 1 --endMP 204:139 --enddatetime 2016-09-24T10:21:12 --enforcementcount 0 &gt;&gt;C:\Users\stu\Documents\GitHub\eaglep3-reporting\EC\2016-09-24-refined-times.txt</v>
      </c>
      <c r="AI54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{"issue":{"subject":"","project_id":79,"tracker_id":40,"status_id":1,"priority_id":2,"assigned_to_id":23,"start_date":"2016-09-24","description":"","custom_fields":[{"id":1,"name":"Subdivision","value":"EC"},{"id":4,"name":"Milepost","value":"0.0139"},{"id":17,"name":"Train ID","value":"142-24"},{"id":16,"name":"Locomotive ID","value":"4010"},{"id":130,"name":"Impact","value":""},{"id":150,"name":"Time of Event (Mountain Time)","value":"10:21:12"},{"id":151,"name":"Denver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493</v>
      </c>
      <c r="B55" s="7">
        <v>4014</v>
      </c>
      <c r="C55" s="24" t="s">
        <v>106</v>
      </c>
      <c r="D55" s="24" t="s">
        <v>237</v>
      </c>
      <c r="E55" s="15">
        <v>42637.3747337963</v>
      </c>
      <c r="F55" s="15">
        <v>42637.376261574071</v>
      </c>
      <c r="G55" s="7">
        <v>1</v>
      </c>
      <c r="H55" s="15" t="s">
        <v>406</v>
      </c>
      <c r="I55" s="15">
        <v>42637.407395833332</v>
      </c>
      <c r="J55" s="7">
        <v>0</v>
      </c>
      <c r="K55" s="121" t="str">
        <f t="shared" si="19"/>
        <v>4013/4014</v>
      </c>
      <c r="L55" s="24" t="str">
        <f>VLOOKUP(A55,'Trips&amp;Operators'!$C$1:$E$10000,3,FALSE)</f>
        <v>BEAM</v>
      </c>
      <c r="M55" s="6">
        <f t="shared" si="20"/>
        <v>3.1134259261307307E-2</v>
      </c>
      <c r="N55" s="7">
        <f t="shared" si="33"/>
        <v>44.833333336282521</v>
      </c>
      <c r="O55" s="7"/>
      <c r="P55" s="7"/>
      <c r="Q55" s="25"/>
      <c r="R55" s="25"/>
      <c r="S55" s="37">
        <f t="shared" si="21"/>
        <v>1</v>
      </c>
      <c r="T55" s="52" t="str">
        <f t="shared" si="22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07:59:37-0600',mode:absolute,to:'2016-09-24 10:46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5" s="54" t="str">
        <f t="shared" si="24"/>
        <v>N</v>
      </c>
      <c r="X55" s="168">
        <f t="shared" si="25"/>
        <v>1</v>
      </c>
      <c r="Y55" s="69">
        <f t="shared" si="26"/>
        <v>4.6199999999999998E-2</v>
      </c>
      <c r="Z55" s="69">
        <f t="shared" si="27"/>
        <v>23.331900000000001</v>
      </c>
      <c r="AA55" s="69">
        <f t="shared" si="28"/>
        <v>23.285700000000002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29"/>
        <v>0143-24</v>
      </c>
      <c r="AE55" s="99" t="str">
        <f t="shared" si="30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55" s="96" t="str">
        <f t="shared" si="31"/>
        <v>"C:\Program Files (x86)\AstroGrep\AstroGrep.exe" /spath="%USERPROFILE%\AppData\Local\Temp\OnboardLogs" /stypes="app*4014*20160924*" /stext=" 15:.+((SYSTEM_STATE.+slice.+state.+changed )|(ment ac)|(system.+state.+changed )|(\|lc)|(penalty)|(\[timeout)|(PRM\|1\|D)|(kpr)|(kdp))" /e /r /s</v>
      </c>
      <c r="AG55" s="1" t="str">
        <f t="shared" si="32"/>
        <v>EC</v>
      </c>
      <c r="AH55" s="100" t="str">
        <f t="shared" si="16"/>
        <v>"%USERPROFILE%\Documents\GitHub\eaglep3\Utilities\RefineRTDCRunTimes.py" --tripid 143-24 --locoid 4014 --swversion DE.1.0.7.0 --startMP 204:462 --initTime 2016-09-24T08:59:37 --startdatetime 2016-09-24T09:01:49 --delay 1 --endMP 204:233319 --enddatetime 2016-09-24T09:46:39 --enforcementcount 0 &gt;&gt;C:\Users\stu\Documents\GitHub\eaglep3-reporting\EC\2016-09-24-refined-times.txt</v>
      </c>
      <c r="AI55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{"issue":{"subject":"","project_id":79,"tracker_id":40,"status_id":1,"priority_id":2,"assigned_to_id":23,"start_date":"2016-09-24","description":"","custom_fields":[{"id":1,"name":"Subdivision","value":"EC"},{"id":4,"name":"Milepost","value":"23.3319"},{"id":17,"name":"Train ID","value":"143-24"},{"id":16,"name":"Locomotive ID","value":"4014"},{"id":130,"name":"Impact","value":""},{"id":150,"name":"Time of Event (Mountain Time)","value":"09:46:39"},{"id":151,"name":"Denver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500</v>
      </c>
      <c r="B56" s="7">
        <v>4013</v>
      </c>
      <c r="C56" s="24" t="s">
        <v>106</v>
      </c>
      <c r="D56" s="24" t="s">
        <v>284</v>
      </c>
      <c r="E56" s="15">
        <v>42637.411782407406</v>
      </c>
      <c r="F56" s="15">
        <v>42637.414178240739</v>
      </c>
      <c r="G56" s="7">
        <v>1</v>
      </c>
      <c r="H56" s="15" t="s">
        <v>217</v>
      </c>
      <c r="I56" s="15">
        <v>42637.442962962959</v>
      </c>
      <c r="J56" s="7">
        <v>0</v>
      </c>
      <c r="K56" s="121" t="str">
        <f t="shared" si="19"/>
        <v>4013/4014</v>
      </c>
      <c r="L56" s="24" t="str">
        <f>VLOOKUP(A56,'Trips&amp;Operators'!$C$1:$E$10000,3,FALSE)</f>
        <v>BEAM</v>
      </c>
      <c r="M56" s="6">
        <f t="shared" si="20"/>
        <v>2.8784722220734693E-2</v>
      </c>
      <c r="N56" s="7">
        <f t="shared" si="33"/>
        <v>41.449999997857958</v>
      </c>
      <c r="O56" s="7"/>
      <c r="P56" s="7"/>
      <c r="Q56" s="25"/>
      <c r="R56" s="25"/>
      <c r="S56" s="37">
        <f t="shared" si="21"/>
        <v>1</v>
      </c>
      <c r="T56" s="52" t="str">
        <f t="shared" si="22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08:52:58-0600',mode:absolute,to:'2016-09-24 11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56" s="54" t="str">
        <f t="shared" si="24"/>
        <v>N</v>
      </c>
      <c r="X56" s="168">
        <f t="shared" si="25"/>
        <v>1</v>
      </c>
      <c r="Y56" s="69">
        <f t="shared" si="26"/>
        <v>23.299800000000001</v>
      </c>
      <c r="Z56" s="69">
        <f t="shared" si="27"/>
        <v>1.5800000000000002E-2</v>
      </c>
      <c r="AA56" s="69">
        <f t="shared" si="28"/>
        <v>23.284000000000002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29"/>
        <v>0144-24</v>
      </c>
      <c r="AE56" s="99" t="str">
        <f t="shared" si="30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56" s="96" t="str">
        <f t="shared" si="31"/>
        <v>"C:\Program Files (x86)\AstroGrep\AstroGrep.exe" /spath="%USERPROFILE%\AppData\Local\Temp\OnboardLogs" /stypes="app*4013*20160924*" /stext=" 16:.+((SYSTEM_STATE.+slice.+state.+changed )|(ment ac)|(system.+state.+changed )|(\|lc)|(penalty)|(\[timeout)|(PRM\|1\|D)|(kpr)|(kdp))" /e /r /s</v>
      </c>
      <c r="AG56" s="1" t="str">
        <f t="shared" si="32"/>
        <v>EC</v>
      </c>
      <c r="AH56" s="100" t="str">
        <f t="shared" si="16"/>
        <v>"%USERPROFILE%\Documents\GitHub\eaglep3\Utilities\RefineRTDCRunTimes.py" --tripid 144-24 --locoid 4013 --swversion DE.1.0.7.0 --startMP 204:232998 --initTime 2016-09-24T09:52:58 --startdatetime 2016-09-24T09:56:25 --delay 1 --endMP 204:158 --enddatetime 2016-09-24T10:37:52 --enforcementcount 0 &gt;&gt;C:\Users\stu\Documents\GitHub\eaglep3-reporting\EC\2016-09-24-refined-times.txt</v>
      </c>
      <c r="AI56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{"issue":{"subject":"","project_id":79,"tracker_id":40,"status_id":1,"priority_id":2,"assigned_to_id":23,"start_date":"2016-09-24","description":"","custom_fields":[{"id":1,"name":"Subdivision","value":"EC"},{"id":4,"name":"Milepost","value":"0.0158"},{"id":17,"name":"Train ID","value":"144-24"},{"id":16,"name":"Locomotive ID","value":"4013"},{"id":130,"name":"Impact","value":""},{"id":150,"name":"Time of Event (Mountain Time)","value":"10:37:52"},{"id":151,"name":"Denver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442</v>
      </c>
      <c r="B57" s="7">
        <v>4003</v>
      </c>
      <c r="C57" s="24" t="s">
        <v>106</v>
      </c>
      <c r="D57" s="24" t="s">
        <v>237</v>
      </c>
      <c r="E57" s="15">
        <v>42637.383923611109</v>
      </c>
      <c r="F57" s="15">
        <v>42637.385740740741</v>
      </c>
      <c r="G57" s="7">
        <v>1</v>
      </c>
      <c r="H57" s="15" t="s">
        <v>268</v>
      </c>
      <c r="I57" s="15">
        <v>42637.417812500003</v>
      </c>
      <c r="J57" s="7">
        <v>0</v>
      </c>
      <c r="K57" s="121" t="str">
        <f t="shared" si="19"/>
        <v>4003/4004</v>
      </c>
      <c r="L57" s="24" t="str">
        <f>VLOOKUP(A57,'Trips&amp;Operators'!$C$1:$E$10000,3,FALSE)</f>
        <v>MALAVE</v>
      </c>
      <c r="M57" s="6">
        <f t="shared" si="20"/>
        <v>3.2071759262180422E-2</v>
      </c>
      <c r="N57" s="7">
        <f t="shared" si="33"/>
        <v>46.183333337539807</v>
      </c>
      <c r="O57" s="7"/>
      <c r="P57" s="7"/>
      <c r="Q57" s="25"/>
      <c r="R57" s="25"/>
      <c r="S57" s="37">
        <f t="shared" si="21"/>
        <v>1</v>
      </c>
      <c r="T57" s="52" t="str">
        <f t="shared" si="22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08:12:51-0600',mode:absolute,to:'2016-09-24 11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7" s="54" t="str">
        <f t="shared" si="24"/>
        <v>N</v>
      </c>
      <c r="X57" s="168">
        <f t="shared" si="25"/>
        <v>1</v>
      </c>
      <c r="Y57" s="69">
        <f t="shared" si="26"/>
        <v>4.6199999999999998E-2</v>
      </c>
      <c r="Z57" s="69">
        <f t="shared" si="27"/>
        <v>23.331199999999999</v>
      </c>
      <c r="AA57" s="69">
        <f t="shared" si="28"/>
        <v>23.285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29"/>
        <v>0145-24</v>
      </c>
      <c r="AE57" s="99" t="str">
        <f t="shared" si="30"/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AF57" s="96" t="str">
        <f t="shared" si="31"/>
        <v>"C:\Program Files (x86)\AstroGrep\AstroGrep.exe" /spath="%USERPROFILE%\AppData\Local\Temp\OnboardLogs" /stypes="app*4003*20160924*" /stext=" 16:.+((SYSTEM_STATE.+slice.+state.+changed )|(ment ac)|(system.+state.+changed )|(\|lc)|(penalty)|(\[timeout)|(PRM\|1\|D)|(kpr)|(kdp))" /e /r /s</v>
      </c>
      <c r="AG57" s="1" t="str">
        <f t="shared" si="32"/>
        <v>EC</v>
      </c>
      <c r="AH57" s="100" t="str">
        <f t="shared" si="16"/>
        <v>"%USERPROFILE%\Documents\GitHub\eaglep3\Utilities\RefineRTDCRunTimes.py" --tripid 145-24 --locoid 4003 --swversion DE.1.0.7.0 --startMP 204:462 --initTime 2016-09-24T09:12:51 --startdatetime 2016-09-24T09:15:28 --delay 1 --endMP 204:233312 --enddatetime 2016-09-24T10:01:39 --enforcementcount 0 &gt;&gt;C:\Users\stu\Documents\GitHub\eaglep3-reporting\EC\2016-09-24-refined-times.txt</v>
      </c>
      <c r="AI5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{"issue":{"subject":"","project_id":79,"tracker_id":40,"status_id":1,"priority_id":2,"assigned_to_id":23,"start_date":"2016-09-24","description":"","custom_fields":[{"id":1,"name":"Subdivision","value":"EC"},{"id":4,"name":"Milepost","value":"23.3312"},{"id":17,"name":"Train ID","value":"145-24"},{"id":16,"name":"Locomotive ID","value":"4003"},{"id":130,"name":"Impact","value":""},{"id":150,"name":"Time of Event (Mountain Time)","value":"10:01:39"},{"id":151,"name":"Denver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502</v>
      </c>
      <c r="B58" s="7">
        <v>4004</v>
      </c>
      <c r="C58" s="24" t="s">
        <v>106</v>
      </c>
      <c r="D58" s="24" t="s">
        <v>622</v>
      </c>
      <c r="E58" s="15">
        <v>42637.422731481478</v>
      </c>
      <c r="F58" s="15">
        <v>42637.424675925926</v>
      </c>
      <c r="G58" s="7">
        <v>2</v>
      </c>
      <c r="H58" s="15" t="s">
        <v>217</v>
      </c>
      <c r="I58" s="15">
        <v>42637.454548611109</v>
      </c>
      <c r="J58" s="7">
        <v>0</v>
      </c>
      <c r="K58" s="121" t="str">
        <f t="shared" si="19"/>
        <v>4003/4004</v>
      </c>
      <c r="L58" s="24" t="str">
        <f>VLOOKUP(A58,'Trips&amp;Operators'!$C$1:$E$10000,3,FALSE)</f>
        <v>MALAVE</v>
      </c>
      <c r="M58" s="6">
        <f t="shared" si="20"/>
        <v>2.9872685183363501E-2</v>
      </c>
      <c r="N58" s="7">
        <f t="shared" si="33"/>
        <v>43.016666664043441</v>
      </c>
      <c r="O58" s="7"/>
      <c r="P58" s="7"/>
      <c r="Q58" s="25"/>
      <c r="R58" s="25"/>
      <c r="S58" s="37">
        <f t="shared" si="21"/>
        <v>1</v>
      </c>
      <c r="T58" s="52" t="str">
        <f t="shared" si="22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09:08:44-0600',mode:absolute,to:'2016-09-24 11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8" s="54" t="str">
        <f t="shared" si="24"/>
        <v>N</v>
      </c>
      <c r="X58" s="168">
        <f t="shared" si="25"/>
        <v>1</v>
      </c>
      <c r="Y58" s="69">
        <f t="shared" si="26"/>
        <v>23.298500000000001</v>
      </c>
      <c r="Z58" s="69">
        <f t="shared" si="27"/>
        <v>1.5800000000000002E-2</v>
      </c>
      <c r="AA58" s="69">
        <f t="shared" si="28"/>
        <v>23.282700000000002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29"/>
        <v>0146-24</v>
      </c>
      <c r="AE58" s="99" t="str">
        <f t="shared" si="30"/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AF58" s="96" t="str">
        <f t="shared" si="31"/>
        <v>"C:\Program Files (x86)\AstroGrep\AstroGrep.exe" /spath="%USERPROFILE%\AppData\Local\Temp\OnboardLogs" /stypes="app*4004*20160924*" /stext=" 16:.+((SYSTEM_STATE.+slice.+state.+changed )|(ment ac)|(system.+state.+changed )|(\|lc)|(penalty)|(\[timeout)|(PRM\|1\|D)|(kpr)|(kdp))" /e /r /s</v>
      </c>
      <c r="AG58" s="1" t="str">
        <f t="shared" si="32"/>
        <v>EC</v>
      </c>
      <c r="AH58" s="100" t="str">
        <f t="shared" si="16"/>
        <v>"%USERPROFILE%\Documents\GitHub\eaglep3\Utilities\RefineRTDCRunTimes.py" --tripid 146-24 --locoid 4004 --swversion DE.1.0.7.0 --startMP 204:232985 --initTime 2016-09-24T10:08:44 --startdatetime 2016-09-24T10:11:32 --delay 2 --endMP 204:158 --enddatetime 2016-09-24T10:54:33 --enforcementcount 0 &gt;&gt;C:\Users\stu\Documents\GitHub\eaglep3-reporting\EC\2016-09-24-refined-times.txt</v>
      </c>
      <c r="AI58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{"issue":{"subject":"","project_id":79,"tracker_id":40,"status_id":1,"priority_id":2,"assigned_to_id":23,"start_date":"2016-09-24","description":"","custom_fields":[{"id":1,"name":"Subdivision","value":"EC"},{"id":4,"name":"Milepost","value":"0.0158"},{"id":17,"name":"Train ID","value":"146-24"},{"id":16,"name":"Locomotive ID","value":"4004"},{"id":130,"name":"Impact","value":""},{"id":150,"name":"Time of Event (Mountain Time)","value":"10:54:33"},{"id":151,"name":"Denver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497</v>
      </c>
      <c r="B59" s="7">
        <v>4053</v>
      </c>
      <c r="C59" s="24" t="s">
        <v>106</v>
      </c>
      <c r="D59" s="24" t="s">
        <v>227</v>
      </c>
      <c r="E59" s="15">
        <v>42637.391608796293</v>
      </c>
      <c r="F59" s="15">
        <v>42637.435358796298</v>
      </c>
      <c r="G59" s="7">
        <v>1</v>
      </c>
      <c r="H59" s="15" t="s">
        <v>403</v>
      </c>
      <c r="I59" s="15">
        <v>42637.46329861111</v>
      </c>
      <c r="J59" s="7">
        <v>0</v>
      </c>
      <c r="K59" s="121" t="str">
        <f t="shared" si="19"/>
        <v>4053/4054</v>
      </c>
      <c r="L59" s="24" t="str">
        <f>VLOOKUP(A59,'Trips&amp;Operators'!$C$1:$E$10000,3,FALSE)</f>
        <v>ACKERMAN</v>
      </c>
      <c r="M59" s="6">
        <f t="shared" si="20"/>
        <v>2.7939814812270924E-2</v>
      </c>
      <c r="N59" s="7">
        <f t="shared" si="33"/>
        <v>40.233333329670131</v>
      </c>
      <c r="O59" s="7"/>
      <c r="P59" s="7"/>
      <c r="Q59" s="25"/>
      <c r="R59" s="25"/>
      <c r="S59" s="37">
        <f t="shared" si="21"/>
        <v>1</v>
      </c>
      <c r="T59" s="52" t="str">
        <f t="shared" si="22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08:23:55-0600',mode:absolute,to:'2016-09-24 12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9" s="54" t="str">
        <f t="shared" si="24"/>
        <v>N</v>
      </c>
      <c r="X59" s="168">
        <f t="shared" si="25"/>
        <v>1</v>
      </c>
      <c r="Y59" s="69">
        <f t="shared" si="26"/>
        <v>4.5499999999999999E-2</v>
      </c>
      <c r="Z59" s="69">
        <f t="shared" si="27"/>
        <v>23.330100000000002</v>
      </c>
      <c r="AA59" s="69">
        <f t="shared" si="28"/>
        <v>23.284600000000001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29"/>
        <v>0147-24</v>
      </c>
      <c r="AE59" s="99" t="str">
        <f t="shared" si="30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59" s="96" t="str">
        <f t="shared" si="31"/>
        <v>"C:\Program Files (x86)\AstroGrep\AstroGrep.exe" /spath="%USERPROFILE%\AppData\Local\Temp\OnboardLogs" /stypes="app*4053*20160924*" /stext=" 17:.+((SYSTEM_STATE.+slice.+state.+changed )|(ment ac)|(system.+state.+changed )|(\|lc)|(penalty)|(\[timeout)|(PRM\|1\|D)|(kpr)|(kdp))" /e /r /s</v>
      </c>
      <c r="AG59" s="1" t="str">
        <f t="shared" si="32"/>
        <v>EC</v>
      </c>
      <c r="AH59" s="100" t="str">
        <f t="shared" si="16"/>
        <v>"%USERPROFILE%\Documents\GitHub\eaglep3\Utilities\RefineRTDCRunTimes.py" --tripid 147-24 --locoid 4053 --swversion DE.1.0.7.0 --startMP 204:455 --initTime 2016-09-24T09:23:55 --startdatetime 2016-09-24T10:26:55 --delay 1 --endMP 204:233301 --enddatetime 2016-09-24T11:07:09 --enforcementcount 0 &gt;&gt;C:\Users\stu\Documents\GitHub\eaglep3-reporting\EC\2016-09-24-refined-times.txt</v>
      </c>
      <c r="AI59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{"issue":{"subject":"","project_id":79,"tracker_id":40,"status_id":1,"priority_id":2,"assigned_to_id":23,"start_date":"2016-09-24","description":"","custom_fields":[{"id":1,"name":"Subdivision","value":"EC"},{"id":4,"name":"Milepost","value":"23.3301"},{"id":17,"name":"Train ID","value":"147-24"},{"id":16,"name":"Locomotive ID","value":"4053"},{"id":130,"name":"Impact","value":""},{"id":150,"name":"Time of Event (Mountain Time)","value":"11:07:09"},{"id":151,"name":"Denver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504</v>
      </c>
      <c r="B60" s="7">
        <v>4054</v>
      </c>
      <c r="C60" s="24" t="s">
        <v>106</v>
      </c>
      <c r="D60" s="24" t="s">
        <v>327</v>
      </c>
      <c r="E60" s="15">
        <v>42637.429548611108</v>
      </c>
      <c r="F60" s="15">
        <v>42637.435358796298</v>
      </c>
      <c r="G60" s="7">
        <v>1</v>
      </c>
      <c r="H60" s="15" t="s">
        <v>419</v>
      </c>
      <c r="I60" s="15">
        <v>42637.46329861111</v>
      </c>
      <c r="J60" s="7">
        <v>0</v>
      </c>
      <c r="K60" s="121" t="str">
        <f t="shared" si="19"/>
        <v>4053/4054</v>
      </c>
      <c r="L60" s="24" t="str">
        <f>VLOOKUP(A60,'Trips&amp;Operators'!$C$1:$E$10000,3,FALSE)</f>
        <v>ACKERMAN</v>
      </c>
      <c r="M60" s="6">
        <f t="shared" si="20"/>
        <v>2.7939814812270924E-2</v>
      </c>
      <c r="N60" s="7">
        <f t="shared" si="33"/>
        <v>40.233333329670131</v>
      </c>
      <c r="O60" s="7"/>
      <c r="P60" s="7"/>
      <c r="Q60" s="25"/>
      <c r="R60" s="25"/>
      <c r="S60" s="37">
        <f t="shared" si="21"/>
        <v>1</v>
      </c>
      <c r="T60" s="52" t="str">
        <f t="shared" si="22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09:18:33-0600',mode:absolute,to:'2016-09-24 12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0" s="54" t="str">
        <f t="shared" si="24"/>
        <v>N</v>
      </c>
      <c r="X60" s="168">
        <f t="shared" si="25"/>
        <v>1</v>
      </c>
      <c r="Y60" s="69">
        <f t="shared" si="26"/>
        <v>23.298999999999999</v>
      </c>
      <c r="Z60" s="69">
        <f t="shared" si="27"/>
        <v>1.7399999999999999E-2</v>
      </c>
      <c r="AA60" s="69">
        <f t="shared" si="28"/>
        <v>23.281600000000001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29"/>
        <v>0148-24</v>
      </c>
      <c r="AE60" s="99" t="str">
        <f t="shared" si="30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60" s="96" t="str">
        <f t="shared" si="31"/>
        <v>"C:\Program Files (x86)\AstroGrep\AstroGrep.exe" /spath="%USERPROFILE%\AppData\Local\Temp\OnboardLogs" /stypes="app*4054*20160924*" /stext=" 17:.+((SYSTEM_STATE.+slice.+state.+changed )|(ment ac)|(system.+state.+changed )|(\|lc)|(penalty)|(\[timeout)|(PRM\|1\|D)|(kpr)|(kdp))" /e /r /s</v>
      </c>
      <c r="AG60" s="1" t="str">
        <f t="shared" si="32"/>
        <v>EC</v>
      </c>
      <c r="AH60" s="100" t="str">
        <f t="shared" si="16"/>
        <v>"%USERPROFILE%\Documents\GitHub\eaglep3\Utilities\RefineRTDCRunTimes.py" --tripid 148-24 --locoid 4054 --swversion DE.1.0.7.0 --startMP 204:232990 --initTime 2016-09-24T10:18:33 --startdatetime 2016-09-24T10:26:55 --delay 1 --endMP 204:174 --enddatetime 2016-09-24T11:07:09 --enforcementcount 0 &gt;&gt;C:\Users\stu\Documents\GitHub\eaglep3-reporting\EC\2016-09-24-refined-times.txt</v>
      </c>
      <c r="AI60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{"issue":{"subject":"","project_id":79,"tracker_id":40,"status_id":1,"priority_id":2,"assigned_to_id":23,"start_date":"2016-09-24","description":"","custom_fields":[{"id":1,"name":"Subdivision","value":"EC"},{"id":4,"name":"Milepost","value":"0.0174"},{"id":17,"name":"Train ID","value":"148-24"},{"id":16,"name":"Locomotive ID","value":"4054"},{"id":130,"name":"Impact","value":""},{"id":150,"name":"Time of Event (Mountain Time)","value":"11:07:09"},{"id":151,"name":"Denver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499</v>
      </c>
      <c r="B61" s="7">
        <v>4007</v>
      </c>
      <c r="C61" s="24" t="s">
        <v>106</v>
      </c>
      <c r="D61" s="24" t="s">
        <v>224</v>
      </c>
      <c r="E61" s="15">
        <v>42637.401620370372</v>
      </c>
      <c r="F61" s="15">
        <v>42637.406412037039</v>
      </c>
      <c r="G61" s="7">
        <v>5</v>
      </c>
      <c r="H61" s="15" t="s">
        <v>268</v>
      </c>
      <c r="I61" s="15">
        <v>42637.434814814813</v>
      </c>
      <c r="J61" s="7">
        <v>0</v>
      </c>
      <c r="K61" s="121" t="str">
        <f t="shared" si="19"/>
        <v>4007/4008</v>
      </c>
      <c r="L61" s="24" t="str">
        <f>VLOOKUP(A61,'Trips&amp;Operators'!$C$1:$E$10000,3,FALSE)</f>
        <v>DAVIS</v>
      </c>
      <c r="M61" s="6">
        <f t="shared" si="20"/>
        <v>2.8402777774317656E-2</v>
      </c>
      <c r="N61" s="7">
        <f t="shared" si="33"/>
        <v>40.899999995017424</v>
      </c>
      <c r="O61" s="7"/>
      <c r="P61" s="7"/>
      <c r="Q61" s="25"/>
      <c r="R61" s="25"/>
      <c r="S61" s="37">
        <f t="shared" si="21"/>
        <v>1</v>
      </c>
      <c r="T61" s="52" t="str">
        <f t="shared" si="22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08:38:20-0600',mode:absolute,to:'2016-09-24 11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61" s="54" t="str">
        <f t="shared" si="24"/>
        <v>N</v>
      </c>
      <c r="X61" s="168">
        <f t="shared" si="25"/>
        <v>1</v>
      </c>
      <c r="Y61" s="69">
        <f t="shared" si="26"/>
        <v>4.4699999999999997E-2</v>
      </c>
      <c r="Z61" s="69">
        <f t="shared" si="27"/>
        <v>23.331199999999999</v>
      </c>
      <c r="AA61" s="69">
        <f t="shared" si="28"/>
        <v>23.2865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29"/>
        <v>0149-24</v>
      </c>
      <c r="AE61" s="99" t="str">
        <f t="shared" si="30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61" s="96" t="str">
        <f t="shared" si="31"/>
        <v>"C:\Program Files (x86)\AstroGrep\AstroGrep.exe" /spath="%USERPROFILE%\AppData\Local\Temp\OnboardLogs" /stypes="app*4007*20160924*" /stext=" 16:.+((SYSTEM_STATE.+slice.+state.+changed )|(ment ac)|(system.+state.+changed )|(\|lc)|(penalty)|(\[timeout)|(PRM\|1\|D)|(kpr)|(kdp))" /e /r /s</v>
      </c>
      <c r="AG61" s="1" t="str">
        <f t="shared" si="32"/>
        <v>EC</v>
      </c>
      <c r="AH61" s="100" t="str">
        <f t="shared" si="16"/>
        <v>"%USERPROFILE%\Documents\GitHub\eaglep3\Utilities\RefineRTDCRunTimes.py" --tripid 149-24 --locoid 4007 --swversion DE.1.0.7.0 --startMP 204:447 --initTime 2016-09-24T09:38:20 --startdatetime 2016-09-24T09:45:14 --delay 5 --endMP 204:233312 --enddatetime 2016-09-24T10:26:08 --enforcementcount 0 &gt;&gt;C:\Users\stu\Documents\GitHub\eaglep3-reporting\EC\2016-09-24-refined-times.txt</v>
      </c>
      <c r="AI61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{"issue":{"subject":"","project_id":79,"tracker_id":40,"status_id":1,"priority_id":2,"assigned_to_id":23,"start_date":"2016-09-24","description":"","custom_fields":[{"id":1,"name":"Subdivision","value":"EC"},{"id":4,"name":"Milepost","value":"23.3312"},{"id":17,"name":"Train ID","value":"149-24"},{"id":16,"name":"Locomotive ID","value":"4007"},{"id":130,"name":"Impact","value":""},{"id":150,"name":"Time of Event (Mountain Time)","value":"10:26:08"},{"id":151,"name":"Denver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505</v>
      </c>
      <c r="B62" s="7">
        <v>4008</v>
      </c>
      <c r="C62" s="24" t="s">
        <v>106</v>
      </c>
      <c r="D62" s="24" t="s">
        <v>287</v>
      </c>
      <c r="E62" s="15">
        <v>42637.44127314815</v>
      </c>
      <c r="F62" s="15">
        <v>42637.4453125</v>
      </c>
      <c r="G62" s="7">
        <v>1</v>
      </c>
      <c r="H62" s="15" t="s">
        <v>259</v>
      </c>
      <c r="I62" s="15">
        <v>42637.475775462961</v>
      </c>
      <c r="J62" s="7">
        <v>0</v>
      </c>
      <c r="K62" s="121" t="str">
        <f t="shared" si="19"/>
        <v>4007/4008</v>
      </c>
      <c r="L62" s="24" t="str">
        <f>VLOOKUP(A62,'Trips&amp;Operators'!$C$1:$E$10000,3,FALSE)</f>
        <v>DAVIS</v>
      </c>
      <c r="M62" s="6">
        <f t="shared" si="20"/>
        <v>3.0462962960882578E-2</v>
      </c>
      <c r="N62" s="7">
        <f t="shared" si="33"/>
        <v>43.866666663670912</v>
      </c>
      <c r="O62" s="7"/>
      <c r="P62" s="7"/>
      <c r="Q62" s="25"/>
      <c r="R62" s="25"/>
      <c r="S62" s="37">
        <f t="shared" si="21"/>
        <v>1</v>
      </c>
      <c r="T62" s="52" t="str">
        <f t="shared" si="22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09:35:26-0600',mode:absolute,to:'2016-09-24 12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62" s="54" t="str">
        <f t="shared" si="24"/>
        <v>N</v>
      </c>
      <c r="X62" s="168">
        <f t="shared" si="25"/>
        <v>1</v>
      </c>
      <c r="Y62" s="69">
        <f t="shared" si="26"/>
        <v>23.299099999999999</v>
      </c>
      <c r="Z62" s="69">
        <f t="shared" si="27"/>
        <v>1.3599999999999999E-2</v>
      </c>
      <c r="AA62" s="69">
        <f t="shared" si="28"/>
        <v>23.285499999999999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29"/>
        <v>0150-24</v>
      </c>
      <c r="AE62" s="99" t="str">
        <f t="shared" si="30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62" s="96" t="str">
        <f t="shared" si="31"/>
        <v>"C:\Program Files (x86)\AstroGrep\AstroGrep.exe" /spath="%USERPROFILE%\AppData\Local\Temp\OnboardLogs" /stypes="app*4008*20160924*" /stext=" 17:.+((SYSTEM_STATE.+slice.+state.+changed )|(ment ac)|(system.+state.+changed )|(\|lc)|(penalty)|(\[timeout)|(PRM\|1\|D)|(kpr)|(kdp))" /e /r /s</v>
      </c>
      <c r="AG62" s="1" t="str">
        <f t="shared" si="32"/>
        <v>EC</v>
      </c>
      <c r="AH62" s="100" t="str">
        <f t="shared" si="16"/>
        <v>"%USERPROFILE%\Documents\GitHub\eaglep3\Utilities\RefineRTDCRunTimes.py" --tripid 150-24 --locoid 4008 --swversion DE.1.0.7.0 --startMP 204:232991 --initTime 2016-09-24T10:35:26 --startdatetime 2016-09-24T10:41:15 --delay 1 --endMP 204:136 --enddatetime 2016-09-24T11:25:07 --enforcementcount 0 &gt;&gt;C:\Users\stu\Documents\GitHub\eaglep3-reporting\EC\2016-09-24-refined-times.txt</v>
      </c>
      <c r="AI62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{"issue":{"subject":"","project_id":79,"tracker_id":40,"status_id":1,"priority_id":2,"assigned_to_id":23,"start_date":"2016-09-24","description":"","custom_fields":[{"id":1,"name":"Subdivision","value":"EC"},{"id":4,"name":"Milepost","value":"0.0136"},{"id":17,"name":"Train ID","value":"150-24"},{"id":16,"name":"Locomotive ID","value":"4008"},{"id":130,"name":"Impact","value":""},{"id":150,"name":"Time of Event (Mountain Time)","value":"11:25:07"},{"id":151,"name":"Denver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501</v>
      </c>
      <c r="B63" s="7">
        <v>4042</v>
      </c>
      <c r="C63" s="24" t="s">
        <v>106</v>
      </c>
      <c r="D63" s="24" t="s">
        <v>305</v>
      </c>
      <c r="E63" s="15">
        <v>42637.412581018521</v>
      </c>
      <c r="F63" s="15">
        <v>42637.416851851849</v>
      </c>
      <c r="G63" s="7">
        <v>1</v>
      </c>
      <c r="H63" s="15" t="s">
        <v>253</v>
      </c>
      <c r="I63" s="15">
        <v>42637.441828703704</v>
      </c>
      <c r="J63" s="7">
        <v>0</v>
      </c>
      <c r="K63" s="121" t="str">
        <f t="shared" si="19"/>
        <v>4041/4042</v>
      </c>
      <c r="L63" s="24" t="str">
        <f>VLOOKUP(A63,'Trips&amp;Operators'!$C$1:$E$10000,3,FALSE)</f>
        <v>DE LA ROSA</v>
      </c>
      <c r="M63" s="6">
        <f t="shared" si="20"/>
        <v>2.4976851855171844E-2</v>
      </c>
      <c r="N63" s="7">
        <f t="shared" si="33"/>
        <v>35.966666671447456</v>
      </c>
      <c r="O63" s="7"/>
      <c r="P63" s="7"/>
      <c r="Q63" s="25"/>
      <c r="R63" s="25"/>
      <c r="S63" s="37">
        <f t="shared" si="21"/>
        <v>1</v>
      </c>
      <c r="T63" s="52" t="str">
        <f t="shared" si="22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08:54:07-0600',mode:absolute,to:'2016-09-24 11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3" s="54" t="str">
        <f t="shared" si="24"/>
        <v>N</v>
      </c>
      <c r="X63" s="168">
        <f t="shared" si="25"/>
        <v>1</v>
      </c>
      <c r="Y63" s="69">
        <f t="shared" si="26"/>
        <v>4.6399999999999997E-2</v>
      </c>
      <c r="Z63" s="69">
        <f t="shared" si="27"/>
        <v>23.3293</v>
      </c>
      <c r="AA63" s="69">
        <f t="shared" si="28"/>
        <v>23.282900000000001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29"/>
        <v>0151-24</v>
      </c>
      <c r="AE63" s="99" t="str">
        <f t="shared" si="30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63" s="96" t="str">
        <f t="shared" si="31"/>
        <v>"C:\Program Files (x86)\AstroGrep\AstroGrep.exe" /spath="%USERPROFILE%\AppData\Local\Temp\OnboardLogs" /stypes="app*4042*20160924*" /stext=" 16:.+((SYSTEM_STATE.+slice.+state.+changed )|(ment ac)|(system.+state.+changed )|(\|lc)|(penalty)|(\[timeout)|(PRM\|1\|D)|(kpr)|(kdp))" /e /r /s</v>
      </c>
      <c r="AG63" s="1" t="str">
        <f t="shared" si="32"/>
        <v>EC</v>
      </c>
      <c r="AH63" s="100" t="str">
        <f t="shared" si="16"/>
        <v>"%USERPROFILE%\Documents\GitHub\eaglep3\Utilities\RefineRTDCRunTimes.py" --tripid 151-24 --locoid 4042 --swversion DE.1.0.7.0 --startMP 204:464 --initTime 2016-09-24T09:54:07 --startdatetime 2016-09-24T10:00:16 --delay 1 --endMP 204:233293 --enddatetime 2016-09-24T10:36:14 --enforcementcount 0 &gt;&gt;C:\Users\stu\Documents\GitHub\eaglep3-reporting\EC\2016-09-24-refined-times.txt</v>
      </c>
      <c r="AI63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{"issue":{"subject":"","project_id":79,"tracker_id":40,"status_id":1,"priority_id":2,"assigned_to_id":23,"start_date":"2016-09-24","description":"","custom_fields":[{"id":1,"name":"Subdivision","value":"EC"},{"id":4,"name":"Milepost","value":"23.3293"},{"id":17,"name":"Train ID","value":"151-24"},{"id":16,"name":"Locomotive ID","value":"4042"},{"id":130,"name":"Impact","value":""},{"id":150,"name":"Time of Event (Mountain Time)","value":"10:36:14"},{"id":151,"name":"Denver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506</v>
      </c>
      <c r="B64" s="7">
        <v>4041</v>
      </c>
      <c r="C64" s="24" t="s">
        <v>106</v>
      </c>
      <c r="D64" s="24" t="s">
        <v>321</v>
      </c>
      <c r="E64" s="15">
        <v>42637.45275462963</v>
      </c>
      <c r="F64" s="15">
        <v>42637.45585648148</v>
      </c>
      <c r="G64" s="7">
        <v>1</v>
      </c>
      <c r="H64" s="15" t="s">
        <v>213</v>
      </c>
      <c r="I64" s="15">
        <v>42637.484942129631</v>
      </c>
      <c r="J64" s="7">
        <v>0</v>
      </c>
      <c r="K64" s="121" t="str">
        <f t="shared" si="19"/>
        <v>4041/4042</v>
      </c>
      <c r="L64" s="24" t="str">
        <f>VLOOKUP(A64,'Trips&amp;Operators'!$C$1:$E$10000,3,FALSE)</f>
        <v>DE LA ROSA</v>
      </c>
      <c r="M64" s="6">
        <f t="shared" si="20"/>
        <v>2.9085648151522037E-2</v>
      </c>
      <c r="N64" s="7">
        <f t="shared" si="33"/>
        <v>41.883333338191733</v>
      </c>
      <c r="O64" s="7"/>
      <c r="P64" s="7"/>
      <c r="Q64" s="25"/>
      <c r="R64" s="25"/>
      <c r="S64" s="37">
        <f t="shared" si="21"/>
        <v>1</v>
      </c>
      <c r="T64" s="52" t="str">
        <f t="shared" si="22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09:51:58-0600',mode:absolute,to:'2016-09-24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4" s="54" t="str">
        <f t="shared" si="24"/>
        <v>N</v>
      </c>
      <c r="X64" s="168">
        <f t="shared" si="25"/>
        <v>1</v>
      </c>
      <c r="Y64" s="69">
        <f t="shared" si="26"/>
        <v>23.297499999999999</v>
      </c>
      <c r="Z64" s="69">
        <f t="shared" si="27"/>
        <v>1.49E-2</v>
      </c>
      <c r="AA64" s="69">
        <f t="shared" si="28"/>
        <v>23.282599999999999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29"/>
        <v>0152-24</v>
      </c>
      <c r="AE64" s="99" t="str">
        <f t="shared" si="30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64" s="96" t="str">
        <f t="shared" si="31"/>
        <v>"C:\Program Files (x86)\AstroGrep\AstroGrep.exe" /spath="%USERPROFILE%\AppData\Local\Temp\OnboardLogs" /stypes="app*4041*20160924*" /stext=" 17:.+((SYSTEM_STATE.+slice.+state.+changed )|(ment ac)|(system.+state.+changed )|(\|lc)|(penalty)|(\[timeout)|(PRM\|1\|D)|(kpr)|(kdp))" /e /r /s</v>
      </c>
      <c r="AG64" s="1" t="str">
        <f t="shared" si="32"/>
        <v>EC</v>
      </c>
      <c r="AH64" s="100" t="str">
        <f t="shared" si="16"/>
        <v>"%USERPROFILE%\Documents\GitHub\eaglep3\Utilities\RefineRTDCRunTimes.py" --tripid 152-24 --locoid 4041 --swversion DE.1.0.7.0 --startMP 204:232975 --initTime 2016-09-24T10:51:58 --startdatetime 2016-09-24T10:56:26 --delay 1 --endMP 204:149 --enddatetime 2016-09-24T11:38:19 --enforcementcount 0 &gt;&gt;C:\Users\stu\Documents\GitHub\eaglep3-reporting\EC\2016-09-24-refined-times.txt</v>
      </c>
      <c r="AI64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{"issue":{"subject":"","project_id":79,"tracker_id":40,"status_id":1,"priority_id":2,"assigned_to_id":23,"start_date":"2016-09-24","description":"","custom_fields":[{"id":1,"name":"Subdivision","value":"EC"},{"id":4,"name":"Milepost","value":"0.0149"},{"id":17,"name":"Train ID","value":"152-24"},{"id":16,"name":"Locomotive ID","value":"4041"},{"id":130,"name":"Impact","value":""},{"id":150,"name":"Time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503</v>
      </c>
      <c r="B65" s="7">
        <v>4018</v>
      </c>
      <c r="C65" s="24" t="s">
        <v>106</v>
      </c>
      <c r="D65" s="24" t="s">
        <v>237</v>
      </c>
      <c r="E65" s="15">
        <v>42637.424803240741</v>
      </c>
      <c r="F65" s="15">
        <v>42637.427256944444</v>
      </c>
      <c r="G65" s="7">
        <v>3</v>
      </c>
      <c r="H65" s="15" t="s">
        <v>254</v>
      </c>
      <c r="I65" s="15">
        <v>42637.452372685184</v>
      </c>
      <c r="J65" s="7">
        <v>0</v>
      </c>
      <c r="K65" s="121" t="str">
        <f t="shared" si="19"/>
        <v>4017/4018</v>
      </c>
      <c r="L65" s="24" t="str">
        <f>VLOOKUP(A65,'Trips&amp;Operators'!$C$1:$E$10000,3,FALSE)</f>
        <v>GEBRETEKLE</v>
      </c>
      <c r="M65" s="6">
        <f t="shared" si="20"/>
        <v>2.5115740740147885E-2</v>
      </c>
      <c r="N65" s="7">
        <f t="shared" si="33"/>
        <v>36.166666665812954</v>
      </c>
      <c r="O65" s="7"/>
      <c r="P65" s="7"/>
      <c r="Q65" s="25"/>
      <c r="R65" s="25"/>
      <c r="S65" s="37">
        <f t="shared" si="21"/>
        <v>1</v>
      </c>
      <c r="T65" s="52" t="str">
        <f t="shared" si="22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09:11:43-0600',mode:absolute,to:'2016-09-24 11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5" s="54" t="str">
        <f t="shared" si="24"/>
        <v>N</v>
      </c>
      <c r="X65" s="168">
        <f t="shared" si="25"/>
        <v>1</v>
      </c>
      <c r="Y65" s="69">
        <f t="shared" si="26"/>
        <v>4.6199999999999998E-2</v>
      </c>
      <c r="Z65" s="69">
        <f t="shared" si="27"/>
        <v>23.331399999999999</v>
      </c>
      <c r="AA65" s="69">
        <f t="shared" si="28"/>
        <v>23.2852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29"/>
        <v>0153-24</v>
      </c>
      <c r="AE65" s="99" t="str">
        <f t="shared" si="30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65" s="96" t="str">
        <f t="shared" si="31"/>
        <v>"C:\Program Files (x86)\AstroGrep\AstroGrep.exe" /spath="%USERPROFILE%\AppData\Local\Temp\OnboardLogs" /stypes="app*4018*20160924*" /stext=" 16:.+((SYSTEM_STATE.+slice.+state.+changed )|(ment ac)|(system.+state.+changed )|(\|lc)|(penalty)|(\[timeout)|(PRM\|1\|D)|(kpr)|(kdp))" /e /r /s</v>
      </c>
      <c r="AG65" s="1" t="str">
        <f t="shared" si="32"/>
        <v>EC</v>
      </c>
      <c r="AH65" s="100" t="str">
        <f t="shared" si="16"/>
        <v>"%USERPROFILE%\Documents\GitHub\eaglep3\Utilities\RefineRTDCRunTimes.py" --tripid 153-24 --locoid 4018 --swversion DE.1.0.7.0 --startMP 204:462 --initTime 2016-09-24T10:11:43 --startdatetime 2016-09-24T10:15:15 --delay 3 --endMP 204:233314 --enddatetime 2016-09-24T10:51:25 --enforcementcount 0 &gt;&gt;C:\Users\stu\Documents\GitHub\eaglep3-reporting\EC\2016-09-24-refined-times.txt</v>
      </c>
      <c r="AI65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{"issue":{"subject":"","project_id":79,"tracker_id":40,"status_id":1,"priority_id":2,"assigned_to_id":23,"start_date":"2016-09-24","description":"","custom_fields":[{"id":1,"name":"Subdivision","value":"EC"},{"id":4,"name":"Milepost","value":"23.3314"},{"id":17,"name":"Train ID","value":"153-24"},{"id":16,"name":"Locomotive ID","value":"4018"},{"id":130,"name":"Impact","value":""},{"id":150,"name":"Time of Event (Mountain Time)","value":"10:51:25"},{"id":151,"name":"Denver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508</v>
      </c>
      <c r="B66" s="7">
        <v>4017</v>
      </c>
      <c r="C66" s="24" t="s">
        <v>106</v>
      </c>
      <c r="D66" s="24" t="s">
        <v>283</v>
      </c>
      <c r="E66" s="15">
        <v>42637.463321759256</v>
      </c>
      <c r="F66" s="15">
        <v>42637.46634259259</v>
      </c>
      <c r="G66" s="7">
        <v>1</v>
      </c>
      <c r="H66" s="15" t="s">
        <v>249</v>
      </c>
      <c r="I66" s="15">
        <v>42637.494722222225</v>
      </c>
      <c r="J66" s="7">
        <v>0</v>
      </c>
      <c r="K66" s="121" t="str">
        <f t="shared" si="19"/>
        <v>4017/4018</v>
      </c>
      <c r="L66" s="24" t="str">
        <f>VLOOKUP(A66,'Trips&amp;Operators'!$C$1:$E$10000,3,FALSE)</f>
        <v>GEBRETEKLE</v>
      </c>
      <c r="M66" s="6">
        <f t="shared" si="20"/>
        <v>2.8379629635310266E-2</v>
      </c>
      <c r="N66" s="7">
        <f t="shared" si="33"/>
        <v>40.866666674846783</v>
      </c>
      <c r="O66" s="7"/>
      <c r="P66" s="7"/>
      <c r="Q66" s="25"/>
      <c r="R66" s="25"/>
      <c r="S66" s="37">
        <f t="shared" si="21"/>
        <v>1</v>
      </c>
      <c r="T66" s="52" t="str">
        <f t="shared" si="22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10:07:11-0600',mode:absolute,to:'2016-09-24 12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6" s="54" t="str">
        <f t="shared" si="24"/>
        <v>N</v>
      </c>
      <c r="X66" s="168">
        <f t="shared" si="25"/>
        <v>1</v>
      </c>
      <c r="Y66" s="69">
        <f t="shared" si="26"/>
        <v>23.298300000000001</v>
      </c>
      <c r="Z66" s="69">
        <f t="shared" si="27"/>
        <v>1.5599999999999999E-2</v>
      </c>
      <c r="AA66" s="69">
        <f t="shared" si="28"/>
        <v>23.282700000000002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29"/>
        <v>0154-24</v>
      </c>
      <c r="AE66" s="99" t="str">
        <f t="shared" si="30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66" s="96" t="str">
        <f t="shared" si="31"/>
        <v>"C:\Program Files (x86)\AstroGrep\AstroGrep.exe" /spath="%USERPROFILE%\AppData\Local\Temp\OnboardLogs" /stypes="app*4017*20160924*" /stext=" 17:.+((SYSTEM_STATE.+slice.+state.+changed )|(ment ac)|(system.+state.+changed )|(\|lc)|(penalty)|(\[timeout)|(PRM\|1\|D)|(kpr)|(kdp))" /e /r /s</v>
      </c>
      <c r="AG66" s="1" t="str">
        <f t="shared" si="32"/>
        <v>EC</v>
      </c>
      <c r="AH66" s="100" t="str">
        <f t="shared" si="16"/>
        <v>"%USERPROFILE%\Documents\GitHub\eaglep3\Utilities\RefineRTDCRunTimes.py" --tripid 154-24 --locoid 4017 --swversion DE.1.0.7.0 --startMP 204:232983 --initTime 2016-09-24T11:07:11 --startdatetime 2016-09-24T11:11:32 --delay 1 --endMP 204:156 --enddatetime 2016-09-24T11:52:24 --enforcementcount 0 &gt;&gt;C:\Users\stu\Documents\GitHub\eaglep3-reporting\EC\2016-09-24-refined-times.txt</v>
      </c>
      <c r="AI66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{"issue":{"subject":"","project_id":79,"tracker_id":40,"status_id":1,"priority_id":2,"assigned_to_id":23,"start_date":"2016-09-24","description":"","custom_fields":[{"id":1,"name":"Subdivision","value":"EC"},{"id":4,"name":"Milepost","value":"0.0156"},{"id":17,"name":"Train ID","value":"154-24"},{"id":16,"name":"Locomotive ID","value":"4017"},{"id":130,"name":"Impact","value":""},{"id":150,"name":"Time of Event (Mountain Time)","value":"11:52:24"},{"id":151,"name":"Denver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444</v>
      </c>
      <c r="B67" s="7">
        <v>4009</v>
      </c>
      <c r="C67" s="24" t="s">
        <v>106</v>
      </c>
      <c r="D67" s="24" t="s">
        <v>404</v>
      </c>
      <c r="E67" s="15">
        <v>42637.434386574074</v>
      </c>
      <c r="F67" s="15">
        <v>42637.437673611108</v>
      </c>
      <c r="G67" s="7">
        <v>2</v>
      </c>
      <c r="H67" s="15" t="s">
        <v>623</v>
      </c>
      <c r="I67" s="15">
        <v>42637.46534722222</v>
      </c>
      <c r="J67" s="7">
        <v>0</v>
      </c>
      <c r="K67" s="121" t="str">
        <f t="shared" si="19"/>
        <v>4009/4010</v>
      </c>
      <c r="L67" s="24" t="str">
        <f>VLOOKUP(A67,'Trips&amp;Operators'!$C$1:$E$10000,3,FALSE)</f>
        <v>CLARK</v>
      </c>
      <c r="M67" s="6">
        <f t="shared" si="20"/>
        <v>2.7673611111822538E-2</v>
      </c>
      <c r="N67" s="7">
        <f t="shared" si="33"/>
        <v>39.850000001024455</v>
      </c>
      <c r="O67" s="7"/>
      <c r="P67" s="7"/>
      <c r="Q67" s="25"/>
      <c r="R67" s="25"/>
      <c r="S67" s="37">
        <f t="shared" si="21"/>
        <v>1</v>
      </c>
      <c r="T67" s="52" t="str">
        <f t="shared" si="22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09:25:31-0600',mode:absolute,to:'2016-09-24 12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7" s="54" t="str">
        <f t="shared" si="24"/>
        <v>N</v>
      </c>
      <c r="X67" s="168">
        <f t="shared" si="25"/>
        <v>1</v>
      </c>
      <c r="Y67" s="69">
        <f t="shared" si="26"/>
        <v>4.3499999999999997E-2</v>
      </c>
      <c r="Z67" s="69">
        <f t="shared" si="27"/>
        <v>23.316700000000001</v>
      </c>
      <c r="AA67" s="69">
        <f t="shared" si="28"/>
        <v>23.273199999999999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29"/>
        <v>0155-24</v>
      </c>
      <c r="AE67" s="99" t="str">
        <f t="shared" si="30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67" s="96" t="str">
        <f t="shared" si="31"/>
        <v>"C:\Program Files (x86)\AstroGrep\AstroGrep.exe" /spath="%USERPROFILE%\AppData\Local\Temp\OnboardLogs" /stypes="app*4009*20160924*" /stext=" 17:.+((SYSTEM_STATE.+slice.+state.+changed )|(ment ac)|(system.+state.+changed )|(\|lc)|(penalty)|(\[timeout)|(PRM\|1\|D)|(kpr)|(kdp))" /e /r /s</v>
      </c>
      <c r="AG67" s="1" t="str">
        <f t="shared" si="32"/>
        <v>EC</v>
      </c>
      <c r="AH67" s="100" t="str">
        <f t="shared" si="16"/>
        <v>"%USERPROFILE%\Documents\GitHub\eaglep3\Utilities\RefineRTDCRunTimes.py" --tripid 155-24 --locoid 4009 --swversion DE.1.0.7.0 --startMP 204:435 --initTime 2016-09-24T10:25:31 --startdatetime 2016-09-24T10:30:15 --delay 2 --endMP 204:233167 --enddatetime 2016-09-24T11:10:06 --enforcementcount 0 &gt;&gt;C:\Users\stu\Documents\GitHub\eaglep3-reporting\EC\2016-09-24-refined-times.txt</v>
      </c>
      <c r="AI6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{"issue":{"subject":"","project_id":79,"tracker_id":40,"status_id":1,"priority_id":2,"assigned_to_id":23,"start_date":"2016-09-24","description":"","custom_fields":[{"id":1,"name":"Subdivision","value":"EC"},{"id":4,"name":"Milepost","value":"23.3167"},{"id":17,"name":"Train ID","value":"155-24"},{"id":16,"name":"Locomotive ID","value":"4009"},{"id":130,"name":"Impact","value":""},{"id":150,"name":"Time of Event (Mountain Time)","value":"11:10:06"},{"id":151,"name":"Denver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511</v>
      </c>
      <c r="B68" s="7">
        <v>4010</v>
      </c>
      <c r="C68" s="24" t="s">
        <v>106</v>
      </c>
      <c r="D68" s="24" t="s">
        <v>624</v>
      </c>
      <c r="E68" s="15">
        <v>42637.472488425927</v>
      </c>
      <c r="F68" s="15">
        <v>42637.476574074077</v>
      </c>
      <c r="G68" s="7">
        <v>1</v>
      </c>
      <c r="H68" s="15" t="s">
        <v>302</v>
      </c>
      <c r="I68" s="15">
        <v>42637.508449074077</v>
      </c>
      <c r="J68" s="7">
        <v>0</v>
      </c>
      <c r="K68" s="121" t="str">
        <f t="shared" si="19"/>
        <v>4009/4010</v>
      </c>
      <c r="L68" s="24" t="str">
        <f>VLOOKUP(A68,'Trips&amp;Operators'!$C$1:$E$10000,3,FALSE)</f>
        <v>CLARK</v>
      </c>
      <c r="M68" s="6">
        <f t="shared" si="20"/>
        <v>3.1875000000582077E-2</v>
      </c>
      <c r="N68" s="7">
        <f t="shared" si="33"/>
        <v>45.90000000083819</v>
      </c>
      <c r="O68" s="7"/>
      <c r="P68" s="7"/>
      <c r="Q68" s="25"/>
      <c r="R68" s="25"/>
      <c r="S68" s="37">
        <f t="shared" si="21"/>
        <v>1</v>
      </c>
      <c r="T68" s="52" t="str">
        <f t="shared" si="22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10:20:23-0600',mode:absolute,to:'2016-09-24 13:12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8" s="54" t="str">
        <f t="shared" si="24"/>
        <v>N</v>
      </c>
      <c r="X68" s="168">
        <f t="shared" si="25"/>
        <v>1</v>
      </c>
      <c r="Y68" s="69">
        <f t="shared" si="26"/>
        <v>23.284199999999998</v>
      </c>
      <c r="Z68" s="69">
        <f t="shared" si="27"/>
        <v>1.67E-2</v>
      </c>
      <c r="AA68" s="69">
        <f t="shared" si="28"/>
        <v>23.267499999999998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29"/>
        <v>0156-24</v>
      </c>
      <c r="AE68" s="99" t="str">
        <f t="shared" si="30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68" s="96" t="str">
        <f t="shared" si="31"/>
        <v>"C:\Program Files (x86)\AstroGrep\AstroGrep.exe" /spath="%USERPROFILE%\AppData\Local\Temp\OnboardLogs" /stypes="app*4010*20160924*" /stext=" 18:.+((SYSTEM_STATE.+slice.+state.+changed )|(ment ac)|(system.+state.+changed )|(\|lc)|(penalty)|(\[timeout)|(PRM\|1\|D)|(kpr)|(kdp))" /e /r /s</v>
      </c>
      <c r="AG68" s="1" t="str">
        <f t="shared" si="32"/>
        <v>EC</v>
      </c>
      <c r="AH68" s="100" t="str">
        <f t="shared" si="16"/>
        <v>"%USERPROFILE%\Documents\GitHub\eaglep3\Utilities\RefineRTDCRunTimes.py" --tripid 156-24 --locoid 4010 --swversion DE.1.0.7.0 --startMP 204:232842 --initTime 2016-09-24T11:20:23 --startdatetime 2016-09-24T11:26:16 --delay 1 --endMP 204:167 --enddatetime 2016-09-24T12:12:10 --enforcementcount 0 &gt;&gt;C:\Users\stu\Documents\GitHub\eaglep3-reporting\EC\2016-09-24-refined-times.txt</v>
      </c>
      <c r="AI68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{"issue":{"subject":"","project_id":79,"tracker_id":40,"status_id":1,"priority_id":2,"assigned_to_id":23,"start_date":"2016-09-24","description":"","custom_fields":[{"id":1,"name":"Subdivision","value":"EC"},{"id":4,"name":"Milepost","value":"0.0167"},{"id":17,"name":"Train ID","value":"156-24"},{"id":16,"name":"Locomotive ID","value":"4010"},{"id":130,"name":"Impact","value":""},{"id":150,"name":"Time of Event (Mountain Time)","value":"12:12:10"},{"id":151,"name":"Denver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443</v>
      </c>
      <c r="B69" s="7">
        <v>4014</v>
      </c>
      <c r="C69" s="24" t="s">
        <v>106</v>
      </c>
      <c r="D69" s="24" t="s">
        <v>216</v>
      </c>
      <c r="E69" s="15">
        <v>42637.444386574076</v>
      </c>
      <c r="F69" s="15">
        <v>42637.448159722226</v>
      </c>
      <c r="G69" s="7">
        <v>1</v>
      </c>
      <c r="H69" s="15" t="s">
        <v>253</v>
      </c>
      <c r="I69" s="15">
        <v>42637.476759259262</v>
      </c>
      <c r="J69" s="7">
        <v>0</v>
      </c>
      <c r="K69" s="121" t="str">
        <f t="shared" si="19"/>
        <v>4013/4014</v>
      </c>
      <c r="L69" s="24" t="str">
        <f>VLOOKUP(A69,'Trips&amp;Operators'!$C$1:$E$10000,3,FALSE)</f>
        <v>STRICKLAND</v>
      </c>
      <c r="M69" s="6">
        <f t="shared" si="20"/>
        <v>2.8599537035916001E-2</v>
      </c>
      <c r="N69" s="7">
        <f t="shared" si="33"/>
        <v>41.183333331719041</v>
      </c>
      <c r="O69" s="7"/>
      <c r="P69" s="7"/>
      <c r="Q69" s="25"/>
      <c r="R69" s="25"/>
      <c r="S69" s="37">
        <f t="shared" si="21"/>
        <v>1</v>
      </c>
      <c r="T69" s="52" t="str">
        <f t="shared" si="22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09:39:55-0600',mode:absolute,to:'2016-09-24 12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9" s="54" t="str">
        <f t="shared" si="24"/>
        <v>N</v>
      </c>
      <c r="X69" s="168">
        <f t="shared" si="25"/>
        <v>1</v>
      </c>
      <c r="Y69" s="69">
        <f t="shared" si="26"/>
        <v>4.7100000000000003E-2</v>
      </c>
      <c r="Z69" s="69">
        <f t="shared" si="27"/>
        <v>23.3293</v>
      </c>
      <c r="AA69" s="69">
        <f t="shared" si="28"/>
        <v>23.2822</v>
      </c>
      <c r="AB69" s="66" t="str">
        <f>VLOOKUP(A69,Enforcements!$C$7:$K$20,8,0)</f>
        <v>Bulletin (2)</v>
      </c>
      <c r="AC69" s="62" t="str">
        <f>VLOOKUP(A69,Enforcements!$C$7:$E$20,3,0)</f>
        <v>GRADE CROSSING</v>
      </c>
      <c r="AD69" s="63" t="str">
        <f t="shared" si="29"/>
        <v>0157-24</v>
      </c>
      <c r="AE69" s="99" t="str">
        <f t="shared" si="30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69" s="96" t="str">
        <f t="shared" si="31"/>
        <v>"C:\Program Files (x86)\AstroGrep\AstroGrep.exe" /spath="%USERPROFILE%\AppData\Local\Temp\OnboardLogs" /stypes="app*4014*20160924*" /stext=" 17:.+((SYSTEM_STATE.+slice.+state.+changed )|(ment ac)|(system.+state.+changed )|(\|lc)|(penalty)|(\[timeout)|(PRM\|1\|D)|(kpr)|(kdp))" /e /r /s</v>
      </c>
      <c r="AG69" s="1" t="str">
        <f t="shared" si="32"/>
        <v>EC</v>
      </c>
      <c r="AH69" s="100" t="str">
        <f t="shared" si="16"/>
        <v>"%USERPROFILE%\Documents\GitHub\eaglep3\Utilities\RefineRTDCRunTimes.py" --tripid 157-24 --locoid 4014 --swversion DE.1.0.7.0 --startMP 204:471 --initTime 2016-09-24T10:39:55 --startdatetime 2016-09-24T10:45:21 --delay 1 --endMP 204:233293 --enddatetime 2016-09-24T11:26:32 --enforcementcount 0 &gt;&gt;C:\Users\stu\Documents\GitHub\eaglep3-reporting\EC\2016-09-24-refined-times.txt</v>
      </c>
      <c r="AI69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{"issue":{"subject":"","project_id":79,"tracker_id":40,"status_id":1,"priority_id":2,"assigned_to_id":23,"start_date":"2016-09-24","description":"","custom_fields":[{"id":1,"name":"Subdivision","value":"EC"},{"id":4,"name":"Milepost","value":"23.3293"},{"id":17,"name":"Train ID","value":"157-24"},{"id":16,"name":"Locomotive ID","value":"4014"},{"id":130,"name":"Impact","value":""},{"id":150,"name":"Time of Event (Mountain Time)","value":"11:26:32"},{"id":151,"name":"Denver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446</v>
      </c>
      <c r="B70" s="7">
        <v>4013</v>
      </c>
      <c r="C70" s="24" t="s">
        <v>106</v>
      </c>
      <c r="D70" s="24" t="s">
        <v>414</v>
      </c>
      <c r="E70" s="15">
        <v>42637.482997685183</v>
      </c>
      <c r="F70" s="15">
        <v>42637.487002314818</v>
      </c>
      <c r="G70" s="7">
        <v>1</v>
      </c>
      <c r="H70" s="15" t="s">
        <v>613</v>
      </c>
      <c r="I70" s="15">
        <v>42637.516388888886</v>
      </c>
      <c r="J70" s="7">
        <v>0</v>
      </c>
      <c r="K70" s="121" t="str">
        <f t="shared" si="19"/>
        <v>4013/4014</v>
      </c>
      <c r="L70" s="24" t="str">
        <f>VLOOKUP(A70,'Trips&amp;Operators'!$C$1:$E$10000,3,FALSE)</f>
        <v>STRICKLAND</v>
      </c>
      <c r="M70" s="6">
        <f t="shared" si="20"/>
        <v>2.9386574067757465E-2</v>
      </c>
      <c r="N70" s="7">
        <f t="shared" si="33"/>
        <v>42.31666665757075</v>
      </c>
      <c r="O70" s="7"/>
      <c r="P70" s="7"/>
      <c r="Q70" s="25"/>
      <c r="R70" s="25"/>
      <c r="S70" s="37">
        <f t="shared" si="21"/>
        <v>1</v>
      </c>
      <c r="T70" s="52" t="str">
        <f t="shared" si="22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10:35:31-0600',mode:absolute,to:'2016-09-24 13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0" s="54" t="str">
        <f t="shared" si="24"/>
        <v>N</v>
      </c>
      <c r="X70" s="168">
        <f t="shared" si="25"/>
        <v>1</v>
      </c>
      <c r="Y70" s="69">
        <f t="shared" si="26"/>
        <v>23.297899999999998</v>
      </c>
      <c r="Z70" s="69">
        <f t="shared" si="27"/>
        <v>1.8499999999999999E-2</v>
      </c>
      <c r="AA70" s="69">
        <f t="shared" si="28"/>
        <v>23.279399999999999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29"/>
        <v>0158-24</v>
      </c>
      <c r="AE70" s="99" t="str">
        <f t="shared" si="30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70" s="96" t="str">
        <f t="shared" si="31"/>
        <v>"C:\Program Files (x86)\AstroGrep\AstroGrep.exe" /spath="%USERPROFILE%\AppData\Local\Temp\OnboardLogs" /stypes="app*4013*20160924*" /stext=" 18:.+((SYSTEM_STATE.+slice.+state.+changed )|(ment ac)|(system.+state.+changed )|(\|lc)|(penalty)|(\[timeout)|(PRM\|1\|D)|(kpr)|(kdp))" /e /r /s</v>
      </c>
      <c r="AG70" s="1" t="str">
        <f t="shared" si="32"/>
        <v>EC</v>
      </c>
      <c r="AH70" s="100" t="str">
        <f t="shared" si="16"/>
        <v>"%USERPROFILE%\Documents\GitHub\eaglep3\Utilities\RefineRTDCRunTimes.py" --tripid 158-24 --locoid 4013 --swversion DE.1.0.7.0 --startMP 204:232979 --initTime 2016-09-24T11:35:31 --startdatetime 2016-09-24T11:41:17 --delay 1 --endMP 204:185 --enddatetime 2016-09-24T12:23:36 --enforcementcount 0 &gt;&gt;C:\Users\stu\Documents\GitHub\eaglep3-reporting\EC\2016-09-24-refined-times.txt</v>
      </c>
      <c r="AI70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{"issue":{"subject":"","project_id":79,"tracker_id":40,"status_id":1,"priority_id":2,"assigned_to_id":23,"start_date":"2016-09-24","description":"","custom_fields":[{"id":1,"name":"Subdivision","value":"EC"},{"id":4,"name":"Milepost","value":"0.0185"},{"id":17,"name":"Train ID","value":"158-24"},{"id":16,"name":"Locomotive ID","value":"4013"},{"id":130,"name":"Impact","value":""},{"id":150,"name":"Time of Event (Mountain Time)","value":"12:23:36"},{"id":151,"name":"Denver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507</v>
      </c>
      <c r="B71" s="7">
        <v>4003</v>
      </c>
      <c r="C71" s="24" t="s">
        <v>106</v>
      </c>
      <c r="D71" s="24" t="s">
        <v>266</v>
      </c>
      <c r="E71" s="15">
        <v>42637.456990740742</v>
      </c>
      <c r="F71" s="15">
        <v>42637.460358796299</v>
      </c>
      <c r="G71" s="7">
        <v>2</v>
      </c>
      <c r="H71" s="15" t="s">
        <v>303</v>
      </c>
      <c r="I71" s="15">
        <v>42637.485671296294</v>
      </c>
      <c r="J71" s="7">
        <v>0</v>
      </c>
      <c r="K71" s="121" t="str">
        <f t="shared" si="19"/>
        <v>4003/4004</v>
      </c>
      <c r="L71" s="24" t="str">
        <f>VLOOKUP(A71,'Trips&amp;Operators'!$C$1:$E$10000,3,FALSE)</f>
        <v>STEWART</v>
      </c>
      <c r="M71" s="6">
        <f t="shared" si="20"/>
        <v>2.5312499994470272E-2</v>
      </c>
      <c r="N71" s="7">
        <f t="shared" si="33"/>
        <v>36.449999992037192</v>
      </c>
      <c r="O71" s="7"/>
      <c r="P71" s="7"/>
      <c r="Q71" s="25"/>
      <c r="R71" s="25"/>
      <c r="S71" s="37">
        <f t="shared" si="21"/>
        <v>1</v>
      </c>
      <c r="T71" s="52" t="str">
        <f t="shared" si="22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09:58:04-0600',mode:absolute,to:'2016-09-24 12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1" s="54" t="str">
        <f t="shared" si="24"/>
        <v>N</v>
      </c>
      <c r="X71" s="168">
        <f t="shared" si="25"/>
        <v>1</v>
      </c>
      <c r="Y71" s="69">
        <f t="shared" si="26"/>
        <v>4.8399999999999999E-2</v>
      </c>
      <c r="Z71" s="69">
        <f t="shared" si="27"/>
        <v>23.328399999999998</v>
      </c>
      <c r="AA71" s="69">
        <f t="shared" si="28"/>
        <v>23.279999999999998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29"/>
        <v>0159-24</v>
      </c>
      <c r="AE71" s="99" t="str">
        <f t="shared" si="30"/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AF71" s="96" t="str">
        <f t="shared" si="31"/>
        <v>"C:\Program Files (x86)\AstroGrep\AstroGrep.exe" /spath="%USERPROFILE%\AppData\Local\Temp\OnboardLogs" /stypes="app*4003*20160924*" /stext=" 17:.+((SYSTEM_STATE.+slice.+state.+changed )|(ment ac)|(system.+state.+changed )|(\|lc)|(penalty)|(\[timeout)|(PRM\|1\|D)|(kpr)|(kdp))" /e /r /s</v>
      </c>
      <c r="AG71" s="1" t="str">
        <f t="shared" si="32"/>
        <v>EC</v>
      </c>
      <c r="AH71" s="100" t="str">
        <f t="shared" si="16"/>
        <v>"%USERPROFILE%\Documents\GitHub\eaglep3\Utilities\RefineRTDCRunTimes.py" --tripid 159-24 --locoid 4003 --swversion DE.1.0.7.0 --startMP 204:484 --initTime 2016-09-24T10:58:04 --startdatetime 2016-09-24T11:02:55 --delay 2 --endMP 204:233284 --enddatetime 2016-09-24T11:39:22 --enforcementcount 0 &gt;&gt;C:\Users\stu\Documents\GitHub\eaglep3-reporting\EC\2016-09-24-refined-times.txt</v>
      </c>
      <c r="AI71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{"issue":{"subject":"","project_id":79,"tracker_id":40,"status_id":1,"priority_id":2,"assigned_to_id":23,"start_date":"2016-09-24","description":"","custom_fields":[{"id":1,"name":"Subdivision","value":"EC"},{"id":4,"name":"Milepost","value":"23.3284"},{"id":17,"name":"Train ID","value":"159-24"},{"id":16,"name":"Locomotive ID","value":"4003"},{"id":130,"name":"Impact","value":""},{"id":150,"name":"Time of Event (Mountain Time)","value":"11:39:22"},{"id":151,"name":"Denver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447</v>
      </c>
      <c r="B72" s="7">
        <v>4004</v>
      </c>
      <c r="C72" s="24" t="s">
        <v>106</v>
      </c>
      <c r="D72" s="24" t="s">
        <v>307</v>
      </c>
      <c r="E72" s="15">
        <v>42637.493946759256</v>
      </c>
      <c r="F72" s="15">
        <v>42637.497696759259</v>
      </c>
      <c r="G72" s="7">
        <v>2</v>
      </c>
      <c r="H72" s="15" t="s">
        <v>244</v>
      </c>
      <c r="I72" s="15">
        <v>42637.527442129627</v>
      </c>
      <c r="J72" s="7">
        <v>0</v>
      </c>
      <c r="K72" s="121" t="str">
        <f t="shared" si="19"/>
        <v>4003/4004</v>
      </c>
      <c r="L72" s="24" t="str">
        <f>VLOOKUP(A72,'Trips&amp;Operators'!$C$1:$E$10000,3,FALSE)</f>
        <v>STEWART</v>
      </c>
      <c r="M72" s="6">
        <f t="shared" si="20"/>
        <v>2.9745370367891155E-2</v>
      </c>
      <c r="N72" s="7">
        <f t="shared" si="33"/>
        <v>42.833333329763263</v>
      </c>
      <c r="O72" s="7"/>
      <c r="P72" s="7"/>
      <c r="Q72" s="25"/>
      <c r="R72" s="25"/>
      <c r="S72" s="37">
        <f t="shared" si="21"/>
        <v>1</v>
      </c>
      <c r="T72" s="52" t="str">
        <f t="shared" si="22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10:51:17-0600',mode:absolute,to:'2016-09-24 13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2" s="54" t="str">
        <f t="shared" si="24"/>
        <v>N</v>
      </c>
      <c r="X72" s="168">
        <f t="shared" si="25"/>
        <v>1</v>
      </c>
      <c r="Y72" s="69">
        <f t="shared" si="26"/>
        <v>23.2973</v>
      </c>
      <c r="Z72" s="69">
        <f t="shared" si="27"/>
        <v>1.61E-2</v>
      </c>
      <c r="AA72" s="69">
        <f t="shared" si="28"/>
        <v>23.281199999999998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29"/>
        <v>0160-24</v>
      </c>
      <c r="AE72" s="99" t="str">
        <f t="shared" si="30"/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AF72" s="96" t="str">
        <f t="shared" si="31"/>
        <v>"C:\Program Files (x86)\AstroGrep\AstroGrep.exe" /spath="%USERPROFILE%\AppData\Local\Temp\OnboardLogs" /stypes="app*4004*20160924*" /stext=" 18:.+((SYSTEM_STATE.+slice.+state.+changed )|(ment ac)|(system.+state.+changed )|(\|lc)|(penalty)|(\[timeout)|(PRM\|1\|D)|(kpr)|(kdp))" /e /r /s</v>
      </c>
      <c r="AG72" s="1" t="str">
        <f t="shared" si="32"/>
        <v>EC</v>
      </c>
      <c r="AH72" s="100" t="str">
        <f t="shared" si="16"/>
        <v>"%USERPROFILE%\Documents\GitHub\eaglep3\Utilities\RefineRTDCRunTimes.py" --tripid 160-24 --locoid 4004 --swversion DE.1.0.7.0 --startMP 204:232973 --initTime 2016-09-24T11:51:17 --startdatetime 2016-09-24T11:56:41 --delay 2 --endMP 204:161 --enddatetime 2016-09-24T12:39:31 --enforcementcount 0 &gt;&gt;C:\Users\stu\Documents\GitHub\eaglep3-reporting\EC\2016-09-24-refined-times.txt</v>
      </c>
      <c r="AI72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{"issue":{"subject":"","project_id":79,"tracker_id":40,"status_id":1,"priority_id":2,"assigned_to_id":23,"start_date":"2016-09-24","description":"","custom_fields":[{"id":1,"name":"Subdivision","value":"EC"},{"id":4,"name":"Milepost","value":"0.0161"},{"id":17,"name":"Train ID","value":"160-24"},{"id":16,"name":"Locomotive ID","value":"4004"},{"id":130,"name":"Impact","value":""},{"id":150,"name":"Time of Event (Mountain Time)","value":"12:39:31"},{"id":151,"name":"Denver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509</v>
      </c>
      <c r="B73" s="7">
        <v>4053</v>
      </c>
      <c r="C73" s="24" t="s">
        <v>106</v>
      </c>
      <c r="D73" s="24" t="s">
        <v>223</v>
      </c>
      <c r="E73" s="15">
        <v>42637.464791666665</v>
      </c>
      <c r="F73" s="15">
        <v>42637.468923611108</v>
      </c>
      <c r="G73" s="7">
        <v>2</v>
      </c>
      <c r="H73" s="15" t="s">
        <v>319</v>
      </c>
      <c r="I73" s="15">
        <v>42637.495092592595</v>
      </c>
      <c r="J73" s="7">
        <v>0</v>
      </c>
      <c r="K73" s="121" t="str">
        <f t="shared" si="19"/>
        <v>4053/4054</v>
      </c>
      <c r="L73" s="24" t="str">
        <f>VLOOKUP(A73,'Trips&amp;Operators'!$C$1:$E$10000,3,FALSE)</f>
        <v>BARTLETT</v>
      </c>
      <c r="M73" s="6">
        <f t="shared" si="20"/>
        <v>2.6168981486989651E-2</v>
      </c>
      <c r="N73" s="7">
        <f t="shared" si="33"/>
        <v>37.683333341265097</v>
      </c>
      <c r="O73" s="7"/>
      <c r="P73" s="7"/>
      <c r="Q73" s="25"/>
      <c r="R73" s="25"/>
      <c r="S73" s="37">
        <f t="shared" si="21"/>
        <v>1</v>
      </c>
      <c r="T73" s="52" t="str">
        <f t="shared" si="22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10:09:18-0600',mode:absolute,to:'2016-09-24 12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3" s="54" t="str">
        <f t="shared" si="24"/>
        <v>N</v>
      </c>
      <c r="X73" s="168">
        <f t="shared" si="25"/>
        <v>1</v>
      </c>
      <c r="Y73" s="69">
        <f t="shared" si="26"/>
        <v>4.5699999999999998E-2</v>
      </c>
      <c r="Z73" s="69">
        <f t="shared" si="27"/>
        <v>23.331</v>
      </c>
      <c r="AA73" s="69">
        <f t="shared" si="28"/>
        <v>23.285299999999999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29"/>
        <v>0161-24</v>
      </c>
      <c r="AE73" s="99" t="str">
        <f t="shared" si="30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73" s="96" t="str">
        <f t="shared" si="31"/>
        <v>"C:\Program Files (x86)\AstroGrep\AstroGrep.exe" /spath="%USERPROFILE%\AppData\Local\Temp\OnboardLogs" /stypes="app*4053*20160924*" /stext=" 17:.+((SYSTEM_STATE.+slice.+state.+changed )|(ment ac)|(system.+state.+changed )|(\|lc)|(penalty)|(\[timeout)|(PRM\|1\|D)|(kpr)|(kdp))" /e /r /s</v>
      </c>
      <c r="AG73" s="1" t="str">
        <f t="shared" si="32"/>
        <v>EC</v>
      </c>
      <c r="AH73" s="100" t="str">
        <f t="shared" si="16"/>
        <v>"%USERPROFILE%\Documents\GitHub\eaglep3\Utilities\RefineRTDCRunTimes.py" --tripid 161-24 --locoid 4053 --swversion DE.1.0.7.0 --startMP 204:457 --initTime 2016-09-24T11:09:18 --startdatetime 2016-09-24T11:15:15 --delay 2 --endMP 204:233310 --enddatetime 2016-09-24T11:52:56 --enforcementcount 0 &gt;&gt;C:\Users\stu\Documents\GitHub\eaglep3-reporting\EC\2016-09-24-refined-times.txt</v>
      </c>
      <c r="AI73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{"issue":{"subject":"","project_id":79,"tracker_id":40,"status_id":1,"priority_id":2,"assigned_to_id":23,"start_date":"2016-09-24","description":"","custom_fields":[{"id":1,"name":"Subdivision","value":"EC"},{"id":4,"name":"Milepost","value":"23.331"},{"id":17,"name":"Train ID","value":"161-24"},{"id":16,"name":"Locomotive ID","value":"4053"},{"id":130,"name":"Impact","value":""},{"id":150,"name":"Time of Event (Mountain Time)","value":"11:52:56"},{"id":151,"name":"Denver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513</v>
      </c>
      <c r="B74" s="7">
        <v>4054</v>
      </c>
      <c r="C74" s="24" t="s">
        <v>106</v>
      </c>
      <c r="D74" s="24" t="s">
        <v>282</v>
      </c>
      <c r="E74" s="15">
        <v>42637.496840277781</v>
      </c>
      <c r="F74" s="15">
        <v>42637.507939814815</v>
      </c>
      <c r="G74" s="7">
        <v>1</v>
      </c>
      <c r="H74" s="15" t="s">
        <v>402</v>
      </c>
      <c r="I74" s="15">
        <v>42637.535624999997</v>
      </c>
      <c r="J74" s="7">
        <v>0</v>
      </c>
      <c r="K74" s="121" t="str">
        <f t="shared" si="19"/>
        <v>4053/4054</v>
      </c>
      <c r="L74" s="24" t="str">
        <f>VLOOKUP(A74,'Trips&amp;Operators'!$C$1:$E$10000,3,FALSE)</f>
        <v>BARTLETT</v>
      </c>
      <c r="M74" s="6">
        <f t="shared" si="20"/>
        <v>2.7685185181326233E-2</v>
      </c>
      <c r="N74" s="7">
        <f t="shared" si="33"/>
        <v>39.866666661109775</v>
      </c>
      <c r="O74" s="7"/>
      <c r="P74" s="7"/>
      <c r="Q74" s="25"/>
      <c r="R74" s="25"/>
      <c r="S74" s="37">
        <f t="shared" si="21"/>
        <v>1</v>
      </c>
      <c r="T74" s="52" t="str">
        <f t="shared" si="22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10:55:27-0600',mode:absolute,to:'2016-09-24 13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74" s="54" t="str">
        <f t="shared" si="24"/>
        <v>N</v>
      </c>
      <c r="X74" s="168">
        <f t="shared" si="25"/>
        <v>1</v>
      </c>
      <c r="Y74" s="69">
        <f t="shared" si="26"/>
        <v>23.299600000000002</v>
      </c>
      <c r="Z74" s="69">
        <f t="shared" si="27"/>
        <v>1.6500000000000001E-2</v>
      </c>
      <c r="AA74" s="69">
        <f t="shared" si="28"/>
        <v>23.283100000000001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29"/>
        <v>0162-24</v>
      </c>
      <c r="AE74" s="99" t="str">
        <f t="shared" si="30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74" s="96" t="str">
        <f t="shared" si="31"/>
        <v>"C:\Program Files (x86)\AstroGrep\AstroGrep.exe" /spath="%USERPROFILE%\AppData\Local\Temp\OnboardLogs" /stypes="app*4054*20160924*" /stext=" 18:.+((SYSTEM_STATE.+slice.+state.+changed )|(ment ac)|(system.+state.+changed )|(\|lc)|(penalty)|(\[timeout)|(PRM\|1\|D)|(kpr)|(kdp))" /e /r /s</v>
      </c>
      <c r="AG74" s="1" t="str">
        <f t="shared" si="32"/>
        <v>EC</v>
      </c>
      <c r="AH74" s="100" t="str">
        <f t="shared" si="16"/>
        <v>"%USERPROFILE%\Documents\GitHub\eaglep3\Utilities\RefineRTDCRunTimes.py" --tripid 162-24 --locoid 4054 --swversion DE.1.0.7.0 --startMP 204:232996 --initTime 2016-09-24T11:55:27 --startdatetime 2016-09-24T12:11:26 --delay 1 --endMP 204:165 --enddatetime 2016-09-24T12:51:18 --enforcementcount 0 &gt;&gt;C:\Users\stu\Documents\GitHub\eaglep3-reporting\EC\2016-09-24-refined-times.txt</v>
      </c>
      <c r="AI74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{"issue":{"subject":"","project_id":79,"tracker_id":40,"status_id":1,"priority_id":2,"assigned_to_id":23,"start_date":"2016-09-24","description":"","custom_fields":[{"id":1,"name":"Subdivision","value":"EC"},{"id":4,"name":"Milepost","value":"0.0165"},{"id":17,"name":"Train ID","value":"162-24"},{"id":16,"name":"Locomotive ID","value":"4054"},{"id":130,"name":"Impact","value":""},{"id":150,"name":"Time of Event (Mountain Time)","value":"12:51:18"},{"id":151,"name":"Denver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512</v>
      </c>
      <c r="B75" s="7">
        <v>4007</v>
      </c>
      <c r="C75" s="24" t="s">
        <v>106</v>
      </c>
      <c r="D75" s="24" t="s">
        <v>625</v>
      </c>
      <c r="E75" s="15">
        <v>42637.478680555556</v>
      </c>
      <c r="F75" s="15">
        <v>42637.488344907404</v>
      </c>
      <c r="G75" s="7">
        <v>12</v>
      </c>
      <c r="H75" s="15" t="s">
        <v>405</v>
      </c>
      <c r="I75" s="15">
        <v>42637.51190972222</v>
      </c>
      <c r="J75" s="7">
        <v>0</v>
      </c>
      <c r="K75" s="121" t="str">
        <f t="shared" si="19"/>
        <v>4007/4008</v>
      </c>
      <c r="L75" s="24" t="str">
        <f>VLOOKUP(A75,'Trips&amp;Operators'!$C$1:$E$10000,3,FALSE)</f>
        <v>MOSES</v>
      </c>
      <c r="M75" s="6">
        <f t="shared" si="20"/>
        <v>2.3564814815472346E-2</v>
      </c>
      <c r="N75" s="7"/>
      <c r="O75" s="7"/>
      <c r="P75" s="7">
        <f>24*60*SUM($M75:$M75)</f>
        <v>33.933333334280178</v>
      </c>
      <c r="Q75" s="25"/>
      <c r="R75" s="25" t="s">
        <v>679</v>
      </c>
      <c r="S75" s="37">
        <f t="shared" si="21"/>
        <v>1</v>
      </c>
      <c r="T75" s="52" t="str">
        <f t="shared" si="22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10:29:18-0600',mode:absolute,to:'2016-09-24 13:17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75" s="54" t="str">
        <f t="shared" si="24"/>
        <v>Y</v>
      </c>
      <c r="X75" s="168">
        <f t="shared" si="25"/>
        <v>1</v>
      </c>
      <c r="Y75" s="69">
        <f t="shared" si="26"/>
        <v>1.9139999999999999</v>
      </c>
      <c r="Z75" s="69">
        <f t="shared" si="27"/>
        <v>23.331099999999999</v>
      </c>
      <c r="AA75" s="69">
        <f t="shared" si="28"/>
        <v>21.417099999999998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29"/>
        <v>0163-24</v>
      </c>
      <c r="AE75" s="99" t="str">
        <f t="shared" si="30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75" s="96" t="str">
        <f t="shared" si="31"/>
        <v>"C:\Program Files (x86)\AstroGrep\AstroGrep.exe" /spath="%USERPROFILE%\AppData\Local\Temp\OnboardLogs" /stypes="app*4007*20160924*" /stext=" 18:.+((SYSTEM_STATE.+slice.+state.+changed )|(ment ac)|(system.+state.+changed )|(\|lc)|(penalty)|(\[timeout)|(PRM\|1\|D)|(kpr)|(kdp))" /e /r /s</v>
      </c>
      <c r="AG75" s="1" t="str">
        <f t="shared" si="32"/>
        <v>EC</v>
      </c>
      <c r="AH75" s="100" t="str">
        <f t="shared" si="16"/>
        <v>"%USERPROFILE%\Documents\GitHub\eaglep3\Utilities\RefineRTDCRunTimes.py" --tripid 163-24 --locoid 4007 --swversion DE.1.0.7.0 --startMP 204:19140 --initTime 2016-09-24T11:29:18 --startdatetime 2016-09-24T11:43:13 --delay 12 --endMP 204:233311 --enddatetime 2016-09-24T12:17:09 --enforcementcount 0 &gt;&gt;C:\Users\stu\Documents\GitHub\eaglep3-reporting\EC\2016-09-24-refined-times.txt</v>
      </c>
      <c r="AI75" s="134" t="str">
        <f t="shared" si="17"/>
        <v>echo {"issue":{"subject":"Onboard in-route failure","project_id":79,"tracker_id":40,"status_id":1,"priority_id":2,"assigned_to_id":23,"start_date":"2016-09-24","description":"At 11:32:37, as the train just initialized and started moving, triplex failure","custom_fields":[{"id":1,"name":"Subdivision","value":"EC"},{"id":4,"name":"Milepost","value":"23.3311"},{"id":17,"name":"Train ID","value":"163-24"},{"id":16,"name":"Locomotive ID","value":"4007"},{"id":130,"name":"Impact","value":"Failed State"},{"id":150,"name":"Time of Event (Mountain Time)","value":"12:17:09"},{"id":151,"name":"Denver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5" s="55" t="s">
        <v>680</v>
      </c>
      <c r="AK75" s="55" t="s">
        <v>141</v>
      </c>
      <c r="AL75" s="55" t="s">
        <v>241</v>
      </c>
    </row>
    <row r="76" spans="1:38" s="1" customFormat="1" x14ac:dyDescent="0.25">
      <c r="A76" s="39" t="s">
        <v>517</v>
      </c>
      <c r="B76" s="7">
        <v>4008</v>
      </c>
      <c r="C76" s="24" t="s">
        <v>106</v>
      </c>
      <c r="D76" s="24" t="s">
        <v>306</v>
      </c>
      <c r="E76" s="15">
        <v>42637.515543981484</v>
      </c>
      <c r="F76" s="15">
        <v>42637.521134259259</v>
      </c>
      <c r="G76" s="7">
        <v>1</v>
      </c>
      <c r="H76" s="15" t="s">
        <v>626</v>
      </c>
      <c r="I76" s="15">
        <v>42637.548530092594</v>
      </c>
      <c r="J76" s="7">
        <v>0</v>
      </c>
      <c r="K76" s="121" t="str">
        <f t="shared" si="19"/>
        <v>4007/4008</v>
      </c>
      <c r="L76" s="24" t="str">
        <f>VLOOKUP(A76,'Trips&amp;Operators'!$C$1:$E$10000,3,FALSE)</f>
        <v>MOSES</v>
      </c>
      <c r="M76" s="6">
        <f t="shared" si="20"/>
        <v>2.7395833334594499E-2</v>
      </c>
      <c r="N76" s="7">
        <f t="shared" ref="N76:N103" si="34">24*60*SUM($M76:$M76)</f>
        <v>39.450000001816079</v>
      </c>
      <c r="O76" s="7"/>
      <c r="P76" s="7"/>
      <c r="Q76" s="25"/>
      <c r="R76" s="25"/>
      <c r="S76" s="37">
        <f t="shared" si="21"/>
        <v>1</v>
      </c>
      <c r="T76" s="52" t="str">
        <f t="shared" si="22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https://search-rtdc-monitor-bjffxe2xuh6vdkpspy63sjmuny.us-east-1.es.amazonaws.com/_plugin/kibana/#/discover/Steve-Slow-Train-Analysis-(2080s-and-2083s)?_g=(refreshInterval:(display:Off,section:0,value:0),time:(from:'2016-09-24 11:22:23-0600',mode:absolute,to:'2016-09-24 14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76" s="54" t="str">
        <f t="shared" si="24"/>
        <v>N</v>
      </c>
      <c r="X76" s="168">
        <f t="shared" si="25"/>
        <v>1</v>
      </c>
      <c r="Y76" s="69">
        <f t="shared" si="26"/>
        <v>23.299199999999999</v>
      </c>
      <c r="Z76" s="69">
        <f t="shared" si="27"/>
        <v>1.29E-2</v>
      </c>
      <c r="AA76" s="69">
        <f t="shared" si="28"/>
        <v>23.286300000000001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29"/>
        <v>0164-24</v>
      </c>
      <c r="AE76" s="99" t="str">
        <f t="shared" si="30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76" s="96" t="str">
        <f t="shared" si="31"/>
        <v>"C:\Program Files (x86)\AstroGrep\AstroGrep.exe" /spath="%USERPROFILE%\AppData\Local\Temp\OnboardLogs" /stypes="app*4008*20160924*" /stext=" 19:.+((SYSTEM_STATE.+slice.+state.+changed )|(ment ac)|(system.+state.+changed )|(\|lc)|(penalty)|(\[timeout)|(PRM\|1\|D)|(kpr)|(kdp))" /e /r /s</v>
      </c>
      <c r="AG76" s="1" t="str">
        <f t="shared" si="32"/>
        <v>EC</v>
      </c>
      <c r="AH76" s="100" t="str">
        <f t="shared" si="16"/>
        <v>"%USERPROFILE%\Documents\GitHub\eaglep3\Utilities\RefineRTDCRunTimes.py" --tripid 164-24 --locoid 4008 --swversion DE.1.0.7.0 --startMP 204:232992 --initTime 2016-09-24T12:22:23 --startdatetime 2016-09-24T12:30:26 --delay 1 --endMP 204:129 --enddatetime 2016-09-24T13:09:53 --enforcementcount 0 &gt;&gt;C:\Users\stu\Documents\GitHub\eaglep3-reporting\EC\2016-09-24-refined-times.txt</v>
      </c>
      <c r="AI76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{"issue":{"subject":"","project_id":79,"tracker_id":40,"status_id":1,"priority_id":2,"assigned_to_id":23,"start_date":"2016-09-24","description":"","custom_fields":[{"id":1,"name":"Subdivision","value":"EC"},{"id":4,"name":"Milepost","value":"0.0129"},{"id":17,"name":"Train ID","value":"164-24"},{"id":16,"name":"Locomotive ID","value":"4008"},{"id":130,"name":"Impact","value":""},{"id":150,"name":"Time of Event (Mountain Time)","value":"13:09:53"},{"id":151,"name":"Denver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445</v>
      </c>
      <c r="B77" s="7">
        <v>4042</v>
      </c>
      <c r="C77" s="24" t="s">
        <v>106</v>
      </c>
      <c r="D77" s="24" t="s">
        <v>227</v>
      </c>
      <c r="E77" s="15">
        <v>42637.486875000002</v>
      </c>
      <c r="F77" s="15">
        <v>42637.489907407406</v>
      </c>
      <c r="G77" s="7">
        <v>2</v>
      </c>
      <c r="H77" s="15" t="s">
        <v>627</v>
      </c>
      <c r="I77" s="15">
        <v>42637.521249999998</v>
      </c>
      <c r="J77" s="7">
        <v>0</v>
      </c>
      <c r="K77" s="121" t="str">
        <f t="shared" ref="K77:K108" si="35">IF(ISEVEN(B77),(B77-1)&amp;"/"&amp;B77,B77&amp;"/"&amp;(B77+1))</f>
        <v>4041/4042</v>
      </c>
      <c r="L77" s="24" t="str">
        <f>VLOOKUP(A77,'Trips&amp;Operators'!$C$1:$E$10000,3,FALSE)</f>
        <v>SHOOK</v>
      </c>
      <c r="M77" s="6">
        <f t="shared" ref="M77:M108" si="36">I77-F77</f>
        <v>3.1342592592409346E-2</v>
      </c>
      <c r="N77" s="7">
        <f t="shared" si="34"/>
        <v>45.133333333069459</v>
      </c>
      <c r="O77" s="7"/>
      <c r="P77" s="7"/>
      <c r="Q77" s="25"/>
      <c r="R77" s="25"/>
      <c r="S77" s="37">
        <f t="shared" ref="S77:S112" si="37">SUM(U77:U77)/IF(AG77="EC",12,1)</f>
        <v>1</v>
      </c>
      <c r="T77" s="52" t="str">
        <f t="shared" ref="T77:T108" si="3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https://search-rtdc-monitor-bjffxe2xuh6vdkpspy63sjmuny.us-east-1.es.amazonaws.com/_plugin/kibana/#/discover/Steve-Slow-Train-Analysis-(2080s-and-2083s)?_g=(refreshInterval:(display:Off,section:0,value:0),time:(from:'2016-09-24 10:41:06-0600',mode:absolute,to:'2016-09-24 13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7" s="54" t="str">
        <f t="shared" ref="W77:W108" si="40">IF(AA77&lt;IF(AG77="EC",23,5.65),"Y","N")</f>
        <v>N</v>
      </c>
      <c r="X77" s="168">
        <f t="shared" ref="X77:X101" si="41">VALUE(LEFT(AD77,4))-VALUE(LEFT(AD76,4))</f>
        <v>1</v>
      </c>
      <c r="Y77" s="69">
        <f t="shared" ref="Y77:Y103" si="42">RIGHT(D77,LEN(D77)-4)/10000</f>
        <v>4.5499999999999999E-2</v>
      </c>
      <c r="Z77" s="69">
        <f t="shared" ref="Z77:Z103" si="43">RIGHT(H77,LEN(H77)-4)/10000</f>
        <v>23.334900000000001</v>
      </c>
      <c r="AA77" s="69">
        <f t="shared" ref="AA77:AA108" si="44">ABS(Z77-Y77)</f>
        <v>23.289400000000001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08" si="45">IF(LEN(A77)=6,"0"&amp;A77,A77)</f>
        <v>0165-24</v>
      </c>
      <c r="AE77" s="99" t="str">
        <f t="shared" ref="AE77:AE108" si="46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77" s="96" t="str">
        <f t="shared" ref="AF77:AF108" si="4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/stypes="app*4042*20160924*" /stext=" 18:.+((SYSTEM_STATE.+slice.+state.+changed )|(ment ac)|(system.+state.+changed )|(\|lc)|(penalty)|(\[timeout)|(PRM\|1\|D)|(kpr)|(kdp))" /e /r /s</v>
      </c>
      <c r="AG77" s="1" t="str">
        <f t="shared" ref="AG77:AG108" si="48">IFERROR(IF(VALUE(LEFT(AD77,2))&lt;=2,"EC",IF(OR(VALUE(LEFT(AD77,2))=8,VALUE(LEFT(AD77,2))=18),"NW","Other")),"Other")</f>
        <v>EC</v>
      </c>
      <c r="AH77" s="100" t="str">
        <f t="shared" si="16"/>
        <v>"%USERPROFILE%\Documents\GitHub\eaglep3\Utilities\RefineRTDCRunTimes.py" --tripid 165-24 --locoid 4042 --swversion DE.1.0.7.0 --startMP 204:455 --initTime 2016-09-24T11:41:06 --startdatetime 2016-09-24T11:45:28 --delay 2 --endMP 204:233349 --enddatetime 2016-09-24T12:30:36 --enforcementcount 0 &gt;&gt;C:\Users\stu\Documents\GitHub\eaglep3-reporting\EC\2016-09-24-refined-times.txt</v>
      </c>
      <c r="AI77" s="134" t="str">
        <f t="shared" si="17"/>
        <v>echo {"issue":{"subject":"","project_id":79,"tracker_id":40,"status_id":1,"priority_id":2,"assigned_to_id":23,"start_date":"2016-09-24","description":"","custom_fields":[{"id":1,"name":"Subdivision","value":"EC"},{"id":4,"name":"Milepost","value":"23.3349"},{"id":17,"name":"Train ID","value":"165-24"},{"id":16,"name":"Locomotive ID","value":"4042"},{"id":130,"name":"Impact","value":""},{"id":150,"name":"Time of Event (Mountain Time)","value":"12:30:36"},{"id":151,"name":"Denver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519</v>
      </c>
      <c r="B78" s="7">
        <v>4041</v>
      </c>
      <c r="C78" s="24" t="s">
        <v>106</v>
      </c>
      <c r="D78" s="24" t="s">
        <v>628</v>
      </c>
      <c r="E78" s="15">
        <v>42637.524942129632</v>
      </c>
      <c r="F78" s="15">
        <v>42637.528715277775</v>
      </c>
      <c r="G78" s="7">
        <v>2</v>
      </c>
      <c r="H78" s="15" t="s">
        <v>213</v>
      </c>
      <c r="I78" s="15">
        <v>42637.558009259257</v>
      </c>
      <c r="J78" s="7">
        <v>0</v>
      </c>
      <c r="K78" s="121" t="str">
        <f t="shared" si="35"/>
        <v>4041/4042</v>
      </c>
      <c r="L78" s="24" t="str">
        <f>VLOOKUP(A78,'Trips&amp;Operators'!$C$1:$E$10000,3,FALSE)</f>
        <v>SHOOK</v>
      </c>
      <c r="M78" s="6">
        <f t="shared" si="36"/>
        <v>2.9293981482624076E-2</v>
      </c>
      <c r="N78" s="7">
        <f t="shared" si="34"/>
        <v>42.18333333497867</v>
      </c>
      <c r="O78" s="7"/>
      <c r="P78" s="7"/>
      <c r="Q78" s="25"/>
      <c r="R78" s="25"/>
      <c r="S78" s="37">
        <f t="shared" si="37"/>
        <v>1</v>
      </c>
      <c r="T78" s="52" t="str">
        <f t="shared" si="3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11:35:55-0600',mode:absolute,to:'2016-09-24 14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8" s="54" t="str">
        <f t="shared" si="40"/>
        <v>N</v>
      </c>
      <c r="X78" s="168">
        <f t="shared" si="41"/>
        <v>1</v>
      </c>
      <c r="Y78" s="69">
        <f t="shared" si="42"/>
        <v>23.302299999999999</v>
      </c>
      <c r="Z78" s="69">
        <f t="shared" si="43"/>
        <v>1.49E-2</v>
      </c>
      <c r="AA78" s="69">
        <f t="shared" si="44"/>
        <v>23.287399999999998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5"/>
        <v>0166-24</v>
      </c>
      <c r="AE78" s="99" t="str">
        <f t="shared" si="46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78" s="96" t="str">
        <f t="shared" si="47"/>
        <v>"C:\Program Files (x86)\AstroGrep\AstroGrep.exe" /spath="%USERPROFILE%\AppData\Local\Temp\OnboardLogs" /stypes="app*4041*20160924*" /stext=" 19:.+((SYSTEM_STATE.+slice.+state.+changed )|(ment ac)|(system.+state.+changed )|(\|lc)|(penalty)|(\[timeout)|(PRM\|1\|D)|(kpr)|(kdp))" /e /r /s</v>
      </c>
      <c r="AG78" s="1" t="str">
        <f t="shared" si="48"/>
        <v>EC</v>
      </c>
      <c r="AH78" s="100" t="str">
        <f t="shared" ref="AH78:AH137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166-24 --locoid 4041 --swversion DE.1.0.7.0 --startMP 204:233023 --initTime 2016-09-24T12:35:55 --startdatetime 2016-09-24T12:41:21 --delay 2 --endMP 204:149 --enddatetime 2016-09-24T13:23:32 --enforcementcount 0 &gt;&gt;C:\Users\stu\Documents\GitHub\eaglep3-reporting\EC\2016-09-24-refined-times.txt</v>
      </c>
      <c r="AI78" s="134" t="str">
        <f t="shared" ref="AI78:AI137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{"issue":{"subject":"","project_id":79,"tracker_id":40,"status_id":1,"priority_id":2,"assigned_to_id":23,"start_date":"2016-09-24","description":"","custom_fields":[{"id":1,"name":"Subdivision","value":"EC"},{"id":4,"name":"Milepost","value":"0.0149"},{"id":17,"name":"Train ID","value":"166-24"},{"id":16,"name":"Locomotive ID","value":"4041"},{"id":130,"name":"Impact","value":""},{"id":150,"name":"Time of Event (Mountain Time)","value":"13:23:32"},{"id":151,"name":"Denver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514</v>
      </c>
      <c r="B79" s="7">
        <v>4018</v>
      </c>
      <c r="C79" s="24" t="s">
        <v>106</v>
      </c>
      <c r="D79" s="24" t="s">
        <v>629</v>
      </c>
      <c r="E79" s="15">
        <v>42637.497696759259</v>
      </c>
      <c r="F79" s="15">
        <v>42637.500219907408</v>
      </c>
      <c r="G79" s="7">
        <v>1</v>
      </c>
      <c r="H79" s="15" t="s">
        <v>326</v>
      </c>
      <c r="I79" s="15">
        <v>42637.525787037041</v>
      </c>
      <c r="J79" s="7">
        <v>0</v>
      </c>
      <c r="K79" s="121" t="str">
        <f t="shared" si="35"/>
        <v>4017/4018</v>
      </c>
      <c r="L79" s="24" t="str">
        <f>VLOOKUP(A79,'Trips&amp;Operators'!$C$1:$E$10000,3,FALSE)</f>
        <v>BRUDER</v>
      </c>
      <c r="M79" s="6">
        <f t="shared" si="36"/>
        <v>2.5567129632690921E-2</v>
      </c>
      <c r="N79" s="7">
        <f t="shared" si="34"/>
        <v>36.816666671074927</v>
      </c>
      <c r="O79" s="7"/>
      <c r="P79" s="7"/>
      <c r="Q79" s="25"/>
      <c r="R79" s="25"/>
      <c r="S79" s="37">
        <f t="shared" si="37"/>
        <v>1</v>
      </c>
      <c r="T79" s="52" t="str">
        <f t="shared" si="3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10:56:41-0600',mode:absolute,to:'2016-09-24 13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9" s="54" t="str">
        <f t="shared" si="40"/>
        <v>N</v>
      </c>
      <c r="X79" s="168">
        <f t="shared" si="41"/>
        <v>1</v>
      </c>
      <c r="Y79" s="69">
        <f t="shared" si="42"/>
        <v>4.7300000000000002E-2</v>
      </c>
      <c r="Z79" s="69">
        <f t="shared" si="43"/>
        <v>23.332000000000001</v>
      </c>
      <c r="AA79" s="69">
        <f t="shared" si="44"/>
        <v>23.284700000000001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5"/>
        <v>0167-24</v>
      </c>
      <c r="AE79" s="99" t="str">
        <f t="shared" si="46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79" s="96" t="str">
        <f t="shared" si="47"/>
        <v>"C:\Program Files (x86)\AstroGrep\AstroGrep.exe" /spath="%USERPROFILE%\AppData\Local\Temp\OnboardLogs" /stypes="app*4018*20160924*" /stext=" 18:.+((SYSTEM_STATE.+slice.+state.+changed )|(ment ac)|(system.+state.+changed )|(\|lc)|(penalty)|(\[timeout)|(PRM\|1\|D)|(kpr)|(kdp))" /e /r /s</v>
      </c>
      <c r="AG79" s="1" t="str">
        <f t="shared" si="48"/>
        <v>EC</v>
      </c>
      <c r="AH79" s="100" t="str">
        <f t="shared" si="49"/>
        <v>"%USERPROFILE%\Documents\GitHub\eaglep3\Utilities\RefineRTDCRunTimes.py" --tripid 167-24 --locoid 4018 --swversion DE.1.0.7.0 --startMP 204:473 --initTime 2016-09-24T11:56:41 --startdatetime 2016-09-24T12:00:19 --delay 1 --endMP 204:233320 --enddatetime 2016-09-24T12:37:08 --enforcementcount 0 &gt;&gt;C:\Users\stu\Documents\GitHub\eaglep3-reporting\EC\2016-09-24-refined-times.txt</v>
      </c>
      <c r="AI79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{"issue":{"subject":"","project_id":79,"tracker_id":40,"status_id":1,"priority_id":2,"assigned_to_id":23,"start_date":"2016-09-24","description":"","custom_fields":[{"id":1,"name":"Subdivision","value":"EC"},{"id":4,"name":"Milepost","value":"23.332"},{"id":17,"name":"Train ID","value":"167-24"},{"id":16,"name":"Locomotive ID","value":"4018"},{"id":130,"name":"Impact","value":""},{"id":150,"name":"Time of Event (Mountain Time)","value":"12:37:08"},{"id":151,"name":"Denver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521</v>
      </c>
      <c r="B80" s="7">
        <v>4017</v>
      </c>
      <c r="C80" s="24" t="s">
        <v>106</v>
      </c>
      <c r="D80" s="24" t="s">
        <v>233</v>
      </c>
      <c r="E80" s="15">
        <v>42637.533819444441</v>
      </c>
      <c r="F80" s="15">
        <v>42637.539189814815</v>
      </c>
      <c r="G80" s="7">
        <v>1</v>
      </c>
      <c r="H80" s="15" t="s">
        <v>220</v>
      </c>
      <c r="I80" s="15">
        <v>42637.567060185182</v>
      </c>
      <c r="J80" s="7">
        <v>0</v>
      </c>
      <c r="K80" s="121" t="str">
        <f t="shared" si="35"/>
        <v>4017/4018</v>
      </c>
      <c r="L80" s="24" t="str">
        <f>VLOOKUP(A80,'Trips&amp;Operators'!$C$1:$E$10000,3,FALSE)</f>
        <v>BRUDER</v>
      </c>
      <c r="M80" s="6">
        <f t="shared" si="36"/>
        <v>2.7870370366144925E-2</v>
      </c>
      <c r="N80" s="7">
        <f t="shared" si="34"/>
        <v>40.133333327248693</v>
      </c>
      <c r="O80" s="7"/>
      <c r="P80" s="7"/>
      <c r="Q80" s="25"/>
      <c r="R80" s="25"/>
      <c r="S80" s="37">
        <f t="shared" si="37"/>
        <v>1</v>
      </c>
      <c r="T80" s="52" t="str">
        <f t="shared" si="3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11:48:42-0600',mode:absolute,to:'2016-09-24 14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0" s="54" t="str">
        <f t="shared" si="40"/>
        <v>N</v>
      </c>
      <c r="X80" s="168">
        <f t="shared" si="41"/>
        <v>1</v>
      </c>
      <c r="Y80" s="69">
        <f t="shared" si="42"/>
        <v>23.297799999999999</v>
      </c>
      <c r="Z80" s="69">
        <f t="shared" si="43"/>
        <v>1.4999999999999999E-2</v>
      </c>
      <c r="AA80" s="69">
        <f t="shared" si="44"/>
        <v>23.282799999999998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5"/>
        <v>0168-24</v>
      </c>
      <c r="AE80" s="99" t="str">
        <f t="shared" si="46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80" s="96" t="str">
        <f t="shared" si="47"/>
        <v>"C:\Program Files (x86)\AstroGrep\AstroGrep.exe" /spath="%USERPROFILE%\AppData\Local\Temp\OnboardLogs" /stypes="app*4017*20160924*" /stext=" 19:.+((SYSTEM_STATE.+slice.+state.+changed )|(ment ac)|(system.+state.+changed )|(\|lc)|(penalty)|(\[timeout)|(PRM\|1\|D)|(kpr)|(kdp))" /e /r /s</v>
      </c>
      <c r="AG80" s="1" t="str">
        <f t="shared" si="48"/>
        <v>EC</v>
      </c>
      <c r="AH80" s="100" t="str">
        <f t="shared" si="49"/>
        <v>"%USERPROFILE%\Documents\GitHub\eaglep3\Utilities\RefineRTDCRunTimes.py" --tripid 168-24 --locoid 4017 --swversion DE.1.0.7.0 --startMP 204:232978 --initTime 2016-09-24T12:48:42 --startdatetime 2016-09-24T12:56:26 --delay 1 --endMP 204:150 --enddatetime 2016-09-24T13:36:34 --enforcementcount 0 &gt;&gt;C:\Users\stu\Documents\GitHub\eaglep3-reporting\EC\2016-09-24-refined-times.txt</v>
      </c>
      <c r="AI80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{"issue":{"subject":"","project_id":79,"tracker_id":40,"status_id":1,"priority_id":2,"assigned_to_id":23,"start_date":"2016-09-24","description":"","custom_fields":[{"id":1,"name":"Subdivision","value":"EC"},{"id":4,"name":"Milepost","value":"0.015"},{"id":17,"name":"Train ID","value":"168-24"},{"id":16,"name":"Locomotive ID","value":"4017"},{"id":130,"name":"Impact","value":""},{"id":150,"name":"Time of Event (Mountain Time)","value":"13:36:34"},{"id":151,"name":"Denver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516</v>
      </c>
      <c r="B81" s="7">
        <v>4009</v>
      </c>
      <c r="C81" s="24" t="s">
        <v>106</v>
      </c>
      <c r="D81" s="24" t="s">
        <v>229</v>
      </c>
      <c r="E81" s="15">
        <v>42637.509664351855</v>
      </c>
      <c r="F81" s="15">
        <v>42637.511261574073</v>
      </c>
      <c r="G81" s="7">
        <v>1</v>
      </c>
      <c r="H81" s="15" t="s">
        <v>289</v>
      </c>
      <c r="I81" s="15">
        <v>42637.538877314815</v>
      </c>
      <c r="J81" s="7">
        <v>0</v>
      </c>
      <c r="K81" s="121" t="str">
        <f t="shared" si="35"/>
        <v>4009/4010</v>
      </c>
      <c r="L81" s="24" t="str">
        <f>VLOOKUP(A81,'Trips&amp;Operators'!$C$1:$E$10000,3,FALSE)</f>
        <v>CLARK</v>
      </c>
      <c r="M81" s="6">
        <f t="shared" si="36"/>
        <v>2.7615740742476191E-2</v>
      </c>
      <c r="N81" s="7">
        <f t="shared" si="34"/>
        <v>39.766666669165716</v>
      </c>
      <c r="O81" s="7"/>
      <c r="P81" s="7"/>
      <c r="Q81" s="25"/>
      <c r="R81" s="25"/>
      <c r="S81" s="37">
        <f t="shared" si="37"/>
        <v>1</v>
      </c>
      <c r="T81" s="52" t="str">
        <f t="shared" si="38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11:13:55-0600',mode:absolute,to:'2016-09-24 13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1" s="54" t="str">
        <f t="shared" si="40"/>
        <v>N</v>
      </c>
      <c r="X81" s="168">
        <f t="shared" si="41"/>
        <v>1</v>
      </c>
      <c r="Y81" s="69">
        <f t="shared" si="42"/>
        <v>4.58E-2</v>
      </c>
      <c r="Z81" s="69">
        <f t="shared" si="43"/>
        <v>23.33</v>
      </c>
      <c r="AA81" s="69">
        <f t="shared" si="44"/>
        <v>23.284199999999998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5"/>
        <v>0169-24</v>
      </c>
      <c r="AE81" s="99" t="str">
        <f t="shared" si="46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81" s="96" t="str">
        <f t="shared" si="47"/>
        <v>"C:\Program Files (x86)\AstroGrep\AstroGrep.exe" /spath="%USERPROFILE%\AppData\Local\Temp\OnboardLogs" /stypes="app*4009*20160924*" /stext=" 18:.+((SYSTEM_STATE.+slice.+state.+changed )|(ment ac)|(system.+state.+changed )|(\|lc)|(penalty)|(\[timeout)|(PRM\|1\|D)|(kpr)|(kdp))" /e /r /s</v>
      </c>
      <c r="AG81" s="1" t="str">
        <f t="shared" si="48"/>
        <v>EC</v>
      </c>
      <c r="AH81" s="100" t="str">
        <f t="shared" si="49"/>
        <v>"%USERPROFILE%\Documents\GitHub\eaglep3\Utilities\RefineRTDCRunTimes.py" --tripid 169-24 --locoid 4009 --swversion DE.1.0.7.0 --startMP 204:458 --initTime 2016-09-24T12:13:55 --startdatetime 2016-09-24T12:16:13 --delay 1 --endMP 204:233300 --enddatetime 2016-09-24T12:55:59 --enforcementcount 0 &gt;&gt;C:\Users\stu\Documents\GitHub\eaglep3-reporting\EC\2016-09-24-refined-times.txt</v>
      </c>
      <c r="AI81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{"issue":{"subject":"","project_id":79,"tracker_id":40,"status_id":1,"priority_id":2,"assigned_to_id":23,"start_date":"2016-09-24","description":"","custom_fields":[{"id":1,"name":"Subdivision","value":"EC"},{"id":4,"name":"Milepost","value":"23.33"},{"id":17,"name":"Train ID","value":"169-24"},{"id":16,"name":"Locomotive ID","value":"4009"},{"id":130,"name":"Impact","value":""},{"id":150,"name":"Time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523</v>
      </c>
      <c r="B82" s="7">
        <v>4010</v>
      </c>
      <c r="C82" s="24" t="s">
        <v>106</v>
      </c>
      <c r="D82" s="24" t="s">
        <v>287</v>
      </c>
      <c r="E82" s="15">
        <v>42637.543564814812</v>
      </c>
      <c r="F82" s="15">
        <v>42637.549479166664</v>
      </c>
      <c r="G82" s="7">
        <v>1</v>
      </c>
      <c r="H82" s="15" t="s">
        <v>220</v>
      </c>
      <c r="I82" s="15">
        <v>42637.57949074074</v>
      </c>
      <c r="J82" s="7">
        <v>0</v>
      </c>
      <c r="K82" s="121" t="str">
        <f t="shared" si="35"/>
        <v>4009/4010</v>
      </c>
      <c r="L82" s="24" t="str">
        <f>VLOOKUP(A82,'Trips&amp;Operators'!$C$1:$E$10000,3,FALSE)</f>
        <v>CLARK</v>
      </c>
      <c r="M82" s="6">
        <f t="shared" si="36"/>
        <v>3.0011574075615499E-2</v>
      </c>
      <c r="N82" s="7">
        <f t="shared" si="34"/>
        <v>43.216666668886319</v>
      </c>
      <c r="O82" s="7"/>
      <c r="P82" s="7"/>
      <c r="Q82" s="25"/>
      <c r="R82" s="25"/>
      <c r="S82" s="37">
        <f t="shared" si="37"/>
        <v>1</v>
      </c>
      <c r="T82" s="52" t="str">
        <f t="shared" si="38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12:02:44-0600',mode:absolute,to:'2016-09-24 14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2" s="54" t="str">
        <f t="shared" si="40"/>
        <v>N</v>
      </c>
      <c r="X82" s="168">
        <f t="shared" si="41"/>
        <v>1</v>
      </c>
      <c r="Y82" s="69">
        <f t="shared" si="42"/>
        <v>23.299099999999999</v>
      </c>
      <c r="Z82" s="69">
        <f t="shared" si="43"/>
        <v>1.4999999999999999E-2</v>
      </c>
      <c r="AA82" s="69">
        <f t="shared" si="44"/>
        <v>23.284099999999999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5"/>
        <v>0170-24</v>
      </c>
      <c r="AE82" s="99" t="str">
        <f t="shared" si="46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82" s="96" t="str">
        <f t="shared" si="47"/>
        <v>"C:\Program Files (x86)\AstroGrep\AstroGrep.exe" /spath="%USERPROFILE%\AppData\Local\Temp\OnboardLogs" /stypes="app*4010*20160924*" /stext=" 19:.+((SYSTEM_STATE.+slice.+state.+changed )|(ment ac)|(system.+state.+changed )|(\|lc)|(penalty)|(\[timeout)|(PRM\|1\|D)|(kpr)|(kdp))" /e /r /s</v>
      </c>
      <c r="AG82" s="1" t="str">
        <f t="shared" si="48"/>
        <v>EC</v>
      </c>
      <c r="AH82" s="100" t="str">
        <f t="shared" si="49"/>
        <v>"%USERPROFILE%\Documents\GitHub\eaglep3\Utilities\RefineRTDCRunTimes.py" --tripid 170-24 --locoid 4010 --swversion DE.1.0.7.0 --startMP 204:232991 --initTime 2016-09-24T13:02:44 --startdatetime 2016-09-24T13:11:15 --delay 1 --endMP 204:150 --enddatetime 2016-09-24T13:54:28 --enforcementcount 0 &gt;&gt;C:\Users\stu\Documents\GitHub\eaglep3-reporting\EC\2016-09-24-refined-times.txt</v>
      </c>
      <c r="AI82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{"issue":{"subject":"","project_id":79,"tracker_id":40,"status_id":1,"priority_id":2,"assigned_to_id":23,"start_date":"2016-09-24","description":"","custom_fields":[{"id":1,"name":"Subdivision","value":"EC"},{"id":4,"name":"Milepost","value":"0.015"},{"id":17,"name":"Train ID","value":"170-24"},{"id":16,"name":"Locomotive ID","value":"4010"},{"id":130,"name":"Impact","value":""},{"id":150,"name":"Time of Event (Mountain Time)","value":"13:54:28"},{"id":151,"name":"Denver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518</v>
      </c>
      <c r="B83" s="7">
        <v>4014</v>
      </c>
      <c r="C83" s="24" t="s">
        <v>106</v>
      </c>
      <c r="D83" s="24" t="s">
        <v>412</v>
      </c>
      <c r="E83" s="15">
        <v>42637.518842592595</v>
      </c>
      <c r="F83" s="15">
        <v>42637.52138888889</v>
      </c>
      <c r="G83" s="7">
        <v>2</v>
      </c>
      <c r="H83" s="15" t="s">
        <v>630</v>
      </c>
      <c r="I83" s="15">
        <v>42637.547465277778</v>
      </c>
      <c r="J83" s="7">
        <v>0</v>
      </c>
      <c r="K83" s="121" t="str">
        <f t="shared" si="35"/>
        <v>4013/4014</v>
      </c>
      <c r="L83" s="24" t="str">
        <f>VLOOKUP(A83,'Trips&amp;Operators'!$C$1:$E$10000,3,FALSE)</f>
        <v>STORY</v>
      </c>
      <c r="M83" s="6">
        <f t="shared" si="36"/>
        <v>2.6076388887304347E-2</v>
      </c>
      <c r="N83" s="7">
        <f t="shared" si="34"/>
        <v>37.54999999771826</v>
      </c>
      <c r="O83" s="7"/>
      <c r="P83" s="7"/>
      <c r="Q83" s="25"/>
      <c r="R83" s="25"/>
      <c r="S83" s="37">
        <f t="shared" si="37"/>
        <v>1</v>
      </c>
      <c r="T83" s="52" t="str">
        <f t="shared" si="38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11:27:08-0600',mode:absolute,to:'2016-09-24 14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3" s="54" t="str">
        <f t="shared" si="40"/>
        <v>N</v>
      </c>
      <c r="X83" s="168">
        <f t="shared" si="41"/>
        <v>1</v>
      </c>
      <c r="Y83" s="69">
        <f t="shared" si="42"/>
        <v>4.7699999999999999E-2</v>
      </c>
      <c r="Z83" s="69">
        <f t="shared" si="43"/>
        <v>23.333600000000001</v>
      </c>
      <c r="AA83" s="69">
        <f t="shared" si="44"/>
        <v>23.285900000000002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5"/>
        <v>0171-24</v>
      </c>
      <c r="AE83" s="99" t="str">
        <f t="shared" si="46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83" s="96" t="str">
        <f t="shared" si="47"/>
        <v>"C:\Program Files (x86)\AstroGrep\AstroGrep.exe" /spath="%USERPROFILE%\AppData\Local\Temp\OnboardLogs" /stypes="app*4014*20160924*" /stext=" 19:.+((SYSTEM_STATE.+slice.+state.+changed )|(ment ac)|(system.+state.+changed )|(\|lc)|(penalty)|(\[timeout)|(PRM\|1\|D)|(kpr)|(kdp))" /e /r /s</v>
      </c>
      <c r="AG83" s="1" t="str">
        <f t="shared" si="48"/>
        <v>EC</v>
      </c>
      <c r="AH83" s="100" t="str">
        <f t="shared" si="49"/>
        <v>"%USERPROFILE%\Documents\GitHub\eaglep3\Utilities\RefineRTDCRunTimes.py" --tripid 171-24 --locoid 4014 --swversion DE.1.0.7.0 --startMP 204:477 --initTime 2016-09-24T12:27:08 --startdatetime 2016-09-24T12:30:48 --delay 2 --endMP 204:233336 --enddatetime 2016-09-24T13:08:21 --enforcementcount 0 &gt;&gt;C:\Users\stu\Documents\GitHub\eaglep3-reporting\EC\2016-09-24-refined-times.txt</v>
      </c>
      <c r="AI83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{"issue":{"subject":"","project_id":79,"tracker_id":40,"status_id":1,"priority_id":2,"assigned_to_id":23,"start_date":"2016-09-24","description":"","custom_fields":[{"id":1,"name":"Subdivision","value":"EC"},{"id":4,"name":"Milepost","value":"23.3336"},{"id":17,"name":"Train ID","value":"171-24"},{"id":16,"name":"Locomotive ID","value":"4014"},{"id":130,"name":"Impact","value":""},{"id":150,"name":"Time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450</v>
      </c>
      <c r="B84" s="7">
        <v>4013</v>
      </c>
      <c r="C84" s="24" t="s">
        <v>106</v>
      </c>
      <c r="D84" s="24" t="s">
        <v>631</v>
      </c>
      <c r="E84" s="15">
        <v>42637.553391203706</v>
      </c>
      <c r="F84" s="15">
        <v>42637.560023148151</v>
      </c>
      <c r="G84" s="7">
        <v>1</v>
      </c>
      <c r="H84" s="15" t="s">
        <v>302</v>
      </c>
      <c r="I84" s="15">
        <v>42637.589930555558</v>
      </c>
      <c r="J84" s="7">
        <v>0</v>
      </c>
      <c r="K84" s="121" t="str">
        <f t="shared" si="35"/>
        <v>4013/4014</v>
      </c>
      <c r="L84" s="24" t="str">
        <f>VLOOKUP(A84,'Trips&amp;Operators'!$C$1:$E$10000,3,FALSE)</f>
        <v>STORY</v>
      </c>
      <c r="M84" s="6">
        <f t="shared" si="36"/>
        <v>2.9907407406426501E-2</v>
      </c>
      <c r="N84" s="7">
        <f t="shared" si="34"/>
        <v>43.066666665254161</v>
      </c>
      <c r="O84" s="7"/>
      <c r="P84" s="7"/>
      <c r="Q84" s="25"/>
      <c r="R84" s="25"/>
      <c r="S84" s="37">
        <f t="shared" si="37"/>
        <v>1</v>
      </c>
      <c r="T84" s="52" t="str">
        <f t="shared" si="38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12:16:53-0600',mode:absolute,to:'2016-09-24 15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4" s="54" t="str">
        <f t="shared" si="40"/>
        <v>N</v>
      </c>
      <c r="X84" s="168">
        <f t="shared" si="41"/>
        <v>1</v>
      </c>
      <c r="Y84" s="69">
        <f t="shared" si="42"/>
        <v>23.3001</v>
      </c>
      <c r="Z84" s="69">
        <f t="shared" si="43"/>
        <v>1.67E-2</v>
      </c>
      <c r="AA84" s="69">
        <f t="shared" si="44"/>
        <v>23.2834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45"/>
        <v>0172-24</v>
      </c>
      <c r="AE84" s="99" t="str">
        <f t="shared" si="46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84" s="96" t="str">
        <f t="shared" si="47"/>
        <v>"C:\Program Files (x86)\AstroGrep\AstroGrep.exe" /spath="%USERPROFILE%\AppData\Local\Temp\OnboardLogs" /stypes="app*4013*20160924*" /stext=" 20:.+((SYSTEM_STATE.+slice.+state.+changed )|(ment ac)|(system.+state.+changed )|(\|lc)|(penalty)|(\[timeout)|(PRM\|1\|D)|(kpr)|(kdp))" /e /r /s</v>
      </c>
      <c r="AG84" s="1" t="str">
        <f t="shared" si="48"/>
        <v>EC</v>
      </c>
      <c r="AH84" s="100" t="str">
        <f t="shared" si="49"/>
        <v>"%USERPROFILE%\Documents\GitHub\eaglep3\Utilities\RefineRTDCRunTimes.py" --tripid 172-24 --locoid 4013 --swversion DE.1.0.7.0 --startMP 204:233001 --initTime 2016-09-24T13:16:53 --startdatetime 2016-09-24T13:26:26 --delay 1 --endMP 204:167 --enddatetime 2016-09-24T14:09:30 --enforcementcount 0 &gt;&gt;C:\Users\stu\Documents\GitHub\eaglep3-reporting\EC\2016-09-24-refined-times.txt</v>
      </c>
      <c r="AI84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{"issue":{"subject":"","project_id":79,"tracker_id":40,"status_id":1,"priority_id":2,"assigned_to_id":23,"start_date":"2016-09-24","description":"","custom_fields":[{"id":1,"name":"Subdivision","value":"EC"},{"id":4,"name":"Milepost","value":"0.0167"},{"id":17,"name":"Train ID","value":"172-24"},{"id":16,"name":"Locomotive ID","value":"4013"},{"id":130,"name":"Impact","value":""},{"id":150,"name":"Time of Event (Mountain Time)","value":"14:09:30"},{"id":151,"name":"Denver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520</v>
      </c>
      <c r="B85" s="7">
        <v>4003</v>
      </c>
      <c r="C85" s="24" t="s">
        <v>106</v>
      </c>
      <c r="D85" s="24" t="s">
        <v>229</v>
      </c>
      <c r="E85" s="15">
        <v>42637.529282407406</v>
      </c>
      <c r="F85" s="15">
        <v>42637.531527777777</v>
      </c>
      <c r="G85" s="7">
        <v>2</v>
      </c>
      <c r="H85" s="15" t="s">
        <v>328</v>
      </c>
      <c r="I85" s="15">
        <v>42637.557476851849</v>
      </c>
      <c r="J85" s="7">
        <v>0</v>
      </c>
      <c r="K85" s="121" t="str">
        <f t="shared" si="35"/>
        <v>4003/4004</v>
      </c>
      <c r="L85" s="24" t="str">
        <f>VLOOKUP(A85,'Trips&amp;Operators'!$C$1:$E$10000,3,FALSE)</f>
        <v>STEWART</v>
      </c>
      <c r="M85" s="6">
        <f t="shared" si="36"/>
        <v>2.5949074071832001E-2</v>
      </c>
      <c r="N85" s="7">
        <f t="shared" si="34"/>
        <v>37.366666663438082</v>
      </c>
      <c r="O85" s="7"/>
      <c r="P85" s="7"/>
      <c r="Q85" s="25"/>
      <c r="R85" s="25"/>
      <c r="S85" s="37">
        <f t="shared" si="37"/>
        <v>1</v>
      </c>
      <c r="T85" s="52" t="str">
        <f t="shared" si="38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11:42:10-0600',mode:absolute,to:'2016-09-24 14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85" s="54" t="str">
        <f t="shared" si="40"/>
        <v>N</v>
      </c>
      <c r="X85" s="168">
        <f t="shared" si="41"/>
        <v>1</v>
      </c>
      <c r="Y85" s="69">
        <f t="shared" si="42"/>
        <v>4.58E-2</v>
      </c>
      <c r="Z85" s="69">
        <f t="shared" si="43"/>
        <v>23.330200000000001</v>
      </c>
      <c r="AA85" s="69">
        <f t="shared" si="44"/>
        <v>23.284400000000002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5"/>
        <v>0173-24</v>
      </c>
      <c r="AE85" s="99" t="str">
        <f t="shared" si="46"/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AF85" s="96" t="str">
        <f t="shared" si="47"/>
        <v>"C:\Program Files (x86)\AstroGrep\AstroGrep.exe" /spath="%USERPROFILE%\AppData\Local\Temp\OnboardLogs" /stypes="app*4003*20160924*" /stext=" 19:.+((SYSTEM_STATE.+slice.+state.+changed )|(ment ac)|(system.+state.+changed )|(\|lc)|(penalty)|(\[timeout)|(PRM\|1\|D)|(kpr)|(kdp))" /e /r /s</v>
      </c>
      <c r="AG85" s="1" t="str">
        <f t="shared" si="48"/>
        <v>EC</v>
      </c>
      <c r="AH85" s="100" t="str">
        <f t="shared" si="49"/>
        <v>"%USERPROFILE%\Documents\GitHub\eaglep3\Utilities\RefineRTDCRunTimes.py" --tripid 173-24 --locoid 4003 --swversion DE.1.0.7.0 --startMP 204:458 --initTime 2016-09-24T12:42:10 --startdatetime 2016-09-24T12:45:24 --delay 2 --endMP 204:233302 --enddatetime 2016-09-24T13:22:46 --enforcementcount 0 &gt;&gt;C:\Users\stu\Documents\GitHub\eaglep3-reporting\EC\2016-09-24-refined-times.txt</v>
      </c>
      <c r="AI85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{"issue":{"subject":"","project_id":79,"tracker_id":40,"status_id":1,"priority_id":2,"assigned_to_id":23,"start_date":"2016-09-24","description":"","custom_fields":[{"id":1,"name":"Subdivision","value":"EC"},{"id":4,"name":"Milepost","value":"23.3302"},{"id":17,"name":"Train ID","value":"173-24"},{"id":16,"name":"Locomotive ID","value":"4003"},{"id":130,"name":"Impact","value":""},{"id":150,"name":"Time of Event (Mountain Time)","value":"13:22:46"},{"id":151,"name":"Denver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448</v>
      </c>
      <c r="B86" s="7">
        <v>4004</v>
      </c>
      <c r="C86" s="24" t="s">
        <v>106</v>
      </c>
      <c r="D86" s="24" t="s">
        <v>286</v>
      </c>
      <c r="E86" s="15">
        <v>42637.566874999997</v>
      </c>
      <c r="F86" s="15">
        <v>42637.570416666669</v>
      </c>
      <c r="G86" s="7">
        <v>4</v>
      </c>
      <c r="H86" s="15" t="s">
        <v>632</v>
      </c>
      <c r="I86" s="15">
        <v>42637.599039351851</v>
      </c>
      <c r="J86" s="7">
        <v>0</v>
      </c>
      <c r="K86" s="121" t="str">
        <f t="shared" si="35"/>
        <v>4003/4004</v>
      </c>
      <c r="L86" s="24" t="str">
        <f>VLOOKUP(A86,'Trips&amp;Operators'!$C$1:$E$10000,3,FALSE)</f>
        <v>STEWART</v>
      </c>
      <c r="M86" s="6">
        <f t="shared" si="36"/>
        <v>2.8622685182199348E-2</v>
      </c>
      <c r="N86" s="7">
        <f t="shared" si="34"/>
        <v>41.216666662367061</v>
      </c>
      <c r="O86" s="7"/>
      <c r="P86" s="7"/>
      <c r="Q86" s="25"/>
      <c r="R86" s="25"/>
      <c r="S86" s="37">
        <f t="shared" si="37"/>
        <v>1</v>
      </c>
      <c r="T86" s="52" t="str">
        <f t="shared" si="38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12:36:18-0600',mode:absolute,to:'2016-09-24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6" s="54" t="str">
        <f t="shared" si="40"/>
        <v>N</v>
      </c>
      <c r="X86" s="168">
        <f t="shared" si="41"/>
        <v>1</v>
      </c>
      <c r="Y86" s="69">
        <f t="shared" si="42"/>
        <v>23.299299999999999</v>
      </c>
      <c r="Z86" s="69">
        <f t="shared" si="43"/>
        <v>0.1192</v>
      </c>
      <c r="AA86" s="69">
        <f t="shared" si="44"/>
        <v>23.180099999999999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45"/>
        <v>0174-24</v>
      </c>
      <c r="AE86" s="99" t="str">
        <f t="shared" si="46"/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AF86" s="96" t="str">
        <f t="shared" si="47"/>
        <v>"C:\Program Files (x86)\AstroGrep\AstroGrep.exe" /spath="%USERPROFILE%\AppData\Local\Temp\OnboardLogs" /stypes="app*4004*20160924*" /stext=" 20:.+((SYSTEM_STATE.+slice.+state.+changed )|(ment ac)|(system.+state.+changed )|(\|lc)|(penalty)|(\[timeout)|(PRM\|1\|D)|(kpr)|(kdp))" /e /r /s</v>
      </c>
      <c r="AG86" s="1" t="str">
        <f t="shared" si="48"/>
        <v>EC</v>
      </c>
      <c r="AH86" s="100" t="str">
        <f t="shared" si="49"/>
        <v>"%USERPROFILE%\Documents\GitHub\eaglep3\Utilities\RefineRTDCRunTimes.py" --tripid 174-24 --locoid 4004 --swversion DE.1.0.7.0 --startMP 204:232993 --initTime 2016-09-24T13:36:18 --startdatetime 2016-09-24T13:41:24 --delay 4 --endMP 204:1192 --enddatetime 2016-09-24T14:22:37 --enforcementcount 0 &gt;&gt;C:\Users\stu\Documents\GitHub\eaglep3-reporting\EC\2016-09-24-refined-times.txt</v>
      </c>
      <c r="AI86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{"issue":{"subject":"","project_id":79,"tracker_id":40,"status_id":1,"priority_id":2,"assigned_to_id":23,"start_date":"2016-09-24","description":"","custom_fields":[{"id":1,"name":"Subdivision","value":"EC"},{"id":4,"name":"Milepost","value":"0.1192"},{"id":17,"name":"Train ID","value":"174-24"},{"id":16,"name":"Locomotive ID","value":"4004"},{"id":130,"name":"Impact","value":""},{"id":150,"name":"Time of Event (Mountain Time)","value":"14:22:37"},{"id":151,"name":"Denver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522</v>
      </c>
      <c r="B87" s="7">
        <v>4053</v>
      </c>
      <c r="C87" s="24" t="s">
        <v>106</v>
      </c>
      <c r="D87" s="24" t="s">
        <v>230</v>
      </c>
      <c r="E87" s="15">
        <v>42637.537731481483</v>
      </c>
      <c r="F87" s="15">
        <v>42637.541979166665</v>
      </c>
      <c r="G87" s="7">
        <v>1</v>
      </c>
      <c r="H87" s="15" t="s">
        <v>256</v>
      </c>
      <c r="I87" s="15">
        <v>42637.568055555559</v>
      </c>
      <c r="J87" s="7">
        <v>0</v>
      </c>
      <c r="K87" s="121" t="str">
        <f t="shared" si="35"/>
        <v>4053/4054</v>
      </c>
      <c r="L87" s="24" t="str">
        <f>VLOOKUP(A87,'Trips&amp;Operators'!$C$1:$E$10000,3,FALSE)</f>
        <v>BARTLETT</v>
      </c>
      <c r="M87" s="6">
        <f t="shared" si="36"/>
        <v>2.6076388894580305E-2</v>
      </c>
      <c r="N87" s="7">
        <f t="shared" si="34"/>
        <v>37.550000008195639</v>
      </c>
      <c r="O87" s="7"/>
      <c r="P87" s="7"/>
      <c r="Q87" s="25"/>
      <c r="R87" s="25"/>
      <c r="S87" s="37">
        <f t="shared" si="37"/>
        <v>1</v>
      </c>
      <c r="T87" s="52" t="str">
        <f t="shared" si="38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11:54:20-0600',mode:absolute,to:'2016-09-24 14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7" s="54" t="str">
        <f t="shared" si="40"/>
        <v>N</v>
      </c>
      <c r="X87" s="168">
        <f t="shared" si="41"/>
        <v>1</v>
      </c>
      <c r="Y87" s="69">
        <f t="shared" si="42"/>
        <v>4.6699999999999998E-2</v>
      </c>
      <c r="Z87" s="69">
        <f t="shared" si="43"/>
        <v>23.329499999999999</v>
      </c>
      <c r="AA87" s="69">
        <f t="shared" si="44"/>
        <v>23.282799999999998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5"/>
        <v>0175-24</v>
      </c>
      <c r="AE87" s="99" t="str">
        <f t="shared" si="46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87" s="96" t="str">
        <f t="shared" si="47"/>
        <v>"C:\Program Files (x86)\AstroGrep\AstroGrep.exe" /spath="%USERPROFILE%\AppData\Local\Temp\OnboardLogs" /stypes="app*4053*20160924*" /stext=" 19:.+((SYSTEM_STATE.+slice.+state.+changed )|(ment ac)|(system.+state.+changed )|(\|lc)|(penalty)|(\[timeout)|(PRM\|1\|D)|(kpr)|(kdp))" /e /r /s</v>
      </c>
      <c r="AG87" s="1" t="str">
        <f t="shared" si="48"/>
        <v>EC</v>
      </c>
      <c r="AH87" s="100" t="str">
        <f t="shared" si="49"/>
        <v>"%USERPROFILE%\Documents\GitHub\eaglep3\Utilities\RefineRTDCRunTimes.py" --tripid 175-24 --locoid 4053 --swversion DE.1.0.7.0 --startMP 204:467 --initTime 2016-09-24T12:54:20 --startdatetime 2016-09-24T13:00:27 --delay 1 --endMP 204:233295 --enddatetime 2016-09-24T13:38:00 --enforcementcount 0 &gt;&gt;C:\Users\stu\Documents\GitHub\eaglep3-reporting\EC\2016-09-24-refined-times.txt</v>
      </c>
      <c r="AI87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{"issue":{"subject":"","project_id":79,"tracker_id":40,"status_id":1,"priority_id":2,"assigned_to_id":23,"start_date":"2016-09-24","description":"","custom_fields":[{"id":1,"name":"Subdivision","value":"EC"},{"id":4,"name":"Milepost","value":"23.3295"},{"id":17,"name":"Train ID","value":"175-24"},{"id":16,"name":"Locomotive ID","value":"4053"},{"id":130,"name":"Impact","value":""},{"id":150,"name":"Time of Event (Mountain Time)","value":"13:38:00"},{"id":151,"name":"Denver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526</v>
      </c>
      <c r="B88" s="7">
        <v>4054</v>
      </c>
      <c r="C88" s="24" t="s">
        <v>106</v>
      </c>
      <c r="D88" s="24" t="s">
        <v>619</v>
      </c>
      <c r="E88" s="15">
        <v>42637.570185185185</v>
      </c>
      <c r="F88" s="15">
        <v>42637.58090277778</v>
      </c>
      <c r="G88" s="7">
        <v>0</v>
      </c>
      <c r="H88" s="15" t="s">
        <v>215</v>
      </c>
      <c r="I88" s="15">
        <v>42637.608715277776</v>
      </c>
      <c r="J88" s="7">
        <v>0</v>
      </c>
      <c r="K88" s="121" t="str">
        <f t="shared" si="35"/>
        <v>4053/4054</v>
      </c>
      <c r="L88" s="24" t="str">
        <f>VLOOKUP(A88,'Trips&amp;Operators'!$C$1:$E$10000,3,FALSE)</f>
        <v>BARTLETT</v>
      </c>
      <c r="M88" s="6">
        <f t="shared" si="36"/>
        <v>2.7812499996798579E-2</v>
      </c>
      <c r="N88" s="7">
        <f t="shared" si="34"/>
        <v>40.049999995389953</v>
      </c>
      <c r="O88" s="7"/>
      <c r="P88" s="7"/>
      <c r="Q88" s="25"/>
      <c r="R88" s="25"/>
      <c r="S88" s="37">
        <f t="shared" si="37"/>
        <v>1</v>
      </c>
      <c r="T88" s="52" t="str">
        <f t="shared" si="38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12:41:04-0600',mode:absolute,to:'2016-09-24 15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8" s="54" t="str">
        <f t="shared" si="40"/>
        <v>N</v>
      </c>
      <c r="X88" s="168">
        <f t="shared" si="41"/>
        <v>1</v>
      </c>
      <c r="Y88" s="69">
        <f t="shared" si="42"/>
        <v>23.298200000000001</v>
      </c>
      <c r="Z88" s="69">
        <f t="shared" si="43"/>
        <v>1.6299999999999999E-2</v>
      </c>
      <c r="AA88" s="69">
        <f t="shared" si="44"/>
        <v>23.2819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5"/>
        <v>0176-24</v>
      </c>
      <c r="AE88" s="99" t="str">
        <f t="shared" si="46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88" s="96" t="str">
        <f t="shared" si="47"/>
        <v>"C:\Program Files (x86)\AstroGrep\AstroGrep.exe" /spath="%USERPROFILE%\AppData\Local\Temp\OnboardLogs" /stypes="app*4054*20160924*" /stext=" 20:.+((SYSTEM_STATE.+slice.+state.+changed )|(ment ac)|(system.+state.+changed )|(\|lc)|(penalty)|(\[timeout)|(PRM\|1\|D)|(kpr)|(kdp))" /e /r /s</v>
      </c>
      <c r="AG88" s="1" t="str">
        <f t="shared" si="48"/>
        <v>EC</v>
      </c>
      <c r="AH88" s="100" t="str">
        <f t="shared" si="49"/>
        <v>"%USERPROFILE%\Documents\GitHub\eaglep3\Utilities\RefineRTDCRunTimes.py" --tripid 176-24 --locoid 4054 --swversion DE.1.0.7.0 --startMP 204:232982 --initTime 2016-09-24T13:41:04 --startdatetime 2016-09-24T13:56:30 --delay 0 --endMP 204:163 --enddatetime 2016-09-24T14:36:33 --enforcementcount 0 &gt;&gt;C:\Users\stu\Documents\GitHub\eaglep3-reporting\EC\2016-09-24-refined-times.txt</v>
      </c>
      <c r="AI88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{"issue":{"subject":"","project_id":79,"tracker_id":40,"status_id":1,"priority_id":2,"assigned_to_id":23,"start_date":"2016-09-24","description":"","custom_fields":[{"id":1,"name":"Subdivision","value":"EC"},{"id":4,"name":"Milepost","value":"0.0163"},{"id":17,"name":"Train ID","value":"176-24"},{"id":16,"name":"Locomotive ID","value":"4054"},{"id":130,"name":"Impact","value":""},{"id":150,"name":"Time of Event (Mountain Time)","value":"14:36:33"},{"id":151,"name":"Denver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524</v>
      </c>
      <c r="B89" s="7">
        <v>4007</v>
      </c>
      <c r="C89" s="24" t="s">
        <v>106</v>
      </c>
      <c r="D89" s="24" t="s">
        <v>633</v>
      </c>
      <c r="E89" s="15">
        <v>42637.550324074073</v>
      </c>
      <c r="F89" s="15">
        <v>42637.552407407406</v>
      </c>
      <c r="G89" s="7">
        <v>1</v>
      </c>
      <c r="H89" s="15" t="s">
        <v>324</v>
      </c>
      <c r="I89" s="15">
        <v>42637.578136574077</v>
      </c>
      <c r="J89" s="7">
        <v>0</v>
      </c>
      <c r="K89" s="121" t="str">
        <f t="shared" si="35"/>
        <v>4007/4008</v>
      </c>
      <c r="L89" s="24" t="str">
        <f>VLOOKUP(A89,'Trips&amp;Operators'!$C$1:$E$10000,3,FALSE)</f>
        <v>MOSES</v>
      </c>
      <c r="M89" s="6">
        <f t="shared" si="36"/>
        <v>2.5729166671226267E-2</v>
      </c>
      <c r="N89" s="7">
        <f t="shared" si="34"/>
        <v>37.050000006565824</v>
      </c>
      <c r="O89" s="7"/>
      <c r="P89" s="7"/>
      <c r="Q89" s="25"/>
      <c r="R89" s="25"/>
      <c r="S89" s="37">
        <f t="shared" si="37"/>
        <v>1</v>
      </c>
      <c r="T89" s="52" t="str">
        <f t="shared" si="38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12:12:28-0600',mode:absolute,to:'2016-09-24 14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89" s="54" t="str">
        <f t="shared" si="40"/>
        <v>N</v>
      </c>
      <c r="X89" s="168">
        <f t="shared" si="41"/>
        <v>1</v>
      </c>
      <c r="Y89" s="69">
        <f t="shared" si="42"/>
        <v>4.24E-2</v>
      </c>
      <c r="Z89" s="69">
        <f t="shared" si="43"/>
        <v>23.333200000000001</v>
      </c>
      <c r="AA89" s="69">
        <f t="shared" si="44"/>
        <v>23.290800000000001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5"/>
        <v>0177-24</v>
      </c>
      <c r="AE89" s="99" t="str">
        <f t="shared" si="46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89" s="96" t="str">
        <f t="shared" si="47"/>
        <v>"C:\Program Files (x86)\AstroGrep\AstroGrep.exe" /spath="%USERPROFILE%\AppData\Local\Temp\OnboardLogs" /stypes="app*4007*20160924*" /stext=" 19:.+((SYSTEM_STATE.+slice.+state.+changed )|(ment ac)|(system.+state.+changed )|(\|lc)|(penalty)|(\[timeout)|(PRM\|1\|D)|(kpr)|(kdp))" /e /r /s</v>
      </c>
      <c r="AG89" s="1" t="str">
        <f t="shared" si="48"/>
        <v>EC</v>
      </c>
      <c r="AH89" s="100" t="str">
        <f t="shared" si="49"/>
        <v>"%USERPROFILE%\Documents\GitHub\eaglep3\Utilities\RefineRTDCRunTimes.py" --tripid 177-24 --locoid 4007 --swversion DE.1.0.7.0 --startMP 204:424 --initTime 2016-09-24T13:12:28 --startdatetime 2016-09-24T13:15:28 --delay 1 --endMP 204:233332 --enddatetime 2016-09-24T13:52:31 --enforcementcount 0 &gt;&gt;C:\Users\stu\Documents\GitHub\eaglep3-reporting\EC\2016-09-24-refined-times.txt</v>
      </c>
      <c r="AI89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{"issue":{"subject":"","project_id":79,"tracker_id":40,"status_id":1,"priority_id":2,"assigned_to_id":23,"start_date":"2016-09-24","description":"","custom_fields":[{"id":1,"name":"Subdivision","value":"EC"},{"id":4,"name":"Milepost","value":"23.3332"},{"id":17,"name":"Train ID","value":"177-24"},{"id":16,"name":"Locomotive ID","value":"4007"},{"id":130,"name":"Impact","value":""},{"id":150,"name":"Time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528</v>
      </c>
      <c r="B90" s="7">
        <v>4008</v>
      </c>
      <c r="C90" s="24" t="s">
        <v>106</v>
      </c>
      <c r="D90" s="24" t="s">
        <v>634</v>
      </c>
      <c r="E90" s="15">
        <v>42637.585995370369</v>
      </c>
      <c r="F90" s="15">
        <v>42637.591273148151</v>
      </c>
      <c r="G90" s="7">
        <v>1</v>
      </c>
      <c r="H90" s="15" t="s">
        <v>635</v>
      </c>
      <c r="I90" s="15">
        <v>42637.618923611109</v>
      </c>
      <c r="J90" s="7">
        <v>0</v>
      </c>
      <c r="K90" s="121" t="str">
        <f t="shared" si="35"/>
        <v>4007/4008</v>
      </c>
      <c r="L90" s="24" t="str">
        <f>VLOOKUP(A90,'Trips&amp;Operators'!$C$1:$E$10000,3,FALSE)</f>
        <v>MOSES</v>
      </c>
      <c r="M90" s="6">
        <f t="shared" si="36"/>
        <v>2.7650462958263233E-2</v>
      </c>
      <c r="N90" s="7">
        <f t="shared" si="34"/>
        <v>39.816666659899056</v>
      </c>
      <c r="O90" s="7"/>
      <c r="P90" s="7"/>
      <c r="Q90" s="25"/>
      <c r="R90" s="25"/>
      <c r="S90" s="37">
        <f t="shared" si="37"/>
        <v>1</v>
      </c>
      <c r="T90" s="52" t="str">
        <f t="shared" si="38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13:03:50-0600',mode:absolute,to:'2016-09-24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90" s="54" t="str">
        <f t="shared" si="40"/>
        <v>N</v>
      </c>
      <c r="X90" s="168">
        <f t="shared" si="41"/>
        <v>1</v>
      </c>
      <c r="Y90" s="69">
        <f t="shared" si="42"/>
        <v>23.300799999999999</v>
      </c>
      <c r="Z90" s="69">
        <f t="shared" si="43"/>
        <v>1.2999999999999999E-2</v>
      </c>
      <c r="AA90" s="69">
        <f t="shared" si="44"/>
        <v>23.287799999999997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5"/>
        <v>0178-24</v>
      </c>
      <c r="AE90" s="99" t="str">
        <f t="shared" si="46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90" s="96" t="str">
        <f t="shared" si="47"/>
        <v>"C:\Program Files (x86)\AstroGrep\AstroGrep.exe" /spath="%USERPROFILE%\AppData\Local\Temp\OnboardLogs" /stypes="app*4008*20160924*" /stext=" 20:.+((SYSTEM_STATE.+slice.+state.+changed )|(ment ac)|(system.+state.+changed )|(\|lc)|(penalty)|(\[timeout)|(PRM\|1\|D)|(kpr)|(kdp))" /e /r /s</v>
      </c>
      <c r="AG90" s="1" t="str">
        <f t="shared" si="48"/>
        <v>EC</v>
      </c>
      <c r="AH90" s="100" t="str">
        <f t="shared" si="49"/>
        <v>"%USERPROFILE%\Documents\GitHub\eaglep3\Utilities\RefineRTDCRunTimes.py" --tripid 178-24 --locoid 4008 --swversion DE.1.0.7.0 --startMP 204:233008 --initTime 2016-09-24T14:03:50 --startdatetime 2016-09-24T14:11:26 --delay 1 --endMP 204:130 --enddatetime 2016-09-24T14:51:15 --enforcementcount 0 &gt;&gt;C:\Users\stu\Documents\GitHub\eaglep3-reporting\EC\2016-09-24-refined-times.txt</v>
      </c>
      <c r="AI90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{"issue":{"subject":"","project_id":79,"tracker_id":40,"status_id":1,"priority_id":2,"assigned_to_id":23,"start_date":"2016-09-24","description":"","custom_fields":[{"id":1,"name":"Subdivision","value":"EC"},{"id":4,"name":"Milepost","value":"0.013"},{"id":17,"name":"Train ID","value":"178-24"},{"id":16,"name":"Locomotive ID","value":"4008"},{"id":130,"name":"Impact","value":""},{"id":150,"name":"Time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449</v>
      </c>
      <c r="B91" s="7">
        <v>4042</v>
      </c>
      <c r="C91" s="24" t="s">
        <v>106</v>
      </c>
      <c r="D91" s="24" t="s">
        <v>226</v>
      </c>
      <c r="E91" s="15">
        <v>42637.559282407405</v>
      </c>
      <c r="F91" s="15">
        <v>42637.562696759262</v>
      </c>
      <c r="G91" s="7">
        <v>1</v>
      </c>
      <c r="H91" s="15" t="s">
        <v>403</v>
      </c>
      <c r="I91" s="15">
        <v>42637.588692129626</v>
      </c>
      <c r="J91" s="7">
        <v>0</v>
      </c>
      <c r="K91" s="121" t="str">
        <f t="shared" si="35"/>
        <v>4041/4042</v>
      </c>
      <c r="L91" s="24" t="str">
        <f>VLOOKUP(A91,'Trips&amp;Operators'!$C$1:$E$10000,3,FALSE)</f>
        <v>SHOOK</v>
      </c>
      <c r="M91" s="6">
        <f t="shared" si="36"/>
        <v>2.5995370364398696E-2</v>
      </c>
      <c r="N91" s="7">
        <f t="shared" si="34"/>
        <v>37.433333324734122</v>
      </c>
      <c r="O91" s="7"/>
      <c r="P91" s="7"/>
      <c r="Q91" s="25"/>
      <c r="R91" s="25"/>
      <c r="S91" s="37">
        <f t="shared" si="37"/>
        <v>1</v>
      </c>
      <c r="T91" s="52" t="str">
        <f t="shared" si="38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12:25:22-0600',mode:absolute,to:'2016-09-24 15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1" s="54" t="str">
        <f t="shared" si="40"/>
        <v>N</v>
      </c>
      <c r="X91" s="168">
        <f t="shared" si="41"/>
        <v>1</v>
      </c>
      <c r="Y91" s="69">
        <f t="shared" si="42"/>
        <v>4.5100000000000001E-2</v>
      </c>
      <c r="Z91" s="69">
        <f t="shared" si="43"/>
        <v>23.330100000000002</v>
      </c>
      <c r="AA91" s="69">
        <f t="shared" si="44"/>
        <v>23.285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5"/>
        <v>0179-24</v>
      </c>
      <c r="AE91" s="99" t="str">
        <f t="shared" si="46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91" s="96" t="str">
        <f t="shared" si="47"/>
        <v>"C:\Program Files (x86)\AstroGrep\AstroGrep.exe" /spath="%USERPROFILE%\AppData\Local\Temp\OnboardLogs" /stypes="app*4042*20160924*" /stext=" 20:.+((SYSTEM_STATE.+slice.+state.+changed )|(ment ac)|(system.+state.+changed )|(\|lc)|(penalty)|(\[timeout)|(PRM\|1\|D)|(kpr)|(kdp))" /e /r /s</v>
      </c>
      <c r="AG91" s="1" t="str">
        <f t="shared" si="48"/>
        <v>EC</v>
      </c>
      <c r="AH91" s="100" t="str">
        <f t="shared" si="49"/>
        <v>"%USERPROFILE%\Documents\GitHub\eaglep3\Utilities\RefineRTDCRunTimes.py" --tripid 179-24 --locoid 4042 --swversion DE.1.0.7.0 --startMP 204:451 --initTime 2016-09-24T13:25:22 --startdatetime 2016-09-24T13:30:17 --delay 1 --endMP 204:233301 --enddatetime 2016-09-24T14:07:43 --enforcementcount 0 &gt;&gt;C:\Users\stu\Documents\GitHub\eaglep3-reporting\EC\2016-09-24-refined-times.txt</v>
      </c>
      <c r="AI91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{"issue":{"subject":"","project_id":79,"tracker_id":40,"status_id":1,"priority_id":2,"assigned_to_id":23,"start_date":"2016-09-24","description":"","custom_fields":[{"id":1,"name":"Subdivision","value":"EC"},{"id":4,"name":"Milepost","value":"23.3301"},{"id":17,"name":"Train ID","value":"179-24"},{"id":16,"name":"Locomotive ID","value":"4042"},{"id":130,"name":"Impact","value":""},{"id":150,"name":"Time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530</v>
      </c>
      <c r="B92" s="7">
        <v>4041</v>
      </c>
      <c r="C92" s="24" t="s">
        <v>106</v>
      </c>
      <c r="D92" s="24" t="s">
        <v>321</v>
      </c>
      <c r="E92" s="15">
        <v>42637.596041666664</v>
      </c>
      <c r="F92" s="15">
        <v>42637.601655092592</v>
      </c>
      <c r="G92" s="7">
        <v>1</v>
      </c>
      <c r="H92" s="15" t="s">
        <v>217</v>
      </c>
      <c r="I92" s="15">
        <v>42637.629733796297</v>
      </c>
      <c r="J92" s="7">
        <v>0</v>
      </c>
      <c r="K92" s="121" t="str">
        <f t="shared" si="35"/>
        <v>4041/4042</v>
      </c>
      <c r="L92" s="24" t="str">
        <f>VLOOKUP(A92,'Trips&amp;Operators'!$C$1:$E$10000,3,FALSE)</f>
        <v>SHOOK</v>
      </c>
      <c r="M92" s="6">
        <f t="shared" si="36"/>
        <v>2.8078703704522923E-2</v>
      </c>
      <c r="N92" s="7">
        <f t="shared" si="34"/>
        <v>40.433333334513009</v>
      </c>
      <c r="O92" s="7"/>
      <c r="P92" s="7"/>
      <c r="Q92" s="25"/>
      <c r="R92" s="25"/>
      <c r="S92" s="37">
        <f t="shared" si="37"/>
        <v>1</v>
      </c>
      <c r="T92" s="52" t="str">
        <f t="shared" si="38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13:18:18-0600',mode:absolute,to:'2016-09-24 16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2" s="54" t="str">
        <f t="shared" si="40"/>
        <v>N</v>
      </c>
      <c r="X92" s="168">
        <f t="shared" si="41"/>
        <v>1</v>
      </c>
      <c r="Y92" s="69">
        <f t="shared" si="42"/>
        <v>23.297499999999999</v>
      </c>
      <c r="Z92" s="69">
        <f t="shared" si="43"/>
        <v>1.5800000000000002E-2</v>
      </c>
      <c r="AA92" s="69">
        <f t="shared" si="44"/>
        <v>23.281700000000001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5"/>
        <v>0180-24</v>
      </c>
      <c r="AE92" s="99" t="str">
        <f t="shared" si="46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92" s="96" t="str">
        <f t="shared" si="47"/>
        <v>"C:\Program Files (x86)\AstroGrep\AstroGrep.exe" /spath="%USERPROFILE%\AppData\Local\Temp\OnboardLogs" /stypes="app*4041*20160924*" /stext=" 21:.+((SYSTEM_STATE.+slice.+state.+changed )|(ment ac)|(system.+state.+changed )|(\|lc)|(penalty)|(\[timeout)|(PRM\|1\|D)|(kpr)|(kdp))" /e /r /s</v>
      </c>
      <c r="AG92" s="1" t="str">
        <f t="shared" si="48"/>
        <v>EC</v>
      </c>
      <c r="AH92" s="100" t="str">
        <f t="shared" si="49"/>
        <v>"%USERPROFILE%\Documents\GitHub\eaglep3\Utilities\RefineRTDCRunTimes.py" --tripid 180-24 --locoid 4041 --swversion DE.1.0.7.0 --startMP 204:232975 --initTime 2016-09-24T14:18:18 --startdatetime 2016-09-24T14:26:23 --delay 1 --endMP 204:158 --enddatetime 2016-09-24T15:06:49 --enforcementcount 0 &gt;&gt;C:\Users\stu\Documents\GitHub\eaglep3-reporting\EC\2016-09-24-refined-times.txt</v>
      </c>
      <c r="AI92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{"issue":{"subject":"","project_id":79,"tracker_id":40,"status_id":1,"priority_id":2,"assigned_to_id":23,"start_date":"2016-09-24","description":"","custom_fields":[{"id":1,"name":"Subdivision","value":"EC"},{"id":4,"name":"Milepost","value":"0.0158"},{"id":17,"name":"Train ID","value":"180-24"},{"id":16,"name":"Locomotive ID","value":"4041"},{"id":130,"name":"Impact","value":""},{"id":150,"name":"Time of Event (Mountain Time)","value":"15:06:49"},{"id":151,"name":"Denver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525</v>
      </c>
      <c r="B93" s="7">
        <v>4018</v>
      </c>
      <c r="C93" s="24" t="s">
        <v>106</v>
      </c>
      <c r="D93" s="24" t="s">
        <v>636</v>
      </c>
      <c r="E93" s="15">
        <v>42637.568449074075</v>
      </c>
      <c r="F93" s="15">
        <v>42637.573263888888</v>
      </c>
      <c r="G93" s="7">
        <v>1</v>
      </c>
      <c r="H93" s="15" t="s">
        <v>268</v>
      </c>
      <c r="I93" s="15">
        <v>42637.598217592589</v>
      </c>
      <c r="J93" s="7">
        <v>0</v>
      </c>
      <c r="K93" s="121" t="str">
        <f t="shared" si="35"/>
        <v>4017/4018</v>
      </c>
      <c r="L93" s="24" t="str">
        <f>VLOOKUP(A93,'Trips&amp;Operators'!$C$1:$E$10000,3,FALSE)</f>
        <v>BRUDER</v>
      </c>
      <c r="M93" s="6">
        <f t="shared" si="36"/>
        <v>2.495370370161254E-2</v>
      </c>
      <c r="N93" s="7">
        <f t="shared" si="34"/>
        <v>35.933333330322057</v>
      </c>
      <c r="O93" s="7"/>
      <c r="P93" s="7"/>
      <c r="Q93" s="25"/>
      <c r="R93" s="25"/>
      <c r="S93" s="37">
        <f t="shared" si="37"/>
        <v>1</v>
      </c>
      <c r="T93" s="52" t="str">
        <f t="shared" si="38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12:38:34-0600',mode:absolute,to:'2016-09-24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3" s="54" t="str">
        <f t="shared" si="40"/>
        <v>N</v>
      </c>
      <c r="X93" s="168">
        <f t="shared" si="41"/>
        <v>1</v>
      </c>
      <c r="Y93" s="69">
        <f t="shared" si="42"/>
        <v>4.4900000000000002E-2</v>
      </c>
      <c r="Z93" s="69">
        <f t="shared" si="43"/>
        <v>23.331199999999999</v>
      </c>
      <c r="AA93" s="69">
        <f t="shared" si="44"/>
        <v>23.286300000000001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5"/>
        <v>0181-24</v>
      </c>
      <c r="AE93" s="99" t="str">
        <f t="shared" si="46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93" s="96" t="str">
        <f t="shared" si="47"/>
        <v>"C:\Program Files (x86)\AstroGrep\AstroGrep.exe" /spath="%USERPROFILE%\AppData\Local\Temp\OnboardLogs" /stypes="app*4018*20160924*" /stext=" 20:.+((SYSTEM_STATE.+slice.+state.+changed )|(ment ac)|(system.+state.+changed )|(\|lc)|(penalty)|(\[timeout)|(PRM\|1\|D)|(kpr)|(kdp))" /e /r /s</v>
      </c>
      <c r="AG93" s="1" t="str">
        <f t="shared" si="48"/>
        <v>EC</v>
      </c>
      <c r="AH93" s="100" t="str">
        <f t="shared" si="49"/>
        <v>"%USERPROFILE%\Documents\GitHub\eaglep3\Utilities\RefineRTDCRunTimes.py" --tripid 181-24 --locoid 4018 --swversion DE.1.0.7.0 --startMP 204:449 --initTime 2016-09-24T13:38:34 --startdatetime 2016-09-24T13:45:30 --delay 1 --endMP 204:233312 --enddatetime 2016-09-24T14:21:26 --enforcementcount 0 &gt;&gt;C:\Users\stu\Documents\GitHub\eaglep3-reporting\EC\2016-09-24-refined-times.txt</v>
      </c>
      <c r="AI93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{"issue":{"subject":"","project_id":79,"tracker_id":40,"status_id":1,"priority_id":2,"assigned_to_id":23,"start_date":"2016-09-24","description":"","custom_fields":[{"id":1,"name":"Subdivision","value":"EC"},{"id":4,"name":"Milepost","value":"23.3312"},{"id":17,"name":"Train ID","value":"181-24"},{"id":16,"name":"Locomotive ID","value":"4018"},{"id":130,"name":"Impact","value":""},{"id":150,"name":"Time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531</v>
      </c>
      <c r="B94" s="7">
        <v>4017</v>
      </c>
      <c r="C94" s="24" t="s">
        <v>106</v>
      </c>
      <c r="D94" s="24" t="s">
        <v>235</v>
      </c>
      <c r="E94" s="15">
        <v>42637.604432870372</v>
      </c>
      <c r="F94" s="15">
        <v>42637.612037037034</v>
      </c>
      <c r="G94" s="7">
        <v>1</v>
      </c>
      <c r="H94" s="15" t="s">
        <v>257</v>
      </c>
      <c r="I94" s="15">
        <v>42637.641585648147</v>
      </c>
      <c r="J94" s="7">
        <v>0</v>
      </c>
      <c r="K94" s="121" t="str">
        <f t="shared" si="35"/>
        <v>4017/4018</v>
      </c>
      <c r="L94" s="24" t="str">
        <f>VLOOKUP(A94,'Trips&amp;Operators'!$C$1:$E$10000,3,FALSE)</f>
        <v>BRUDER</v>
      </c>
      <c r="M94" s="6">
        <f t="shared" si="36"/>
        <v>2.9548611113568768E-2</v>
      </c>
      <c r="N94" s="7">
        <f t="shared" si="34"/>
        <v>42.550000003539026</v>
      </c>
      <c r="O94" s="7"/>
      <c r="P94" s="7"/>
      <c r="Q94" s="25"/>
      <c r="R94" s="25"/>
      <c r="S94" s="37">
        <f t="shared" si="37"/>
        <v>1</v>
      </c>
      <c r="T94" s="52" t="str">
        <f t="shared" si="38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13:30:23-0600',mode:absolute,to:'2016-09-24 16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4" s="54" t="str">
        <f t="shared" si="40"/>
        <v>N</v>
      </c>
      <c r="X94" s="168">
        <f t="shared" si="41"/>
        <v>1</v>
      </c>
      <c r="Y94" s="69">
        <f t="shared" si="42"/>
        <v>23.299399999999999</v>
      </c>
      <c r="Z94" s="69">
        <f t="shared" si="43"/>
        <v>1.4500000000000001E-2</v>
      </c>
      <c r="AA94" s="69">
        <f t="shared" si="44"/>
        <v>23.284899999999997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5"/>
        <v>0182-24</v>
      </c>
      <c r="AE94" s="99" t="str">
        <f t="shared" si="46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94" s="96" t="str">
        <f t="shared" si="47"/>
        <v>"C:\Program Files (x86)\AstroGrep\AstroGrep.exe" /spath="%USERPROFILE%\AppData\Local\Temp\OnboardLogs" /stypes="app*4017*20160924*" /stext=" 21:.+((SYSTEM_STATE.+slice.+state.+changed )|(ment ac)|(system.+state.+changed )|(\|lc)|(penalty)|(\[timeout)|(PRM\|1\|D)|(kpr)|(kdp))" /e /r /s</v>
      </c>
      <c r="AG94" s="1" t="str">
        <f t="shared" si="48"/>
        <v>EC</v>
      </c>
      <c r="AH94" s="100" t="str">
        <f t="shared" si="49"/>
        <v>"%USERPROFILE%\Documents\GitHub\eaglep3\Utilities\RefineRTDCRunTimes.py" --tripid 182-24 --locoid 4017 --swversion DE.1.0.7.0 --startMP 204:232994 --initTime 2016-09-24T14:30:23 --startdatetime 2016-09-24T14:41:20 --delay 1 --endMP 204:145 --enddatetime 2016-09-24T15:23:53 --enforcementcount 0 &gt;&gt;C:\Users\stu\Documents\GitHub\eaglep3-reporting\EC\2016-09-24-refined-times.txt</v>
      </c>
      <c r="AI94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{"issue":{"subject":"","project_id":79,"tracker_id":40,"status_id":1,"priority_id":2,"assigned_to_id":23,"start_date":"2016-09-24","description":"","custom_fields":[{"id":1,"name":"Subdivision","value":"EC"},{"id":4,"name":"Milepost","value":"0.0145"},{"id":17,"name":"Train ID","value":"182-24"},{"id":16,"name":"Locomotive ID","value":"4017"},{"id":130,"name":"Impact","value":""},{"id":150,"name":"Time of Event (Mountain Time)","value":"15:23:53"},{"id":151,"name":"Denver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527</v>
      </c>
      <c r="B95" s="7">
        <v>4009</v>
      </c>
      <c r="C95" s="24" t="s">
        <v>106</v>
      </c>
      <c r="D95" s="24" t="s">
        <v>226</v>
      </c>
      <c r="E95" s="15">
        <v>42637.580937500003</v>
      </c>
      <c r="F95" s="15">
        <v>42637.583611111113</v>
      </c>
      <c r="G95" s="7">
        <v>1</v>
      </c>
      <c r="H95" s="15" t="s">
        <v>637</v>
      </c>
      <c r="I95" s="15">
        <v>42637.610011574077</v>
      </c>
      <c r="J95" s="7">
        <v>0</v>
      </c>
      <c r="K95" s="121" t="str">
        <f t="shared" si="35"/>
        <v>4009/4010</v>
      </c>
      <c r="L95" s="24" t="str">
        <f>VLOOKUP(A95,'Trips&amp;Operators'!$C$1:$E$10000,3,FALSE)</f>
        <v>CLARK</v>
      </c>
      <c r="M95" s="6">
        <f t="shared" si="36"/>
        <v>2.6400462964375038E-2</v>
      </c>
      <c r="N95" s="7">
        <f t="shared" si="34"/>
        <v>38.016666668700054</v>
      </c>
      <c r="O95" s="7"/>
      <c r="P95" s="7"/>
      <c r="Q95" s="25"/>
      <c r="R95" s="25"/>
      <c r="S95" s="37">
        <f t="shared" si="37"/>
        <v>1</v>
      </c>
      <c r="T95" s="52" t="str">
        <f t="shared" si="38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12:56:33-0600',mode:absolute,to:'2016-09-24 15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5" s="54" t="str">
        <f t="shared" si="40"/>
        <v>N</v>
      </c>
      <c r="X95" s="168">
        <f t="shared" si="41"/>
        <v>1</v>
      </c>
      <c r="Y95" s="69">
        <f t="shared" si="42"/>
        <v>4.5100000000000001E-2</v>
      </c>
      <c r="Z95" s="69">
        <f t="shared" si="43"/>
        <v>23.325500000000002</v>
      </c>
      <c r="AA95" s="69">
        <f t="shared" si="44"/>
        <v>23.2804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5"/>
        <v>0183-24</v>
      </c>
      <c r="AE95" s="99" t="str">
        <f t="shared" si="46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95" s="96" t="str">
        <f t="shared" si="47"/>
        <v>"C:\Program Files (x86)\AstroGrep\AstroGrep.exe" /spath="%USERPROFILE%\AppData\Local\Temp\OnboardLogs" /stypes="app*4009*20160924*" /stext=" 20:.+((SYSTEM_STATE.+slice.+state.+changed )|(ment ac)|(system.+state.+changed )|(\|lc)|(penalty)|(\[timeout)|(PRM\|1\|D)|(kpr)|(kdp))" /e /r /s</v>
      </c>
      <c r="AG95" s="1" t="str">
        <f t="shared" si="48"/>
        <v>EC</v>
      </c>
      <c r="AH95" s="100" t="str">
        <f t="shared" si="49"/>
        <v>"%USERPROFILE%\Documents\GitHub\eaglep3\Utilities\RefineRTDCRunTimes.py" --tripid 183-24 --locoid 4009 --swversion DE.1.0.7.0 --startMP 204:451 --initTime 2016-09-24T13:56:33 --startdatetime 2016-09-24T14:00:24 --delay 1 --endMP 204:233255 --enddatetime 2016-09-24T14:38:25 --enforcementcount 0 &gt;&gt;C:\Users\stu\Documents\GitHub\eaglep3-reporting\EC\2016-09-24-refined-times.txt</v>
      </c>
      <c r="AI95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{"issue":{"subject":"","project_id":79,"tracker_id":40,"status_id":1,"priority_id":2,"assigned_to_id":23,"start_date":"2016-09-24","description":"","custom_fields":[{"id":1,"name":"Subdivision","value":"EC"},{"id":4,"name":"Milepost","value":"23.3255"},{"id":17,"name":"Train ID","value":"183-24"},{"id":16,"name":"Locomotive ID","value":"4009"},{"id":130,"name":"Impact","value":""},{"id":150,"name":"Time of Event (Mountain Time)","value":"14:38:25"},{"id":151,"name":"Denver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452</v>
      </c>
      <c r="B96" s="7">
        <v>4010</v>
      </c>
      <c r="C96" s="24" t="s">
        <v>106</v>
      </c>
      <c r="D96" s="24" t="s">
        <v>416</v>
      </c>
      <c r="E96" s="15">
        <v>42637.61822916667</v>
      </c>
      <c r="F96" s="15">
        <v>42637.622407407405</v>
      </c>
      <c r="G96" s="7">
        <v>0</v>
      </c>
      <c r="H96" s="15" t="s">
        <v>263</v>
      </c>
      <c r="I96" s="15">
        <v>42637.659259259257</v>
      </c>
      <c r="J96" s="7">
        <v>0</v>
      </c>
      <c r="K96" s="121" t="str">
        <f t="shared" si="35"/>
        <v>4009/4010</v>
      </c>
      <c r="L96" s="24" t="str">
        <f>VLOOKUP(A96,'Trips&amp;Operators'!$C$1:$E$10000,3,FALSE)</f>
        <v>CLARK</v>
      </c>
      <c r="M96" s="6">
        <f t="shared" si="36"/>
        <v>3.6851851851679385E-2</v>
      </c>
      <c r="N96" s="7">
        <f t="shared" si="34"/>
        <v>53.066666666418314</v>
      </c>
      <c r="O96" s="7"/>
      <c r="P96" s="7"/>
      <c r="Q96" s="25"/>
      <c r="R96" s="25"/>
      <c r="S96" s="37">
        <f t="shared" si="37"/>
        <v>1</v>
      </c>
      <c r="T96" s="52" t="str">
        <f t="shared" si="38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13:50:15-0600',mode:absolute,to:'2016-09-24 16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6" s="54" t="str">
        <f t="shared" si="40"/>
        <v>N</v>
      </c>
      <c r="X96" s="168">
        <f t="shared" si="41"/>
        <v>1</v>
      </c>
      <c r="Y96" s="69">
        <f t="shared" si="42"/>
        <v>23.294599999999999</v>
      </c>
      <c r="Z96" s="69">
        <f t="shared" si="43"/>
        <v>1.41E-2</v>
      </c>
      <c r="AA96" s="69">
        <f t="shared" si="44"/>
        <v>23.2805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5"/>
        <v>0184-24</v>
      </c>
      <c r="AE96" s="99" t="str">
        <f t="shared" si="46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96" s="96" t="str">
        <f t="shared" si="47"/>
        <v>"C:\Program Files (x86)\AstroGrep\AstroGrep.exe" /spath="%USERPROFILE%\AppData\Local\Temp\OnboardLogs" /stypes="app*4010*20160924*" /stext=" 21:.+((SYSTEM_STATE.+slice.+state.+changed )|(ment ac)|(system.+state.+changed )|(\|lc)|(penalty)|(\[timeout)|(PRM\|1\|D)|(kpr)|(kdp))" /e /r /s</v>
      </c>
      <c r="AG96" s="1" t="str">
        <f t="shared" si="48"/>
        <v>EC</v>
      </c>
      <c r="AH96" s="100" t="str">
        <f t="shared" si="49"/>
        <v>"%USERPROFILE%\Documents\GitHub\eaglep3\Utilities\RefineRTDCRunTimes.py" --tripid 184-24 --locoid 4010 --swversion DE.1.0.7.0 --startMP 204:232946 --initTime 2016-09-24T14:50:15 --startdatetime 2016-09-24T14:56:16 --delay 0 --endMP 204:141 --enddatetime 2016-09-24T15:49:20 --enforcementcount 0 &gt;&gt;C:\Users\stu\Documents\GitHub\eaglep3-reporting\EC\2016-09-24-refined-times.txt</v>
      </c>
      <c r="AI96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{"issue":{"subject":"","project_id":79,"tracker_id":40,"status_id":1,"priority_id":2,"assigned_to_id":23,"start_date":"2016-09-24","description":"","custom_fields":[{"id":1,"name":"Subdivision","value":"EC"},{"id":4,"name":"Milepost","value":"0.0141"},{"id":17,"name":"Train ID","value":"184-24"},{"id":16,"name":"Locomotive ID","value":"4010"},{"id":130,"name":"Impact","value":""},{"id":150,"name":"Time of Event (Mountain Time)","value":"15:49:20"},{"id":151,"name":"Denver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529</v>
      </c>
      <c r="B97" s="7">
        <v>4014</v>
      </c>
      <c r="C97" s="24" t="s">
        <v>106</v>
      </c>
      <c r="D97" s="24" t="s">
        <v>618</v>
      </c>
      <c r="E97" s="15">
        <v>42637.591053240743</v>
      </c>
      <c r="F97" s="15">
        <v>42637.593946759262</v>
      </c>
      <c r="G97" s="7">
        <v>4</v>
      </c>
      <c r="H97" s="15" t="s">
        <v>638</v>
      </c>
      <c r="I97" s="15">
        <v>42637.619733796295</v>
      </c>
      <c r="J97" s="7">
        <v>0</v>
      </c>
      <c r="K97" s="121" t="str">
        <f t="shared" si="35"/>
        <v>4013/4014</v>
      </c>
      <c r="L97" s="24" t="str">
        <f>VLOOKUP(A97,'Trips&amp;Operators'!$C$1:$E$10000,3,FALSE)</f>
        <v>STORY</v>
      </c>
      <c r="M97" s="6">
        <f t="shared" si="36"/>
        <v>2.5787037033296656E-2</v>
      </c>
      <c r="N97" s="7">
        <f t="shared" si="34"/>
        <v>37.133333327947184</v>
      </c>
      <c r="O97" s="7"/>
      <c r="P97" s="7"/>
      <c r="Q97" s="25"/>
      <c r="R97" s="25"/>
      <c r="S97" s="37">
        <f t="shared" si="37"/>
        <v>1</v>
      </c>
      <c r="T97" s="52" t="str">
        <f t="shared" si="38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13:11:07-0600',mode:absolute,to:'2016-09-24 15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7" s="54" t="str">
        <f t="shared" si="40"/>
        <v>N</v>
      </c>
      <c r="X97" s="168">
        <f t="shared" si="41"/>
        <v>1</v>
      </c>
      <c r="Y97" s="69">
        <f t="shared" si="42"/>
        <v>4.8599999999999997E-2</v>
      </c>
      <c r="Z97" s="69">
        <f t="shared" si="43"/>
        <v>23.335100000000001</v>
      </c>
      <c r="AA97" s="69">
        <f t="shared" si="44"/>
        <v>23.2865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5"/>
        <v>0185-24</v>
      </c>
      <c r="AE97" s="99" t="str">
        <f t="shared" si="46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97" s="96" t="str">
        <f t="shared" si="47"/>
        <v>"C:\Program Files (x86)\AstroGrep\AstroGrep.exe" /spath="%USERPROFILE%\AppData\Local\Temp\OnboardLogs" /stypes="app*4014*20160924*" /stext=" 20:.+((SYSTEM_STATE.+slice.+state.+changed )|(ment ac)|(system.+state.+changed )|(\|lc)|(penalty)|(\[timeout)|(PRM\|1\|D)|(kpr)|(kdp))" /e /r /s</v>
      </c>
      <c r="AG97" s="1" t="str">
        <f t="shared" si="48"/>
        <v>EC</v>
      </c>
      <c r="AH97" s="100" t="str">
        <f t="shared" si="49"/>
        <v>"%USERPROFILE%\Documents\GitHub\eaglep3\Utilities\RefineRTDCRunTimes.py" --tripid 185-24 --locoid 4014 --swversion DE.1.0.7.0 --startMP 204:486 --initTime 2016-09-24T14:11:07 --startdatetime 2016-09-24T14:15:17 --delay 4 --endMP 204:233351 --enddatetime 2016-09-24T14:52:25 --enforcementcount 0 &gt;&gt;C:\Users\stu\Documents\GitHub\eaglep3-reporting\EC\2016-09-24-refined-times.txt</v>
      </c>
      <c r="AI97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{"issue":{"subject":"","project_id":79,"tracker_id":40,"status_id":1,"priority_id":2,"assigned_to_id":23,"start_date":"2016-09-24","description":"","custom_fields":[{"id":1,"name":"Subdivision","value":"EC"},{"id":4,"name":"Milepost","value":"23.3351"},{"id":17,"name":"Train ID","value":"185-24"},{"id":16,"name":"Locomotive ID","value":"4014"},{"id":130,"name":"Impact","value":""},{"id":150,"name":"Time of Event (Mountain Time)","value":"14:52:25"},{"id":151,"name":"Denver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451</v>
      </c>
      <c r="B98" s="7">
        <v>4013</v>
      </c>
      <c r="C98" s="24" t="s">
        <v>106</v>
      </c>
      <c r="D98" s="24" t="s">
        <v>639</v>
      </c>
      <c r="E98" s="15">
        <v>42637.624490740738</v>
      </c>
      <c r="F98" s="15">
        <v>42637.6330787037</v>
      </c>
      <c r="G98" s="7">
        <v>6</v>
      </c>
      <c r="H98" s="15" t="s">
        <v>402</v>
      </c>
      <c r="I98" s="15">
        <v>42637.667002314818</v>
      </c>
      <c r="J98" s="7">
        <v>0</v>
      </c>
      <c r="K98" s="121" t="str">
        <f t="shared" si="35"/>
        <v>4013/4014</v>
      </c>
      <c r="L98" s="24" t="str">
        <f>VLOOKUP(A98,'Trips&amp;Operators'!$C$1:$E$10000,3,FALSE)</f>
        <v>STORY</v>
      </c>
      <c r="M98" s="6">
        <f t="shared" si="36"/>
        <v>3.3923611117643304E-2</v>
      </c>
      <c r="N98" s="7">
        <f t="shared" si="34"/>
        <v>48.850000009406358</v>
      </c>
      <c r="O98" s="7"/>
      <c r="P98" s="7"/>
      <c r="Q98" s="25"/>
      <c r="R98" s="25"/>
      <c r="S98" s="37">
        <f t="shared" si="37"/>
        <v>1</v>
      </c>
      <c r="T98" s="52" t="str">
        <f t="shared" si="38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8" s="54" t="str">
        <f t="shared" si="40"/>
        <v>N</v>
      </c>
      <c r="X98" s="168">
        <f t="shared" si="41"/>
        <v>1</v>
      </c>
      <c r="Y98" s="69">
        <f t="shared" si="42"/>
        <v>23.303000000000001</v>
      </c>
      <c r="Z98" s="69">
        <f t="shared" si="43"/>
        <v>1.6500000000000001E-2</v>
      </c>
      <c r="AA98" s="69">
        <f t="shared" si="44"/>
        <v>23.2865</v>
      </c>
      <c r="AB98" s="66" t="str">
        <f>VLOOKUP(A98,Enforcements!$C$7:$K$20,8,0)</f>
        <v>Bulletin (2)</v>
      </c>
      <c r="AC98" s="62" t="str">
        <f>VLOOKUP(A98,Enforcements!$C$7:$E$20,3,0)</f>
        <v>GRADE CROSSING</v>
      </c>
      <c r="AD98" s="63" t="str">
        <f t="shared" si="45"/>
        <v>0186-24</v>
      </c>
      <c r="AE98" s="99" t="str">
        <f t="shared" si="46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98" s="96" t="str">
        <f t="shared" si="47"/>
        <v>"C:\Program Files (x86)\AstroGrep\AstroGrep.exe" /spath="%USERPROFILE%\AppData\Local\Temp\OnboardLogs" /stypes="app*4013*20160924*" /stext=" 22:.+((SYSTEM_STATE.+slice.+state.+changed )|(ment ac)|(system.+state.+changed )|(\|lc)|(penalty)|(\[timeout)|(PRM\|1\|D)|(kpr)|(kdp))" /e /r /s</v>
      </c>
      <c r="AG98" s="1" t="str">
        <f t="shared" si="48"/>
        <v>EC</v>
      </c>
      <c r="AH98" s="100" t="str">
        <f t="shared" si="49"/>
        <v>"%USERPROFILE%\Documents\GitHub\eaglep3\Utilities\RefineRTDCRunTimes.py" --tripid 186-24 --locoid 4013 --swversion DE.1.0.7.0 --startMP 204:233030 --initTime 2016-09-24T14:59:16 --startdatetime 2016-09-24T15:11:38 --delay 6 --endMP 204:165 --enddatetime 2016-09-24T16:00:29 --enforcementcount 0 &gt;&gt;C:\Users\stu\Documents\GitHub\eaglep3-reporting\EC\2016-09-24-refined-times.txt</v>
      </c>
      <c r="AI98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{"issue":{"subject":"","project_id":79,"tracker_id":40,"status_id":1,"priority_id":2,"assigned_to_id":23,"start_date":"2016-09-24","description":"","custom_fields":[{"id":1,"name":"Subdivision","value":"EC"},{"id":4,"name":"Milepost","value":"0.0165"},{"id":17,"name":"Train ID","value":"186-24"},{"id":16,"name":"Locomotive ID","value":"4013"},{"id":130,"name":"Impact","value":""},{"id":150,"name":"Time of Event (Mountain Time)","value":"16:00:29"},{"id":151,"name":"Denver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532</v>
      </c>
      <c r="B99" s="7">
        <v>4046</v>
      </c>
      <c r="C99" s="24" t="s">
        <v>106</v>
      </c>
      <c r="D99" s="24" t="s">
        <v>231</v>
      </c>
      <c r="E99" s="15">
        <v>42637.605520833335</v>
      </c>
      <c r="F99" s="15">
        <v>42637.607442129629</v>
      </c>
      <c r="G99" s="7">
        <v>1</v>
      </c>
      <c r="H99" s="15" t="s">
        <v>411</v>
      </c>
      <c r="I99" s="15">
        <v>42637.633032407408</v>
      </c>
      <c r="J99" s="7">
        <v>0</v>
      </c>
      <c r="K99" s="121" t="str">
        <f t="shared" si="35"/>
        <v>4045/4046</v>
      </c>
      <c r="L99" s="24" t="str">
        <f>VLOOKUP(A99,'Trips&amp;Operators'!$C$1:$E$10000,3,FALSE)</f>
        <v>STEWART</v>
      </c>
      <c r="M99" s="6">
        <f t="shared" si="36"/>
        <v>2.5590277778974269E-2</v>
      </c>
      <c r="N99" s="7">
        <f t="shared" si="34"/>
        <v>36.850000001722947</v>
      </c>
      <c r="O99" s="7"/>
      <c r="P99" s="7"/>
      <c r="Q99" s="25"/>
      <c r="R99" s="25"/>
      <c r="S99" s="37">
        <f t="shared" si="37"/>
        <v>1</v>
      </c>
      <c r="T99" s="52" t="str">
        <f t="shared" si="38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13:31:57-0600',mode:absolute,to:'2016-09-24 16:11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9" s="54" t="str">
        <f t="shared" si="40"/>
        <v>N</v>
      </c>
      <c r="X99" s="168">
        <f t="shared" si="41"/>
        <v>1</v>
      </c>
      <c r="Y99" s="69">
        <f t="shared" si="42"/>
        <v>4.5999999999999999E-2</v>
      </c>
      <c r="Z99" s="69">
        <f t="shared" si="43"/>
        <v>23.3264</v>
      </c>
      <c r="AA99" s="69">
        <f t="shared" si="44"/>
        <v>23.2804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5"/>
        <v>0187-24</v>
      </c>
      <c r="AE99" s="99" t="str">
        <f t="shared" si="46"/>
        <v>aws s3 cp s3://rtdc.mdm.uploadarchive/RTDC4046/2016-09-24/ "%USERPROFILE%\AppData\Local\Temp\OnboardLogs"\RTDC4046\2016-09-24 --recursive &amp; "%USERPROFILE%\Documents\GitHub\mrs-test-scripts\Headless Mode &amp; Sideloading\WalkAndUnGZ.bat" "%USERPROFILE%\AppData\Local\Temp\OnboardLogs"\RTDC4046\2016-09-24 &amp; aws s3 cp s3://rtdc.mdm.uploadarchive/RTDC4046/2016-09-25/ "%USERPROFILE%\AppData\Local\Temp\OnboardLogs"\RTDC4046\2016-09-25 --recursive &amp; "%USERPROFILE%\Documents\GitHub\mrs-test-scripts\Headless Mode &amp; Sideloading\WalkAndUnGZ.bat" "%USERPROFILE%\AppData\Local\Temp\OnboardLogs"\RTDC4046\2016-09-25</v>
      </c>
      <c r="AF99" s="96" t="str">
        <f t="shared" si="47"/>
        <v>"C:\Program Files (x86)\AstroGrep\AstroGrep.exe" /spath="%USERPROFILE%\AppData\Local\Temp\OnboardLogs" /stypes="app*4046*20160924*" /stext=" 21:.+((SYSTEM_STATE.+slice.+state.+changed )|(ment ac)|(system.+state.+changed )|(\|lc)|(penalty)|(\[timeout)|(PRM\|1\|D)|(kpr)|(kdp))" /e /r /s</v>
      </c>
      <c r="AG99" s="1" t="str">
        <f t="shared" si="48"/>
        <v>EC</v>
      </c>
      <c r="AH99" s="100" t="str">
        <f t="shared" si="49"/>
        <v>"%USERPROFILE%\Documents\GitHub\eaglep3\Utilities\RefineRTDCRunTimes.py" --tripid 187-24 --locoid 4046 --swversion DE.1.0.7.0 --startMP 204:460 --initTime 2016-09-24T14:31:57 --startdatetime 2016-09-24T14:34:43 --delay 1 --endMP 204:233264 --enddatetime 2016-09-24T15:11:34 --enforcementcount 0 &gt;&gt;C:\Users\stu\Documents\GitHub\eaglep3-reporting\EC\2016-09-24-refined-times.txt</v>
      </c>
      <c r="AI99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{"issue":{"subject":"","project_id":79,"tracker_id":40,"status_id":1,"priority_id":2,"assigned_to_id":23,"start_date":"2016-09-24","description":"","custom_fields":[{"id":1,"name":"Subdivision","value":"EC"},{"id":4,"name":"Milepost","value":"23.3264"},{"id":17,"name":"Train ID","value":"187-24"},{"id":16,"name":"Locomotive ID","value":"4046"},{"id":130,"name":"Impact","value":""},{"id":150,"name":"Time of Event (Mountain Time)","value":"15:11:34"},{"id":151,"name":"Denver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536</v>
      </c>
      <c r="B100" s="7">
        <v>4045</v>
      </c>
      <c r="C100" s="24" t="s">
        <v>106</v>
      </c>
      <c r="D100" s="24" t="s">
        <v>640</v>
      </c>
      <c r="E100" s="15">
        <v>42637.639074074075</v>
      </c>
      <c r="F100" s="15">
        <v>42637.643888888888</v>
      </c>
      <c r="G100" s="7">
        <v>2</v>
      </c>
      <c r="H100" s="15" t="s">
        <v>315</v>
      </c>
      <c r="I100" s="15">
        <v>42637.677789351852</v>
      </c>
      <c r="J100" s="7">
        <v>0</v>
      </c>
      <c r="K100" s="121" t="str">
        <f t="shared" si="35"/>
        <v>4045/4046</v>
      </c>
      <c r="L100" s="24" t="str">
        <f>VLOOKUP(A100,'Trips&amp;Operators'!$C$1:$E$10000,3,FALSE)</f>
        <v>STEWART</v>
      </c>
      <c r="M100" s="6">
        <f t="shared" si="36"/>
        <v>3.3900462964083999E-2</v>
      </c>
      <c r="N100" s="7">
        <f t="shared" si="34"/>
        <v>48.816666668280959</v>
      </c>
      <c r="O100" s="7"/>
      <c r="P100" s="7"/>
      <c r="Q100" s="25"/>
      <c r="R100" s="25"/>
      <c r="S100" s="37">
        <f t="shared" si="37"/>
        <v>1</v>
      </c>
      <c r="T100" s="52" t="str">
        <f t="shared" si="38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14:20:16-0600',mode:absolute,to:'2016-09-24 17:16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0" s="54" t="str">
        <f t="shared" si="40"/>
        <v>N</v>
      </c>
      <c r="X100" s="168">
        <f t="shared" si="41"/>
        <v>1</v>
      </c>
      <c r="Y100" s="69">
        <f t="shared" si="42"/>
        <v>23.295200000000001</v>
      </c>
      <c r="Z100" s="69">
        <f t="shared" si="43"/>
        <v>1.43E-2</v>
      </c>
      <c r="AA100" s="69">
        <f t="shared" si="44"/>
        <v>23.280900000000003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45"/>
        <v>0188-24</v>
      </c>
      <c r="AE100" s="99" t="str">
        <f t="shared" si="46"/>
        <v>aws s3 cp s3://rtdc.mdm.uploadarchive/RTDC4045/2016-09-24/ "%USERPROFILE%\AppData\Local\Temp\OnboardLogs"\RTDC4045\2016-09-24 --recursive &amp; "%USERPROFILE%\Documents\GitHub\mrs-test-scripts\Headless Mode &amp; Sideloading\WalkAndUnGZ.bat" "%USERPROFILE%\AppData\Local\Temp\OnboardLogs"\RTDC4045\2016-09-24 &amp; aws s3 cp s3://rtdc.mdm.uploadarchive/RTDC4045/2016-09-25/ "%USERPROFILE%\AppData\Local\Temp\OnboardLogs"\RTDC4045\2016-09-25 --recursive &amp; "%USERPROFILE%\Documents\GitHub\mrs-test-scripts\Headless Mode &amp; Sideloading\WalkAndUnGZ.bat" "%USERPROFILE%\AppData\Local\Temp\OnboardLogs"\RTDC4045\2016-09-25</v>
      </c>
      <c r="AF100" s="96" t="str">
        <f t="shared" si="47"/>
        <v>"C:\Program Files (x86)\AstroGrep\AstroGrep.exe" /spath="%USERPROFILE%\AppData\Local\Temp\OnboardLogs" /stypes="app*4045*20160924*" /stext=" 22:.+((SYSTEM_STATE.+slice.+state.+changed )|(ment ac)|(system.+state.+changed )|(\|lc)|(penalty)|(\[timeout)|(PRM\|1\|D)|(kpr)|(kdp))" /e /r /s</v>
      </c>
      <c r="AG100" s="1" t="str">
        <f t="shared" si="48"/>
        <v>EC</v>
      </c>
      <c r="AH100" s="100" t="str">
        <f t="shared" si="49"/>
        <v>"%USERPROFILE%\Documents\GitHub\eaglep3\Utilities\RefineRTDCRunTimes.py" --tripid 188-24 --locoid 4045 --swversion DE.1.0.7.0 --startMP 204:232952 --initTime 2016-09-24T15:20:16 --startdatetime 2016-09-24T15:27:12 --delay 2 --endMP 204:143 --enddatetime 2016-09-24T16:16:01 --enforcementcount 0 &gt;&gt;C:\Users\stu\Documents\GitHub\eaglep3-reporting\EC\2016-09-24-refined-times.txt</v>
      </c>
      <c r="AI100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{"issue":{"subject":"","project_id":79,"tracker_id":40,"status_id":1,"priority_id":2,"assigned_to_id":23,"start_date":"2016-09-24","description":"","custom_fields":[{"id":1,"name":"Subdivision","value":"EC"},{"id":4,"name":"Milepost","value":"0.0143"},{"id":17,"name":"Train ID","value":"188-24"},{"id":16,"name":"Locomotive ID","value":"4045"},{"id":130,"name":"Impact","value":""},{"id":150,"name":"Time of Event (Mountain Time)","value":"16:16:01"},{"id":151,"name":"Denver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533</v>
      </c>
      <c r="B101" s="7">
        <v>4053</v>
      </c>
      <c r="C101" s="24" t="s">
        <v>106</v>
      </c>
      <c r="D101" s="24" t="s">
        <v>226</v>
      </c>
      <c r="E101" s="15">
        <v>42637.610659722224</v>
      </c>
      <c r="F101" s="15">
        <v>42637.61482638889</v>
      </c>
      <c r="G101" s="7">
        <v>1</v>
      </c>
      <c r="H101" s="15" t="s">
        <v>289</v>
      </c>
      <c r="I101" s="15">
        <v>42637.641168981485</v>
      </c>
      <c r="J101" s="7">
        <v>0</v>
      </c>
      <c r="K101" s="121" t="str">
        <f t="shared" si="35"/>
        <v>4053/4054</v>
      </c>
      <c r="L101" s="24" t="str">
        <f>VLOOKUP(A101,'Trips&amp;Operators'!$C$1:$E$10000,3,FALSE)</f>
        <v>BARTLETT</v>
      </c>
      <c r="M101" s="6">
        <f t="shared" si="36"/>
        <v>2.6342592595028691E-2</v>
      </c>
      <c r="N101" s="7">
        <f t="shared" si="34"/>
        <v>37.933333336841315</v>
      </c>
      <c r="O101" s="7"/>
      <c r="P101" s="7"/>
      <c r="Q101" s="25"/>
      <c r="R101" s="25"/>
      <c r="S101" s="37">
        <f t="shared" si="37"/>
        <v>1</v>
      </c>
      <c r="T101" s="52" t="str">
        <f t="shared" si="38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13:39:21-0600',mode:absolute,to:'2016-09-24 16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1" s="54" t="str">
        <f t="shared" si="40"/>
        <v>N</v>
      </c>
      <c r="X101" s="168">
        <f t="shared" si="41"/>
        <v>1</v>
      </c>
      <c r="Y101" s="69">
        <f t="shared" si="42"/>
        <v>4.5100000000000001E-2</v>
      </c>
      <c r="Z101" s="69">
        <f t="shared" si="43"/>
        <v>23.33</v>
      </c>
      <c r="AA101" s="69">
        <f t="shared" si="44"/>
        <v>23.284899999999997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5"/>
        <v>0189-24</v>
      </c>
      <c r="AE101" s="99" t="str">
        <f t="shared" si="46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101" s="96" t="str">
        <f t="shared" si="47"/>
        <v>"C:\Program Files (x86)\AstroGrep\AstroGrep.exe" /spath="%USERPROFILE%\AppData\Local\Temp\OnboardLogs" /stypes="app*4053*20160924*" /stext=" 21:.+((SYSTEM_STATE.+slice.+state.+changed )|(ment ac)|(system.+state.+changed )|(\|lc)|(penalty)|(\[timeout)|(PRM\|1\|D)|(kpr)|(kdp))" /e /r /s</v>
      </c>
      <c r="AG101" s="1" t="str">
        <f t="shared" si="48"/>
        <v>EC</v>
      </c>
      <c r="AH101" s="100" t="str">
        <f t="shared" si="49"/>
        <v>"%USERPROFILE%\Documents\GitHub\eaglep3\Utilities\RefineRTDCRunTimes.py" --tripid 189-24 --locoid 4053 --swversion DE.1.0.7.0 --startMP 204:451 --initTime 2016-09-24T14:39:21 --startdatetime 2016-09-24T14:45:21 --delay 1 --endMP 204:233300 --enddatetime 2016-09-24T15:23:17 --enforcementcount 0 &gt;&gt;C:\Users\stu\Documents\GitHub\eaglep3-reporting\EC\2016-09-24-refined-times.txt</v>
      </c>
      <c r="AI101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{"issue":{"subject":"","project_id":79,"tracker_id":40,"status_id":1,"priority_id":2,"assigned_to_id":23,"start_date":"2016-09-24","description":"","custom_fields":[{"id":1,"name":"Subdivision","value":"EC"},{"id":4,"name":"Milepost","value":"23.33"},{"id":17,"name":"Train ID","value":"189-24"},{"id":16,"name":"Locomotive ID","value":"4053"},{"id":130,"name":"Impact","value":""},{"id":150,"name":"Time of Event (Mountain Time)","value":"15:23:17"},{"id":151,"name":"Denver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538</v>
      </c>
      <c r="B102" s="7">
        <v>4054</v>
      </c>
      <c r="C102" s="24" t="s">
        <v>106</v>
      </c>
      <c r="D102" s="24" t="s">
        <v>235</v>
      </c>
      <c r="E102" s="15">
        <v>42637.648148148146</v>
      </c>
      <c r="F102" s="15">
        <v>42637.653715277775</v>
      </c>
      <c r="G102" s="7">
        <v>1</v>
      </c>
      <c r="H102" s="15" t="s">
        <v>214</v>
      </c>
      <c r="I102" s="15">
        <v>42637.68482638889</v>
      </c>
      <c r="J102" s="7">
        <v>0</v>
      </c>
      <c r="K102" s="121" t="str">
        <f t="shared" si="35"/>
        <v>4053/4054</v>
      </c>
      <c r="L102" s="24" t="str">
        <f>VLOOKUP(A102,'Trips&amp;Operators'!$C$1:$E$10000,3,FALSE)</f>
        <v>BARTLETT</v>
      </c>
      <c r="M102" s="6">
        <f t="shared" si="36"/>
        <v>3.1111111115023959E-2</v>
      </c>
      <c r="N102" s="7">
        <f t="shared" si="34"/>
        <v>44.800000005634502</v>
      </c>
      <c r="O102" s="7"/>
      <c r="P102" s="7"/>
      <c r="Q102" s="25"/>
      <c r="R102" s="25"/>
      <c r="S102" s="37">
        <f t="shared" si="37"/>
        <v>1</v>
      </c>
      <c r="T102" s="52" t="str">
        <f t="shared" si="38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14:33:20-0600',mode:absolute,to:'2016-09-24 17:26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2" s="54" t="str">
        <f t="shared" si="40"/>
        <v>N</v>
      </c>
      <c r="X102" s="168">
        <f t="shared" ref="X102:X109" si="51">VALUE(LEFT(AD102,4))-VALUE(LEFT(AD101,4))</f>
        <v>1</v>
      </c>
      <c r="Y102" s="69">
        <f t="shared" si="42"/>
        <v>23.299399999999999</v>
      </c>
      <c r="Z102" s="69">
        <f t="shared" si="43"/>
        <v>1.6E-2</v>
      </c>
      <c r="AA102" s="69">
        <f t="shared" si="44"/>
        <v>23.2834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5"/>
        <v>0190-24</v>
      </c>
      <c r="AE102" s="99" t="str">
        <f t="shared" si="46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102" s="96" t="str">
        <f t="shared" si="47"/>
        <v>"C:\Program Files (x86)\AstroGrep\AstroGrep.exe" /spath="%USERPROFILE%\AppData\Local\Temp\OnboardLogs" /stypes="app*4054*20160924*" /stext=" 22:.+((SYSTEM_STATE.+slice.+state.+changed )|(ment ac)|(system.+state.+changed )|(\|lc)|(penalty)|(\[timeout)|(PRM\|1\|D)|(kpr)|(kdp))" /e /r /s</v>
      </c>
      <c r="AG102" s="1" t="str">
        <f t="shared" si="48"/>
        <v>EC</v>
      </c>
      <c r="AH102" s="100" t="str">
        <f t="shared" si="49"/>
        <v>"%USERPROFILE%\Documents\GitHub\eaglep3\Utilities\RefineRTDCRunTimes.py" --tripid 190-24 --locoid 4054 --swversion DE.1.0.7.0 --startMP 204:232994 --initTime 2016-09-24T15:33:20 --startdatetime 2016-09-24T15:41:21 --delay 1 --endMP 204:160 --enddatetime 2016-09-24T16:26:09 --enforcementcount 0 &gt;&gt;C:\Users\stu\Documents\GitHub\eaglep3-reporting\EC\2016-09-24-refined-times.txt</v>
      </c>
      <c r="AI102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{"issue":{"subject":"","project_id":79,"tracker_id":40,"status_id":1,"priority_id":2,"assigned_to_id":23,"start_date":"2016-09-24","description":"","custom_fields":[{"id":1,"name":"Subdivision","value":"EC"},{"id":4,"name":"Milepost","value":"0.016"},{"id":17,"name":"Train ID","value":"190-24"},{"id":16,"name":"Locomotive ID","value":"4054"},{"id":130,"name":"Impact","value":""},{"id":150,"name":"Time of Event (Mountain Time)","value":"16:26:09"},{"id":151,"name":"Denver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534</v>
      </c>
      <c r="B103" s="7">
        <v>4007</v>
      </c>
      <c r="C103" s="24" t="s">
        <v>106</v>
      </c>
      <c r="D103" s="24" t="s">
        <v>330</v>
      </c>
      <c r="E103" s="15">
        <v>42637.622106481482</v>
      </c>
      <c r="F103" s="15">
        <v>42637.625277777777</v>
      </c>
      <c r="G103" s="7">
        <v>1</v>
      </c>
      <c r="H103" s="15" t="s">
        <v>641</v>
      </c>
      <c r="I103" s="15">
        <v>42637.655856481484</v>
      </c>
      <c r="J103" s="7">
        <v>0</v>
      </c>
      <c r="K103" s="121" t="str">
        <f t="shared" si="35"/>
        <v>4007/4008</v>
      </c>
      <c r="L103" s="24" t="str">
        <f>VLOOKUP(A103,'Trips&amp;Operators'!$C$1:$E$10000,3,FALSE)</f>
        <v>MOSES</v>
      </c>
      <c r="M103" s="6">
        <f t="shared" si="36"/>
        <v>3.0578703706851229E-2</v>
      </c>
      <c r="N103" s="7">
        <f t="shared" si="34"/>
        <v>44.03333333786577</v>
      </c>
      <c r="O103" s="7"/>
      <c r="P103" s="7"/>
      <c r="Q103" s="25"/>
      <c r="R103" s="25"/>
      <c r="S103" s="37">
        <f t="shared" si="37"/>
        <v>1</v>
      </c>
      <c r="T103" s="52" t="str">
        <f t="shared" si="38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13:55:50-0600',mode:absolute,to:'2016-09-24 16:44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03" s="54" t="str">
        <f t="shared" si="40"/>
        <v>N</v>
      </c>
      <c r="X103" s="168">
        <f t="shared" si="51"/>
        <v>1</v>
      </c>
      <c r="Y103" s="69">
        <f t="shared" si="42"/>
        <v>4.3099999999999999E-2</v>
      </c>
      <c r="Z103" s="69">
        <f t="shared" si="43"/>
        <v>23.331600000000002</v>
      </c>
      <c r="AA103" s="69">
        <f t="shared" si="44"/>
        <v>23.288500000000003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5"/>
        <v>0191-24</v>
      </c>
      <c r="AE103" s="99" t="str">
        <f t="shared" si="46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103" s="96" t="str">
        <f t="shared" si="47"/>
        <v>"C:\Program Files (x86)\AstroGrep\AstroGrep.exe" /spath="%USERPROFILE%\AppData\Local\Temp\OnboardLogs" /stypes="app*4007*20160924*" /stext=" 21:.+((SYSTEM_STATE.+slice.+state.+changed )|(ment ac)|(system.+state.+changed )|(\|lc)|(penalty)|(\[timeout)|(PRM\|1\|D)|(kpr)|(kdp))" /e /r /s</v>
      </c>
      <c r="AG103" s="1" t="str">
        <f t="shared" si="48"/>
        <v>EC</v>
      </c>
      <c r="AH103" s="100" t="str">
        <f t="shared" si="49"/>
        <v>"%USERPROFILE%\Documents\GitHub\eaglep3\Utilities\RefineRTDCRunTimes.py" --tripid 191-24 --locoid 4007 --swversion DE.1.0.7.0 --startMP 204:431 --initTime 2016-09-24T14:55:50 --startdatetime 2016-09-24T15:00:24 --delay 1 --endMP 204:233316 --enddatetime 2016-09-24T15:44:26 --enforcementcount 0 &gt;&gt;C:\Users\stu\Documents\GitHub\eaglep3-reporting\EC\2016-09-24-refined-times.txt</v>
      </c>
      <c r="AI103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{"issue":{"subject":"","project_id":79,"tracker_id":40,"status_id":1,"priority_id":2,"assigned_to_id":23,"start_date":"2016-09-24","description":"","custom_fields":[{"id":1,"name":"Subdivision","value":"EC"},{"id":4,"name":"Milepost","value":"23.3316"},{"id":17,"name":"Train ID","value":"191-24"},{"id":16,"name":"Locomotive ID","value":"4007"},{"id":130,"name":"Impact","value":""},{"id":150,"name":"Time of Event (Mountain Time)","value":"15:44:26"},{"id":151,"name":"Denver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453</v>
      </c>
      <c r="B104" s="7">
        <v>4008</v>
      </c>
      <c r="C104" s="24" t="s">
        <v>106</v>
      </c>
      <c r="D104" s="24" t="s">
        <v>642</v>
      </c>
      <c r="E104" s="15">
        <v>42637.673750000002</v>
      </c>
      <c r="F104" s="15">
        <v>42637.661053240743</v>
      </c>
      <c r="G104" s="7">
        <v>1</v>
      </c>
      <c r="H104" s="15" t="s">
        <v>643</v>
      </c>
      <c r="I104" s="15">
        <v>42637.697314814817</v>
      </c>
      <c r="J104" s="7">
        <v>0</v>
      </c>
      <c r="K104" s="121" t="str">
        <f t="shared" si="35"/>
        <v>4007/4008</v>
      </c>
      <c r="L104" s="24" t="str">
        <f>VLOOKUP(A104,'Trips&amp;Operators'!$C$1:$E$10000,3,FALSE)</f>
        <v>MOSES</v>
      </c>
      <c r="M104" s="6">
        <f t="shared" si="36"/>
        <v>3.6261574074160308E-2</v>
      </c>
      <c r="N104" s="7"/>
      <c r="O104" s="7"/>
      <c r="P104" s="7">
        <f>24*60*SUM($M104:$M104)</f>
        <v>52.216666666790843</v>
      </c>
      <c r="Q104" s="25"/>
      <c r="R104" s="25" t="s">
        <v>679</v>
      </c>
      <c r="S104" s="37">
        <f t="shared" si="37"/>
        <v>0.83333333333333337</v>
      </c>
      <c r="T104" s="52" t="str">
        <f t="shared" si="38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10</v>
      </c>
      <c r="V10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15:10:12-0600',mode:absolute,to:'2016-09-24 17:44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04" s="54" t="str">
        <f t="shared" si="40"/>
        <v>Y</v>
      </c>
      <c r="X104" s="168">
        <f t="shared" si="51"/>
        <v>1</v>
      </c>
      <c r="Y104" s="69">
        <v>8.6353000000000009</v>
      </c>
      <c r="Z104" s="69">
        <v>1.3899999999999999E-2</v>
      </c>
      <c r="AA104" s="69">
        <f t="shared" si="44"/>
        <v>8.6214000000000013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5"/>
        <v>0192-24</v>
      </c>
      <c r="AE104" s="99" t="str">
        <f t="shared" si="46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104" s="96" t="str">
        <f t="shared" si="47"/>
        <v>"C:\Program Files (x86)\AstroGrep\AstroGrep.exe" /spath="%USERPROFILE%\AppData\Local\Temp\OnboardLogs" /stypes="app*4008*20160924*" /stext=" 22:.+((SYSTEM_STATE.+slice.+state.+changed )|(ment ac)|(system.+state.+changed )|(\|lc)|(penalty)|(\[timeout)|(PRM\|1\|D)|(kpr)|(kdp))" /e /r /s</v>
      </c>
      <c r="AG104" s="1" t="str">
        <f t="shared" si="48"/>
        <v>EC</v>
      </c>
      <c r="AH104" s="100" t="str">
        <f t="shared" si="49"/>
        <v>"%USERPROFILE%\Documents\GitHub\eaglep3\Utilities\RefineRTDCRunTimes.py" --tripid 192-24 --locoid 4008 --swversion DE.1.0.7.0 --startMP 204:127842 --initTime 2016-09-24T16:10:12 --startdatetime 2016-09-24T15:51:55 --delay 1 --endMP 204:127382 --enddatetime 2016-09-24T16:44:08 --enforcementcount 0 &gt;&gt;C:\Users\stu\Documents\GitHub\eaglep3-reporting\EC\2016-09-24-refined-times.txt</v>
      </c>
      <c r="AI104" s="134" t="str">
        <f t="shared" si="50"/>
        <v>echo {"issue":{"subject":"Onboard in-route failure","project_id":79,"tracker_id":40,"status_id":1,"priority_id":2,"assigned_to_id":23,"start_date":"2016-09-24","description":"Train initialized at 15:51:45, when it started moving CPU-2 was voted out and the timing of the vote-out caused the system to stay in DISENGAGED for most of the trip, until the operator re-initialized","custom_fields":[{"id":1,"name":"Subdivision","value":"EC"},{"id":4,"name":"Milepost","value":"0.0139"},{"id":17,"name":"Train ID","value":"192-24"},{"id":16,"name":"Locomotive ID","value":"4008"},{"id":130,"name":"Impact","value":"Unexpected Cut-Out or Disengaged"},{"id":150,"name":"Time of Event (Mountain Time)","value":"16:44:08"},{"id":151,"name":"Denver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4" s="55" t="s">
        <v>681</v>
      </c>
      <c r="AK104" s="55" t="s">
        <v>144</v>
      </c>
      <c r="AL104" s="55" t="s">
        <v>241</v>
      </c>
    </row>
    <row r="105" spans="1:38" s="23" customFormat="1" x14ac:dyDescent="0.25">
      <c r="A105" s="39" t="s">
        <v>535</v>
      </c>
      <c r="B105" s="7">
        <v>4042</v>
      </c>
      <c r="C105" s="24" t="s">
        <v>106</v>
      </c>
      <c r="D105" s="24" t="s">
        <v>288</v>
      </c>
      <c r="E105" s="15">
        <v>42637.631226851852</v>
      </c>
      <c r="F105" s="15">
        <v>42637.635636574072</v>
      </c>
      <c r="G105" s="7">
        <v>1</v>
      </c>
      <c r="H105" s="15" t="s">
        <v>324</v>
      </c>
      <c r="I105" s="15">
        <v>42637.667233796295</v>
      </c>
      <c r="J105" s="7">
        <v>0</v>
      </c>
      <c r="K105" s="121" t="str">
        <f t="shared" si="35"/>
        <v>4041/4042</v>
      </c>
      <c r="L105" s="24" t="str">
        <f>VLOOKUP(A105,'Trips&amp;Operators'!$C$1:$E$10000,3,FALSE)</f>
        <v>SHOOK</v>
      </c>
      <c r="M105" s="6">
        <f t="shared" si="36"/>
        <v>3.1597222223354038E-2</v>
      </c>
      <c r="N105" s="7">
        <f t="shared" ref="N105:N112" si="52">24*60*SUM($M105:$M105)</f>
        <v>45.500000001629815</v>
      </c>
      <c r="O105" s="7"/>
      <c r="P105" s="7"/>
      <c r="Q105" s="25"/>
      <c r="R105" s="25"/>
      <c r="S105" s="37">
        <f t="shared" si="37"/>
        <v>1</v>
      </c>
      <c r="T105" s="52" t="str">
        <f t="shared" si="38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14:08:58-0600',mode:absolute,to:'2016-09-24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5" s="54" t="str">
        <f t="shared" si="40"/>
        <v>N</v>
      </c>
      <c r="X105" s="168">
        <f t="shared" si="51"/>
        <v>1</v>
      </c>
      <c r="Y105" s="69">
        <f t="shared" ref="Y105:Y118" si="53">RIGHT(D105,LEN(D105)-4)/10000</f>
        <v>4.4600000000000001E-2</v>
      </c>
      <c r="Z105" s="69">
        <f t="shared" ref="Z105:Z118" si="54">RIGHT(H105,LEN(H105)-4)/10000</f>
        <v>23.333200000000001</v>
      </c>
      <c r="AA105" s="69">
        <f t="shared" si="44"/>
        <v>23.288600000000002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45"/>
        <v>0193-24</v>
      </c>
      <c r="AE105" s="99" t="str">
        <f t="shared" si="46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105" s="96" t="str">
        <f t="shared" si="47"/>
        <v>"C:\Program Files (x86)\AstroGrep\AstroGrep.exe" /spath="%USERPROFILE%\AppData\Local\Temp\OnboardLogs" /stypes="app*4042*20160924*" /stext=" 22:.+((SYSTEM_STATE.+slice.+state.+changed )|(ment ac)|(system.+state.+changed )|(\|lc)|(penalty)|(\[timeout)|(PRM\|1\|D)|(kpr)|(kdp))" /e /r /s</v>
      </c>
      <c r="AG105" s="1" t="str">
        <f t="shared" si="48"/>
        <v>EC</v>
      </c>
      <c r="AH105" s="100" t="str">
        <f t="shared" si="49"/>
        <v>"%USERPROFILE%\Documents\GitHub\eaglep3\Utilities\RefineRTDCRunTimes.py" --tripid 193-24 --locoid 4042 --swversion DE.1.0.7.0 --startMP 204:446 --initTime 2016-09-24T15:08:58 --startdatetime 2016-09-24T15:15:19 --delay 1 --endMP 204:233332 --enddatetime 2016-09-24T16:00:49 --enforcementcount 0 &gt;&gt;C:\Users\stu\Documents\GitHub\eaglep3-reporting\EC\2016-09-24-refined-times.txt</v>
      </c>
      <c r="AI105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{"issue":{"subject":"","project_id":79,"tracker_id":40,"status_id":1,"priority_id":2,"assigned_to_id":23,"start_date":"2016-09-24","description":"","custom_fields":[{"id":1,"name":"Subdivision","value":"EC"},{"id":4,"name":"Milepost","value":"23.3332"},{"id":17,"name":"Train ID","value":"193-24"},{"id":16,"name":"Locomotive ID","value":"4042"},{"id":130,"name":"Impact","value":""},{"id":150,"name":"Time of Event (Mountain Time)","value":"16:00:49"},{"id":151,"name":"Denver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541</v>
      </c>
      <c r="B106" s="7">
        <v>4041</v>
      </c>
      <c r="C106" s="24" t="s">
        <v>106</v>
      </c>
      <c r="D106" s="24" t="s">
        <v>418</v>
      </c>
      <c r="E106" s="15">
        <v>42637.670439814814</v>
      </c>
      <c r="F106" s="15">
        <v>42637.674756944441</v>
      </c>
      <c r="G106" s="7">
        <v>2</v>
      </c>
      <c r="H106" s="15" t="s">
        <v>234</v>
      </c>
      <c r="I106" s="15">
        <v>42637.70453703704</v>
      </c>
      <c r="J106" s="7">
        <v>0</v>
      </c>
      <c r="K106" s="121" t="str">
        <f t="shared" si="35"/>
        <v>4041/4042</v>
      </c>
      <c r="L106" s="24" t="str">
        <f>VLOOKUP(A106,'Trips&amp;Operators'!$C$1:$E$10000,3,FALSE)</f>
        <v>SHOOK</v>
      </c>
      <c r="M106" s="6">
        <f t="shared" si="36"/>
        <v>2.9780092598230112E-2</v>
      </c>
      <c r="N106" s="7">
        <f t="shared" si="52"/>
        <v>42.883333341451362</v>
      </c>
      <c r="O106" s="7"/>
      <c r="P106" s="7"/>
      <c r="Q106" s="25"/>
      <c r="R106" s="25"/>
      <c r="S106" s="37">
        <f t="shared" si="37"/>
        <v>1</v>
      </c>
      <c r="T106" s="52" t="str">
        <f t="shared" si="38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15:05:26-0600',mode:absolute,to:'2016-09-24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6" s="54" t="str">
        <f t="shared" si="40"/>
        <v>N</v>
      </c>
      <c r="X106" s="168">
        <f t="shared" si="51"/>
        <v>1</v>
      </c>
      <c r="Y106" s="69">
        <f t="shared" si="53"/>
        <v>23.3047</v>
      </c>
      <c r="Z106" s="69">
        <f t="shared" si="54"/>
        <v>1.38E-2</v>
      </c>
      <c r="AA106" s="69">
        <f t="shared" si="44"/>
        <v>23.290900000000001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45"/>
        <v>0194-24</v>
      </c>
      <c r="AE106" s="99" t="str">
        <f t="shared" si="46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106" s="96" t="str">
        <f t="shared" si="47"/>
        <v>"C:\Program Files (x86)\AstroGrep\AstroGrep.exe" /spath="%USERPROFILE%\AppData\Local\Temp\OnboardLogs" /stypes="app*4041*20160924*" /stext=" 22:.+((SYSTEM_STATE.+slice.+state.+changed )|(ment ac)|(system.+state.+changed )|(\|lc)|(penalty)|(\[timeout)|(PRM\|1\|D)|(kpr)|(kdp))" /e /r /s</v>
      </c>
      <c r="AG106" s="1" t="str">
        <f t="shared" si="48"/>
        <v>EC</v>
      </c>
      <c r="AH106" s="100" t="str">
        <f t="shared" si="49"/>
        <v>"%USERPROFILE%\Documents\GitHub\eaglep3\Utilities\RefineRTDCRunTimes.py" --tripid 194-24 --locoid 4041 --swversion DE.1.0.7.0 --startMP 204:233047 --initTime 2016-09-24T16:05:26 --startdatetime 2016-09-24T16:11:39 --delay 2 --endMP 204:138 --enddatetime 2016-09-24T16:54:32 --enforcementcount 0 &gt;&gt;C:\Users\stu\Documents\GitHub\eaglep3-reporting\EC\2016-09-24-refined-times.txt</v>
      </c>
      <c r="AI106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{"issue":{"subject":"","project_id":79,"tracker_id":40,"status_id":1,"priority_id":2,"assigned_to_id":23,"start_date":"2016-09-24","description":"","custom_fields":[{"id":1,"name":"Subdivision","value":"EC"},{"id":4,"name":"Milepost","value":"0.0138"},{"id":17,"name":"Train ID","value":"194-24"},{"id":16,"name":"Locomotive ID","value":"4041"},{"id":130,"name":"Impact","value":""},{"id":150,"name":"Time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537</v>
      </c>
      <c r="B107" s="7">
        <v>4018</v>
      </c>
      <c r="C107" s="24" t="s">
        <v>106</v>
      </c>
      <c r="D107" s="24" t="s">
        <v>216</v>
      </c>
      <c r="E107" s="15">
        <v>42637.643136574072</v>
      </c>
      <c r="F107" s="15">
        <v>42637.64644675926</v>
      </c>
      <c r="G107" s="7">
        <v>1</v>
      </c>
      <c r="H107" s="15" t="s">
        <v>243</v>
      </c>
      <c r="I107" s="15">
        <v>42637.677546296298</v>
      </c>
      <c r="J107" s="7">
        <v>0</v>
      </c>
      <c r="K107" s="121" t="str">
        <f t="shared" si="35"/>
        <v>4017/4018</v>
      </c>
      <c r="L107" s="24" t="str">
        <f>VLOOKUP(A107,'Trips&amp;Operators'!$C$1:$E$10000,3,FALSE)</f>
        <v>BRUDER</v>
      </c>
      <c r="M107" s="6">
        <f t="shared" si="36"/>
        <v>3.1099537038244307E-2</v>
      </c>
      <c r="N107" s="7">
        <f t="shared" si="52"/>
        <v>44.783333335071802</v>
      </c>
      <c r="O107" s="7"/>
      <c r="P107" s="7"/>
      <c r="Q107" s="25"/>
      <c r="R107" s="25"/>
      <c r="S107" s="37">
        <f t="shared" si="37"/>
        <v>1</v>
      </c>
      <c r="T107" s="52" t="str">
        <f t="shared" si="38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14:26:07-0600',mode:absolute,to:'2016-09-24 17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7" s="54" t="str">
        <f t="shared" si="40"/>
        <v>N</v>
      </c>
      <c r="X107" s="168">
        <f t="shared" si="51"/>
        <v>1</v>
      </c>
      <c r="Y107" s="69">
        <f t="shared" si="53"/>
        <v>4.7100000000000003E-2</v>
      </c>
      <c r="Z107" s="69">
        <f t="shared" si="54"/>
        <v>23.329699999999999</v>
      </c>
      <c r="AA107" s="69">
        <f t="shared" si="44"/>
        <v>23.282599999999999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5"/>
        <v>0195-24</v>
      </c>
      <c r="AE107" s="99" t="str">
        <f t="shared" si="46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107" s="96" t="str">
        <f t="shared" si="47"/>
        <v>"C:\Program Files (x86)\AstroGrep\AstroGrep.exe" /spath="%USERPROFILE%\AppData\Local\Temp\OnboardLogs" /stypes="app*4018*20160924*" /stext=" 22:.+((SYSTEM_STATE.+slice.+state.+changed )|(ment ac)|(system.+state.+changed )|(\|lc)|(penalty)|(\[timeout)|(PRM\|1\|D)|(kpr)|(kdp))" /e /r /s</v>
      </c>
      <c r="AG107" s="1" t="str">
        <f t="shared" si="48"/>
        <v>EC</v>
      </c>
      <c r="AH107" s="100" t="str">
        <f t="shared" si="49"/>
        <v>"%USERPROFILE%\Documents\GitHub\eaglep3\Utilities\RefineRTDCRunTimes.py" --tripid 195-24 --locoid 4018 --swversion DE.1.0.7.0 --startMP 204:471 --initTime 2016-09-24T15:26:07 --startdatetime 2016-09-24T15:30:53 --delay 1 --endMP 204:233297 --enddatetime 2016-09-24T16:15:40 --enforcementcount 0 &gt;&gt;C:\Users\stu\Documents\GitHub\eaglep3-reporting\EC\2016-09-24-refined-times.txt</v>
      </c>
      <c r="AI107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{"issue":{"subject":"","project_id":79,"tracker_id":40,"status_id":1,"priority_id":2,"assigned_to_id":23,"start_date":"2016-09-24","description":"","custom_fields":[{"id":1,"name":"Subdivision","value":"EC"},{"id":4,"name":"Milepost","value":"23.3297"},{"id":17,"name":"Train ID","value":"195-24"},{"id":16,"name":"Locomotive ID","value":"4018"},{"id":130,"name":"Impact","value":""},{"id":150,"name":"Time of Event (Mountain Time)","value":"16:15:40"},{"id":151,"name":"Denver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454</v>
      </c>
      <c r="B108" s="7">
        <v>4017</v>
      </c>
      <c r="C108" s="24" t="s">
        <v>106</v>
      </c>
      <c r="D108" s="24" t="s">
        <v>316</v>
      </c>
      <c r="E108" s="15">
        <v>42637.680671296293</v>
      </c>
      <c r="F108" s="15">
        <v>42637.684930555559</v>
      </c>
      <c r="G108" s="7">
        <v>1</v>
      </c>
      <c r="H108" s="15" t="s">
        <v>215</v>
      </c>
      <c r="I108" s="15">
        <v>42637.713877314818</v>
      </c>
      <c r="J108" s="7">
        <v>0</v>
      </c>
      <c r="K108" s="121" t="str">
        <f t="shared" si="35"/>
        <v>4017/4018</v>
      </c>
      <c r="L108" s="24" t="str">
        <f>VLOOKUP(A108,'Trips&amp;Operators'!$C$1:$E$10000,3,FALSE)</f>
        <v>BRUDER</v>
      </c>
      <c r="M108" s="6">
        <f t="shared" si="36"/>
        <v>2.8946759259270038E-2</v>
      </c>
      <c r="N108" s="7">
        <f t="shared" si="52"/>
        <v>41.683333333348855</v>
      </c>
      <c r="O108" s="7"/>
      <c r="P108" s="7"/>
      <c r="Q108" s="25"/>
      <c r="R108" s="25"/>
      <c r="S108" s="37">
        <f t="shared" si="37"/>
        <v>1</v>
      </c>
      <c r="T108" s="52" t="str">
        <f t="shared" si="38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https://search-rtdc-monitor-bjffxe2xuh6vdkpspy63sjmuny.us-east-1.es.amazonaws.com/_plugin/kibana/#/discover/Steve-Slow-Train-Analysis-(2080s-and-2083s)?_g=(refreshInterval:(display:Off,section:0,value:0),time:(from:'2016-09-24 15:20:10-0600',mode:absolute,to:'2016-09-24 18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8" s="54" t="str">
        <f t="shared" si="40"/>
        <v>N</v>
      </c>
      <c r="X108" s="168">
        <f t="shared" si="51"/>
        <v>1</v>
      </c>
      <c r="Y108" s="69">
        <f t="shared" si="53"/>
        <v>23.297699999999999</v>
      </c>
      <c r="Z108" s="69">
        <f t="shared" si="54"/>
        <v>1.6299999999999999E-2</v>
      </c>
      <c r="AA108" s="69">
        <f t="shared" si="44"/>
        <v>23.281399999999998</v>
      </c>
      <c r="AB108" s="66" t="str">
        <f>VLOOKUP(A108,Enforcements!$C$7:$K$20,8,0)</f>
        <v>Bulletin (2)</v>
      </c>
      <c r="AC108" s="62" t="str">
        <f>VLOOKUP(A108,Enforcements!$C$7:$E$20,3,0)</f>
        <v>GRADE CROSSING</v>
      </c>
      <c r="AD108" s="63" t="str">
        <f t="shared" si="45"/>
        <v>0196-24</v>
      </c>
      <c r="AE108" s="99" t="str">
        <f t="shared" si="46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108" s="96" t="str">
        <f t="shared" si="47"/>
        <v>"C:\Program Files (x86)\AstroGrep\AstroGrep.exe" /spath="%USERPROFILE%\AppData\Local\Temp\OnboardLogs" /stypes="app*4017*20160924*" /stext=" 23:.+((SYSTEM_STATE.+slice.+state.+changed )|(ment ac)|(system.+state.+changed )|(\|lc)|(penalty)|(\[timeout)|(PRM\|1\|D)|(kpr)|(kdp))" /e /r /s</v>
      </c>
      <c r="AG108" s="1" t="str">
        <f t="shared" si="48"/>
        <v>EC</v>
      </c>
      <c r="AH108" s="100" t="str">
        <f t="shared" si="49"/>
        <v>"%USERPROFILE%\Documents\GitHub\eaglep3\Utilities\RefineRTDCRunTimes.py" --tripid 196-24 --locoid 4017 --swversion DE.1.0.7.0 --startMP 204:232977 --initTime 2016-09-24T16:20:10 --startdatetime 2016-09-24T16:26:18 --delay 1 --endMP 204:163 --enddatetime 2016-09-24T17:07:59 --enforcementcount 0 &gt;&gt;C:\Users\stu\Documents\GitHub\eaglep3-reporting\EC\2016-09-24-refined-times.txt</v>
      </c>
      <c r="AI108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{"issue":{"subject":"","project_id":79,"tracker_id":40,"status_id":1,"priority_id":2,"assigned_to_id":23,"start_date":"2016-09-24","description":"","custom_fields":[{"id":1,"name":"Subdivision","value":"EC"},{"id":4,"name":"Milepost","value":"0.0163"},{"id":17,"name":"Train ID","value":"196-24"},{"id":16,"name":"Locomotive ID","value":"4017"},{"id":130,"name":"Impact","value":""},{"id":150,"name":"Time of Event (Mountain Time)","value":"17:07:59"},{"id":151,"name":"Denver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539</v>
      </c>
      <c r="B109" s="7">
        <v>4009</v>
      </c>
      <c r="C109" s="24" t="s">
        <v>106</v>
      </c>
      <c r="D109" s="24" t="s">
        <v>229</v>
      </c>
      <c r="E109" s="15">
        <v>42637.661782407406</v>
      </c>
      <c r="F109" s="15">
        <v>42637.664444444446</v>
      </c>
      <c r="G109" s="7">
        <v>3</v>
      </c>
      <c r="H109" s="15" t="s">
        <v>243</v>
      </c>
      <c r="I109" s="15">
        <v>42637.693240740744</v>
      </c>
      <c r="J109" s="7">
        <v>0</v>
      </c>
      <c r="K109" s="121" t="str">
        <f t="shared" ref="K109:K140" si="55">IF(ISEVEN(B109),(B109-1)&amp;"/"&amp;B109,B109&amp;"/"&amp;(B109+1))</f>
        <v>4009/4010</v>
      </c>
      <c r="L109" s="24" t="str">
        <f>VLOOKUP(A109,'Trips&amp;Operators'!$C$1:$E$10000,3,FALSE)</f>
        <v>BROWN</v>
      </c>
      <c r="M109" s="6">
        <f t="shared" ref="M109:M140" si="56">I109-F109</f>
        <v>2.8796296297514345E-2</v>
      </c>
      <c r="N109" s="7">
        <f t="shared" si="52"/>
        <v>41.466666668420658</v>
      </c>
      <c r="O109" s="7"/>
      <c r="P109" s="7"/>
      <c r="Q109" s="25"/>
      <c r="R109" s="25"/>
      <c r="S109" s="37">
        <f t="shared" si="37"/>
        <v>1</v>
      </c>
      <c r="T109" s="52" t="str">
        <f t="shared" ref="T109:T140" si="57"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8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https://search-rtdc-monitor-bjffxe2xuh6vdkpspy63sjmuny.us-east-1.es.amazonaws.com/_plugin/kibana/#/discover/Steve-Slow-Train-Analysis-(2080s-and-2083s)?_g=(refreshInterval:(display:Off,section:0,value:0),time:(from:'2016-09-24 14:52:58-0600',mode:absolute,to:'2016-09-24 17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9" s="54" t="str">
        <f t="shared" ref="W109:W140" si="59">IF(AA109&lt;IF(AG109="EC",23,5.65),"Y","N")</f>
        <v>N</v>
      </c>
      <c r="X109" s="168">
        <f t="shared" si="51"/>
        <v>1</v>
      </c>
      <c r="Y109" s="69">
        <f t="shared" si="53"/>
        <v>4.58E-2</v>
      </c>
      <c r="Z109" s="69">
        <f t="shared" si="54"/>
        <v>23.329699999999999</v>
      </c>
      <c r="AA109" s="69">
        <f t="shared" ref="AA109:AA140" si="60">ABS(Z109-Y109)</f>
        <v>23.283899999999999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ref="AD109:AD140" si="61">IF(LEN(A109)=6,"0"&amp;A109,A109)</f>
        <v>0197-24</v>
      </c>
      <c r="AE109" s="99" t="str">
        <f t="shared" ref="AE109:AE140" si="62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109" s="96" t="str">
        <f t="shared" ref="AF109:AF140" si="63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/stypes="app*4009*20160924*" /stext=" 22:.+((SYSTEM_STATE.+slice.+state.+changed )|(ment ac)|(system.+state.+changed )|(\|lc)|(penalty)|(\[timeout)|(PRM\|1\|D)|(kpr)|(kdp))" /e /r /s</v>
      </c>
      <c r="AG109" s="1" t="str">
        <f t="shared" ref="AG109:AG140" si="64">IFERROR(IF(VALUE(LEFT(AD109,2))&lt;=2,"EC",IF(OR(VALUE(LEFT(AD109,2))=8,VALUE(LEFT(AD109,2))=18),"NW","Other")),"Other")</f>
        <v>EC</v>
      </c>
      <c r="AH109" s="100" t="str">
        <f t="shared" si="49"/>
        <v>"%USERPROFILE%\Documents\GitHub\eaglep3\Utilities\RefineRTDCRunTimes.py" --tripid 197-24 --locoid 4009 --swversion DE.1.0.7.0 --startMP 204:458 --initTime 2016-09-24T15:52:58 --startdatetime 2016-09-24T15:56:48 --delay 3 --endMP 204:233297 --enddatetime 2016-09-24T16:38:16 --enforcementcount 0 &gt;&gt;C:\Users\stu\Documents\GitHub\eaglep3-reporting\EC\2016-09-24-refined-times.txt</v>
      </c>
      <c r="AI109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{"issue":{"subject":"","project_id":79,"tracker_id":40,"status_id":1,"priority_id":2,"assigned_to_id":23,"start_date":"2016-09-24","description":"","custom_fields":[{"id":1,"name":"Subdivision","value":"EC"},{"id":4,"name":"Milepost","value":"23.3297"},{"id":17,"name":"Train ID","value":"197-24"},{"id":16,"name":"Locomotive ID","value":"4009"},{"id":130,"name":"Impact","value":""},{"id":150,"name":"Time of Event (Mountain Time)","value":"16:38:16"},{"id":151,"name":"Denver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546</v>
      </c>
      <c r="B110" s="7">
        <v>4010</v>
      </c>
      <c r="C110" s="24" t="s">
        <v>106</v>
      </c>
      <c r="D110" s="24" t="s">
        <v>284</v>
      </c>
      <c r="E110" s="15">
        <v>42637.695069444446</v>
      </c>
      <c r="F110" s="15">
        <v>42637.69736111111</v>
      </c>
      <c r="G110" s="7">
        <v>1</v>
      </c>
      <c r="H110" s="15" t="s">
        <v>315</v>
      </c>
      <c r="I110" s="15">
        <v>42637.727164351854</v>
      </c>
      <c r="J110" s="7">
        <v>0</v>
      </c>
      <c r="K110" s="121" t="str">
        <f t="shared" si="55"/>
        <v>4009/4010</v>
      </c>
      <c r="L110" s="24" t="str">
        <f>VLOOKUP(A110,'Trips&amp;Operators'!$C$1:$E$10000,3,FALSE)</f>
        <v>BROWN</v>
      </c>
      <c r="M110" s="6">
        <f t="shared" si="56"/>
        <v>2.980324074451346E-2</v>
      </c>
      <c r="N110" s="7">
        <f t="shared" si="52"/>
        <v>42.916666672099382</v>
      </c>
      <c r="O110" s="7"/>
      <c r="P110" s="7"/>
      <c r="Q110" s="25"/>
      <c r="R110" s="25"/>
      <c r="S110" s="37">
        <f t="shared" si="37"/>
        <v>1</v>
      </c>
      <c r="T110" s="52" t="str">
        <f t="shared" si="57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15:40:54-0600',mode:absolute,to:'2016-09-24 18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0" s="54" t="str">
        <f t="shared" si="59"/>
        <v>N</v>
      </c>
      <c r="X110" s="168">
        <f t="shared" ref="X110:X118" si="65">VALUE(LEFT(AD110,4))-VALUE(LEFT(AD109,4))</f>
        <v>1</v>
      </c>
      <c r="Y110" s="69">
        <f t="shared" si="53"/>
        <v>23.299800000000001</v>
      </c>
      <c r="Z110" s="69">
        <f t="shared" si="54"/>
        <v>1.43E-2</v>
      </c>
      <c r="AA110" s="69">
        <f t="shared" si="60"/>
        <v>23.285500000000003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61"/>
        <v>0198-24</v>
      </c>
      <c r="AE110" s="99" t="str">
        <f t="shared" si="62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110" s="96" t="str">
        <f t="shared" si="63"/>
        <v>"C:\Program Files (x86)\AstroGrep\AstroGrep.exe" /spath="%USERPROFILE%\AppData\Local\Temp\OnboardLogs" /stypes="app*4010*20160924*" /stext=" 23:.+((SYSTEM_STATE.+slice.+state.+changed )|(ment ac)|(system.+state.+changed )|(\|lc)|(penalty)|(\[timeout)|(PRM\|1\|D)|(kpr)|(kdp))" /e /r /s</v>
      </c>
      <c r="AG110" s="1" t="str">
        <f t="shared" si="64"/>
        <v>EC</v>
      </c>
      <c r="AH110" s="100" t="str">
        <f t="shared" si="49"/>
        <v>"%USERPROFILE%\Documents\GitHub\eaglep3\Utilities\RefineRTDCRunTimes.py" --tripid 198-24 --locoid 4010 --swversion DE.1.0.7.0 --startMP 204:232998 --initTime 2016-09-24T16:40:54 --startdatetime 2016-09-24T16:44:12 --delay 1 --endMP 204:143 --enddatetime 2016-09-24T17:27:07 --enforcementcount 0 &gt;&gt;C:\Users\stu\Documents\GitHub\eaglep3-reporting\EC\2016-09-24-refined-times.txt</v>
      </c>
      <c r="AI110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{"issue":{"subject":"","project_id":79,"tracker_id":40,"status_id":1,"priority_id":2,"assigned_to_id":23,"start_date":"2016-09-24","description":"","custom_fields":[{"id":1,"name":"Subdivision","value":"EC"},{"id":4,"name":"Milepost","value":"0.0143"},{"id":17,"name":"Train ID","value":"198-24"},{"id":16,"name":"Locomotive ID","value":"4010"},{"id":130,"name":"Impact","value":""},{"id":150,"name":"Time of Event (Mountain Time)","value":"17:27:07"},{"id":151,"name":"Denver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542</v>
      </c>
      <c r="B111" s="7">
        <v>4014</v>
      </c>
      <c r="C111" s="24" t="s">
        <v>106</v>
      </c>
      <c r="D111" s="24" t="s">
        <v>320</v>
      </c>
      <c r="E111" s="15">
        <v>42637.670787037037</v>
      </c>
      <c r="F111" s="15">
        <v>42637.673993055556</v>
      </c>
      <c r="G111" s="7">
        <v>1</v>
      </c>
      <c r="H111" s="15" t="s">
        <v>268</v>
      </c>
      <c r="I111" s="15">
        <v>42637.7033912037</v>
      </c>
      <c r="J111" s="7">
        <v>0</v>
      </c>
      <c r="K111" s="121" t="str">
        <f t="shared" si="55"/>
        <v>4013/4014</v>
      </c>
      <c r="L111" s="24" t="str">
        <f>VLOOKUP(A111,'Trips&amp;Operators'!$C$1:$E$10000,3,FALSE)</f>
        <v>MAHAN</v>
      </c>
      <c r="M111" s="6">
        <f t="shared" si="56"/>
        <v>2.9398148144537117E-2</v>
      </c>
      <c r="N111" s="7">
        <f t="shared" si="52"/>
        <v>42.333333328133449</v>
      </c>
      <c r="O111" s="7"/>
      <c r="P111" s="7"/>
      <c r="Q111" s="25"/>
      <c r="R111" s="25"/>
      <c r="S111" s="37">
        <f t="shared" si="37"/>
        <v>1</v>
      </c>
      <c r="T111" s="52" t="str">
        <f t="shared" si="57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15:05:56-0600',mode:absolute,to:'2016-09-24 17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1" s="54" t="str">
        <f t="shared" si="59"/>
        <v>N</v>
      </c>
      <c r="X111" s="168">
        <f t="shared" si="65"/>
        <v>1</v>
      </c>
      <c r="Y111" s="69">
        <f t="shared" si="53"/>
        <v>4.7500000000000001E-2</v>
      </c>
      <c r="Z111" s="69">
        <f t="shared" si="54"/>
        <v>23.331199999999999</v>
      </c>
      <c r="AA111" s="69">
        <f t="shared" si="60"/>
        <v>23.2837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61"/>
        <v>0199-24</v>
      </c>
      <c r="AE111" s="99" t="str">
        <f t="shared" si="62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11" s="96" t="str">
        <f t="shared" si="63"/>
        <v>"C:\Program Files (x86)\AstroGrep\AstroGrep.exe" /spath="%USERPROFILE%\AppData\Local\Temp\OnboardLogs" /stypes="app*4014*20160924*" /stext=" 22:.+((SYSTEM_STATE.+slice.+state.+changed )|(ment ac)|(system.+state.+changed )|(\|lc)|(penalty)|(\[timeout)|(PRM\|1\|D)|(kpr)|(kdp))" /e /r /s</v>
      </c>
      <c r="AG111" s="1" t="str">
        <f t="shared" si="64"/>
        <v>EC</v>
      </c>
      <c r="AH111" s="100" t="str">
        <f t="shared" si="49"/>
        <v>"%USERPROFILE%\Documents\GitHub\eaglep3\Utilities\RefineRTDCRunTimes.py" --tripid 199-24 --locoid 4014 --swversion DE.1.0.7.0 --startMP 204:475 --initTime 2016-09-24T16:05:56 --startdatetime 2016-09-24T16:10:33 --delay 1 --endMP 204:233312 --enddatetime 2016-09-24T16:52:53 --enforcementcount 0 &gt;&gt;C:\Users\stu\Documents\GitHub\eaglep3-reporting\EC\2016-09-24-refined-times.txt</v>
      </c>
      <c r="AI111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{"issue":{"subject":"","project_id":79,"tracker_id":40,"status_id":1,"priority_id":2,"assigned_to_id":23,"start_date":"2016-09-24","description":"","custom_fields":[{"id":1,"name":"Subdivision","value":"EC"},{"id":4,"name":"Milepost","value":"23.3312"},{"id":17,"name":"Train ID","value":"199-24"},{"id":16,"name":"Locomotive ID","value":"4014"},{"id":130,"name":"Impact","value":""},{"id":150,"name":"Time of Event (Mountain Time)","value":"16:52:53"},{"id":151,"name":"Denver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456</v>
      </c>
      <c r="B112" s="7">
        <v>4013</v>
      </c>
      <c r="C112" s="24" t="s">
        <v>106</v>
      </c>
      <c r="D112" s="24" t="s">
        <v>644</v>
      </c>
      <c r="E112" s="15">
        <v>42637.709305555552</v>
      </c>
      <c r="F112" s="15">
        <v>42637.711469907408</v>
      </c>
      <c r="G112" s="7">
        <v>1</v>
      </c>
      <c r="H112" s="15" t="s">
        <v>302</v>
      </c>
      <c r="I112" s="15">
        <v>42637.74077546296</v>
      </c>
      <c r="J112" s="7">
        <v>0</v>
      </c>
      <c r="K112" s="121" t="str">
        <f t="shared" si="55"/>
        <v>4013/4014</v>
      </c>
      <c r="L112" s="24" t="str">
        <f>VLOOKUP(A112,'Trips&amp;Operators'!$C$1:$E$10000,3,FALSE)</f>
        <v>MAHAN</v>
      </c>
      <c r="M112" s="6">
        <f t="shared" si="56"/>
        <v>2.9305555552127771E-2</v>
      </c>
      <c r="N112" s="7">
        <f t="shared" si="52"/>
        <v>42.19999999506399</v>
      </c>
      <c r="O112" s="7"/>
      <c r="P112" s="7"/>
      <c r="Q112" s="25"/>
      <c r="R112" s="25"/>
      <c r="S112" s="37">
        <f t="shared" si="37"/>
        <v>1</v>
      </c>
      <c r="T112" s="52" t="str">
        <f t="shared" si="57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16:01:24-0600',mode:absolute,to:'2016-09-24 18:46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2" s="54" t="str">
        <f t="shared" si="59"/>
        <v>N</v>
      </c>
      <c r="X112" s="168">
        <f t="shared" si="65"/>
        <v>1</v>
      </c>
      <c r="Y112" s="69">
        <f t="shared" si="53"/>
        <v>23.300999999999998</v>
      </c>
      <c r="Z112" s="69">
        <f t="shared" si="54"/>
        <v>1.67E-2</v>
      </c>
      <c r="AA112" s="69">
        <f t="shared" si="60"/>
        <v>23.284299999999998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61"/>
        <v>0200-24</v>
      </c>
      <c r="AE112" s="99" t="str">
        <f t="shared" si="62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112" s="96" t="str">
        <f t="shared" si="63"/>
        <v>"C:\Program Files (x86)\AstroGrep\AstroGrep.exe" /spath="%USERPROFILE%\AppData\Local\Temp\OnboardLogs" /stypes="app*4013*20160924*" /stext=" 23:.+((SYSTEM_STATE.+slice.+state.+changed )|(ment ac)|(system.+state.+changed )|(\|lc)|(penalty)|(\[timeout)|(PRM\|1\|D)|(kpr)|(kdp))" /e /r /s</v>
      </c>
      <c r="AG112" s="1" t="str">
        <f t="shared" si="64"/>
        <v>EC</v>
      </c>
      <c r="AH112" s="100" t="str">
        <f t="shared" si="49"/>
        <v>"%USERPROFILE%\Documents\GitHub\eaglep3\Utilities\RefineRTDCRunTimes.py" --tripid 200-24 --locoid 4013 --swversion DE.1.0.7.0 --startMP 204:233010 --initTime 2016-09-24T17:01:24 --startdatetime 2016-09-24T17:04:31 --delay 1 --endMP 204:167 --enddatetime 2016-09-24T17:46:43 --enforcementcount 0 &gt;&gt;C:\Users\stu\Documents\GitHub\eaglep3-reporting\EC\2016-09-24-refined-times.txt</v>
      </c>
      <c r="AI112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{"issue":{"subject":"","project_id":79,"tracker_id":40,"status_id":1,"priority_id":2,"assigned_to_id":23,"start_date":"2016-09-24","description":"","custom_fields":[{"id":1,"name":"Subdivision","value":"EC"},{"id":4,"name":"Milepost","value":"0.0167"},{"id":17,"name":"Train ID","value":"200-24"},{"id":16,"name":"Locomotive ID","value":"4013"},{"id":130,"name":"Impact","value":""},{"id":150,"name":"Time of Event (Mountain Time)","value":"17:46:43"},{"id":151,"name":"Denver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544</v>
      </c>
      <c r="B113" s="7">
        <v>4046</v>
      </c>
      <c r="C113" s="24" t="s">
        <v>106</v>
      </c>
      <c r="D113" s="24" t="s">
        <v>645</v>
      </c>
      <c r="E113" s="15">
        <v>42637.703750000001</v>
      </c>
      <c r="F113" s="15">
        <v>42637.704895833333</v>
      </c>
      <c r="G113" s="7">
        <v>1</v>
      </c>
      <c r="H113" s="15" t="s">
        <v>646</v>
      </c>
      <c r="I113" s="15">
        <v>42637.714537037034</v>
      </c>
      <c r="J113" s="7">
        <v>0</v>
      </c>
      <c r="K113" s="121" t="str">
        <f t="shared" si="55"/>
        <v>4045/4046</v>
      </c>
      <c r="L113" s="24" t="str">
        <f>VLOOKUP(A113,'Trips&amp;Operators'!$C$1:$E$10000,3,FALSE)</f>
        <v>STEWART</v>
      </c>
      <c r="M113" s="6">
        <f t="shared" si="56"/>
        <v>9.6412037019035779E-3</v>
      </c>
      <c r="N113" s="7"/>
      <c r="O113" s="7"/>
      <c r="P113" s="7">
        <f>24*60*SUM($M113:$M114)</f>
        <v>40.566666667582467</v>
      </c>
      <c r="Q113" s="25"/>
      <c r="R113" s="25" t="s">
        <v>683</v>
      </c>
      <c r="S113" s="37">
        <f>SUM(U113:U114)/IF(AG113="EC",12,1)</f>
        <v>0.91666666666666663</v>
      </c>
      <c r="T113" s="52" t="str">
        <f t="shared" si="57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15:53:24-0600',mode:absolute,to:'2016-09-24 18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3" s="54" t="str">
        <f t="shared" si="59"/>
        <v>Y</v>
      </c>
      <c r="X113" s="168">
        <f t="shared" si="65"/>
        <v>1</v>
      </c>
      <c r="Y113" s="69">
        <f t="shared" si="53"/>
        <v>12.8268</v>
      </c>
      <c r="Z113" s="69">
        <f t="shared" si="54"/>
        <v>23.330500000000001</v>
      </c>
      <c r="AA113" s="69">
        <f t="shared" si="60"/>
        <v>10.5037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61"/>
        <v>0201-24</v>
      </c>
      <c r="AE113" s="99" t="str">
        <f t="shared" si="62"/>
        <v>aws s3 cp s3://rtdc.mdm.uploadarchive/RTDC4046/2016-09-24/ "%USERPROFILE%\AppData\Local\Temp\OnboardLogs"\RTDC4046\2016-09-24 --recursive &amp; "%USERPROFILE%\Documents\GitHub\mrs-test-scripts\Headless Mode &amp; Sideloading\WalkAndUnGZ.bat" "%USERPROFILE%\AppData\Local\Temp\OnboardLogs"\RTDC4046\2016-09-24 &amp; aws s3 cp s3://rtdc.mdm.uploadarchive/RTDC4046/2016-09-25/ "%USERPROFILE%\AppData\Local\Temp\OnboardLogs"\RTDC4046\2016-09-25 --recursive &amp; "%USERPROFILE%\Documents\GitHub\mrs-test-scripts\Headless Mode &amp; Sideloading\WalkAndUnGZ.bat" "%USERPROFILE%\AppData\Local\Temp\OnboardLogs"\RTDC4046\2016-09-25</v>
      </c>
      <c r="AF113" s="96" t="str">
        <f t="shared" si="63"/>
        <v>"C:\Program Files (x86)\AstroGrep\AstroGrep.exe" /spath="%USERPROFILE%\AppData\Local\Temp\OnboardLogs" /stypes="app*4046*20160924*" /stext=" 23:.+((SYSTEM_STATE.+slice.+state.+changed )|(ment ac)|(system.+state.+changed )|(\|lc)|(penalty)|(\[timeout)|(PRM\|1\|D)|(kpr)|(kdp))" /e /r /s</v>
      </c>
      <c r="AG113" s="1" t="str">
        <f t="shared" si="64"/>
        <v>EC</v>
      </c>
      <c r="AH113" s="100" t="str">
        <f t="shared" si="49"/>
        <v>"%USERPROFILE%\Documents\GitHub\eaglep3\Utilities\RefineRTDCRunTimes.py" --tripid 201-24 --locoid 4046 --swversion DE.1.0.7.0 --startMP 204:128268 --initTime 2016-09-24T16:53:24 --startdatetime 2016-09-24T16:55:03 --delay 1 --endMP 204:233305 --enddatetime 2016-09-24T17:08:56 --enforcementcount 0 &gt;&gt;C:\Users\stu\Documents\GitHub\eaglep3-reporting\EC\2016-09-24-refined-times.txt</v>
      </c>
      <c r="AI113" s="134" t="str">
        <f t="shared" si="50"/>
        <v>echo {"issue":{"subject":"No clear from TMDS at Chambers 2N, talked past signal","project_id":79,"tracker_id":40,"status_id":1,"priority_id":2,"assigned_to_id":23,"start_date":"2016-09-24","description":"Train stopped at Chambers 2N at 16:40. No clear controls sent from TMDS from 16:35:09.422 - 16:46:16.665. At 16:46:16.665 the clear control was finally sent (by then the train was already cut out)","custom_fields":[{"id":1,"name":"Subdivision","value":"EC"},{"id":4,"name":"Milepost","value":"23.3305"},{"id":17,"name":"Train ID","value":"201-24"},{"id":16,"name":"Locomotive ID","value":"4046"},{"id":130,"name":"Impact","value":"Unexpected Cut-Out or Disengaged"},{"id":150,"name":"Time of Event (Mountain Time)","value":"17:08:56"},{"id":151,"name":"Denver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13" s="55" t="s">
        <v>682</v>
      </c>
      <c r="AK113" s="55" t="s">
        <v>144</v>
      </c>
      <c r="AL113" s="55" t="s">
        <v>147</v>
      </c>
    </row>
    <row r="114" spans="1:38" x14ac:dyDescent="0.25">
      <c r="A114" s="39" t="s">
        <v>544</v>
      </c>
      <c r="B114" s="7">
        <v>4046</v>
      </c>
      <c r="C114" s="24" t="s">
        <v>106</v>
      </c>
      <c r="D114" s="24" t="s">
        <v>412</v>
      </c>
      <c r="E114" s="15">
        <v>42637.679050925923</v>
      </c>
      <c r="F114" s="15">
        <v>42637.680810185186</v>
      </c>
      <c r="G114" s="7">
        <v>1</v>
      </c>
      <c r="H114" s="15" t="s">
        <v>647</v>
      </c>
      <c r="I114" s="15">
        <v>42637.699340277781</v>
      </c>
      <c r="J114" s="7">
        <v>0</v>
      </c>
      <c r="K114" s="121" t="str">
        <f t="shared" si="55"/>
        <v>4045/4046</v>
      </c>
      <c r="L114" s="24" t="str">
        <f>VLOOKUP(A114,'Trips&amp;Operators'!$C$1:$E$10000,3,FALSE)</f>
        <v>STEWART</v>
      </c>
      <c r="M114" s="6">
        <f t="shared" si="56"/>
        <v>1.8530092595028691E-2</v>
      </c>
      <c r="N114" s="7"/>
      <c r="O114" s="7"/>
      <c r="P114" s="7"/>
      <c r="Q114" s="25"/>
      <c r="R114" s="25"/>
      <c r="S114" s="37"/>
      <c r="T114" s="52" t="str">
        <f t="shared" si="57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11</v>
      </c>
      <c r="V11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15:17:50-0600',mode:absolute,to:'2016-09-24 17:47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4" s="54" t="str">
        <f t="shared" si="59"/>
        <v>Y</v>
      </c>
      <c r="X114" s="168">
        <f t="shared" si="65"/>
        <v>0</v>
      </c>
      <c r="Y114" s="69">
        <f t="shared" si="53"/>
        <v>4.7699999999999999E-2</v>
      </c>
      <c r="Z114" s="69">
        <f t="shared" si="54"/>
        <v>10.5685</v>
      </c>
      <c r="AA114" s="69">
        <f t="shared" si="60"/>
        <v>10.520799999999999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61"/>
        <v>0201-24</v>
      </c>
      <c r="AE114" s="99" t="str">
        <f t="shared" si="62"/>
        <v>aws s3 cp s3://rtdc.mdm.uploadarchive/RTDC4046/2016-09-24/ "%USERPROFILE%\AppData\Local\Temp\OnboardLogs"\RTDC4046\2016-09-24 --recursive &amp; "%USERPROFILE%\Documents\GitHub\mrs-test-scripts\Headless Mode &amp; Sideloading\WalkAndUnGZ.bat" "%USERPROFILE%\AppData\Local\Temp\OnboardLogs"\RTDC4046\2016-09-24 &amp; aws s3 cp s3://rtdc.mdm.uploadarchive/RTDC4046/2016-09-25/ "%USERPROFILE%\AppData\Local\Temp\OnboardLogs"\RTDC4046\2016-09-25 --recursive &amp; "%USERPROFILE%\Documents\GitHub\mrs-test-scripts\Headless Mode &amp; Sideloading\WalkAndUnGZ.bat" "%USERPROFILE%\AppData\Local\Temp\OnboardLogs"\RTDC4046\2016-09-25</v>
      </c>
      <c r="AF114" s="96" t="str">
        <f t="shared" si="63"/>
        <v>"C:\Program Files (x86)\AstroGrep\AstroGrep.exe" /spath="%USERPROFILE%\AppData\Local\Temp\OnboardLogs" /stypes="app*4046*20160924*" /stext=" 22:.+((SYSTEM_STATE.+slice.+state.+changed )|(ment ac)|(system.+state.+changed )|(\|lc)|(penalty)|(\[timeout)|(PRM\|1\|D)|(kpr)|(kdp))" /e /r /s</v>
      </c>
      <c r="AG114" s="1" t="str">
        <f t="shared" si="64"/>
        <v>EC</v>
      </c>
      <c r="AH114" s="100" t="str">
        <f t="shared" si="49"/>
        <v>"%USERPROFILE%\Documents\GitHub\eaglep3\Utilities\RefineRTDCRunTimes.py" --tripid 201-24 --locoid 4046 --swversion DE.1.0.7.0 --startMP 204:477 --initTime 2016-09-24T16:17:50 --startdatetime 2016-09-24T16:20:22 --delay 1 --endMP 204:105685 --enddatetime 2016-09-24T16:47:03 --enforcementcount 0 &gt;&gt;C:\Users\stu\Documents\GitHub\eaglep3-reporting\EC\2016-09-24-refined-times.txt</v>
      </c>
      <c r="AI114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{"issue":{"subject":"","project_id":79,"tracker_id":40,"status_id":1,"priority_id":2,"assigned_to_id":23,"start_date":"2016-09-24","description":"","custom_fields":[{"id":1,"name":"Subdivision","value":"EC"},{"id":4,"name":"Milepost","value":"10.5685"},{"id":17,"name":"Train ID","value":"201-24"},{"id":16,"name":"Locomotive ID","value":"4046"},{"id":130,"name":"Impact","value":""},{"id":150,"name":"Time of Event (Mountain Time)","value":"16:47:03"},{"id":151,"name":"Denver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550</v>
      </c>
      <c r="B115" s="7">
        <v>4045</v>
      </c>
      <c r="C115" s="24" t="s">
        <v>106</v>
      </c>
      <c r="D115" s="24" t="s">
        <v>258</v>
      </c>
      <c r="E115" s="15">
        <v>42637.716249999998</v>
      </c>
      <c r="F115" s="15">
        <v>42637.718252314815</v>
      </c>
      <c r="G115" s="7">
        <v>1</v>
      </c>
      <c r="H115" s="15" t="s">
        <v>127</v>
      </c>
      <c r="I115" s="15">
        <v>42637.748437499999</v>
      </c>
      <c r="J115" s="7">
        <v>0</v>
      </c>
      <c r="K115" s="121" t="str">
        <f t="shared" si="55"/>
        <v>4045/4046</v>
      </c>
      <c r="L115" s="24" t="str">
        <f>VLOOKUP(A115,'Trips&amp;Operators'!$C$1:$E$10000,3,FALSE)</f>
        <v>STEWART</v>
      </c>
      <c r="M115" s="6">
        <f t="shared" si="56"/>
        <v>3.0185185183654539E-2</v>
      </c>
      <c r="N115" s="7">
        <f>24*60*SUM($M115:$M115)</f>
        <v>43.466666664462537</v>
      </c>
      <c r="O115" s="7"/>
      <c r="P115" s="7"/>
      <c r="Q115" s="25"/>
      <c r="R115" s="25"/>
      <c r="S115" s="37">
        <f t="shared" ref="S115:S152" si="66">SUM(U115:U115)/IF(AG115="EC",12,1)</f>
        <v>1</v>
      </c>
      <c r="T115" s="52" t="str">
        <f t="shared" si="57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16:11:24-0600',mode:absolute,to:'2016-09-24 18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5" s="54" t="str">
        <f t="shared" si="59"/>
        <v>N</v>
      </c>
      <c r="X115" s="168">
        <f t="shared" si="65"/>
        <v>1</v>
      </c>
      <c r="Y115" s="69">
        <f t="shared" si="53"/>
        <v>23.3</v>
      </c>
      <c r="Z115" s="69">
        <f t="shared" si="54"/>
        <v>1.54E-2</v>
      </c>
      <c r="AA115" s="69">
        <f t="shared" si="60"/>
        <v>23.284600000000001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1"/>
        <v>0202-24</v>
      </c>
      <c r="AE115" s="99" t="str">
        <f t="shared" si="62"/>
        <v>aws s3 cp s3://rtdc.mdm.uploadarchive/RTDC4045/2016-09-24/ "%USERPROFILE%\AppData\Local\Temp\OnboardLogs"\RTDC4045\2016-09-24 --recursive &amp; "%USERPROFILE%\Documents\GitHub\mrs-test-scripts\Headless Mode &amp; Sideloading\WalkAndUnGZ.bat" "%USERPROFILE%\AppData\Local\Temp\OnboardLogs"\RTDC4045\2016-09-24 &amp; aws s3 cp s3://rtdc.mdm.uploadarchive/RTDC4045/2016-09-25/ "%USERPROFILE%\AppData\Local\Temp\OnboardLogs"\RTDC4045\2016-09-25 --recursive &amp; "%USERPROFILE%\Documents\GitHub\mrs-test-scripts\Headless Mode &amp; Sideloading\WalkAndUnGZ.bat" "%USERPROFILE%\AppData\Local\Temp\OnboardLogs"\RTDC4045\2016-09-25</v>
      </c>
      <c r="AF115" s="96" t="str">
        <f t="shared" si="63"/>
        <v>"C:\Program Files (x86)\AstroGrep\AstroGrep.exe" /spath="%USERPROFILE%\AppData\Local\Temp\OnboardLogs" /stypes="app*4045*20160924*" /stext=" 23:.+((SYSTEM_STATE.+slice.+state.+changed )|(ment ac)|(system.+state.+changed )|(\|lc)|(penalty)|(\[timeout)|(PRM\|1\|D)|(kpr)|(kdp))" /e /r /s</v>
      </c>
      <c r="AG115" s="1" t="str">
        <f t="shared" si="64"/>
        <v>EC</v>
      </c>
      <c r="AH115" s="100" t="str">
        <f t="shared" si="49"/>
        <v>"%USERPROFILE%\Documents\GitHub\eaglep3\Utilities\RefineRTDCRunTimes.py" --tripid 202-24 --locoid 4045 --swversion DE.1.0.7.0 --startMP 204:233000 --initTime 2016-09-24T17:11:24 --startdatetime 2016-09-24T17:14:17 --delay 1 --endMP 204:154 --enddatetime 2016-09-24T17:57:45 --enforcementcount 0 &gt;&gt;C:\Users\stu\Documents\GitHub\eaglep3-reporting\EC\2016-09-24-refined-times.txt</v>
      </c>
      <c r="AI115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{"issue":{"subject":"","project_id":79,"tracker_id":40,"status_id":1,"priority_id":2,"assigned_to_id":23,"start_date":"2016-09-24","description":"","custom_fields":[{"id":1,"name":"Subdivision","value":"EC"},{"id":4,"name":"Milepost","value":"0.0154"},{"id":17,"name":"Train ID","value":"202-24"},{"id":16,"name":"Locomotive ID","value":"4045"},{"id":130,"name":"Impact","value":""},{"id":150,"name":"Time of Event (Mountain Time)","value":"17:57:45"},{"id":151,"name":"Denver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545</v>
      </c>
      <c r="B116" s="7">
        <v>4053</v>
      </c>
      <c r="C116" s="24" t="s">
        <v>106</v>
      </c>
      <c r="D116" s="24" t="s">
        <v>648</v>
      </c>
      <c r="E116" s="15">
        <v>42637.686886574076</v>
      </c>
      <c r="F116" s="15">
        <v>42637.687928240739</v>
      </c>
      <c r="G116" s="7">
        <v>0</v>
      </c>
      <c r="H116" s="15" t="s">
        <v>420</v>
      </c>
      <c r="I116" s="15">
        <v>42637.717430555553</v>
      </c>
      <c r="J116" s="7">
        <v>0</v>
      </c>
      <c r="K116" s="121" t="str">
        <f t="shared" si="55"/>
        <v>4053/4054</v>
      </c>
      <c r="L116" s="24" t="str">
        <f>VLOOKUP(A116,'Trips&amp;Operators'!$C$1:$E$10000,3,FALSE)</f>
        <v>BARTLETT</v>
      </c>
      <c r="M116" s="6">
        <f t="shared" si="56"/>
        <v>2.9502314813726116E-2</v>
      </c>
      <c r="N116" s="7">
        <f>24*60*SUM($M116:$M116)</f>
        <v>42.483333331765607</v>
      </c>
      <c r="O116" s="7"/>
      <c r="P116" s="7"/>
      <c r="Q116" s="25"/>
      <c r="R116" s="25"/>
      <c r="S116" s="37">
        <f t="shared" si="66"/>
        <v>1</v>
      </c>
      <c r="T116" s="52" t="str">
        <f t="shared" si="57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15:29:07-0600',mode:absolute,to:'2016-09-24 18:13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16" s="54" t="str">
        <f t="shared" si="59"/>
        <v>N</v>
      </c>
      <c r="X116" s="168">
        <f t="shared" si="65"/>
        <v>1</v>
      </c>
      <c r="Y116" s="69">
        <f t="shared" si="53"/>
        <v>4.9299999999999997E-2</v>
      </c>
      <c r="Z116" s="69">
        <f t="shared" si="54"/>
        <v>23.3323</v>
      </c>
      <c r="AA116" s="69">
        <f t="shared" si="60"/>
        <v>23.283000000000001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1"/>
        <v>0203-24</v>
      </c>
      <c r="AE116" s="99" t="str">
        <f t="shared" si="62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116" s="96" t="str">
        <f t="shared" si="63"/>
        <v>"C:\Program Files (x86)\AstroGrep\AstroGrep.exe" /spath="%USERPROFILE%\AppData\Local\Temp\OnboardLogs" /stypes="app*4053*20160924*" /stext=" 23:.+((SYSTEM_STATE.+slice.+state.+changed )|(ment ac)|(system.+state.+changed )|(\|lc)|(penalty)|(\[timeout)|(PRM\|1\|D)|(kpr)|(kdp))" /e /r /s</v>
      </c>
      <c r="AG116" s="1" t="str">
        <f t="shared" si="64"/>
        <v>EC</v>
      </c>
      <c r="AH116" s="100" t="str">
        <f t="shared" si="49"/>
        <v>"%USERPROFILE%\Documents\GitHub\eaglep3\Utilities\RefineRTDCRunTimes.py" --tripid 203-24 --locoid 4053 --swversion DE.1.0.7.0 --startMP 204:493 --initTime 2016-09-24T16:29:07 --startdatetime 2016-09-24T16:30:37 --delay 0 --endMP 204:233323 --enddatetime 2016-09-24T17:13:06 --enforcementcount 0 &gt;&gt;C:\Users\stu\Documents\GitHub\eaglep3-reporting\EC\2016-09-24-refined-times.txt</v>
      </c>
      <c r="AI116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{"issue":{"subject":"","project_id":79,"tracker_id":40,"status_id":1,"priority_id":2,"assigned_to_id":23,"start_date":"2016-09-24","description":"","custom_fields":[{"id":1,"name":"Subdivision","value":"EC"},{"id":4,"name":"Milepost","value":"23.3323"},{"id":17,"name":"Train ID","value":"203-24"},{"id":16,"name":"Locomotive ID","value":"4053"},{"id":130,"name":"Impact","value":""},{"id":150,"name":"Time of Event (Mountain Time)","value":"17:13:06"},{"id":151,"name":"Denver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551</v>
      </c>
      <c r="B117" s="7">
        <v>4054</v>
      </c>
      <c r="C117" s="24" t="s">
        <v>106</v>
      </c>
      <c r="D117" s="24" t="s">
        <v>649</v>
      </c>
      <c r="E117" s="15">
        <v>42637.719097222223</v>
      </c>
      <c r="F117" s="15">
        <v>42637.726875</v>
      </c>
      <c r="G117" s="7">
        <v>1</v>
      </c>
      <c r="H117" s="15" t="s">
        <v>419</v>
      </c>
      <c r="I117" s="15">
        <v>42637.755416666667</v>
      </c>
      <c r="J117" s="7">
        <v>0</v>
      </c>
      <c r="K117" s="121" t="str">
        <f t="shared" si="55"/>
        <v>4053/4054</v>
      </c>
      <c r="L117" s="24" t="str">
        <f>VLOOKUP(A117,'Trips&amp;Operators'!$C$1:$E$10000,3,FALSE)</f>
        <v>BARTLETT</v>
      </c>
      <c r="M117" s="6">
        <f t="shared" si="56"/>
        <v>2.8541666666569654E-2</v>
      </c>
      <c r="N117" s="7">
        <f>24*60*SUM($M117:$M117)</f>
        <v>41.099999999860302</v>
      </c>
      <c r="O117" s="7"/>
      <c r="P117" s="7"/>
      <c r="Q117" s="25"/>
      <c r="R117" s="25"/>
      <c r="S117" s="37">
        <f t="shared" si="66"/>
        <v>1</v>
      </c>
      <c r="T117" s="52" t="str">
        <f t="shared" si="57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16:15:30-0600',mode:absolute,to:'2016-09-24 19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7" s="54" t="str">
        <f t="shared" si="59"/>
        <v>N</v>
      </c>
      <c r="X117" s="168">
        <f t="shared" si="65"/>
        <v>1</v>
      </c>
      <c r="Y117" s="69">
        <f t="shared" si="53"/>
        <v>23.3032</v>
      </c>
      <c r="Z117" s="69">
        <f t="shared" si="54"/>
        <v>1.7399999999999999E-2</v>
      </c>
      <c r="AA117" s="69">
        <f t="shared" si="60"/>
        <v>23.285800000000002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61"/>
        <v>0204-24</v>
      </c>
      <c r="AE117" s="99" t="str">
        <f t="shared" si="62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117" s="96" t="str">
        <f t="shared" si="63"/>
        <v>"C:\Program Files (x86)\AstroGrep\AstroGrep.exe" /spath="%USERPROFILE%\AppData\Local\Temp\OnboardLogs" /stypes="app*4054*20160925*" /stext=" 00:.+((SYSTEM_STATE.+slice.+state.+changed )|(ment ac)|(system.+state.+changed )|(\|lc)|(penalty)|(\[timeout)|(PRM\|1\|D)|(kpr)|(kdp))" /e /r /s</v>
      </c>
      <c r="AG117" s="1" t="str">
        <f t="shared" si="64"/>
        <v>EC</v>
      </c>
      <c r="AH117" s="100" t="str">
        <f t="shared" si="49"/>
        <v>"%USERPROFILE%\Documents\GitHub\eaglep3\Utilities\RefineRTDCRunTimes.py" --tripid 204-24 --locoid 4054 --swversion DE.1.0.7.0 --startMP 204:233032 --initTime 2016-09-24T17:15:30 --startdatetime 2016-09-24T17:26:42 --delay 1 --endMP 204:174 --enddatetime 2016-09-24T18:07:48 --enforcementcount 0 &gt;&gt;C:\Users\stu\Documents\GitHub\eaglep3-reporting\EC\2016-09-24-refined-times.txt</v>
      </c>
      <c r="AI117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{"issue":{"subject":"","project_id":79,"tracker_id":40,"status_id":1,"priority_id":2,"assigned_to_id":23,"start_date":"2016-09-24","description":"","custom_fields":[{"id":1,"name":"Subdivision","value":"EC"},{"id":4,"name":"Milepost","value":"0.0174"},{"id":17,"name":"Train ID","value":"204-24"},{"id":16,"name":"Locomotive ID","value":"4054"},{"id":130,"name":"Impact","value":""},{"id":150,"name":"Time of Event (Mountain Time)","value":"18:07:48"},{"id":151,"name":"Denver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547</v>
      </c>
      <c r="B118" s="7">
        <v>4007</v>
      </c>
      <c r="C118" s="24" t="s">
        <v>106</v>
      </c>
      <c r="D118" s="24" t="s">
        <v>264</v>
      </c>
      <c r="E118" s="15">
        <v>42637.698379629626</v>
      </c>
      <c r="F118" s="15">
        <v>42637.699965277781</v>
      </c>
      <c r="G118" s="7">
        <v>1</v>
      </c>
      <c r="H118" s="15" t="s">
        <v>325</v>
      </c>
      <c r="I118" s="15">
        <v>42637.731377314813</v>
      </c>
      <c r="J118" s="7">
        <v>0</v>
      </c>
      <c r="K118" s="121" t="str">
        <f t="shared" si="55"/>
        <v>4007/4008</v>
      </c>
      <c r="L118" s="24" t="str">
        <f>VLOOKUP(A118,'Trips&amp;Operators'!$C$1:$E$10000,3,FALSE)</f>
        <v>MOSES</v>
      </c>
      <c r="M118" s="6">
        <f t="shared" si="56"/>
        <v>3.1412037031259388E-2</v>
      </c>
      <c r="N118" s="7">
        <f>24*60*SUM($M118:$M118)</f>
        <v>45.233333325013518</v>
      </c>
      <c r="O118" s="7"/>
      <c r="P118" s="7"/>
      <c r="Q118" s="25"/>
      <c r="R118" s="25"/>
      <c r="S118" s="37">
        <f t="shared" si="66"/>
        <v>1</v>
      </c>
      <c r="T118" s="52" t="str">
        <f t="shared" si="57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15:45:40-0600',mode:absolute,to:'2016-09-24 18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18" s="54" t="str">
        <f t="shared" si="59"/>
        <v>N</v>
      </c>
      <c r="X118" s="168">
        <f t="shared" si="65"/>
        <v>1</v>
      </c>
      <c r="Y118" s="69">
        <f t="shared" si="53"/>
        <v>4.4200000000000003E-2</v>
      </c>
      <c r="Z118" s="69">
        <f t="shared" si="54"/>
        <v>23.329899999999999</v>
      </c>
      <c r="AA118" s="69">
        <f t="shared" si="60"/>
        <v>23.285699999999999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61"/>
        <v>0205-24</v>
      </c>
      <c r="AE118" s="99" t="str">
        <f t="shared" si="62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118" s="96" t="str">
        <f t="shared" si="63"/>
        <v>"C:\Program Files (x86)\AstroGrep\AstroGrep.exe" /spath="%USERPROFILE%\AppData\Local\Temp\OnboardLogs" /stypes="app*4007*20160924*" /stext=" 23:.+((SYSTEM_STATE.+slice.+state.+changed )|(ment ac)|(system.+state.+changed )|(\|lc)|(penalty)|(\[timeout)|(PRM\|1\|D)|(kpr)|(kdp))" /e /r /s</v>
      </c>
      <c r="AG118" s="1" t="str">
        <f t="shared" si="64"/>
        <v>EC</v>
      </c>
      <c r="AH118" s="100" t="str">
        <f t="shared" si="49"/>
        <v>"%USERPROFILE%\Documents\GitHub\eaglep3\Utilities\RefineRTDCRunTimes.py" --tripid 205-24 --locoid 4007 --swversion DE.1.0.7.0 --startMP 204:442 --initTime 2016-09-24T16:45:40 --startdatetime 2016-09-24T16:47:57 --delay 1 --endMP 204:233299 --enddatetime 2016-09-24T17:33:11 --enforcementcount 0 &gt;&gt;C:\Users\stu\Documents\GitHub\eaglep3-reporting\EC\2016-09-24-refined-times.txt</v>
      </c>
      <c r="AI118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{"issue":{"subject":"","project_id":79,"tracker_id":40,"status_id":1,"priority_id":2,"assigned_to_id":23,"start_date":"2016-09-24","description":"","custom_fields":[{"id":1,"name":"Subdivision","value":"EC"},{"id":4,"name":"Milepost","value":"23.3299"},{"id":17,"name":"Train ID","value":"205-24"},{"id":16,"name":"Locomotive ID","value":"4007"},{"id":130,"name":"Impact","value":""},{"id":150,"name":"Time of Event (Mountain Time)","value":"17:33:11"},{"id":151,"name":"Denver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554</v>
      </c>
      <c r="B119" s="7">
        <v>4008</v>
      </c>
      <c r="C119" s="24" t="s">
        <v>106</v>
      </c>
      <c r="D119" s="24" t="s">
        <v>650</v>
      </c>
      <c r="E119" s="15">
        <v>42637.73505787037</v>
      </c>
      <c r="F119" s="15">
        <v>42637.735659722224</v>
      </c>
      <c r="G119" s="7">
        <v>16</v>
      </c>
      <c r="H119" s="15" t="s">
        <v>220</v>
      </c>
      <c r="I119" s="15">
        <f>F119+1/24/60</f>
        <v>42637.736354166671</v>
      </c>
      <c r="J119" s="7">
        <v>0</v>
      </c>
      <c r="K119" s="121" t="str">
        <f t="shared" si="55"/>
        <v>4007/4008</v>
      </c>
      <c r="L119" s="24" t="str">
        <f>VLOOKUP(A119,'Trips&amp;Operators'!$C$1:$E$10000,3,FALSE)</f>
        <v>MOSES</v>
      </c>
      <c r="M119" s="6">
        <f t="shared" si="56"/>
        <v>6.944444467080757E-4</v>
      </c>
      <c r="N119" s="7"/>
      <c r="O119" s="7"/>
      <c r="P119" s="7">
        <f>24*60*SUM($M119:$M119)</f>
        <v>1.000000003259629</v>
      </c>
      <c r="Q119" s="25"/>
      <c r="R119" s="25" t="s">
        <v>679</v>
      </c>
      <c r="S119" s="37">
        <f t="shared" si="66"/>
        <v>0</v>
      </c>
      <c r="T119" s="52" t="str">
        <f t="shared" si="57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16:38:29-0600',mode:absolute,to:'2016-09-24 18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19" s="54" t="str">
        <f t="shared" si="59"/>
        <v>Y</v>
      </c>
      <c r="X119" s="168">
        <f t="shared" ref="X119:X121" si="67">VALUE(LEFT(AD119,4))-VALUE(LEFT(AD118,4))</f>
        <v>1</v>
      </c>
      <c r="Y119" s="69">
        <v>23.3</v>
      </c>
      <c r="Z119" s="69">
        <v>23.2</v>
      </c>
      <c r="AA119" s="69">
        <f t="shared" si="60"/>
        <v>0.10000000000000142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1"/>
        <v>0206-24</v>
      </c>
      <c r="AE119" s="99" t="str">
        <f t="shared" si="62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119" s="96" t="str">
        <f t="shared" si="63"/>
        <v>"C:\Program Files (x86)\AstroGrep\AstroGrep.exe" /spath="%USERPROFILE%\AppData\Local\Temp\OnboardLogs" /stypes="app*4008*20160924*" /stext=" 23:.+((SYSTEM_STATE.+slice.+state.+changed )|(ment ac)|(system.+state.+changed )|(\|lc)|(penalty)|(\[timeout)|(PRM\|1\|D)|(kpr)|(kdp))" /e /r /s</v>
      </c>
      <c r="AG119" s="1" t="str">
        <f t="shared" si="64"/>
        <v>EC</v>
      </c>
      <c r="AH119" s="100" t="str">
        <f t="shared" si="49"/>
        <v>"%USERPROFILE%\Documents\GitHub\eaglep3\Utilities\RefineRTDCRunTimes.py" --tripid 206-24 --locoid 4008 --swversion DE.1.0.7.0 --startMP 204:154010 --initTime 2016-09-24T17:38:29 --startdatetime 2016-09-24T17:39:21 --delay 16 --endMP 204:150 --enddatetime 2016-09-24T17:40:21 --enforcementcount 0 &gt;&gt;C:\Users\stu\Documents\GitHub\eaglep3-reporting\EC\2016-09-24-refined-times.txt</v>
      </c>
      <c r="AI119" s="134" t="str">
        <f t="shared" si="50"/>
        <v>echo {"issue":{"subject":"Onboard in-route failure","project_id":79,"tracker_id":40,"status_id":1,"priority_id":2,"assigned_to_id":23,"start_date":"2016-09-24","description":"Train initialized at 17:39:45, when it started moving CPU-2 was voted out and the timing of the vote-out caused the system to stay in DISENGAGED for most of the trip, until the operator re-initialized","custom_fields":[{"id":1,"name":"Subdivision","value":"EC"},{"id":4,"name":"Milepost","value":"23.2"},{"id":17,"name":"Train ID","value":"206-24"},{"id":16,"name":"Locomotive ID","value":"4008"},{"id":130,"name":"Impact","value":"Unexpected Cut-Out or Disengaged"},{"id":150,"name":"Time of Event (Mountain Time)","value":"17:40:21"},{"id":151,"name":"Denver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9" s="55" t="s">
        <v>684</v>
      </c>
      <c r="AK119" s="55" t="s">
        <v>144</v>
      </c>
      <c r="AL119" s="55" t="s">
        <v>241</v>
      </c>
    </row>
    <row r="120" spans="1:38" s="23" customFormat="1" x14ac:dyDescent="0.25">
      <c r="A120" s="39" t="s">
        <v>548</v>
      </c>
      <c r="B120" s="7">
        <v>4042</v>
      </c>
      <c r="C120" s="24" t="s">
        <v>106</v>
      </c>
      <c r="D120" s="24" t="s">
        <v>305</v>
      </c>
      <c r="E120" s="15">
        <v>42637.706377314818</v>
      </c>
      <c r="F120" s="15">
        <v>42637.708518518521</v>
      </c>
      <c r="G120" s="7">
        <v>1</v>
      </c>
      <c r="H120" s="15" t="s">
        <v>254</v>
      </c>
      <c r="I120" s="15">
        <v>42637.740300925929</v>
      </c>
      <c r="J120" s="7">
        <v>0</v>
      </c>
      <c r="K120" s="121" t="str">
        <f t="shared" si="55"/>
        <v>4041/4042</v>
      </c>
      <c r="L120" s="24" t="str">
        <f>VLOOKUP(A120,'Trips&amp;Operators'!$C$1:$E$10000,3,FALSE)</f>
        <v>SHOOK</v>
      </c>
      <c r="M120" s="6">
        <f t="shared" si="56"/>
        <v>3.178240740817273E-2</v>
      </c>
      <c r="N120" s="7">
        <f>24*60*SUM($M120:$M120)</f>
        <v>45.766666667768732</v>
      </c>
      <c r="O120" s="7"/>
      <c r="P120" s="7"/>
      <c r="Q120" s="25"/>
      <c r="R120" s="25"/>
      <c r="S120" s="37">
        <f t="shared" si="66"/>
        <v>1</v>
      </c>
      <c r="T120" s="52" t="str">
        <f t="shared" si="57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15:57:11-0600',mode:absolute,to:'2016-09-24 18:46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0" s="54" t="str">
        <f t="shared" si="59"/>
        <v>N</v>
      </c>
      <c r="X120" s="168">
        <f t="shared" si="67"/>
        <v>1</v>
      </c>
      <c r="Y120" s="69">
        <f t="shared" ref="Y120:Y151" si="68">RIGHT(D120,LEN(D120)-4)/10000</f>
        <v>4.6399999999999997E-2</v>
      </c>
      <c r="Z120" s="69">
        <f t="shared" ref="Z120:Z151" si="69">RIGHT(H120,LEN(H120)-4)/10000</f>
        <v>23.331399999999999</v>
      </c>
      <c r="AA120" s="69">
        <f t="shared" si="60"/>
        <v>23.285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1"/>
        <v>0207-24</v>
      </c>
      <c r="AE120" s="99" t="str">
        <f t="shared" si="62"/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AF120" s="96" t="str">
        <f t="shared" si="63"/>
        <v>"C:\Program Files (x86)\AstroGrep\AstroGrep.exe" /spath="%USERPROFILE%\AppData\Local\Temp\OnboardLogs" /stypes="app*4042*20160924*" /stext=" 23:.+((SYSTEM_STATE.+slice.+state.+changed )|(ment ac)|(system.+state.+changed )|(\|lc)|(penalty)|(\[timeout)|(PRM\|1\|D)|(kpr)|(kdp))" /e /r /s</v>
      </c>
      <c r="AG120" s="1" t="str">
        <f t="shared" si="64"/>
        <v>EC</v>
      </c>
      <c r="AH120" s="100" t="str">
        <f t="shared" si="49"/>
        <v>"%USERPROFILE%\Documents\GitHub\eaglep3\Utilities\RefineRTDCRunTimes.py" --tripid 207-24 --locoid 4042 --swversion DE.1.0.7.0 --startMP 204:464 --initTime 2016-09-24T16:57:11 --startdatetime 2016-09-24T17:00:16 --delay 1 --endMP 204:233314 --enddatetime 2016-09-24T17:46:02 --enforcementcount 0 &gt;&gt;C:\Users\stu\Documents\GitHub\eaglep3-reporting\EC\2016-09-24-refined-times.txt</v>
      </c>
      <c r="AI120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{"issue":{"subject":"","project_id":79,"tracker_id":40,"status_id":1,"priority_id":2,"assigned_to_id":23,"start_date":"2016-09-24","description":"","custom_fields":[{"id":1,"name":"Subdivision","value":"EC"},{"id":4,"name":"Milepost","value":"23.3314"},{"id":17,"name":"Train ID","value":"207-24"},{"id":16,"name":"Locomotive ID","value":"4042"},{"id":130,"name":"Impact","value":""},{"id":150,"name":"Time of Event (Mountain Time)","value":"17:46:02"},{"id":151,"name":"Denver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556</v>
      </c>
      <c r="B121" s="7">
        <v>4041</v>
      </c>
      <c r="C121" s="24" t="s">
        <v>106</v>
      </c>
      <c r="D121" s="24" t="s">
        <v>322</v>
      </c>
      <c r="E121" s="15">
        <v>42637.746423611112</v>
      </c>
      <c r="F121" s="15">
        <v>42637.748090277775</v>
      </c>
      <c r="G121" s="7">
        <v>1</v>
      </c>
      <c r="H121" s="15" t="s">
        <v>257</v>
      </c>
      <c r="I121" s="15">
        <v>42637.781990740739</v>
      </c>
      <c r="J121" s="7">
        <v>0</v>
      </c>
      <c r="K121" s="121" t="str">
        <f t="shared" si="55"/>
        <v>4041/4042</v>
      </c>
      <c r="L121" s="24" t="str">
        <f>VLOOKUP(A121,'Trips&amp;Operators'!$C$1:$E$10000,3,FALSE)</f>
        <v>SHOOK</v>
      </c>
      <c r="M121" s="6">
        <f t="shared" si="56"/>
        <v>3.3900462964083999E-2</v>
      </c>
      <c r="N121" s="7">
        <f>24*60*SUM($M121:$M121)</f>
        <v>48.816666668280959</v>
      </c>
      <c r="O121" s="7"/>
      <c r="P121" s="7"/>
      <c r="Q121" s="25"/>
      <c r="R121" s="25"/>
      <c r="S121" s="37">
        <f t="shared" si="66"/>
        <v>1</v>
      </c>
      <c r="T121" s="52" t="str">
        <f t="shared" si="57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16:54:51-0600',mode:absolute,to:'2016-09-24 19:46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1" s="54" t="str">
        <f t="shared" si="59"/>
        <v>N</v>
      </c>
      <c r="X121" s="168">
        <f t="shared" si="67"/>
        <v>1</v>
      </c>
      <c r="Y121" s="69">
        <f t="shared" si="68"/>
        <v>23.301100000000002</v>
      </c>
      <c r="Z121" s="69">
        <f t="shared" si="69"/>
        <v>1.4500000000000001E-2</v>
      </c>
      <c r="AA121" s="69">
        <f t="shared" si="60"/>
        <v>23.2866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61"/>
        <v>0208-24</v>
      </c>
      <c r="AE121" s="99" t="str">
        <f t="shared" si="62"/>
        <v>aws s3 cp s3://rtdc.mdm.uploadarchive/RTDC4041/2016-09-24/ "%USERPROFILE%\AppData\Local\Temp\OnboardLogs"\RTDC4041\2016-09-24 --recursive &amp; "%USERPROFILE%\Documents\GitHub\mrs-test-scripts\Headless Mode &amp; Sideloading\WalkAndUnGZ.bat" "%USERPROFILE%\AppData\Local\Temp\OnboardLogs"\RTDC4041\2016-09-24 &amp; 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</v>
      </c>
      <c r="AF121" s="96" t="str">
        <f t="shared" si="63"/>
        <v>"C:\Program Files (x86)\AstroGrep\AstroGrep.exe" /spath="%USERPROFILE%\AppData\Local\Temp\OnboardLogs" /stypes="app*4041*20160925*" /stext=" 00:.+((SYSTEM_STATE.+slice.+state.+changed )|(ment ac)|(system.+state.+changed )|(\|lc)|(penalty)|(\[timeout)|(PRM\|1\|D)|(kpr)|(kdp))" /e /r /s</v>
      </c>
      <c r="AG121" s="1" t="str">
        <f t="shared" si="64"/>
        <v>EC</v>
      </c>
      <c r="AH121" s="100" t="str">
        <f t="shared" si="49"/>
        <v>"%USERPROFILE%\Documents\GitHub\eaglep3\Utilities\RefineRTDCRunTimes.py" --tripid 208-24 --locoid 4041 --swversion DE.1.0.7.0 --startMP 204:233011 --initTime 2016-09-24T17:54:51 --startdatetime 2016-09-24T17:57:15 --delay 1 --endMP 204:145 --enddatetime 2016-09-24T18:46:04 --enforcementcount 0 &gt;&gt;C:\Users\stu\Documents\GitHub\eaglep3-reporting\EC\2016-09-24-refined-times.txt</v>
      </c>
      <c r="AI121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{"issue":{"subject":"","project_id":79,"tracker_id":40,"status_id":1,"priority_id":2,"assigned_to_id":23,"start_date":"2016-09-24","description":"","custom_fields":[{"id":1,"name":"Subdivision","value":"EC"},{"id":4,"name":"Milepost","value":"0.0145"},{"id":17,"name":"Train ID","value":"208-24"},{"id":16,"name":"Locomotive ID","value":"4041"},{"id":130,"name":"Impact","value":""},{"id":150,"name":"Time of Event (Mountain Time)","value":"18:46:04"},{"id":151,"name":"Denver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549</v>
      </c>
      <c r="B122" s="7">
        <v>4018</v>
      </c>
      <c r="C122" s="24" t="s">
        <v>106</v>
      </c>
      <c r="D122" s="24" t="s">
        <v>231</v>
      </c>
      <c r="E122" s="15">
        <v>42637.715208333335</v>
      </c>
      <c r="F122" s="15">
        <v>42637.718946759262</v>
      </c>
      <c r="G122" s="7">
        <v>1</v>
      </c>
      <c r="H122" s="15" t="s">
        <v>651</v>
      </c>
      <c r="I122" s="15">
        <v>42637.74527777778</v>
      </c>
      <c r="J122" s="7">
        <v>0</v>
      </c>
      <c r="K122" s="121" t="str">
        <f t="shared" si="55"/>
        <v>4017/4018</v>
      </c>
      <c r="L122" s="24" t="str">
        <f>VLOOKUP(A122,'Trips&amp;Operators'!$C$1:$E$10000,3,FALSE)</f>
        <v>BRUDER</v>
      </c>
      <c r="M122" s="6">
        <f t="shared" si="56"/>
        <v>2.6331018518249039E-2</v>
      </c>
      <c r="N122" s="7">
        <f>24*60*SUM($M122:$M122)</f>
        <v>37.916666666278616</v>
      </c>
      <c r="O122" s="7"/>
      <c r="P122" s="7"/>
      <c r="Q122" s="25"/>
      <c r="R122" s="25"/>
      <c r="S122" s="37">
        <f t="shared" si="66"/>
        <v>1</v>
      </c>
      <c r="T122" s="52" t="str">
        <f t="shared" si="57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16:09:54-0600',mode:absolute,to:'2016-09-24 18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2" s="54" t="str">
        <f t="shared" si="59"/>
        <v>N</v>
      </c>
      <c r="X122" s="168">
        <f>VALUE(LEFT(AD122,4))-VALUE(LEFT(AD121,4))</f>
        <v>1</v>
      </c>
      <c r="Y122" s="69">
        <f t="shared" si="68"/>
        <v>4.5999999999999999E-2</v>
      </c>
      <c r="Z122" s="69">
        <f t="shared" si="69"/>
        <v>23.3324</v>
      </c>
      <c r="AA122" s="69">
        <f t="shared" si="60"/>
        <v>23.2864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1"/>
        <v>0209-24</v>
      </c>
      <c r="AE122" s="99" t="str">
        <f t="shared" si="62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122" s="96" t="str">
        <f t="shared" si="63"/>
        <v>"C:\Program Files (x86)\AstroGrep\AstroGrep.exe" /spath="%USERPROFILE%\AppData\Local\Temp\OnboardLogs" /stypes="app*4018*20160924*" /stext=" 23:.+((SYSTEM_STATE.+slice.+state.+changed )|(ment ac)|(system.+state.+changed )|(\|lc)|(penalty)|(\[timeout)|(PRM\|1\|D)|(kpr)|(kdp))" /e /r /s</v>
      </c>
      <c r="AG122" s="1" t="str">
        <f t="shared" si="64"/>
        <v>EC</v>
      </c>
      <c r="AH122" s="100" t="str">
        <f t="shared" si="49"/>
        <v>"%USERPROFILE%\Documents\GitHub\eaglep3\Utilities\RefineRTDCRunTimes.py" --tripid 209-24 --locoid 4018 --swversion DE.1.0.7.0 --startMP 204:460 --initTime 2016-09-24T17:09:54 --startdatetime 2016-09-24T17:15:17 --delay 1 --endMP 204:233324 --enddatetime 2016-09-24T17:53:12 --enforcementcount 0 &gt;&gt;C:\Users\stu\Documents\GitHub\eaglep3-reporting\EC\2016-09-24-refined-times.txt</v>
      </c>
      <c r="AI122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{"issue":{"subject":"","project_id":79,"tracker_id":40,"status_id":1,"priority_id":2,"assigned_to_id":23,"start_date":"2016-09-24","description":"","custom_fields":[{"id":1,"name":"Subdivision","value":"EC"},{"id":4,"name":"Milepost","value":"23.3324"},{"id":17,"name":"Train ID","value":"209-24"},{"id":16,"name":"Locomotive ID","value":"4018"},{"id":130,"name":"Impact","value":""},{"id":150,"name":"Time of Event (Mountain Time)","value":"17:53:12"},{"id":151,"name":"Denver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559</v>
      </c>
      <c r="B123" s="7">
        <v>4017</v>
      </c>
      <c r="C123" s="24" t="s">
        <v>106</v>
      </c>
      <c r="D123" s="24" t="s">
        <v>417</v>
      </c>
      <c r="E123" s="15">
        <v>42637.751597222225</v>
      </c>
      <c r="F123" s="15">
        <v>42637.757824074077</v>
      </c>
      <c r="G123" s="7">
        <v>1</v>
      </c>
      <c r="H123" s="15" t="s">
        <v>222</v>
      </c>
      <c r="I123" s="15">
        <v>42637.788402777776</v>
      </c>
      <c r="J123" s="7">
        <v>0</v>
      </c>
      <c r="K123" s="121" t="str">
        <f t="shared" si="55"/>
        <v>4017/4018</v>
      </c>
      <c r="L123" s="24" t="str">
        <f>VLOOKUP(A123,'Trips&amp;Operators'!$C$1:$E$10000,3,FALSE)</f>
        <v>BRUDER</v>
      </c>
      <c r="M123" s="6">
        <f t="shared" si="56"/>
        <v>3.0578703699575271E-2</v>
      </c>
      <c r="N123" s="7">
        <f>24*60*SUM($M123:$M123)</f>
        <v>44.033333327388391</v>
      </c>
      <c r="O123" s="7"/>
      <c r="P123" s="7"/>
      <c r="Q123" s="25"/>
      <c r="R123" s="25"/>
      <c r="S123" s="37">
        <f t="shared" si="66"/>
        <v>1</v>
      </c>
      <c r="T123" s="52" t="str">
        <f t="shared" si="57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17:02:18-0600',mode:absolute,to:'2016-09-24 19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3" s="54" t="str">
        <f t="shared" si="59"/>
        <v>N</v>
      </c>
      <c r="X123" s="168">
        <f>VALUE(LEFT(AD123,4))-VALUE(LEFT(AD122,4))</f>
        <v>1</v>
      </c>
      <c r="Y123" s="69">
        <f t="shared" si="68"/>
        <v>23.2986</v>
      </c>
      <c r="Z123" s="69">
        <f t="shared" si="69"/>
        <v>1.52E-2</v>
      </c>
      <c r="AA123" s="69">
        <f t="shared" si="60"/>
        <v>23.2834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1"/>
        <v>0210-24</v>
      </c>
      <c r="AE123" s="99" t="str">
        <f t="shared" si="62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123" s="96" t="str">
        <f t="shared" si="63"/>
        <v>"C:\Program Files (x86)\AstroGrep\AstroGrep.exe" /spath="%USERPROFILE%\AppData\Local\Temp\OnboardLogs" /stypes="app*4017*20160925*" /stext=" 00:.+((SYSTEM_STATE.+slice.+state.+changed )|(ment ac)|(system.+state.+changed )|(\|lc)|(penalty)|(\[timeout)|(PRM\|1\|D)|(kpr)|(kdp))" /e /r /s</v>
      </c>
      <c r="AG123" s="1" t="str">
        <f t="shared" si="64"/>
        <v>EC</v>
      </c>
      <c r="AH123" s="100" t="str">
        <f t="shared" si="49"/>
        <v>"%USERPROFILE%\Documents\GitHub\eaglep3\Utilities\RefineRTDCRunTimes.py" --tripid 210-24 --locoid 4017 --swversion DE.1.0.7.0 --startMP 204:232986 --initTime 2016-09-24T18:02:18 --startdatetime 2016-09-24T18:11:16 --delay 1 --endMP 204:152 --enddatetime 2016-09-24T18:55:18 --enforcementcount 0 &gt;&gt;C:\Users\stu\Documents\GitHub\eaglep3-reporting\EC\2016-09-24-refined-times.txt</v>
      </c>
      <c r="AI123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{"issue":{"subject":"","project_id":79,"tracker_id":40,"status_id":1,"priority_id":2,"assigned_to_id":23,"start_date":"2016-09-24","description":"","custom_fields":[{"id":1,"name":"Subdivision","value":"EC"},{"id":4,"name":"Milepost","value":"0.0152"},{"id":17,"name":"Train ID","value":"210-24"},{"id":16,"name":"Locomotive ID","value":"4017"},{"id":130,"name":"Impact","value":""},{"id":150,"name":"Time of Event (Mountain Time)","value":"18:55:18"},{"id":151,"name":"Denver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553</v>
      </c>
      <c r="B124" s="7">
        <v>4009</v>
      </c>
      <c r="C124" s="24" t="s">
        <v>106</v>
      </c>
      <c r="D124" s="24" t="s">
        <v>231</v>
      </c>
      <c r="E124" s="15">
        <v>42637.72865740741</v>
      </c>
      <c r="F124" s="15">
        <v>42637.730671296296</v>
      </c>
      <c r="G124" s="7">
        <v>1</v>
      </c>
      <c r="H124" s="15" t="s">
        <v>652</v>
      </c>
      <c r="I124" s="15">
        <v>42637.759618055556</v>
      </c>
      <c r="J124" s="7">
        <v>0</v>
      </c>
      <c r="K124" s="121" t="str">
        <f t="shared" si="55"/>
        <v>4009/4010</v>
      </c>
      <c r="L124" s="24" t="str">
        <f>VLOOKUP(A124,'Trips&amp;Operators'!$C$1:$E$10000,3,FALSE)</f>
        <v>CLARK</v>
      </c>
      <c r="M124" s="6">
        <f t="shared" si="56"/>
        <v>2.8946759259270038E-2</v>
      </c>
      <c r="N124" s="7">
        <f>24*60*SUM($M124:$M124)</f>
        <v>41.683333333348855</v>
      </c>
      <c r="O124" s="7"/>
      <c r="P124" s="7"/>
      <c r="Q124" s="25"/>
      <c r="R124" s="25"/>
      <c r="S124" s="37">
        <f t="shared" si="66"/>
        <v>1</v>
      </c>
      <c r="T124" s="52" t="str">
        <f t="shared" si="57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16:29:16-0600',mode:absolute,to:'2016-09-24 19:13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4" s="54" t="str">
        <f t="shared" si="59"/>
        <v>N</v>
      </c>
      <c r="X124" s="168">
        <f t="shared" ref="X124:X130" si="70">VALUE(LEFT(AD124,4))-VALUE(LEFT(AD123,4))</f>
        <v>1</v>
      </c>
      <c r="Y124" s="69">
        <f t="shared" si="68"/>
        <v>4.5999999999999999E-2</v>
      </c>
      <c r="Z124" s="69">
        <f t="shared" si="69"/>
        <v>23.3263</v>
      </c>
      <c r="AA124" s="69">
        <f t="shared" si="60"/>
        <v>23.2803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1"/>
        <v>0211-24</v>
      </c>
      <c r="AE124" s="99" t="str">
        <f t="shared" si="62"/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AF124" s="96" t="str">
        <f t="shared" si="63"/>
        <v>"C:\Program Files (x86)\AstroGrep\AstroGrep.exe" /spath="%USERPROFILE%\AppData\Local\Temp\OnboardLogs" /stypes="app*4009*20160925*" /stext=" 00:.+((SYSTEM_STATE.+slice.+state.+changed )|(ment ac)|(system.+state.+changed )|(\|lc)|(penalty)|(\[timeout)|(PRM\|1\|D)|(kpr)|(kdp))" /e /r /s</v>
      </c>
      <c r="AG124" s="1" t="str">
        <f t="shared" si="64"/>
        <v>EC</v>
      </c>
      <c r="AH124" s="100" t="str">
        <f t="shared" si="49"/>
        <v>"%USERPROFILE%\Documents\GitHub\eaglep3\Utilities\RefineRTDCRunTimes.py" --tripid 211-24 --locoid 4009 --swversion DE.1.0.7.0 --startMP 204:460 --initTime 2016-09-24T17:29:16 --startdatetime 2016-09-24T17:32:10 --delay 1 --endMP 204:233263 --enddatetime 2016-09-24T18:13:51 --enforcementcount 0 &gt;&gt;C:\Users\stu\Documents\GitHub\eaglep3-reporting\EC\2016-09-24-refined-times.txt</v>
      </c>
      <c r="AI124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{"issue":{"subject":"","project_id":79,"tracker_id":40,"status_id":1,"priority_id":2,"assigned_to_id":23,"start_date":"2016-09-24","description":"","custom_fields":[{"id":1,"name":"Subdivision","value":"EC"},{"id":4,"name":"Milepost","value":"23.3263"},{"id":17,"name":"Train ID","value":"211-24"},{"id":16,"name":"Locomotive ID","value":"4009"},{"id":130,"name":"Impact","value":""},{"id":150,"name":"Time of Event (Mountain Time)","value":"18:13:51"},{"id":151,"name":"Denver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561</v>
      </c>
      <c r="B125" s="7">
        <v>4010</v>
      </c>
      <c r="C125" s="24" t="s">
        <v>106</v>
      </c>
      <c r="D125" s="24" t="s">
        <v>653</v>
      </c>
      <c r="E125" s="15">
        <v>42637.76357638889</v>
      </c>
      <c r="F125" s="15">
        <v>42637.768229166664</v>
      </c>
      <c r="G125" s="7">
        <v>1</v>
      </c>
      <c r="H125" s="15" t="s">
        <v>654</v>
      </c>
      <c r="I125" s="15">
        <v>42637.785254629627</v>
      </c>
      <c r="J125" s="7">
        <v>0</v>
      </c>
      <c r="K125" s="121" t="str">
        <f t="shared" si="55"/>
        <v>4009/4010</v>
      </c>
      <c r="L125" s="24" t="str">
        <f>VLOOKUP(A125,'Trips&amp;Operators'!$C$1:$E$10000,3,FALSE)</f>
        <v>CLARK</v>
      </c>
      <c r="M125" s="6">
        <f t="shared" si="56"/>
        <v>1.7025462962919846E-2</v>
      </c>
      <c r="N125" s="7"/>
      <c r="O125" s="7"/>
      <c r="P125" s="7">
        <f>24*60*SUM($M125:$M125)</f>
        <v>24.516666666604578</v>
      </c>
      <c r="Q125" s="25"/>
      <c r="R125" s="25" t="s">
        <v>685</v>
      </c>
      <c r="S125" s="37">
        <f t="shared" si="66"/>
        <v>0</v>
      </c>
      <c r="T125" s="52" t="str">
        <f t="shared" si="57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17:19:33-0600',mode:absolute,to:'2016-09-24 19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5" s="54" t="str">
        <f t="shared" si="59"/>
        <v>Y</v>
      </c>
      <c r="X125" s="168">
        <f t="shared" si="70"/>
        <v>1</v>
      </c>
      <c r="Y125" s="69">
        <f t="shared" si="68"/>
        <v>23.294699999999999</v>
      </c>
      <c r="Z125" s="69">
        <f t="shared" si="69"/>
        <v>11.066700000000001</v>
      </c>
      <c r="AA125" s="69">
        <f t="shared" si="60"/>
        <v>12.227999999999998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1"/>
        <v>0212-24</v>
      </c>
      <c r="AE125" s="99" t="str">
        <f t="shared" si="62"/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AF125" s="96" t="str">
        <f t="shared" si="63"/>
        <v>"C:\Program Files (x86)\AstroGrep\AstroGrep.exe" /spath="%USERPROFILE%\AppData\Local\Temp\OnboardLogs" /stypes="app*4010*20160925*" /stext=" 00:.+((SYSTEM_STATE.+slice.+state.+changed )|(ment ac)|(system.+state.+changed )|(\|lc)|(penalty)|(\[timeout)|(PRM\|1\|D)|(kpr)|(kdp))" /e /r /s</v>
      </c>
      <c r="AG125" s="1" t="str">
        <f t="shared" si="64"/>
        <v>EC</v>
      </c>
      <c r="AH125" s="100" t="str">
        <f t="shared" si="49"/>
        <v>"%USERPROFILE%\Documents\GitHub\eaglep3\Utilities\RefineRTDCRunTimes.py" --tripid 212-24 --locoid 4010 --swversion DE.1.0.7.0 --startMP 204:232947 --initTime 2016-09-24T18:19:33 --startdatetime 2016-09-24T18:26:15 --delay 1 --endMP 204:110667 --enddatetime 2016-09-24T18:50:46 --enforcementcount 0 &gt;&gt;C:\Users\stu\Documents\GitHub\eaglep3-reporting\EC\2016-09-24-refined-times.txt</v>
      </c>
      <c r="AI125" s="134" t="str">
        <f t="shared" si="50"/>
        <v>echo {"issue":{"subject":"Improper execution of Form C (phase break?)","project_id":79,"tracker_id":40,"status_id":1,"priority_id":2,"assigned_to_id":23,"start_date":"2016-09-24","description":"Train came to stop ~830 ft in advance of the Form C'd crossing and then cut out. Needed to pull within 500 ft. Only other explanation other than improper Form C handling is wanting to avoid a phase break","custom_fields":[{"id":1,"name":"Subdivision","value":"EC"},{"id":4,"name":"Milepost","value":"11.0667"},{"id":17,"name":"Train ID","value":"212-24"},{"id":16,"name":"Locomotive ID","value":"4010"},{"id":130,"name":"Impact","value":"Unexpected Cut-Out or Disengaged"},{"id":150,"name":"Time of Event (Mountain Time)","value":"18:50:46"},{"id":151,"name":"Denver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25" s="55" t="s">
        <v>686</v>
      </c>
      <c r="AK125" s="55" t="s">
        <v>144</v>
      </c>
      <c r="AL125" s="55" t="s">
        <v>156</v>
      </c>
    </row>
    <row r="126" spans="1:38" s="23" customFormat="1" x14ac:dyDescent="0.25">
      <c r="A126" s="39" t="s">
        <v>555</v>
      </c>
      <c r="B126" s="7">
        <v>4014</v>
      </c>
      <c r="C126" s="24" t="s">
        <v>106</v>
      </c>
      <c r="D126" s="24" t="s">
        <v>320</v>
      </c>
      <c r="E126" s="15">
        <v>42637.743171296293</v>
      </c>
      <c r="F126" s="15">
        <v>42637.744710648149</v>
      </c>
      <c r="G126" s="7">
        <v>1</v>
      </c>
      <c r="H126" s="15" t="s">
        <v>326</v>
      </c>
      <c r="I126" s="15">
        <v>42637.77171296296</v>
      </c>
      <c r="J126" s="7">
        <v>0</v>
      </c>
      <c r="K126" s="121" t="str">
        <f t="shared" si="55"/>
        <v>4013/4014</v>
      </c>
      <c r="L126" s="24" t="str">
        <f>VLOOKUP(A126,'Trips&amp;Operators'!$C$1:$E$10000,3,FALSE)</f>
        <v>NEWELL</v>
      </c>
      <c r="M126" s="6">
        <f t="shared" si="56"/>
        <v>2.700231481139781E-2</v>
      </c>
      <c r="N126" s="7">
        <f t="shared" ref="N126:N134" si="71">24*60*SUM($M126:$M126)</f>
        <v>38.883333328412846</v>
      </c>
      <c r="O126" s="7"/>
      <c r="P126" s="7"/>
      <c r="Q126" s="25"/>
      <c r="R126" s="25"/>
      <c r="S126" s="37">
        <f t="shared" si="66"/>
        <v>1</v>
      </c>
      <c r="T126" s="52" t="str">
        <f t="shared" si="57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16:50:10-0600',mode:absolute,to:'2016-09-24 19:31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6" s="54" t="str">
        <f t="shared" si="59"/>
        <v>N</v>
      </c>
      <c r="X126" s="168">
        <f t="shared" si="70"/>
        <v>1</v>
      </c>
      <c r="Y126" s="69">
        <f t="shared" si="68"/>
        <v>4.7500000000000001E-2</v>
      </c>
      <c r="Z126" s="69">
        <f t="shared" si="69"/>
        <v>23.332000000000001</v>
      </c>
      <c r="AA126" s="69">
        <f t="shared" si="60"/>
        <v>23.284500000000001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1"/>
        <v>0213-24</v>
      </c>
      <c r="AE126" s="99" t="str">
        <f t="shared" si="62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26" s="96" t="str">
        <f t="shared" si="63"/>
        <v>"C:\Program Files (x86)\AstroGrep\AstroGrep.exe" /spath="%USERPROFILE%\AppData\Local\Temp\OnboardLogs" /stypes="app*4014*20160925*" /stext=" 00:.+((SYSTEM_STATE.+slice.+state.+changed )|(ment ac)|(system.+state.+changed )|(\|lc)|(penalty)|(\[timeout)|(PRM\|1\|D)|(kpr)|(kdp))" /e /r /s</v>
      </c>
      <c r="AG126" s="1" t="str">
        <f t="shared" si="64"/>
        <v>EC</v>
      </c>
      <c r="AH126" s="100" t="str">
        <f t="shared" si="49"/>
        <v>"%USERPROFILE%\Documents\GitHub\eaglep3\Utilities\RefineRTDCRunTimes.py" --tripid 213-24 --locoid 4014 --swversion DE.1.0.7.0 --startMP 204:475 --initTime 2016-09-24T17:50:10 --startdatetime 2016-09-24T17:52:23 --delay 1 --endMP 204:233320 --enddatetime 2016-09-24T18:31:16 --enforcementcount 0 &gt;&gt;C:\Users\stu\Documents\GitHub\eaglep3-reporting\EC\2016-09-24-refined-times.txt</v>
      </c>
      <c r="AI126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{"issue":{"subject":"","project_id":79,"tracker_id":40,"status_id":1,"priority_id":2,"assigned_to_id":23,"start_date":"2016-09-24","description":"","custom_fields":[{"id":1,"name":"Subdivision","value":"EC"},{"id":4,"name":"Milepost","value":"23.332"},{"id":17,"name":"Train ID","value":"213-24"},{"id":16,"name":"Locomotive ID","value":"4014"},{"id":130,"name":"Impact","value":""},{"id":150,"name":"Time of Event (Mountain Time)","value":"18:31:16"},{"id":151,"name":"Denver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564</v>
      </c>
      <c r="B127" s="7">
        <v>4013</v>
      </c>
      <c r="C127" s="24" t="s">
        <v>106</v>
      </c>
      <c r="D127" s="24" t="s">
        <v>417</v>
      </c>
      <c r="E127" s="15">
        <v>42637.77542824074</v>
      </c>
      <c r="F127" s="15">
        <v>42637.778761574074</v>
      </c>
      <c r="G127" s="7">
        <v>1</v>
      </c>
      <c r="H127" s="15" t="s">
        <v>610</v>
      </c>
      <c r="I127" s="15">
        <v>42637.808495370373</v>
      </c>
      <c r="J127" s="7">
        <v>0</v>
      </c>
      <c r="K127" s="121" t="str">
        <f t="shared" si="55"/>
        <v>4013/4014</v>
      </c>
      <c r="L127" s="24" t="str">
        <f>VLOOKUP(A127,'Trips&amp;Operators'!$C$1:$E$10000,3,FALSE)</f>
        <v>NEWELL</v>
      </c>
      <c r="M127" s="6">
        <f t="shared" si="56"/>
        <v>2.973379629838746E-2</v>
      </c>
      <c r="N127" s="7">
        <f t="shared" si="71"/>
        <v>42.816666669677943</v>
      </c>
      <c r="O127" s="7"/>
      <c r="P127" s="7"/>
      <c r="Q127" s="25"/>
      <c r="R127" s="25"/>
      <c r="S127" s="37">
        <f t="shared" si="66"/>
        <v>1</v>
      </c>
      <c r="T127" s="52" t="str">
        <f t="shared" si="57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17:36:37-0600',mode:absolute,to:'2016-09-24 20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7" s="54" t="str">
        <f t="shared" si="59"/>
        <v>N</v>
      </c>
      <c r="X127" s="168">
        <f t="shared" si="70"/>
        <v>1</v>
      </c>
      <c r="Y127" s="69">
        <f t="shared" si="68"/>
        <v>23.2986</v>
      </c>
      <c r="Z127" s="69">
        <f t="shared" si="69"/>
        <v>1.7000000000000001E-2</v>
      </c>
      <c r="AA127" s="69">
        <f t="shared" si="60"/>
        <v>23.281600000000001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1"/>
        <v>0214-24</v>
      </c>
      <c r="AE127" s="99" t="str">
        <f t="shared" si="62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127" s="96" t="str">
        <f t="shared" si="63"/>
        <v>"C:\Program Files (x86)\AstroGrep\AstroGrep.exe" /spath="%USERPROFILE%\AppData\Local\Temp\OnboardLogs" /stypes="app*4013*20160925*" /stext=" 01:.+((SYSTEM_STATE.+slice.+state.+changed )|(ment ac)|(system.+state.+changed )|(\|lc)|(penalty)|(\[timeout)|(PRM\|1\|D)|(kpr)|(kdp))" /e /r /s</v>
      </c>
      <c r="AG127" s="1" t="str">
        <f t="shared" si="64"/>
        <v>EC</v>
      </c>
      <c r="AH127" s="100" t="str">
        <f t="shared" si="49"/>
        <v>"%USERPROFILE%\Documents\GitHub\eaglep3\Utilities\RefineRTDCRunTimes.py" --tripid 214-24 --locoid 4013 --swversion DE.1.0.7.0 --startMP 204:232986 --initTime 2016-09-24T18:36:37 --startdatetime 2016-09-24T18:41:25 --delay 1 --endMP 204:170 --enddatetime 2016-09-24T19:24:14 --enforcementcount 0 &gt;&gt;C:\Users\stu\Documents\GitHub\eaglep3-reporting\EC\2016-09-24-refined-times.txt</v>
      </c>
      <c r="AI127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{"issue":{"subject":"","project_id":79,"tracker_id":40,"status_id":1,"priority_id":2,"assigned_to_id":23,"start_date":"2016-09-24","description":"","custom_fields":[{"id":1,"name":"Subdivision","value":"EC"},{"id":4,"name":"Milepost","value":"0.017"},{"id":17,"name":"Train ID","value":"214-24"},{"id":16,"name":"Locomotive ID","value":"4013"},{"id":130,"name":"Impact","value":""},{"id":150,"name":"Time of Event (Mountain Time)","value":"19:24:14"},{"id":151,"name":"Denver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557</v>
      </c>
      <c r="B128" s="7">
        <v>4046</v>
      </c>
      <c r="C128" s="24" t="s">
        <v>106</v>
      </c>
      <c r="D128" s="24" t="s">
        <v>636</v>
      </c>
      <c r="E128" s="15">
        <v>42637.750671296293</v>
      </c>
      <c r="F128" s="15">
        <v>42637.752754629626</v>
      </c>
      <c r="G128" s="7">
        <v>1</v>
      </c>
      <c r="H128" s="15" t="s">
        <v>420</v>
      </c>
      <c r="I128" s="15">
        <v>42637.783541666664</v>
      </c>
      <c r="J128" s="7">
        <v>0</v>
      </c>
      <c r="K128" s="121" t="str">
        <f t="shared" si="55"/>
        <v>4045/4046</v>
      </c>
      <c r="L128" s="24" t="str">
        <f>VLOOKUP(A128,'Trips&amp;Operators'!$C$1:$E$10000,3,FALSE)</f>
        <v>STORY</v>
      </c>
      <c r="M128" s="6">
        <f t="shared" si="56"/>
        <v>3.0787037037953269E-2</v>
      </c>
      <c r="N128" s="7">
        <f t="shared" si="71"/>
        <v>44.333333334652707</v>
      </c>
      <c r="O128" s="7"/>
      <c r="P128" s="7"/>
      <c r="Q128" s="25"/>
      <c r="R128" s="25"/>
      <c r="S128" s="37">
        <f t="shared" si="66"/>
        <v>1</v>
      </c>
      <c r="T128" s="52" t="str">
        <f t="shared" si="57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17:00:58-0600',mode:absolute,to:'2016-09-24 19:48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8" s="54" t="str">
        <f t="shared" si="59"/>
        <v>N</v>
      </c>
      <c r="X128" s="168">
        <f t="shared" si="70"/>
        <v>1</v>
      </c>
      <c r="Y128" s="69">
        <f t="shared" si="68"/>
        <v>4.4900000000000002E-2</v>
      </c>
      <c r="Z128" s="69">
        <f t="shared" si="69"/>
        <v>23.3323</v>
      </c>
      <c r="AA128" s="69">
        <f t="shared" si="60"/>
        <v>23.287400000000002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1"/>
        <v>0215-24</v>
      </c>
      <c r="AE128" s="99" t="str">
        <f t="shared" si="62"/>
        <v>aws s3 cp s3://rtdc.mdm.uploadarchive/RTDC4046/2016-09-24/ "%USERPROFILE%\AppData\Local\Temp\OnboardLogs"\RTDC4046\2016-09-24 --recursive &amp; "%USERPROFILE%\Documents\GitHub\mrs-test-scripts\Headless Mode &amp; Sideloading\WalkAndUnGZ.bat" "%USERPROFILE%\AppData\Local\Temp\OnboardLogs"\RTDC4046\2016-09-24 &amp; aws s3 cp s3://rtdc.mdm.uploadarchive/RTDC4046/2016-09-25/ "%USERPROFILE%\AppData\Local\Temp\OnboardLogs"\RTDC4046\2016-09-25 --recursive &amp; "%USERPROFILE%\Documents\GitHub\mrs-test-scripts\Headless Mode &amp; Sideloading\WalkAndUnGZ.bat" "%USERPROFILE%\AppData\Local\Temp\OnboardLogs"\RTDC4046\2016-09-25</v>
      </c>
      <c r="AF128" s="96" t="str">
        <f t="shared" si="63"/>
        <v>"C:\Program Files (x86)\AstroGrep\AstroGrep.exe" /spath="%USERPROFILE%\AppData\Local\Temp\OnboardLogs" /stypes="app*4046*20160925*" /stext=" 00:.+((SYSTEM_STATE.+slice.+state.+changed )|(ment ac)|(system.+state.+changed )|(\|lc)|(penalty)|(\[timeout)|(PRM\|1\|D)|(kpr)|(kdp))" /e /r /s</v>
      </c>
      <c r="AG128" s="1" t="str">
        <f t="shared" si="64"/>
        <v>EC</v>
      </c>
      <c r="AH128" s="100" t="str">
        <f t="shared" si="49"/>
        <v>"%USERPROFILE%\Documents\GitHub\eaglep3\Utilities\RefineRTDCRunTimes.py" --tripid 215-24 --locoid 4046 --swversion DE.1.0.7.0 --startMP 204:449 --initTime 2016-09-24T18:00:58 --startdatetime 2016-09-24T18:03:58 --delay 1 --endMP 204:233323 --enddatetime 2016-09-24T18:48:18 --enforcementcount 0 &gt;&gt;C:\Users\stu\Documents\GitHub\eaglep3-reporting\EC\2016-09-24-refined-times.txt</v>
      </c>
      <c r="AI128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{"issue":{"subject":"","project_id":79,"tracker_id":40,"status_id":1,"priority_id":2,"assigned_to_id":23,"start_date":"2016-09-24","description":"","custom_fields":[{"id":1,"name":"Subdivision","value":"EC"},{"id":4,"name":"Milepost","value":"23.3323"},{"id":17,"name":"Train ID","value":"215-24"},{"id":16,"name":"Locomotive ID","value":"4046"},{"id":130,"name":"Impact","value":""},{"id":150,"name":"Time of Event (Mountain Time)","value":"18:48:18"},{"id":151,"name":"Denver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460</v>
      </c>
      <c r="B129" s="7">
        <v>4045</v>
      </c>
      <c r="C129" s="24" t="s">
        <v>106</v>
      </c>
      <c r="D129" s="24" t="s">
        <v>287</v>
      </c>
      <c r="E129" s="15">
        <v>42637.785046296296</v>
      </c>
      <c r="F129" s="15">
        <v>42637.789166666669</v>
      </c>
      <c r="G129" s="7">
        <v>5</v>
      </c>
      <c r="H129" s="15" t="s">
        <v>127</v>
      </c>
      <c r="I129" s="15">
        <v>42637.818773148145</v>
      </c>
      <c r="J129" s="7">
        <v>0</v>
      </c>
      <c r="K129" s="121" t="str">
        <f t="shared" si="55"/>
        <v>4045/4046</v>
      </c>
      <c r="L129" s="24" t="str">
        <f>VLOOKUP(A129,'Trips&amp;Operators'!$C$1:$E$10000,3,FALSE)</f>
        <v>STORY</v>
      </c>
      <c r="M129" s="6">
        <f t="shared" si="56"/>
        <v>2.9606481475639157E-2</v>
      </c>
      <c r="N129" s="7">
        <f t="shared" si="71"/>
        <v>42.633333324920386</v>
      </c>
      <c r="O129" s="7"/>
      <c r="P129" s="7"/>
      <c r="Q129" s="25"/>
      <c r="R129" s="25"/>
      <c r="S129" s="37">
        <f t="shared" si="66"/>
        <v>1</v>
      </c>
      <c r="T129" s="52" t="str">
        <f t="shared" si="57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17:50:28-0600',mode:absolute,to:'2016-09-24 20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9" s="54" t="str">
        <f t="shared" si="59"/>
        <v>N</v>
      </c>
      <c r="X129" s="168">
        <f t="shared" si="70"/>
        <v>1</v>
      </c>
      <c r="Y129" s="69">
        <f t="shared" si="68"/>
        <v>23.299099999999999</v>
      </c>
      <c r="Z129" s="69">
        <f t="shared" si="69"/>
        <v>1.54E-2</v>
      </c>
      <c r="AA129" s="69">
        <f t="shared" si="60"/>
        <v>23.2837</v>
      </c>
      <c r="AB129" s="66" t="str">
        <f>VLOOKUP(A129,Enforcements!$C$7:$K$20,8,0)</f>
        <v>Speed (6)</v>
      </c>
      <c r="AC129" s="62" t="str">
        <f>VLOOKUP(A129,Enforcements!$C$7:$E$20,3,0)</f>
        <v>PERMANENT SPEED RESTRICTION</v>
      </c>
      <c r="AD129" s="63" t="str">
        <f t="shared" si="61"/>
        <v>0216-24</v>
      </c>
      <c r="AE129" s="99" t="str">
        <f t="shared" si="62"/>
        <v>aws s3 cp s3://rtdc.mdm.uploadarchive/RTDC4045/2016-09-24/ "%USERPROFILE%\AppData\Local\Temp\OnboardLogs"\RTDC4045\2016-09-24 --recursive &amp; "%USERPROFILE%\Documents\GitHub\mrs-test-scripts\Headless Mode &amp; Sideloading\WalkAndUnGZ.bat" "%USERPROFILE%\AppData\Local\Temp\OnboardLogs"\RTDC4045\2016-09-24 &amp; aws s3 cp s3://rtdc.mdm.uploadarchive/RTDC4045/2016-09-25/ "%USERPROFILE%\AppData\Local\Temp\OnboardLogs"\RTDC4045\2016-09-25 --recursive &amp; "%USERPROFILE%\Documents\GitHub\mrs-test-scripts\Headless Mode &amp; Sideloading\WalkAndUnGZ.bat" "%USERPROFILE%\AppData\Local\Temp\OnboardLogs"\RTDC4045\2016-09-25</v>
      </c>
      <c r="AF129" s="96" t="str">
        <f t="shared" si="63"/>
        <v>"C:\Program Files (x86)\AstroGrep\AstroGrep.exe" /spath="%USERPROFILE%\AppData\Local\Temp\OnboardLogs" /stypes="app*4045*20160925*" /stext=" 01:.+((SYSTEM_STATE.+slice.+state.+changed )|(ment ac)|(system.+state.+changed )|(\|lc)|(penalty)|(\[timeout)|(PRM\|1\|D)|(kpr)|(kdp))" /e /r /s</v>
      </c>
      <c r="AG129" s="1" t="str">
        <f t="shared" si="64"/>
        <v>EC</v>
      </c>
      <c r="AH129" s="100" t="str">
        <f t="shared" si="49"/>
        <v>"%USERPROFILE%\Documents\GitHub\eaglep3\Utilities\RefineRTDCRunTimes.py" --tripid 216-24 --locoid 4045 --swversion DE.1.0.7.0 --startMP 204:232991 --initTime 2016-09-24T18:50:28 --startdatetime 2016-09-24T18:56:24 --delay 5 --endMP 204:154 --enddatetime 2016-09-24T19:39:02 --enforcementcount 0 &gt;&gt;C:\Users\stu\Documents\GitHub\eaglep3-reporting\EC\2016-09-24-refined-times.txt</v>
      </c>
      <c r="AI129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{"issue":{"subject":"","project_id":79,"tracker_id":40,"status_id":1,"priority_id":2,"assigned_to_id":23,"start_date":"2016-09-24","description":"","custom_fields":[{"id":1,"name":"Subdivision","value":"EC"},{"id":4,"name":"Milepost","value":"0.0154"},{"id":17,"name":"Train ID","value":"216-24"},{"id":16,"name":"Locomotive ID","value":"4045"},{"id":130,"name":"Impact","value":""},{"id":150,"name":"Time of Event (Mountain Time)","value":"19:39:02"},{"id":151,"name":"Denver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560</v>
      </c>
      <c r="B130" s="7">
        <v>4053</v>
      </c>
      <c r="C130" s="24" t="s">
        <v>106</v>
      </c>
      <c r="D130" s="24" t="s">
        <v>655</v>
      </c>
      <c r="E130" s="15">
        <v>42637.760451388887</v>
      </c>
      <c r="F130" s="15">
        <v>42637.761550925927</v>
      </c>
      <c r="G130" s="7">
        <v>1</v>
      </c>
      <c r="H130" s="15" t="s">
        <v>285</v>
      </c>
      <c r="I130" s="15">
        <v>42637.791909722226</v>
      </c>
      <c r="J130" s="7">
        <v>0</v>
      </c>
      <c r="K130" s="121" t="str">
        <f t="shared" si="55"/>
        <v>4053/4054</v>
      </c>
      <c r="L130" s="24" t="str">
        <f>VLOOKUP(A130,'Trips&amp;Operators'!$C$1:$E$10000,3,FALSE)</f>
        <v>CHANDLER</v>
      </c>
      <c r="M130" s="6">
        <f t="shared" si="56"/>
        <v>3.0358796298969537E-2</v>
      </c>
      <c r="N130" s="7">
        <f t="shared" si="71"/>
        <v>43.716666670516133</v>
      </c>
      <c r="O130" s="7"/>
      <c r="P130" s="7"/>
      <c r="Q130" s="25"/>
      <c r="R130" s="25"/>
      <c r="S130" s="37">
        <f t="shared" si="66"/>
        <v>1</v>
      </c>
      <c r="T130" s="52" t="str">
        <f t="shared" si="57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17:15:03-0600',mode:absolute,to:'2016-09-24 20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0" s="54" t="str">
        <f t="shared" si="59"/>
        <v>N</v>
      </c>
      <c r="X130" s="168">
        <f t="shared" si="70"/>
        <v>1</v>
      </c>
      <c r="Y130" s="69">
        <f t="shared" si="68"/>
        <v>4.8000000000000001E-2</v>
      </c>
      <c r="Z130" s="69">
        <f t="shared" si="69"/>
        <v>23.328800000000001</v>
      </c>
      <c r="AA130" s="69">
        <f t="shared" si="60"/>
        <v>23.280800000000003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1"/>
        <v>0217-24</v>
      </c>
      <c r="AE130" s="99" t="str">
        <f t="shared" si="62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130" s="96" t="str">
        <f t="shared" si="63"/>
        <v>"C:\Program Files (x86)\AstroGrep\AstroGrep.exe" /spath="%USERPROFILE%\AppData\Local\Temp\OnboardLogs" /stypes="app*4053*20160925*" /stext=" 01:.+((SYSTEM_STATE.+slice.+state.+changed )|(ment ac)|(system.+state.+changed )|(\|lc)|(penalty)|(\[timeout)|(PRM\|1\|D)|(kpr)|(kdp))" /e /r /s</v>
      </c>
      <c r="AG130" s="1" t="str">
        <f t="shared" si="64"/>
        <v>EC</v>
      </c>
      <c r="AH130" s="100" t="str">
        <f t="shared" si="49"/>
        <v>"%USERPROFILE%\Documents\GitHub\eaglep3\Utilities\RefineRTDCRunTimes.py" --tripid 217-24 --locoid 4053 --swversion DE.1.0.7.0 --startMP 204:480 --initTime 2016-09-24T18:15:03 --startdatetime 2016-09-24T18:16:38 --delay 1 --endMP 204:233288 --enddatetime 2016-09-24T19:00:21 --enforcementcount 0 &gt;&gt;C:\Users\stu\Documents\GitHub\eaglep3-reporting\EC\2016-09-24-refined-times.txt</v>
      </c>
      <c r="AI130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{"issue":{"subject":"","project_id":79,"tracker_id":40,"status_id":1,"priority_id":2,"assigned_to_id":23,"start_date":"2016-09-24","description":"","custom_fields":[{"id":1,"name":"Subdivision","value":"EC"},{"id":4,"name":"Milepost","value":"23.3288"},{"id":17,"name":"Train ID","value":"217-24"},{"id":16,"name":"Locomotive ID","value":"4053"},{"id":130,"name":"Impact","value":""},{"id":150,"name":"Time of Event (Mountain Time)","value":"19:00:21"},{"id":151,"name":"Denver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568</v>
      </c>
      <c r="B131" s="7">
        <v>4054</v>
      </c>
      <c r="C131" s="24" t="s">
        <v>106</v>
      </c>
      <c r="D131" s="24" t="s">
        <v>656</v>
      </c>
      <c r="E131" s="15">
        <v>42637.798622685186</v>
      </c>
      <c r="F131" s="15">
        <v>42637.799803240741</v>
      </c>
      <c r="G131" s="7">
        <v>1</v>
      </c>
      <c r="H131" s="15" t="s">
        <v>127</v>
      </c>
      <c r="I131" s="15">
        <v>42637.835381944446</v>
      </c>
      <c r="J131" s="7">
        <v>0</v>
      </c>
      <c r="K131" s="121" t="str">
        <f t="shared" si="55"/>
        <v>4053/4054</v>
      </c>
      <c r="L131" s="24" t="str">
        <f>VLOOKUP(A131,'Trips&amp;Operators'!$C$1:$E$10000,3,FALSE)</f>
        <v>CHANDLER</v>
      </c>
      <c r="M131" s="6">
        <f t="shared" si="56"/>
        <v>3.5578703704231884E-2</v>
      </c>
      <c r="N131" s="7">
        <f t="shared" si="71"/>
        <v>51.233333334093913</v>
      </c>
      <c r="O131" s="7"/>
      <c r="P131" s="7"/>
      <c r="Q131" s="25"/>
      <c r="R131" s="25"/>
      <c r="S131" s="37">
        <f t="shared" si="66"/>
        <v>1</v>
      </c>
      <c r="T131" s="52" t="str">
        <f t="shared" si="57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18:10:01-0600',mode:absolute,to:'2016-09-24 21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1" s="54" t="str">
        <f t="shared" si="59"/>
        <v>N</v>
      </c>
      <c r="X131" s="168">
        <f t="shared" ref="X131:X158" si="72">VALUE(LEFT(AD131,4))-VALUE(LEFT(AD130,4))</f>
        <v>1</v>
      </c>
      <c r="Y131" s="69">
        <f t="shared" si="68"/>
        <v>23.297999999999998</v>
      </c>
      <c r="Z131" s="69">
        <f t="shared" si="69"/>
        <v>1.54E-2</v>
      </c>
      <c r="AA131" s="69">
        <f t="shared" si="60"/>
        <v>23.282599999999999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61"/>
        <v>0218-24</v>
      </c>
      <c r="AE131" s="99" t="str">
        <f t="shared" si="62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131" s="96" t="str">
        <f t="shared" si="63"/>
        <v>"C:\Program Files (x86)\AstroGrep\AstroGrep.exe" /spath="%USERPROFILE%\AppData\Local\Temp\OnboardLogs" /stypes="app*4054*20160925*" /stext=" 02:.+((SYSTEM_STATE.+slice.+state.+changed )|(ment ac)|(system.+state.+changed )|(\|lc)|(penalty)|(\[timeout)|(PRM\|1\|D)|(kpr)|(kdp))" /e /r /s</v>
      </c>
      <c r="AG131" s="1" t="str">
        <f t="shared" si="64"/>
        <v>EC</v>
      </c>
      <c r="AH131" s="100" t="str">
        <f t="shared" si="49"/>
        <v>"%USERPROFILE%\Documents\GitHub\eaglep3\Utilities\RefineRTDCRunTimes.py" --tripid 218-24 --locoid 4054 --swversion DE.1.0.7.0 --startMP 204:232980 --initTime 2016-09-24T19:10:01 --startdatetime 2016-09-24T19:11:43 --delay 1 --endMP 204:154 --enddatetime 2016-09-24T20:02:57 --enforcementcount 0 &gt;&gt;C:\Users\stu\Documents\GitHub\eaglep3-reporting\EC\2016-09-24-refined-times.txt</v>
      </c>
      <c r="AI131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{"issue":{"subject":"","project_id":79,"tracker_id":40,"status_id":1,"priority_id":2,"assigned_to_id":23,"start_date":"2016-09-24","description":"","custom_fields":[{"id":1,"name":"Subdivision","value":"EC"},{"id":4,"name":"Milepost","value":"0.0154"},{"id":17,"name":"Train ID","value":"218-24"},{"id":16,"name":"Locomotive ID","value":"4054"},{"id":130,"name":"Impact","value":""},{"id":150,"name":"Time of Event (Mountain Time)","value":"20:02:57"},{"id":151,"name":"Denver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563</v>
      </c>
      <c r="B132" s="7">
        <v>4007</v>
      </c>
      <c r="C132" s="24" t="s">
        <v>106</v>
      </c>
      <c r="D132" s="24" t="s">
        <v>230</v>
      </c>
      <c r="E132" s="15">
        <v>42637.774548611109</v>
      </c>
      <c r="F132" s="15">
        <v>42637.776828703703</v>
      </c>
      <c r="G132" s="7">
        <v>3</v>
      </c>
      <c r="H132" s="15" t="s">
        <v>409</v>
      </c>
      <c r="I132" s="15">
        <v>42637.805069444446</v>
      </c>
      <c r="J132" s="7">
        <v>0</v>
      </c>
      <c r="K132" s="121" t="str">
        <f t="shared" si="55"/>
        <v>4007/4008</v>
      </c>
      <c r="L132" s="24" t="str">
        <f>VLOOKUP(A132,'Trips&amp;Operators'!$C$1:$E$10000,3,FALSE)</f>
        <v>STURGEON</v>
      </c>
      <c r="M132" s="6">
        <f t="shared" si="56"/>
        <v>2.8240740743058268E-2</v>
      </c>
      <c r="N132" s="7">
        <f t="shared" si="71"/>
        <v>40.666666670003906</v>
      </c>
      <c r="O132" s="7"/>
      <c r="P132" s="7"/>
      <c r="Q132" s="25"/>
      <c r="R132" s="25"/>
      <c r="S132" s="37">
        <f t="shared" si="66"/>
        <v>1</v>
      </c>
      <c r="T132" s="52" t="str">
        <f t="shared" si="57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17:35:21-0600',mode:absolute,to:'2016-09-24 20:19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32" s="54" t="str">
        <f t="shared" si="59"/>
        <v>N</v>
      </c>
      <c r="X132" s="168">
        <f t="shared" si="72"/>
        <v>1</v>
      </c>
      <c r="Y132" s="69">
        <f t="shared" si="68"/>
        <v>4.6699999999999998E-2</v>
      </c>
      <c r="Z132" s="69">
        <f t="shared" si="69"/>
        <v>23.328099999999999</v>
      </c>
      <c r="AA132" s="69">
        <f t="shared" si="60"/>
        <v>23.281399999999998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61"/>
        <v>0219-24</v>
      </c>
      <c r="AE132" s="99" t="str">
        <f t="shared" si="62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132" s="96" t="str">
        <f t="shared" si="63"/>
        <v>"C:\Program Files (x86)\AstroGrep\AstroGrep.exe" /spath="%USERPROFILE%\AppData\Local\Temp\OnboardLogs" /stypes="app*4007*20160925*" /stext=" 01:.+((SYSTEM_STATE.+slice.+state.+changed )|(ment ac)|(system.+state.+changed )|(\|lc)|(penalty)|(\[timeout)|(PRM\|1\|D)|(kpr)|(kdp))" /e /r /s</v>
      </c>
      <c r="AG132" s="1" t="str">
        <f t="shared" si="64"/>
        <v>EC</v>
      </c>
      <c r="AH132" s="100" t="str">
        <f t="shared" si="49"/>
        <v>"%USERPROFILE%\Documents\GitHub\eaglep3\Utilities\RefineRTDCRunTimes.py" --tripid 219-24 --locoid 4007 --swversion DE.1.0.7.0 --startMP 204:467 --initTime 2016-09-24T18:35:21 --startdatetime 2016-09-24T18:38:38 --delay 3 --endMP 204:233281 --enddatetime 2016-09-24T19:19:18 --enforcementcount 0 &gt;&gt;C:\Users\stu\Documents\GitHub\eaglep3-reporting\EC\2016-09-24-refined-times.txt</v>
      </c>
      <c r="AI132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{"issue":{"subject":"","project_id":79,"tracker_id":40,"status_id":1,"priority_id":2,"assigned_to_id":23,"start_date":"2016-09-24","description":"","custom_fields":[{"id":1,"name":"Subdivision","value":"EC"},{"id":4,"name":"Milepost","value":"23.3281"},{"id":17,"name":"Train ID","value":"219-24"},{"id":16,"name":"Locomotive ID","value":"4007"},{"id":130,"name":"Impact","value":""},{"id":150,"name":"Time of Event (Mountain Time)","value":"19:19:18"},{"id":151,"name":"Denver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569</v>
      </c>
      <c r="B133" s="7">
        <v>4008</v>
      </c>
      <c r="C133" s="24" t="s">
        <v>106</v>
      </c>
      <c r="D133" s="24" t="s">
        <v>262</v>
      </c>
      <c r="E133" s="15">
        <v>42637.806655092594</v>
      </c>
      <c r="F133" s="15">
        <v>42637.810185185182</v>
      </c>
      <c r="G133" s="7">
        <v>1</v>
      </c>
      <c r="H133" s="15" t="s">
        <v>220</v>
      </c>
      <c r="I133" s="15">
        <v>42637.840428240743</v>
      </c>
      <c r="J133" s="7">
        <v>0</v>
      </c>
      <c r="K133" s="121" t="str">
        <f t="shared" si="55"/>
        <v>4007/4008</v>
      </c>
      <c r="L133" s="24" t="str">
        <f>VLOOKUP(A133,'Trips&amp;Operators'!$C$1:$E$10000,3,FALSE)</f>
        <v>STURGEON</v>
      </c>
      <c r="M133" s="6">
        <f t="shared" si="56"/>
        <v>3.0243055560276844E-2</v>
      </c>
      <c r="N133" s="7">
        <f t="shared" si="71"/>
        <v>43.550000006798655</v>
      </c>
      <c r="O133" s="7"/>
      <c r="P133" s="7"/>
      <c r="Q133" s="25"/>
      <c r="R133" s="25"/>
      <c r="S133" s="37">
        <f t="shared" si="66"/>
        <v>1</v>
      </c>
      <c r="T133" s="52" t="str">
        <f t="shared" si="57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18:21:35-0600',mode:absolute,to:'2016-09-24 21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33" s="54" t="str">
        <f t="shared" si="59"/>
        <v>N</v>
      </c>
      <c r="X133" s="168">
        <f t="shared" si="72"/>
        <v>1</v>
      </c>
      <c r="Y133" s="69">
        <f t="shared" si="68"/>
        <v>23.298100000000002</v>
      </c>
      <c r="Z133" s="69">
        <f t="shared" si="69"/>
        <v>1.4999999999999999E-2</v>
      </c>
      <c r="AA133" s="69">
        <f t="shared" si="60"/>
        <v>23.283100000000001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61"/>
        <v>0220-24</v>
      </c>
      <c r="AE133" s="99" t="str">
        <f t="shared" si="62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133" s="96" t="str">
        <f t="shared" si="63"/>
        <v>"C:\Program Files (x86)\AstroGrep\AstroGrep.exe" /spath="%USERPROFILE%\AppData\Local\Temp\OnboardLogs" /stypes="app*4008*20160925*" /stext=" 02:.+((SYSTEM_STATE.+slice.+state.+changed )|(ment ac)|(system.+state.+changed )|(\|lc)|(penalty)|(\[timeout)|(PRM\|1\|D)|(kpr)|(kdp))" /e /r /s</v>
      </c>
      <c r="AG133" s="1" t="str">
        <f t="shared" si="64"/>
        <v>EC</v>
      </c>
      <c r="AH133" s="100" t="str">
        <f t="shared" si="49"/>
        <v>"%USERPROFILE%\Documents\GitHub\eaglep3\Utilities\RefineRTDCRunTimes.py" --tripid 220-24 --locoid 4008 --swversion DE.1.0.7.0 --startMP 204:232981 --initTime 2016-09-24T19:21:35 --startdatetime 2016-09-24T19:26:40 --delay 1 --endMP 204:150 --enddatetime 2016-09-24T20:10:13 --enforcementcount 0 &gt;&gt;C:\Users\stu\Documents\GitHub\eaglep3-reporting\EC\2016-09-24-refined-times.txt</v>
      </c>
      <c r="AI133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{"issue":{"subject":"","project_id":79,"tracker_id":40,"status_id":1,"priority_id":2,"assigned_to_id":23,"start_date":"2016-09-24","description":"","custom_fields":[{"id":1,"name":"Subdivision","value":"EC"},{"id":4,"name":"Milepost","value":"0.015"},{"id":17,"name":"Train ID","value":"220-24"},{"id":16,"name":"Locomotive ID","value":"4008"},{"id":130,"name":"Impact","value":""},{"id":150,"name":"Time of Event (Mountain Time)","value":"20:10:13"},{"id":151,"name":"Denver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459</v>
      </c>
      <c r="B134" s="7">
        <v>4018</v>
      </c>
      <c r="C134" s="24" t="s">
        <v>106</v>
      </c>
      <c r="D134" s="24" t="s">
        <v>237</v>
      </c>
      <c r="E134" s="15">
        <v>42637.79042824074</v>
      </c>
      <c r="F134" s="15">
        <v>42637.792627314811</v>
      </c>
      <c r="G134" s="7">
        <v>1</v>
      </c>
      <c r="H134" s="15" t="s">
        <v>267</v>
      </c>
      <c r="I134" s="15">
        <v>42637.825798611113</v>
      </c>
      <c r="J134" s="7">
        <v>0</v>
      </c>
      <c r="K134" s="121" t="str">
        <f t="shared" si="55"/>
        <v>4017/4018</v>
      </c>
      <c r="L134" s="24" t="str">
        <f>VLOOKUP(A134,'Trips&amp;Operators'!$C$1:$E$10000,3,FALSE)</f>
        <v>SMITH</v>
      </c>
      <c r="M134" s="6">
        <f t="shared" si="56"/>
        <v>3.3171296301588882E-2</v>
      </c>
      <c r="N134" s="7">
        <f t="shared" si="71"/>
        <v>47.76666667428799</v>
      </c>
      <c r="O134" s="7"/>
      <c r="P134" s="7"/>
      <c r="Q134" s="25"/>
      <c r="R134" s="25"/>
      <c r="S134" s="37">
        <f t="shared" si="66"/>
        <v>1</v>
      </c>
      <c r="T134" s="52" t="str">
        <f t="shared" si="57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17:58:13-0600',mode:absolute,to:'2016-09-24 20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4" s="54" t="str">
        <f t="shared" si="59"/>
        <v>N</v>
      </c>
      <c r="X134" s="168">
        <f t="shared" si="72"/>
        <v>1</v>
      </c>
      <c r="Y134" s="69">
        <f t="shared" si="68"/>
        <v>4.6199999999999998E-2</v>
      </c>
      <c r="Z134" s="69">
        <f t="shared" si="69"/>
        <v>23.328700000000001</v>
      </c>
      <c r="AA134" s="69">
        <f t="shared" si="60"/>
        <v>23.282500000000002</v>
      </c>
      <c r="AB134" s="66" t="str">
        <f>VLOOKUP(A134,Enforcements!$C$7:$K$20,8,0)</f>
        <v>Bulletin (2)</v>
      </c>
      <c r="AC134" s="62" t="str">
        <f>VLOOKUP(A134,Enforcements!$C$7:$E$20,3,0)</f>
        <v>GRADE CROSSING</v>
      </c>
      <c r="AD134" s="63" t="str">
        <f t="shared" si="61"/>
        <v>0221-24</v>
      </c>
      <c r="AE134" s="99" t="str">
        <f t="shared" si="62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134" s="96" t="str">
        <f t="shared" si="63"/>
        <v>"C:\Program Files (x86)\AstroGrep\AstroGrep.exe" /spath="%USERPROFILE%\AppData\Local\Temp\OnboardLogs" /stypes="app*4018*20160925*" /stext=" 01:.+((SYSTEM_STATE.+slice.+state.+changed )|(ment ac)|(system.+state.+changed )|(\|lc)|(penalty)|(\[timeout)|(PRM\|1\|D)|(kpr)|(kdp))" /e /r /s</v>
      </c>
      <c r="AG134" s="1" t="str">
        <f t="shared" si="64"/>
        <v>EC</v>
      </c>
      <c r="AH134" s="100" t="str">
        <f t="shared" si="49"/>
        <v>"%USERPROFILE%\Documents\GitHub\eaglep3\Utilities\RefineRTDCRunTimes.py" --tripid 221-24 --locoid 4018 --swversion DE.1.0.7.0 --startMP 204:462 --initTime 2016-09-24T18:58:13 --startdatetime 2016-09-24T19:01:23 --delay 1 --endMP 204:233287 --enddatetime 2016-09-24T19:49:09 --enforcementcount 0 &gt;&gt;C:\Users\stu\Documents\GitHub\eaglep3-reporting\EC\2016-09-24-refined-times.txt</v>
      </c>
      <c r="AI134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{"issue":{"subject":"","project_id":79,"tracker_id":40,"status_id":1,"priority_id":2,"assigned_to_id":23,"start_date":"2016-09-24","description":"","custom_fields":[{"id":1,"name":"Subdivision","value":"EC"},{"id":4,"name":"Milepost","value":"23.3287"},{"id":17,"name":"Train ID","value":"221-24"},{"id":16,"name":"Locomotive ID","value":"4018"},{"id":130,"name":"Impact","value":""},{"id":150,"name":"Time of Event (Mountain Time)","value":"19:49:09"},{"id":151,"name":"Denver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573</v>
      </c>
      <c r="B135" s="7">
        <v>4017</v>
      </c>
      <c r="C135" s="24" t="s">
        <v>106</v>
      </c>
      <c r="D135" s="24" t="s">
        <v>414</v>
      </c>
      <c r="E135" s="15">
        <v>42637.827905092592</v>
      </c>
      <c r="F135" s="15">
        <v>42637.830983796295</v>
      </c>
      <c r="G135" s="7">
        <v>2</v>
      </c>
      <c r="H135" s="15" t="s">
        <v>657</v>
      </c>
      <c r="I135" s="15">
        <v>42637.844537037039</v>
      </c>
      <c r="J135" s="7">
        <v>0</v>
      </c>
      <c r="K135" s="121" t="str">
        <f t="shared" si="55"/>
        <v>4017/4018</v>
      </c>
      <c r="L135" s="24" t="str">
        <f>VLOOKUP(A135,'Trips&amp;Operators'!$C$1:$E$10000,3,FALSE)</f>
        <v>SMITH</v>
      </c>
      <c r="M135" s="6">
        <f t="shared" si="56"/>
        <v>1.3553240743931383E-2</v>
      </c>
      <c r="N135" s="7"/>
      <c r="O135" s="7"/>
      <c r="P135" s="7">
        <f>24*60*SUM($M135:$M135)</f>
        <v>19.516666671261191</v>
      </c>
      <c r="Q135" s="25"/>
      <c r="R135" s="25" t="s">
        <v>685</v>
      </c>
      <c r="S135" s="37">
        <f t="shared" si="66"/>
        <v>0</v>
      </c>
      <c r="T135" s="52" t="str">
        <f t="shared" si="57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18:52:11-0600',mode:absolute,to:'2016-09-24 21:16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5" s="54" t="str">
        <f t="shared" si="59"/>
        <v>Y</v>
      </c>
      <c r="X135" s="168">
        <f t="shared" si="72"/>
        <v>1</v>
      </c>
      <c r="Y135" s="69">
        <f t="shared" si="68"/>
        <v>23.297899999999998</v>
      </c>
      <c r="Z135" s="69">
        <f t="shared" si="69"/>
        <v>11.023199999999999</v>
      </c>
      <c r="AA135" s="69">
        <f t="shared" si="60"/>
        <v>12.274699999999999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61"/>
        <v>0222-24</v>
      </c>
      <c r="AE135" s="99" t="str">
        <f t="shared" si="62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135" s="96" t="str">
        <f t="shared" si="63"/>
        <v>"C:\Program Files (x86)\AstroGrep\AstroGrep.exe" /spath="%USERPROFILE%\AppData\Local\Temp\OnboardLogs" /stypes="app*4017*20160925*" /stext=" 02:.+((SYSTEM_STATE.+slice.+state.+changed )|(ment ac)|(system.+state.+changed )|(\|lc)|(penalty)|(\[timeout)|(PRM\|1\|D)|(kpr)|(kdp))" /e /r /s</v>
      </c>
      <c r="AG135" s="1" t="str">
        <f t="shared" si="64"/>
        <v>EC</v>
      </c>
      <c r="AH135" s="100" t="str">
        <f t="shared" si="49"/>
        <v>"%USERPROFILE%\Documents\GitHub\eaglep3\Utilities\RefineRTDCRunTimes.py" --tripid 222-24 --locoid 4017 --swversion DE.1.0.7.0 --startMP 204:232979 --initTime 2016-09-24T19:52:11 --startdatetime 2016-09-24T19:56:37 --delay 2 --endMP 204:110232 --enddatetime 2016-09-24T20:16:08 --enforcementcount 0 &gt;&gt;C:\Users\stu\Documents\GitHub\eaglep3-reporting\EC\2016-09-24-refined-times.txt</v>
      </c>
      <c r="AI135" s="134" t="str">
        <f t="shared" si="50"/>
        <v>echo {"issue":{"subject":"Improper execution of Form C (phase break?)","project_id":79,"tracker_id":40,"status_id":1,"priority_id":2,"assigned_to_id":23,"start_date":"2016-09-24","description":"Train came to stop ~830 ft in advance of the Form C'd crossing and then cut out. Needed to pull within 500 ft. Only other explanation other than improper Form C handling is wanting to avoid a phase break","custom_fields":[{"id":1,"name":"Subdivision","value":"EC"},{"id":4,"name":"Milepost","value":"11.0232"},{"id":17,"name":"Train ID","value":"222-24"},{"id":16,"name":"Locomotive ID","value":"4017"},{"id":130,"name":"Impact","value":"Unexpected Cut-Out or Disengaged"},{"id":150,"name":"Time of Event (Mountain Time)","value":"20:16:08"},{"id":151,"name":"Denver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35" s="55" t="s">
        <v>686</v>
      </c>
      <c r="AK135" s="55" t="s">
        <v>144</v>
      </c>
      <c r="AL135" s="55" t="s">
        <v>156</v>
      </c>
    </row>
    <row r="136" spans="1:38" x14ac:dyDescent="0.25">
      <c r="A136" s="39" t="s">
        <v>571</v>
      </c>
      <c r="B136" s="7">
        <v>4014</v>
      </c>
      <c r="C136" s="24" t="s">
        <v>106</v>
      </c>
      <c r="D136" s="24" t="s">
        <v>658</v>
      </c>
      <c r="E136" s="15">
        <v>42637.809861111113</v>
      </c>
      <c r="F136" s="15">
        <v>42637.812650462962</v>
      </c>
      <c r="G136" s="7">
        <v>1</v>
      </c>
      <c r="H136" s="15" t="s">
        <v>285</v>
      </c>
      <c r="I136" s="15">
        <v>42637.839050925926</v>
      </c>
      <c r="J136" s="7">
        <v>0</v>
      </c>
      <c r="K136" s="121" t="str">
        <f t="shared" si="55"/>
        <v>4013/4014</v>
      </c>
      <c r="L136" s="24" t="str">
        <f>VLOOKUP(A136,'Trips&amp;Operators'!$C$1:$E$10000,3,FALSE)</f>
        <v>NEWELL</v>
      </c>
      <c r="M136" s="6">
        <f t="shared" si="56"/>
        <v>2.6400462964375038E-2</v>
      </c>
      <c r="N136" s="7">
        <f t="shared" ref="N136:N150" si="73">24*60*SUM($M136:$M136)</f>
        <v>38.016666668700054</v>
      </c>
      <c r="O136" s="7"/>
      <c r="P136" s="7"/>
      <c r="Q136" s="25"/>
      <c r="R136" s="25"/>
      <c r="S136" s="37">
        <f t="shared" si="66"/>
        <v>1</v>
      </c>
      <c r="T136" s="52" t="str">
        <f t="shared" si="57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18:26:12-0600',mode:absolute,to:'2016-09-24 21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6" s="54" t="str">
        <f t="shared" si="59"/>
        <v>N</v>
      </c>
      <c r="X136" s="168">
        <f t="shared" si="72"/>
        <v>1</v>
      </c>
      <c r="Y136" s="69">
        <f t="shared" si="68"/>
        <v>4.82E-2</v>
      </c>
      <c r="Z136" s="69">
        <f t="shared" si="69"/>
        <v>23.328800000000001</v>
      </c>
      <c r="AA136" s="69">
        <f t="shared" si="60"/>
        <v>23.2806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61"/>
        <v>0223-24</v>
      </c>
      <c r="AE136" s="99" t="str">
        <f t="shared" si="62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36" s="96" t="str">
        <f t="shared" si="63"/>
        <v>"C:\Program Files (x86)\AstroGrep\AstroGrep.exe" /spath="%USERPROFILE%\AppData\Local\Temp\OnboardLogs" /stypes="app*4014*20160925*" /stext=" 02:.+((SYSTEM_STATE.+slice.+state.+changed )|(ment ac)|(system.+state.+changed )|(\|lc)|(penalty)|(\[timeout)|(PRM\|1\|D)|(kpr)|(kdp))" /e /r /s</v>
      </c>
      <c r="AG136" s="1" t="str">
        <f t="shared" si="64"/>
        <v>EC</v>
      </c>
      <c r="AH136" s="100" t="str">
        <f t="shared" si="49"/>
        <v>"%USERPROFILE%\Documents\GitHub\eaglep3\Utilities\RefineRTDCRunTimes.py" --tripid 223-24 --locoid 4014 --swversion DE.1.0.7.0 --startMP 204:482 --initTime 2016-09-24T19:26:12 --startdatetime 2016-09-24T19:30:13 --delay 1 --endMP 204:233288 --enddatetime 2016-09-24T20:08:14 --enforcementcount 0 &gt;&gt;C:\Users\stu\Documents\GitHub\eaglep3-reporting\EC\2016-09-24-refined-times.txt</v>
      </c>
      <c r="AI136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{"issue":{"subject":"","project_id":79,"tracker_id":40,"status_id":1,"priority_id":2,"assigned_to_id":23,"start_date":"2016-09-24","description":"","custom_fields":[{"id":1,"name":"Subdivision","value":"EC"},{"id":4,"name":"Milepost","value":"23.3288"},{"id":17,"name":"Train ID","value":"223-24"},{"id":16,"name":"Locomotive ID","value":"4014"},{"id":130,"name":"Impact","value":""},{"id":150,"name":"Time of Event (Mountain Time)","value":"20:08:14"},{"id":151,"name":"Denver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575</v>
      </c>
      <c r="B137" s="7">
        <v>4013</v>
      </c>
      <c r="C137" s="24" t="s">
        <v>106</v>
      </c>
      <c r="D137" s="24" t="s">
        <v>659</v>
      </c>
      <c r="E137" s="15">
        <v>42637.842523148145</v>
      </c>
      <c r="F137" s="15">
        <v>42637.851539351854</v>
      </c>
      <c r="G137" s="7">
        <v>1</v>
      </c>
      <c r="H137" s="15" t="s">
        <v>218</v>
      </c>
      <c r="I137" s="15">
        <v>42637.879490740743</v>
      </c>
      <c r="J137" s="7">
        <v>0</v>
      </c>
      <c r="K137" s="121" t="str">
        <f t="shared" si="55"/>
        <v>4013/4014</v>
      </c>
      <c r="L137" s="24" t="str">
        <f>VLOOKUP(A137,'Trips&amp;Operators'!$C$1:$E$10000,3,FALSE)</f>
        <v>NEWELL</v>
      </c>
      <c r="M137" s="6">
        <f t="shared" si="56"/>
        <v>2.7951388889050577E-2</v>
      </c>
      <c r="N137" s="7">
        <f t="shared" si="73"/>
        <v>40.250000000232831</v>
      </c>
      <c r="O137" s="7"/>
      <c r="P137" s="7"/>
      <c r="Q137" s="25"/>
      <c r="R137" s="25"/>
      <c r="S137" s="37">
        <f t="shared" si="66"/>
        <v>1</v>
      </c>
      <c r="T137" s="52" t="str">
        <f t="shared" si="57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19:13:14-0600',mode:absolute,to:'2016-09-24 22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7" s="54" t="str">
        <f t="shared" si="59"/>
        <v>N</v>
      </c>
      <c r="X137" s="168">
        <f t="shared" si="72"/>
        <v>1</v>
      </c>
      <c r="Y137" s="69">
        <f t="shared" si="68"/>
        <v>23.298400000000001</v>
      </c>
      <c r="Z137" s="69">
        <f t="shared" si="69"/>
        <v>1.47E-2</v>
      </c>
      <c r="AA137" s="69">
        <f t="shared" si="60"/>
        <v>23.2837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61"/>
        <v>0224-24</v>
      </c>
      <c r="AE137" s="99" t="str">
        <f t="shared" si="62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137" s="96" t="str">
        <f t="shared" si="63"/>
        <v>"C:\Program Files (x86)\AstroGrep\AstroGrep.exe" /spath="%USERPROFILE%\AppData\Local\Temp\OnboardLogs" /stypes="app*4013*20160925*" /stext=" 03:.+((SYSTEM_STATE.+slice.+state.+changed )|(ment ac)|(system.+state.+changed )|(\|lc)|(penalty)|(\[timeout)|(PRM\|1\|D)|(kpr)|(kdp))" /e /r /s</v>
      </c>
      <c r="AG137" s="1" t="str">
        <f t="shared" si="64"/>
        <v>EC</v>
      </c>
      <c r="AH137" s="100" t="str">
        <f t="shared" si="49"/>
        <v>"%USERPROFILE%\Documents\GitHub\eaglep3\Utilities\RefineRTDCRunTimes.py" --tripid 224-24 --locoid 4013 --swversion DE.1.0.7.0 --startMP 204:232984 --initTime 2016-09-24T20:13:14 --startdatetime 2016-09-24T20:26:13 --delay 1 --endMP 204:147 --enddatetime 2016-09-24T21:06:28 --enforcementcount 0 &gt;&gt;C:\Users\stu\Documents\GitHub\eaglep3-reporting\EC\2016-09-24-refined-times.txt</v>
      </c>
      <c r="AI137" s="134" t="str">
        <f t="shared" si="50"/>
        <v>echo {"issue":{"subject":"","project_id":79,"tracker_id":40,"status_id":1,"priority_id":2,"assigned_to_id":23,"start_date":"2016-09-24","description":"","custom_fields":[{"id":1,"name":"Subdivision","value":"EC"},{"id":4,"name":"Milepost","value":"0.0147"},{"id":17,"name":"Train ID","value":"224-24"},{"id":16,"name":"Locomotive ID","value":"4013"},{"id":130,"name":"Impact","value":""},{"id":150,"name":"Time of Event (Mountain Time)","value":"21:06:28"},{"id":151,"name":"Denver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574</v>
      </c>
      <c r="B138" s="7">
        <v>4053</v>
      </c>
      <c r="C138" s="24" t="s">
        <v>106</v>
      </c>
      <c r="D138" s="24" t="s">
        <v>404</v>
      </c>
      <c r="E138" s="15">
        <v>42637.836921296293</v>
      </c>
      <c r="F138" s="15">
        <v>42637.838055555556</v>
      </c>
      <c r="G138" s="7">
        <v>1</v>
      </c>
      <c r="H138" s="15" t="s">
        <v>620</v>
      </c>
      <c r="I138" s="15">
        <v>42637.866087962961</v>
      </c>
      <c r="J138" s="7">
        <v>0</v>
      </c>
      <c r="K138" s="121" t="str">
        <f t="shared" si="55"/>
        <v>4053/4054</v>
      </c>
      <c r="L138" s="24" t="str">
        <f>VLOOKUP(A138,'Trips&amp;Operators'!$C$1:$E$10000,3,FALSE)</f>
        <v>CHANDLER</v>
      </c>
      <c r="M138" s="6">
        <f t="shared" si="56"/>
        <v>2.8032407404680271E-2</v>
      </c>
      <c r="N138" s="7">
        <f t="shared" si="73"/>
        <v>40.36666666273959</v>
      </c>
      <c r="O138" s="7"/>
      <c r="P138" s="7"/>
      <c r="Q138" s="25"/>
      <c r="R138" s="25"/>
      <c r="S138" s="37">
        <f t="shared" si="66"/>
        <v>1</v>
      </c>
      <c r="T138" s="52" t="str">
        <f t="shared" si="57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19:05:10-0600',mode:absolute,to:'2016-09-24 21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8" s="54" t="str">
        <f t="shared" si="59"/>
        <v>N</v>
      </c>
      <c r="X138" s="168">
        <f t="shared" si="72"/>
        <v>1</v>
      </c>
      <c r="Y138" s="69">
        <f t="shared" si="68"/>
        <v>4.3499999999999997E-2</v>
      </c>
      <c r="Z138" s="69">
        <f t="shared" si="69"/>
        <v>23.3308</v>
      </c>
      <c r="AA138" s="69">
        <f t="shared" si="60"/>
        <v>23.287299999999998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61"/>
        <v>0225-24</v>
      </c>
      <c r="AE138" s="99" t="str">
        <f t="shared" si="62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138" s="96" t="str">
        <f t="shared" si="63"/>
        <v>"C:\Program Files (x86)\AstroGrep\AstroGrep.exe" /spath="%USERPROFILE%\AppData\Local\Temp\OnboardLogs" /stypes="app*4053*20160925*" /stext=" 02:.+((SYSTEM_STATE.+slice.+state.+changed )|(ment ac)|(system.+state.+changed )|(\|lc)|(penalty)|(\[timeout)|(PRM\|1\|D)|(kpr)|(kdp))" /e /r /s</v>
      </c>
      <c r="AG138" s="1" t="str">
        <f t="shared" si="64"/>
        <v>EC</v>
      </c>
      <c r="AH138" s="100" t="str">
        <f t="shared" ref="AH138:AH172" si="74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225-24 --locoid 4053 --swversion DE.1.0.7.0 --startMP 204:435 --initTime 2016-09-24T20:05:10 --startdatetime 2016-09-24T20:06:48 --delay 1 --endMP 204:233308 --enddatetime 2016-09-24T20:47:10 --enforcementcount 0 &gt;&gt;C:\Users\stu\Documents\GitHub\eaglep3-reporting\EC\2016-09-24-refined-times.txt</v>
      </c>
      <c r="AI138" s="134" t="str">
        <f t="shared" ref="AI138:AI172" si="75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{"issue":{"subject":"","project_id":79,"tracker_id":40,"status_id":1,"priority_id":2,"assigned_to_id":23,"start_date":"2016-09-24","description":"","custom_fields":[{"id":1,"name":"Subdivision","value":"EC"},{"id":4,"name":"Milepost","value":"23.3308"},{"id":17,"name":"Train ID","value":"225-24"},{"id":16,"name":"Locomotive ID","value":"4053"},{"id":130,"name":"Impact","value":""},{"id":150,"name":"Time of Event (Mountain Time)","value":"20:47:10"},{"id":151,"name":"Denver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578</v>
      </c>
      <c r="B139" s="7">
        <v>4054</v>
      </c>
      <c r="C139" s="24" t="s">
        <v>106</v>
      </c>
      <c r="D139" s="24" t="s">
        <v>410</v>
      </c>
      <c r="E139" s="15">
        <v>42637.871562499997</v>
      </c>
      <c r="F139" s="15">
        <v>42637.875023148146</v>
      </c>
      <c r="G139" s="7">
        <v>1</v>
      </c>
      <c r="H139" s="15" t="s">
        <v>214</v>
      </c>
      <c r="I139" s="15">
        <v>42637.902384259258</v>
      </c>
      <c r="J139" s="7">
        <v>0</v>
      </c>
      <c r="K139" s="121" t="str">
        <f t="shared" si="55"/>
        <v>4053/4054</v>
      </c>
      <c r="L139" s="24" t="str">
        <f>VLOOKUP(A139,'Trips&amp;Operators'!$C$1:$E$10000,3,FALSE)</f>
        <v>CHANDLER</v>
      </c>
      <c r="M139" s="6">
        <f t="shared" si="56"/>
        <v>2.73611111115315E-2</v>
      </c>
      <c r="N139" s="7">
        <f t="shared" si="73"/>
        <v>39.40000000060536</v>
      </c>
      <c r="O139" s="7"/>
      <c r="P139" s="7"/>
      <c r="Q139" s="25"/>
      <c r="R139" s="25"/>
      <c r="S139" s="37">
        <f t="shared" si="66"/>
        <v>1</v>
      </c>
      <c r="T139" s="52" t="str">
        <f t="shared" si="57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19:55:03-0600',mode:absolute,to:'2016-09-24 22:39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9" s="54" t="str">
        <f t="shared" si="59"/>
        <v>N</v>
      </c>
      <c r="X139" s="168">
        <f t="shared" si="72"/>
        <v>1</v>
      </c>
      <c r="Y139" s="69">
        <f t="shared" si="68"/>
        <v>23.2972</v>
      </c>
      <c r="Z139" s="69">
        <f t="shared" si="69"/>
        <v>1.6E-2</v>
      </c>
      <c r="AA139" s="69">
        <f t="shared" si="60"/>
        <v>23.281200000000002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61"/>
        <v>0226-24</v>
      </c>
      <c r="AE139" s="99" t="str">
        <f t="shared" si="62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139" s="96" t="str">
        <f t="shared" si="63"/>
        <v>"C:\Program Files (x86)\AstroGrep\AstroGrep.exe" /spath="%USERPROFILE%\AppData\Local\Temp\OnboardLogs" /stypes="app*4054*20160925*" /stext=" 03:.+((SYSTEM_STATE.+slice.+state.+changed )|(ment ac)|(system.+state.+changed )|(\|lc)|(penalty)|(\[timeout)|(PRM\|1\|D)|(kpr)|(kdp))" /e /r /s</v>
      </c>
      <c r="AG139" s="1" t="str">
        <f t="shared" si="64"/>
        <v>EC</v>
      </c>
      <c r="AH139" s="100" t="str">
        <f t="shared" si="74"/>
        <v>"%USERPROFILE%\Documents\GitHub\eaglep3\Utilities\RefineRTDCRunTimes.py" --tripid 226-24 --locoid 4054 --swversion DE.1.0.7.0 --startMP 204:232972 --initTime 2016-09-24T20:55:03 --startdatetime 2016-09-24T21:00:02 --delay 1 --endMP 204:160 --enddatetime 2016-09-24T21:39:26 --enforcementcount 0 &gt;&gt;C:\Users\stu\Documents\GitHub\eaglep3-reporting\EC\2016-09-24-refined-times.txt</v>
      </c>
      <c r="AI139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{"issue":{"subject":"","project_id":79,"tracker_id":40,"status_id":1,"priority_id":2,"assigned_to_id":23,"start_date":"2016-09-24","description":"","custom_fields":[{"id":1,"name":"Subdivision","value":"EC"},{"id":4,"name":"Milepost","value":"0.016"},{"id":17,"name":"Train ID","value":"226-24"},{"id":16,"name":"Locomotive ID","value":"4054"},{"id":130,"name":"Impact","value":""},{"id":150,"name":"Time of Event (Mountain Time)","value":"21:39:26"},{"id":151,"name":"Denver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576</v>
      </c>
      <c r="B140" s="7">
        <v>4007</v>
      </c>
      <c r="C140" s="24" t="s">
        <v>106</v>
      </c>
      <c r="D140" s="24" t="s">
        <v>320</v>
      </c>
      <c r="E140" s="15">
        <v>42637.849537037036</v>
      </c>
      <c r="F140" s="15">
        <v>42637.854548611111</v>
      </c>
      <c r="G140" s="7">
        <v>1</v>
      </c>
      <c r="H140" s="15" t="s">
        <v>415</v>
      </c>
      <c r="I140" s="15">
        <v>42637.881493055553</v>
      </c>
      <c r="J140" s="7">
        <v>0</v>
      </c>
      <c r="K140" s="121" t="str">
        <f t="shared" si="55"/>
        <v>4007/4008</v>
      </c>
      <c r="L140" s="24" t="str">
        <f>VLOOKUP(A140,'Trips&amp;Operators'!$C$1:$E$10000,3,FALSE)</f>
        <v>STURGEON</v>
      </c>
      <c r="M140" s="6">
        <f t="shared" si="56"/>
        <v>2.6944444442051463E-2</v>
      </c>
      <c r="N140" s="7">
        <f t="shared" si="73"/>
        <v>38.799999996554106</v>
      </c>
      <c r="O140" s="7"/>
      <c r="P140" s="7"/>
      <c r="Q140" s="25"/>
      <c r="R140" s="25"/>
      <c r="S140" s="37">
        <f t="shared" si="66"/>
        <v>1</v>
      </c>
      <c r="T140" s="52" t="str">
        <f t="shared" si="57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https://search-rtdc-monitor-bjffxe2xuh6vdkpspy63sjmuny.us-east-1.es.amazonaws.com/_plugin/kibana/#/discover/Steve-Slow-Train-Analysis-(2080s-and-2083s)?_g=(refreshInterval:(display:Off,section:0,value:0),time:(from:'2016-09-24 19:23:20-0600',mode:absolute,to:'2016-09-24 22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40" s="54" t="str">
        <f t="shared" si="59"/>
        <v>N</v>
      </c>
      <c r="X140" s="168">
        <f t="shared" si="72"/>
        <v>1</v>
      </c>
      <c r="Y140" s="69">
        <f t="shared" si="68"/>
        <v>4.7500000000000001E-2</v>
      </c>
      <c r="Z140" s="69">
        <f t="shared" si="69"/>
        <v>23.327400000000001</v>
      </c>
      <c r="AA140" s="69">
        <f t="shared" si="60"/>
        <v>23.279900000000001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61"/>
        <v>0227-24</v>
      </c>
      <c r="AE140" s="99" t="str">
        <f t="shared" si="62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140" s="96" t="str">
        <f t="shared" si="63"/>
        <v>"C:\Program Files (x86)\AstroGrep\AstroGrep.exe" /spath="%USERPROFILE%\AppData\Local\Temp\OnboardLogs" /stypes="app*4007*20160925*" /stext=" 03:.+((SYSTEM_STATE.+slice.+state.+changed )|(ment ac)|(system.+state.+changed )|(\|lc)|(penalty)|(\[timeout)|(PRM\|1\|D)|(kpr)|(kdp))" /e /r /s</v>
      </c>
      <c r="AG140" s="1" t="str">
        <f t="shared" si="64"/>
        <v>EC</v>
      </c>
      <c r="AH140" s="100" t="str">
        <f t="shared" si="74"/>
        <v>"%USERPROFILE%\Documents\GitHub\eaglep3\Utilities\RefineRTDCRunTimes.py" --tripid 227-24 --locoid 4007 --swversion DE.1.0.7.0 --startMP 204:475 --initTime 2016-09-24T20:23:20 --startdatetime 2016-09-24T20:30:33 --delay 1 --endMP 204:233274 --enddatetime 2016-09-24T21:09:21 --enforcementcount 0 &gt;&gt;C:\Users\stu\Documents\GitHub\eaglep3-reporting\EC\2016-09-24-refined-times.txt</v>
      </c>
      <c r="AI140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{"issue":{"subject":"","project_id":79,"tracker_id":40,"status_id":1,"priority_id":2,"assigned_to_id":23,"start_date":"2016-09-24","description":"","custom_fields":[{"id":1,"name":"Subdivision","value":"EC"},{"id":4,"name":"Milepost","value":"23.3274"},{"id":17,"name":"Train ID","value":"227-24"},{"id":16,"name":"Locomotive ID","value":"4007"},{"id":130,"name":"Impact","value":""},{"id":150,"name":"Time of Event (Mountain Time)","value":"21:09:21"},{"id":151,"name":"Denver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579</v>
      </c>
      <c r="B141" s="7">
        <v>4008</v>
      </c>
      <c r="C141" s="24" t="s">
        <v>106</v>
      </c>
      <c r="D141" s="24" t="s">
        <v>660</v>
      </c>
      <c r="E141" s="15">
        <v>42637.887430555558</v>
      </c>
      <c r="F141" s="15">
        <v>42637.893240740741</v>
      </c>
      <c r="G141" s="7">
        <v>1</v>
      </c>
      <c r="H141" s="15" t="s">
        <v>304</v>
      </c>
      <c r="I141" s="15">
        <v>42637.923391203702</v>
      </c>
      <c r="J141" s="7">
        <v>0</v>
      </c>
      <c r="K141" s="121" t="str">
        <f t="shared" ref="K141:K172" si="76">IF(ISEVEN(B141),(B141-1)&amp;"/"&amp;B141,B141&amp;"/"&amp;(B141+1))</f>
        <v>4007/4008</v>
      </c>
      <c r="L141" s="24" t="str">
        <f>VLOOKUP(A141,'Trips&amp;Operators'!$C$1:$E$10000,3,FALSE)</f>
        <v>STURGEON</v>
      </c>
      <c r="M141" s="6">
        <f t="shared" ref="M141:M172" si="77">I141-F141</f>
        <v>3.015046296059154E-2</v>
      </c>
      <c r="N141" s="7">
        <f t="shared" si="73"/>
        <v>43.416666663251817</v>
      </c>
      <c r="O141" s="7"/>
      <c r="P141" s="7"/>
      <c r="Q141" s="25"/>
      <c r="R141" s="25"/>
      <c r="S141" s="37">
        <f t="shared" si="66"/>
        <v>1</v>
      </c>
      <c r="T141" s="52" t="str">
        <f t="shared" ref="T141:T172" si="78"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https://search-rtdc-monitor-bjffxe2xuh6vdkpspy63sjmuny.us-east-1.es.amazonaws.com/_plugin/kibana/#/discover/Steve-Slow-Train-Analysis-(2080s-and-2083s)?_g=(refreshInterval:(display:Off,section:0,value:0),time:(from:'2016-09-24 20:17:54-0600',mode:absolute,to:'2016-09-24 23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41" s="54" t="str">
        <f t="shared" ref="W141:W172" si="80">IF(AA141&lt;IF(AG141="EC",23,5.65),"Y","N")</f>
        <v>N</v>
      </c>
      <c r="X141" s="168">
        <f t="shared" si="72"/>
        <v>1</v>
      </c>
      <c r="Y141" s="69">
        <f t="shared" si="68"/>
        <v>23.296500000000002</v>
      </c>
      <c r="Z141" s="69">
        <f t="shared" si="69"/>
        <v>1.6899999999999998E-2</v>
      </c>
      <c r="AA141" s="69">
        <f t="shared" ref="AA141:AA172" si="81">ABS(Z141-Y141)</f>
        <v>23.279600000000002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172" si="82">IF(LEN(A141)=6,"0"&amp;A141,A141)</f>
        <v>0228-24</v>
      </c>
      <c r="AE141" s="99" t="str">
        <f t="shared" ref="AE141:AE172" si="83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141" s="96" t="str">
        <f t="shared" ref="AF141:AF172" si="8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/stypes="app*4008*20160925*" /stext=" 04:.+((SYSTEM_STATE.+slice.+state.+changed )|(ment ac)|(system.+state.+changed )|(\|lc)|(penalty)|(\[timeout)|(PRM\|1\|D)|(kpr)|(kdp))" /e /r /s</v>
      </c>
      <c r="AG141" s="1" t="str">
        <f t="shared" ref="AG141:AG172" si="85">IFERROR(IF(VALUE(LEFT(AD141,2))&lt;=2,"EC",IF(OR(VALUE(LEFT(AD141,2))=8,VALUE(LEFT(AD141,2))=18),"NW","Other")),"Other")</f>
        <v>EC</v>
      </c>
      <c r="AH141" s="100" t="str">
        <f t="shared" si="74"/>
        <v>"%USERPROFILE%\Documents\GitHub\eaglep3\Utilities\RefineRTDCRunTimes.py" --tripid 228-24 --locoid 4008 --swversion DE.1.0.7.0 --startMP 204:232965 --initTime 2016-09-24T21:17:54 --startdatetime 2016-09-24T21:26:16 --delay 1 --endMP 204:169 --enddatetime 2016-09-24T22:09:41 --enforcementcount 0 &gt;&gt;C:\Users\stu\Documents\GitHub\eaglep3-reporting\EC\2016-09-24-refined-times.txt</v>
      </c>
      <c r="AI141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{"issue":{"subject":"","project_id":79,"tracker_id":40,"status_id":1,"priority_id":2,"assigned_to_id":23,"start_date":"2016-09-24","description":"","custom_fields":[{"id":1,"name":"Subdivision","value":"EC"},{"id":4,"name":"Milepost","value":"0.0169"},{"id":17,"name":"Train ID","value":"228-24"},{"id":16,"name":"Locomotive ID","value":"4008"},{"id":130,"name":"Impact","value":""},{"id":150,"name":"Time of Event (Mountain Time)","value":"22:09:41"},{"id":151,"name":"Denver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577</v>
      </c>
      <c r="B142" s="7">
        <v>4018</v>
      </c>
      <c r="C142" s="24" t="s">
        <v>106</v>
      </c>
      <c r="D142" s="24" t="s">
        <v>231</v>
      </c>
      <c r="E142" s="15">
        <v>42637.869062500002</v>
      </c>
      <c r="F142" s="15">
        <v>42637.875219907408</v>
      </c>
      <c r="G142" s="7">
        <v>5</v>
      </c>
      <c r="H142" s="15" t="s">
        <v>268</v>
      </c>
      <c r="I142" s="15">
        <v>42637.902175925927</v>
      </c>
      <c r="J142" s="7">
        <v>0</v>
      </c>
      <c r="K142" s="121" t="str">
        <f t="shared" si="76"/>
        <v>4017/4018</v>
      </c>
      <c r="L142" s="24" t="str">
        <f>VLOOKUP(A142,'Trips&amp;Operators'!$C$1:$E$10000,3,FALSE)</f>
        <v>SMITH</v>
      </c>
      <c r="M142" s="6">
        <f t="shared" si="77"/>
        <v>2.6956018518831115E-2</v>
      </c>
      <c r="N142" s="7">
        <f t="shared" si="73"/>
        <v>38.816666667116806</v>
      </c>
      <c r="O142" s="7"/>
      <c r="P142" s="7"/>
      <c r="Q142" s="25"/>
      <c r="R142" s="25"/>
      <c r="S142" s="37">
        <f t="shared" si="66"/>
        <v>1</v>
      </c>
      <c r="T142" s="52" t="str">
        <f t="shared" si="78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19:51:27-0600',mode:absolute,to:'2016-09-24 22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2" s="54" t="str">
        <f t="shared" si="80"/>
        <v>N</v>
      </c>
      <c r="X142" s="168">
        <f t="shared" si="72"/>
        <v>1</v>
      </c>
      <c r="Y142" s="69">
        <f t="shared" si="68"/>
        <v>4.5999999999999999E-2</v>
      </c>
      <c r="Z142" s="69">
        <f t="shared" si="69"/>
        <v>23.331199999999999</v>
      </c>
      <c r="AA142" s="69">
        <f t="shared" si="81"/>
        <v>23.2852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82"/>
        <v>0229-24</v>
      </c>
      <c r="AE142" s="99" t="str">
        <f t="shared" si="83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142" s="96" t="str">
        <f t="shared" si="84"/>
        <v>"C:\Program Files (x86)\AstroGrep\AstroGrep.exe" /spath="%USERPROFILE%\AppData\Local\Temp\OnboardLogs" /stypes="app*4018*20160925*" /stext=" 03:.+((SYSTEM_STATE.+slice.+state.+changed )|(ment ac)|(system.+state.+changed )|(\|lc)|(penalty)|(\[timeout)|(PRM\|1\|D)|(kpr)|(kdp))" /e /r /s</v>
      </c>
      <c r="AG142" s="1" t="str">
        <f t="shared" si="85"/>
        <v>EC</v>
      </c>
      <c r="AH142" s="100" t="str">
        <f t="shared" si="74"/>
        <v>"%USERPROFILE%\Documents\GitHub\eaglep3\Utilities\RefineRTDCRunTimes.py" --tripid 229-24 --locoid 4018 --swversion DE.1.0.7.0 --startMP 204:460 --initTime 2016-09-24T20:51:27 --startdatetime 2016-09-24T21:00:19 --delay 5 --endMP 204:233312 --enddatetime 2016-09-24T21:39:08 --enforcementcount 0 &gt;&gt;C:\Users\stu\Documents\GitHub\eaglep3-reporting\EC\2016-09-24-refined-times.txt</v>
      </c>
      <c r="AI142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{"issue":{"subject":"","project_id":79,"tracker_id":40,"status_id":1,"priority_id":2,"assigned_to_id":23,"start_date":"2016-09-24","description":"","custom_fields":[{"id":1,"name":"Subdivision","value":"EC"},{"id":4,"name":"Milepost","value":"23.3312"},{"id":17,"name":"Train ID","value":"229-24"},{"id":16,"name":"Locomotive ID","value":"4018"},{"id":130,"name":"Impact","value":""},{"id":150,"name":"Time of Event (Mountain Time)","value":"21:39:08"},{"id":151,"name":"Denver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581</v>
      </c>
      <c r="B143" s="7">
        <v>4017</v>
      </c>
      <c r="C143" s="24" t="s">
        <v>106</v>
      </c>
      <c r="D143" s="24" t="s">
        <v>235</v>
      </c>
      <c r="E143" s="15">
        <v>42637.906597222223</v>
      </c>
      <c r="F143" s="15">
        <v>42637.914236111108</v>
      </c>
      <c r="G143" s="7">
        <v>1</v>
      </c>
      <c r="H143" s="15" t="s">
        <v>218</v>
      </c>
      <c r="I143" s="15">
        <v>42637.943043981482</v>
      </c>
      <c r="J143" s="7">
        <v>0</v>
      </c>
      <c r="K143" s="121" t="str">
        <f t="shared" si="76"/>
        <v>4017/4018</v>
      </c>
      <c r="L143" s="24" t="str">
        <f>VLOOKUP(A143,'Trips&amp;Operators'!$C$1:$E$10000,3,FALSE)</f>
        <v>SMITH</v>
      </c>
      <c r="M143" s="6">
        <f t="shared" si="77"/>
        <v>2.8807870374293998E-2</v>
      </c>
      <c r="N143" s="7">
        <f t="shared" si="73"/>
        <v>41.483333338983357</v>
      </c>
      <c r="O143" s="7"/>
      <c r="P143" s="7"/>
      <c r="Q143" s="25"/>
      <c r="R143" s="25"/>
      <c r="S143" s="37">
        <f t="shared" si="66"/>
        <v>1</v>
      </c>
      <c r="T143" s="52" t="str">
        <f t="shared" si="78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20:45:30-0600',mode:absolute,to:'2016-09-24 23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3" s="54" t="str">
        <f t="shared" si="80"/>
        <v>N</v>
      </c>
      <c r="X143" s="168">
        <f t="shared" si="72"/>
        <v>1</v>
      </c>
      <c r="Y143" s="69">
        <f t="shared" si="68"/>
        <v>23.299399999999999</v>
      </c>
      <c r="Z143" s="69">
        <f t="shared" si="69"/>
        <v>1.47E-2</v>
      </c>
      <c r="AA143" s="69">
        <f t="shared" si="81"/>
        <v>23.284699999999997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82"/>
        <v>0230-24</v>
      </c>
      <c r="AE143" s="99" t="str">
        <f t="shared" si="83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143" s="96" t="str">
        <f t="shared" si="84"/>
        <v>"C:\Program Files (x86)\AstroGrep\AstroGrep.exe" /spath="%USERPROFILE%\AppData\Local\Temp\OnboardLogs" /stypes="app*4017*20160925*" /stext=" 04:.+((SYSTEM_STATE.+slice.+state.+changed )|(ment ac)|(system.+state.+changed )|(\|lc)|(penalty)|(\[timeout)|(PRM\|1\|D)|(kpr)|(kdp))" /e /r /s</v>
      </c>
      <c r="AG143" s="1" t="str">
        <f t="shared" si="85"/>
        <v>EC</v>
      </c>
      <c r="AH143" s="100" t="str">
        <f t="shared" si="74"/>
        <v>"%USERPROFILE%\Documents\GitHub\eaglep3\Utilities\RefineRTDCRunTimes.py" --tripid 230-24 --locoid 4017 --swversion DE.1.0.7.0 --startMP 204:232994 --initTime 2016-09-24T21:45:30 --startdatetime 2016-09-24T21:56:30 --delay 1 --endMP 204:147 --enddatetime 2016-09-24T22:37:59 --enforcementcount 0 &gt;&gt;C:\Users\stu\Documents\GitHub\eaglep3-reporting\EC\2016-09-24-refined-times.txt</v>
      </c>
      <c r="AI143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{"issue":{"subject":"","project_id":79,"tracker_id":40,"status_id":1,"priority_id":2,"assigned_to_id":23,"start_date":"2016-09-24","description":"","custom_fields":[{"id":1,"name":"Subdivision","value":"EC"},{"id":4,"name":"Milepost","value":"0.0147"},{"id":17,"name":"Train ID","value":"230-24"},{"id":16,"name":"Locomotive ID","value":"4017"},{"id":130,"name":"Impact","value":""},{"id":150,"name":"Time of Event (Mountain Time)","value":"22:37:59"},{"id":151,"name":"Denver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580</v>
      </c>
      <c r="B144" s="7">
        <v>4014</v>
      </c>
      <c r="C144" s="24" t="s">
        <v>106</v>
      </c>
      <c r="D144" s="24" t="s">
        <v>231</v>
      </c>
      <c r="E144" s="15">
        <v>42637.892557870371</v>
      </c>
      <c r="F144" s="15">
        <v>42637.895983796298</v>
      </c>
      <c r="G144" s="7">
        <v>1</v>
      </c>
      <c r="H144" s="15" t="s">
        <v>661</v>
      </c>
      <c r="I144" s="15">
        <v>42637.920925925922</v>
      </c>
      <c r="J144" s="7">
        <v>0</v>
      </c>
      <c r="K144" s="121" t="str">
        <f t="shared" si="76"/>
        <v>4013/4014</v>
      </c>
      <c r="L144" s="24" t="str">
        <f>VLOOKUP(A144,'Trips&amp;Operators'!$C$1:$E$10000,3,FALSE)</f>
        <v>NEWELL</v>
      </c>
      <c r="M144" s="6">
        <f t="shared" si="77"/>
        <v>2.4942129624832887E-2</v>
      </c>
      <c r="N144" s="7">
        <f t="shared" si="73"/>
        <v>35.916666659759358</v>
      </c>
      <c r="O144" s="7"/>
      <c r="P144" s="7"/>
      <c r="Q144" s="25"/>
      <c r="R144" s="25"/>
      <c r="S144" s="37">
        <f t="shared" si="66"/>
        <v>1</v>
      </c>
      <c r="T144" s="52" t="str">
        <f t="shared" si="78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20:25:17-0600',mode:absolute,to:'2016-09-24 23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4" s="54" t="str">
        <f t="shared" si="80"/>
        <v>N</v>
      </c>
      <c r="X144" s="168">
        <f t="shared" si="72"/>
        <v>1</v>
      </c>
      <c r="Y144" s="69">
        <f t="shared" si="68"/>
        <v>4.5999999999999999E-2</v>
      </c>
      <c r="Z144" s="69">
        <f t="shared" si="69"/>
        <v>23.330300000000001</v>
      </c>
      <c r="AA144" s="69">
        <f t="shared" si="81"/>
        <v>23.284300000000002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82"/>
        <v>0231-24</v>
      </c>
      <c r="AE144" s="99" t="str">
        <f t="shared" si="83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44" s="96" t="str">
        <f t="shared" si="84"/>
        <v>"C:\Program Files (x86)\AstroGrep\AstroGrep.exe" /spath="%USERPROFILE%\AppData\Local\Temp\OnboardLogs" /stypes="app*4014*20160925*" /stext=" 04:.+((SYSTEM_STATE.+slice.+state.+changed )|(ment ac)|(system.+state.+changed )|(\|lc)|(penalty)|(\[timeout)|(PRM\|1\|D)|(kpr)|(kdp))" /e /r /s</v>
      </c>
      <c r="AG144" s="1" t="str">
        <f t="shared" si="85"/>
        <v>EC</v>
      </c>
      <c r="AH144" s="100" t="str">
        <f t="shared" si="74"/>
        <v>"%USERPROFILE%\Documents\GitHub\eaglep3\Utilities\RefineRTDCRunTimes.py" --tripid 231-24 --locoid 4014 --swversion DE.1.0.7.0 --startMP 204:460 --initTime 2016-09-24T21:25:17 --startdatetime 2016-09-24T21:30:13 --delay 1 --endMP 204:233303 --enddatetime 2016-09-24T22:06:08 --enforcementcount 0 &gt;&gt;C:\Users\stu\Documents\GitHub\eaglep3-reporting\EC\2016-09-24-refined-times.txt</v>
      </c>
      <c r="AI144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{"issue":{"subject":"","project_id":79,"tracker_id":40,"status_id":1,"priority_id":2,"assigned_to_id":23,"start_date":"2016-09-24","description":"","custom_fields":[{"id":1,"name":"Subdivision","value":"EC"},{"id":4,"name":"Milepost","value":"23.3303"},{"id":17,"name":"Train ID","value":"231-24"},{"id":16,"name":"Locomotive ID","value":"4014"},{"id":130,"name":"Impact","value":""},{"id":150,"name":"Time of Event (Mountain Time)","value":"22:06:08"},{"id":151,"name":"Denver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583</v>
      </c>
      <c r="B145" s="7">
        <v>4013</v>
      </c>
      <c r="C145" s="24" t="s">
        <v>106</v>
      </c>
      <c r="D145" s="24" t="s">
        <v>307</v>
      </c>
      <c r="E145" s="15">
        <v>42637.926944444444</v>
      </c>
      <c r="F145" s="15">
        <v>42637.934976851851</v>
      </c>
      <c r="G145" s="7">
        <v>1</v>
      </c>
      <c r="H145" s="15" t="s">
        <v>213</v>
      </c>
      <c r="I145" s="15">
        <v>42637.964814814812</v>
      </c>
      <c r="J145" s="7">
        <v>0</v>
      </c>
      <c r="K145" s="121" t="str">
        <f t="shared" si="76"/>
        <v>4013/4014</v>
      </c>
      <c r="L145" s="24" t="str">
        <f>VLOOKUP(A145,'Trips&amp;Operators'!$C$1:$E$10000,3,FALSE)</f>
        <v>NEWELL</v>
      </c>
      <c r="M145" s="6">
        <f t="shared" si="77"/>
        <v>2.9837962960300501E-2</v>
      </c>
      <c r="N145" s="7">
        <f t="shared" si="73"/>
        <v>42.966666662832722</v>
      </c>
      <c r="O145" s="7"/>
      <c r="P145" s="7"/>
      <c r="Q145" s="25"/>
      <c r="R145" s="25"/>
      <c r="S145" s="37">
        <f t="shared" si="66"/>
        <v>1</v>
      </c>
      <c r="T145" s="52" t="str">
        <f t="shared" si="78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21:14:48-0600',mode:absolute,to:'2016-09-25 00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5" s="54" t="str">
        <f t="shared" si="80"/>
        <v>N</v>
      </c>
      <c r="X145" s="168">
        <f t="shared" si="72"/>
        <v>1</v>
      </c>
      <c r="Y145" s="69">
        <f t="shared" si="68"/>
        <v>23.2973</v>
      </c>
      <c r="Z145" s="69">
        <f t="shared" si="69"/>
        <v>1.49E-2</v>
      </c>
      <c r="AA145" s="69">
        <f t="shared" si="81"/>
        <v>23.282399999999999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82"/>
        <v>0232-24</v>
      </c>
      <c r="AE145" s="99" t="str">
        <f t="shared" si="83"/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AF145" s="96" t="str">
        <f t="shared" si="84"/>
        <v>"C:\Program Files (x86)\AstroGrep\AstroGrep.exe" /spath="%USERPROFILE%\AppData\Local\Temp\OnboardLogs" /stypes="app*4013*20160925*" /stext=" 05:.+((SYSTEM_STATE.+slice.+state.+changed )|(ment ac)|(system.+state.+changed )|(\|lc)|(penalty)|(\[timeout)|(PRM\|1\|D)|(kpr)|(kdp))" /e /r /s</v>
      </c>
      <c r="AG145" s="1" t="str">
        <f t="shared" si="85"/>
        <v>EC</v>
      </c>
      <c r="AH145" s="100" t="str">
        <f t="shared" si="74"/>
        <v>"%USERPROFILE%\Documents\GitHub\eaglep3\Utilities\RefineRTDCRunTimes.py" --tripid 232-24 --locoid 4013 --swversion DE.1.0.7.0 --startMP 204:232973 --initTime 2016-09-24T22:14:48 --startdatetime 2016-09-24T22:26:22 --delay 1 --endMP 204:149 --enddatetime 2016-09-24T23:09:20 --enforcementcount 0 &gt;&gt;C:\Users\stu\Documents\GitHub\eaglep3-reporting\EC\2016-09-24-refined-times.txt</v>
      </c>
      <c r="AI145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{"issue":{"subject":"","project_id":79,"tracker_id":40,"status_id":1,"priority_id":2,"assigned_to_id":23,"start_date":"2016-09-24","description":"","custom_fields":[{"id":1,"name":"Subdivision","value":"EC"},{"id":4,"name":"Milepost","value":"0.0149"},{"id":17,"name":"Train ID","value":"232-24"},{"id":16,"name":"Locomotive ID","value":"4013"},{"id":130,"name":"Impact","value":""},{"id":150,"name":"Time of Event (Mountain Time)","value":"23:09:20"},{"id":151,"name":"Denver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582</v>
      </c>
      <c r="B146" s="7">
        <v>4053</v>
      </c>
      <c r="C146" s="24" t="s">
        <v>106</v>
      </c>
      <c r="D146" s="24" t="s">
        <v>658</v>
      </c>
      <c r="E146" s="15">
        <v>42637.914120370369</v>
      </c>
      <c r="F146" s="15">
        <v>42637.917002314818</v>
      </c>
      <c r="G146" s="7">
        <v>1</v>
      </c>
      <c r="H146" s="15" t="s">
        <v>254</v>
      </c>
      <c r="I146" s="15">
        <v>42637.943206018521</v>
      </c>
      <c r="J146" s="7">
        <v>0</v>
      </c>
      <c r="K146" s="121" t="str">
        <f t="shared" si="76"/>
        <v>4053/4054</v>
      </c>
      <c r="L146" s="24" t="str">
        <f>VLOOKUP(A146,'Trips&amp;Operators'!$C$1:$E$10000,3,FALSE)</f>
        <v>CHANDLER</v>
      </c>
      <c r="M146" s="6">
        <f t="shared" si="77"/>
        <v>2.6203703702776693E-2</v>
      </c>
      <c r="N146" s="7">
        <f t="shared" si="73"/>
        <v>37.733333331998438</v>
      </c>
      <c r="O146" s="7"/>
      <c r="P146" s="7"/>
      <c r="Q146" s="25"/>
      <c r="R146" s="25"/>
      <c r="S146" s="37">
        <f t="shared" si="66"/>
        <v>1</v>
      </c>
      <c r="T146" s="52" t="str">
        <f t="shared" si="78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20:56:20-0600',mode:absolute,to:'2016-09-24 23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6" s="54" t="str">
        <f t="shared" si="80"/>
        <v>N</v>
      </c>
      <c r="X146" s="168">
        <f t="shared" si="72"/>
        <v>1</v>
      </c>
      <c r="Y146" s="69">
        <f t="shared" si="68"/>
        <v>4.82E-2</v>
      </c>
      <c r="Z146" s="69">
        <f t="shared" si="69"/>
        <v>23.331399999999999</v>
      </c>
      <c r="AA146" s="69">
        <f t="shared" si="81"/>
        <v>23.283199999999997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82"/>
        <v>0233-24</v>
      </c>
      <c r="AE146" s="99" t="str">
        <f t="shared" si="83"/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AF146" s="96" t="str">
        <f t="shared" si="84"/>
        <v>"C:\Program Files (x86)\AstroGrep\AstroGrep.exe" /spath="%USERPROFILE%\AppData\Local\Temp\OnboardLogs" /stypes="app*4053*20160925*" /stext=" 04:.+((SYSTEM_STATE.+slice.+state.+changed )|(ment ac)|(system.+state.+changed )|(\|lc)|(penalty)|(\[timeout)|(PRM\|1\|D)|(kpr)|(kdp))" /e /r /s</v>
      </c>
      <c r="AG146" s="1" t="str">
        <f t="shared" si="85"/>
        <v>EC</v>
      </c>
      <c r="AH146" s="100" t="str">
        <f t="shared" si="74"/>
        <v>"%USERPROFILE%\Documents\GitHub\eaglep3\Utilities\RefineRTDCRunTimes.py" --tripid 233-24 --locoid 4053 --swversion DE.1.0.7.0 --startMP 204:482 --initTime 2016-09-24T21:56:20 --startdatetime 2016-09-24T22:00:29 --delay 1 --endMP 204:233314 --enddatetime 2016-09-24T22:38:13 --enforcementcount 0 &gt;&gt;C:\Users\stu\Documents\GitHub\eaglep3-reporting\EC\2016-09-24-refined-times.txt</v>
      </c>
      <c r="AI146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{"issue":{"subject":"","project_id":79,"tracker_id":40,"status_id":1,"priority_id":2,"assigned_to_id":23,"start_date":"2016-09-24","description":"","custom_fields":[{"id":1,"name":"Subdivision","value":"EC"},{"id":4,"name":"Milepost","value":"23.3314"},{"id":17,"name":"Train ID","value":"233-24"},{"id":16,"name":"Locomotive ID","value":"4053"},{"id":130,"name":"Impact","value":""},{"id":150,"name":"Time of Event (Mountain Time)","value":"22:38:13"},{"id":151,"name":"Denver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461</v>
      </c>
      <c r="B147" s="7">
        <v>4054</v>
      </c>
      <c r="C147" s="24" t="s">
        <v>106</v>
      </c>
      <c r="D147" s="24" t="s">
        <v>283</v>
      </c>
      <c r="E147" s="15">
        <v>42637.953553240739</v>
      </c>
      <c r="F147" s="15">
        <v>42637.955879629626</v>
      </c>
      <c r="G147" s="7">
        <v>1</v>
      </c>
      <c r="H147" s="15" t="s">
        <v>402</v>
      </c>
      <c r="I147" s="15">
        <v>42637.984895833331</v>
      </c>
      <c r="J147" s="7">
        <v>0</v>
      </c>
      <c r="K147" s="121" t="str">
        <f t="shared" si="76"/>
        <v>4053/4054</v>
      </c>
      <c r="L147" s="24" t="str">
        <f>VLOOKUP(A147,'Trips&amp;Operators'!$C$1:$E$10000,3,FALSE)</f>
        <v>CHANDLER</v>
      </c>
      <c r="M147" s="6">
        <f t="shared" si="77"/>
        <v>2.9016203705396038E-2</v>
      </c>
      <c r="N147" s="7">
        <f t="shared" si="73"/>
        <v>41.783333335770294</v>
      </c>
      <c r="O147" s="7"/>
      <c r="P147" s="7"/>
      <c r="Q147" s="25"/>
      <c r="R147" s="25"/>
      <c r="S147" s="37">
        <f t="shared" si="66"/>
        <v>1</v>
      </c>
      <c r="T147" s="52" t="str">
        <f t="shared" si="78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21:53:07-0600',mode:absolute,to:'2016-09-25 00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7" s="54" t="str">
        <f t="shared" si="80"/>
        <v>N</v>
      </c>
      <c r="X147" s="168">
        <f t="shared" si="72"/>
        <v>1</v>
      </c>
      <c r="Y147" s="69">
        <f t="shared" si="68"/>
        <v>23.298300000000001</v>
      </c>
      <c r="Z147" s="69">
        <f t="shared" si="69"/>
        <v>1.6500000000000001E-2</v>
      </c>
      <c r="AA147" s="69">
        <f t="shared" si="81"/>
        <v>23.2818</v>
      </c>
      <c r="AB147" s="66" t="str">
        <f>VLOOKUP(A147,Enforcements!$C$7:$K$20,8,0)</f>
        <v>Speed (6)</v>
      </c>
      <c r="AC147" s="62" t="str">
        <f>VLOOKUP(A147,Enforcements!$C$7:$E$20,3,0)</f>
        <v>PERMANENT SPEED RESTRICTION</v>
      </c>
      <c r="AD147" s="63" t="str">
        <f t="shared" si="82"/>
        <v>0234-24</v>
      </c>
      <c r="AE147" s="99" t="str">
        <f t="shared" si="83"/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AF147" s="96" t="str">
        <f t="shared" si="84"/>
        <v>"C:\Program Files (x86)\AstroGrep\AstroGrep.exe" /spath="%USERPROFILE%\AppData\Local\Temp\OnboardLogs" /stypes="app*4054*20160925*" /stext=" 05:.+((SYSTEM_STATE.+slice.+state.+changed )|(ment ac)|(system.+state.+changed )|(\|lc)|(penalty)|(\[timeout)|(PRM\|1\|D)|(kpr)|(kdp))" /e /r /s</v>
      </c>
      <c r="AG147" s="1" t="str">
        <f t="shared" si="85"/>
        <v>EC</v>
      </c>
      <c r="AH147" s="100" t="str">
        <f t="shared" si="74"/>
        <v>"%USERPROFILE%\Documents\GitHub\eaglep3\Utilities\RefineRTDCRunTimes.py" --tripid 234-24 --locoid 4054 --swversion DE.1.0.7.0 --startMP 204:232983 --initTime 2016-09-24T22:53:07 --startdatetime 2016-09-24T22:56:28 --delay 1 --endMP 204:165 --enddatetime 2016-09-24T23:38:15 --enforcementcount 0 &gt;&gt;C:\Users\stu\Documents\GitHub\eaglep3-reporting\EC\2016-09-24-refined-times.txt</v>
      </c>
      <c r="AI147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{"issue":{"subject":"","project_id":79,"tracker_id":40,"status_id":1,"priority_id":2,"assigned_to_id":23,"start_date":"2016-09-24","description":"","custom_fields":[{"id":1,"name":"Subdivision","value":"EC"},{"id":4,"name":"Milepost","value":"0.0165"},{"id":17,"name":"Train ID","value":"234-24"},{"id":16,"name":"Locomotive ID","value":"4054"},{"id":130,"name":"Impact","value":""},{"id":150,"name":"Time of Event (Mountain Time)","value":"23:38:15"},{"id":151,"name":"Denver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584</v>
      </c>
      <c r="B148" s="7">
        <v>4007</v>
      </c>
      <c r="C148" s="24" t="s">
        <v>106</v>
      </c>
      <c r="D148" s="24" t="s">
        <v>236</v>
      </c>
      <c r="E148" s="15">
        <v>42637.933506944442</v>
      </c>
      <c r="F148" s="15">
        <v>42637.937939814816</v>
      </c>
      <c r="G148" s="7">
        <v>1</v>
      </c>
      <c r="H148" s="15" t="s">
        <v>256</v>
      </c>
      <c r="I148" s="15">
        <v>42637.964039351849</v>
      </c>
      <c r="J148" s="7">
        <v>0</v>
      </c>
      <c r="K148" s="121" t="str">
        <f t="shared" si="76"/>
        <v>4007/4008</v>
      </c>
      <c r="L148" s="24" t="str">
        <f>VLOOKUP(A148,'Trips&amp;Operators'!$C$1:$E$10000,3,FALSE)</f>
        <v>STURGEON</v>
      </c>
      <c r="M148" s="6">
        <f t="shared" si="77"/>
        <v>2.6099537033587694E-2</v>
      </c>
      <c r="N148" s="7">
        <f t="shared" si="73"/>
        <v>37.58333332836628</v>
      </c>
      <c r="O148" s="7"/>
      <c r="P148" s="7"/>
      <c r="Q148" s="25"/>
      <c r="R148" s="25"/>
      <c r="S148" s="37">
        <f t="shared" si="66"/>
        <v>1</v>
      </c>
      <c r="T148" s="52" t="str">
        <f t="shared" si="78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21:24:15-0600',mode:absolute,to:'2016-09-25 00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48" s="54" t="str">
        <f t="shared" si="80"/>
        <v>N</v>
      </c>
      <c r="X148" s="168">
        <f t="shared" si="72"/>
        <v>1</v>
      </c>
      <c r="Y148" s="69">
        <f t="shared" si="68"/>
        <v>4.6899999999999997E-2</v>
      </c>
      <c r="Z148" s="69">
        <f t="shared" si="69"/>
        <v>23.329499999999999</v>
      </c>
      <c r="AA148" s="69">
        <f t="shared" si="81"/>
        <v>23.282599999999999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82"/>
        <v>0235-24</v>
      </c>
      <c r="AE148" s="99" t="str">
        <f t="shared" si="83"/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AF148" s="96" t="str">
        <f t="shared" si="84"/>
        <v>"C:\Program Files (x86)\AstroGrep\AstroGrep.exe" /spath="%USERPROFILE%\AppData\Local\Temp\OnboardLogs" /stypes="app*4007*20160925*" /stext=" 05:.+((SYSTEM_STATE.+slice.+state.+changed )|(ment ac)|(system.+state.+changed )|(\|lc)|(penalty)|(\[timeout)|(PRM\|1\|D)|(kpr)|(kdp))" /e /r /s</v>
      </c>
      <c r="AG148" s="1" t="str">
        <f t="shared" si="85"/>
        <v>EC</v>
      </c>
      <c r="AH148" s="100" t="str">
        <f t="shared" si="74"/>
        <v>"%USERPROFILE%\Documents\GitHub\eaglep3\Utilities\RefineRTDCRunTimes.py" --tripid 235-24 --locoid 4007 --swversion DE.1.0.7.0 --startMP 204:469 --initTime 2016-09-24T22:24:15 --startdatetime 2016-09-24T22:30:38 --delay 1 --endMP 204:233295 --enddatetime 2016-09-24T23:08:13 --enforcementcount 0 &gt;&gt;C:\Users\stu\Documents\GitHub\eaglep3-reporting\EC\2016-09-24-refined-times.txt</v>
      </c>
      <c r="AI148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{"issue":{"subject":"","project_id":79,"tracker_id":40,"status_id":1,"priority_id":2,"assigned_to_id":23,"start_date":"2016-09-24","description":"","custom_fields":[{"id":1,"name":"Subdivision","value":"EC"},{"id":4,"name":"Milepost","value":"23.3295"},{"id":17,"name":"Train ID","value":"235-24"},{"id":16,"name":"Locomotive ID","value":"4007"},{"id":130,"name":"Impact","value":""},{"id":150,"name":"Time of Event (Mountain Time)","value":"23:08:13"},{"id":151,"name":"Denver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586</v>
      </c>
      <c r="B149" s="7">
        <v>4008</v>
      </c>
      <c r="C149" s="24" t="s">
        <v>106</v>
      </c>
      <c r="D149" s="24" t="s">
        <v>662</v>
      </c>
      <c r="E149" s="15">
        <v>42637.970347222225</v>
      </c>
      <c r="F149" s="15">
        <v>42637.977118055554</v>
      </c>
      <c r="G149" s="7">
        <v>2</v>
      </c>
      <c r="H149" s="15" t="s">
        <v>220</v>
      </c>
      <c r="I149" s="15">
        <v>42638.006956018522</v>
      </c>
      <c r="J149" s="7">
        <v>0</v>
      </c>
      <c r="K149" s="121" t="str">
        <f t="shared" si="76"/>
        <v>4007/4008</v>
      </c>
      <c r="L149" s="24" t="str">
        <f>VLOOKUP(A149,'Trips&amp;Operators'!$C$1:$E$10000,3,FALSE)</f>
        <v>STURGEON</v>
      </c>
      <c r="M149" s="6">
        <f t="shared" si="77"/>
        <v>2.9837962967576459E-2</v>
      </c>
      <c r="N149" s="7">
        <f t="shared" si="73"/>
        <v>42.966666673310101</v>
      </c>
      <c r="O149" s="7"/>
      <c r="P149" s="7"/>
      <c r="Q149" s="25"/>
      <c r="R149" s="25"/>
      <c r="S149" s="37">
        <f t="shared" si="66"/>
        <v>1</v>
      </c>
      <c r="T149" s="52" t="str">
        <f t="shared" si="78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22:17:18-0600',mode:absolute,to:'2016-09-25 01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49" s="54" t="str">
        <f t="shared" si="80"/>
        <v>N</v>
      </c>
      <c r="X149" s="168">
        <f t="shared" si="72"/>
        <v>1</v>
      </c>
      <c r="Y149" s="69">
        <f t="shared" si="68"/>
        <v>23.2971</v>
      </c>
      <c r="Z149" s="69">
        <f t="shared" si="69"/>
        <v>1.4999999999999999E-2</v>
      </c>
      <c r="AA149" s="69">
        <f t="shared" si="81"/>
        <v>23.2821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82"/>
        <v>0236-24</v>
      </c>
      <c r="AE149" s="99" t="str">
        <f t="shared" si="83"/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AF149" s="96" t="str">
        <f t="shared" si="84"/>
        <v>"C:\Program Files (x86)\AstroGrep\AstroGrep.exe" /spath="%USERPROFILE%\AppData\Local\Temp\OnboardLogs" /stypes="app*4008*20160925*" /stext=" 06:.+((SYSTEM_STATE.+slice.+state.+changed )|(ment ac)|(system.+state.+changed )|(\|lc)|(penalty)|(\[timeout)|(PRM\|1\|D)|(kpr)|(kdp))" /e /r /s</v>
      </c>
      <c r="AG149" s="1" t="str">
        <f t="shared" si="85"/>
        <v>EC</v>
      </c>
      <c r="AH149" s="100" t="str">
        <f t="shared" si="74"/>
        <v>"%USERPROFILE%\Documents\GitHub\eaglep3\Utilities\RefineRTDCRunTimes.py" --tripid 236-24 --locoid 4008 --swversion DE.1.0.7.0 --startMP 204:232971 --initTime 2016-09-24T23:17:18 --startdatetime 2016-09-24T23:27:03 --delay 2 --endMP 204:150 --enddatetime 2016-09-25T00:10:01 --enforcementcount 0 &gt;&gt;C:\Users\stu\Documents\GitHub\eaglep3-reporting\EC\2016-09-24-refined-times.txt</v>
      </c>
      <c r="AI149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{"issue":{"subject":"","project_id":79,"tracker_id":40,"status_id":1,"priority_id":2,"assigned_to_id":23,"start_date":"2016-09-25","description":"","custom_fields":[{"id":1,"name":"Subdivision","value":"EC"},{"id":4,"name":"Milepost","value":"0.015"},{"id":17,"name":"Train ID","value":"236-24"},{"id":16,"name":"Locomotive ID","value":"4008"},{"id":130,"name":"Impact","value":""},{"id":150,"name":"Time of Event (Mountain Time)","value":"00:10:01"},{"id":151,"name":"Denver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585</v>
      </c>
      <c r="B150" s="7">
        <v>4018</v>
      </c>
      <c r="C150" s="24" t="s">
        <v>106</v>
      </c>
      <c r="D150" s="24" t="s">
        <v>223</v>
      </c>
      <c r="E150" s="15">
        <v>42637.950543981482</v>
      </c>
      <c r="F150" s="15">
        <v>42637.958611111113</v>
      </c>
      <c r="G150" s="7">
        <v>1</v>
      </c>
      <c r="H150" s="15" t="s">
        <v>318</v>
      </c>
      <c r="I150" s="15">
        <v>42637.986192129632</v>
      </c>
      <c r="J150" s="7">
        <v>0</v>
      </c>
      <c r="K150" s="121" t="str">
        <f t="shared" si="76"/>
        <v>4017/4018</v>
      </c>
      <c r="L150" s="24" t="str">
        <f>VLOOKUP(A150,'Trips&amp;Operators'!$C$1:$E$10000,3,FALSE)</f>
        <v>SMITH</v>
      </c>
      <c r="M150" s="6">
        <f t="shared" si="77"/>
        <v>2.7581018519413192E-2</v>
      </c>
      <c r="N150" s="7">
        <f t="shared" si="73"/>
        <v>39.716666667954996</v>
      </c>
      <c r="O150" s="7"/>
      <c r="P150" s="7"/>
      <c r="Q150" s="25"/>
      <c r="R150" s="25"/>
      <c r="S150" s="37">
        <f t="shared" si="66"/>
        <v>1</v>
      </c>
      <c r="T150" s="52" t="str">
        <f t="shared" si="78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21:48:47-0600',mode:absolute,to:'2016-09-25 00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0" s="54" t="str">
        <f t="shared" si="80"/>
        <v>N</v>
      </c>
      <c r="X150" s="168">
        <f t="shared" si="72"/>
        <v>1</v>
      </c>
      <c r="Y150" s="69">
        <f t="shared" si="68"/>
        <v>4.5699999999999998E-2</v>
      </c>
      <c r="Z150" s="69">
        <f t="shared" si="69"/>
        <v>23.327999999999999</v>
      </c>
      <c r="AA150" s="69">
        <f t="shared" si="81"/>
        <v>23.282299999999999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82"/>
        <v>0237-24</v>
      </c>
      <c r="AE150" s="99" t="str">
        <f t="shared" si="83"/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AF150" s="96" t="str">
        <f t="shared" si="84"/>
        <v>"C:\Program Files (x86)\AstroGrep\AstroGrep.exe" /spath="%USERPROFILE%\AppData\Local\Temp\OnboardLogs" /stypes="app*4018*20160925*" /stext=" 05:.+((SYSTEM_STATE.+slice.+state.+changed )|(ment ac)|(system.+state.+changed )|(\|lc)|(penalty)|(\[timeout)|(PRM\|1\|D)|(kpr)|(kdp))" /e /r /s</v>
      </c>
      <c r="AG150" s="1" t="str">
        <f t="shared" si="85"/>
        <v>EC</v>
      </c>
      <c r="AH150" s="100" t="str">
        <f t="shared" si="74"/>
        <v>"%USERPROFILE%\Documents\GitHub\eaglep3\Utilities\RefineRTDCRunTimes.py" --tripid 237-24 --locoid 4018 --swversion DE.1.0.7.0 --startMP 204:457 --initTime 2016-09-24T22:48:47 --startdatetime 2016-09-24T23:00:24 --delay 1 --endMP 204:233280 --enddatetime 2016-09-24T23:40:07 --enforcementcount 0 &gt;&gt;C:\Users\stu\Documents\GitHub\eaglep3-reporting\EC\2016-09-24-refined-times.txt</v>
      </c>
      <c r="AI150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{"issue":{"subject":"","project_id":79,"tracker_id":40,"status_id":1,"priority_id":2,"assigned_to_id":23,"start_date":"2016-09-24","description":"","custom_fields":[{"id":1,"name":"Subdivision","value":"EC"},{"id":4,"name":"Milepost","value":"23.328"},{"id":17,"name":"Train ID","value":"237-24"},{"id":16,"name":"Locomotive ID","value":"4018"},{"id":130,"name":"Impact","value":""},{"id":150,"name":"Time of Event (Mountain Time)","value":"23:40:07"},{"id":151,"name":"Denver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588</v>
      </c>
      <c r="B151" s="7">
        <v>4017</v>
      </c>
      <c r="C151" s="24" t="s">
        <v>106</v>
      </c>
      <c r="D151" s="24" t="s">
        <v>663</v>
      </c>
      <c r="E151" s="15">
        <v>42637.994247685187</v>
      </c>
      <c r="F151" s="15">
        <v>42637.99560185185</v>
      </c>
      <c r="G151" s="7">
        <v>1</v>
      </c>
      <c r="H151" s="15" t="s">
        <v>664</v>
      </c>
      <c r="I151" s="15">
        <v>42637.996469907404</v>
      </c>
      <c r="J151" s="7">
        <v>0</v>
      </c>
      <c r="K151" s="121" t="str">
        <f t="shared" si="76"/>
        <v>4017/4018</v>
      </c>
      <c r="L151" s="24" t="str">
        <f>VLOOKUP(A151,'Trips&amp;Operators'!$C$1:$E$10000,3,FALSE)</f>
        <v>SMITH</v>
      </c>
      <c r="M151" s="6">
        <f t="shared" si="77"/>
        <v>8.6805555474711582E-4</v>
      </c>
      <c r="N151" s="7"/>
      <c r="O151" s="7"/>
      <c r="P151" s="7">
        <f>24*60*SUM($M151:$M151)</f>
        <v>1.2499999988358468</v>
      </c>
      <c r="Q151" s="25"/>
      <c r="R151" s="25" t="s">
        <v>679</v>
      </c>
      <c r="S151" s="37">
        <f t="shared" si="66"/>
        <v>0</v>
      </c>
      <c r="T151" s="52" t="str">
        <f t="shared" si="78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22:51:43-0600',mode:absolute,to:'2016-09-25 00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1" s="54" t="str">
        <f t="shared" si="80"/>
        <v>Y</v>
      </c>
      <c r="X151" s="168">
        <f t="shared" si="72"/>
        <v>1</v>
      </c>
      <c r="Y151" s="69">
        <f t="shared" si="68"/>
        <v>23.2974</v>
      </c>
      <c r="Z151" s="69">
        <f t="shared" si="69"/>
        <v>23.297000000000001</v>
      </c>
      <c r="AA151" s="69">
        <f t="shared" si="81"/>
        <v>3.9999999999906777E-4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82"/>
        <v>0238-24</v>
      </c>
      <c r="AE151" s="99" t="str">
        <f t="shared" si="83"/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AF151" s="96" t="str">
        <f t="shared" si="84"/>
        <v>"C:\Program Files (x86)\AstroGrep\AstroGrep.exe" /spath="%USERPROFILE%\AppData\Local\Temp\OnboardLogs" /stypes="app*4017*20160925*" /stext=" 05:.+((SYSTEM_STATE.+slice.+state.+changed )|(ment ac)|(system.+state.+changed )|(\|lc)|(penalty)|(\[timeout)|(PRM\|1\|D)|(kpr)|(kdp))" /e /r /s</v>
      </c>
      <c r="AG151" s="1" t="str">
        <f t="shared" si="85"/>
        <v>EC</v>
      </c>
      <c r="AH151" s="100" t="str">
        <f t="shared" si="74"/>
        <v>"%USERPROFILE%\Documents\GitHub\eaglep3\Utilities\RefineRTDCRunTimes.py" --tripid 238-24 --locoid 4017 --swversion DE.1.0.7.0 --startMP 204:232974 --initTime 2016-09-24T23:51:43 --startdatetime 2016-09-24T23:53:40 --delay 1 --endMP 204:232970 --enddatetime 2016-09-24T23:54:55 --enforcementcount 0 &gt;&gt;C:\Users\stu\Documents\GitHub\eaglep3-reporting\EC\2016-09-24-refined-times.txt</v>
      </c>
      <c r="AI151" s="134" t="str">
        <f t="shared" si="75"/>
        <v>echo {"issue":{"subject":"Onboard in-route failure","project_id":79,"tracker_id":40,"status_id":1,"priority_id":2,"assigned_to_id":23,"start_date":"2016-09-24","description":"At 23:54:57, multiple CPU faults","custom_fields":[{"id":1,"name":"Subdivision","value":"EC"},{"id":4,"name":"Milepost","value":"23.297"},{"id":17,"name":"Train ID","value":"238-24"},{"id":16,"name":"Locomotive ID","value":"4017"},{"id":130,"name":"Impact","value":"Failed State"},{"id":150,"name":"Time of Event (Mountain Time)","value":"23:54:55"},{"id":151,"name":"Denver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1" s="55" t="s">
        <v>687</v>
      </c>
      <c r="AK151" s="55" t="s">
        <v>141</v>
      </c>
      <c r="AL151" s="55" t="s">
        <v>241</v>
      </c>
    </row>
    <row r="152" spans="1:38" x14ac:dyDescent="0.25">
      <c r="A152" s="39" t="s">
        <v>587</v>
      </c>
      <c r="B152" s="7">
        <v>4014</v>
      </c>
      <c r="C152" s="24" t="s">
        <v>106</v>
      </c>
      <c r="D152" s="24" t="s">
        <v>665</v>
      </c>
      <c r="E152" s="15">
        <v>42637.986388888887</v>
      </c>
      <c r="F152" s="15">
        <v>42637.987291666665</v>
      </c>
      <c r="G152" s="7">
        <v>0</v>
      </c>
      <c r="H152" s="15" t="s">
        <v>666</v>
      </c>
      <c r="I152" s="15">
        <v>42638.005752314813</v>
      </c>
      <c r="J152" s="7">
        <v>0</v>
      </c>
      <c r="K152" s="121" t="str">
        <f t="shared" si="76"/>
        <v>4013/4014</v>
      </c>
      <c r="L152" s="24" t="str">
        <f>VLOOKUP(A152,'Trips&amp;Operators'!$C$1:$E$10000,3,FALSE)</f>
        <v>NEWELL</v>
      </c>
      <c r="M152" s="6">
        <f t="shared" si="77"/>
        <v>1.8460648148902692E-2</v>
      </c>
      <c r="N152" s="7"/>
      <c r="O152" s="7"/>
      <c r="P152" s="7">
        <f>24*60*SUM($M152:$M153)</f>
        <v>29.333333327667788</v>
      </c>
      <c r="Q152" s="25"/>
      <c r="R152" s="25" t="s">
        <v>427</v>
      </c>
      <c r="S152" s="37">
        <f t="shared" si="66"/>
        <v>0.75</v>
      </c>
      <c r="T152" s="52" t="str">
        <f t="shared" si="78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9</v>
      </c>
      <c r="V15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22:40:24-0600',mode:absolute,to:'2016-09-25 01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2" s="54" t="str">
        <f t="shared" si="80"/>
        <v>Y</v>
      </c>
      <c r="X152" s="168">
        <f t="shared" si="72"/>
        <v>1</v>
      </c>
      <c r="Y152" s="69">
        <f t="shared" ref="Y152:Y172" si="86">RIGHT(D152,LEN(D152)-4)/10000</f>
        <v>3.7179000000000002</v>
      </c>
      <c r="Z152" s="69">
        <f t="shared" ref="Z152:Z172" si="87">RIGHT(H152,LEN(H152)-4)/10000</f>
        <v>23.3322</v>
      </c>
      <c r="AA152" s="69">
        <f t="shared" si="81"/>
        <v>19.6143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82"/>
        <v>0239-24</v>
      </c>
      <c r="AE152" s="99" t="str">
        <f t="shared" si="83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52" s="96" t="str">
        <f t="shared" si="84"/>
        <v>"C:\Program Files (x86)\AstroGrep\AstroGrep.exe" /spath="%USERPROFILE%\AppData\Local\Temp\OnboardLogs" /stypes="app*4014*20160925*" /stext=" 06:.+((SYSTEM_STATE.+slice.+state.+changed )|(ment ac)|(system.+state.+changed )|(\|lc)|(penalty)|(\[timeout)|(PRM\|1\|D)|(kpr)|(kdp))" /e /r /s</v>
      </c>
      <c r="AG152" s="1" t="str">
        <f t="shared" si="85"/>
        <v>EC</v>
      </c>
      <c r="AH152" s="100" t="str">
        <f t="shared" si="74"/>
        <v>"%USERPROFILE%\Documents\GitHub\eaglep3\Utilities\RefineRTDCRunTimes.py" --tripid 239-24 --locoid 4014 --swversion DE.1.0.7.0 --startMP 204:37179 --initTime 2016-09-24T23:40:24 --startdatetime 2016-09-24T23:41:42 --delay 0 --endMP 204:233322 --enddatetime 2016-09-25T00:08:17 --enforcementcount 0 &gt;&gt;C:\Users\stu\Documents\GitHub\eaglep3-reporting\EC\2016-09-24-refined-times.txt</v>
      </c>
      <c r="AI152" s="134" t="str">
        <f t="shared" si="75"/>
        <v>echo {"issue":{"subject":"Wi-MAX outage","project_id":79,"tracker_id":40,"status_id":1,"priority_id":2,"assigned_to_id":23,"start_date":"2016-09-25","description":"","custom_fields":[{"id":1,"name":"Subdivision","value":"EC"},{"id":4,"name":"Milepost","value":"23.3322"},{"id":17,"name":"Train ID","value":"239-24"},{"id":16,"name":"Locomotive ID","value":"4014"},{"id":130,"name":"Impact","value":""},{"id":150,"name":"Time of Event (Mountain Time)","value":"00:08:17"},{"id":151,"name":"Denver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587</v>
      </c>
      <c r="B153" s="7">
        <v>4014</v>
      </c>
      <c r="C153" s="24" t="s">
        <v>106</v>
      </c>
      <c r="D153" s="24" t="s">
        <v>227</v>
      </c>
      <c r="E153" s="15">
        <v>42637.975578703707</v>
      </c>
      <c r="F153" s="15">
        <v>42637.97934027778</v>
      </c>
      <c r="G153" s="7">
        <v>1</v>
      </c>
      <c r="H153" s="15" t="s">
        <v>667</v>
      </c>
      <c r="I153" s="15">
        <v>42637.981249999997</v>
      </c>
      <c r="J153" s="7">
        <v>0</v>
      </c>
      <c r="K153" s="121" t="str">
        <f t="shared" si="76"/>
        <v>4013/4014</v>
      </c>
      <c r="L153" s="24" t="str">
        <f>VLOOKUP(A153,'Trips&amp;Operators'!$C$1:$E$10000,3,FALSE)</f>
        <v>NEWELL</v>
      </c>
      <c r="M153" s="6">
        <f t="shared" si="77"/>
        <v>1.9097222175332718E-3</v>
      </c>
      <c r="N153" s="7"/>
      <c r="O153" s="7"/>
      <c r="P153" s="7"/>
      <c r="Q153" s="25"/>
      <c r="R153" s="25"/>
      <c r="S153" s="37"/>
      <c r="T153" s="52" t="str">
        <f t="shared" si="78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22:24:50-0600',mode:absolute,to:'2016-09-25 00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3" s="54" t="str">
        <f t="shared" si="80"/>
        <v>Y</v>
      </c>
      <c r="X153" s="168">
        <f t="shared" si="72"/>
        <v>0</v>
      </c>
      <c r="Y153" s="69">
        <f t="shared" si="86"/>
        <v>4.5499999999999999E-2</v>
      </c>
      <c r="Z153" s="69">
        <f t="shared" si="87"/>
        <v>0.64890000000000003</v>
      </c>
      <c r="AA153" s="69">
        <f t="shared" si="81"/>
        <v>0.60340000000000005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82"/>
        <v>0239-24</v>
      </c>
      <c r="AE153" s="99" t="str">
        <f t="shared" si="83"/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AF153" s="96" t="str">
        <f t="shared" si="84"/>
        <v>"C:\Program Files (x86)\AstroGrep\AstroGrep.exe" /spath="%USERPROFILE%\AppData\Local\Temp\OnboardLogs" /stypes="app*4014*20160925*" /stext=" 05:.+((SYSTEM_STATE.+slice.+state.+changed )|(ment ac)|(system.+state.+changed )|(\|lc)|(penalty)|(\[timeout)|(PRM\|1\|D)|(kpr)|(kdp))" /e /r /s</v>
      </c>
      <c r="AG153" s="1" t="str">
        <f t="shared" si="85"/>
        <v>EC</v>
      </c>
      <c r="AH153" s="100" t="str">
        <f t="shared" si="74"/>
        <v>"%USERPROFILE%\Documents\GitHub\eaglep3\Utilities\RefineRTDCRunTimes.py" --tripid 239-24 --locoid 4014 --swversion DE.1.0.7.0 --startMP 204:455 --initTime 2016-09-24T23:24:50 --startdatetime 2016-09-24T23:30:15 --delay 1 --endMP 204:6489 --enddatetime 2016-09-24T23:33:00 --enforcementcount 0 &gt;&gt;C:\Users\stu\Documents\GitHub\eaglep3-reporting\EC\2016-09-24-refined-times.txt</v>
      </c>
      <c r="AI153" s="134" t="str">
        <f t="shared" si="75"/>
        <v>echo {"issue":{"subject":"","project_id":79,"tracker_id":40,"status_id":1,"priority_id":2,"assigned_to_id":23,"start_date":"2016-09-24","description":"","custom_fields":[{"id":1,"name":"Subdivision","value":"EC"},{"id":4,"name":"Milepost","value":"0.6489"},{"id":17,"name":"Train ID","value":"239-24"},{"id":16,"name":"Locomotive ID","value":"4014"},{"id":130,"name":"Impact","value":""},{"id":150,"name":"Time of Event (Mountain Time)","value":"23:33:00"},{"id":151,"name":"Denver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590</v>
      </c>
      <c r="B154" s="7">
        <v>4013</v>
      </c>
      <c r="C154" s="24" t="s">
        <v>106</v>
      </c>
      <c r="D154" s="24" t="s">
        <v>656</v>
      </c>
      <c r="E154" s="15">
        <v>42638.01289351852</v>
      </c>
      <c r="F154" s="15">
        <v>42638.018217592595</v>
      </c>
      <c r="G154" s="7">
        <v>1</v>
      </c>
      <c r="H154" s="15" t="s">
        <v>217</v>
      </c>
      <c r="I154" s="15">
        <v>42638.048506944448</v>
      </c>
      <c r="J154" s="7">
        <v>0</v>
      </c>
      <c r="K154" s="121" t="str">
        <f t="shared" si="76"/>
        <v>4013/4014</v>
      </c>
      <c r="L154" s="24" t="str">
        <f>VLOOKUP(A154,'Trips&amp;Operators'!$C$1:$E$10000,3,FALSE)</f>
        <v>NEWELL</v>
      </c>
      <c r="M154" s="6">
        <f t="shared" si="77"/>
        <v>3.0289351852843538E-2</v>
      </c>
      <c r="N154" s="7">
        <f t="shared" ref="N154:N159" si="88">24*60*SUM($M154:$M154)</f>
        <v>43.616666668094695</v>
      </c>
      <c r="O154" s="7"/>
      <c r="P154" s="7"/>
      <c r="Q154" s="25"/>
      <c r="R154" s="25"/>
      <c r="S154" s="37">
        <f t="shared" ref="S154:S172" si="89">SUM(U154:U154)/IF(AG154="EC",12,1)</f>
        <v>1</v>
      </c>
      <c r="T154" s="52" t="str">
        <f t="shared" si="78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23:18:34-0600',mode:absolute,to:'2016-09-25 02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4" s="54" t="str">
        <f t="shared" si="80"/>
        <v>N</v>
      </c>
      <c r="X154" s="168">
        <f t="shared" si="72"/>
        <v>1</v>
      </c>
      <c r="Y154" s="69">
        <f t="shared" si="86"/>
        <v>23.297999999999998</v>
      </c>
      <c r="Z154" s="69">
        <f t="shared" si="87"/>
        <v>1.5800000000000002E-2</v>
      </c>
      <c r="AA154" s="69">
        <f t="shared" si="81"/>
        <v>23.2822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82"/>
        <v>0240-24</v>
      </c>
      <c r="AE154" s="99" t="str">
        <f t="shared" si="83"/>
        <v>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 &amp; aws s3 cp s3://rtdc.mdm.uploadarchive/RTDC4013/2016-09-26/ "%USERPROFILE%\AppData\Local\Temp\OnboardLogs"\RTDC4013\2016-09-26 --recursive &amp; "%USERPROFILE%\Documents\GitHub\mrs-test-scripts\Headless Mode &amp; Sideloading\WalkAndUnGZ.bat" "%USERPROFILE%\AppData\Local\Temp\OnboardLogs"\RTDC4013\2016-09-26</v>
      </c>
      <c r="AF154" s="96" t="str">
        <f t="shared" si="84"/>
        <v>"C:\Program Files (x86)\AstroGrep\AstroGrep.exe" /spath="%USERPROFILE%\AppData\Local\Temp\OnboardLogs" /stypes="app*4013*20160925*" /stext=" 07:.+((SYSTEM_STATE.+slice.+state.+changed )|(ment ac)|(system.+state.+changed )|(\|lc)|(penalty)|(\[timeout)|(PRM\|1\|D)|(kpr)|(kdp))" /e /r /s</v>
      </c>
      <c r="AG154" s="1" t="str">
        <f t="shared" si="85"/>
        <v>EC</v>
      </c>
      <c r="AH154" s="100" t="str">
        <f t="shared" si="74"/>
        <v>"%USERPROFILE%\Documents\GitHub\eaglep3\Utilities\RefineRTDCRunTimes.py" --tripid 240-24 --locoid 4013 --swversion DE.1.0.7.0 --startMP 204:232980 --initTime 2016-09-25T00:18:34 --startdatetime 2016-09-25T00:26:14 --delay 1 --endMP 204:158 --enddatetime 2016-09-25T01:09:51 --enforcementcount 0 &gt;&gt;C:\Users\stu\Documents\GitHub\eaglep3-reporting\EC\2016-09-24-refined-times.txt</v>
      </c>
      <c r="AI154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{"issue":{"subject":"","project_id":79,"tracker_id":40,"status_id":1,"priority_id":2,"assigned_to_id":23,"start_date":"2016-09-25","description":"","custom_fields":[{"id":1,"name":"Subdivision","value":"EC"},{"id":4,"name":"Milepost","value":"0.0158"},{"id":17,"name":"Train ID","value":"240-24"},{"id":16,"name":"Locomotive ID","value":"4013"},{"id":130,"name":"Impact","value":""},{"id":150,"name":"Time of Event (Mountain Time)","value":"01:09:51"},{"id":151,"name":"Denver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589</v>
      </c>
      <c r="B155" s="7">
        <v>4053</v>
      </c>
      <c r="C155" s="24" t="s">
        <v>106</v>
      </c>
      <c r="D155" s="24" t="s">
        <v>216</v>
      </c>
      <c r="E155" s="15">
        <v>42637.999606481484</v>
      </c>
      <c r="F155" s="15">
        <v>42638.000636574077</v>
      </c>
      <c r="G155" s="7">
        <v>1</v>
      </c>
      <c r="H155" s="15" t="s">
        <v>407</v>
      </c>
      <c r="I155" s="15">
        <v>42638.029456018521</v>
      </c>
      <c r="J155" s="7">
        <v>0</v>
      </c>
      <c r="K155" s="121" t="str">
        <f t="shared" si="76"/>
        <v>4053/4054</v>
      </c>
      <c r="L155" s="24" t="str">
        <f>VLOOKUP(A155,'Trips&amp;Operators'!$C$1:$E$10000,3,FALSE)</f>
        <v>CHANDLER</v>
      </c>
      <c r="M155" s="6">
        <f t="shared" si="77"/>
        <v>2.8819444443797693E-2</v>
      </c>
      <c r="N155" s="7">
        <f t="shared" si="88"/>
        <v>41.499999999068677</v>
      </c>
      <c r="O155" s="7"/>
      <c r="P155" s="7"/>
      <c r="Q155" s="25"/>
      <c r="R155" s="25"/>
      <c r="S155" s="37">
        <f t="shared" si="89"/>
        <v>1</v>
      </c>
      <c r="T155" s="52" t="str">
        <f t="shared" si="78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22:59:26-0600',mode:absolute,to:'2016-09-25 01:42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5" s="54" t="str">
        <f t="shared" si="80"/>
        <v>N</v>
      </c>
      <c r="X155" s="168">
        <f t="shared" si="72"/>
        <v>1</v>
      </c>
      <c r="Y155" s="69">
        <f t="shared" si="86"/>
        <v>4.7100000000000003E-2</v>
      </c>
      <c r="Z155" s="69">
        <f t="shared" si="87"/>
        <v>23.328499999999998</v>
      </c>
      <c r="AA155" s="69">
        <f t="shared" si="81"/>
        <v>23.281399999999998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82"/>
        <v>0241-24</v>
      </c>
      <c r="AE155" s="99" t="str">
        <f t="shared" si="83"/>
        <v>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 &amp; 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</v>
      </c>
      <c r="AF155" s="96" t="str">
        <f t="shared" si="84"/>
        <v>"C:\Program Files (x86)\AstroGrep\AstroGrep.exe" /spath="%USERPROFILE%\AppData\Local\Temp\OnboardLogs" /stypes="app*4053*20160925*" /stext=" 06:.+((SYSTEM_STATE.+slice.+state.+changed )|(ment ac)|(system.+state.+changed )|(\|lc)|(penalty)|(\[timeout)|(PRM\|1\|D)|(kpr)|(kdp))" /e /r /s</v>
      </c>
      <c r="AG155" s="1" t="str">
        <f t="shared" si="85"/>
        <v>EC</v>
      </c>
      <c r="AH155" s="100" t="str">
        <f t="shared" si="74"/>
        <v>"%USERPROFILE%\Documents\GitHub\eaglep3\Utilities\RefineRTDCRunTimes.py" --tripid 241-24 --locoid 4053 --swversion DE.1.0.7.0 --startMP 204:471 --initTime 2016-09-24T23:59:26 --startdatetime 2016-09-25T00:00:55 --delay 1 --endMP 204:233285 --enddatetime 2016-09-25T00:42:25 --enforcementcount 0 &gt;&gt;C:\Users\stu\Documents\GitHub\eaglep3-reporting\EC\2016-09-24-refined-times.txt</v>
      </c>
      <c r="AI155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{"issue":{"subject":"","project_id":79,"tracker_id":40,"status_id":1,"priority_id":2,"assigned_to_id":23,"start_date":"2016-09-25","description":"","custom_fields":[{"id":1,"name":"Subdivision","value":"EC"},{"id":4,"name":"Milepost","value":"23.3285"},{"id":17,"name":"Train ID","value":"241-24"},{"id":16,"name":"Locomotive ID","value":"4053"},{"id":130,"name":"Impact","value":""},{"id":150,"name":"Time of Event (Mountain Time)","value":"00:42:25"},{"id":151,"name":"Denver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592</v>
      </c>
      <c r="B156" s="7">
        <v>4054</v>
      </c>
      <c r="C156" s="24" t="s">
        <v>106</v>
      </c>
      <c r="D156" s="24" t="s">
        <v>262</v>
      </c>
      <c r="E156" s="15">
        <v>42638.035891203705</v>
      </c>
      <c r="F156" s="15">
        <v>42638.039143518516</v>
      </c>
      <c r="G156" s="7">
        <v>2</v>
      </c>
      <c r="H156" s="15" t="s">
        <v>213</v>
      </c>
      <c r="I156" s="15">
        <v>42638.068576388891</v>
      </c>
      <c r="J156" s="7">
        <v>0</v>
      </c>
      <c r="K156" s="121" t="str">
        <f t="shared" si="76"/>
        <v>4053/4054</v>
      </c>
      <c r="L156" s="24" t="str">
        <f>VLOOKUP(A156,'Trips&amp;Operators'!$C$1:$E$10000,3,FALSE)</f>
        <v>CHANDLER</v>
      </c>
      <c r="M156" s="6">
        <f t="shared" si="77"/>
        <v>2.9432870374876074E-2</v>
      </c>
      <c r="N156" s="7">
        <f t="shared" si="88"/>
        <v>42.383333339821547</v>
      </c>
      <c r="O156" s="7"/>
      <c r="P156" s="7"/>
      <c r="Q156" s="25"/>
      <c r="R156" s="25"/>
      <c r="S156" s="37">
        <f t="shared" si="89"/>
        <v>1</v>
      </c>
      <c r="T156" s="52" t="str">
        <f t="shared" si="78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23:51:41-0600',mode:absolute,to:'2016-09-25 02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6" s="54" t="str">
        <f t="shared" si="80"/>
        <v>N</v>
      </c>
      <c r="X156" s="168">
        <f t="shared" si="72"/>
        <v>1</v>
      </c>
      <c r="Y156" s="69">
        <f t="shared" si="86"/>
        <v>23.298100000000002</v>
      </c>
      <c r="Z156" s="69">
        <f t="shared" si="87"/>
        <v>1.49E-2</v>
      </c>
      <c r="AA156" s="69">
        <f t="shared" si="81"/>
        <v>23.283200000000001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82"/>
        <v>0242-24</v>
      </c>
      <c r="AE156" s="99" t="str">
        <f t="shared" si="83"/>
        <v>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 &amp; aws s3 cp s3://rtdc.mdm.uploadarchive/RTDC4054/2016-09-26/ "%USERPROFILE%\AppData\Local\Temp\OnboardLogs"\RTDC4054\2016-09-26 --recursive &amp; "%USERPROFILE%\Documents\GitHub\mrs-test-scripts\Headless Mode &amp; Sideloading\WalkAndUnGZ.bat" "%USERPROFILE%\AppData\Local\Temp\OnboardLogs"\RTDC4054\2016-09-26</v>
      </c>
      <c r="AF156" s="96" t="str">
        <f t="shared" si="84"/>
        <v>"C:\Program Files (x86)\AstroGrep\AstroGrep.exe" /spath="%USERPROFILE%\AppData\Local\Temp\OnboardLogs" /stypes="app*4054*20160925*" /stext=" 07:.+((SYSTEM_STATE.+slice.+state.+changed )|(ment ac)|(system.+state.+changed )|(\|lc)|(penalty)|(\[timeout)|(PRM\|1\|D)|(kpr)|(kdp))" /e /r /s</v>
      </c>
      <c r="AG156" s="1" t="str">
        <f t="shared" si="85"/>
        <v>EC</v>
      </c>
      <c r="AH156" s="100" t="str">
        <f t="shared" si="74"/>
        <v>"%USERPROFILE%\Documents\GitHub\eaglep3\Utilities\RefineRTDCRunTimes.py" --tripid 242-24 --locoid 4054 --swversion DE.1.0.7.0 --startMP 204:232981 --initTime 2016-09-25T00:51:41 --startdatetime 2016-09-25T00:56:22 --delay 2 --endMP 204:149 --enddatetime 2016-09-25T01:38:45 --enforcementcount 0 &gt;&gt;C:\Users\stu\Documents\GitHub\eaglep3-reporting\EC\2016-09-24-refined-times.txt</v>
      </c>
      <c r="AI156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{"issue":{"subject":"","project_id":79,"tracker_id":40,"status_id":1,"priority_id":2,"assigned_to_id":23,"start_date":"2016-09-25","description":"","custom_fields":[{"id":1,"name":"Subdivision","value":"EC"},{"id":4,"name":"Milepost","value":"0.0149"},{"id":17,"name":"Train ID","value":"242-24"},{"id":16,"name":"Locomotive ID","value":"4054"},{"id":130,"name":"Impact","value":""},{"id":150,"name":"Time of Event (Mountain Time)","value":"01:38:45"},{"id":151,"name":"Denver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591</v>
      </c>
      <c r="B157" s="7">
        <v>4007</v>
      </c>
      <c r="C157" s="24" t="s">
        <v>106</v>
      </c>
      <c r="D157" s="24" t="s">
        <v>305</v>
      </c>
      <c r="E157" s="15">
        <v>42638.014594907407</v>
      </c>
      <c r="F157" s="15">
        <v>42638.021064814813</v>
      </c>
      <c r="G157" s="7">
        <v>2</v>
      </c>
      <c r="H157" s="15" t="s">
        <v>403</v>
      </c>
      <c r="I157" s="15">
        <v>42638.047418981485</v>
      </c>
      <c r="J157" s="7">
        <v>0</v>
      </c>
      <c r="K157" s="121" t="str">
        <f t="shared" si="76"/>
        <v>4007/4008</v>
      </c>
      <c r="L157" s="24" t="str">
        <f>VLOOKUP(A157,'Trips&amp;Operators'!$C$1:$E$10000,3,FALSE)</f>
        <v>STURGEON</v>
      </c>
      <c r="M157" s="6">
        <f t="shared" si="77"/>
        <v>2.6354166671808343E-2</v>
      </c>
      <c r="N157" s="7">
        <f t="shared" si="88"/>
        <v>37.950000007404014</v>
      </c>
      <c r="O157" s="7"/>
      <c r="P157" s="7"/>
      <c r="Q157" s="25"/>
      <c r="R157" s="25"/>
      <c r="S157" s="37">
        <f t="shared" si="89"/>
        <v>1</v>
      </c>
      <c r="T157" s="52" t="str">
        <f t="shared" si="78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23:21:01-0600',mode:absolute,to:'2016-09-25 02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57" s="54" t="str">
        <f t="shared" si="80"/>
        <v>N</v>
      </c>
      <c r="X157" s="168">
        <f t="shared" si="72"/>
        <v>1</v>
      </c>
      <c r="Y157" s="69">
        <f t="shared" si="86"/>
        <v>4.6399999999999997E-2</v>
      </c>
      <c r="Z157" s="69">
        <f t="shared" si="87"/>
        <v>23.330100000000002</v>
      </c>
      <c r="AA157" s="69">
        <f t="shared" si="81"/>
        <v>23.283700000000003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82"/>
        <v>0243-24</v>
      </c>
      <c r="AE157" s="99" t="str">
        <f t="shared" si="83"/>
        <v>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 &amp; aws s3 cp s3://rtdc.mdm.uploadarchive/RTDC4007/2016-09-26/ "%USERPROFILE%\AppData\Local\Temp\OnboardLogs"\RTDC4007\2016-09-26 --recursive &amp; "%USERPROFILE%\Documents\GitHub\mrs-test-scripts\Headless Mode &amp; Sideloading\WalkAndUnGZ.bat" "%USERPROFILE%\AppData\Local\Temp\OnboardLogs"\RTDC4007\2016-09-26</v>
      </c>
      <c r="AF157" s="96" t="str">
        <f t="shared" si="84"/>
        <v>"C:\Program Files (x86)\AstroGrep\AstroGrep.exe" /spath="%USERPROFILE%\AppData\Local\Temp\OnboardLogs" /stypes="app*4007*20160925*" /stext=" 07:.+((SYSTEM_STATE.+slice.+state.+changed )|(ment ac)|(system.+state.+changed )|(\|lc)|(penalty)|(\[timeout)|(PRM\|1\|D)|(kpr)|(kdp))" /e /r /s</v>
      </c>
      <c r="AG157" s="1" t="str">
        <f t="shared" si="85"/>
        <v>EC</v>
      </c>
      <c r="AH157" s="100" t="str">
        <f t="shared" si="74"/>
        <v>"%USERPROFILE%\Documents\GitHub\eaglep3\Utilities\RefineRTDCRunTimes.py" --tripid 243-24 --locoid 4007 --swversion DE.1.0.7.0 --startMP 204:464 --initTime 2016-09-25T00:21:01 --startdatetime 2016-09-25T00:30:20 --delay 2 --endMP 204:233301 --enddatetime 2016-09-25T01:08:17 --enforcementcount 0 &gt;&gt;C:\Users\stu\Documents\GitHub\eaglep3-reporting\EC\2016-09-24-refined-times.txt</v>
      </c>
      <c r="AI157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{"issue":{"subject":"","project_id":79,"tracker_id":40,"status_id":1,"priority_id":2,"assigned_to_id":23,"start_date":"2016-09-25","description":"","custom_fields":[{"id":1,"name":"Subdivision","value":"EC"},{"id":4,"name":"Milepost","value":"23.3301"},{"id":17,"name":"Train ID","value":"243-24"},{"id":16,"name":"Locomotive ID","value":"4007"},{"id":130,"name":"Impact","value":""},{"id":150,"name":"Time of Event (Mountain Time)","value":"01:08:17"},{"id":151,"name":"Denver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595</v>
      </c>
      <c r="B158" s="7">
        <v>4008</v>
      </c>
      <c r="C158" s="24" t="s">
        <v>106</v>
      </c>
      <c r="D158" s="24" t="s">
        <v>660</v>
      </c>
      <c r="E158" s="15">
        <v>42638.055208333331</v>
      </c>
      <c r="F158" s="15">
        <v>42638.059976851851</v>
      </c>
      <c r="G158" s="7">
        <v>1</v>
      </c>
      <c r="H158" s="15" t="s">
        <v>214</v>
      </c>
      <c r="I158" s="15">
        <v>42638.089444444442</v>
      </c>
      <c r="J158" s="7">
        <v>0</v>
      </c>
      <c r="K158" s="121" t="str">
        <f t="shared" si="76"/>
        <v>4007/4008</v>
      </c>
      <c r="L158" s="24" t="str">
        <f>VLOOKUP(A158,'Trips&amp;Operators'!$C$1:$E$10000,3,FALSE)</f>
        <v>STURGEON</v>
      </c>
      <c r="M158" s="6">
        <f t="shared" si="77"/>
        <v>2.9467592590663116E-2</v>
      </c>
      <c r="N158" s="7">
        <f t="shared" si="88"/>
        <v>42.433333330554888</v>
      </c>
      <c r="O158" s="7"/>
      <c r="P158" s="7"/>
      <c r="Q158" s="25"/>
      <c r="R158" s="25"/>
      <c r="S158" s="37">
        <f t="shared" si="89"/>
        <v>1</v>
      </c>
      <c r="T158" s="52" t="str">
        <f t="shared" si="78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https://search-rtdc-monitor-bjffxe2xuh6vdkpspy63sjmuny.us-east-1.es.amazonaws.com/_plugin/kibana/#/discover/Steve-Slow-Train-Analysis-(2080s-and-2083s)?_g=(refreshInterval:(display:Off,section:0,value:0),time:(from:'2016-09-25 00:19:30-0600',mode:absolute,to:'2016-09-25 03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58" s="54" t="str">
        <f t="shared" si="80"/>
        <v>N</v>
      </c>
      <c r="X158" s="168">
        <f t="shared" si="72"/>
        <v>1</v>
      </c>
      <c r="Y158" s="69">
        <f t="shared" si="86"/>
        <v>23.296500000000002</v>
      </c>
      <c r="Z158" s="69">
        <f t="shared" si="87"/>
        <v>1.6E-2</v>
      </c>
      <c r="AA158" s="69">
        <f t="shared" si="81"/>
        <v>23.280500000000004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82"/>
        <v>0244-24</v>
      </c>
      <c r="AE158" s="99" t="str">
        <f t="shared" si="83"/>
        <v>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 &amp; aws s3 cp s3://rtdc.mdm.uploadarchive/RTDC4008/2016-09-26/ "%USERPROFILE%\AppData\Local\Temp\OnboardLogs"\RTDC4008\2016-09-26 --recursive &amp; "%USERPROFILE%\Documents\GitHub\mrs-test-scripts\Headless Mode &amp; Sideloading\WalkAndUnGZ.bat" "%USERPROFILE%\AppData\Local\Temp\OnboardLogs"\RTDC4008\2016-09-26</v>
      </c>
      <c r="AF158" s="96" t="str">
        <f t="shared" si="84"/>
        <v>"C:\Program Files (x86)\AstroGrep\AstroGrep.exe" /spath="%USERPROFILE%\AppData\Local\Temp\OnboardLogs" /stypes="app*4008*20160925*" /stext=" 08:.+((SYSTEM_STATE.+slice.+state.+changed )|(ment ac)|(system.+state.+changed )|(\|lc)|(penalty)|(\[timeout)|(PRM\|1\|D)|(kpr)|(kdp))" /e /r /s</v>
      </c>
      <c r="AG158" s="1" t="str">
        <f t="shared" si="85"/>
        <v>EC</v>
      </c>
      <c r="AH158" s="100" t="str">
        <f t="shared" si="74"/>
        <v>"%USERPROFILE%\Documents\GitHub\eaglep3\Utilities\RefineRTDCRunTimes.py" --tripid 244-24 --locoid 4008 --swversion DE.1.0.7.0 --startMP 204:232965 --initTime 2016-09-25T01:19:30 --startdatetime 2016-09-25T01:26:22 --delay 1 --endMP 204:160 --enddatetime 2016-09-25T02:08:48 --enforcementcount 0 &gt;&gt;C:\Users\stu\Documents\GitHub\eaglep3-reporting\EC\2016-09-24-refined-times.txt</v>
      </c>
      <c r="AI158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{"issue":{"subject":"","project_id":79,"tracker_id":40,"status_id":1,"priority_id":2,"assigned_to_id":23,"start_date":"2016-09-25","description":"","custom_fields":[{"id":1,"name":"Subdivision","value":"EC"},{"id":4,"name":"Milepost","value":"0.016"},{"id":17,"name":"Train ID","value":"244-24"},{"id":16,"name":"Locomotive ID","value":"4008"},{"id":130,"name":"Impact","value":""},{"id":150,"name":"Time of Event (Mountain Time)","value":"02:08:48"},{"id":151,"name":"Denver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593</v>
      </c>
      <c r="B159" s="7">
        <v>4018</v>
      </c>
      <c r="C159" s="24" t="s">
        <v>106</v>
      </c>
      <c r="D159" s="24" t="s">
        <v>264</v>
      </c>
      <c r="E159" s="15">
        <v>42638.038865740738</v>
      </c>
      <c r="F159" s="15">
        <v>42638.042037037034</v>
      </c>
      <c r="G159" s="7">
        <v>1</v>
      </c>
      <c r="H159" s="15" t="s">
        <v>267</v>
      </c>
      <c r="I159" s="15">
        <v>42638.068865740737</v>
      </c>
      <c r="J159" s="7">
        <v>0</v>
      </c>
      <c r="K159" s="121" t="str">
        <f t="shared" si="76"/>
        <v>4017/4018</v>
      </c>
      <c r="L159" s="24" t="str">
        <f>VLOOKUP(A159,'Trips&amp;Operators'!$C$1:$E$10000,3,FALSE)</f>
        <v>SMITH</v>
      </c>
      <c r="M159" s="6">
        <f t="shared" si="77"/>
        <v>2.6828703703358769E-2</v>
      </c>
      <c r="N159" s="7">
        <f t="shared" si="88"/>
        <v>38.633333332836628</v>
      </c>
      <c r="O159" s="7"/>
      <c r="P159" s="7"/>
      <c r="Q159" s="25"/>
      <c r="R159" s="25"/>
      <c r="S159" s="37">
        <f t="shared" si="89"/>
        <v>1</v>
      </c>
      <c r="T159" s="52" t="str">
        <f t="shared" si="78"/>
        <v>NorthBound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23:55:58-0600',mode:absolute,to:'2016-09-25 02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9" s="54" t="str">
        <f t="shared" si="80"/>
        <v>N</v>
      </c>
      <c r="X159" s="168">
        <f t="shared" ref="X159:X163" si="90">VALUE(LEFT(AD159,4))-VALUE(LEFT(AD158,4))</f>
        <v>1</v>
      </c>
      <c r="Y159" s="69">
        <f t="shared" si="86"/>
        <v>4.4200000000000003E-2</v>
      </c>
      <c r="Z159" s="69">
        <f t="shared" si="87"/>
        <v>23.328700000000001</v>
      </c>
      <c r="AA159" s="69">
        <f t="shared" si="81"/>
        <v>23.284500000000001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82"/>
        <v>0245-24</v>
      </c>
      <c r="AE159" s="99" t="str">
        <f t="shared" si="83"/>
        <v>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 &amp; aws s3 cp s3://rtdc.mdm.uploadarchive/RTDC4018/2016-09-26/ "%USERPROFILE%\AppData\Local\Temp\OnboardLogs"\RTDC4018\2016-09-26 --recursive &amp; "%USERPROFILE%\Documents\GitHub\mrs-test-scripts\Headless Mode &amp; Sideloading\WalkAndUnGZ.bat" "%USERPROFILE%\AppData\Local\Temp\OnboardLogs"\RTDC4018\2016-09-26</v>
      </c>
      <c r="AF159" s="96" t="str">
        <f t="shared" si="84"/>
        <v>"C:\Program Files (x86)\AstroGrep\AstroGrep.exe" /spath="%USERPROFILE%\AppData\Local\Temp\OnboardLogs" /stypes="app*4018*20160925*" /stext=" 07:.+((SYSTEM_STATE.+slice.+state.+changed )|(ment ac)|(system.+state.+changed )|(\|lc)|(penalty)|(\[timeout)|(PRM\|1\|D)|(kpr)|(kdp))" /e /r /s</v>
      </c>
      <c r="AG159" s="1" t="str">
        <f t="shared" si="85"/>
        <v>EC</v>
      </c>
      <c r="AH159" s="100" t="str">
        <f t="shared" si="74"/>
        <v>"%USERPROFILE%\Documents\GitHub\eaglep3\Utilities\RefineRTDCRunTimes.py" --tripid 245-24 --locoid 4018 --swversion DE.1.0.7.0 --startMP 204:442 --initTime 2016-09-25T00:55:58 --startdatetime 2016-09-25T01:00:32 --delay 1 --endMP 204:233287 --enddatetime 2016-09-25T01:39:10 --enforcementcount 0 &gt;&gt;C:\Users\stu\Documents\GitHub\eaglep3-reporting\EC\2016-09-24-refined-times.txt</v>
      </c>
      <c r="AI159" s="134" t="str">
        <f t="shared" si="75"/>
        <v>echo {"issue":{"subject":"","project_id":79,"tracker_id":40,"status_id":1,"priority_id":2,"assigned_to_id":23,"start_date":"2016-09-25","description":"","custom_fields":[{"id":1,"name":"Subdivision","value":"EC"},{"id":4,"name":"Milepost","value":"23.3287"},{"id":17,"name":"Train ID","value":"245-24"},{"id":16,"name":"Locomotive ID","value":"4018"},{"id":130,"name":"Impact","value":""},{"id":150,"name":"Time of Event (Mountain Time)","value":"01:39:10"},{"id":151,"name":"Denver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597</v>
      </c>
      <c r="B160" s="7"/>
      <c r="C160" s="24" t="s">
        <v>106</v>
      </c>
      <c r="D160" s="24" t="s">
        <v>264</v>
      </c>
      <c r="E160" s="15">
        <v>42638.038865740738</v>
      </c>
      <c r="F160" s="15"/>
      <c r="G160" s="7">
        <v>1</v>
      </c>
      <c r="H160" s="15" t="s">
        <v>267</v>
      </c>
      <c r="I160" s="15"/>
      <c r="J160" s="7">
        <v>0</v>
      </c>
      <c r="K160" s="121" t="str">
        <f t="shared" si="76"/>
        <v>-1/</v>
      </c>
      <c r="L160" s="24" t="str">
        <f>VLOOKUP(A160,'Trips&amp;Operators'!$C$1:$E$10000,3,FALSE)</f>
        <v>SMITH</v>
      </c>
      <c r="M160" s="6">
        <f t="shared" si="77"/>
        <v>0</v>
      </c>
      <c r="N160" s="7"/>
      <c r="O160" s="7"/>
      <c r="P160" s="7">
        <v>1</v>
      </c>
      <c r="Q160" s="25"/>
      <c r="R160" s="25" t="s">
        <v>428</v>
      </c>
      <c r="S160" s="37">
        <f t="shared" si="89"/>
        <v>0</v>
      </c>
      <c r="T160" s="52" t="str">
        <f t="shared" si="78"/>
        <v>Southbound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23:55:58-0600',mode:absolute,to:'1900-01-00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160" s="54" t="str">
        <f t="shared" si="80"/>
        <v>N</v>
      </c>
      <c r="X160" s="168">
        <f t="shared" ref="X160:X161" si="91">VALUE(LEFT(AD160,4))-VALUE(LEFT(AD159,4))</f>
        <v>1</v>
      </c>
      <c r="Y160" s="69">
        <f t="shared" si="86"/>
        <v>4.4200000000000003E-2</v>
      </c>
      <c r="Z160" s="69">
        <f t="shared" si="87"/>
        <v>23.328700000000001</v>
      </c>
      <c r="AA160" s="69">
        <f t="shared" si="81"/>
        <v>23.284500000000001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82"/>
        <v>0246-24</v>
      </c>
      <c r="AE160" s="99" t="str">
        <f t="shared" si="83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60" s="96" t="str">
        <f t="shared" si="84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160" s="1" t="str">
        <f t="shared" si="85"/>
        <v>EC</v>
      </c>
      <c r="AH160" s="100" t="str">
        <f t="shared" ref="AH160" si="9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246-24 --locoid  --swversion DE.1.0.7.0 --startMP 204:442 --initTime 2016-09-25T00:55:58 --startdatetime 1900-01-00T00:00:00 --delay 1 --endMP 204:233287 --enddatetime 1900-01-00T00:00:00 --enforcementcount 0 &gt;&gt;C:\Users\stu\Documents\GitHub\eaglep3-reporting\EC\2016-09-24-refined-times.txt</v>
      </c>
      <c r="AI160" s="134" t="str">
        <f t="shared" ref="AI160" si="9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init","project_id":79,"tracker_id":40,"status_id":1,"priority_id":2,"assigned_to_id":23,"start_date":"1900-01-00","description":"","custom_fields":[{"id":1,"name":"Subdivision","value":"EC"},{"id":4,"name":"Milepost","value":"23.3287"},{"id":17,"name":"Train ID","value":"246-24"},{"id":16,"name":"Locomotive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566</v>
      </c>
      <c r="B161" s="7">
        <v>4042</v>
      </c>
      <c r="C161" s="24" t="s">
        <v>106</v>
      </c>
      <c r="D161" s="24" t="s">
        <v>223</v>
      </c>
      <c r="E161" s="15">
        <v>42637.78398148148</v>
      </c>
      <c r="F161" s="15">
        <v>25568.708333333332</v>
      </c>
      <c r="G161" s="7">
        <v>1</v>
      </c>
      <c r="H161" s="15" t="s">
        <v>422</v>
      </c>
      <c r="I161" s="15">
        <v>25568.708333333332</v>
      </c>
      <c r="J161" s="7">
        <v>0</v>
      </c>
      <c r="K161" s="121" t="str">
        <f t="shared" si="76"/>
        <v>4041/4042</v>
      </c>
      <c r="L161" s="24" t="str">
        <f>VLOOKUP(A161,'Trips&amp;Operators'!$C$1:$E$10000,3,FALSE)</f>
        <v>SHOOK</v>
      </c>
      <c r="M161" s="6">
        <f t="shared" si="77"/>
        <v>0</v>
      </c>
      <c r="N161" s="7">
        <f t="shared" ref="N161:N172" si="94">24*60*SUM($M161:$M161)</f>
        <v>0</v>
      </c>
      <c r="O161" s="7"/>
      <c r="P161" s="7"/>
      <c r="Q161" s="25"/>
      <c r="R161" s="25"/>
      <c r="S161" s="37">
        <f t="shared" si="89"/>
        <v>1</v>
      </c>
      <c r="T161" s="52" t="str">
        <f t="shared" si="78"/>
        <v>NorthBound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17:48:56-0600',mode:absolute,to:'1969-12-31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61" s="54" t="str">
        <f t="shared" si="80"/>
        <v>Y</v>
      </c>
      <c r="X161" s="168">
        <f t="shared" si="91"/>
        <v>57</v>
      </c>
      <c r="Y161" s="69">
        <f t="shared" si="86"/>
        <v>4.5699999999999998E-2</v>
      </c>
      <c r="Z161" s="69">
        <f t="shared" si="87"/>
        <v>2.3304</v>
      </c>
      <c r="AA161" s="69">
        <f t="shared" si="81"/>
        <v>2.2847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82"/>
        <v>0303-24</v>
      </c>
      <c r="AE161" s="99" t="str">
        <f t="shared" si="83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161" s="96" t="str">
        <f t="shared" si="84"/>
        <v>"C:\Program Files (x86)\AstroGrep\AstroGrep.exe" /spath="%USERPROFILE%\AppData\Local\Temp\OnboardLogs" /stypes="app*4042*19691231*" /stext=" 23:.+((SYSTEM_STATE.+slice.+state.+changed )|(ment ac)|(system.+state.+changed )|(\|lc)|(penalty)|(\[timeout)|(PRM\|1\|D)|(kpr)|(kdp))" /e /r /s</v>
      </c>
      <c r="AG161" s="1" t="str">
        <f t="shared" si="85"/>
        <v>Other</v>
      </c>
      <c r="AH161" s="100" t="str">
        <f t="shared" si="74"/>
        <v>"%USERPROFILE%\Documents\GitHub\eaglep3\Utilities\RefineRTDCRunTimes.py" --tripid 303-24 --locoid 4042 --swversion DE.1.0.7.0 --startMP 204:457 --initTime 2016-09-24T18:48:56 --startdatetime 1969-12-31T17:00:00 --delay 1 --endMP 300:23304 --enddatetime 1969-12-31T17:00:00 --enforcementcount 0 &gt;&gt;C:\Users\stu\Documents\GitHub\eaglep3-reporting\EC\2016-09-24-refined-times.txt</v>
      </c>
      <c r="AI161" s="13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570</v>
      </c>
      <c r="B162" s="7">
        <v>4009</v>
      </c>
      <c r="C162" s="24" t="s">
        <v>106</v>
      </c>
      <c r="D162" s="24" t="s">
        <v>227</v>
      </c>
      <c r="E162" s="15">
        <v>42637.807430555556</v>
      </c>
      <c r="F162" s="15">
        <v>25568.708333333332</v>
      </c>
      <c r="G162" s="7">
        <v>1</v>
      </c>
      <c r="H162" s="15" t="s">
        <v>668</v>
      </c>
      <c r="I162" s="15">
        <v>25568.708333333332</v>
      </c>
      <c r="J162" s="7">
        <v>0</v>
      </c>
      <c r="K162" s="121" t="str">
        <f t="shared" si="76"/>
        <v>4009/4010</v>
      </c>
      <c r="L162" s="24" t="str">
        <f>VLOOKUP(A162,'Trips&amp;Operators'!$C$1:$E$10000,3,FALSE)</f>
        <v>CLARK</v>
      </c>
      <c r="M162" s="6">
        <f t="shared" si="77"/>
        <v>0</v>
      </c>
      <c r="N162" s="7">
        <f t="shared" si="94"/>
        <v>0</v>
      </c>
      <c r="O162" s="7"/>
      <c r="P162" s="7"/>
      <c r="Q162" s="25"/>
      <c r="R162" s="25"/>
      <c r="S162" s="37">
        <f t="shared" si="89"/>
        <v>1</v>
      </c>
      <c r="T162" s="52" t="str">
        <f t="shared" si="78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18:22:42-0600',mode:absolute,to:'1969-12-31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62" s="54" t="str">
        <f t="shared" si="80"/>
        <v>Y</v>
      </c>
      <c r="X162" s="168">
        <f t="shared" si="90"/>
        <v>2</v>
      </c>
      <c r="Y162" s="69">
        <f t="shared" si="86"/>
        <v>4.5499999999999999E-2</v>
      </c>
      <c r="Z162" s="69">
        <f t="shared" si="87"/>
        <v>2.3300999999999998</v>
      </c>
      <c r="AA162" s="69">
        <f t="shared" si="81"/>
        <v>2.2845999999999997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82"/>
        <v>0305-24</v>
      </c>
      <c r="AE162" s="99" t="str">
        <f t="shared" si="83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162" s="96" t="str">
        <f t="shared" si="84"/>
        <v>"C:\Program Files (x86)\AstroGrep\AstroGrep.exe" /spath="%USERPROFILE%\AppData\Local\Temp\OnboardLogs" /stypes="app*4009*19691231*" /stext=" 23:.+((SYSTEM_STATE.+slice.+state.+changed )|(ment ac)|(system.+state.+changed )|(\|lc)|(penalty)|(\[timeout)|(PRM\|1\|D)|(kpr)|(kdp))" /e /r /s</v>
      </c>
      <c r="AG162" s="1" t="str">
        <f t="shared" si="85"/>
        <v>Other</v>
      </c>
      <c r="AH162" s="100" t="str">
        <f t="shared" si="74"/>
        <v>"%USERPROFILE%\Documents\GitHub\eaglep3\Utilities\RefineRTDCRunTimes.py" --tripid 305-24 --locoid 4009 --swversion DE.1.0.7.0 --startMP 204:455 --initTime 2016-09-24T19:22:42 --startdatetime 1969-12-31T17:00:00 --delay 1 --endMP 300:23301 --enddatetime 1969-12-31T17:00:00 --enforcementcount 0 &gt;&gt;C:\Users\stu\Documents\GitHub\eaglep3-reporting\EC\2016-09-24-refined-times.txt</v>
      </c>
      <c r="AI162" s="13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ID","value":"305-24"},{"id":16,"name":"Locomotive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594</v>
      </c>
      <c r="B163" s="7">
        <v>4014</v>
      </c>
      <c r="C163" s="24" t="s">
        <v>106</v>
      </c>
      <c r="D163" s="24" t="s">
        <v>229</v>
      </c>
      <c r="E163" s="15">
        <v>42638.050509259258</v>
      </c>
      <c r="F163" s="15">
        <v>25568.708333333332</v>
      </c>
      <c r="G163" s="7">
        <v>1</v>
      </c>
      <c r="H163" s="15" t="s">
        <v>669</v>
      </c>
      <c r="I163" s="15">
        <v>25568.708333333332</v>
      </c>
      <c r="J163" s="7">
        <v>0</v>
      </c>
      <c r="K163" s="121" t="str">
        <f t="shared" si="76"/>
        <v>4013/4014</v>
      </c>
      <c r="L163" s="24" t="str">
        <f>VLOOKUP(A163,'Trips&amp;Operators'!$C$1:$E$10000,3,FALSE)</f>
        <v>NEWELL</v>
      </c>
      <c r="M163" s="6">
        <f t="shared" si="77"/>
        <v>0</v>
      </c>
      <c r="N163" s="7">
        <f t="shared" si="94"/>
        <v>0</v>
      </c>
      <c r="O163" s="7"/>
      <c r="P163" s="7"/>
      <c r="Q163" s="25"/>
      <c r="R163" s="25"/>
      <c r="S163" s="37">
        <f t="shared" si="89"/>
        <v>1</v>
      </c>
      <c r="T163" s="52" t="str">
        <f t="shared" si="78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https://search-rtdc-monitor-bjffxe2xuh6vdkpspy63sjmuny.us-east-1.es.amazonaws.com/_plugin/kibana/#/discover/Steve-Slow-Train-Analysis-(2080s-and-2083s)?_g=(refreshInterval:(display:Off,section:0,value:0),time:(from:'2016-09-25 00:12:44-0600',mode:absolute,to:'1969-12-31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3" s="54" t="str">
        <f t="shared" si="80"/>
        <v>Y</v>
      </c>
      <c r="X163" s="168">
        <f t="shared" si="90"/>
        <v>4</v>
      </c>
      <c r="Y163" s="69">
        <f t="shared" si="86"/>
        <v>4.58E-2</v>
      </c>
      <c r="Z163" s="69">
        <f t="shared" si="87"/>
        <v>2.3298999999999999</v>
      </c>
      <c r="AA163" s="69">
        <f t="shared" si="81"/>
        <v>2.2841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82"/>
        <v>0309-24</v>
      </c>
      <c r="AE163" s="99" t="str">
        <f t="shared" si="83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163" s="96" t="str">
        <f t="shared" si="84"/>
        <v>"C:\Program Files (x86)\AstroGrep\AstroGrep.exe" /spath="%USERPROFILE%\AppData\Local\Temp\OnboardLogs" /stypes="app*4014*19691231*" /stext=" 23:.+((SYSTEM_STATE.+slice.+state.+changed )|(ment ac)|(system.+state.+changed )|(\|lc)|(penalty)|(\[timeout)|(PRM\|1\|D)|(kpr)|(kdp))" /e /r /s</v>
      </c>
      <c r="AG163" s="1" t="str">
        <f t="shared" si="85"/>
        <v>Other</v>
      </c>
      <c r="AH163" s="100" t="str">
        <f t="shared" si="74"/>
        <v>"%USERPROFILE%\Documents\GitHub\eaglep3\Utilities\RefineRTDCRunTimes.py" --tripid 309-24 --locoid 4014 --swversion DE.1.0.7.0 --startMP 204:458 --initTime 2016-09-25T01:12:44 --startdatetime 1969-12-31T17:00:00 --delay 1 --endMP 300:23299 --enddatetime 1969-12-31T17:00:00 --enforcementcount 0 &gt;&gt;C:\Users\stu\Documents\GitHub\eaglep3-reporting\EC\2016-09-24-refined-times.txt</v>
      </c>
      <c r="AI163" s="13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ID","value":"309-24"},{"id":16,"name":"Locomotive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596</v>
      </c>
      <c r="B164" s="7">
        <v>4053</v>
      </c>
      <c r="C164" s="24" t="s">
        <v>106</v>
      </c>
      <c r="D164" s="24" t="s">
        <v>320</v>
      </c>
      <c r="E164" s="15">
        <v>42638.070937500001</v>
      </c>
      <c r="F164" s="15">
        <v>42638.072187500002</v>
      </c>
      <c r="G164" s="7">
        <v>1</v>
      </c>
      <c r="H164" s="15" t="s">
        <v>670</v>
      </c>
      <c r="I164" s="15">
        <v>42638.078125</v>
      </c>
      <c r="J164" s="7">
        <v>0</v>
      </c>
      <c r="K164" s="121" t="str">
        <f t="shared" si="76"/>
        <v>4053/4054</v>
      </c>
      <c r="L164" s="24" t="str">
        <f>VLOOKUP(A164,'Trips&amp;Operators'!$C$1:$E$10000,3,FALSE)</f>
        <v>CHANDLER</v>
      </c>
      <c r="M164" s="6">
        <f t="shared" si="77"/>
        <v>5.9374999982537702E-3</v>
      </c>
      <c r="N164" s="7">
        <f t="shared" si="94"/>
        <v>8.549999997485429</v>
      </c>
      <c r="O164" s="7"/>
      <c r="P164" s="7"/>
      <c r="Q164" s="25"/>
      <c r="R164" s="25"/>
      <c r="S164" s="37">
        <f t="shared" si="89"/>
        <v>1</v>
      </c>
      <c r="T164" s="52" t="str">
        <f t="shared" si="78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https://search-rtdc-monitor-bjffxe2xuh6vdkpspy63sjmuny.us-east-1.es.amazonaws.com/_plugin/kibana/#/discover/Steve-Slow-Train-Analysis-(2080s-and-2083s)?_g=(refreshInterval:(display:Off,section:0,value:0),time:(from:'2016-09-25 00:42:09-0600',mode:absolute,to:'2016-09-25 02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64" s="54" t="str">
        <f t="shared" si="80"/>
        <v>Y</v>
      </c>
      <c r="X164" s="168">
        <f t="shared" ref="X164:X172" si="95">VALUE(LEFT(AD164,4))-VALUE(LEFT(AD163,4))</f>
        <v>2</v>
      </c>
      <c r="Y164" s="69">
        <f t="shared" si="86"/>
        <v>4.7500000000000001E-2</v>
      </c>
      <c r="Z164" s="69">
        <f t="shared" si="87"/>
        <v>2.2827999999999999</v>
      </c>
      <c r="AA164" s="69">
        <f t="shared" si="81"/>
        <v>2.2353000000000001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82"/>
        <v>0311-24</v>
      </c>
      <c r="AE164" s="99" t="str">
        <f t="shared" si="83"/>
        <v>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 &amp; aws s3 cp s3://rtdc.mdm.uploadarchive/RTDC4053/2016-09-26/ "%USERPROFILE%\AppData\Local\Temp\OnboardLogs"\RTDC4053\2016-09-26 --recursive &amp; "%USERPROFILE%\Documents\GitHub\mrs-test-scripts\Headless Mode &amp; Sideloading\WalkAndUnGZ.bat" "%USERPROFILE%\AppData\Local\Temp\OnboardLogs"\RTDC4053\2016-09-26</v>
      </c>
      <c r="AF164" s="96" t="str">
        <f t="shared" si="84"/>
        <v>"C:\Program Files (x86)\AstroGrep\AstroGrep.exe" /spath="%USERPROFILE%\AppData\Local\Temp\OnboardLogs" /stypes="app*4053*20160925*" /stext=" 07:.+((SYSTEM_STATE.+slice.+state.+changed )|(ment ac)|(system.+state.+changed )|(\|lc)|(penalty)|(\[timeout)|(PRM\|1\|D)|(kpr)|(kdp))" /e /r /s</v>
      </c>
      <c r="AG164" s="1" t="str">
        <f t="shared" si="85"/>
        <v>Other</v>
      </c>
      <c r="AH164" s="100" t="str">
        <f t="shared" si="74"/>
        <v>"%USERPROFILE%\Documents\GitHub\eaglep3\Utilities\RefineRTDCRunTimes.py" --tripid 311-24 --locoid 4053 --swversion DE.1.0.7.0 --startMP 204:475 --initTime 2016-09-25T01:42:09 --startdatetime 2016-09-25T01:43:57 --delay 1 --endMP 300:22828 --enddatetime 2016-09-25T01:52:30 --enforcementcount 0 &gt;&gt;C:\Users\stu\Documents\GitHub\eaglep3-reporting\EC\2016-09-24-refined-times.txt</v>
      </c>
      <c r="AI164" s="134" t="str">
        <f t="shared" si="75"/>
        <v>echo {"issue":{"subject":"","project_id":79,"tracker_id":40,"status_id":1,"priority_id":2,"assigned_to_id":23,"start_date":"2016-09-25","description":"","custom_fields":[{"id":1,"name":"Subdivision","value":"Other"},{"id":4,"name":"Milepost","value":"2.2828"},{"id":17,"name":"Train ID","value":"311-24"},{"id":16,"name":"Locomotive ID","value":"4053"},{"id":130,"name":"Impact","value":""},{"id":150,"name":"Time of Event (Mountain Time)","value":"01:52:30"},{"id":151,"name":"Denver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398</v>
      </c>
      <c r="B165" s="7">
        <v>4016</v>
      </c>
      <c r="C165" s="24" t="s">
        <v>106</v>
      </c>
      <c r="D165" s="24" t="s">
        <v>237</v>
      </c>
      <c r="E165" s="15">
        <v>42637.091863425929</v>
      </c>
      <c r="F165" s="15">
        <v>42637.093402777777</v>
      </c>
      <c r="G165" s="7">
        <v>1</v>
      </c>
      <c r="H165" s="15" t="s">
        <v>422</v>
      </c>
      <c r="I165" s="15">
        <v>42637.098495370374</v>
      </c>
      <c r="J165" s="7">
        <v>0</v>
      </c>
      <c r="K165" s="121" t="str">
        <f t="shared" si="76"/>
        <v>4015/4016</v>
      </c>
      <c r="L165" s="24" t="str">
        <f>VLOOKUP(A165,'Trips&amp;Operators'!$C$1:$E$10000,3,FALSE)</f>
        <v>STURGEON</v>
      </c>
      <c r="M165" s="6">
        <f t="shared" si="77"/>
        <v>5.0925925970659591E-3</v>
      </c>
      <c r="N165" s="7">
        <f t="shared" si="94"/>
        <v>7.3333333397749811</v>
      </c>
      <c r="O165" s="7"/>
      <c r="P165" s="7"/>
      <c r="Q165" s="25"/>
      <c r="R165" s="25"/>
      <c r="S165" s="37">
        <f t="shared" si="89"/>
        <v>1</v>
      </c>
      <c r="T165" s="52" t="str">
        <f t="shared" si="78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01:12:17-0600',mode:absolute,to:'2016-09-24 03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65" s="54" t="str">
        <f t="shared" si="80"/>
        <v>Y</v>
      </c>
      <c r="X165" s="168">
        <f t="shared" si="95"/>
        <v>2</v>
      </c>
      <c r="Y165" s="69">
        <f t="shared" si="86"/>
        <v>4.6199999999999998E-2</v>
      </c>
      <c r="Z165" s="69">
        <f t="shared" si="87"/>
        <v>2.3304</v>
      </c>
      <c r="AA165" s="69">
        <f t="shared" si="81"/>
        <v>2.2842000000000002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82"/>
        <v>0313-23</v>
      </c>
      <c r="AE165" s="99" t="str">
        <f t="shared" si="83"/>
        <v>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 &amp; 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</v>
      </c>
      <c r="AF165" s="96" t="str">
        <f t="shared" si="84"/>
        <v>"C:\Program Files (x86)\AstroGrep\AstroGrep.exe" /spath="%USERPROFILE%\AppData\Local\Temp\OnboardLogs" /stypes="app*4016*20160924*" /stext=" 08:.+((SYSTEM_STATE.+slice.+state.+changed )|(ment ac)|(system.+state.+changed )|(\|lc)|(penalty)|(\[timeout)|(PRM\|1\|D)|(kpr)|(kdp))" /e /r /s</v>
      </c>
      <c r="AG165" s="1" t="str">
        <f t="shared" si="85"/>
        <v>Other</v>
      </c>
      <c r="AH165" s="100" t="str">
        <f t="shared" si="74"/>
        <v>"%USERPROFILE%\Documents\GitHub\eaglep3\Utilities\RefineRTDCRunTimes.py" --tripid 313-23 --locoid 4016 --swversion DE.1.0.7.0 --startMP 204:462 --initTime 2016-09-24T02:12:17 --startdatetime 2016-09-24T02:14:30 --delay 1 --endMP 300:23304 --enddatetime 2016-09-24T02:21:50 --enforcementcount 0 &gt;&gt;C:\Users\stu\Documents\GitHub\eaglep3-reporting\EC\2016-09-24-refined-times.txt</v>
      </c>
      <c r="AI165" s="134" t="str">
        <f t="shared" si="75"/>
        <v>echo {"issue":{"subject":"","project_id":79,"tracker_id":40,"status_id":1,"priority_id":2,"assigned_to_id":23,"start_date":"2016-09-24","description":"","custom_fields":[{"id":1,"name":"Subdivision","value":"Other"},{"id":4,"name":"Milepost","value":"2.3304"},{"id":17,"name":"Train ID","value":"313-23"},{"id":16,"name":"Locomotive ID","value":"4016"},{"id":130,"name":"Impact","value":""},{"id":150,"name":"Time of Event (Mountain Time)","value":"02:21:50"},{"id":151,"name":"Denver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598</v>
      </c>
      <c r="B166" s="7">
        <v>4007</v>
      </c>
      <c r="C166" s="24" t="s">
        <v>106</v>
      </c>
      <c r="D166" s="24" t="s">
        <v>629</v>
      </c>
      <c r="E166" s="15">
        <v>42638.09171296296</v>
      </c>
      <c r="F166" s="15">
        <v>25568.708333333332</v>
      </c>
      <c r="G166" s="7">
        <v>1</v>
      </c>
      <c r="H166" s="15" t="s">
        <v>423</v>
      </c>
      <c r="I166" s="15">
        <v>25568.708333333332</v>
      </c>
      <c r="J166" s="7">
        <v>0</v>
      </c>
      <c r="K166" s="121" t="str">
        <f t="shared" si="76"/>
        <v>4007/4008</v>
      </c>
      <c r="L166" s="24" t="str">
        <f>VLOOKUP(A166,'Trips&amp;Operators'!$C$1:$E$10000,3,FALSE)</f>
        <v>STURGEON</v>
      </c>
      <c r="M166" s="6">
        <f t="shared" si="77"/>
        <v>0</v>
      </c>
      <c r="N166" s="7">
        <f t="shared" si="94"/>
        <v>0</v>
      </c>
      <c r="O166" s="7"/>
      <c r="P166" s="7"/>
      <c r="Q166" s="25"/>
      <c r="R166" s="25"/>
      <c r="S166" s="37">
        <f t="shared" si="89"/>
        <v>1</v>
      </c>
      <c r="T166" s="52" t="str">
        <f t="shared" si="78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https://search-rtdc-monitor-bjffxe2xuh6vdkpspy63sjmuny.us-east-1.es.amazonaws.com/_plugin/kibana/#/discover/Steve-Slow-Train-Analysis-(2080s-and-2083s)?_g=(refreshInterval:(display:Off,section:0,value:0),time:(from:'2016-09-25 01:12:04-0600',mode:absolute,to:'1969-12-31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66" s="54" t="str">
        <f t="shared" si="80"/>
        <v>Y</v>
      </c>
      <c r="X166" s="168">
        <f t="shared" si="95"/>
        <v>0</v>
      </c>
      <c r="Y166" s="69">
        <f t="shared" si="86"/>
        <v>4.7300000000000002E-2</v>
      </c>
      <c r="Z166" s="69">
        <f t="shared" si="87"/>
        <v>2.331</v>
      </c>
      <c r="AA166" s="69">
        <f t="shared" si="81"/>
        <v>2.2837000000000001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82"/>
        <v>0313-24</v>
      </c>
      <c r="AE166" s="99" t="str">
        <f t="shared" si="83"/>
        <v>aws s3 cp s3://rtdc.mdm.uploadarchive/RTDC4007/1969-12-31/ "%USERPROFILE%\AppData\Local\Temp\OnboardLogs"\RTDC4007\1969-12-31 --recursive &amp; "%USERPROFILE%\Documents\GitHub\mrs-test-scripts\Headless Mode &amp; Sideloading\WalkAndUnGZ.bat" "%USERPROFILE%\AppData\Local\Temp\OnboardLogs"\RTDC4007\1969-12-31 &amp; aws s3 cp s3://rtdc.mdm.uploadarchive/RTDC4007/1970-01-01/ "%USERPROFILE%\AppData\Local\Temp\OnboardLogs"\RTDC4007\1970-01-01 --recursive &amp; "%USERPROFILE%\Documents\GitHub\mrs-test-scripts\Headless Mode &amp; Sideloading\WalkAndUnGZ.bat" "%USERPROFILE%\AppData\Local\Temp\OnboardLogs"\RTDC4007\1970-01-01</v>
      </c>
      <c r="AF166" s="96" t="str">
        <f t="shared" si="84"/>
        <v>"C:\Program Files (x86)\AstroGrep\AstroGrep.exe" /spath="%USERPROFILE%\AppData\Local\Temp\OnboardLogs" /stypes="app*4007*19691231*" /stext=" 23:.+((SYSTEM_STATE.+slice.+state.+changed )|(ment ac)|(system.+state.+changed )|(\|lc)|(penalty)|(\[timeout)|(PRM\|1\|D)|(kpr)|(kdp))" /e /r /s</v>
      </c>
      <c r="AG166" s="1" t="str">
        <f t="shared" si="85"/>
        <v>Other</v>
      </c>
      <c r="AH166" s="100" t="str">
        <f t="shared" si="74"/>
        <v>"%USERPROFILE%\Documents\GitHub\eaglep3\Utilities\RefineRTDCRunTimes.py" --tripid 313-24 --locoid 4007 --swversion DE.1.0.7.0 --startMP 204:473 --initTime 2016-09-25T02:12:04 --startdatetime 1969-12-31T17:00:00 --delay 1 --endMP 300:23310 --enddatetime 1969-12-31T17:00:00 --enforcementcount 0 &gt;&gt;C:\Users\stu\Documents\GitHub\eaglep3-reporting\EC\2016-09-24-refined-times.txt</v>
      </c>
      <c r="AI166" s="13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ID","value":"313-24"},{"id":16,"name":"Locomotive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399</v>
      </c>
      <c r="B167" s="7">
        <v>4011</v>
      </c>
      <c r="C167" s="24" t="s">
        <v>106</v>
      </c>
      <c r="D167" s="24" t="s">
        <v>219</v>
      </c>
      <c r="E167" s="15">
        <v>42637.111284722225</v>
      </c>
      <c r="F167" s="15">
        <v>25568.708333333332</v>
      </c>
      <c r="G167" s="7">
        <v>1</v>
      </c>
      <c r="H167" s="15" t="s">
        <v>423</v>
      </c>
      <c r="I167" s="15">
        <v>25568.708333333332</v>
      </c>
      <c r="J167" s="7">
        <v>0</v>
      </c>
      <c r="K167" s="121" t="str">
        <f t="shared" si="76"/>
        <v>4011/4012</v>
      </c>
      <c r="L167" s="24" t="str">
        <f>VLOOKUP(A167,'Trips&amp;Operators'!$C$1:$E$10000,3,FALSE)</f>
        <v>ARVIDSON</v>
      </c>
      <c r="M167" s="6">
        <f t="shared" si="77"/>
        <v>0</v>
      </c>
      <c r="N167" s="7">
        <f t="shared" si="94"/>
        <v>0</v>
      </c>
      <c r="O167" s="7"/>
      <c r="P167" s="7"/>
      <c r="Q167" s="25"/>
      <c r="R167" s="25"/>
      <c r="S167" s="37">
        <f t="shared" si="89"/>
        <v>1</v>
      </c>
      <c r="T167" s="52" t="str">
        <f t="shared" si="78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7" s="54" t="str">
        <f t="shared" si="80"/>
        <v>Y</v>
      </c>
      <c r="X167" s="168">
        <f t="shared" si="95"/>
        <v>2</v>
      </c>
      <c r="Y167" s="69">
        <f t="shared" si="86"/>
        <v>4.53E-2</v>
      </c>
      <c r="Z167" s="69">
        <f t="shared" si="87"/>
        <v>2.331</v>
      </c>
      <c r="AA167" s="69">
        <f t="shared" si="81"/>
        <v>2.2856999999999998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82"/>
        <v>0315-23</v>
      </c>
      <c r="AE167" s="99" t="str">
        <f t="shared" si="83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167" s="96" t="str">
        <f t="shared" si="84"/>
        <v>"C:\Program Files (x86)\AstroGrep\AstroGrep.exe" /spath="%USERPROFILE%\AppData\Local\Temp\OnboardLogs" /stypes="app*4011*19691231*" /stext=" 23:.+((SYSTEM_STATE.+slice.+state.+changed )|(ment ac)|(system.+state.+changed )|(\|lc)|(penalty)|(\[timeout)|(PRM\|1\|D)|(kpr)|(kdp))" /e /r /s</v>
      </c>
      <c r="AG167" s="1" t="str">
        <f t="shared" si="85"/>
        <v>Other</v>
      </c>
      <c r="AH167" s="100" t="str">
        <f t="shared" si="74"/>
        <v>"%USERPROFILE%\Documents\GitHub\eaglep3\Utilities\RefineRTDCRunTimes.py" --tripid 315-23 --locoid 4011 --swversion DE.1.0.7.0 --startMP 204:453 --initTime 2016-09-24T02:40:15 --startdatetime 1969-12-31T17:00:00 --delay 1 --endMP 300:23310 --enddatetime 1969-12-31T17:00:00 --enforcementcount 0 &gt;&gt;C:\Users\stu\Documents\GitHub\eaglep3-reporting\EC\2016-09-24-refined-times.txt</v>
      </c>
      <c r="AI167" s="13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458</v>
      </c>
      <c r="B168" s="7">
        <v>4030</v>
      </c>
      <c r="C168" s="24" t="s">
        <v>106</v>
      </c>
      <c r="D168" s="24" t="s">
        <v>671</v>
      </c>
      <c r="E168" s="15">
        <v>42637.77480324074</v>
      </c>
      <c r="F168" s="15">
        <v>42637.775902777779</v>
      </c>
      <c r="G168" s="7">
        <v>1</v>
      </c>
      <c r="H168" s="15" t="s">
        <v>672</v>
      </c>
      <c r="I168" s="15">
        <v>42637.787268518521</v>
      </c>
      <c r="J168" s="7">
        <v>0</v>
      </c>
      <c r="K168" s="121" t="str">
        <f t="shared" si="76"/>
        <v>4029/4030</v>
      </c>
      <c r="L168" s="24" t="str">
        <f>VLOOKUP(A168,'Trips&amp;Operators'!$C$1:$E$10000,3,FALSE)</f>
        <v>ARVIDSON</v>
      </c>
      <c r="M168" s="6">
        <f t="shared" si="77"/>
        <v>1.1365740741894115E-2</v>
      </c>
      <c r="N168" s="7">
        <f t="shared" si="94"/>
        <v>16.366666668327525</v>
      </c>
      <c r="O168" s="7"/>
      <c r="P168" s="7"/>
      <c r="Q168" s="25"/>
      <c r="R168" s="25"/>
      <c r="S168" s="37">
        <f t="shared" si="89"/>
        <v>0</v>
      </c>
      <c r="T168" s="52" t="e">
        <f t="shared" si="78"/>
        <v>#VALUE!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17:35:43-0600',mode:absolute,to:'2016-09-24 19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8" s="54" t="str">
        <f t="shared" si="80"/>
        <v>Y</v>
      </c>
      <c r="X168" s="168" t="e">
        <f t="shared" si="95"/>
        <v>#VALUE!</v>
      </c>
      <c r="Y168" s="69">
        <f t="shared" si="86"/>
        <v>2.2214</v>
      </c>
      <c r="Z168" s="69">
        <f t="shared" si="87"/>
        <v>0.2092</v>
      </c>
      <c r="AA168" s="69">
        <f t="shared" si="81"/>
        <v>2.0122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82"/>
        <v>52-24</v>
      </c>
      <c r="AE168" s="99" t="str">
        <f t="shared" si="83"/>
        <v>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 &amp; aws s3 cp s3://rtdc.mdm.uploadarchive/RTDC4030/2016-09-25/ "%USERPROFILE%\AppData\Local\Temp\OnboardLogs"\RTDC4030\2016-09-25 --recursive &amp; "%USERPROFILE%\Documents\GitHub\mrs-test-scripts\Headless Mode &amp; Sideloading\WalkAndUnGZ.bat" "%USERPROFILE%\AppData\Local\Temp\OnboardLogs"\RTDC4030\2016-09-25</v>
      </c>
      <c r="AF168" s="96" t="str">
        <f t="shared" si="84"/>
        <v>"C:\Program Files (x86)\AstroGrep\AstroGrep.exe" /spath="%USERPROFILE%\AppData\Local\Temp\OnboardLogs" /stypes="app*4030*20160925*" /stext=" 00:.+((SYSTEM_STATE.+slice.+state.+changed )|(ment ac)|(system.+state.+changed )|(\|lc)|(penalty)|(\[timeout)|(PRM\|1\|D)|(kpr)|(kdp))" /e /r /s</v>
      </c>
      <c r="AG168" s="1" t="str">
        <f t="shared" si="85"/>
        <v>Other</v>
      </c>
      <c r="AH168" s="100" t="str">
        <f t="shared" si="74"/>
        <v>"%USERPROFILE%\Documents\GitHub\eaglep3\Utilities\RefineRTDCRunTimes.py" --tripid 52-24 --locoid 4030 --swversion DE.1.0.7.0 --startMP 300:22214 --initTime 2016-09-24T18:35:43 --startdatetime 2016-09-24T18:37:18 --delay 1 --endMP 204:2092 --enddatetime 2016-09-24T18:53:40 --enforcementcount 0 &gt;&gt;C:\Users\stu\Documents\GitHub\eaglep3-reporting\EC\2016-09-24-refined-times.txt</v>
      </c>
      <c r="AI168" s="134" t="str">
        <f t="shared" si="75"/>
        <v>echo {"issue":{"subject":"","project_id":79,"tracker_id":40,"status_id":1,"priority_id":2,"assigned_to_id":23,"start_date":"2016-09-24","description":"","custom_fields":[{"id":1,"name":"Subdivision","value":"Other"},{"id":4,"name":"Milepost","value":"0.2092"},{"id":17,"name":"Train ID","value":"52-24"},{"id":16,"name":"Locomotive ID","value":"4030"},{"id":130,"name":"Impact","value":""},{"id":150,"name":"Time of Event (Mountain Time)","value":"18:53:40"},{"id":151,"name":"Denver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565</v>
      </c>
      <c r="B169" s="7">
        <v>4006</v>
      </c>
      <c r="C169" s="24" t="s">
        <v>106</v>
      </c>
      <c r="D169" s="24" t="s">
        <v>301</v>
      </c>
      <c r="E169" s="15">
        <v>42637.782893518517</v>
      </c>
      <c r="F169" s="15">
        <v>25568.708333333332</v>
      </c>
      <c r="G169" s="7">
        <v>2</v>
      </c>
      <c r="H169" s="15" t="s">
        <v>424</v>
      </c>
      <c r="I169" s="15">
        <v>25568.708333333332</v>
      </c>
      <c r="J169" s="7">
        <v>0</v>
      </c>
      <c r="K169" s="121" t="str">
        <f t="shared" si="76"/>
        <v>4005/4006</v>
      </c>
      <c r="L169" s="24" t="str">
        <f>VLOOKUP(A169,'Trips&amp;Operators'!$C$1:$E$10000,3,FALSE)</f>
        <v>MOSES</v>
      </c>
      <c r="M169" s="6">
        <f t="shared" si="77"/>
        <v>0</v>
      </c>
      <c r="N169" s="7">
        <f t="shared" si="94"/>
        <v>0</v>
      </c>
      <c r="O169" s="7"/>
      <c r="P169" s="7"/>
      <c r="Q169" s="25"/>
      <c r="R169" s="25"/>
      <c r="S169" s="37">
        <f t="shared" si="89"/>
        <v>0</v>
      </c>
      <c r="T169" s="52" t="e">
        <f t="shared" si="78"/>
        <v>#VALUE!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17:47:22-0600',mode:absolute,to:'1969-12-31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169" s="54" t="str">
        <f t="shared" si="80"/>
        <v>Y</v>
      </c>
      <c r="X169" s="168" t="e">
        <f t="shared" si="95"/>
        <v>#VALUE!</v>
      </c>
      <c r="Y169" s="69">
        <f t="shared" si="86"/>
        <v>7.5499999999999998E-2</v>
      </c>
      <c r="Z169" s="69">
        <f t="shared" si="87"/>
        <v>2.4207999999999998</v>
      </c>
      <c r="AA169" s="69">
        <f t="shared" si="81"/>
        <v>2.3452999999999999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82"/>
        <v>53-24</v>
      </c>
      <c r="AE169" s="99" t="str">
        <f t="shared" si="83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169" s="96" t="str">
        <f t="shared" si="84"/>
        <v>"C:\Program Files (x86)\AstroGrep\AstroGrep.exe" /spath="%USERPROFILE%\AppData\Local\Temp\OnboardLogs" /stypes="app*4006*19691231*" /stext=" 23:.+((SYSTEM_STATE.+slice.+state.+changed )|(ment ac)|(system.+state.+changed )|(\|lc)|(penalty)|(\[timeout)|(PRM\|1\|D)|(kpr)|(kdp))" /e /r /s</v>
      </c>
      <c r="AG169" s="1" t="str">
        <f t="shared" si="85"/>
        <v>Other</v>
      </c>
      <c r="AH169" s="100" t="str">
        <f t="shared" si="74"/>
        <v>"%USERPROFILE%\Documents\GitHub\eaglep3\Utilities\RefineRTDCRunTimes.py" --tripid 53-24 --locoid 4006 --swversion DE.1.0.7.0 --startMP 204:755 --initTime 2016-09-24T18:47:22 --startdatetime 1969-12-31T17:00:00 --delay 2 --endMP 300:24208 --enddatetime 1969-12-31T17:00:00 --enforcementcount 0 &gt;&gt;C:\Users\stu\Documents\GitHub\eaglep3-reporting\EC\2016-09-24-refined-times.txt</v>
      </c>
      <c r="AI169" s="13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{"issue":{"subject":"","project_id":79,"tracker_id":40,"status_id":1,"priority_id":2,"assigned_to_id":23,"start_date":"1969-12-31","description":"","custom_fields":[{"id":1,"name":"Subdivision","value":"Other"},{"id":4,"name":"Milepost","value":"2.4208"},{"id":17,"name":"Train ID","value":"53-24"},{"id":16,"name":"Locomotive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558</v>
      </c>
      <c r="B170" s="7">
        <v>4021</v>
      </c>
      <c r="C170" s="24" t="s">
        <v>106</v>
      </c>
      <c r="D170" s="24" t="s">
        <v>673</v>
      </c>
      <c r="E170" s="15">
        <v>42637.751018518517</v>
      </c>
      <c r="F170" s="15">
        <v>42637.752372685187</v>
      </c>
      <c r="G170" s="7">
        <v>1</v>
      </c>
      <c r="H170" s="15" t="s">
        <v>674</v>
      </c>
      <c r="I170" s="15">
        <v>42637.758923611109</v>
      </c>
      <c r="J170" s="7">
        <v>0</v>
      </c>
      <c r="K170" s="121" t="str">
        <f t="shared" si="76"/>
        <v>4021/4022</v>
      </c>
      <c r="L170" s="24" t="str">
        <f>VLOOKUP(A170,'Trips&amp;Operators'!$C$1:$E$10000,3,FALSE)</f>
        <v>STURGEON</v>
      </c>
      <c r="M170" s="6">
        <f t="shared" si="77"/>
        <v>6.5509259220561944E-3</v>
      </c>
      <c r="N170" s="7">
        <f t="shared" si="94"/>
        <v>9.4333333277609199</v>
      </c>
      <c r="O170" s="7"/>
      <c r="P170" s="7"/>
      <c r="Q170" s="25"/>
      <c r="R170" s="25"/>
      <c r="S170" s="37">
        <f t="shared" si="89"/>
        <v>0</v>
      </c>
      <c r="T170" s="52" t="e">
        <f t="shared" si="78"/>
        <v>#VALUE!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17:01:28-0600',mode:absolute,to:'2016-09-24 19:12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170" s="54" t="str">
        <f t="shared" si="80"/>
        <v>Y</v>
      </c>
      <c r="X170" s="168" t="e">
        <f t="shared" si="95"/>
        <v>#VALUE!</v>
      </c>
      <c r="Y170" s="69">
        <f t="shared" si="86"/>
        <v>2.3454999999999999</v>
      </c>
      <c r="Z170" s="69">
        <f t="shared" si="87"/>
        <v>1.5100000000000001E-2</v>
      </c>
      <c r="AA170" s="69">
        <f t="shared" si="81"/>
        <v>2.3304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82"/>
        <v>62-24</v>
      </c>
      <c r="AE170" s="99" t="str">
        <f t="shared" si="83"/>
        <v>aws s3 cp s3://rtdc.mdm.uploadarchive/RTDC4021/2016-09-24/ "%USERPROFILE%\AppData\Local\Temp\OnboardLogs"\RTDC4021\2016-09-24 --recursive &amp; "%USERPROFILE%\Documents\GitHub\mrs-test-scripts\Headless Mode &amp; Sideloading\WalkAndUnGZ.bat" "%USERPROFILE%\AppData\Local\Temp\OnboardLogs"\RTDC4021\2016-09-24 &amp; aws s3 cp s3://rtdc.mdm.uploadarchive/RTDC4021/2016-09-25/ "%USERPROFILE%\AppData\Local\Temp\OnboardLogs"\RTDC4021\2016-09-25 --recursive &amp; "%USERPROFILE%\Documents\GitHub\mrs-test-scripts\Headless Mode &amp; Sideloading\WalkAndUnGZ.bat" "%USERPROFILE%\AppData\Local\Temp\OnboardLogs"\RTDC4021\2016-09-25</v>
      </c>
      <c r="AF170" s="96" t="str">
        <f t="shared" si="84"/>
        <v>"C:\Program Files (x86)\AstroGrep\AstroGrep.exe" /spath="%USERPROFILE%\AppData\Local\Temp\OnboardLogs" /stypes="app*4021*20160925*" /stext=" 00:.+((SYSTEM_STATE.+slice.+state.+changed )|(ment ac)|(system.+state.+changed )|(\|lc)|(penalty)|(\[timeout)|(PRM\|1\|D)|(kpr)|(kdp))" /e /r /s</v>
      </c>
      <c r="AG170" s="1" t="str">
        <f t="shared" si="85"/>
        <v>Other</v>
      </c>
      <c r="AH170" s="100" t="str">
        <f t="shared" si="74"/>
        <v>"%USERPROFILE%\Documents\GitHub\eaglep3\Utilities\RefineRTDCRunTimes.py" --tripid 62-24 --locoid 4021 --swversion DE.1.0.7.0 --startMP 300:23455 --initTime 2016-09-24T18:01:28 --startdatetime 2016-09-24T18:03:25 --delay 1 --endMP 204:151 --enddatetime 2016-09-24T18:12:51 --enforcementcount 0 &gt;&gt;C:\Users\stu\Documents\GitHub\eaglep3-reporting\EC\2016-09-24-refined-times.txt</v>
      </c>
      <c r="AI170" s="134" t="str">
        <f t="shared" si="75"/>
        <v>echo {"issue":{"subject":"","project_id":79,"tracker_id":40,"status_id":1,"priority_id":2,"assigned_to_id":23,"start_date":"2016-09-24","description":"","custom_fields":[{"id":1,"name":"Subdivision","value":"Other"},{"id":4,"name":"Milepost","value":"0.0151"},{"id":17,"name":"Train ID","value":"62-24"},{"id":16,"name":"Locomotive ID","value":"4021"},{"id":130,"name":"Impact","value":""},{"id":150,"name":"Time of Event (Mountain Time)","value":"18:12:51"},{"id":151,"name":"Denver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455</v>
      </c>
      <c r="B171" s="7">
        <v>4003</v>
      </c>
      <c r="C171" s="24" t="s">
        <v>106</v>
      </c>
      <c r="D171" s="24" t="s">
        <v>675</v>
      </c>
      <c r="E171" s="15">
        <v>42637.722326388888</v>
      </c>
      <c r="F171" s="15">
        <v>42637.72384259259</v>
      </c>
      <c r="G171" s="7">
        <v>1</v>
      </c>
      <c r="H171" s="15" t="s">
        <v>676</v>
      </c>
      <c r="I171" s="15">
        <v>42637.723993055559</v>
      </c>
      <c r="J171" s="7">
        <v>0</v>
      </c>
      <c r="K171" s="121" t="str">
        <f t="shared" si="76"/>
        <v>4003/4004</v>
      </c>
      <c r="L171" s="24" t="str">
        <f>VLOOKUP(A171,'Trips&amp;Operators'!$C$1:$E$10000,3,FALSE)</f>
        <v>ISHMAEL</v>
      </c>
      <c r="M171" s="6">
        <f t="shared" si="77"/>
        <v>1.5046296903165057E-4</v>
      </c>
      <c r="N171" s="7">
        <f t="shared" si="94"/>
        <v>0.21666667540557683</v>
      </c>
      <c r="O171" s="7"/>
      <c r="P171" s="7"/>
      <c r="Q171" s="25"/>
      <c r="R171" s="25"/>
      <c r="S171" s="37">
        <f t="shared" si="89"/>
        <v>0</v>
      </c>
      <c r="T171" s="52" t="e">
        <f t="shared" si="78"/>
        <v>#VALUE!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16:20:09-0600',mode:absolute,to:'2016-09-24 18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71" s="54" t="str">
        <f t="shared" si="80"/>
        <v>Y</v>
      </c>
      <c r="X171" s="168" t="e">
        <f t="shared" si="95"/>
        <v>#VALUE!</v>
      </c>
      <c r="Y171" s="69">
        <f t="shared" si="86"/>
        <v>0.15</v>
      </c>
      <c r="Z171" s="69">
        <f t="shared" si="87"/>
        <v>0.17749999999999999</v>
      </c>
      <c r="AA171" s="69">
        <f t="shared" si="81"/>
        <v>2.7499999999999997E-2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82"/>
        <v>63-24</v>
      </c>
      <c r="AE171" s="99" t="str">
        <f t="shared" si="83"/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AF171" s="96" t="str">
        <f t="shared" si="84"/>
        <v>"C:\Program Files (x86)\AstroGrep\AstroGrep.exe" /spath="%USERPROFILE%\AppData\Local\Temp\OnboardLogs" /stypes="app*4003*20160924*" /stext=" 23:.+((SYSTEM_STATE.+slice.+state.+changed )|(ment ac)|(system.+state.+changed )|(\|lc)|(penalty)|(\[timeout)|(PRM\|1\|D)|(kpr)|(kdp))" /e /r /s</v>
      </c>
      <c r="AG171" s="1" t="str">
        <f t="shared" si="85"/>
        <v>Other</v>
      </c>
      <c r="AH171" s="100" t="str">
        <f t="shared" si="74"/>
        <v>"%USERPROFILE%\Documents\GitHub\eaglep3\Utilities\RefineRTDCRunTimes.py" --tripid 63-24 --locoid 4003 --swversion DE.1.0.7.0 --startMP 204:1500 --initTime 2016-09-24T17:20:09 --startdatetime 2016-09-24T17:22:20 --delay 1 --endMP 204:1775 --enddatetime 2016-09-24T17:22:33 --enforcementcount 0 &gt;&gt;C:\Users\stu\Documents\GitHub\eaglep3-reporting\EC\2016-09-24-refined-times.txt</v>
      </c>
      <c r="AI171" s="134" t="str">
        <f t="shared" si="75"/>
        <v>echo {"issue":{"subject":"","project_id":79,"tracker_id":40,"status_id":1,"priority_id":2,"assigned_to_id":23,"start_date":"2016-09-24","description":"","custom_fields":[{"id":1,"name":"Subdivision","value":"Other"},{"id":4,"name":"Milepost","value":"0.1775"},{"id":17,"name":"Train ID","value":"63-24"},{"id":16,"name":"Locomotive ID","value":"4003"},{"id":130,"name":"Impact","value":""},{"id":150,"name":"Time of Event (Mountain Time)","value":"17:22:33"},{"id":151,"name":"Denver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457</v>
      </c>
      <c r="B172" s="7">
        <v>4005</v>
      </c>
      <c r="C172" s="24" t="s">
        <v>106</v>
      </c>
      <c r="D172" s="24" t="s">
        <v>677</v>
      </c>
      <c r="E172" s="15">
        <v>42637.765034722222</v>
      </c>
      <c r="F172" s="15">
        <v>42637.76761574074</v>
      </c>
      <c r="G172" s="7">
        <v>3</v>
      </c>
      <c r="H172" s="15" t="s">
        <v>678</v>
      </c>
      <c r="I172" s="15">
        <v>42637.76771990741</v>
      </c>
      <c r="J172" s="7">
        <v>0</v>
      </c>
      <c r="K172" s="121" t="str">
        <f t="shared" si="76"/>
        <v>4005/4006</v>
      </c>
      <c r="L172" s="24" t="str">
        <f>VLOOKUP(A172,'Trips&amp;Operators'!$C$1:$E$10000,3,FALSE)</f>
        <v>SMITH</v>
      </c>
      <c r="M172" s="6">
        <f t="shared" si="77"/>
        <v>1.0416666918899864E-4</v>
      </c>
      <c r="N172" s="7">
        <f t="shared" si="94"/>
        <v>0.15000000363215804</v>
      </c>
      <c r="O172" s="7"/>
      <c r="P172" s="7"/>
      <c r="Q172" s="25"/>
      <c r="R172" s="25"/>
      <c r="S172" s="37">
        <f t="shared" si="89"/>
        <v>0</v>
      </c>
      <c r="T172" s="52" t="e">
        <f t="shared" si="78"/>
        <v>#VALUE!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https://search-rtdc-monitor-bjffxe2xuh6vdkpspy63sjmuny.us-east-1.es.amazonaws.com/_plugin/kibana/#/discover/Steve-Slow-Train-Analysis-(2080s-and-2083s)?_g=(refreshInterval:(display:Off,section:0,value:0),time:(from:'2016-09-24 17:21:39-0600',mode:absolute,to:'2016-09-24 19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172" s="54" t="str">
        <f t="shared" si="80"/>
        <v>Y</v>
      </c>
      <c r="X172" s="168" t="e">
        <f t="shared" si="95"/>
        <v>#VALUE!</v>
      </c>
      <c r="Y172" s="69">
        <f t="shared" si="86"/>
        <v>2.4691999999999998</v>
      </c>
      <c r="Z172" s="69">
        <f t="shared" si="87"/>
        <v>2.4138000000000002</v>
      </c>
      <c r="AA172" s="69">
        <f t="shared" si="81"/>
        <v>5.5399999999999672E-2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82"/>
        <v>68-24</v>
      </c>
      <c r="AE172" s="99" t="str">
        <f t="shared" si="83"/>
        <v>aws s3 cp s3://rtdc.mdm.uploadarchive/RTDC4005/2016-09-24/ "%USERPROFILE%\AppData\Local\Temp\OnboardLogs"\RTDC4005\2016-09-24 --recursive &amp; "%USERPROFILE%\Documents\GitHub\mrs-test-scripts\Headless Mode &amp; Sideloading\WalkAndUnGZ.bat" "%USERPROFILE%\AppData\Local\Temp\OnboardLogs"\RTDC4005\2016-09-24 &amp; aws s3 cp s3://rtdc.mdm.uploadarchive/RTDC4005/2016-09-25/ "%USERPROFILE%\AppData\Local\Temp\OnboardLogs"\RTDC4005\2016-09-25 --recursive &amp; "%USERPROFILE%\Documents\GitHub\mrs-test-scripts\Headless Mode &amp; Sideloading\WalkAndUnGZ.bat" "%USERPROFILE%\AppData\Local\Temp\OnboardLogs"\RTDC4005\2016-09-25</v>
      </c>
      <c r="AF172" s="96" t="str">
        <f t="shared" si="84"/>
        <v>"C:\Program Files (x86)\AstroGrep\AstroGrep.exe" /spath="%USERPROFILE%\AppData\Local\Temp\OnboardLogs" /stypes="app*4005*20160925*" /stext=" 00:.+((SYSTEM_STATE.+slice.+state.+changed )|(ment ac)|(system.+state.+changed )|(\|lc)|(penalty)|(\[timeout)|(PRM\|1\|D)|(kpr)|(kdp))" /e /r /s</v>
      </c>
      <c r="AG172" s="1" t="str">
        <f t="shared" si="85"/>
        <v>Other</v>
      </c>
      <c r="AH172" s="100" t="str">
        <f t="shared" si="74"/>
        <v>"%USERPROFILE%\Documents\GitHub\eaglep3\Utilities\RefineRTDCRunTimes.py" --tripid 68-24 --locoid 4005 --swversion DE.1.0.7.0 --startMP 300:24692 --initTime 2016-09-24T18:21:39 --startdatetime 2016-09-24T18:25:22 --delay 3 --endMP 300:24138 --enddatetime 2016-09-24T18:25:31 --enforcementcount 0 &gt;&gt;C:\Users\stu\Documents\GitHub\eaglep3-reporting\EC\2016-09-24-refined-times.txt</v>
      </c>
      <c r="AI172" s="134" t="str">
        <f t="shared" si="75"/>
        <v>echo {"issue":{"subject":"","project_id":79,"tracker_id":40,"status_id":1,"priority_id":2,"assigned_to_id":23,"start_date":"2016-09-24","description":"","custom_fields":[{"id":1,"name":"Subdivision","value":"Other"},{"id":4,"name":"Milepost","value":"2.4138"},{"id":17,"name":"Train ID","value":"68-24"},{"id":16,"name":"Locomotive ID","value":"4005"},{"id":130,"name":"Impact","value":""},{"id":150,"name":"Time of Event (Mountain Time)","value":"18:25:31"},{"id":151,"name":"Denver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/>
      <c r="B173" s="7"/>
      <c r="C173" s="24"/>
      <c r="D173" s="24"/>
      <c r="E173" s="15"/>
      <c r="F173" s="15"/>
      <c r="G173" s="7"/>
      <c r="H173" s="15"/>
      <c r="I173" s="15"/>
      <c r="J173" s="7"/>
      <c r="K173" s="121"/>
      <c r="L173" s="24"/>
      <c r="M173" s="6"/>
      <c r="N173" s="7"/>
      <c r="O173" s="7"/>
      <c r="P173" s="7"/>
      <c r="Q173" s="25"/>
      <c r="R173" s="25"/>
      <c r="S173" s="37"/>
      <c r="T173" s="52"/>
      <c r="U173" s="163"/>
      <c r="V173" s="106"/>
      <c r="W173" s="54"/>
      <c r="X173" s="168"/>
      <c r="Y173" s="69"/>
      <c r="Z173" s="69"/>
      <c r="AA173" s="69"/>
      <c r="AB173" s="66"/>
      <c r="AC173" s="62"/>
      <c r="AD173" s="63"/>
      <c r="AE173" s="99"/>
      <c r="AF173" s="96"/>
      <c r="AG173" s="1"/>
      <c r="AH173" s="100"/>
      <c r="AI173" s="134"/>
      <c r="AJ173" s="55"/>
      <c r="AK173" s="55"/>
      <c r="AL173" s="55"/>
    </row>
    <row r="174" spans="1:38" s="23" customFormat="1" x14ac:dyDescent="0.25">
      <c r="A174" s="39"/>
      <c r="B174" s="7"/>
      <c r="C174" s="24"/>
      <c r="D174" s="24"/>
      <c r="E174" s="15"/>
      <c r="F174" s="15"/>
      <c r="G174" s="7"/>
      <c r="H174" s="15"/>
      <c r="I174" s="15"/>
      <c r="J174" s="7"/>
      <c r="K174" s="121"/>
      <c r="L174" s="24"/>
      <c r="M174" s="6"/>
      <c r="N174" s="7"/>
      <c r="O174" s="7"/>
      <c r="P174" s="7"/>
      <c r="Q174" s="25"/>
      <c r="R174" s="25"/>
      <c r="S174" s="37"/>
      <c r="T174" s="52"/>
      <c r="U174" s="163"/>
      <c r="V174" s="106"/>
      <c r="W174" s="54"/>
      <c r="X174" s="168"/>
      <c r="Y174" s="69"/>
      <c r="Z174" s="69"/>
      <c r="AA174" s="69"/>
      <c r="AB174" s="66"/>
      <c r="AC174" s="62"/>
      <c r="AD174" s="63"/>
      <c r="AE174" s="99"/>
      <c r="AF174" s="96"/>
      <c r="AG174" s="1"/>
      <c r="AH174" s="100"/>
      <c r="AI174" s="134"/>
      <c r="AJ174" s="55"/>
      <c r="AK174" s="55"/>
      <c r="AL174" s="55"/>
    </row>
    <row r="175" spans="1:38" x14ac:dyDescent="0.25">
      <c r="A175" s="39"/>
      <c r="B175" s="7"/>
      <c r="C175" s="24"/>
      <c r="D175" s="24"/>
      <c r="E175" s="15"/>
      <c r="F175" s="15"/>
      <c r="G175" s="7"/>
      <c r="H175" s="15"/>
      <c r="I175" s="15"/>
      <c r="J175" s="7"/>
      <c r="K175" s="121"/>
      <c r="L175" s="24"/>
      <c r="M175" s="6"/>
      <c r="N175" s="7"/>
      <c r="O175" s="7"/>
      <c r="P175" s="7"/>
      <c r="Q175" s="25"/>
      <c r="R175" s="25"/>
      <c r="S175" s="37"/>
      <c r="T175" s="52"/>
      <c r="U175" s="163"/>
      <c r="V175" s="106"/>
      <c r="W175" s="54"/>
      <c r="X175" s="168"/>
      <c r="Y175" s="69"/>
      <c r="Z175" s="69"/>
      <c r="AA175" s="69"/>
      <c r="AB175" s="66"/>
      <c r="AC175" s="62"/>
      <c r="AD175" s="63"/>
      <c r="AE175" s="99"/>
      <c r="AF175" s="96"/>
      <c r="AG175" s="1"/>
      <c r="AI175" s="134"/>
      <c r="AJ175" s="55"/>
      <c r="AK175" s="55"/>
      <c r="AL175" s="55"/>
    </row>
    <row r="176" spans="1:38" x14ac:dyDescent="0.25">
      <c r="A176" s="39"/>
      <c r="B176" s="7"/>
      <c r="C176" s="24"/>
      <c r="D176" s="24"/>
      <c r="E176" s="15"/>
      <c r="F176" s="15"/>
      <c r="G176" s="7"/>
      <c r="H176" s="15"/>
      <c r="I176" s="15"/>
      <c r="J176" s="7"/>
      <c r="K176" s="121"/>
      <c r="L176" s="24"/>
      <c r="M176" s="6"/>
      <c r="N176" s="7"/>
      <c r="O176" s="7"/>
      <c r="P176" s="7"/>
      <c r="Q176" s="25"/>
      <c r="R176" s="25"/>
      <c r="S176" s="37"/>
      <c r="T176" s="52"/>
      <c r="U176" s="163"/>
      <c r="V176" s="106"/>
      <c r="W176" s="54"/>
      <c r="X176" s="168"/>
      <c r="Y176" s="69"/>
      <c r="Z176" s="69"/>
      <c r="AA176" s="69"/>
      <c r="AB176" s="66"/>
      <c r="AC176" s="62"/>
      <c r="AD176" s="63"/>
      <c r="AE176" s="99"/>
      <c r="AF176" s="96"/>
      <c r="AG176" s="1"/>
      <c r="AI176" s="134"/>
      <c r="AJ176" s="55"/>
      <c r="AK176" s="55"/>
      <c r="AL176" s="55"/>
    </row>
    <row r="177" spans="1:38" s="23" customFormat="1" x14ac:dyDescent="0.25">
      <c r="A177" s="39"/>
      <c r="B177" s="7"/>
      <c r="C177" s="24"/>
      <c r="D177" s="24"/>
      <c r="E177" s="15"/>
      <c r="F177" s="15"/>
      <c r="G177" s="7"/>
      <c r="H177" s="15"/>
      <c r="I177" s="15"/>
      <c r="J177" s="7"/>
      <c r="K177" s="121"/>
      <c r="L177" s="24"/>
      <c r="M177" s="6"/>
      <c r="N177" s="7"/>
      <c r="O177" s="7"/>
      <c r="P177" s="7"/>
      <c r="Q177" s="25"/>
      <c r="R177" s="25"/>
      <c r="S177" s="37"/>
      <c r="T177" s="52"/>
      <c r="U177" s="163"/>
      <c r="V177" s="106"/>
      <c r="W177" s="54"/>
      <c r="X177" s="168"/>
      <c r="Y177" s="69"/>
      <c r="Z177" s="69"/>
      <c r="AA177" s="69"/>
      <c r="AB177" s="66"/>
      <c r="AC177" s="62"/>
      <c r="AD177" s="63"/>
      <c r="AE177" s="99"/>
      <c r="AF177" s="96"/>
      <c r="AG177" s="1"/>
      <c r="AH177" s="100"/>
      <c r="AI177" s="134"/>
      <c r="AJ177" s="55"/>
      <c r="AK177" s="55"/>
      <c r="AL177" s="55"/>
    </row>
    <row r="178" spans="1:38" s="23" customFormat="1" x14ac:dyDescent="0.25">
      <c r="A178" s="39"/>
      <c r="B178" s="7"/>
      <c r="C178" s="24"/>
      <c r="D178" s="24"/>
      <c r="E178" s="15"/>
      <c r="F178" s="15"/>
      <c r="G178" s="7"/>
      <c r="H178" s="15"/>
      <c r="I178" s="15"/>
      <c r="J178" s="7"/>
      <c r="K178" s="121"/>
      <c r="L178" s="24"/>
      <c r="M178" s="6"/>
      <c r="N178" s="7"/>
      <c r="O178" s="7"/>
      <c r="P178" s="7"/>
      <c r="Q178" s="25"/>
      <c r="R178" s="25"/>
      <c r="S178" s="37"/>
      <c r="T178" s="52"/>
      <c r="U178" s="163"/>
      <c r="V178" s="106"/>
      <c r="W178" s="54"/>
      <c r="X178" s="168"/>
      <c r="Y178" s="69"/>
      <c r="Z178" s="69"/>
      <c r="AA178" s="69"/>
      <c r="AB178" s="66"/>
      <c r="AC178" s="62"/>
      <c r="AD178" s="63"/>
      <c r="AE178" s="99"/>
      <c r="AF178" s="96"/>
      <c r="AG178" s="1"/>
      <c r="AH178" s="100"/>
      <c r="AI178" s="134"/>
      <c r="AJ178" s="55"/>
      <c r="AK178" s="55"/>
      <c r="AL178" s="55"/>
    </row>
    <row r="179" spans="1:38" x14ac:dyDescent="0.25">
      <c r="A179" s="39"/>
      <c r="B179" s="7"/>
      <c r="C179" s="24"/>
      <c r="D179" s="24"/>
      <c r="E179" s="15"/>
      <c r="F179" s="15"/>
      <c r="G179" s="7"/>
      <c r="H179" s="15"/>
      <c r="I179" s="15"/>
      <c r="J179" s="7"/>
      <c r="K179" s="121"/>
      <c r="L179" s="24"/>
      <c r="M179" s="6"/>
      <c r="N179" s="7"/>
      <c r="O179" s="7"/>
      <c r="P179" s="7"/>
      <c r="Q179" s="25"/>
      <c r="R179" s="25"/>
      <c r="S179" s="37"/>
      <c r="T179" s="52"/>
      <c r="U179" s="163"/>
      <c r="V179" s="106"/>
      <c r="W179" s="54"/>
      <c r="X179" s="168"/>
      <c r="Y179" s="69"/>
      <c r="Z179" s="69"/>
      <c r="AA179" s="69"/>
      <c r="AB179" s="66"/>
      <c r="AC179" s="62"/>
      <c r="AD179" s="63"/>
      <c r="AE179" s="99"/>
      <c r="AF179" s="96"/>
      <c r="AG179" s="1"/>
      <c r="AI179" s="134"/>
      <c r="AJ179" s="55"/>
      <c r="AK179" s="55"/>
      <c r="AL179" s="55"/>
    </row>
    <row r="180" spans="1:38" x14ac:dyDescent="0.25">
      <c r="A180" s="39"/>
      <c r="B180" s="7"/>
      <c r="C180" s="24"/>
      <c r="D180" s="24"/>
      <c r="E180" s="15"/>
      <c r="F180" s="15"/>
      <c r="G180" s="7"/>
      <c r="H180" s="15"/>
      <c r="I180" s="15"/>
      <c r="J180" s="7"/>
      <c r="K180" s="121"/>
      <c r="L180" s="24"/>
      <c r="M180" s="6"/>
      <c r="N180" s="7"/>
      <c r="O180" s="7"/>
      <c r="P180" s="7"/>
      <c r="Q180" s="25"/>
      <c r="R180" s="25"/>
      <c r="S180" s="37"/>
      <c r="T180" s="52"/>
      <c r="U180" s="163"/>
      <c r="V180" s="106"/>
      <c r="W180" s="54"/>
      <c r="X180" s="168"/>
      <c r="Y180" s="69"/>
      <c r="Z180" s="69"/>
      <c r="AA180" s="69"/>
      <c r="AB180" s="66"/>
      <c r="AC180" s="62"/>
      <c r="AD180" s="63"/>
      <c r="AE180" s="99"/>
      <c r="AF180" s="96"/>
      <c r="AG180" s="1"/>
      <c r="AI180" s="134"/>
      <c r="AJ180" s="55"/>
      <c r="AK180" s="55"/>
      <c r="AL180" s="55"/>
    </row>
    <row r="181" spans="1:38" x14ac:dyDescent="0.25">
      <c r="A181" s="39"/>
      <c r="B181" s="7"/>
      <c r="C181" s="24"/>
      <c r="D181" s="24"/>
      <c r="E181" s="15"/>
      <c r="F181" s="15"/>
      <c r="G181" s="7"/>
      <c r="H181" s="15"/>
      <c r="I181" s="15"/>
      <c r="J181" s="7"/>
      <c r="K181" s="121"/>
      <c r="L181" s="24"/>
      <c r="M181" s="6"/>
      <c r="N181" s="7"/>
      <c r="O181" s="7"/>
      <c r="P181" s="7"/>
      <c r="Q181" s="25"/>
      <c r="R181" s="25"/>
      <c r="S181" s="37"/>
      <c r="T181" s="52"/>
      <c r="U181" s="163"/>
      <c r="V181" s="106"/>
      <c r="W181" s="54"/>
      <c r="X181" s="168"/>
      <c r="Y181" s="69"/>
      <c r="Z181" s="69"/>
      <c r="AA181" s="69"/>
      <c r="AB181" s="66"/>
      <c r="AC181" s="62"/>
      <c r="AD181" s="63"/>
      <c r="AE181" s="99"/>
      <c r="AF181" s="96"/>
      <c r="AG181" s="1"/>
      <c r="AI181" s="134"/>
      <c r="AJ181" s="55"/>
      <c r="AK181" s="55"/>
      <c r="AL181" s="55"/>
    </row>
    <row r="182" spans="1:38" x14ac:dyDescent="0.25">
      <c r="A182" s="39"/>
      <c r="B182" s="7"/>
      <c r="C182" s="24"/>
      <c r="D182" s="24"/>
      <c r="E182" s="15"/>
      <c r="F182" s="15"/>
      <c r="G182" s="7"/>
      <c r="H182" s="15"/>
      <c r="I182" s="15"/>
      <c r="J182" s="7"/>
      <c r="K182" s="121"/>
      <c r="L182" s="24"/>
      <c r="M182" s="6"/>
      <c r="N182" s="7"/>
      <c r="O182" s="7"/>
      <c r="P182" s="7"/>
      <c r="Q182" s="25"/>
      <c r="R182" s="25"/>
      <c r="S182" s="37"/>
      <c r="T182" s="52"/>
      <c r="U182" s="163"/>
      <c r="V182" s="106"/>
      <c r="W182" s="54"/>
      <c r="X182" s="168"/>
      <c r="Y182" s="69"/>
      <c r="Z182" s="69"/>
      <c r="AA182" s="69"/>
      <c r="AB182" s="66"/>
      <c r="AC182" s="62"/>
      <c r="AD182" s="63"/>
      <c r="AE182" s="99"/>
      <c r="AF182" s="96"/>
      <c r="AG182" s="1"/>
      <c r="AI182" s="134"/>
      <c r="AJ182" s="55"/>
      <c r="AK182" s="55"/>
      <c r="AL182" s="55"/>
    </row>
    <row r="183" spans="1:38" s="23" customFormat="1" x14ac:dyDescent="0.25">
      <c r="A183" s="39"/>
      <c r="B183" s="7"/>
      <c r="C183" s="24"/>
      <c r="D183" s="24"/>
      <c r="E183" s="15"/>
      <c r="F183" s="15"/>
      <c r="G183" s="7"/>
      <c r="H183" s="15"/>
      <c r="I183" s="15"/>
      <c r="J183" s="7"/>
      <c r="K183" s="121"/>
      <c r="L183" s="24"/>
      <c r="M183" s="6"/>
      <c r="N183" s="7"/>
      <c r="O183" s="7"/>
      <c r="P183" s="7"/>
      <c r="Q183" s="25"/>
      <c r="R183" s="25"/>
      <c r="S183" s="37"/>
      <c r="T183" s="52"/>
      <c r="U183" s="163"/>
      <c r="V183" s="106"/>
      <c r="W183" s="54"/>
      <c r="X183" s="168"/>
      <c r="Y183" s="69"/>
      <c r="Z183" s="69"/>
      <c r="AA183" s="69"/>
      <c r="AB183" s="66"/>
      <c r="AC183" s="62"/>
      <c r="AD183" s="63"/>
      <c r="AE183" s="99"/>
      <c r="AF183" s="96"/>
      <c r="AG183" s="1"/>
      <c r="AH183" s="100"/>
      <c r="AI183" s="134"/>
      <c r="AJ183" s="55"/>
      <c r="AK183" s="55"/>
      <c r="AL183" s="55"/>
    </row>
    <row r="184" spans="1:38" x14ac:dyDescent="0.25">
      <c r="A184" s="39"/>
      <c r="B184" s="7"/>
      <c r="C184" s="24"/>
      <c r="D184" s="24"/>
      <c r="E184" s="15"/>
      <c r="F184" s="15"/>
      <c r="G184" s="7"/>
      <c r="H184" s="15"/>
      <c r="I184" s="15"/>
      <c r="J184" s="7"/>
      <c r="K184" s="121"/>
      <c r="L184" s="24"/>
      <c r="M184" s="6"/>
      <c r="N184" s="7"/>
      <c r="O184" s="7"/>
      <c r="P184" s="7"/>
      <c r="Q184" s="25"/>
      <c r="R184" s="25"/>
      <c r="S184" s="37"/>
      <c r="T184" s="52"/>
      <c r="U184" s="163"/>
      <c r="V184" s="106"/>
      <c r="W184" s="54"/>
      <c r="X184" s="168"/>
      <c r="Y184" s="69"/>
      <c r="Z184" s="69"/>
      <c r="AA184" s="69"/>
      <c r="AB184" s="66"/>
      <c r="AC184" s="62"/>
      <c r="AD184" s="63"/>
      <c r="AE184" s="99"/>
      <c r="AF184" s="96"/>
      <c r="AG184" s="1"/>
      <c r="AI184" s="134"/>
      <c r="AJ184" s="55"/>
      <c r="AK184" s="55"/>
      <c r="AL184" s="55"/>
    </row>
    <row r="185" spans="1:38" x14ac:dyDescent="0.25">
      <c r="A185" s="39"/>
      <c r="B185" s="7"/>
      <c r="C185" s="24"/>
      <c r="D185" s="24"/>
      <c r="E185" s="15"/>
      <c r="F185" s="15"/>
      <c r="G185" s="7"/>
      <c r="H185" s="15"/>
      <c r="I185" s="15"/>
      <c r="J185" s="7"/>
      <c r="K185" s="121"/>
      <c r="L185" s="24"/>
      <c r="M185" s="6"/>
      <c r="N185" s="7"/>
      <c r="O185" s="7"/>
      <c r="P185" s="7"/>
      <c r="Q185" s="25"/>
      <c r="R185" s="25"/>
      <c r="S185" s="37"/>
      <c r="T185" s="52"/>
      <c r="U185" s="163"/>
      <c r="V185" s="106"/>
      <c r="W185" s="54"/>
      <c r="X185" s="168"/>
      <c r="Y185" s="69"/>
      <c r="Z185" s="69"/>
      <c r="AA185" s="69"/>
      <c r="AB185" s="66"/>
      <c r="AC185" s="62"/>
      <c r="AD185" s="63"/>
      <c r="AE185" s="99"/>
      <c r="AF185" s="96"/>
      <c r="AG185" s="1"/>
      <c r="AI185" s="134"/>
      <c r="AJ185" s="55"/>
      <c r="AK185" s="55"/>
      <c r="AL185" s="55"/>
    </row>
    <row r="186" spans="1:38" x14ac:dyDescent="0.25">
      <c r="A186" s="39"/>
      <c r="B186" s="7"/>
      <c r="C186" s="24"/>
      <c r="D186" s="24"/>
      <c r="E186" s="15"/>
      <c r="F186" s="15"/>
      <c r="G186" s="7"/>
      <c r="H186" s="15"/>
      <c r="I186" s="15"/>
      <c r="J186" s="7"/>
      <c r="K186" s="121"/>
      <c r="L186" s="24"/>
      <c r="M186" s="6"/>
      <c r="N186" s="7"/>
      <c r="O186" s="7"/>
      <c r="P186" s="7"/>
      <c r="Q186" s="25"/>
      <c r="R186" s="25"/>
      <c r="S186" s="37"/>
      <c r="T186" s="52"/>
      <c r="U186" s="163"/>
      <c r="V186" s="106"/>
      <c r="W186" s="54"/>
      <c r="X186" s="168"/>
      <c r="Y186" s="69"/>
      <c r="Z186" s="69"/>
      <c r="AA186" s="69"/>
      <c r="AB186" s="66"/>
      <c r="AC186" s="62"/>
      <c r="AD186" s="63"/>
      <c r="AE186" s="99"/>
      <c r="AF186" s="96"/>
      <c r="AG186" s="1"/>
      <c r="AI186" s="134"/>
      <c r="AJ186" s="55"/>
      <c r="AK186" s="55"/>
      <c r="AL186" s="55"/>
    </row>
    <row r="187" spans="1:38" x14ac:dyDescent="0.25">
      <c r="A187" s="39"/>
      <c r="B187" s="7"/>
      <c r="C187" s="24"/>
      <c r="D187" s="24"/>
      <c r="E187" s="15"/>
      <c r="F187" s="15"/>
      <c r="G187" s="7"/>
      <c r="H187" s="15"/>
      <c r="I187" s="15"/>
      <c r="J187" s="7"/>
      <c r="K187" s="121"/>
      <c r="L187" s="24"/>
      <c r="M187" s="6"/>
      <c r="N187" s="7"/>
      <c r="O187" s="7"/>
      <c r="P187" s="7"/>
      <c r="Q187" s="25"/>
      <c r="R187" s="25"/>
      <c r="S187" s="37"/>
      <c r="T187" s="52"/>
      <c r="U187" s="163"/>
      <c r="V187" s="106"/>
      <c r="W187" s="54"/>
      <c r="X187" s="168"/>
      <c r="Y187" s="69"/>
      <c r="Z187" s="69"/>
      <c r="AA187" s="69"/>
      <c r="AB187" s="66"/>
      <c r="AC187" s="62"/>
      <c r="AD187" s="63"/>
      <c r="AE187" s="99"/>
      <c r="AF187" s="96"/>
      <c r="AG187" s="1"/>
      <c r="AI187" s="134"/>
      <c r="AJ187" s="55"/>
      <c r="AK187" s="55"/>
      <c r="AL187" s="55"/>
    </row>
    <row r="188" spans="1:38" x14ac:dyDescent="0.25">
      <c r="A188" s="39"/>
      <c r="B188" s="7"/>
      <c r="C188" s="24"/>
      <c r="D188" s="24"/>
      <c r="E188" s="15"/>
      <c r="F188" s="15"/>
      <c r="G188" s="7"/>
      <c r="H188" s="15"/>
      <c r="I188" s="15"/>
      <c r="J188" s="7"/>
      <c r="K188" s="121"/>
      <c r="L188" s="24"/>
      <c r="M188" s="6"/>
      <c r="N188" s="7"/>
      <c r="O188" s="7"/>
      <c r="P188" s="7"/>
      <c r="Q188" s="25"/>
      <c r="R188" s="25"/>
      <c r="S188" s="37"/>
      <c r="T188" s="52"/>
      <c r="U188" s="163"/>
      <c r="V188" s="106"/>
      <c r="W188" s="54"/>
      <c r="X188" s="168"/>
      <c r="Y188" s="69"/>
      <c r="Z188" s="69"/>
      <c r="AA188" s="69"/>
      <c r="AB188" s="66"/>
      <c r="AC188" s="62"/>
      <c r="AD188" s="63"/>
      <c r="AE188" s="99"/>
      <c r="AF188" s="96"/>
      <c r="AG188" s="1"/>
      <c r="AI188" s="134"/>
      <c r="AJ188" s="55"/>
      <c r="AK188" s="55"/>
      <c r="AL188" s="55"/>
    </row>
    <row r="189" spans="1:38" s="23" customFormat="1" x14ac:dyDescent="0.25">
      <c r="A189" s="39"/>
      <c r="B189" s="7"/>
      <c r="C189" s="24"/>
      <c r="D189" s="24"/>
      <c r="E189" s="15"/>
      <c r="F189" s="15"/>
      <c r="G189" s="7"/>
      <c r="H189" s="15"/>
      <c r="I189" s="15"/>
      <c r="J189" s="7"/>
      <c r="K189" s="121"/>
      <c r="L189" s="24"/>
      <c r="M189" s="6"/>
      <c r="N189" s="7"/>
      <c r="O189" s="7"/>
      <c r="P189" s="7"/>
      <c r="Q189" s="25"/>
      <c r="R189" s="25"/>
      <c r="S189" s="37"/>
      <c r="T189" s="52"/>
      <c r="U189" s="163"/>
      <c r="V189" s="106"/>
      <c r="W189" s="54"/>
      <c r="X189" s="168"/>
      <c r="Y189" s="69"/>
      <c r="Z189" s="69"/>
      <c r="AA189" s="69"/>
      <c r="AB189" s="66"/>
      <c r="AC189" s="62"/>
      <c r="AD189" s="63"/>
      <c r="AE189" s="99"/>
      <c r="AF189" s="96"/>
      <c r="AG189" s="1"/>
      <c r="AH189" s="100"/>
      <c r="AI189" s="134"/>
      <c r="AJ189" s="55"/>
      <c r="AK189" s="55"/>
      <c r="AL189" s="55"/>
    </row>
    <row r="190" spans="1:38" x14ac:dyDescent="0.25">
      <c r="A190" s="39"/>
      <c r="B190" s="7"/>
      <c r="C190" s="24"/>
      <c r="D190" s="24"/>
      <c r="E190" s="15"/>
      <c r="F190" s="15"/>
      <c r="G190" s="7"/>
      <c r="H190" s="15"/>
      <c r="I190" s="15"/>
      <c r="J190" s="7"/>
      <c r="K190" s="121"/>
      <c r="L190" s="24"/>
      <c r="M190" s="6"/>
      <c r="N190" s="7"/>
      <c r="O190" s="7"/>
      <c r="P190" s="7"/>
      <c r="Q190" s="25"/>
      <c r="R190" s="25"/>
      <c r="S190" s="37"/>
      <c r="T190" s="52"/>
      <c r="U190" s="163"/>
      <c r="V190" s="106"/>
      <c r="W190" s="54"/>
      <c r="X190" s="168"/>
      <c r="Y190" s="69"/>
      <c r="Z190" s="69"/>
      <c r="AA190" s="69"/>
      <c r="AB190" s="66"/>
      <c r="AC190" s="62"/>
      <c r="AD190" s="63"/>
      <c r="AE190" s="99"/>
      <c r="AF190" s="96"/>
      <c r="AG190" s="1"/>
      <c r="AI190" s="134"/>
      <c r="AJ190" s="55"/>
      <c r="AK190" s="55"/>
      <c r="AL190" s="55"/>
    </row>
    <row r="191" spans="1:38" x14ac:dyDescent="0.25">
      <c r="A191" s="39"/>
      <c r="B191" s="7"/>
      <c r="C191" s="24"/>
      <c r="D191" s="24"/>
      <c r="E191" s="15"/>
      <c r="F191" s="15"/>
      <c r="G191" s="7"/>
      <c r="H191" s="15"/>
      <c r="I191" s="15"/>
      <c r="J191" s="7"/>
      <c r="K191" s="121"/>
      <c r="L191" s="24"/>
      <c r="M191" s="6"/>
      <c r="N191" s="7"/>
      <c r="O191" s="7"/>
      <c r="P191" s="7"/>
      <c r="Q191" s="25"/>
      <c r="R191" s="25"/>
      <c r="S191" s="37"/>
      <c r="T191" s="52"/>
      <c r="U191" s="163"/>
      <c r="V191" s="106"/>
      <c r="W191" s="54"/>
      <c r="X191" s="168"/>
      <c r="Y191" s="69"/>
      <c r="Z191" s="69"/>
      <c r="AA191" s="69"/>
      <c r="AB191" s="66"/>
      <c r="AC191" s="62"/>
      <c r="AD191" s="63"/>
      <c r="AE191" s="99"/>
      <c r="AF191" s="96"/>
      <c r="AG191" s="1"/>
      <c r="AI191" s="134"/>
      <c r="AJ191" s="55"/>
      <c r="AK191" s="55"/>
      <c r="AL191" s="55"/>
    </row>
    <row r="192" spans="1:38" x14ac:dyDescent="0.25">
      <c r="A192" s="39"/>
      <c r="B192" s="7"/>
      <c r="C192" s="24"/>
      <c r="D192" s="24"/>
      <c r="E192" s="15"/>
      <c r="F192" s="15"/>
      <c r="G192" s="7"/>
      <c r="H192" s="15"/>
      <c r="I192" s="15"/>
      <c r="J192" s="7"/>
      <c r="K192" s="121"/>
      <c r="L192" s="24"/>
      <c r="M192" s="6"/>
      <c r="N192" s="7"/>
      <c r="O192" s="7"/>
      <c r="P192" s="7"/>
      <c r="Q192" s="25"/>
      <c r="R192" s="25"/>
      <c r="S192" s="37"/>
      <c r="T192" s="52"/>
      <c r="U192" s="163"/>
      <c r="V192" s="106"/>
      <c r="W192" s="54"/>
      <c r="X192" s="168"/>
      <c r="Y192" s="69"/>
      <c r="Z192" s="69"/>
      <c r="AA192" s="69"/>
      <c r="AB192" s="66"/>
      <c r="AC192" s="62"/>
      <c r="AD192" s="63"/>
      <c r="AE192" s="99"/>
      <c r="AF192" s="96"/>
      <c r="AG192" s="1"/>
      <c r="AI192" s="134"/>
      <c r="AJ192" s="55"/>
      <c r="AK192" s="55"/>
      <c r="AL192" s="55"/>
    </row>
    <row r="193" spans="1:38" s="23" customFormat="1" x14ac:dyDescent="0.25">
      <c r="A193" s="39"/>
      <c r="B193" s="7"/>
      <c r="C193" s="24"/>
      <c r="D193" s="24"/>
      <c r="E193" s="15"/>
      <c r="F193" s="15"/>
      <c r="G193" s="7"/>
      <c r="H193" s="15"/>
      <c r="I193" s="15"/>
      <c r="J193" s="7"/>
      <c r="K193" s="121"/>
      <c r="L193" s="24"/>
      <c r="M193" s="6"/>
      <c r="N193" s="7"/>
      <c r="O193" s="7"/>
      <c r="P193" s="7"/>
      <c r="Q193" s="25"/>
      <c r="R193" s="25"/>
      <c r="S193" s="37"/>
      <c r="T193" s="52"/>
      <c r="U193" s="163"/>
      <c r="V193" s="106"/>
      <c r="W193" s="54"/>
      <c r="X193" s="168"/>
      <c r="Y193" s="69"/>
      <c r="Z193" s="69"/>
      <c r="AA193" s="69"/>
      <c r="AB193" s="66"/>
      <c r="AC193" s="62"/>
      <c r="AD193" s="63"/>
      <c r="AE193" s="99"/>
      <c r="AF193" s="96"/>
      <c r="AG193" s="1"/>
      <c r="AH193" s="100"/>
      <c r="AI193" s="134"/>
      <c r="AJ193" s="55"/>
      <c r="AK193" s="55"/>
      <c r="AL193" s="55"/>
    </row>
    <row r="194" spans="1:38" x14ac:dyDescent="0.25">
      <c r="A194" s="39"/>
      <c r="B194" s="7"/>
      <c r="C194" s="24"/>
      <c r="D194" s="24"/>
      <c r="E194" s="15"/>
      <c r="F194" s="15"/>
      <c r="G194" s="7"/>
      <c r="H194" s="15"/>
      <c r="I194" s="15"/>
      <c r="J194" s="7"/>
      <c r="K194" s="121"/>
      <c r="L194" s="24"/>
      <c r="M194" s="6"/>
      <c r="N194" s="7"/>
      <c r="O194" s="7"/>
      <c r="P194" s="7"/>
      <c r="Q194" s="25"/>
      <c r="R194" s="25"/>
      <c r="S194" s="37"/>
      <c r="T194" s="52"/>
      <c r="U194" s="163"/>
      <c r="V194" s="106"/>
      <c r="W194" s="54"/>
      <c r="X194" s="168"/>
      <c r="Y194" s="69"/>
      <c r="Z194" s="69"/>
      <c r="AA194" s="69"/>
      <c r="AB194" s="66"/>
      <c r="AC194" s="62"/>
      <c r="AD194" s="63"/>
      <c r="AE194" s="99"/>
      <c r="AF194" s="96"/>
      <c r="AG194" s="1"/>
      <c r="AI194" s="134"/>
      <c r="AJ194" s="55"/>
      <c r="AK194" s="55"/>
      <c r="AL194" s="55"/>
    </row>
    <row r="195" spans="1:38" s="23" customFormat="1" x14ac:dyDescent="0.25">
      <c r="A195" s="39"/>
      <c r="B195" s="7"/>
      <c r="C195" s="24"/>
      <c r="D195" s="24"/>
      <c r="E195" s="15"/>
      <c r="F195" s="15"/>
      <c r="G195" s="7"/>
      <c r="H195" s="15"/>
      <c r="I195" s="15"/>
      <c r="J195" s="7"/>
      <c r="K195" s="121"/>
      <c r="L195" s="24"/>
      <c r="M195" s="6"/>
      <c r="N195" s="7"/>
      <c r="O195" s="7"/>
      <c r="P195" s="7"/>
      <c r="Q195" s="25"/>
      <c r="R195" s="25"/>
      <c r="S195" s="37"/>
      <c r="T195" s="52"/>
      <c r="U195" s="163"/>
      <c r="V195" s="106"/>
      <c r="W195" s="54"/>
      <c r="X195" s="168"/>
      <c r="Y195" s="69"/>
      <c r="Z195" s="69"/>
      <c r="AA195" s="69"/>
      <c r="AB195" s="66"/>
      <c r="AC195" s="62"/>
      <c r="AD195" s="63"/>
      <c r="AE195" s="99"/>
      <c r="AF195" s="96"/>
      <c r="AG195" s="1"/>
      <c r="AH195" s="100"/>
      <c r="AI195" s="134"/>
      <c r="AJ195" s="55"/>
      <c r="AK195" s="55"/>
      <c r="AL195" s="55"/>
    </row>
    <row r="196" spans="1:38" s="23" customFormat="1" x14ac:dyDescent="0.25">
      <c r="A196" s="39"/>
      <c r="B196" s="7"/>
      <c r="C196" s="24"/>
      <c r="D196" s="24"/>
      <c r="E196" s="15"/>
      <c r="F196" s="15"/>
      <c r="G196" s="7"/>
      <c r="H196" s="15"/>
      <c r="I196" s="15"/>
      <c r="J196" s="7"/>
      <c r="K196" s="121"/>
      <c r="L196" s="24"/>
      <c r="M196" s="6"/>
      <c r="N196" s="7"/>
      <c r="O196" s="7"/>
      <c r="P196" s="7"/>
      <c r="Q196" s="25"/>
      <c r="R196" s="25"/>
      <c r="S196" s="37"/>
      <c r="T196" s="52"/>
      <c r="U196" s="163"/>
      <c r="V196" s="106"/>
      <c r="W196" s="54"/>
      <c r="X196" s="168"/>
      <c r="Y196" s="69"/>
      <c r="Z196" s="69"/>
      <c r="AA196" s="69"/>
      <c r="AB196" s="66"/>
      <c r="AC196" s="62"/>
      <c r="AD196" s="63"/>
      <c r="AE196" s="99"/>
      <c r="AF196" s="96"/>
      <c r="AG196" s="1"/>
      <c r="AH196" s="100"/>
      <c r="AI196" s="134"/>
      <c r="AJ196" s="55"/>
      <c r="AK196" s="55"/>
      <c r="AL196" s="55"/>
    </row>
    <row r="197" spans="1:38" x14ac:dyDescent="0.25">
      <c r="A197" s="39"/>
      <c r="B197" s="7"/>
      <c r="C197" s="24"/>
      <c r="D197" s="24"/>
      <c r="E197" s="15"/>
      <c r="F197" s="15"/>
      <c r="G197" s="7"/>
      <c r="H197" s="15"/>
      <c r="I197" s="15"/>
      <c r="J197" s="7"/>
      <c r="K197" s="121"/>
      <c r="L197" s="24"/>
      <c r="M197" s="6"/>
      <c r="N197" s="7"/>
      <c r="O197" s="7"/>
      <c r="P197" s="7"/>
      <c r="Q197" s="25"/>
      <c r="R197" s="25"/>
      <c r="S197" s="37"/>
      <c r="T197" s="52"/>
      <c r="U197" s="163"/>
      <c r="V197" s="106"/>
      <c r="W197" s="54"/>
      <c r="X197" s="168"/>
      <c r="Y197" s="69"/>
      <c r="Z197" s="69"/>
      <c r="AA197" s="69"/>
      <c r="AB197" s="66"/>
      <c r="AC197" s="62"/>
      <c r="AD197" s="63"/>
      <c r="AE197" s="99"/>
      <c r="AF197" s="96"/>
      <c r="AG197" s="1"/>
      <c r="AI197" s="134"/>
      <c r="AJ197" s="55"/>
      <c r="AK197" s="55"/>
      <c r="AL197" s="55"/>
    </row>
    <row r="198" spans="1:38" x14ac:dyDescent="0.25">
      <c r="A198" s="39"/>
      <c r="B198" s="7"/>
      <c r="C198" s="24"/>
      <c r="D198" s="24"/>
      <c r="E198" s="15"/>
      <c r="F198" s="15"/>
      <c r="G198" s="7"/>
      <c r="H198" s="15"/>
      <c r="I198" s="15"/>
      <c r="J198" s="7"/>
      <c r="K198" s="121"/>
      <c r="L198" s="24"/>
      <c r="M198" s="6"/>
      <c r="N198" s="7"/>
      <c r="O198" s="7"/>
      <c r="P198" s="7"/>
      <c r="Q198" s="25"/>
      <c r="R198" s="25"/>
      <c r="S198" s="37"/>
      <c r="T198" s="52"/>
      <c r="U198" s="163"/>
      <c r="V198" s="106"/>
      <c r="W198" s="54"/>
      <c r="X198" s="168"/>
      <c r="Y198" s="69"/>
      <c r="Z198" s="69"/>
      <c r="AA198" s="69"/>
      <c r="AB198" s="66"/>
      <c r="AC198" s="62"/>
      <c r="AD198" s="63"/>
      <c r="AE198" s="99"/>
      <c r="AF198" s="96"/>
      <c r="AG198" s="1"/>
      <c r="AI198" s="134"/>
      <c r="AJ198" s="55"/>
      <c r="AK198" s="55"/>
      <c r="AL198" s="55"/>
    </row>
    <row r="199" spans="1:38" x14ac:dyDescent="0.25">
      <c r="A199" s="39"/>
      <c r="B199" s="7"/>
      <c r="C199" s="24"/>
      <c r="D199" s="24"/>
      <c r="E199" s="15"/>
      <c r="F199" s="15"/>
      <c r="G199" s="7"/>
      <c r="H199" s="15"/>
      <c r="I199" s="15"/>
      <c r="J199" s="7"/>
      <c r="K199" s="121"/>
      <c r="L199" s="24"/>
      <c r="M199" s="6"/>
      <c r="N199" s="7"/>
      <c r="O199" s="7"/>
      <c r="P199" s="7"/>
      <c r="Q199" s="25"/>
      <c r="R199" s="25"/>
      <c r="S199" s="37"/>
      <c r="T199" s="52"/>
      <c r="U199" s="163"/>
      <c r="V199" s="106"/>
      <c r="W199" s="54"/>
      <c r="X199" s="168"/>
      <c r="Y199" s="69"/>
      <c r="Z199" s="69"/>
      <c r="AA199" s="69"/>
      <c r="AB199" s="66"/>
      <c r="AC199" s="62"/>
      <c r="AD199" s="63"/>
      <c r="AE199" s="99"/>
      <c r="AF199" s="96"/>
      <c r="AG199" s="1"/>
      <c r="AI199" s="134"/>
      <c r="AJ199" s="55"/>
      <c r="AK199" s="55"/>
      <c r="AL199" s="55"/>
    </row>
    <row r="200" spans="1:38" s="23" customFormat="1" x14ac:dyDescent="0.25">
      <c r="A200" s="39"/>
      <c r="B200" s="7"/>
      <c r="C200" s="24"/>
      <c r="D200" s="24"/>
      <c r="E200" s="15"/>
      <c r="F200" s="15"/>
      <c r="G200" s="7"/>
      <c r="H200" s="15"/>
      <c r="I200" s="15"/>
      <c r="J200" s="7"/>
      <c r="K200" s="121"/>
      <c r="L200" s="24"/>
      <c r="M200" s="6"/>
      <c r="N200" s="7"/>
      <c r="O200" s="7"/>
      <c r="P200" s="7"/>
      <c r="Q200" s="25"/>
      <c r="R200" s="25"/>
      <c r="S200" s="37"/>
      <c r="T200" s="52"/>
      <c r="U200" s="163"/>
      <c r="V200" s="106"/>
      <c r="W200" s="54"/>
      <c r="X200" s="168"/>
      <c r="Y200" s="69"/>
      <c r="Z200" s="69"/>
      <c r="AA200" s="69"/>
      <c r="AB200" s="66"/>
      <c r="AC200" s="62"/>
      <c r="AD200" s="63"/>
      <c r="AE200" s="99"/>
      <c r="AF200" s="96"/>
      <c r="AG200" s="1"/>
      <c r="AH200" s="100"/>
      <c r="AI200" s="134"/>
      <c r="AJ200" s="55"/>
      <c r="AK200" s="55"/>
      <c r="AL200" s="55"/>
    </row>
    <row r="201" spans="1:38" s="23" customFormat="1" x14ac:dyDescent="0.25">
      <c r="A201" s="39"/>
      <c r="B201" s="7"/>
      <c r="C201" s="24"/>
      <c r="D201" s="24"/>
      <c r="E201" s="15"/>
      <c r="F201" s="15"/>
      <c r="G201" s="7"/>
      <c r="H201" s="15"/>
      <c r="I201" s="15"/>
      <c r="J201" s="7"/>
      <c r="K201" s="121"/>
      <c r="L201" s="24"/>
      <c r="M201" s="6"/>
      <c r="N201" s="7"/>
      <c r="O201" s="7"/>
      <c r="P201" s="7"/>
      <c r="Q201" s="25"/>
      <c r="R201" s="25"/>
      <c r="S201" s="37"/>
      <c r="T201" s="52"/>
      <c r="U201" s="163"/>
      <c r="V201" s="106"/>
      <c r="W201" s="54"/>
      <c r="X201" s="168"/>
      <c r="Y201" s="69"/>
      <c r="Z201" s="69"/>
      <c r="AA201" s="69"/>
      <c r="AB201" s="66"/>
      <c r="AC201" s="62"/>
      <c r="AD201" s="63"/>
      <c r="AE201" s="99"/>
      <c r="AF201" s="96"/>
      <c r="AG201" s="1"/>
      <c r="AH201" s="100"/>
      <c r="AI201" s="134"/>
      <c r="AJ201" s="55"/>
      <c r="AK201" s="55"/>
      <c r="AL201" s="55"/>
    </row>
    <row r="202" spans="1:38" s="23" customFormat="1" x14ac:dyDescent="0.25">
      <c r="A202" s="39"/>
      <c r="B202" s="7"/>
      <c r="C202" s="24"/>
      <c r="D202" s="24"/>
      <c r="E202" s="15"/>
      <c r="F202" s="15"/>
      <c r="G202" s="7"/>
      <c r="H202" s="15"/>
      <c r="I202" s="15"/>
      <c r="J202" s="7"/>
      <c r="K202" s="121"/>
      <c r="L202" s="24"/>
      <c r="M202" s="6"/>
      <c r="N202" s="7"/>
      <c r="O202" s="7"/>
      <c r="P202" s="7"/>
      <c r="Q202" s="25"/>
      <c r="R202" s="25"/>
      <c r="S202" s="37"/>
      <c r="T202" s="52"/>
      <c r="U202" s="163"/>
      <c r="V202" s="106"/>
      <c r="W202" s="54"/>
      <c r="X202" s="168"/>
      <c r="Y202" s="69"/>
      <c r="Z202" s="69"/>
      <c r="AA202" s="69"/>
      <c r="AB202" s="66"/>
      <c r="AC202" s="62"/>
      <c r="AD202" s="63"/>
      <c r="AE202" s="99"/>
      <c r="AF202" s="96"/>
      <c r="AG202" s="1"/>
      <c r="AH202" s="100"/>
      <c r="AI202" s="134"/>
      <c r="AJ202" s="55"/>
      <c r="AK202" s="55"/>
      <c r="AL202" s="55"/>
    </row>
    <row r="203" spans="1:38" s="23" customFormat="1" x14ac:dyDescent="0.25">
      <c r="A203" s="39"/>
      <c r="B203" s="7"/>
      <c r="C203" s="24"/>
      <c r="D203" s="24"/>
      <c r="E203" s="15"/>
      <c r="F203" s="15"/>
      <c r="G203" s="7"/>
      <c r="H203" s="15"/>
      <c r="I203" s="15"/>
      <c r="J203" s="7"/>
      <c r="K203" s="121"/>
      <c r="L203" s="24"/>
      <c r="M203" s="6"/>
      <c r="N203" s="7"/>
      <c r="O203" s="7"/>
      <c r="P203" s="7"/>
      <c r="Q203" s="25"/>
      <c r="R203" s="25"/>
      <c r="S203" s="37"/>
      <c r="T203" s="52"/>
      <c r="U203" s="163"/>
      <c r="V203" s="106"/>
      <c r="W203" s="54"/>
      <c r="X203" s="168"/>
      <c r="Y203" s="69"/>
      <c r="Z203" s="69"/>
      <c r="AA203" s="69"/>
      <c r="AB203" s="66"/>
      <c r="AC203" s="62"/>
      <c r="AD203" s="63"/>
      <c r="AE203" s="99"/>
      <c r="AF203" s="96"/>
      <c r="AG203" s="1"/>
      <c r="AH203" s="100"/>
      <c r="AI203" s="134"/>
      <c r="AJ203" s="55"/>
      <c r="AK203" s="55"/>
      <c r="AL203" s="55"/>
    </row>
    <row r="204" spans="1:38" s="23" customFormat="1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21"/>
      <c r="L204" s="24"/>
      <c r="M204" s="6"/>
      <c r="N204" s="7"/>
      <c r="O204" s="7"/>
      <c r="P204" s="7"/>
      <c r="Q204" s="25"/>
      <c r="R204" s="25"/>
      <c r="S204" s="37"/>
      <c r="T204" s="52"/>
      <c r="U204" s="163"/>
      <c r="V204" s="106"/>
      <c r="W204" s="54"/>
      <c r="X204" s="168"/>
      <c r="Y204" s="69"/>
      <c r="Z204" s="69"/>
      <c r="AA204" s="69"/>
      <c r="AB204" s="66"/>
      <c r="AC204" s="62"/>
      <c r="AD204" s="63"/>
      <c r="AE204" s="99"/>
      <c r="AF204" s="96"/>
      <c r="AG204" s="1"/>
      <c r="AH204" s="100"/>
      <c r="AI204" s="134"/>
      <c r="AJ204" s="55"/>
      <c r="AK204" s="55"/>
      <c r="AL204" s="55"/>
    </row>
    <row r="205" spans="1:38" s="23" customFormat="1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21"/>
      <c r="L205" s="24"/>
      <c r="M205" s="6"/>
      <c r="N205" s="7"/>
      <c r="O205" s="7"/>
      <c r="P205" s="7"/>
      <c r="Q205" s="25"/>
      <c r="R205" s="25"/>
      <c r="S205" s="37"/>
      <c r="T205" s="52"/>
      <c r="U205" s="163"/>
      <c r="V205" s="106"/>
      <c r="W205" s="54"/>
      <c r="X205" s="168"/>
      <c r="Y205" s="69"/>
      <c r="Z205" s="69"/>
      <c r="AA205" s="69"/>
      <c r="AB205" s="66"/>
      <c r="AC205" s="62"/>
      <c r="AD205" s="63"/>
      <c r="AE205" s="99"/>
      <c r="AF205" s="96"/>
      <c r="AG205" s="1"/>
      <c r="AH205" s="100"/>
      <c r="AI205" s="134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21"/>
      <c r="L206" s="24"/>
      <c r="M206" s="6"/>
      <c r="N206" s="7"/>
      <c r="O206" s="7"/>
      <c r="P206" s="7"/>
      <c r="Q206" s="25"/>
      <c r="R206" s="25"/>
      <c r="S206" s="37"/>
      <c r="T206" s="52"/>
      <c r="U206" s="163"/>
      <c r="V206" s="106"/>
      <c r="W206" s="54"/>
      <c r="X206" s="168"/>
      <c r="Y206" s="69"/>
      <c r="Z206" s="69"/>
      <c r="AA206" s="69"/>
      <c r="AB206" s="66"/>
      <c r="AC206" s="62"/>
      <c r="AD206" s="63"/>
      <c r="AE206" s="99"/>
      <c r="AF206" s="96"/>
      <c r="AG206" s="1"/>
      <c r="AI206" s="134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21"/>
      <c r="L207" s="24"/>
      <c r="M207" s="6"/>
      <c r="N207" s="7"/>
      <c r="O207" s="7"/>
      <c r="P207" s="7"/>
      <c r="Q207" s="25"/>
      <c r="R207" s="25"/>
      <c r="S207" s="37"/>
      <c r="T207" s="52"/>
      <c r="U207" s="163"/>
      <c r="V207" s="106"/>
      <c r="W207" s="54"/>
      <c r="X207" s="168"/>
      <c r="Y207" s="69"/>
      <c r="Z207" s="69"/>
      <c r="AA207" s="69"/>
      <c r="AB207" s="66"/>
      <c r="AC207" s="62"/>
      <c r="AD207" s="63"/>
      <c r="AE207" s="99"/>
      <c r="AF207" s="96"/>
      <c r="AG207" s="1"/>
      <c r="AI207" s="134"/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1"/>
      <c r="L208" s="24"/>
      <c r="M208" s="6"/>
      <c r="N208" s="7"/>
      <c r="O208" s="7"/>
      <c r="P208" s="7"/>
      <c r="Q208" s="25"/>
      <c r="R208" s="25"/>
      <c r="S208" s="37"/>
      <c r="T208" s="52"/>
      <c r="U208" s="163"/>
      <c r="V208" s="106"/>
      <c r="W208" s="54"/>
      <c r="X208" s="168"/>
      <c r="Y208" s="69"/>
      <c r="Z208" s="69"/>
      <c r="AA208" s="69"/>
      <c r="AB208" s="66"/>
      <c r="AC208" s="62"/>
      <c r="AD208" s="63"/>
      <c r="AE208" s="99"/>
      <c r="AF208" s="96"/>
      <c r="AG208" s="1"/>
      <c r="AI208" s="134"/>
      <c r="AJ208" s="55"/>
      <c r="AK208" s="55"/>
      <c r="AL208" s="55"/>
    </row>
    <row r="209" spans="1:38" s="23" customFormat="1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1"/>
      <c r="L209" s="24"/>
      <c r="M209" s="6"/>
      <c r="N209" s="7"/>
      <c r="O209" s="7"/>
      <c r="P209" s="7"/>
      <c r="Q209" s="25"/>
      <c r="R209" s="25"/>
      <c r="S209" s="37"/>
      <c r="T209" s="52"/>
      <c r="U209" s="163"/>
      <c r="V209" s="106"/>
      <c r="W209" s="54"/>
      <c r="X209" s="168"/>
      <c r="Y209" s="69"/>
      <c r="Z209" s="69"/>
      <c r="AA209" s="69"/>
      <c r="AB209" s="66"/>
      <c r="AC209" s="62"/>
      <c r="AD209" s="63"/>
      <c r="AE209" s="99"/>
      <c r="AF209" s="96"/>
      <c r="AG209" s="1"/>
      <c r="AH209" s="100"/>
      <c r="AI209" s="134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1"/>
      <c r="L210" s="24"/>
      <c r="M210" s="6"/>
      <c r="N210" s="7"/>
      <c r="O210" s="7"/>
      <c r="P210" s="7"/>
      <c r="Q210" s="25"/>
      <c r="R210" s="25"/>
      <c r="S210" s="37"/>
      <c r="T210" s="52"/>
      <c r="U210" s="163"/>
      <c r="V210" s="106"/>
      <c r="W210" s="54"/>
      <c r="X210" s="168"/>
      <c r="Y210" s="69"/>
      <c r="Z210" s="69"/>
      <c r="AA210" s="69"/>
      <c r="AB210" s="66"/>
      <c r="AC210" s="62"/>
      <c r="AD210" s="63"/>
      <c r="AE210" s="99"/>
      <c r="AF210" s="96"/>
      <c r="AG210" s="1"/>
      <c r="AI210" s="134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1"/>
      <c r="L211" s="24"/>
      <c r="M211" s="6"/>
      <c r="N211" s="7"/>
      <c r="O211" s="7"/>
      <c r="P211" s="7"/>
      <c r="Q211" s="25"/>
      <c r="R211" s="25"/>
      <c r="S211" s="37"/>
      <c r="T211" s="52"/>
      <c r="U211" s="163"/>
      <c r="V211" s="106"/>
      <c r="W211" s="54"/>
      <c r="X211" s="168"/>
      <c r="Y211" s="69"/>
      <c r="Z211" s="69"/>
      <c r="AA211" s="69"/>
      <c r="AB211" s="66"/>
      <c r="AC211" s="62"/>
      <c r="AD211" s="63"/>
      <c r="AE211" s="99"/>
      <c r="AF211" s="96"/>
      <c r="AG211" s="1"/>
      <c r="AI211" s="134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I213" s="134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</sheetData>
  <autoFilter ref="A12:AG25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326" operator="equal">
      <formula>"Y"</formula>
    </cfRule>
  </conditionalFormatting>
  <conditionalFormatting sqref="X13:X1048576">
    <cfRule type="cellIs" dxfId="8" priority="309" operator="greaterThan">
      <formula>1</formula>
    </cfRule>
  </conditionalFormatting>
  <conditionalFormatting sqref="X12:X1048576">
    <cfRule type="cellIs" dxfId="7" priority="306" operator="equal">
      <formula>0</formula>
    </cfRule>
  </conditionalFormatting>
  <conditionalFormatting sqref="A13:S250">
    <cfRule type="expression" dxfId="6" priority="302">
      <formula>$O13&gt;0</formula>
    </cfRule>
  </conditionalFormatting>
  <conditionalFormatting sqref="A13:S250">
    <cfRule type="expression" dxfId="5" priority="30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A226:S250 S13:S225 A13:Q225</xm:sqref>
        </x14:conditionalFormatting>
        <x14:conditionalFormatting xmlns:xm="http://schemas.microsoft.com/office/excel/2006/main">
          <x14:cfRule type="expression" priority="6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AK13:AK250</xm:sqref>
        </x14:dataValidation>
        <x14:dataValidation type="list" allowBlank="1" showInputMessage="1" showErrorMessage="1">
          <x14:formula1>
            <xm:f>'Redmine List Values'!$C$2:$C$20</xm:f>
          </x14:formula1>
          <xm:sqref>AL13:AL250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abSelected="1" topLeftCell="A2" workbookViewId="0">
      <selection activeCell="A9" sqref="A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8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34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79" t="str">
        <f>"Eagle P3 Braking Events - "&amp;TEXT(Variables!$A$2,"YYYY-mm-dd")</f>
        <v>Eagle P3 Braking Events - 2016-09-24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255</v>
      </c>
    </row>
    <row r="7" spans="1:29" s="1" customFormat="1" x14ac:dyDescent="0.25">
      <c r="A7" s="38">
        <v>42637.464675925927</v>
      </c>
      <c r="B7" s="33" t="s">
        <v>275</v>
      </c>
      <c r="C7" s="33" t="s">
        <v>443</v>
      </c>
      <c r="D7" s="33" t="s">
        <v>105</v>
      </c>
      <c r="E7" s="33" t="s">
        <v>169</v>
      </c>
      <c r="F7" s="49">
        <v>0</v>
      </c>
      <c r="G7" s="49">
        <v>825</v>
      </c>
      <c r="H7" s="49">
        <v>109008</v>
      </c>
      <c r="I7" s="49">
        <v>112992</v>
      </c>
      <c r="J7" s="33" t="s">
        <v>168</v>
      </c>
      <c r="K7" s="49">
        <v>108954</v>
      </c>
      <c r="L7" s="150" t="s">
        <v>52</v>
      </c>
      <c r="M7" s="153">
        <f t="shared" ref="M7:M48" si="0">CONVERT((I7-K7)/10000,"mi","ft")*IF(L7="Increasing Mileposts (1)",-1,1)</f>
        <v>-2132.0639999999999</v>
      </c>
      <c r="N7" s="92" t="str">
        <f>VLOOKUP(C7,'Trips&amp;Operators'!$C$1:$E$99999,3,FALSE)</f>
        <v>STRICKLAND</v>
      </c>
      <c r="O7" s="174" t="s">
        <v>86</v>
      </c>
      <c r="P7" s="10" t="s">
        <v>274</v>
      </c>
      <c r="Q7" s="33"/>
      <c r="R7" s="108" t="str">
        <f>VLOOKUP(C7,'Train Runs'!$A$13:$AE$10013,31,0)</f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S7" s="111" t="str">
        <f>VLOOKUP(C7,'Train Runs'!$A$13:$AE$10013,22,0)</f>
        <v>https://search-rtdc-monitor-bjffxe2xuh6vdkpspy63sjmuny.us-east-1.es.amazonaws.com/_plugin/kibana/#/discover/Steve-Slow-Train-Analysis-(2080s-and-2083s)?_g=(refreshInterval:(display:Off,section:0,value:0),time:(from:'2016-09-24 09:39:55-0600',mode:absolute,to:'2016-09-24 12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7" s="113" t="str">
        <f t="shared" ref="T7:T4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/stypes="*4014*201609241*" /stext=" 17:.+((SYSTEM_STATE.+slice.+state.+changed )|(ment ac)|(system.+state.+changed )|(\|lc)|(penalty)|(\[timeout)|(PRM\|1\|D)|(kpr)|(kdp))" /e /r /s</v>
      </c>
      <c r="U7" s="9" t="str">
        <f t="shared" ref="U7:U48" si="2">MID(B7,13,4)</f>
        <v>4014</v>
      </c>
      <c r="V7" s="38">
        <f t="shared" ref="V7:V48" si="3">A7+6/24</f>
        <v>42637.714675925927</v>
      </c>
      <c r="W7" s="52" t="str">
        <f t="shared" ref="W7:W48" si="4">IF(VALUE(LEFT(IF(LEN(C7)=6,"0"&amp;C7,C7),2))&lt;=2,"EC",IF(OR(VALUE(LEFT(IF(LEN(C7)=6,"0"&amp;C7,C7),2))=8,VALUE(LEFT(IF(LEN(C7)=6,"0"&amp;C7,C7),2))=18),"NW","Other"))</f>
        <v>EC</v>
      </c>
      <c r="X7" s="52" t="str">
        <f t="shared" ref="X7:X48" si="5">IF(AND(E7="TRACK WARRANT AUTHORITY",G7&lt;10),"OMIT","KEEP")</f>
        <v>KEEP</v>
      </c>
      <c r="Y7" s="134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arrival","project_id":79,"tracker_id":40,"status_id":1,"priority_id":2,"assigned_to_id":23,"start_date":"2016-09-24","description":"","custom_fields":[{"id":1,"name":"Subdivision","value":"EC"},{"id":4,"name":"Milepost","value":"10.8954"},{"id":17,"name":"Train ID","value":"157-24"},{"id":16,"name":"Locomotive ID","value":"4014"},{"id":130,"name":"Impact","value":""},{"id":150,"name":"Time of Event (Mountain Time)","value":"11:09:08"},{"id":151,"name":"Denver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 t="shared" ref="AC7:AC4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"%USERPROFILE%\AppData\Local\Temp\OnboardLogs"\RTDC4014\*4014*201609241* | grep -SE "((Enforcement Ac)|(PRM))" -</v>
      </c>
    </row>
    <row r="8" spans="1:29" s="1" customFormat="1" x14ac:dyDescent="0.25">
      <c r="A8" s="38">
        <v>42637.812361111108</v>
      </c>
      <c r="B8" s="33" t="s">
        <v>339</v>
      </c>
      <c r="C8" s="33" t="s">
        <v>459</v>
      </c>
      <c r="D8" s="33" t="s">
        <v>49</v>
      </c>
      <c r="E8" s="33" t="s">
        <v>169</v>
      </c>
      <c r="F8" s="49">
        <v>0</v>
      </c>
      <c r="G8" s="49">
        <v>48</v>
      </c>
      <c r="H8" s="49">
        <v>108484</v>
      </c>
      <c r="I8" s="49">
        <v>108516</v>
      </c>
      <c r="J8" s="33" t="s">
        <v>168</v>
      </c>
      <c r="K8" s="49">
        <v>108954</v>
      </c>
      <c r="L8" s="150" t="s">
        <v>52</v>
      </c>
      <c r="M8" s="153">
        <f t="shared" si="0"/>
        <v>231.26400000000001</v>
      </c>
      <c r="N8" s="92" t="str">
        <f>VLOOKUP(C8,'Trips&amp;Operators'!$C$1:$E$99999,3,FALSE)</f>
        <v>SMITH</v>
      </c>
      <c r="O8" s="174" t="s">
        <v>86</v>
      </c>
      <c r="P8" s="10" t="s">
        <v>308</v>
      </c>
      <c r="Q8" s="33"/>
      <c r="R8" s="108" t="str">
        <f>VLOOKUP(C8,'Train Runs'!$A$13:$AE$10013,31,0)</f>
        <v>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 &amp; aws s3 cp s3://rtdc.mdm.uploadarchive/RTDC4018/2016-09-25/ "%USERPROFILE%\AppData\Local\Temp\OnboardLogs"\RTDC4018\2016-09-25 --recursive &amp; "%USERPROFILE%\Documents\GitHub\mrs-test-scripts\Headless Mode &amp; Sideloading\WalkAndUnGZ.bat" "%USERPROFILE%\AppData\Local\Temp\OnboardLogs"\RTDC4018\2016-09-25</v>
      </c>
      <c r="S8" s="111" t="str">
        <f>VLOOKUP(C8,'Train Runs'!$A$13:$AE$10013,22,0)</f>
        <v>https://search-rtdc-monitor-bjffxe2xuh6vdkpspy63sjmuny.us-east-1.es.amazonaws.com/_plugin/kibana/#/discover/Steve-Slow-Train-Analysis-(2080s-and-2083s)?_g=(refreshInterval:(display:Off,section:0,value:0),time:(from:'2016-09-24 17:58:13-0600',mode:absolute,to:'2016-09-24 20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8" s="113" t="str">
        <f t="shared" si="1"/>
        <v>"C:\Program Files (x86)\AstroGrep\AstroGrep.exe" /spath="%USERPROFILE%\AppData\Local\Temp\OnboardLogs" /stypes="*4018*201609250*" /stext=" 01:.+((SYSTEM_STATE.+slice.+state.+changed )|(ment ac)|(system.+state.+changed )|(\|lc)|(penalty)|(\[timeout)|(PRM\|1\|D)|(kpr)|(kdp))" /e /r /s</v>
      </c>
      <c r="U8" s="9" t="str">
        <f t="shared" si="2"/>
        <v>4018</v>
      </c>
      <c r="V8" s="38">
        <f t="shared" si="3"/>
        <v>42638.062361111108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{"issue":{"subject":"Form C","project_id":79,"tracker_id":40,"status_id":1,"priority_id":2,"assigned_to_id":23,"start_date":"2016-09-24","description":"","custom_fields":[{"id":1,"name":"Subdivision","value":"EC"},{"id":4,"name":"Milepost","value":"10.8954"},{"id":17,"name":"Train ID","value":"221-24"},{"id":16,"name":"Locomotive ID","value":"4018"},{"id":130,"name":"Impact","value":""},{"id":150,"name":"Time of Event (Mountain Time)","value":"19:29:48"},{"id":151,"name":"Denver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 t="shared" si="7"/>
        <v>grep -hSE -A100 "Enforcement Action" "%USERPROFILE%\AppData\Local\Temp\OnboardLogs"\RTDC4018\*4018*201609250* | grep -SE "((Enforcement Ac)|(PRM))" -</v>
      </c>
    </row>
    <row r="9" spans="1:29" s="1" customFormat="1" x14ac:dyDescent="0.25">
      <c r="A9" s="38">
        <v>42637.176412037035</v>
      </c>
      <c r="B9" s="33" t="s">
        <v>275</v>
      </c>
      <c r="C9" s="33" t="s">
        <v>429</v>
      </c>
      <c r="D9" s="33" t="s">
        <v>49</v>
      </c>
      <c r="E9" s="33" t="s">
        <v>169</v>
      </c>
      <c r="F9" s="49">
        <v>690</v>
      </c>
      <c r="G9" s="49">
        <v>822</v>
      </c>
      <c r="H9" s="49">
        <v>107873</v>
      </c>
      <c r="I9" s="49">
        <v>112240</v>
      </c>
      <c r="J9" s="33" t="s">
        <v>168</v>
      </c>
      <c r="K9" s="49">
        <v>108954</v>
      </c>
      <c r="L9" s="150" t="s">
        <v>52</v>
      </c>
      <c r="M9" s="153">
        <f t="shared" si="0"/>
        <v>-1735.008</v>
      </c>
      <c r="N9" s="92" t="str">
        <f>VLOOKUP(C9,'Trips&amp;Operators'!$C$1:$E$99999,3,FALSE)</f>
        <v>MALAVE</v>
      </c>
      <c r="O9" s="174" t="s">
        <v>86</v>
      </c>
      <c r="P9" s="10" t="s">
        <v>274</v>
      </c>
      <c r="Q9" s="33"/>
      <c r="R9" s="108" t="str">
        <f>VLOOKUP(C9,'Train Runs'!$A$13:$AE$10013,31,0)</f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S9" s="111" t="str">
        <f>VLOOKUP(C9,'Train Runs'!$A$13:$AE$10013,22,0)</f>
        <v>https://search-rtdc-monitor-bjffxe2xuh6vdkpspy63sjmuny.us-east-1.es.amazonaws.com/_plugin/kibana/#/discover/Steve-Slow-Train-Analysis-(2080s-and-2083s)?_g=(refreshInterval:(display:Off,section:0,value:0),time:(from:'2016-09-24 02:44:39-0600',mode:absolute,to:'2016-09-24 05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9" s="113" t="str">
        <f t="shared" si="1"/>
        <v>"C:\Program Files (x86)\AstroGrep\AstroGrep.exe" /spath="%USERPROFILE%\AppData\Local\Temp\OnboardLogs" /stypes="*4014*201609241*" /stext=" 10:.+((SYSTEM_STATE.+slice.+state.+changed )|(ment ac)|(system.+state.+changed )|(\|lc)|(penalty)|(\[timeout)|(PRM\|1\|D)|(kpr)|(kdp))" /e /r /s</v>
      </c>
      <c r="U9" s="9" t="str">
        <f t="shared" si="2"/>
        <v>4014</v>
      </c>
      <c r="V9" s="38">
        <f t="shared" si="3"/>
        <v>42637.426412037035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arrival","project_id":79,"tracker_id":40,"status_id":1,"priority_id":2,"assigned_to_id":23,"start_date":"2016-09-24","description":"","custom_fields":[{"id":1,"name":"Subdivision","value":"EC"},{"id":4,"name":"Milepost","value":"10.8954"},{"id":17,"name":"Train ID","value":"103-24"},{"id":16,"name":"Locomotive ID","value":"4014"},{"id":130,"name":"Impact","value":""},{"id":150,"name":"Time of Event (Mountain Time)","value":"04:14:02"},{"id":151,"name":"Denver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 t="shared" si="7"/>
        <v>grep -hSE -A100 "Enforcement Action" "%USERPROFILE%\AppData\Local\Temp\OnboardLogs"\RTDC4014\*4014*201609241* | grep -SE "((Enforcement Ac)|(PRM))" -</v>
      </c>
    </row>
    <row r="10" spans="1:29" s="1" customFormat="1" x14ac:dyDescent="0.25">
      <c r="A10" s="38">
        <v>42637.649942129632</v>
      </c>
      <c r="B10" s="33" t="s">
        <v>277</v>
      </c>
      <c r="C10" s="33" t="s">
        <v>451</v>
      </c>
      <c r="D10" s="33" t="s">
        <v>49</v>
      </c>
      <c r="E10" s="33" t="s">
        <v>169</v>
      </c>
      <c r="F10" s="49">
        <v>0</v>
      </c>
      <c r="G10" s="49">
        <v>218</v>
      </c>
      <c r="H10" s="49">
        <v>110446</v>
      </c>
      <c r="I10" s="49">
        <v>110124</v>
      </c>
      <c r="J10" s="33" t="s">
        <v>168</v>
      </c>
      <c r="K10" s="49">
        <v>109135</v>
      </c>
      <c r="L10" s="150" t="s">
        <v>53</v>
      </c>
      <c r="M10" s="153">
        <f t="shared" si="0"/>
        <v>522.19200000000001</v>
      </c>
      <c r="N10" s="92" t="str">
        <f>VLOOKUP(C10,'Trips&amp;Operators'!$C$1:$E$99999,3,FALSE)</f>
        <v>STORY</v>
      </c>
      <c r="O10" s="174" t="s">
        <v>86</v>
      </c>
      <c r="P10" s="10" t="s">
        <v>308</v>
      </c>
      <c r="Q10" s="33"/>
      <c r="R10" s="108" t="str">
        <f>VLOOKUP(C10,'Train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10" s="111" t="str">
        <f>VLOOKUP(C10,'Train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0" s="113" t="str">
        <f t="shared" si="1"/>
        <v>"C:\Program Files (x86)\AstroGrep\AstroGrep.exe" /spath="%USERPROFILE%\AppData\Local\Temp\OnboardLogs" /stypes="*4013*201609242*" /stext=" 21:.+((SYSTEM_STATE.+slice.+state.+changed )|(ment ac)|(system.+state.+changed )|(\|lc)|(penalty)|(\[timeout)|(PRM\|1\|D)|(kpr)|(kdp))" /e /r /s</v>
      </c>
      <c r="U10" s="9" t="str">
        <f t="shared" si="2"/>
        <v>4013</v>
      </c>
      <c r="V10" s="38">
        <f t="shared" si="3"/>
        <v>42637.899942129632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{"issue":{"subject":"Form C","project_id":79,"tracker_id":40,"status_id":1,"priority_id":2,"assigned_to_id":23,"start_date":"2016-09-24","description":"","custom_fields":[{"id":1,"name":"Subdivision","value":"EC"},{"id":4,"name":"Milepost","value":"10.9135"},{"id":17,"name":"Train ID","value":"186-24"},{"id":16,"name":"Locomotive ID","value":"4013"},{"id":130,"name":"Impact","value":""},{"id":150,"name":"Time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 t="shared" si="7"/>
        <v>grep -hSE -A100 "Enforcement Action" "%USERPROFILE%\AppData\Local\Temp\OnboardLogs"\RTDC4013\*4013*201609242* | grep -SE "((Enforcement Ac)|(PRM))" -</v>
      </c>
    </row>
    <row r="11" spans="1:29" s="1" customFormat="1" x14ac:dyDescent="0.25">
      <c r="A11" s="38">
        <v>42637.697743055556</v>
      </c>
      <c r="B11" s="33" t="s">
        <v>337</v>
      </c>
      <c r="C11" s="33" t="s">
        <v>454</v>
      </c>
      <c r="D11" s="33" t="s">
        <v>49</v>
      </c>
      <c r="E11" s="33" t="s">
        <v>169</v>
      </c>
      <c r="F11" s="49">
        <v>0</v>
      </c>
      <c r="G11" s="49">
        <v>267</v>
      </c>
      <c r="H11" s="49">
        <v>110337</v>
      </c>
      <c r="I11" s="49">
        <v>109690</v>
      </c>
      <c r="J11" s="33" t="s">
        <v>168</v>
      </c>
      <c r="K11" s="49">
        <v>109135</v>
      </c>
      <c r="L11" s="150" t="s">
        <v>53</v>
      </c>
      <c r="M11" s="153">
        <f t="shared" si="0"/>
        <v>293.04000000000002</v>
      </c>
      <c r="N11" s="92" t="str">
        <f>VLOOKUP(C11,'Trips&amp;Operators'!$C$1:$E$99999,3,FALSE)</f>
        <v>BRUDER</v>
      </c>
      <c r="O11" s="174" t="s">
        <v>86</v>
      </c>
      <c r="P11" s="10" t="s">
        <v>308</v>
      </c>
      <c r="Q11" s="33"/>
      <c r="R11" s="108" t="str">
        <f>VLOOKUP(C11,'Train Runs'!$A$13:$AE$10013,31,0)</f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S11" s="111" t="str">
        <f>VLOOKUP(C11,'Train Runs'!$A$13:$AE$10013,22,0)</f>
        <v>https://search-rtdc-monitor-bjffxe2xuh6vdkpspy63sjmuny.us-east-1.es.amazonaws.com/_plugin/kibana/#/discover/Steve-Slow-Train-Analysis-(2080s-and-2083s)?_g=(refreshInterval:(display:Off,section:0,value:0),time:(from:'2016-09-24 15:20:10-0600',mode:absolute,to:'2016-09-24 18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1" s="113" t="str">
        <f t="shared" si="1"/>
        <v>"C:\Program Files (x86)\AstroGrep\AstroGrep.exe" /spath="%USERPROFILE%\AppData\Local\Temp\OnboardLogs" /stypes="*4017*201609242*" /stext=" 22:.+((SYSTEM_STATE.+slice.+state.+changed )|(ment ac)|(system.+state.+changed )|(\|lc)|(penalty)|(\[timeout)|(PRM\|1\|D)|(kpr)|(kdp))" /e /r /s</v>
      </c>
      <c r="U11" s="9" t="str">
        <f t="shared" si="2"/>
        <v>4017</v>
      </c>
      <c r="V11" s="38">
        <f t="shared" si="3"/>
        <v>42637.947743055556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{"issue":{"subject":"Form C","project_id":79,"tracker_id":40,"status_id":1,"priority_id":2,"assigned_to_id":23,"start_date":"2016-09-24","description":"","custom_fields":[{"id":1,"name":"Subdivision","value":"EC"},{"id":4,"name":"Milepost","value":"10.9135"},{"id":17,"name":"Train ID","value":"196-24"},{"id":16,"name":"Locomotive ID","value":"4017"},{"id":130,"name":"Impact","value":""},{"id":150,"name":"Time of Event (Mountain Time)","value":"16:44:45"},{"id":151,"name":"Denver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 t="shared" si="7"/>
        <v>grep -hSE -A100 "Enforcement Action" "%USERPROFILE%\AppData\Local\Temp\OnboardLogs"\RTDC4017\*4017*201609242* | grep -SE "((Enforcement Ac)|(PRM))" -</v>
      </c>
    </row>
    <row r="12" spans="1:29" s="1" customFormat="1" x14ac:dyDescent="0.25">
      <c r="A12" s="38">
        <v>42637.698171296295</v>
      </c>
      <c r="B12" s="33" t="s">
        <v>337</v>
      </c>
      <c r="C12" s="33" t="s">
        <v>454</v>
      </c>
      <c r="D12" s="33" t="s">
        <v>49</v>
      </c>
      <c r="E12" s="33" t="s">
        <v>169</v>
      </c>
      <c r="F12" s="49">
        <v>50</v>
      </c>
      <c r="G12" s="49">
        <v>115</v>
      </c>
      <c r="H12" s="49">
        <v>109491</v>
      </c>
      <c r="I12" s="49">
        <v>109417</v>
      </c>
      <c r="J12" s="33" t="s">
        <v>168</v>
      </c>
      <c r="K12" s="49">
        <v>109135</v>
      </c>
      <c r="L12" s="150" t="s">
        <v>53</v>
      </c>
      <c r="M12" s="153">
        <f t="shared" si="0"/>
        <v>148.89599999999999</v>
      </c>
      <c r="N12" s="92" t="str">
        <f>VLOOKUP(C12,'Trips&amp;Operators'!$C$1:$E$99999,3,FALSE)</f>
        <v>BRUDER</v>
      </c>
      <c r="O12" s="174" t="s">
        <v>86</v>
      </c>
      <c r="P12" s="10" t="s">
        <v>308</v>
      </c>
      <c r="Q12" s="33"/>
      <c r="R12" s="108" t="str">
        <f>VLOOKUP(C12,'Train Runs'!$A$13:$AE$10013,31,0)</f>
        <v>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 &amp; aws s3 cp s3://rtdc.mdm.uploadarchive/RTDC4017/2016-09-25/ "%USERPROFILE%\AppData\Local\Temp\OnboardLogs"\RTDC4017\2016-09-25 --recursive &amp; "%USERPROFILE%\Documents\GitHub\mrs-test-scripts\Headless Mode &amp; Sideloading\WalkAndUnGZ.bat" "%USERPROFILE%\AppData\Local\Temp\OnboardLogs"\RTDC4017\2016-09-25</v>
      </c>
      <c r="S12" s="111" t="str">
        <f>VLOOKUP(C12,'Train Runs'!$A$13:$AE$10013,22,0)</f>
        <v>https://search-rtdc-monitor-bjffxe2xuh6vdkpspy63sjmuny.us-east-1.es.amazonaws.com/_plugin/kibana/#/discover/Steve-Slow-Train-Analysis-(2080s-and-2083s)?_g=(refreshInterval:(display:Off,section:0,value:0),time:(from:'2016-09-24 15:20:10-0600',mode:absolute,to:'2016-09-24 18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2" s="113" t="str">
        <f t="shared" si="1"/>
        <v>"C:\Program Files (x86)\AstroGrep\AstroGrep.exe" /spath="%USERPROFILE%\AppData\Local\Temp\OnboardLogs" /stypes="*4017*201609242*" /stext=" 22:.+((SYSTEM_STATE.+slice.+state.+changed )|(ment ac)|(system.+state.+changed )|(\|lc)|(penalty)|(\[timeout)|(PRM\|1\|D)|(kpr)|(kdp))" /e /r /s</v>
      </c>
      <c r="U12" s="9" t="str">
        <f t="shared" si="2"/>
        <v>4017</v>
      </c>
      <c r="V12" s="38">
        <f t="shared" si="3"/>
        <v>42637.948171296295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{"issue":{"subject":"Form C","project_id":79,"tracker_id":40,"status_id":1,"priority_id":2,"assigned_to_id":23,"start_date":"2016-09-24","description":"","custom_fields":[{"id":1,"name":"Subdivision","value":"EC"},{"id":4,"name":"Milepost","value":"10.9135"},{"id":17,"name":"Train ID","value":"196-24"},{"id":16,"name":"Locomotive ID","value":"4017"},{"id":130,"name":"Impact","value":""},{"id":150,"name":"Time of Event (Mountain Time)","value":"16:45:22"},{"id":151,"name":"Denver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 t="shared" si="7"/>
        <v>grep -hSE -A100 "Enforcement Action" "%USERPROFILE%\AppData\Local\Temp\OnboardLogs"\RTDC4017\*4017*201609242* | grep -SE "((Enforcement Ac)|(PRM))" -</v>
      </c>
    </row>
    <row r="13" spans="1:29" s="1" customFormat="1" x14ac:dyDescent="0.25">
      <c r="A13" s="38">
        <v>42637.665219907409</v>
      </c>
      <c r="B13" s="33" t="s">
        <v>277</v>
      </c>
      <c r="C13" s="33" t="s">
        <v>451</v>
      </c>
      <c r="D13" s="33" t="s">
        <v>49</v>
      </c>
      <c r="E13" s="33" t="s">
        <v>56</v>
      </c>
      <c r="F13" s="49">
        <v>150</v>
      </c>
      <c r="G13" s="49">
        <v>218</v>
      </c>
      <c r="H13" s="49">
        <v>5238</v>
      </c>
      <c r="I13" s="49">
        <v>4894</v>
      </c>
      <c r="J13" s="33" t="s">
        <v>57</v>
      </c>
      <c r="K13" s="49">
        <v>4677</v>
      </c>
      <c r="L13" s="150" t="s">
        <v>53</v>
      </c>
      <c r="M13" s="153">
        <f t="shared" si="0"/>
        <v>114.57599999999999</v>
      </c>
      <c r="N13" s="92" t="str">
        <f>VLOOKUP(C13,'Trips&amp;Operators'!$C$1:$E$99999,3,FALSE)</f>
        <v>STORY</v>
      </c>
      <c r="O13" s="174" t="s">
        <v>86</v>
      </c>
      <c r="P13" s="10"/>
      <c r="Q13" s="33"/>
      <c r="R13" s="108" t="str">
        <f>VLOOKUP(C13,'Train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13" s="111" t="str">
        <f>VLOOKUP(C13,'Train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3" s="113" t="str">
        <f t="shared" si="1"/>
        <v>"C:\Program Files (x86)\AstroGrep\AstroGrep.exe" /spath="%USERPROFILE%\AppData\Local\Temp\OnboardLogs" /stypes="*4013*201609242*" /stext=" 21:.+((SYSTEM_STATE.+slice.+state.+changed )|(ment ac)|(system.+state.+changed )|(\|lc)|(penalty)|(\[timeout)|(PRM\|1\|D)|(kpr)|(kdp))" /e /r /s</v>
      </c>
      <c r="U13" s="9" t="str">
        <f t="shared" si="2"/>
        <v>4013</v>
      </c>
      <c r="V13" s="38">
        <f t="shared" si="3"/>
        <v>42637.915219907409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{"issue":{"subject":"","project_id":79,"tracker_id":40,"status_id":1,"priority_id":2,"assigned_to_id":23,"start_date":"2016-09-24","description":"","custom_fields":[{"id":1,"name":"Subdivision","value":"EC"},{"id":4,"name":"Milepost","value":"0.4677"},{"id":17,"name":"Train ID","value":"186-24"},{"id":16,"name":"Locomotive ID","value":"4013"},{"id":130,"name":"Impact","value":""},{"id":150,"name":"Time of Event (Mountain Time)","value":"15:57:55"},{"id":151,"name":"Denver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 t="shared" si="7"/>
        <v>grep -hSE -A100 "Enforcement Action" "%USERPROFILE%\AppData\Local\Temp\OnboardLogs"\RTDC4013\*4013*201609242* | grep -SE "((Enforcement Ac)|(PRM))" -</v>
      </c>
    </row>
    <row r="14" spans="1:29" s="1" customFormat="1" x14ac:dyDescent="0.25">
      <c r="A14" s="38">
        <v>42637.816967592589</v>
      </c>
      <c r="B14" s="33" t="s">
        <v>435</v>
      </c>
      <c r="C14" s="33" t="s">
        <v>460</v>
      </c>
      <c r="D14" s="33" t="s">
        <v>49</v>
      </c>
      <c r="E14" s="33" t="s">
        <v>56</v>
      </c>
      <c r="F14" s="49">
        <v>150</v>
      </c>
      <c r="G14" s="49">
        <v>202</v>
      </c>
      <c r="H14" s="49">
        <v>5121</v>
      </c>
      <c r="I14" s="49">
        <v>4763</v>
      </c>
      <c r="J14" s="33" t="s">
        <v>57</v>
      </c>
      <c r="K14" s="49">
        <v>4677</v>
      </c>
      <c r="L14" s="150" t="s">
        <v>53</v>
      </c>
      <c r="M14" s="153">
        <f t="shared" si="0"/>
        <v>45.408000000000001</v>
      </c>
      <c r="N14" s="92" t="str">
        <f>VLOOKUP(C14,'Trips&amp;Operators'!$C$1:$E$99999,3,FALSE)</f>
        <v>STORY</v>
      </c>
      <c r="O14" s="174" t="s">
        <v>86</v>
      </c>
      <c r="P14" s="10"/>
      <c r="Q14" s="33"/>
      <c r="R14" s="108" t="str">
        <f>VLOOKUP(C14,'Train Runs'!$A$13:$AE$10013,31,0)</f>
        <v>aws s3 cp s3://rtdc.mdm.uploadarchive/RTDC4045/2016-09-24/ "%USERPROFILE%\AppData\Local\Temp\OnboardLogs"\RTDC4045\2016-09-24 --recursive &amp; "%USERPROFILE%\Documents\GitHub\mrs-test-scripts\Headless Mode &amp; Sideloading\WalkAndUnGZ.bat" "%USERPROFILE%\AppData\Local\Temp\OnboardLogs"\RTDC4045\2016-09-24 &amp; aws s3 cp s3://rtdc.mdm.uploadarchive/RTDC4045/2016-09-25/ "%USERPROFILE%\AppData\Local\Temp\OnboardLogs"\RTDC4045\2016-09-25 --recursive &amp; "%USERPROFILE%\Documents\GitHub\mrs-test-scripts\Headless Mode &amp; Sideloading\WalkAndUnGZ.bat" "%USERPROFILE%\AppData\Local\Temp\OnboardLogs"\RTDC4045\2016-09-25</v>
      </c>
      <c r="S14" s="111" t="str">
        <f>VLOOKUP(C14,'Train Runs'!$A$13:$AE$10013,22,0)</f>
        <v>https://search-rtdc-monitor-bjffxe2xuh6vdkpspy63sjmuny.us-east-1.es.amazonaws.com/_plugin/kibana/#/discover/Steve-Slow-Train-Analysis-(2080s-and-2083s)?_g=(refreshInterval:(display:Off,section:0,value:0),time:(from:'2016-09-24 17:50:28-0600',mode:absolute,to:'2016-09-24 20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4" s="113" t="str">
        <f t="shared" si="1"/>
        <v>"C:\Program Files (x86)\AstroGrep\AstroGrep.exe" /spath="%USERPROFILE%\AppData\Local\Temp\OnboardLogs" /stypes="*4045*201609250*" /stext=" 01:.+((SYSTEM_STATE.+slice.+state.+changed )|(ment ac)|(system.+state.+changed )|(\|lc)|(penalty)|(\[timeout)|(PRM\|1\|D)|(kpr)|(kdp))" /e /r /s</v>
      </c>
      <c r="U14" s="9" t="str">
        <f t="shared" si="2"/>
        <v>4045</v>
      </c>
      <c r="V14" s="38">
        <f t="shared" si="3"/>
        <v>42638.066967592589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{"issue":{"subject":"","project_id":79,"tracker_id":40,"status_id":1,"priority_id":2,"assigned_to_id":23,"start_date":"2016-09-24","description":"","custom_fields":[{"id":1,"name":"Subdivision","value":"EC"},{"id":4,"name":"Milepost","value":"0.4677"},{"id":17,"name":"Train ID","value":"216-24"},{"id":16,"name":"Locomotive ID","value":"4045"},{"id":130,"name":"Impact","value":""},{"id":150,"name":"Time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 t="shared" si="7"/>
        <v>grep -hSE -A100 "Enforcement Action" "%USERPROFILE%\AppData\Local\Temp\OnboardLogs"\RTDC4045\*4045*201609250* | grep -SE "((Enforcement Ac)|(PRM))" -</v>
      </c>
    </row>
    <row r="15" spans="1:29" s="1" customFormat="1" x14ac:dyDescent="0.25">
      <c r="A15" s="38">
        <v>42637.284398148149</v>
      </c>
      <c r="B15" s="33" t="s">
        <v>177</v>
      </c>
      <c r="C15" s="33" t="s">
        <v>437</v>
      </c>
      <c r="D15" s="33" t="s">
        <v>49</v>
      </c>
      <c r="E15" s="33" t="s">
        <v>56</v>
      </c>
      <c r="F15" s="49">
        <v>300</v>
      </c>
      <c r="G15" s="49">
        <v>423</v>
      </c>
      <c r="H15" s="49">
        <v>23164</v>
      </c>
      <c r="I15" s="49">
        <v>21944</v>
      </c>
      <c r="J15" s="33" t="s">
        <v>57</v>
      </c>
      <c r="K15" s="49">
        <v>21848</v>
      </c>
      <c r="L15" s="150" t="s">
        <v>53</v>
      </c>
      <c r="M15" s="153">
        <f t="shared" si="0"/>
        <v>50.688000000000002</v>
      </c>
      <c r="N15" s="92" t="str">
        <f>VLOOKUP(C15,'Trips&amp;Operators'!$C$1:$E$99999,3,FALSE)</f>
        <v>MAELZER</v>
      </c>
      <c r="O15" s="174" t="s">
        <v>86</v>
      </c>
      <c r="P15" s="10"/>
      <c r="Q15" s="33"/>
      <c r="R15" s="108" t="str">
        <f>VLOOKUP(C15,'Train Runs'!$A$13:$AE$10013,31,0)</f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S15" s="111" t="str">
        <f>VLOOKUP(C15,'Train Runs'!$A$13:$AE$10013,22,0)</f>
        <v>https://search-rtdc-monitor-bjffxe2xuh6vdkpspy63sjmuny.us-east-1.es.amazonaws.com/_plugin/kibana/#/discover/Steve-Slow-Train-Analysis-(2080s-and-2083s)?_g=(refreshInterval:(display:Off,section:0,value:0),time:(from:'2016-09-24 05:08:01-0600',mode:absolute,to:'2016-09-24 07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5" s="113" t="str">
        <f t="shared" si="1"/>
        <v>"C:\Program Files (x86)\AstroGrep\AstroGrep.exe" /spath="%USERPROFILE%\AppData\Local\Temp\OnboardLogs" /stypes="*4010*201609241*" /stext=" 12:.+((SYSTEM_STATE.+slice.+state.+changed )|(ment ac)|(system.+state.+changed )|(\|lc)|(penalty)|(\[timeout)|(PRM\|1\|D)|(kpr)|(kdp))" /e /r /s</v>
      </c>
      <c r="U15" s="9" t="str">
        <f t="shared" si="2"/>
        <v>4010</v>
      </c>
      <c r="V15" s="38">
        <f t="shared" si="3"/>
        <v>42637.534398148149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{"issue":{"subject":"","project_id":79,"tracker_id":40,"status_id":1,"priority_id":2,"assigned_to_id":23,"start_date":"2016-09-24","description":"","custom_fields":[{"id":1,"name":"Subdivision","value":"EC"},{"id":4,"name":"Milepost","value":"2.1848"},{"id":17,"name":"Train ID","value":"114-24"},{"id":16,"name":"Locomotive ID","value":"4010"},{"id":130,"name":"Impact","value":""},{"id":150,"name":"Time of Event (Mountain Time)","value":"06:49:32"},{"id":151,"name":"Denver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 t="shared" si="7"/>
        <v>grep -hSE -A100 "Enforcement Action" "%USERPROFILE%\AppData\Local\Temp\OnboardLogs"\RTDC4010\*4010*201609241* | grep -SE "((Enforcement Ac)|(PRM))" -</v>
      </c>
    </row>
    <row r="16" spans="1:29" s="1" customFormat="1" x14ac:dyDescent="0.25">
      <c r="A16" s="38">
        <v>42637.648136574076</v>
      </c>
      <c r="B16" s="33" t="s">
        <v>277</v>
      </c>
      <c r="C16" s="33" t="s">
        <v>451</v>
      </c>
      <c r="D16" s="33" t="s">
        <v>49</v>
      </c>
      <c r="E16" s="33" t="s">
        <v>56</v>
      </c>
      <c r="F16" s="49">
        <v>400</v>
      </c>
      <c r="G16" s="49">
        <v>560</v>
      </c>
      <c r="H16" s="49">
        <v>122500</v>
      </c>
      <c r="I16" s="49">
        <v>120786</v>
      </c>
      <c r="J16" s="33" t="s">
        <v>57</v>
      </c>
      <c r="K16" s="49">
        <v>119716</v>
      </c>
      <c r="L16" s="150" t="s">
        <v>53</v>
      </c>
      <c r="M16" s="153">
        <f t="shared" si="0"/>
        <v>564.96</v>
      </c>
      <c r="N16" s="92" t="str">
        <f>VLOOKUP(C16,'Trips&amp;Operators'!$C$1:$E$99999,3,FALSE)</f>
        <v>STORY</v>
      </c>
      <c r="O16" s="174" t="s">
        <v>86</v>
      </c>
      <c r="P16" s="10"/>
      <c r="Q16" s="33"/>
      <c r="R16" s="108" t="str">
        <f>VLOOKUP(C16,'Train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16" s="111" t="str">
        <f>VLOOKUP(C16,'Train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6" s="113" t="str">
        <f t="shared" si="1"/>
        <v>"C:\Program Files (x86)\AstroGrep\AstroGrep.exe" /spath="%USERPROFILE%\AppData\Local\Temp\OnboardLogs" /stypes="*4013*201609242*" /stext=" 21:.+((SYSTEM_STATE.+slice.+state.+changed )|(ment ac)|(system.+state.+changed )|(\|lc)|(penalty)|(\[timeout)|(PRM\|1\|D)|(kpr)|(kdp))" /e /r /s</v>
      </c>
      <c r="U16" s="9" t="str">
        <f t="shared" si="2"/>
        <v>4013</v>
      </c>
      <c r="V16" s="38">
        <f t="shared" si="3"/>
        <v>42637.898136574076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{"issue":{"subject":"","project_id":79,"tracker_id":40,"status_id":1,"priority_id":2,"assigned_to_id":23,"start_date":"2016-09-24","description":"","custom_fields":[{"id":1,"name":"Subdivision","value":"EC"},{"id":4,"name":"Milepost","value":"11.9716"},{"id":17,"name":"Train ID","value":"186-24"},{"id":16,"name":"Locomotive ID","value":"4013"},{"id":130,"name":"Impact","value":""},{"id":150,"name":"Time of Event (Mountain Time)","value":"15:33:19"},{"id":151,"name":"Denver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 t="shared" si="7"/>
        <v>grep -hSE -A100 "Enforcement Action" "%USERPROFILE%\AppData\Local\Temp\OnboardLogs"\RTDC4013\*4013*201609242* | grep -SE "((Enforcement Ac)|(PRM))" -</v>
      </c>
    </row>
    <row r="17" spans="1:29" s="1" customFormat="1" x14ac:dyDescent="0.25">
      <c r="A17" s="38">
        <v>42637.957453703704</v>
      </c>
      <c r="B17" s="33" t="s">
        <v>311</v>
      </c>
      <c r="C17" s="33" t="s">
        <v>461</v>
      </c>
      <c r="D17" s="33" t="s">
        <v>105</v>
      </c>
      <c r="E17" s="33" t="s">
        <v>56</v>
      </c>
      <c r="F17" s="49">
        <v>350</v>
      </c>
      <c r="G17" s="49">
        <v>400</v>
      </c>
      <c r="H17" s="49">
        <v>225063</v>
      </c>
      <c r="I17" s="49">
        <v>223897</v>
      </c>
      <c r="J17" s="33" t="s">
        <v>57</v>
      </c>
      <c r="K17" s="49">
        <v>232107</v>
      </c>
      <c r="L17" s="150" t="s">
        <v>53</v>
      </c>
      <c r="M17" s="153">
        <f t="shared" si="0"/>
        <v>-4334.88</v>
      </c>
      <c r="N17" s="92" t="str">
        <f>VLOOKUP(C17,'Trips&amp;Operators'!$C$1:$E$99999,3,FALSE)</f>
        <v>CHANDLER</v>
      </c>
      <c r="O17" s="174" t="s">
        <v>86</v>
      </c>
      <c r="P17" s="10"/>
      <c r="Q17" s="33"/>
      <c r="R17" s="108" t="str">
        <f>VLOOKUP(C17,'Train Runs'!$A$13:$AE$10013,31,0)</f>
        <v>aws s3 cp s3://rtdc.mdm.uploadarchive/RTDC4054/2016-09-24/ "%USERPROFILE%\AppData\Local\Temp\OnboardLogs"\RTDC4054\2016-09-24 --recursive &amp; "%USERPROFILE%\Documents\GitHub\mrs-test-scripts\Headless Mode &amp; Sideloading\WalkAndUnGZ.bat" "%USERPROFILE%\AppData\Local\Temp\OnboardLogs"\RTDC4054\2016-09-24 &amp; aws s3 cp s3://rtdc.mdm.uploadarchive/RTDC4054/2016-09-25/ "%USERPROFILE%\AppData\Local\Temp\OnboardLogs"\RTDC4054\2016-09-25 --recursive &amp; "%USERPROFILE%\Documents\GitHub\mrs-test-scripts\Headless Mode &amp; Sideloading\WalkAndUnGZ.bat" "%USERPROFILE%\AppData\Local\Temp\OnboardLogs"\RTDC4054\2016-09-25</v>
      </c>
      <c r="S17" s="111" t="str">
        <f>VLOOKUP(C17,'Train Runs'!$A$13:$AE$10013,22,0)</f>
        <v>https://search-rtdc-monitor-bjffxe2xuh6vdkpspy63sjmuny.us-east-1.es.amazonaws.com/_plugin/kibana/#/discover/Steve-Slow-Train-Analysis-(2080s-and-2083s)?_g=(refreshInterval:(display:Off,section:0,value:0),time:(from:'2016-09-24 21:53:07-0600',mode:absolute,to:'2016-09-25 00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7" s="113" t="str">
        <f t="shared" si="1"/>
        <v>"C:\Program Files (x86)\AstroGrep\AstroGrep.exe" /spath="%USERPROFILE%\AppData\Local\Temp\OnboardLogs" /stypes="*4054*201609250*" /stext=" 04:.+((SYSTEM_STATE.+slice.+state.+changed )|(ment ac)|(system.+state.+changed )|(\|lc)|(penalty)|(\[timeout)|(PRM\|1\|D)|(kpr)|(kdp))" /e /r /s</v>
      </c>
      <c r="U17" s="9" t="str">
        <f t="shared" si="2"/>
        <v>4054</v>
      </c>
      <c r="V17" s="38">
        <f t="shared" si="3"/>
        <v>42638.207453703704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{"issue":{"subject":"","project_id":79,"tracker_id":40,"status_id":1,"priority_id":2,"assigned_to_id":23,"start_date":"2016-09-24","description":"","custom_fields":[{"id":1,"name":"Subdivision","value":"EC"},{"id":4,"name":"Milepost","value":"23.2107"},{"id":17,"name":"Train ID","value":"234-24"},{"id":16,"name":"Locomotive ID","value":"4054"},{"id":130,"name":"Impact","value":""},{"id":150,"name":"Time of Event (Mountain Time)","value":"22:58:44"},{"id":151,"name":"Denver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 t="shared" si="7"/>
        <v>grep -hSE -A100 "Enforcement Action" "%USERPROFILE%\AppData\Local\Temp\OnboardLogs"\RTDC4054\*4054*201609250* | grep -SE "((Enforcement Ac)|(PRM))" -</v>
      </c>
    </row>
    <row r="18" spans="1:29" s="1" customFormat="1" x14ac:dyDescent="0.25">
      <c r="A18" s="38">
        <v>42637.224814814814</v>
      </c>
      <c r="B18" s="33" t="s">
        <v>246</v>
      </c>
      <c r="C18" s="33" t="s">
        <v>432</v>
      </c>
      <c r="D18" s="33" t="s">
        <v>49</v>
      </c>
      <c r="E18" s="33" t="s">
        <v>54</v>
      </c>
      <c r="F18" s="49">
        <v>0</v>
      </c>
      <c r="G18" s="49">
        <v>308</v>
      </c>
      <c r="H18" s="49">
        <v>21772</v>
      </c>
      <c r="I18" s="49">
        <v>20978</v>
      </c>
      <c r="J18" s="33" t="s">
        <v>55</v>
      </c>
      <c r="K18" s="49">
        <v>20632</v>
      </c>
      <c r="L18" s="150" t="s">
        <v>53</v>
      </c>
      <c r="M18" s="153">
        <f t="shared" si="0"/>
        <v>182.68799999999999</v>
      </c>
      <c r="N18" s="92" t="str">
        <f>VLOOKUP(C18,'Trips&amp;Operators'!$C$1:$E$99999,3,FALSE)</f>
        <v>MALAVE</v>
      </c>
      <c r="O18" s="174" t="s">
        <v>401</v>
      </c>
      <c r="P18" s="10" t="s">
        <v>689</v>
      </c>
      <c r="Q18" s="33"/>
      <c r="R18" s="108" t="str">
        <f>VLOOKUP(C18,'Train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18" s="111" t="str">
        <f>VLOOKUP(C18,'Train Runs'!$A$13:$AE$10013,22,0)</f>
        <v>https://search-rtdc-monitor-bjffxe2xuh6vdkpspy63sjmuny.us-east-1.es.amazonaws.com/_plugin/kibana/#/discover/Steve-Slow-Train-Analysis-(2080s-and-2083s)?_g=(refreshInterval:(display:Off,section:0,value:0),time:(from:'2016-09-24 03:35:03-0600',mode:absolute,to:'2016-09-24 06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8" s="113" t="str">
        <f t="shared" si="1"/>
        <v>"C:\Program Files (x86)\AstroGrep\AstroGrep.exe" /spath="%USERPROFILE%\AppData\Local\Temp\OnboardLogs" /stypes="*4004*201609241*" /stext=" 11:.+((SYSTEM_STATE.+slice.+state.+changed )|(ment ac)|(system.+state.+changed )|(\|lc)|(penalty)|(\[timeout)|(PRM\|1\|D)|(kpr)|(kdp))" /e /r /s</v>
      </c>
      <c r="U18" s="9" t="str">
        <f t="shared" si="2"/>
        <v>4004</v>
      </c>
      <c r="V18" s="38">
        <f t="shared" si="3"/>
        <v>42637.474814814814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state","project_id":79,"tracker_id":40,"status_id":1,"priority_id":2,"assigned_to_id":23,"start_date":"2016-09-24","description":"","custom_fields":[{"id":1,"name":"Subdivision","value":"EC"},{"id":4,"name":"Milepost","value":"2.0632"},{"id":17,"name":"Train ID","value":"104-24"},{"id":16,"name":"Locomotive ID","value":"4004"},{"id":130,"name":"Impact","value":""},{"id":150,"name":"Time of Event (Mountain Time)","value":"05:23:44"},{"id":151,"name":"Denver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 t="shared" si="7"/>
        <v>grep -hSE -A100 "Enforcement Action" "%USERPROFILE%\AppData\Local\Temp\OnboardLogs"\RTDC4004\*4004*201609241* | grep -SE "((Enforcement Ac)|(PRM))" -</v>
      </c>
    </row>
    <row r="19" spans="1:29" s="1" customFormat="1" x14ac:dyDescent="0.25">
      <c r="A19" s="38">
        <v>42637.22550925926</v>
      </c>
      <c r="B19" s="33" t="s">
        <v>246</v>
      </c>
      <c r="C19" s="33" t="s">
        <v>432</v>
      </c>
      <c r="D19" s="33" t="s">
        <v>49</v>
      </c>
      <c r="E19" s="33" t="s">
        <v>54</v>
      </c>
      <c r="F19" s="49">
        <v>0</v>
      </c>
      <c r="G19" s="49">
        <v>308</v>
      </c>
      <c r="H19" s="49">
        <v>21772</v>
      </c>
      <c r="I19" s="49">
        <v>20980</v>
      </c>
      <c r="J19" s="33" t="s">
        <v>55</v>
      </c>
      <c r="K19" s="49">
        <v>20632</v>
      </c>
      <c r="L19" s="150" t="s">
        <v>53</v>
      </c>
      <c r="M19" s="153">
        <f t="shared" si="0"/>
        <v>183.744</v>
      </c>
      <c r="N19" s="92" t="str">
        <f>VLOOKUP(C19,'Trips&amp;Operators'!$C$1:$E$99999,3,FALSE)</f>
        <v>MALAVE</v>
      </c>
      <c r="O19" s="174" t="s">
        <v>401</v>
      </c>
      <c r="P19" s="10" t="s">
        <v>689</v>
      </c>
      <c r="Q19" s="33"/>
      <c r="R19" s="108" t="str">
        <f>VLOOKUP(C19,'Train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19" s="111" t="str">
        <f>VLOOKUP(C19,'Train Runs'!$A$13:$AE$10013,22,0)</f>
        <v>https://search-rtdc-monitor-bjffxe2xuh6vdkpspy63sjmuny.us-east-1.es.amazonaws.com/_plugin/kibana/#/discover/Steve-Slow-Train-Analysis-(2080s-and-2083s)?_g=(refreshInterval:(display:Off,section:0,value:0),time:(from:'2016-09-24 03:35:03-0600',mode:absolute,to:'2016-09-24 06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1"/>
        <v>"C:\Program Files (x86)\AstroGrep\AstroGrep.exe" /spath="%USERPROFILE%\AppData\Local\Temp\OnboardLogs" /stypes="*4004*201609241*" /stext=" 11:.+((SYSTEM_STATE.+slice.+state.+changed )|(ment ac)|(system.+state.+changed )|(\|lc)|(penalty)|(\[timeout)|(PRM\|1\|D)|(kpr)|(kdp))" /e /r /s</v>
      </c>
      <c r="U19" s="9" t="str">
        <f t="shared" si="2"/>
        <v>4004</v>
      </c>
      <c r="V19" s="38">
        <f t="shared" si="3"/>
        <v>42637.47550925926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state","project_id":79,"tracker_id":40,"status_id":1,"priority_id":2,"assigned_to_id":23,"start_date":"2016-09-24","description":"","custom_fields":[{"id":1,"name":"Subdivision","value":"EC"},{"id":4,"name":"Milepost","value":"2.0632"},{"id":17,"name":"Train ID","value":"104-24"},{"id":16,"name":"Locomotive ID","value":"4004"},{"id":130,"name":"Impact","value":""},{"id":150,"name":"Time of Event (Mountain Time)","value":"05:24:44"},{"id":151,"name":"Denver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 t="shared" si="7"/>
        <v>grep -hSE -A100 "Enforcement Action" "%USERPROFILE%\AppData\Local\Temp\OnboardLogs"\RTDC4004\*4004*201609241* | grep -SE "((Enforcement Ac)|(PRM))" -</v>
      </c>
    </row>
    <row r="20" spans="1:29" s="1" customFormat="1" x14ac:dyDescent="0.25">
      <c r="A20" s="38">
        <v>42637.225983796299</v>
      </c>
      <c r="B20" s="33" t="s">
        <v>246</v>
      </c>
      <c r="C20" s="33" t="s">
        <v>432</v>
      </c>
      <c r="D20" s="33" t="s">
        <v>49</v>
      </c>
      <c r="E20" s="33" t="s">
        <v>54</v>
      </c>
      <c r="F20" s="49">
        <v>0</v>
      </c>
      <c r="G20" s="49">
        <v>53</v>
      </c>
      <c r="H20" s="49">
        <v>20952</v>
      </c>
      <c r="I20" s="49">
        <v>20857</v>
      </c>
      <c r="J20" s="33" t="s">
        <v>55</v>
      </c>
      <c r="K20" s="49">
        <v>20632</v>
      </c>
      <c r="L20" s="150" t="s">
        <v>53</v>
      </c>
      <c r="M20" s="153">
        <f t="shared" si="0"/>
        <v>118.8</v>
      </c>
      <c r="N20" s="92" t="str">
        <f>VLOOKUP(C20,'Trips&amp;Operators'!$C$1:$E$99999,3,FALSE)</f>
        <v>MALAVE</v>
      </c>
      <c r="O20" s="174" t="s">
        <v>401</v>
      </c>
      <c r="P20" s="10" t="s">
        <v>689</v>
      </c>
      <c r="Q20" s="33"/>
      <c r="R20" s="108" t="str">
        <f>VLOOKUP(C20,'Train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20" s="111" t="str">
        <f>VLOOKUP(C20,'Train Runs'!$A$13:$AE$10013,22,0)</f>
        <v>https://search-rtdc-monitor-bjffxe2xuh6vdkpspy63sjmuny.us-east-1.es.amazonaws.com/_plugin/kibana/#/discover/Steve-Slow-Train-Analysis-(2080s-and-2083s)?_g=(refreshInterval:(display:Off,section:0,value:0),time:(from:'2016-09-24 03:35:03-0600',mode:absolute,to:'2016-09-24 06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0" s="113" t="str">
        <f t="shared" si="1"/>
        <v>"C:\Program Files (x86)\AstroGrep\AstroGrep.exe" /spath="%USERPROFILE%\AppData\Local\Temp\OnboardLogs" /stypes="*4004*201609241*" /stext=" 11:.+((SYSTEM_STATE.+slice.+state.+changed )|(ment ac)|(system.+state.+changed )|(\|lc)|(penalty)|(\[timeout)|(PRM\|1\|D)|(kpr)|(kdp))" /e /r /s</v>
      </c>
      <c r="U20" s="9" t="str">
        <f t="shared" si="2"/>
        <v>4004</v>
      </c>
      <c r="V20" s="38">
        <f t="shared" si="3"/>
        <v>42637.475983796299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state","project_id":79,"tracker_id":40,"status_id":1,"priority_id":2,"assigned_to_id":23,"start_date":"2016-09-24","description":"","custom_fields":[{"id":1,"name":"Subdivision","value":"EC"},{"id":4,"name":"Milepost","value":"2.0632"},{"id":17,"name":"Train ID","value":"104-24"},{"id":16,"name":"Locomotive ID","value":"4004"},{"id":130,"name":"Impact","value":""},{"id":150,"name":"Time of Event (Mountain Time)","value":"05:25:25"},{"id":151,"name":"Denver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 t="shared" si="7"/>
        <v>grep -hSE -A100 "Enforcement Action" "%USERPROFILE%\AppData\Local\Temp\OnboardLogs"\RTDC4004\*4004*201609241* | grep -SE "((Enforcement Ac)|(PRM))" -</v>
      </c>
    </row>
    <row r="21" spans="1:29" x14ac:dyDescent="0.25">
      <c r="A21" s="38">
        <v>42637.300150462965</v>
      </c>
      <c r="B21" s="33" t="s">
        <v>246</v>
      </c>
      <c r="C21" s="33" t="s">
        <v>439</v>
      </c>
      <c r="D21" s="33" t="s">
        <v>49</v>
      </c>
      <c r="E21" s="33" t="s">
        <v>54</v>
      </c>
      <c r="F21" s="49">
        <v>0</v>
      </c>
      <c r="G21" s="49">
        <v>544</v>
      </c>
      <c r="H21" s="49">
        <v>52448</v>
      </c>
      <c r="I21" s="49">
        <v>50223</v>
      </c>
      <c r="J21" s="33" t="s">
        <v>55</v>
      </c>
      <c r="K21" s="49">
        <v>50763</v>
      </c>
      <c r="L21" s="150" t="s">
        <v>53</v>
      </c>
      <c r="M21" s="153">
        <f t="shared" si="0"/>
        <v>-285.12</v>
      </c>
      <c r="N21" s="92" t="str">
        <f>VLOOKUP(C21,'Trips&amp;Operators'!$C$1:$E$99999,3,FALSE)</f>
        <v>MALAVE</v>
      </c>
      <c r="O21" s="174" t="s">
        <v>401</v>
      </c>
      <c r="P21" s="10" t="s">
        <v>689</v>
      </c>
      <c r="Q21" s="33"/>
      <c r="R21" s="108" t="str">
        <f>VLOOKUP(C21,'Train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21" s="111" t="str">
        <f>VLOOKUP(C21,'Train Runs'!$A$13:$AE$10013,22,0)</f>
        <v>https://search-rtdc-monitor-bjffxe2xuh6vdkpspy63sjmuny.us-east-1.es.amazonaws.com/_plugin/kibana/#/discover/Steve-Slow-Train-Analysis-(2080s-and-2083s)?_g=(refreshInterval:(display:Off,section:0,value:0),time:(from:'2016-09-24 05:30:27-0600',mode:absolute,to:'2016-09-24 08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1" s="113" t="str">
        <f t="shared" si="1"/>
        <v>"C:\Program Files (x86)\AstroGrep\AstroGrep.exe" /spath="%USERPROFILE%\AppData\Local\Temp\OnboardLogs" /stypes="*4004*201609241*" /stext=" 13:.+((SYSTEM_STATE.+slice.+state.+changed )|(ment ac)|(system.+state.+changed )|(\|lc)|(penalty)|(\[timeout)|(PRM\|1\|D)|(kpr)|(kdp))" /e /r /s</v>
      </c>
      <c r="U21" s="9" t="str">
        <f t="shared" si="2"/>
        <v>4004</v>
      </c>
      <c r="V21" s="38">
        <f t="shared" si="3"/>
        <v>42637.550150462965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state","project_id":79,"tracker_id":40,"status_id":1,"priority_id":2,"assigned_to_id":23,"start_date":"2016-09-24","description":"","custom_fields":[{"id":1,"name":"Subdivision","value":"EC"},{"id":4,"name":"Milepost","value":"5.0763"},{"id":17,"name":"Train ID","value":"118-24"},{"id":16,"name":"Locomotive ID","value":"4004"},{"id":130,"name":"Impact","value":""},{"id":150,"name":"Time of Event (Mountain Time)","value":"07:12:13"},{"id":151,"name":"Denver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 t="shared" si="7"/>
        <v>grep -hSE -A100 "Enforcement Action" "%USERPROFILE%\AppData\Local\Temp\OnboardLogs"\RTDC4004\*4004*201609241* | grep -SE "((Enforcement Ac)|(PRM))" -</v>
      </c>
    </row>
    <row r="22" spans="1:29" x14ac:dyDescent="0.25">
      <c r="A22" s="38">
        <v>42637.51803240741</v>
      </c>
      <c r="B22" s="33" t="s">
        <v>246</v>
      </c>
      <c r="C22" s="33" t="s">
        <v>447</v>
      </c>
      <c r="D22" s="33" t="s">
        <v>49</v>
      </c>
      <c r="E22" s="33" t="s">
        <v>54</v>
      </c>
      <c r="F22" s="49">
        <v>0</v>
      </c>
      <c r="G22" s="49">
        <v>352</v>
      </c>
      <c r="H22" s="49">
        <v>53200</v>
      </c>
      <c r="I22" s="49">
        <v>52047</v>
      </c>
      <c r="J22" s="33" t="s">
        <v>55</v>
      </c>
      <c r="K22" s="49">
        <v>50763</v>
      </c>
      <c r="L22" s="150" t="s">
        <v>53</v>
      </c>
      <c r="M22" s="153">
        <f t="shared" si="0"/>
        <v>677.95199999999988</v>
      </c>
      <c r="N22" s="92" t="str">
        <f>VLOOKUP(C22,'Trips&amp;Operators'!$C$1:$E$99999,3,FALSE)</f>
        <v>STEWART</v>
      </c>
      <c r="O22" s="174" t="s">
        <v>401</v>
      </c>
      <c r="P22" s="10" t="s">
        <v>689</v>
      </c>
      <c r="Q22" s="33"/>
      <c r="R22" s="108" t="str">
        <f>VLOOKUP(C22,'Train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22" s="111" t="str">
        <f>VLOOKUP(C22,'Train Runs'!$A$13:$AE$10013,22,0)</f>
        <v>https://search-rtdc-monitor-bjffxe2xuh6vdkpspy63sjmuny.us-east-1.es.amazonaws.com/_plugin/kibana/#/discover/Steve-Slow-Train-Analysis-(2080s-and-2083s)?_g=(refreshInterval:(display:Off,section:0,value:0),time:(from:'2016-09-24 10:51:17-0600',mode:absolute,to:'2016-09-24 13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2" s="113" t="str">
        <f t="shared" si="1"/>
        <v>"C:\Program Files (x86)\AstroGrep\AstroGrep.exe" /spath="%USERPROFILE%\AppData\Local\Temp\OnboardLogs" /stypes="*4004*201609241*" /stext=" 18:.+((SYSTEM_STATE.+slice.+state.+changed )|(ment ac)|(system.+state.+changed )|(\|lc)|(penalty)|(\[timeout)|(PRM\|1\|D)|(kpr)|(kdp))" /e /r /s</v>
      </c>
      <c r="U22" s="9" t="str">
        <f t="shared" si="2"/>
        <v>4004</v>
      </c>
      <c r="V22" s="38">
        <f t="shared" si="3"/>
        <v>42637.76803240741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state","project_id":79,"tracker_id":40,"status_id":1,"priority_id":2,"assigned_to_id":23,"start_date":"2016-09-24","description":"","custom_fields":[{"id":1,"name":"Subdivision","value":"EC"},{"id":4,"name":"Milepost","value":"5.0763"},{"id":17,"name":"Train ID","value":"160-24"},{"id":16,"name":"Locomotive ID","value":"4004"},{"id":130,"name":"Impact","value":""},{"id":150,"name":"Time of Event (Mountain Time)","value":"12:25:58"},{"id":151,"name":"Denver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 t="shared" si="7"/>
        <v>grep -hSE -A100 "Enforcement Action" "%USERPROFILE%\AppData\Local\Temp\OnboardLogs"\RTDC4004\*4004*201609241* | grep -SE "((Enforcement Ac)|(PRM))" -</v>
      </c>
    </row>
    <row r="23" spans="1:29" x14ac:dyDescent="0.25">
      <c r="A23" s="38">
        <v>42637.402048611111</v>
      </c>
      <c r="B23" s="33" t="s">
        <v>245</v>
      </c>
      <c r="C23" s="33" t="s">
        <v>442</v>
      </c>
      <c r="D23" s="33" t="s">
        <v>49</v>
      </c>
      <c r="E23" s="33" t="s">
        <v>54</v>
      </c>
      <c r="F23" s="49">
        <v>0</v>
      </c>
      <c r="G23" s="49">
        <v>616</v>
      </c>
      <c r="H23" s="49">
        <v>92088</v>
      </c>
      <c r="I23" s="49">
        <v>94858</v>
      </c>
      <c r="J23" s="33" t="s">
        <v>55</v>
      </c>
      <c r="K23" s="49">
        <v>95978</v>
      </c>
      <c r="L23" s="150" t="s">
        <v>52</v>
      </c>
      <c r="M23" s="153">
        <f t="shared" si="0"/>
        <v>591.36</v>
      </c>
      <c r="N23" s="92" t="str">
        <f>VLOOKUP(C23,'Trips&amp;Operators'!$C$1:$E$99999,3,FALSE)</f>
        <v>MALAVE</v>
      </c>
      <c r="O23" s="174" t="s">
        <v>401</v>
      </c>
      <c r="P23" s="10" t="s">
        <v>689</v>
      </c>
      <c r="Q23" s="33"/>
      <c r="R23" s="108" t="str">
        <f>VLOOKUP(C23,'Train Runs'!$A$13:$AE$10013,31,0)</f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S23" s="111" t="str">
        <f>VLOOKUP(C23,'Train Runs'!$A$13:$AE$10013,22,0)</f>
        <v>https://search-rtdc-monitor-bjffxe2xuh6vdkpspy63sjmuny.us-east-1.es.amazonaws.com/_plugin/kibana/#/discover/Steve-Slow-Train-Analysis-(2080s-and-2083s)?_g=(refreshInterval:(display:Off,section:0,value:0),time:(from:'2016-09-24 08:12:51-0600',mode:absolute,to:'2016-09-24 11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3" s="113" t="str">
        <f t="shared" si="1"/>
        <v>"C:\Program Files (x86)\AstroGrep\AstroGrep.exe" /spath="%USERPROFILE%\AppData\Local\Temp\OnboardLogs" /stypes="*4003*201609241*" /stext=" 15:.+((SYSTEM_STATE.+slice.+state.+changed )|(ment ac)|(system.+state.+changed )|(\|lc)|(penalty)|(\[timeout)|(PRM\|1\|D)|(kpr)|(kdp))" /e /r /s</v>
      </c>
      <c r="U23" s="9" t="str">
        <f t="shared" si="2"/>
        <v>4003</v>
      </c>
      <c r="V23" s="38">
        <f t="shared" si="3"/>
        <v>42637.652048611111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state","project_id":79,"tracker_id":40,"status_id":1,"priority_id":2,"assigned_to_id":23,"start_date":"2016-09-24","description":"","custom_fields":[{"id":1,"name":"Subdivision","value":"EC"},{"id":4,"name":"Milepost","value":"9.5978"},{"id":17,"name":"Train ID","value":"145-24"},{"id":16,"name":"Locomotive ID","value":"4003"},{"id":130,"name":"Impact","value":""},{"id":150,"name":"Time of Event (Mountain Time)","value":"09:38:57"},{"id":151,"name":"Denver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 t="shared" si="7"/>
        <v>grep -hSE -A100 "Enforcement Action" "%USERPROFILE%\AppData\Local\Temp\OnboardLogs"\RTDC4003\*4003*201609241* | grep -SE "((Enforcement Ac)|(PRM))" -</v>
      </c>
    </row>
    <row r="24" spans="1:29" ht="15" customHeight="1" x14ac:dyDescent="0.25">
      <c r="A24" s="38">
        <v>42637.642951388887</v>
      </c>
      <c r="B24" s="33" t="s">
        <v>277</v>
      </c>
      <c r="C24" s="33" t="s">
        <v>451</v>
      </c>
      <c r="D24" s="33" t="s">
        <v>49</v>
      </c>
      <c r="E24" s="33" t="s">
        <v>54</v>
      </c>
      <c r="F24" s="49">
        <v>0</v>
      </c>
      <c r="G24" s="49">
        <v>405</v>
      </c>
      <c r="H24" s="49">
        <v>129409</v>
      </c>
      <c r="I24" s="49">
        <v>128249</v>
      </c>
      <c r="J24" s="33" t="s">
        <v>55</v>
      </c>
      <c r="K24" s="49">
        <v>127587</v>
      </c>
      <c r="L24" s="150" t="s">
        <v>53</v>
      </c>
      <c r="M24" s="153">
        <f t="shared" si="0"/>
        <v>349.53599999999994</v>
      </c>
      <c r="N24" s="92" t="str">
        <f>VLOOKUP(C24,'Trips&amp;Operators'!$C$1:$E$99999,3,FALSE)</f>
        <v>STORY</v>
      </c>
      <c r="O24" s="174" t="s">
        <v>86</v>
      </c>
      <c r="P24" s="10" t="s">
        <v>688</v>
      </c>
      <c r="Q24" s="33"/>
      <c r="R24" s="108" t="str">
        <f>VLOOKUP(C24,'Train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24" s="111" t="str">
        <f>VLOOKUP(C24,'Train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4" s="113" t="str">
        <f t="shared" si="1"/>
        <v>"C:\Program Files (x86)\AstroGrep\AstroGrep.exe" /spath="%USERPROFILE%\AppData\Local\Temp\OnboardLogs" /stypes="*4013*201609242*" /stext=" 21:.+((SYSTEM_STATE.+slice.+state.+changed )|(ment ac)|(system.+state.+changed )|(\|lc)|(penalty)|(\[timeout)|(PRM\|1\|D)|(kpr)|(kdp))" /e /r /s</v>
      </c>
      <c r="U24" s="9" t="str">
        <f t="shared" si="2"/>
        <v>4013</v>
      </c>
      <c r="V24" s="38">
        <f t="shared" si="3"/>
        <v>42637.892951388887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{"issue":{"subject":"40th 4S STOP, cleared afterward","project_id":79,"tracker_id":40,"status_id":1,"priority_id":2,"assigned_to_id":23,"start_date":"2016-09-24","description":"","custom_fields":[{"id":1,"name":"Subdivision","value":"EC"},{"id":4,"name":"Milepost","value":"12.7587"},{"id":17,"name":"Train ID","value":"186-24"},{"id":16,"name":"Locomotive ID","value":"4013"},{"id":130,"name":"Impact","value":""},{"id":150,"name":"Time of Event (Mountain Time)","value":"15:25:51"},{"id":151,"name":"Denver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 t="shared" si="7"/>
        <v>grep -hSE -A100 "Enforcement Action" "%USERPROFILE%\AppData\Local\Temp\OnboardLogs"\RTDC4013\*4013*201609242* | grep -SE "((Enforcement Ac)|(PRM))" -</v>
      </c>
    </row>
    <row r="25" spans="1:29" x14ac:dyDescent="0.25">
      <c r="A25" s="38">
        <v>42637.643483796295</v>
      </c>
      <c r="B25" s="33" t="s">
        <v>277</v>
      </c>
      <c r="C25" s="33" t="s">
        <v>451</v>
      </c>
      <c r="D25" s="33" t="s">
        <v>49</v>
      </c>
      <c r="E25" s="33" t="s">
        <v>54</v>
      </c>
      <c r="F25" s="49">
        <v>0</v>
      </c>
      <c r="G25" s="49">
        <v>90</v>
      </c>
      <c r="H25" s="49">
        <v>127967</v>
      </c>
      <c r="I25" s="49">
        <v>127866</v>
      </c>
      <c r="J25" s="33" t="s">
        <v>55</v>
      </c>
      <c r="K25" s="49">
        <v>127587</v>
      </c>
      <c r="L25" s="150" t="s">
        <v>53</v>
      </c>
      <c r="M25" s="153">
        <f t="shared" si="0"/>
        <v>147.31200000000001</v>
      </c>
      <c r="N25" s="92" t="str">
        <f>VLOOKUP(C25,'Trips&amp;Operators'!$C$1:$E$99999,3,FALSE)</f>
        <v>STORY</v>
      </c>
      <c r="O25" s="174" t="s">
        <v>86</v>
      </c>
      <c r="P25" s="10" t="s">
        <v>688</v>
      </c>
      <c r="Q25" s="33"/>
      <c r="R25" s="108" t="str">
        <f>VLOOKUP(C25,'Train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25" s="111" t="str">
        <f>VLOOKUP(C25,'Train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5" s="113" t="str">
        <f t="shared" si="1"/>
        <v>"C:\Program Files (x86)\AstroGrep\AstroGrep.exe" /spath="%USERPROFILE%\AppData\Local\Temp\OnboardLogs" /stypes="*4013*201609242*" /stext=" 21:.+((SYSTEM_STATE.+slice.+state.+changed )|(ment ac)|(system.+state.+changed )|(\|lc)|(penalty)|(\[timeout)|(PRM\|1\|D)|(kpr)|(kdp))" /e /r /s</v>
      </c>
      <c r="U25" s="9" t="str">
        <f t="shared" si="2"/>
        <v>4013</v>
      </c>
      <c r="V25" s="38">
        <f t="shared" si="3"/>
        <v>42637.893483796295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{"issue":{"subject":"40th 4S STOP, cleared afterward","project_id":79,"tracker_id":40,"status_id":1,"priority_id":2,"assigned_to_id":23,"start_date":"2016-09-24","description":"","custom_fields":[{"id":1,"name":"Subdivision","value":"EC"},{"id":4,"name":"Milepost","value":"12.7587"},{"id":17,"name":"Train ID","value":"186-24"},{"id":16,"name":"Locomotive ID","value":"4013"},{"id":130,"name":"Impact","value":""},{"id":150,"name":"Time of Event (Mountain Time)","value":"15:26:37"},{"id":151,"name":"Denver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5" t="str">
        <f t="shared" si="7"/>
        <v>grep -hSE -A100 "Enforcement Action" "%USERPROFILE%\AppData\Local\Temp\OnboardLogs"\RTDC4013\*4013*201609242* | grep -SE "((Enforcement Ac)|(PRM))" -</v>
      </c>
    </row>
    <row r="26" spans="1:29" x14ac:dyDescent="0.25">
      <c r="A26" s="38">
        <v>42637.675335648149</v>
      </c>
      <c r="B26" s="33" t="s">
        <v>260</v>
      </c>
      <c r="C26" s="33" t="s">
        <v>453</v>
      </c>
      <c r="D26" s="33" t="s">
        <v>105</v>
      </c>
      <c r="E26" s="33" t="s">
        <v>54</v>
      </c>
      <c r="F26" s="49">
        <v>0</v>
      </c>
      <c r="G26" s="49">
        <v>117</v>
      </c>
      <c r="H26" s="49">
        <v>127556</v>
      </c>
      <c r="I26" s="49">
        <v>127360</v>
      </c>
      <c r="J26" s="33" t="s">
        <v>55</v>
      </c>
      <c r="K26" s="49">
        <v>127587</v>
      </c>
      <c r="L26" s="150" t="s">
        <v>53</v>
      </c>
      <c r="M26" s="153">
        <f t="shared" si="0"/>
        <v>-119.85599999999999</v>
      </c>
      <c r="N26" s="92" t="str">
        <f>VLOOKUP(C26,'Trips&amp;Operators'!$C$1:$E$99999,3,FALSE)</f>
        <v>MOSES</v>
      </c>
      <c r="O26" s="174" t="s">
        <v>86</v>
      </c>
      <c r="P26" s="10" t="s">
        <v>688</v>
      </c>
      <c r="Q26" s="33"/>
      <c r="R26" s="108" t="str">
        <f>VLOOKUP(C26,'Train Runs'!$A$13:$AE$10013,31,0)</f>
        <v>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 &amp; aws s3 cp s3://rtdc.mdm.uploadarchive/RTDC4008/2016-09-25/ "%USERPROFILE%\AppData\Local\Temp\OnboardLogs"\RTDC4008\2016-09-25 --recursive &amp; "%USERPROFILE%\Documents\GitHub\mrs-test-scripts\Headless Mode &amp; Sideloading\WalkAndUnGZ.bat" "%USERPROFILE%\AppData\Local\Temp\OnboardLogs"\RTDC4008\2016-09-25</v>
      </c>
      <c r="S26" s="111" t="str">
        <f>VLOOKUP(C26,'Train Runs'!$A$13:$AE$10013,22,0)</f>
        <v>https://search-rtdc-monitor-bjffxe2xuh6vdkpspy63sjmuny.us-east-1.es.amazonaws.com/_plugin/kibana/#/discover/Steve-Slow-Train-Analysis-(2080s-and-2083s)?_g=(refreshInterval:(display:Off,section:0,value:0),time:(from:'2016-09-24 15:10:12-0600',mode:absolute,to:'2016-09-24 17:44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26" s="113" t="str">
        <f t="shared" si="1"/>
        <v>"C:\Program Files (x86)\AstroGrep\AstroGrep.exe" /spath="%USERPROFILE%\AppData\Local\Temp\OnboardLogs" /stypes="*4008*201609242*" /stext=" 22:.+((SYSTEM_STATE.+slice.+state.+changed )|(ment ac)|(system.+state.+changed )|(\|lc)|(penalty)|(\[timeout)|(PRM\|1\|D)|(kpr)|(kdp))" /e /r /s</v>
      </c>
      <c r="U26" s="9" t="str">
        <f t="shared" si="2"/>
        <v>4008</v>
      </c>
      <c r="V26" s="38">
        <f t="shared" si="3"/>
        <v>42637.925335648149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{"issue":{"subject":"40th 4S STOP, cleared afterward","project_id":79,"tracker_id":40,"status_id":1,"priority_id":2,"assigned_to_id":23,"start_date":"2016-09-24","description":"","custom_fields":[{"id":1,"name":"Subdivision","value":"EC"},{"id":4,"name":"Milepost","value":"12.7587"},{"id":17,"name":"Train ID","value":"192-24"},{"id":16,"name":"Locomotive ID","value":"4008"},{"id":130,"name":"Impact","value":""},{"id":150,"name":"Time of Event (Mountain Time)","value":"16:12:29"},{"id":151,"name":"Denver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 t="shared" si="7"/>
        <v>grep -hSE -A100 "Enforcement Action" "%USERPROFILE%\AppData\Local\Temp\OnboardLogs"\RTDC4008\*4008*201609242* | grep -SE "((Enforcement Ac)|(PRM))" -</v>
      </c>
    </row>
    <row r="27" spans="1:29" x14ac:dyDescent="0.25">
      <c r="A27" s="38">
        <v>42637.579745370371</v>
      </c>
      <c r="B27" s="33" t="s">
        <v>246</v>
      </c>
      <c r="C27" s="33" t="s">
        <v>448</v>
      </c>
      <c r="D27" s="33" t="s">
        <v>49</v>
      </c>
      <c r="E27" s="33" t="s">
        <v>54</v>
      </c>
      <c r="F27" s="49">
        <v>0</v>
      </c>
      <c r="G27" s="49">
        <v>735</v>
      </c>
      <c r="H27" s="49">
        <v>135517</v>
      </c>
      <c r="I27" s="49">
        <v>132400</v>
      </c>
      <c r="J27" s="33" t="s">
        <v>55</v>
      </c>
      <c r="K27" s="49">
        <v>133166</v>
      </c>
      <c r="L27" s="150" t="s">
        <v>53</v>
      </c>
      <c r="M27" s="153">
        <f t="shared" si="0"/>
        <v>-404.44799999999998</v>
      </c>
      <c r="N27" s="92" t="str">
        <f>VLOOKUP(C27,'Trips&amp;Operators'!$C$1:$E$99999,3,FALSE)</f>
        <v>STEWART</v>
      </c>
      <c r="O27" s="174" t="s">
        <v>401</v>
      </c>
      <c r="P27" s="10" t="s">
        <v>689</v>
      </c>
      <c r="Q27" s="33"/>
      <c r="R27" s="108" t="str">
        <f>VLOOKUP(C27,'Train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27" s="111" t="str">
        <f>VLOOKUP(C27,'Train Runs'!$A$13:$AE$10013,22,0)</f>
        <v>https://search-rtdc-monitor-bjffxe2xuh6vdkpspy63sjmuny.us-east-1.es.amazonaws.com/_plugin/kibana/#/discover/Steve-Slow-Train-Analysis-(2080s-and-2083s)?_g=(refreshInterval:(display:Off,section:0,value:0),time:(from:'2016-09-24 12:36:18-0600',mode:absolute,to:'2016-09-24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7" s="113" t="str">
        <f t="shared" si="1"/>
        <v>"C:\Program Files (x86)\AstroGrep\AstroGrep.exe" /spath="%USERPROFILE%\AppData\Local\Temp\OnboardLogs" /stypes="*4004*201609241*" /stext=" 19:.+((SYSTEM_STATE.+slice.+state.+changed )|(ment ac)|(system.+state.+changed )|(\|lc)|(penalty)|(\[timeout)|(PRM\|1\|D)|(kpr)|(kdp))" /e /r /s</v>
      </c>
      <c r="U27" s="9" t="str">
        <f t="shared" si="2"/>
        <v>4004</v>
      </c>
      <c r="V27" s="38">
        <f t="shared" si="3"/>
        <v>42637.829745370371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state","project_id":79,"tracker_id":40,"status_id":1,"priority_id":2,"assigned_to_id":23,"start_date":"2016-09-24","description":"","custom_fields":[{"id":1,"name":"Subdivision","value":"EC"},{"id":4,"name":"Milepost","value":"13.3166"},{"id":17,"name":"Train ID","value":"174-24"},{"id":16,"name":"Locomotive ID","value":"4004"},{"id":130,"name":"Impact","value":""},{"id":150,"name":"Time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 t="shared" si="7"/>
        <v>grep -hSE -A100 "Enforcement Action" "%USERPROFILE%\AppData\Local\Temp\OnboardLogs"\RTDC4004\*4004*201609241* | grep -SE "((Enforcement Ac)|(PRM))" -</v>
      </c>
    </row>
    <row r="28" spans="1:29" x14ac:dyDescent="0.25">
      <c r="A28" s="38">
        <v>42637.206412037034</v>
      </c>
      <c r="B28" s="33" t="s">
        <v>246</v>
      </c>
      <c r="C28" s="33" t="s">
        <v>432</v>
      </c>
      <c r="D28" s="33" t="s">
        <v>49</v>
      </c>
      <c r="E28" s="33" t="s">
        <v>54</v>
      </c>
      <c r="F28" s="49">
        <v>0</v>
      </c>
      <c r="G28" s="49">
        <v>781</v>
      </c>
      <c r="H28" s="49">
        <v>140081</v>
      </c>
      <c r="I28" s="49">
        <v>136716</v>
      </c>
      <c r="J28" s="33" t="s">
        <v>55</v>
      </c>
      <c r="K28" s="49">
        <v>138851</v>
      </c>
      <c r="L28" s="150" t="s">
        <v>53</v>
      </c>
      <c r="M28" s="153">
        <f t="shared" si="0"/>
        <v>-1127.28</v>
      </c>
      <c r="N28" s="92" t="str">
        <f>VLOOKUP(C28,'Trips&amp;Operators'!$C$1:$E$99999,3,FALSE)</f>
        <v>MALAVE</v>
      </c>
      <c r="O28" s="174" t="s">
        <v>401</v>
      </c>
      <c r="P28" s="10" t="s">
        <v>689</v>
      </c>
      <c r="Q28" s="33"/>
      <c r="R28" s="108" t="str">
        <f>VLOOKUP(C28,'Train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28" s="111" t="str">
        <f>VLOOKUP(C28,'Train Runs'!$A$13:$AE$10013,22,0)</f>
        <v>https://search-rtdc-monitor-bjffxe2xuh6vdkpspy63sjmuny.us-east-1.es.amazonaws.com/_plugin/kibana/#/discover/Steve-Slow-Train-Analysis-(2080s-and-2083s)?_g=(refreshInterval:(display:Off,section:0,value:0),time:(from:'2016-09-24 03:35:03-0600',mode:absolute,to:'2016-09-24 06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8" s="113" t="str">
        <f t="shared" si="1"/>
        <v>"C:\Program Files (x86)\AstroGrep\AstroGrep.exe" /spath="%USERPROFILE%\AppData\Local\Temp\OnboardLogs" /stypes="*4004*201609241*" /stext=" 10:.+((SYSTEM_STATE.+slice.+state.+changed )|(ment ac)|(system.+state.+changed )|(\|lc)|(penalty)|(\[timeout)|(PRM\|1\|D)|(kpr)|(kdp))" /e /r /s</v>
      </c>
      <c r="U28" s="9" t="str">
        <f t="shared" si="2"/>
        <v>4004</v>
      </c>
      <c r="V28" s="38">
        <f t="shared" si="3"/>
        <v>42637.456412037034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{"issue":{"subject":"Wi-MAX outage, 4003/4004 CCU in bad state","project_id":79,"tracker_id":40,"status_id":1,"priority_id":2,"assigned_to_id":23,"start_date":"2016-09-24","description":"","custom_fields":[{"id":1,"name":"Subdivision","value":"EC"},{"id":4,"name":"Milepost","value":"13.8851"},{"id":17,"name":"Train ID","value":"104-24"},{"id":16,"name":"Locomotive ID","value":"4004"},{"id":130,"name":"Impact","value":""},{"id":150,"name":"Time of Event (Mountain Time)","value":"04:57:14"},{"id":151,"name":"Denver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5" t="str">
        <f t="shared" si="7"/>
        <v>grep -hSE -A100 "Enforcement Action" "%USERPROFILE%\AppData\Local\Temp\OnboardLogs"\RTDC4004\*4004*201609241* | grep -SE "((Enforcement Ac)|(PRM))" -</v>
      </c>
    </row>
    <row r="29" spans="1:29" x14ac:dyDescent="0.25">
      <c r="A29" s="38">
        <v>42637.503622685188</v>
      </c>
      <c r="B29" s="33" t="s">
        <v>178</v>
      </c>
      <c r="C29" s="33" t="s">
        <v>445</v>
      </c>
      <c r="D29" s="33" t="s">
        <v>105</v>
      </c>
      <c r="E29" s="33" t="s">
        <v>400</v>
      </c>
      <c r="F29" s="49">
        <v>150</v>
      </c>
      <c r="G29" s="49">
        <v>201</v>
      </c>
      <c r="H29" s="49">
        <v>78883</v>
      </c>
      <c r="I29" s="49">
        <v>79397</v>
      </c>
      <c r="J29" s="33" t="s">
        <v>168</v>
      </c>
      <c r="K29" s="49">
        <v>78299</v>
      </c>
      <c r="L29" s="150" t="s">
        <v>52</v>
      </c>
      <c r="M29" s="153">
        <f t="shared" si="0"/>
        <v>-579.74400000000003</v>
      </c>
      <c r="N29" s="92" t="str">
        <f>VLOOKUP(C29,'Trips&amp;Operators'!$C$1:$E$99999,3,FALSE)</f>
        <v>SHOOK</v>
      </c>
      <c r="O29" s="174" t="s">
        <v>86</v>
      </c>
      <c r="P29" s="10"/>
      <c r="Q29" s="33"/>
      <c r="R29" s="108" t="str">
        <f>VLOOKUP(C29,'Train Runs'!$A$13:$AE$10013,31,0)</f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S29" s="111" t="str">
        <f>VLOOKUP(C29,'Train Runs'!$A$13:$AE$10013,22,0)</f>
        <v>https://search-rtdc-monitor-bjffxe2xuh6vdkpspy63sjmuny.us-east-1.es.amazonaws.com/_plugin/kibana/#/discover/Steve-Slow-Train-Analysis-(2080s-and-2083s)?_g=(refreshInterval:(display:Off,section:0,value:0),time:(from:'2016-09-24 10:41:06-0600',mode:absolute,to:'2016-09-24 13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9" s="113" t="str">
        <f t="shared" si="1"/>
        <v>"C:\Program Files (x86)\AstroGrep\AstroGrep.exe" /spath="%USERPROFILE%\AppData\Local\Temp\OnboardLogs" /stypes="*4042*201609241*" /stext=" 18:.+((SYSTEM_STATE.+slice.+state.+changed )|(ment ac)|(system.+state.+changed )|(\|lc)|(penalty)|(\[timeout)|(PRM\|1\|D)|(kpr)|(kdp))" /e /r /s</v>
      </c>
      <c r="U29" s="9" t="str">
        <f t="shared" si="2"/>
        <v>4042</v>
      </c>
      <c r="V29" s="38">
        <f t="shared" si="3"/>
        <v>42637.753622685188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{"issue":{"subject":"","project_id":79,"tracker_id":40,"status_id":1,"priority_id":2,"assigned_to_id":23,"start_date":"2016-09-24","description":"","custom_fields":[{"id":1,"name":"Subdivision","value":"EC"},{"id":4,"name":"Milepost","value":"7.8299"},{"id":17,"name":"Train ID","value":"165-24"},{"id":16,"name":"Locomotive ID","value":"4042"},{"id":130,"name":"Impact","value":""},{"id":150,"name":"Time of Event (Mountain Time)","value":"12:05:13"},{"id":151,"name":"Denver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5" t="str">
        <f t="shared" si="7"/>
        <v>grep -hSE -A100 "Enforcement Action" "%USERPROFILE%\AppData\Local\Temp\OnboardLogs"\RTDC4042\*4042*201609241* | grep -SE "((Enforcement Ac)|(PRM))" -</v>
      </c>
    </row>
    <row r="30" spans="1:29" x14ac:dyDescent="0.25">
      <c r="A30" s="38">
        <v>42637.234340277777</v>
      </c>
      <c r="B30" s="33" t="s">
        <v>435</v>
      </c>
      <c r="C30" s="33" t="s">
        <v>436</v>
      </c>
      <c r="D30" s="33" t="s">
        <v>105</v>
      </c>
      <c r="E30" s="33" t="s">
        <v>400</v>
      </c>
      <c r="F30" s="49">
        <v>150</v>
      </c>
      <c r="G30" s="49">
        <v>200</v>
      </c>
      <c r="H30" s="49">
        <v>77556</v>
      </c>
      <c r="I30" s="49">
        <v>77030</v>
      </c>
      <c r="J30" s="33" t="s">
        <v>168</v>
      </c>
      <c r="K30" s="49">
        <v>78500</v>
      </c>
      <c r="L30" s="150" t="s">
        <v>53</v>
      </c>
      <c r="M30" s="153">
        <f t="shared" si="0"/>
        <v>-776.16</v>
      </c>
      <c r="N30" s="92" t="str">
        <f>VLOOKUP(C30,'Trips&amp;Operators'!$C$1:$E$99999,3,FALSE)</f>
        <v>ACKERMAN</v>
      </c>
      <c r="O30" s="174" t="s">
        <v>86</v>
      </c>
      <c r="P30" s="10"/>
      <c r="Q30" s="33"/>
      <c r="R30" s="108" t="str">
        <f>VLOOKUP(C30,'Train Runs'!$A$13:$AE$10013,31,0)</f>
        <v>aws s3 cp s3://rtdc.mdm.uploadarchive/RTDC4045/2016-09-24/ "%USERPROFILE%\AppData\Local\Temp\OnboardLogs"\RTDC4045\2016-09-24 --recursive &amp; "%USERPROFILE%\Documents\GitHub\mrs-test-scripts\Headless Mode &amp; Sideloading\WalkAndUnGZ.bat" "%USERPROFILE%\AppData\Local\Temp\OnboardLogs"\RTDC4045\2016-09-24 &amp; aws s3 cp s3://rtdc.mdm.uploadarchive/RTDC4045/2016-09-25/ "%USERPROFILE%\AppData\Local\Temp\OnboardLogs"\RTDC4045\2016-09-25 --recursive &amp; "%USERPROFILE%\Documents\GitHub\mrs-test-scripts\Headless Mode &amp; Sideloading\WalkAndUnGZ.bat" "%USERPROFILE%\AppData\Local\Temp\OnboardLogs"\RTDC4045\2016-09-25</v>
      </c>
      <c r="S30" s="111" t="str">
        <f>VLOOKUP(C30,'Train Runs'!$A$13:$AE$10013,22,0)</f>
        <v>https://search-rtdc-monitor-bjffxe2xuh6vdkpspy63sjmuny.us-east-1.es.amazonaws.com/_plugin/kibana/#/discover/Steve-Slow-Train-Analysis-(2080s-and-2083s)?_g=(refreshInterval:(display:Off,section:0,value:0),time:(from:'2016-09-24 04:00:33-0600',mode:absolute,to:'2016-09-24 06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0" s="113" t="str">
        <f t="shared" si="1"/>
        <v>"C:\Program Files (x86)\AstroGrep\AstroGrep.exe" /spath="%USERPROFILE%\AppData\Local\Temp\OnboardLogs" /stypes="*4045*201609241*" /stext=" 11:.+((SYSTEM_STATE.+slice.+state.+changed )|(ment ac)|(system.+state.+changed )|(\|lc)|(penalty)|(\[timeout)|(PRM\|1\|D)|(kpr)|(kdp))" /e /r /s</v>
      </c>
      <c r="U30" s="9" t="str">
        <f t="shared" si="2"/>
        <v>4045</v>
      </c>
      <c r="V30" s="38">
        <f t="shared" si="3"/>
        <v>42637.484340277777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{"issue":{"subject":"","project_id":79,"tracker_id":40,"status_id":1,"priority_id":2,"assigned_to_id":23,"start_date":"2016-09-24","description":"","custom_fields":[{"id":1,"name":"Subdivision","value":"EC"},{"id":4,"name":"Milepost","value":"7.85"},{"id":17,"name":"Train ID","value":"106-24"},{"id":16,"name":"Locomotive ID","value":"4045"},{"id":130,"name":"Impact","value":""},{"id":150,"name":"Time of Event (Mountain Time)","value":"05:37:27"},{"id":151,"name":"Denver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 t="shared" si="7"/>
        <v>grep -hSE -A100 "Enforcement Action" "%USERPROFILE%\AppData\Local\Temp\OnboardLogs"\RTDC4045\*4045*201609241* | grep -SE "((Enforcement Ac)|(PRM))" -</v>
      </c>
    </row>
    <row r="31" spans="1:29" ht="15" customHeight="1" x14ac:dyDescent="0.25">
      <c r="A31" s="38">
        <v>42637.28564814815</v>
      </c>
      <c r="B31" s="33" t="s">
        <v>277</v>
      </c>
      <c r="C31" s="33" t="s">
        <v>438</v>
      </c>
      <c r="D31" s="33" t="s">
        <v>105</v>
      </c>
      <c r="E31" s="33" t="s">
        <v>400</v>
      </c>
      <c r="F31" s="49">
        <v>150</v>
      </c>
      <c r="G31" s="49">
        <v>206</v>
      </c>
      <c r="H31" s="49">
        <v>78311</v>
      </c>
      <c r="I31" s="49">
        <v>77777</v>
      </c>
      <c r="J31" s="33" t="s">
        <v>168</v>
      </c>
      <c r="K31" s="49">
        <v>78500</v>
      </c>
      <c r="L31" s="150" t="s">
        <v>53</v>
      </c>
      <c r="M31" s="153">
        <f t="shared" si="0"/>
        <v>-381.74400000000003</v>
      </c>
      <c r="N31" s="92" t="str">
        <f>VLOOKUP(C31,'Trips&amp;Operators'!$C$1:$E$99999,3,FALSE)</f>
        <v>STRICKLAND</v>
      </c>
      <c r="O31" s="174" t="s">
        <v>86</v>
      </c>
      <c r="P31" s="10"/>
      <c r="Q31" s="33"/>
      <c r="R31" s="108" t="str">
        <f>VLOOKUP(C31,'Train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31" s="111" t="str">
        <f>VLOOKUP(C31,'Train Runs'!$A$13:$AE$10013,22,0)</f>
        <v>https://search-rtdc-monitor-bjffxe2xuh6vdkpspy63sjmuny.us-east-1.es.amazonaws.com/_plugin/kibana/#/discover/Steve-Slow-Train-Analysis-(2080s-and-2083s)?_g=(refreshInterval:(display:Off,section:0,value:0),time:(from:'2016-09-24 05:22:45-0600',mode:absolute,to:'2016-09-24 08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1" s="113" t="str">
        <f t="shared" si="1"/>
        <v>"C:\Program Files (x86)\AstroGrep\AstroGrep.exe" /spath="%USERPROFILE%\AppData\Local\Temp\OnboardLogs" /stypes="*4013*201609241*" /stext=" 12:.+((SYSTEM_STATE.+slice.+state.+changed )|(ment ac)|(system.+state.+changed )|(\|lc)|(penalty)|(\[timeout)|(PRM\|1\|D)|(kpr)|(kdp))" /e /r /s</v>
      </c>
      <c r="U31" s="9" t="str">
        <f t="shared" si="2"/>
        <v>4013</v>
      </c>
      <c r="V31" s="38">
        <f t="shared" si="3"/>
        <v>42637.53564814815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{"issue":{"subject":"","project_id":79,"tracker_id":40,"status_id":1,"priority_id":2,"assigned_to_id":23,"start_date":"2016-09-24","description":"","custom_fields":[{"id":1,"name":"Subdivision","value":"EC"},{"id":4,"name":"Milepost","value":"7.85"},{"id":17,"name":"Train ID","value":"116-24"},{"id":16,"name":"Locomotive ID","value":"4013"},{"id":130,"name":"Impact","value":""},{"id":150,"name":"Time of Event (Mountain Time)","value":"06:51:20"},{"id":151,"name":"Denver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 t="shared" si="7"/>
        <v>grep -hSE -A100 "Enforcement Action" "%USERPROFILE%\AppData\Local\Temp\OnboardLogs"\RTDC4013\*4013*201609241* | grep -SE "((Enforcement Ac)|(PRM))" -</v>
      </c>
    </row>
    <row r="32" spans="1:29" x14ac:dyDescent="0.25">
      <c r="A32" s="38">
        <v>42637.368287037039</v>
      </c>
      <c r="B32" s="33" t="s">
        <v>246</v>
      </c>
      <c r="C32" s="33" t="s">
        <v>441</v>
      </c>
      <c r="D32" s="33" t="s">
        <v>105</v>
      </c>
      <c r="E32" s="33" t="s">
        <v>400</v>
      </c>
      <c r="F32" s="49">
        <v>150</v>
      </c>
      <c r="G32" s="49">
        <v>217</v>
      </c>
      <c r="H32" s="49">
        <v>77991</v>
      </c>
      <c r="I32" s="49">
        <v>77266</v>
      </c>
      <c r="J32" s="33" t="s">
        <v>168</v>
      </c>
      <c r="K32" s="49">
        <v>78500</v>
      </c>
      <c r="L32" s="150" t="s">
        <v>53</v>
      </c>
      <c r="M32" s="153">
        <f t="shared" si="0"/>
        <v>-651.55200000000002</v>
      </c>
      <c r="N32" s="92" t="str">
        <f>VLOOKUP(C32,'Trips&amp;Operators'!$C$1:$E$99999,3,FALSE)</f>
        <v>MALAVE</v>
      </c>
      <c r="O32" s="174" t="s">
        <v>86</v>
      </c>
      <c r="P32" s="10"/>
      <c r="Q32" s="33"/>
      <c r="R32" s="108" t="str">
        <f>VLOOKUP(C32,'Train Runs'!$A$13:$AE$10013,31,0)</f>
        <v>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 &amp; 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</v>
      </c>
      <c r="S32" s="111" t="str">
        <f>VLOOKUP(C32,'Train Runs'!$A$13:$AE$10013,22,0)</f>
        <v>https://search-rtdc-monitor-bjffxe2xuh6vdkpspy63sjmuny.us-east-1.es.amazonaws.com/_plugin/kibana/#/discover/Steve-Slow-Train-Analysis-(2080s-and-2083s)?_g=(refreshInterval:(display:Off,section:0,value:0),time:(from:'2016-09-24 07:23:55-0600',mode:absolute,to:'2016-09-24 10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2" s="113" t="str">
        <f t="shared" si="1"/>
        <v>"C:\Program Files (x86)\AstroGrep\AstroGrep.exe" /spath="%USERPROFILE%\AppData\Local\Temp\OnboardLogs" /stypes="*4004*201609241*" /stext=" 14:.+((SYSTEM_STATE.+slice.+state.+changed )|(ment ac)|(system.+state.+changed )|(\|lc)|(penalty)|(\[timeout)|(PRM\|1\|D)|(kpr)|(kdp))" /e /r /s</v>
      </c>
      <c r="U32" s="9" t="str">
        <f t="shared" si="2"/>
        <v>4004</v>
      </c>
      <c r="V32" s="38">
        <f t="shared" si="3"/>
        <v>42637.618287037039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{"issue":{"subject":"","project_id":79,"tracker_id":40,"status_id":1,"priority_id":2,"assigned_to_id":23,"start_date":"2016-09-24","description":"","custom_fields":[{"id":1,"name":"Subdivision","value":"EC"},{"id":4,"name":"Milepost","value":"7.85"},{"id":17,"name":"Train ID","value":"132-24"},{"id":16,"name":"Locomotive ID","value":"4004"},{"id":130,"name":"Impact","value":""},{"id":150,"name":"Time of Event (Mountain Time)","value":"08:50:20"},{"id":151,"name":"Denver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 t="shared" si="7"/>
        <v>grep -hSE -A100 "Enforcement Action" "%USERPROFILE%\AppData\Local\Temp\OnboardLogs"\RTDC4004\*4004*201609241* | grep -SE "((Enforcement Ac)|(PRM))" -</v>
      </c>
    </row>
    <row r="33" spans="1:29" ht="15" customHeight="1" x14ac:dyDescent="0.25">
      <c r="A33" s="38">
        <v>42637.645902777775</v>
      </c>
      <c r="B33" s="33" t="s">
        <v>177</v>
      </c>
      <c r="C33" s="33" t="s">
        <v>452</v>
      </c>
      <c r="D33" s="33" t="s">
        <v>105</v>
      </c>
      <c r="E33" s="33" t="s">
        <v>400</v>
      </c>
      <c r="F33" s="49">
        <v>150</v>
      </c>
      <c r="G33" s="49">
        <v>212</v>
      </c>
      <c r="H33" s="49">
        <v>77975</v>
      </c>
      <c r="I33" s="49">
        <v>77580</v>
      </c>
      <c r="J33" s="33" t="s">
        <v>168</v>
      </c>
      <c r="K33" s="49">
        <v>78500</v>
      </c>
      <c r="L33" s="150" t="s">
        <v>53</v>
      </c>
      <c r="M33" s="153">
        <f t="shared" si="0"/>
        <v>-485.76</v>
      </c>
      <c r="N33" s="92" t="str">
        <f>VLOOKUP(C33,'Trips&amp;Operators'!$C$1:$E$99999,3,FALSE)</f>
        <v>CLARK</v>
      </c>
      <c r="O33" s="174" t="s">
        <v>86</v>
      </c>
      <c r="P33" s="10"/>
      <c r="Q33" s="33"/>
      <c r="R33" s="108" t="str">
        <f>VLOOKUP(C33,'Train Runs'!$A$13:$AE$10013,31,0)</f>
        <v>aws s3 cp s3://rtdc.mdm.uploadarchive/RTDC4010/2016-09-24/ "%USERPROFILE%\AppData\Local\Temp\OnboardLogs"\RTDC4010\2016-09-24 --recursive &amp; "%USERPROFILE%\Documents\GitHub\mrs-test-scripts\Headless Mode &amp; Sideloading\WalkAndUnGZ.bat" "%USERPROFILE%\AppData\Local\Temp\OnboardLogs"\RTDC4010\2016-09-24 &amp; 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</v>
      </c>
      <c r="S33" s="111" t="str">
        <f>VLOOKUP(C33,'Train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13:50:15-0600',mode:absolute,to:'2016-09-24 16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3" s="113" t="str">
        <f t="shared" si="1"/>
        <v>"C:\Program Files (x86)\AstroGrep\AstroGrep.exe" /spath="%USERPROFILE%\AppData\Local\Temp\OnboardLogs" /stypes="*4010*201609242*" /stext=" 21:.+((SYSTEM_STATE.+slice.+state.+changed )|(ment ac)|(system.+state.+changed )|(\|lc)|(penalty)|(\[timeout)|(PRM\|1\|D)|(kpr)|(kdp))" /e /r /s</v>
      </c>
      <c r="U33" s="9" t="str">
        <f t="shared" si="2"/>
        <v>4010</v>
      </c>
      <c r="V33" s="38">
        <f t="shared" si="3"/>
        <v>42637.895902777775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{"issue":{"subject":"","project_id":79,"tracker_id":40,"status_id":1,"priority_id":2,"assigned_to_id":23,"start_date":"2016-09-24","description":"","custom_fields":[{"id":1,"name":"Subdivision","value":"EC"},{"id":4,"name":"Milepost","value":"7.85"},{"id":17,"name":"Train ID","value":"184-24"},{"id":16,"name":"Locomotive ID","value":"4010"},{"id":130,"name":"Impact","value":""},{"id":150,"name":"Time of Event (Mountain Time)","value":"15:30:06"},{"id":151,"name":"Denver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 t="shared" si="7"/>
        <v>grep -hSE -A100 "Enforcement Action" "%USERPROFILE%\AppData\Local\Temp\OnboardLogs"\RTDC4010\*4010*201609242* | grep -SE "((Enforcement Ac)|(PRM))" -</v>
      </c>
    </row>
    <row r="34" spans="1:29" x14ac:dyDescent="0.25">
      <c r="A34" s="38">
        <v>42637.298055555555</v>
      </c>
      <c r="B34" s="33" t="s">
        <v>277</v>
      </c>
      <c r="C34" s="33" t="s">
        <v>438</v>
      </c>
      <c r="D34" s="33" t="s">
        <v>49</v>
      </c>
      <c r="E34" s="33" t="s">
        <v>50</v>
      </c>
      <c r="F34" s="49">
        <v>0</v>
      </c>
      <c r="G34" s="49">
        <v>64</v>
      </c>
      <c r="H34" s="49">
        <v>245</v>
      </c>
      <c r="I34" s="49">
        <v>201</v>
      </c>
      <c r="J34" s="33" t="s">
        <v>51</v>
      </c>
      <c r="K34" s="49">
        <v>1</v>
      </c>
      <c r="L34" s="150" t="s">
        <v>53</v>
      </c>
      <c r="M34" s="153">
        <f t="shared" si="0"/>
        <v>105.6</v>
      </c>
      <c r="N34" s="92" t="str">
        <f>VLOOKUP(C34,'Trips&amp;Operators'!$C$1:$E$99999,3,FALSE)</f>
        <v>STRICKLAND</v>
      </c>
      <c r="O34" s="174" t="s">
        <v>86</v>
      </c>
      <c r="P34" s="10"/>
      <c r="Q34" s="33"/>
      <c r="R34" s="108" t="str">
        <f>VLOOKUP(C34,'Train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34" s="111" t="str">
        <f>VLOOKUP(C34,'Train Runs'!$A$13:$AE$10013,22,0)</f>
        <v>https://search-rtdc-monitor-bjffxe2xuh6vdkpspy63sjmuny.us-east-1.es.amazonaws.com/_plugin/kibana/#/discover/Steve-Slow-Train-Analysis-(2080s-and-2083s)?_g=(refreshInterval:(display:Off,section:0,value:0),time:(from:'2016-09-24 05:22:45-0600',mode:absolute,to:'2016-09-24 08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4" s="113" t="str">
        <f t="shared" si="1"/>
        <v>"C:\Program Files (x86)\AstroGrep\AstroGrep.exe" /spath="%USERPROFILE%\AppData\Local\Temp\OnboardLogs" /stypes="*4013*201609241*" /stext=" 13:.+((SYSTEM_STATE.+slice.+state.+changed )|(ment ac)|(system.+state.+changed )|(\|lc)|(penalty)|(\[timeout)|(PRM\|1\|D)|(kpr)|(kdp))" /e /r /s</v>
      </c>
      <c r="U34" s="9" t="str">
        <f t="shared" si="2"/>
        <v>4013</v>
      </c>
      <c r="V34" s="38">
        <f t="shared" si="3"/>
        <v>42637.548055555555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{"issue":{"subject":"","project_id":79,"tracker_id":40,"status_id":1,"priority_id":2,"assigned_to_id":23,"start_date":"2016-09-24","description":"","custom_fields":[{"id":1,"name":"Subdivision","value":"EC"},{"id":4,"name":"Milepost","value":"0.0001"},{"id":17,"name":"Train ID","value":"116-24"},{"id":16,"name":"Locomotive ID","value":"4013"},{"id":130,"name":"Impact","value":""},{"id":150,"name":"Time of Event (Mountain Time)","value":"07:09:12"},{"id":151,"name":"Denver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 t="shared" si="7"/>
        <v>grep -hSE -A100 "Enforcement Action" "%USERPROFILE%\AppData\Local\Temp\OnboardLogs"\RTDC4013\*4013*201609241* | grep -SE "((Enforcement Ac)|(PRM))" -</v>
      </c>
    </row>
    <row r="35" spans="1:29" x14ac:dyDescent="0.25">
      <c r="A35" s="38">
        <v>42637.516388888886</v>
      </c>
      <c r="B35" s="33" t="s">
        <v>277</v>
      </c>
      <c r="C35" s="33" t="s">
        <v>446</v>
      </c>
      <c r="D35" s="33" t="s">
        <v>49</v>
      </c>
      <c r="E35" s="33" t="s">
        <v>50</v>
      </c>
      <c r="F35" s="49">
        <v>0</v>
      </c>
      <c r="G35" s="49">
        <v>42</v>
      </c>
      <c r="H35" s="49">
        <v>211</v>
      </c>
      <c r="I35" s="49">
        <v>152</v>
      </c>
      <c r="J35" s="33" t="s">
        <v>51</v>
      </c>
      <c r="K35" s="49">
        <v>1</v>
      </c>
      <c r="L35" s="150" t="s">
        <v>53</v>
      </c>
      <c r="M35" s="153">
        <f t="shared" si="0"/>
        <v>79.727999999999994</v>
      </c>
      <c r="N35" s="92" t="str">
        <f>VLOOKUP(C35,'Trips&amp;Operators'!$C$1:$E$99999,3,FALSE)</f>
        <v>STRICKLAND</v>
      </c>
      <c r="O35" s="174" t="s">
        <v>86</v>
      </c>
      <c r="P35" s="10"/>
      <c r="Q35" s="33"/>
      <c r="R35" s="108" t="str">
        <f>VLOOKUP(C35,'Train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35" s="111" t="str">
        <f>VLOOKUP(C35,'Train Runs'!$A$13:$AE$10013,22,0)</f>
        <v>https://search-rtdc-monitor-bjffxe2xuh6vdkpspy63sjmuny.us-east-1.es.amazonaws.com/_plugin/kibana/#/discover/Steve-Slow-Train-Analysis-(2080s-and-2083s)?_g=(refreshInterval:(display:Off,section:0,value:0),time:(from:'2016-09-24 10:35:31-0600',mode:absolute,to:'2016-09-24 13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5" s="113" t="str">
        <f t="shared" si="1"/>
        <v>"C:\Program Files (x86)\AstroGrep\AstroGrep.exe" /spath="%USERPROFILE%\AppData\Local\Temp\OnboardLogs" /stypes="*4013*201609241*" /stext=" 18:.+((SYSTEM_STATE.+slice.+state.+changed )|(ment ac)|(system.+state.+changed )|(\|lc)|(penalty)|(\[timeout)|(PRM\|1\|D)|(kpr)|(kdp))" /e /r /s</v>
      </c>
      <c r="U35" s="9" t="str">
        <f t="shared" si="2"/>
        <v>4013</v>
      </c>
      <c r="V35" s="38">
        <f t="shared" si="3"/>
        <v>42637.766388888886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{"issue":{"subject":"","project_id":79,"tracker_id":40,"status_id":1,"priority_id":2,"assigned_to_id":23,"start_date":"2016-09-24","description":"","custom_fields":[{"id":1,"name":"Subdivision","value":"EC"},{"id":4,"name":"Milepost","value":"0.0001"},{"id":17,"name":"Train ID","value":"158-24"},{"id":16,"name":"Locomotive ID","value":"4013"},{"id":130,"name":"Impact","value":""},{"id":150,"name":"Time of Event (Mountain Time)","value":"12:23:36"},{"id":151,"name":"Denver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 t="shared" si="7"/>
        <v>grep -hSE -A100 "Enforcement Action" "%USERPROFILE%\AppData\Local\Temp\OnboardLogs"\RTDC4013\*4013*201609241* | grep -SE "((Enforcement Ac)|(PRM))" -</v>
      </c>
    </row>
    <row r="36" spans="1:29" x14ac:dyDescent="0.25">
      <c r="A36" s="38">
        <v>42637.589930555558</v>
      </c>
      <c r="B36" s="33" t="s">
        <v>277</v>
      </c>
      <c r="C36" s="33" t="s">
        <v>450</v>
      </c>
      <c r="D36" s="33" t="s">
        <v>49</v>
      </c>
      <c r="E36" s="33" t="s">
        <v>50</v>
      </c>
      <c r="F36" s="49">
        <v>0</v>
      </c>
      <c r="G36" s="49">
        <v>58</v>
      </c>
      <c r="H36" s="49">
        <v>189</v>
      </c>
      <c r="I36" s="49">
        <v>136</v>
      </c>
      <c r="J36" s="33" t="s">
        <v>51</v>
      </c>
      <c r="K36" s="49">
        <v>1</v>
      </c>
      <c r="L36" s="150" t="s">
        <v>53</v>
      </c>
      <c r="M36" s="153">
        <f t="shared" si="0"/>
        <v>71.28</v>
      </c>
      <c r="N36" s="92" t="str">
        <f>VLOOKUP(C36,'Trips&amp;Operators'!$C$1:$E$99999,3,FALSE)</f>
        <v>STORY</v>
      </c>
      <c r="O36" s="174" t="s">
        <v>86</v>
      </c>
      <c r="P36" s="10"/>
      <c r="Q36" s="33"/>
      <c r="R36" s="108" t="str">
        <f>VLOOKUP(C36,'Train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36" s="111" t="str">
        <f>VLOOKUP(C36,'Train Runs'!$A$13:$AE$10013,22,0)</f>
        <v>https://search-rtdc-monitor-bjffxe2xuh6vdkpspy63sjmuny.us-east-1.es.amazonaws.com/_plugin/kibana/#/discover/Steve-Slow-Train-Analysis-(2080s-and-2083s)?_g=(refreshInterval:(display:Off,section:0,value:0),time:(from:'2016-09-24 12:16:53-0600',mode:absolute,to:'2016-09-24 15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6" s="113" t="str">
        <f t="shared" si="1"/>
        <v>"C:\Program Files (x86)\AstroGrep\AstroGrep.exe" /spath="%USERPROFILE%\AppData\Local\Temp\OnboardLogs" /stypes="*4013*201609242*" /stext=" 20:.+((SYSTEM_STATE.+slice.+state.+changed )|(ment ac)|(system.+state.+changed )|(\|lc)|(penalty)|(\[timeout)|(PRM\|1\|D)|(kpr)|(kdp))" /e /r /s</v>
      </c>
      <c r="U36" s="9" t="str">
        <f t="shared" si="2"/>
        <v>4013</v>
      </c>
      <c r="V36" s="38">
        <f t="shared" si="3"/>
        <v>42637.839930555558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{"issue":{"subject":"","project_id":79,"tracker_id":40,"status_id":1,"priority_id":2,"assigned_to_id":23,"start_date":"2016-09-24","description":"","custom_fields":[{"id":1,"name":"Subdivision","value":"EC"},{"id":4,"name":"Milepost","value":"0.0001"},{"id":17,"name":"Train ID","value":"172-24"},{"id":16,"name":"Locomotive ID","value":"4013"},{"id":130,"name":"Impact","value":""},{"id":150,"name":"Time of Event (Mountain Time)","value":"14:09:30"},{"id":151,"name":"Denver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 t="shared" si="7"/>
        <v>grep -hSE -A100 "Enforcement Action" "%USERPROFILE%\AppData\Local\Temp\OnboardLogs"\RTDC4013\*4013*201609242* | grep -SE "((Enforcement Ac)|(PRM))" -</v>
      </c>
    </row>
    <row r="37" spans="1:29" ht="15" customHeight="1" x14ac:dyDescent="0.25">
      <c r="A37" s="38">
        <v>42637.667002314818</v>
      </c>
      <c r="B37" s="33" t="s">
        <v>277</v>
      </c>
      <c r="C37" s="33" t="s">
        <v>451</v>
      </c>
      <c r="D37" s="33" t="s">
        <v>49</v>
      </c>
      <c r="E37" s="33" t="s">
        <v>50</v>
      </c>
      <c r="F37" s="49">
        <v>0</v>
      </c>
      <c r="G37" s="49">
        <v>59</v>
      </c>
      <c r="H37" s="49">
        <v>189</v>
      </c>
      <c r="I37" s="49">
        <v>134</v>
      </c>
      <c r="J37" s="33" t="s">
        <v>51</v>
      </c>
      <c r="K37" s="49">
        <v>1</v>
      </c>
      <c r="L37" s="150" t="s">
        <v>53</v>
      </c>
      <c r="M37" s="153">
        <f t="shared" si="0"/>
        <v>70.224000000000004</v>
      </c>
      <c r="N37" s="92" t="str">
        <f>VLOOKUP(C37,'Trips&amp;Operators'!$C$1:$E$99999,3,FALSE)</f>
        <v>STORY</v>
      </c>
      <c r="O37" s="174" t="s">
        <v>86</v>
      </c>
      <c r="P37" s="10"/>
      <c r="Q37" s="33"/>
      <c r="R37" s="108" t="str">
        <f>VLOOKUP(C37,'Train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37" s="111" t="str">
        <f>VLOOKUP(C37,'Train Runs'!$A$13:$AE$10013,22,0)</f>
        <v>https://search-rtdc-monitor-bjffxe2xuh6vdkpspy63sjmuny.us-east-1.es.amazonaws.com/_plugin/kibana/#/discover/Steve-Slow-Train-Analysis-(2080s-and-2083s)?_g=(refreshInterval:(display:Off,section:0,value:0),time:(from:'2016-09-24 13:59:16-0600',mode:absolute,to:'2016-09-24 17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7" s="113" t="str">
        <f t="shared" si="1"/>
        <v>"C:\Program Files (x86)\AstroGrep\AstroGrep.exe" /spath="%USERPROFILE%\AppData\Local\Temp\OnboardLogs" /stypes="*4013*201609242*" /stext=" 22:.+((SYSTEM_STATE.+slice.+state.+changed )|(ment ac)|(system.+state.+changed )|(\|lc)|(penalty)|(\[timeout)|(PRM\|1\|D)|(kpr)|(kdp))" /e /r /s</v>
      </c>
      <c r="U37" s="9" t="str">
        <f t="shared" si="2"/>
        <v>4013</v>
      </c>
      <c r="V37" s="38">
        <f t="shared" si="3"/>
        <v>42637.917002314818</v>
      </c>
      <c r="W37" s="52" t="str">
        <f t="shared" si="4"/>
        <v>EC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{"issue":{"subject":"","project_id":79,"tracker_id":40,"status_id":1,"priority_id":2,"assigned_to_id":23,"start_date":"2016-09-24","description":"","custom_fields":[{"id":1,"name":"Subdivision","value":"EC"},{"id":4,"name":"Milepost","value":"0.0001"},{"id":17,"name":"Train ID","value":"186-24"},{"id":16,"name":"Locomotive ID","value":"4013"},{"id":130,"name":"Impact","value":""},{"id":150,"name":"Time of Event (Mountain Time)","value":"16:00:29"},{"id":151,"name":"Denver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 t="shared" si="7"/>
        <v>grep -hSE -A100 "Enforcement Action" "%USERPROFILE%\AppData\Local\Temp\OnboardLogs"\RTDC4013\*4013*201609242* | grep -SE "((Enforcement Ac)|(PRM))" -</v>
      </c>
    </row>
    <row r="38" spans="1:29" x14ac:dyDescent="0.25">
      <c r="A38" s="38">
        <v>42637.74077546296</v>
      </c>
      <c r="B38" s="33" t="s">
        <v>277</v>
      </c>
      <c r="C38" s="33" t="s">
        <v>456</v>
      </c>
      <c r="D38" s="33" t="s">
        <v>49</v>
      </c>
      <c r="E38" s="33" t="s">
        <v>50</v>
      </c>
      <c r="F38" s="49">
        <v>0</v>
      </c>
      <c r="G38" s="49">
        <v>51</v>
      </c>
      <c r="H38" s="49">
        <v>181</v>
      </c>
      <c r="I38" s="49">
        <v>141</v>
      </c>
      <c r="J38" s="33" t="s">
        <v>51</v>
      </c>
      <c r="K38" s="49">
        <v>1</v>
      </c>
      <c r="L38" s="150" t="s">
        <v>53</v>
      </c>
      <c r="M38" s="153">
        <f t="shared" si="0"/>
        <v>73.92</v>
      </c>
      <c r="N38" s="92" t="str">
        <f>VLOOKUP(C38,'Trips&amp;Operators'!$C$1:$E$99999,3,FALSE)</f>
        <v>MAHAN</v>
      </c>
      <c r="O38" s="174" t="s">
        <v>86</v>
      </c>
      <c r="P38" s="10"/>
      <c r="Q38" s="33"/>
      <c r="R38" s="108" t="str">
        <f>VLOOKUP(C38,'Train Runs'!$A$13:$AE$10013,31,0)</f>
        <v>aws s3 cp s3://rtdc.mdm.uploadarchive/RTDC4013/2016-09-24/ "%USERPROFILE%\AppData\Local\Temp\OnboardLogs"\RTDC4013\2016-09-24 --recursive &amp; "%USERPROFILE%\Documents\GitHub\mrs-test-scripts\Headless Mode &amp; Sideloading\WalkAndUnGZ.bat" "%USERPROFILE%\AppData\Local\Temp\OnboardLogs"\RTDC4013\2016-09-24 &amp; aws s3 cp s3://rtdc.mdm.uploadarchive/RTDC4013/2016-09-25/ "%USERPROFILE%\AppData\Local\Temp\OnboardLogs"\RTDC4013\2016-09-25 --recursive &amp; "%USERPROFILE%\Documents\GitHub\mrs-test-scripts\Headless Mode &amp; Sideloading\WalkAndUnGZ.bat" "%USERPROFILE%\AppData\Local\Temp\OnboardLogs"\RTDC4013\2016-09-25</v>
      </c>
      <c r="S38" s="111" t="str">
        <f>VLOOKUP(C38,'Train Runs'!$A$13:$AE$10013,22,0)</f>
        <v>https://search-rtdc-monitor-bjffxe2xuh6vdkpspy63sjmuny.us-east-1.es.amazonaws.com/_plugin/kibana/#/discover/Steve-Slow-Train-Analysis-(2080s-and-2083s)?_g=(refreshInterval:(display:Off,section:0,value:0),time:(from:'2016-09-24 16:01:24-0600',mode:absolute,to:'2016-09-24 18:46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8" s="113" t="str">
        <f t="shared" si="1"/>
        <v>"C:\Program Files (x86)\AstroGrep\AstroGrep.exe" /spath="%USERPROFILE%\AppData\Local\Temp\OnboardLogs" /stypes="*4013*201609242*" /stext=" 23:.+((SYSTEM_STATE.+slice.+state.+changed )|(ment ac)|(system.+state.+changed )|(\|lc)|(penalty)|(\[timeout)|(PRM\|1\|D)|(kpr)|(kdp))" /e /r /s</v>
      </c>
      <c r="U38" s="9" t="str">
        <f t="shared" si="2"/>
        <v>4013</v>
      </c>
      <c r="V38" s="38">
        <f t="shared" si="3"/>
        <v>42637.99077546296</v>
      </c>
      <c r="W38" s="52" t="str">
        <f t="shared" si="4"/>
        <v>EC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{"issue":{"subject":"","project_id":79,"tracker_id":40,"status_id":1,"priority_id":2,"assigned_to_id":23,"start_date":"2016-09-24","description":"","custom_fields":[{"id":1,"name":"Subdivision","value":"EC"},{"id":4,"name":"Milepost","value":"0.0001"},{"id":17,"name":"Train ID","value":"200-24"},{"id":16,"name":"Locomotive ID","value":"4013"},{"id":130,"name":"Impact","value":""},{"id":150,"name":"Time of Event (Mountain Time)","value":"17:46:43"},{"id":151,"name":"Denver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 t="shared" si="7"/>
        <v>grep -hSE -A100 "Enforcement Action" "%USERPROFILE%\AppData\Local\Temp\OnboardLogs"\RTDC4013\*4013*201609242* | grep -SE "((Enforcement Ac)|(PRM))" -</v>
      </c>
    </row>
    <row r="39" spans="1:29" x14ac:dyDescent="0.25">
      <c r="A39" s="38">
        <v>42637.204687500001</v>
      </c>
      <c r="B39" s="33" t="s">
        <v>430</v>
      </c>
      <c r="C39" s="33" t="s">
        <v>431</v>
      </c>
      <c r="D39" s="33" t="s">
        <v>49</v>
      </c>
      <c r="E39" s="33" t="s">
        <v>50</v>
      </c>
      <c r="F39" s="49">
        <v>0</v>
      </c>
      <c r="G39" s="49">
        <v>40</v>
      </c>
      <c r="H39" s="49">
        <v>233355</v>
      </c>
      <c r="I39" s="49">
        <v>233387</v>
      </c>
      <c r="J39" s="33" t="s">
        <v>51</v>
      </c>
      <c r="K39" s="49">
        <v>233491</v>
      </c>
      <c r="L39" s="150" t="s">
        <v>52</v>
      </c>
      <c r="M39" s="153">
        <f t="shared" si="0"/>
        <v>54.911999999999999</v>
      </c>
      <c r="N39" s="92" t="str">
        <f>VLOOKUP(C39,'Trips&amp;Operators'!$C$1:$E$99999,3,FALSE)</f>
        <v>ACKERMAN</v>
      </c>
      <c r="O39" s="174" t="s">
        <v>86</v>
      </c>
      <c r="P39" s="10"/>
      <c r="Q39" s="33"/>
      <c r="R39" s="108" t="str">
        <f>VLOOKUP(C39,'Train Runs'!$A$13:$AE$10013,31,0)</f>
        <v>aws s3 cp s3://rtdc.mdm.uploadarchive/RTDC4053/2016-09-24/ "%USERPROFILE%\AppData\Local\Temp\OnboardLogs"\RTDC4053\2016-09-24 --recursive &amp; "%USERPROFILE%\Documents\GitHub\mrs-test-scripts\Headless Mode &amp; Sideloading\WalkAndUnGZ.bat" "%USERPROFILE%\AppData\Local\Temp\OnboardLogs"\RTDC4053\2016-09-24 &amp; aws s3 cp s3://rtdc.mdm.uploadarchive/RTDC4053/2016-09-25/ "%USERPROFILE%\AppData\Local\Temp\OnboardLogs"\RTDC4053\2016-09-25 --recursive &amp; "%USERPROFILE%\Documents\GitHub\mrs-test-scripts\Headless Mode &amp; Sideloading\WalkAndUnGZ.bat" "%USERPROFILE%\AppData\Local\Temp\OnboardLogs"\RTDC4053\2016-09-25</v>
      </c>
      <c r="S39" s="111" t="str">
        <f>VLOOKUP(C39,'Train Runs'!$A$13:$AE$10013,22,0)</f>
        <v>https://search-rtdc-monitor-bjffxe2xuh6vdkpspy63sjmuny.us-east-1.es.amazonaws.com/_plugin/kibana/#/discover/Steve-Slow-Train-Analysis-(2080s-and-2083s)?_g=(refreshInterval:(display:Off,section:0,value:0),time:(from:'2016-09-24 03:09:10-0600',mode:absolute,to:'2016-09-24 05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39" s="113" t="str">
        <f t="shared" si="1"/>
        <v>"C:\Program Files (x86)\AstroGrep\AstroGrep.exe" /spath="%USERPROFILE%\AppData\Local\Temp\OnboardLogs" /stypes="*4053*201609241*" /stext=" 10:.+((SYSTEM_STATE.+slice.+state.+changed )|(ment ac)|(system.+state.+changed )|(\|lc)|(penalty)|(\[timeout)|(PRM\|1\|D)|(kpr)|(kdp))" /e /r /s</v>
      </c>
      <c r="U39" s="9" t="str">
        <f t="shared" si="2"/>
        <v>4053</v>
      </c>
      <c r="V39" s="38">
        <f t="shared" si="3"/>
        <v>42637.454687500001</v>
      </c>
      <c r="W39" s="52" t="str">
        <f t="shared" si="4"/>
        <v>EC</v>
      </c>
      <c r="X39" s="52" t="str">
        <f t="shared" si="5"/>
        <v>KEEP</v>
      </c>
      <c r="Y39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{"issue":{"subject":"","project_id":79,"tracker_id":40,"status_id":1,"priority_id":2,"assigned_to_id":23,"start_date":"2016-09-24","description":"","custom_fields":[{"id":1,"name":"Subdivision","value":"EC"},{"id":4,"name":"Milepost","value":"23.3491"},{"id":17,"name":"Train ID","value":"105-24"},{"id":16,"name":"Locomotive ID","value":"4053"},{"id":130,"name":"Impact","value":""},{"id":150,"name":"Time of Event (Mountain Time)","value":"04:54:45"},{"id":151,"name":"Denver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 t="shared" si="7"/>
        <v>grep -hSE -A100 "Enforcement Action" "%USERPROFILE%\AppData\Local\Temp\OnboardLogs"\RTDC4053\*4053*201609241* | grep -SE "((Enforcement Ac)|(PRM))" -</v>
      </c>
    </row>
    <row r="40" spans="1:29" x14ac:dyDescent="0.25">
      <c r="A40" s="38">
        <v>42637.21534722222</v>
      </c>
      <c r="B40" s="33" t="s">
        <v>433</v>
      </c>
      <c r="C40" s="33" t="s">
        <v>434</v>
      </c>
      <c r="D40" s="33" t="s">
        <v>49</v>
      </c>
      <c r="E40" s="33" t="s">
        <v>50</v>
      </c>
      <c r="F40" s="49">
        <v>0</v>
      </c>
      <c r="G40" s="49">
        <v>55</v>
      </c>
      <c r="H40" s="49">
        <v>233247</v>
      </c>
      <c r="I40" s="49">
        <v>233293</v>
      </c>
      <c r="J40" s="33" t="s">
        <v>51</v>
      </c>
      <c r="K40" s="49">
        <v>233491</v>
      </c>
      <c r="L40" s="150" t="s">
        <v>52</v>
      </c>
      <c r="M40" s="153">
        <f t="shared" si="0"/>
        <v>104.544</v>
      </c>
      <c r="N40" s="92" t="str">
        <f>VLOOKUP(C40,'Trips&amp;Operators'!$C$1:$E$99999,3,FALSE)</f>
        <v>DAVIS</v>
      </c>
      <c r="O40" s="174" t="s">
        <v>86</v>
      </c>
      <c r="P40" s="10"/>
      <c r="Q40" s="33"/>
      <c r="R40" s="108" t="str">
        <f>VLOOKUP(C40,'Train Runs'!$A$13:$AE$10013,31,0)</f>
        <v>aws s3 cp s3://rtdc.mdm.uploadarchive/RTDC4007/2016-09-24/ "%USERPROFILE%\AppData\Local\Temp\OnboardLogs"\RTDC4007\2016-09-24 --recursive &amp; "%USERPROFILE%\Documents\GitHub\mrs-test-scripts\Headless Mode &amp; Sideloading\WalkAndUnGZ.bat" "%USERPROFILE%\AppData\Local\Temp\OnboardLogs"\RTDC4007\2016-09-24 &amp; aws s3 cp s3://rtdc.mdm.uploadarchive/RTDC4007/2016-09-25/ "%USERPROFILE%\AppData\Local\Temp\OnboardLogs"\RTDC4007\2016-09-25 --recursive &amp; "%USERPROFILE%\Documents\GitHub\mrs-test-scripts\Headless Mode &amp; Sideloading\WalkAndUnGZ.bat" "%USERPROFILE%\AppData\Local\Temp\OnboardLogs"\RTDC4007\2016-09-25</v>
      </c>
      <c r="S40" s="111" t="str">
        <f>VLOOKUP(C40,'Train Runs'!$A$13:$AE$10013,22,0)</f>
        <v>https://search-rtdc-monitor-bjffxe2xuh6vdkpspy63sjmuny.us-east-1.es.amazonaws.com/_plugin/kibana/#/discover/Steve-Slow-Train-Analysis-(2080s-and-2083s)?_g=(refreshInterval:(display:Off,section:0,value:0),time:(from:'2016-09-24 03:22:15-0600',mode:absolute,to:'2016-09-24 06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40" s="113" t="str">
        <f t="shared" si="1"/>
        <v>"C:\Program Files (x86)\AstroGrep\AstroGrep.exe" /spath="%USERPROFILE%\AppData\Local\Temp\OnboardLogs" /stypes="*4007*201609241*" /stext=" 11:.+((SYSTEM_STATE.+slice.+state.+changed )|(ment ac)|(system.+state.+changed )|(\|lc)|(penalty)|(\[timeout)|(PRM\|1\|D)|(kpr)|(kdp))" /e /r /s</v>
      </c>
      <c r="U40" s="9" t="str">
        <f t="shared" si="2"/>
        <v>4007</v>
      </c>
      <c r="V40" s="38">
        <f t="shared" si="3"/>
        <v>42637.46534722222</v>
      </c>
      <c r="W40" s="52" t="str">
        <f t="shared" si="4"/>
        <v>EC</v>
      </c>
      <c r="X40" s="52" t="str">
        <f t="shared" si="5"/>
        <v>KEEP</v>
      </c>
      <c r="Y40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{"issue":{"subject":"","project_id":79,"tracker_id":40,"status_id":1,"priority_id":2,"assigned_to_id":23,"start_date":"2016-09-24","description":"","custom_fields":[{"id":1,"name":"Subdivision","value":"EC"},{"id":4,"name":"Milepost","value":"23.3491"},{"id":17,"name":"Train ID","value":"107-24"},{"id":16,"name":"Locomotive ID","value":"4007"},{"id":130,"name":"Impact","value":""},{"id":150,"name":"Time of Event (Mountain Time)","value":"05:10:06"},{"id":151,"name":"Denver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 t="shared" si="7"/>
        <v>grep -hSE -A100 "Enforcement Action" "%USERPROFILE%\AppData\Local\Temp\OnboardLogs"\RTDC4007\*4007*201609241* | grep -SE "((Enforcement Ac)|(PRM))" -</v>
      </c>
    </row>
    <row r="41" spans="1:29" x14ac:dyDescent="0.25">
      <c r="A41" s="38">
        <v>42637.330138888887</v>
      </c>
      <c r="B41" s="33" t="s">
        <v>275</v>
      </c>
      <c r="C41" s="33" t="s">
        <v>440</v>
      </c>
      <c r="D41" s="33" t="s">
        <v>49</v>
      </c>
      <c r="E41" s="33" t="s">
        <v>50</v>
      </c>
      <c r="F41" s="49">
        <v>0</v>
      </c>
      <c r="G41" s="49">
        <v>145</v>
      </c>
      <c r="H41" s="49">
        <v>232796</v>
      </c>
      <c r="I41" s="49">
        <v>233032</v>
      </c>
      <c r="J41" s="33" t="s">
        <v>51</v>
      </c>
      <c r="K41" s="49">
        <v>233491</v>
      </c>
      <c r="L41" s="150" t="s">
        <v>52</v>
      </c>
      <c r="M41" s="153">
        <f t="shared" si="0"/>
        <v>242.352</v>
      </c>
      <c r="N41" s="92" t="str">
        <f>VLOOKUP(C41,'Trips&amp;Operators'!$C$1:$E$99999,3,FALSE)</f>
        <v>STRICKLAND</v>
      </c>
      <c r="O41" s="174" t="s">
        <v>86</v>
      </c>
      <c r="P41" s="10"/>
      <c r="Q41" s="33"/>
      <c r="R41" s="108" t="str">
        <f>VLOOKUP(C41,'Train Runs'!$A$13:$AE$10013,31,0)</f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S41" s="111" t="str">
        <f>VLOOKUP(C41,'Train Runs'!$A$13:$AE$10013,22,0)</f>
        <v>https://search-rtdc-monitor-bjffxe2xuh6vdkpspy63sjmuny.us-east-1.es.amazonaws.com/_plugin/kibana/#/discover/Steve-Slow-Train-Analysis-(2080s-and-2083s)?_g=(refreshInterval:(display:Off,section:0,value:0),time:(from:'2016-09-24 06:11:28-0600',mode:absolute,to:'2016-09-24 08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1" s="113" t="str">
        <f t="shared" si="1"/>
        <v>"C:\Program Files (x86)\AstroGrep\AstroGrep.exe" /spath="%USERPROFILE%\AppData\Local\Temp\OnboardLogs" /stypes="*4014*201609241*" /stext=" 13:.+((SYSTEM_STATE.+slice.+state.+changed )|(ment ac)|(system.+state.+changed )|(\|lc)|(penalty)|(\[timeout)|(PRM\|1\|D)|(kpr)|(kdp))" /e /r /s</v>
      </c>
      <c r="U41" s="9" t="str">
        <f t="shared" si="2"/>
        <v>4014</v>
      </c>
      <c r="V41" s="38">
        <f t="shared" si="3"/>
        <v>42637.580138888887</v>
      </c>
      <c r="W41" s="52" t="str">
        <f t="shared" si="4"/>
        <v>EC</v>
      </c>
      <c r="X41" s="52" t="str">
        <f t="shared" si="5"/>
        <v>KEEP</v>
      </c>
      <c r="Y41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{"issue":{"subject":"","project_id":79,"tracker_id":40,"status_id":1,"priority_id":2,"assigned_to_id":23,"start_date":"2016-09-24","description":"","custom_fields":[{"id":1,"name":"Subdivision","value":"EC"},{"id":4,"name":"Milepost","value":"23.3491"},{"id":17,"name":"Train ID","value":"129-24"},{"id":16,"name":"Locomotive ID","value":"4014"},{"id":130,"name":"Impact","value":""},{"id":150,"name":"Time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 t="shared" si="7"/>
        <v>grep -hSE -A100 "Enforcement Action" "%USERPROFILE%\AppData\Local\Temp\OnboardLogs"\RTDC4014\*4014*201609241* | grep -SE "((Enforcement Ac)|(PRM))" -</v>
      </c>
    </row>
    <row r="42" spans="1:29" x14ac:dyDescent="0.25">
      <c r="A42" s="38">
        <v>42637.330648148149</v>
      </c>
      <c r="B42" s="33" t="s">
        <v>275</v>
      </c>
      <c r="C42" s="33" t="s">
        <v>440</v>
      </c>
      <c r="D42" s="33" t="s">
        <v>49</v>
      </c>
      <c r="E42" s="33" t="s">
        <v>50</v>
      </c>
      <c r="F42" s="49">
        <v>0</v>
      </c>
      <c r="G42" s="49">
        <v>63</v>
      </c>
      <c r="H42" s="49">
        <v>233144</v>
      </c>
      <c r="I42" s="49">
        <v>233205</v>
      </c>
      <c r="J42" s="33" t="s">
        <v>51</v>
      </c>
      <c r="K42" s="49">
        <v>233491</v>
      </c>
      <c r="L42" s="150" t="s">
        <v>52</v>
      </c>
      <c r="M42" s="153">
        <f t="shared" si="0"/>
        <v>151.00800000000001</v>
      </c>
      <c r="N42" s="92" t="str">
        <f>VLOOKUP(C42,'Trips&amp;Operators'!$C$1:$E$99999,3,FALSE)</f>
        <v>STRICKLAND</v>
      </c>
      <c r="O42" s="174" t="s">
        <v>86</v>
      </c>
      <c r="P42" s="10"/>
      <c r="Q42" s="33"/>
      <c r="R42" s="108" t="str">
        <f>VLOOKUP(C42,'Train Runs'!$A$13:$AE$10013,31,0)</f>
        <v>aws s3 cp s3://rtdc.mdm.uploadarchive/RTDC4014/2016-09-24/ "%USERPROFILE%\AppData\Local\Temp\OnboardLogs"\RTDC4014\2016-09-24 --recursive &amp; "%USERPROFILE%\Documents\GitHub\mrs-test-scripts\Headless Mode &amp; Sideloading\WalkAndUnGZ.bat" "%USERPROFILE%\AppData\Local\Temp\OnboardLogs"\RTDC4014\2016-09-24 &amp; aws s3 cp s3://rtdc.mdm.uploadarchive/RTDC4014/2016-09-25/ "%USERPROFILE%\AppData\Local\Temp\OnboardLogs"\RTDC4014\2016-09-25 --recursive &amp; "%USERPROFILE%\Documents\GitHub\mrs-test-scripts\Headless Mode &amp; Sideloading\WalkAndUnGZ.bat" "%USERPROFILE%\AppData\Local\Temp\OnboardLogs"\RTDC4014\2016-09-25</v>
      </c>
      <c r="S42" s="111" t="str">
        <f>VLOOKUP(C42,'Train Runs'!$A$13:$AE$10013,22,0)</f>
        <v>https://search-rtdc-monitor-bjffxe2xuh6vdkpspy63sjmuny.us-east-1.es.amazonaws.com/_plugin/kibana/#/discover/Steve-Slow-Train-Analysis-(2080s-and-2083s)?_g=(refreshInterval:(display:Off,section:0,value:0),time:(from:'2016-09-24 06:11:28-0600',mode:absolute,to:'2016-09-24 08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2" s="113" t="str">
        <f t="shared" si="1"/>
        <v>"C:\Program Files (x86)\AstroGrep\AstroGrep.exe" /spath="%USERPROFILE%\AppData\Local\Temp\OnboardLogs" /stypes="*4014*201609241*" /stext=" 13:.+((SYSTEM_STATE.+slice.+state.+changed )|(ment ac)|(system.+state.+changed )|(\|lc)|(penalty)|(\[timeout)|(PRM\|1\|D)|(kpr)|(kdp))" /e /r /s</v>
      </c>
      <c r="U42" s="9" t="str">
        <f t="shared" si="2"/>
        <v>4014</v>
      </c>
      <c r="V42" s="38">
        <f t="shared" si="3"/>
        <v>42637.580648148149</v>
      </c>
      <c r="W42" s="52" t="str">
        <f t="shared" si="4"/>
        <v>EC</v>
      </c>
      <c r="X42" s="52" t="str">
        <f t="shared" si="5"/>
        <v>KEEP</v>
      </c>
      <c r="Y42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{"issue":{"subject":"","project_id":79,"tracker_id":40,"status_id":1,"priority_id":2,"assigned_to_id":23,"start_date":"2016-09-24","description":"","custom_fields":[{"id":1,"name":"Subdivision","value":"EC"},{"id":4,"name":"Milepost","value":"23.3491"},{"id":17,"name":"Train ID","value":"129-24"},{"id":16,"name":"Locomotive ID","value":"4014"},{"id":130,"name":"Impact","value":""},{"id":150,"name":"Time of Event (Mountain Time)","value":"07:56:08"},{"id":151,"name":"Denver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 t="shared" si="7"/>
        <v>grep -hSE -A100 "Enforcement Action" "%USERPROFILE%\AppData\Local\Temp\OnboardLogs"\RTDC4014\*4014*201609241* | grep -SE "((Enforcement Ac)|(PRM))" -</v>
      </c>
    </row>
    <row r="43" spans="1:29" x14ac:dyDescent="0.25">
      <c r="A43" s="38">
        <v>42637.46534722222</v>
      </c>
      <c r="B43" s="33" t="s">
        <v>128</v>
      </c>
      <c r="C43" s="33" t="s">
        <v>444</v>
      </c>
      <c r="D43" s="33" t="s">
        <v>49</v>
      </c>
      <c r="E43" s="33" t="s">
        <v>50</v>
      </c>
      <c r="F43" s="49">
        <v>0</v>
      </c>
      <c r="G43" s="49">
        <v>92</v>
      </c>
      <c r="H43" s="49">
        <v>233111</v>
      </c>
      <c r="I43" s="49">
        <v>233199</v>
      </c>
      <c r="J43" s="33" t="s">
        <v>51</v>
      </c>
      <c r="K43" s="49">
        <v>233491</v>
      </c>
      <c r="L43" s="150" t="s">
        <v>52</v>
      </c>
      <c r="M43" s="153">
        <f t="shared" si="0"/>
        <v>154.17599999999999</v>
      </c>
      <c r="N43" s="92" t="str">
        <f>VLOOKUP(C43,'Trips&amp;Operators'!$C$1:$E$99999,3,FALSE)</f>
        <v>CLARK</v>
      </c>
      <c r="O43" s="174" t="s">
        <v>86</v>
      </c>
      <c r="P43" s="10"/>
      <c r="Q43" s="33"/>
      <c r="R43" s="108" t="str">
        <f>VLOOKUP(C43,'Train Runs'!$A$13:$AE$10013,31,0)</f>
        <v>aws s3 cp s3://rtdc.mdm.uploadarchive/RTDC4009/2016-09-24/ "%USERPROFILE%\AppData\Local\Temp\OnboardLogs"\RTDC4009\2016-09-24 --recursive &amp; "%USERPROFILE%\Documents\GitHub\mrs-test-scripts\Headless Mode &amp; Sideloading\WalkAndUnGZ.bat" "%USERPROFILE%\AppData\Local\Temp\OnboardLogs"\RTDC4009\2016-09-24 &amp; 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</v>
      </c>
      <c r="S43" s="111" t="str">
        <f>VLOOKUP(C43,'Train Runs'!$A$13:$AE$10013,22,0)</f>
        <v>https://search-rtdc-monitor-bjffxe2xuh6vdkpspy63sjmuny.us-east-1.es.amazonaws.com/_plugin/kibana/#/discover/Steve-Slow-Train-Analysis-(2080s-and-2083s)?_g=(refreshInterval:(display:Off,section:0,value:0),time:(from:'2016-09-24 09:25:31-0600',mode:absolute,to:'2016-09-24 12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43" s="113" t="str">
        <f t="shared" si="1"/>
        <v>"C:\Program Files (x86)\AstroGrep\AstroGrep.exe" /spath="%USERPROFILE%\AppData\Local\Temp\OnboardLogs" /stypes="*4009*201609241*" /stext=" 17:.+((SYSTEM_STATE.+slice.+state.+changed )|(ment ac)|(system.+state.+changed )|(\|lc)|(penalty)|(\[timeout)|(PRM\|1\|D)|(kpr)|(kdp))" /e /r /s</v>
      </c>
      <c r="U43" s="9" t="str">
        <f t="shared" si="2"/>
        <v>4009</v>
      </c>
      <c r="V43" s="38">
        <f t="shared" si="3"/>
        <v>42637.71534722222</v>
      </c>
      <c r="W43" s="52" t="str">
        <f t="shared" si="4"/>
        <v>EC</v>
      </c>
      <c r="X43" s="52" t="str">
        <f t="shared" si="5"/>
        <v>KEEP</v>
      </c>
      <c r="Y43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{"issue":{"subject":"","project_id":79,"tracker_id":40,"status_id":1,"priority_id":2,"assigned_to_id":23,"start_date":"2016-09-24","description":"","custom_fields":[{"id":1,"name":"Subdivision","value":"EC"},{"id":4,"name":"Milepost","value":"23.3491"},{"id":17,"name":"Train ID","value":"155-24"},{"id":16,"name":"Locomotive ID","value":"4009"},{"id":130,"name":"Impact","value":""},{"id":150,"name":"Time of Event (Mountain Time)","value":"11:10:06"},{"id":151,"name":"Denver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 t="shared" si="7"/>
        <v>grep -hSE -A100 "Enforcement Action" "%USERPROFILE%\AppData\Local\Temp\OnboardLogs"\RTDC4009\*4009*201609241* | grep -SE "((Enforcement Ac)|(PRM))" -</v>
      </c>
    </row>
    <row r="44" spans="1:29" x14ac:dyDescent="0.25">
      <c r="A44" s="38">
        <v>42637.588692129626</v>
      </c>
      <c r="B44" s="33" t="s">
        <v>178</v>
      </c>
      <c r="C44" s="33" t="s">
        <v>449</v>
      </c>
      <c r="D44" s="33" t="s">
        <v>49</v>
      </c>
      <c r="E44" s="33" t="s">
        <v>50</v>
      </c>
      <c r="F44" s="49">
        <v>0</v>
      </c>
      <c r="G44" s="49">
        <v>54</v>
      </c>
      <c r="H44" s="49">
        <v>233301</v>
      </c>
      <c r="I44" s="49">
        <v>233336</v>
      </c>
      <c r="J44" s="33" t="s">
        <v>51</v>
      </c>
      <c r="K44" s="49">
        <v>233491</v>
      </c>
      <c r="L44" s="150" t="s">
        <v>52</v>
      </c>
      <c r="M44" s="153">
        <f t="shared" si="0"/>
        <v>81.84</v>
      </c>
      <c r="N44" s="92" t="str">
        <f>VLOOKUP(C44,'Trips&amp;Operators'!$C$1:$E$99999,3,FALSE)</f>
        <v>SHOOK</v>
      </c>
      <c r="O44" s="174" t="s">
        <v>86</v>
      </c>
      <c r="P44" s="10"/>
      <c r="Q44" s="33"/>
      <c r="R44" s="108" t="str">
        <f>VLOOKUP(C44,'Train Runs'!$A$13:$AE$10013,31,0)</f>
        <v>aws s3 cp s3://rtdc.mdm.uploadarchive/RTDC4042/2016-09-24/ "%USERPROFILE%\AppData\Local\Temp\OnboardLogs"\RTDC4042\2016-09-24 --recursive &amp; "%USERPROFILE%\Documents\GitHub\mrs-test-scripts\Headless Mode &amp; Sideloading\WalkAndUnGZ.bat" "%USERPROFILE%\AppData\Local\Temp\OnboardLogs"\RTDC4042\2016-09-24 &amp; 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</v>
      </c>
      <c r="S44" s="111" t="str">
        <f>VLOOKUP(C44,'Train Runs'!$A$13:$AE$10013,22,0)</f>
        <v>https://search-rtdc-monitor-bjffxe2xuh6vdkpspy63sjmuny.us-east-1.es.amazonaws.com/_plugin/kibana/#/discover/Steve-Slow-Train-Analysis-(2080s-and-2083s)?_g=(refreshInterval:(display:Off,section:0,value:0),time:(from:'2016-09-24 12:25:22-0600',mode:absolute,to:'2016-09-24 15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44" s="113" t="str">
        <f t="shared" si="1"/>
        <v>"C:\Program Files (x86)\AstroGrep\AstroGrep.exe" /spath="%USERPROFILE%\AppData\Local\Temp\OnboardLogs" /stypes="*4042*201609242*" /stext=" 20:.+((SYSTEM_STATE.+slice.+state.+changed )|(ment ac)|(system.+state.+changed )|(\|lc)|(penalty)|(\[timeout)|(PRM\|1\|D)|(kpr)|(kdp))" /e /r /s</v>
      </c>
      <c r="U44" s="9" t="str">
        <f t="shared" si="2"/>
        <v>4042</v>
      </c>
      <c r="V44" s="38">
        <f t="shared" si="3"/>
        <v>42637.838692129626</v>
      </c>
      <c r="W44" s="52" t="str">
        <f t="shared" si="4"/>
        <v>EC</v>
      </c>
      <c r="X44" s="52" t="str">
        <f t="shared" si="5"/>
        <v>KEEP</v>
      </c>
      <c r="Y44" s="134" t="str">
        <f t="shared" si="6"/>
        <v>echo {"issue":{"subject":"","project_id":79,"tracker_id":40,"status_id":1,"priority_id":2,"assigned_to_id":23,"start_date":"2016-09-24","description":"","custom_fields":[{"id":1,"name":"Subdivision","value":"EC"},{"id":4,"name":"Milepost","value":"23.3491"},{"id":17,"name":"Train ID","value":"179-24"},{"id":16,"name":"Locomotive ID","value":"4042"},{"id":130,"name":"Impact","value":""},{"id":150,"name":"Time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 t="shared" si="7"/>
        <v>grep -hSE -A100 "Enforcement Action" "%USERPROFILE%\AppData\Local\Temp\OnboardLogs"\RTDC4042\*4042*201609242* | grep -SE "((Enforcement Ac)|(PRM))" -</v>
      </c>
    </row>
    <row r="45" spans="1:29" x14ac:dyDescent="0.25">
      <c r="A45" s="38">
        <v>42637.723993055559</v>
      </c>
      <c r="B45" s="33" t="s">
        <v>245</v>
      </c>
      <c r="C45" s="33" t="s">
        <v>455</v>
      </c>
      <c r="D45" s="33" t="s">
        <v>105</v>
      </c>
      <c r="E45" s="33" t="s">
        <v>54</v>
      </c>
      <c r="F45" s="49">
        <v>0</v>
      </c>
      <c r="G45" s="49">
        <v>39</v>
      </c>
      <c r="H45" s="49">
        <v>1740</v>
      </c>
      <c r="I45" s="49">
        <v>1801</v>
      </c>
      <c r="J45" s="33" t="s">
        <v>55</v>
      </c>
      <c r="K45" s="49">
        <v>1692</v>
      </c>
      <c r="L45" s="150" t="s">
        <v>52</v>
      </c>
      <c r="M45" s="153">
        <f t="shared" si="0"/>
        <v>-57.552</v>
      </c>
      <c r="N45" s="92" t="str">
        <f>VLOOKUP(C45,'Trips&amp;Operators'!$C$1:$E$99999,3,FALSE)</f>
        <v>ISHMAEL</v>
      </c>
      <c r="O45" s="174" t="s">
        <v>86</v>
      </c>
      <c r="P45" s="10"/>
      <c r="Q45" s="33"/>
      <c r="R45" s="108" t="str">
        <f>VLOOKUP(C45,'Train Runs'!$A$13:$AE$10013,31,0)</f>
        <v>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 &amp; 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</v>
      </c>
      <c r="S45" s="111" t="str">
        <f>VLOOKUP(C45,'Train Runs'!$A$13:$AE$10013,22,0)</f>
        <v>https://search-rtdc-monitor-bjffxe2xuh6vdkpspy63sjmuny.us-east-1.es.amazonaws.com/_plugin/kibana/#/discover/Steve-Slow-Train-Analysis-(2080s-and-2083s)?_g=(refreshInterval:(display:Off,section:0,value:0),time:(from:'2016-09-24 16:20:09-0600',mode:absolute,to:'2016-09-24 18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45" s="113" t="str">
        <f t="shared" si="1"/>
        <v>"C:\Program Files (x86)\AstroGrep\AstroGrep.exe" /spath="%USERPROFILE%\AppData\Local\Temp\OnboardLogs" /stypes="*4003*201609242*" /stext=" 23:.+((SYSTEM_STATE.+slice.+state.+changed )|(ment ac)|(system.+state.+changed )|(\|lc)|(penalty)|(\[timeout)|(PRM\|1\|D)|(kpr)|(kdp))" /e /r /s</v>
      </c>
      <c r="U45" s="9" t="str">
        <f t="shared" si="2"/>
        <v>4003</v>
      </c>
      <c r="V45" s="38">
        <f t="shared" si="3"/>
        <v>42637.973993055559</v>
      </c>
      <c r="W45" s="52" t="str">
        <f t="shared" si="4"/>
        <v>Other</v>
      </c>
      <c r="X45" s="52" t="str">
        <f t="shared" si="5"/>
        <v>KEEP</v>
      </c>
      <c r="Y45" s="134" t="str">
        <f t="shared" si="6"/>
        <v>echo {"issue":{"subject":"","project_id":79,"tracker_id":40,"status_id":1,"priority_id":2,"assigned_to_id":23,"start_date":"2016-09-24","description":"","custom_fields":[{"id":1,"name":"Subdivision","value":"Other"},{"id":4,"name":"Milepost","value":"0.1692"},{"id":17,"name":"Train ID","value":"63-24"},{"id":16,"name":"Locomotive ID","value":"4003"},{"id":130,"name":"Impact","value":""},{"id":150,"name":"Time of Event (Mountain Time)","value":"17:22:33"},{"id":151,"name":"Denver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5" t="str">
        <f t="shared" si="7"/>
        <v>grep -hSE -A100 "Enforcement Action" "%USERPROFILE%\AppData\Local\Temp\OnboardLogs"\RTDC4003\*4003*201609242* | grep -SE "((Enforcement Ac)|(PRM))" -</v>
      </c>
    </row>
    <row r="46" spans="1:29" x14ac:dyDescent="0.25">
      <c r="A46" s="38">
        <v>42637.767708333333</v>
      </c>
      <c r="B46" s="33" t="s">
        <v>281</v>
      </c>
      <c r="C46" s="33" t="s">
        <v>457</v>
      </c>
      <c r="D46" s="33" t="s">
        <v>49</v>
      </c>
      <c r="E46" s="33" t="s">
        <v>54</v>
      </c>
      <c r="F46" s="49">
        <v>0</v>
      </c>
      <c r="G46" s="49">
        <v>87</v>
      </c>
      <c r="H46" s="49">
        <v>24250</v>
      </c>
      <c r="I46" s="49">
        <v>24135</v>
      </c>
      <c r="J46" s="33" t="s">
        <v>55</v>
      </c>
      <c r="K46" s="49">
        <v>24235</v>
      </c>
      <c r="L46" s="150" t="s">
        <v>53</v>
      </c>
      <c r="M46" s="153">
        <f t="shared" si="0"/>
        <v>-52.8</v>
      </c>
      <c r="N46" s="92" t="str">
        <f>VLOOKUP(C46,'Trips&amp;Operators'!$C$1:$E$99999,3,FALSE)</f>
        <v>SMITH</v>
      </c>
      <c r="O46" s="174" t="s">
        <v>86</v>
      </c>
      <c r="P46" s="10"/>
      <c r="Q46" s="33"/>
      <c r="R46" s="108" t="str">
        <f>VLOOKUP(C46,'Train Runs'!$A$13:$AE$10013,31,0)</f>
        <v>aws s3 cp s3://rtdc.mdm.uploadarchive/RTDC4005/2016-09-24/ "%USERPROFILE%\AppData\Local\Temp\OnboardLogs"\RTDC4005\2016-09-24 --recursive &amp; "%USERPROFILE%\Documents\GitHub\mrs-test-scripts\Headless Mode &amp; Sideloading\WalkAndUnGZ.bat" "%USERPROFILE%\AppData\Local\Temp\OnboardLogs"\RTDC4005\2016-09-24 &amp; aws s3 cp s3://rtdc.mdm.uploadarchive/RTDC4005/2016-09-25/ "%USERPROFILE%\AppData\Local\Temp\OnboardLogs"\RTDC4005\2016-09-25 --recursive &amp; "%USERPROFILE%\Documents\GitHub\mrs-test-scripts\Headless Mode &amp; Sideloading\WalkAndUnGZ.bat" "%USERPROFILE%\AppData\Local\Temp\OnboardLogs"\RTDC4005\2016-09-25</v>
      </c>
      <c r="S46" s="111" t="str">
        <f>VLOOKUP(C46,'Train Runs'!$A$13:$AE$10013,22,0)</f>
        <v>https://search-rtdc-monitor-bjffxe2xuh6vdkpspy63sjmuny.us-east-1.es.amazonaws.com/_plugin/kibana/#/discover/Steve-Slow-Train-Analysis-(2080s-and-2083s)?_g=(refreshInterval:(display:Off,section:0,value:0),time:(from:'2016-09-24 17:21:39-0600',mode:absolute,to:'2016-09-24 19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6" s="113" t="str">
        <f t="shared" si="1"/>
        <v>"C:\Program Files (x86)\AstroGrep\AstroGrep.exe" /spath="%USERPROFILE%\AppData\Local\Temp\OnboardLogs" /stypes="*4005*201609250*" /stext=" 00:.+((SYSTEM_STATE.+slice.+state.+changed )|(ment ac)|(system.+state.+changed )|(\|lc)|(penalty)|(\[timeout)|(PRM\|1\|D)|(kpr)|(kdp))" /e /r /s</v>
      </c>
      <c r="U46" s="9" t="str">
        <f t="shared" si="2"/>
        <v>4005</v>
      </c>
      <c r="V46" s="38">
        <f t="shared" si="3"/>
        <v>42638.017708333333</v>
      </c>
      <c r="W46" s="52" t="str">
        <f t="shared" si="4"/>
        <v>Other</v>
      </c>
      <c r="X46" s="52" t="str">
        <f t="shared" si="5"/>
        <v>KEEP</v>
      </c>
      <c r="Y46" s="134" t="str">
        <f t="shared" si="6"/>
        <v>echo {"issue":{"subject":"","project_id":79,"tracker_id":40,"status_id":1,"priority_id":2,"assigned_to_id":23,"start_date":"2016-09-24","description":"","custom_fields":[{"id":1,"name":"Subdivision","value":"Other"},{"id":4,"name":"Milepost","value":"2.4235"},{"id":17,"name":"Train ID","value":"68-24"},{"id":16,"name":"Locomotive ID","value":"4005"},{"id":130,"name":"Impact","value":""},{"id":150,"name":"Time of Event (Mountain Time)","value":"18:25:30"},{"id":151,"name":"Denver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5" t="str">
        <f t="shared" si="7"/>
        <v>grep -hSE -A100 "Enforcement Action" "%USERPROFILE%\AppData\Local\Temp\OnboardLogs"\RTDC4005\*4005*201609250* | grep -SE "((Enforcement Ac)|(PRM))" -</v>
      </c>
    </row>
    <row r="47" spans="1:29" x14ac:dyDescent="0.25">
      <c r="A47" s="38">
        <v>42637.768043981479</v>
      </c>
      <c r="B47" s="33" t="s">
        <v>281</v>
      </c>
      <c r="C47" s="33" t="s">
        <v>457</v>
      </c>
      <c r="D47" s="33" t="s">
        <v>105</v>
      </c>
      <c r="E47" s="33" t="s">
        <v>54</v>
      </c>
      <c r="F47" s="49">
        <v>0</v>
      </c>
      <c r="G47" s="49">
        <v>6</v>
      </c>
      <c r="H47" s="49">
        <v>24121</v>
      </c>
      <c r="I47" s="49">
        <v>24102</v>
      </c>
      <c r="J47" s="33" t="s">
        <v>55</v>
      </c>
      <c r="K47" s="49">
        <v>24235</v>
      </c>
      <c r="L47" s="150" t="s">
        <v>53</v>
      </c>
      <c r="M47" s="153">
        <f t="shared" si="0"/>
        <v>-70.224000000000004</v>
      </c>
      <c r="N47" s="92" t="str">
        <f>VLOOKUP(C47,'Trips&amp;Operators'!$C$1:$E$99999,3,FALSE)</f>
        <v>SMITH</v>
      </c>
      <c r="O47" s="174" t="s">
        <v>86</v>
      </c>
      <c r="P47" s="10"/>
      <c r="Q47" s="33"/>
      <c r="R47" s="108" t="str">
        <f>VLOOKUP(C47,'Train Runs'!$A$13:$AE$10013,31,0)</f>
        <v>aws s3 cp s3://rtdc.mdm.uploadarchive/RTDC4005/2016-09-24/ "%USERPROFILE%\AppData\Local\Temp\OnboardLogs"\RTDC4005\2016-09-24 --recursive &amp; "%USERPROFILE%\Documents\GitHub\mrs-test-scripts\Headless Mode &amp; Sideloading\WalkAndUnGZ.bat" "%USERPROFILE%\AppData\Local\Temp\OnboardLogs"\RTDC4005\2016-09-24 &amp; aws s3 cp s3://rtdc.mdm.uploadarchive/RTDC4005/2016-09-25/ "%USERPROFILE%\AppData\Local\Temp\OnboardLogs"\RTDC4005\2016-09-25 --recursive &amp; "%USERPROFILE%\Documents\GitHub\mrs-test-scripts\Headless Mode &amp; Sideloading\WalkAndUnGZ.bat" "%USERPROFILE%\AppData\Local\Temp\OnboardLogs"\RTDC4005\2016-09-25</v>
      </c>
      <c r="S47" s="111" t="str">
        <f>VLOOKUP(C47,'Train Runs'!$A$13:$AE$10013,22,0)</f>
        <v>https://search-rtdc-monitor-bjffxe2xuh6vdkpspy63sjmuny.us-east-1.es.amazonaws.com/_plugin/kibana/#/discover/Steve-Slow-Train-Analysis-(2080s-and-2083s)?_g=(refreshInterval:(display:Off,section:0,value:0),time:(from:'2016-09-24 17:21:39-0600',mode:absolute,to:'2016-09-24 19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7" s="113" t="str">
        <f t="shared" si="1"/>
        <v>"C:\Program Files (x86)\AstroGrep\AstroGrep.exe" /spath="%USERPROFILE%\AppData\Local\Temp\OnboardLogs" /stypes="*4005*201609250*" /stext=" 00:.+((SYSTEM_STATE.+slice.+state.+changed )|(ment ac)|(system.+state.+changed )|(\|lc)|(penalty)|(\[timeout)|(PRM\|1\|D)|(kpr)|(kdp))" /e /r /s</v>
      </c>
      <c r="U47" s="9" t="str">
        <f t="shared" si="2"/>
        <v>4005</v>
      </c>
      <c r="V47" s="38">
        <f t="shared" si="3"/>
        <v>42638.018043981479</v>
      </c>
      <c r="W47" s="52" t="str">
        <f t="shared" si="4"/>
        <v>Other</v>
      </c>
      <c r="X47" s="52" t="str">
        <f t="shared" si="5"/>
        <v>KEEP</v>
      </c>
      <c r="Y47" s="134" t="str">
        <f t="shared" si="6"/>
        <v>echo {"issue":{"subject":"","project_id":79,"tracker_id":40,"status_id":1,"priority_id":2,"assigned_to_id":23,"start_date":"2016-09-24","description":"","custom_fields":[{"id":1,"name":"Subdivision","value":"Other"},{"id":4,"name":"Milepost","value":"2.4235"},{"id":17,"name":"Train ID","value":"68-24"},{"id":16,"name":"Locomotive ID","value":"4005"},{"id":130,"name":"Impact","value":""},{"id":150,"name":"Time of Event (Mountain Time)","value":"18:25:59"},{"id":151,"name":"Denver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 t="shared" si="7"/>
        <v>grep -hSE -A100 "Enforcement Action" "%USERPROFILE%\AppData\Local\Temp\OnboardLogs"\RTDC4005\*4005*201609250* | grep -SE "((Enforcement Ac)|(PRM))" -</v>
      </c>
    </row>
    <row r="48" spans="1:29" x14ac:dyDescent="0.25">
      <c r="A48" s="38">
        <v>42637.787268518521</v>
      </c>
      <c r="B48" s="33" t="s">
        <v>312</v>
      </c>
      <c r="C48" s="33" t="s">
        <v>458</v>
      </c>
      <c r="D48" s="33" t="s">
        <v>105</v>
      </c>
      <c r="E48" s="33" t="s">
        <v>50</v>
      </c>
      <c r="F48" s="49">
        <v>0</v>
      </c>
      <c r="G48" s="49">
        <v>7</v>
      </c>
      <c r="H48" s="49">
        <v>839</v>
      </c>
      <c r="I48" s="49">
        <v>0</v>
      </c>
      <c r="J48" s="33" t="s">
        <v>51</v>
      </c>
      <c r="K48" s="49">
        <v>839</v>
      </c>
      <c r="L48" s="150" t="s">
        <v>53</v>
      </c>
      <c r="M48" s="153">
        <f t="shared" si="0"/>
        <v>-442.99200000000002</v>
      </c>
      <c r="N48" s="92" t="str">
        <f>VLOOKUP(C48,'Trips&amp;Operators'!$C$1:$E$99999,3,FALSE)</f>
        <v>ARVIDSON</v>
      </c>
      <c r="O48" s="174" t="s">
        <v>86</v>
      </c>
      <c r="P48" s="10"/>
      <c r="Q48" s="33"/>
      <c r="R48" s="108" t="str">
        <f>VLOOKUP(C48,'Train Runs'!$A$13:$AE$10013,31,0)</f>
        <v>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 &amp; aws s3 cp s3://rtdc.mdm.uploadarchive/RTDC4030/2016-09-25/ "%USERPROFILE%\AppData\Local\Temp\OnboardLogs"\RTDC4030\2016-09-25 --recursive &amp; "%USERPROFILE%\Documents\GitHub\mrs-test-scripts\Headless Mode &amp; Sideloading\WalkAndUnGZ.bat" "%USERPROFILE%\AppData\Local\Temp\OnboardLogs"\RTDC4030\2016-09-25</v>
      </c>
      <c r="S48" s="111" t="str">
        <f>VLOOKUP(C48,'Train Runs'!$A$13:$AE$10013,22,0)</f>
        <v>https://search-rtdc-monitor-bjffxe2xuh6vdkpspy63sjmuny.us-east-1.es.amazonaws.com/_plugin/kibana/#/discover/Steve-Slow-Train-Analysis-(2080s-and-2083s)?_g=(refreshInterval:(display:Off,section:0,value:0),time:(from:'2016-09-24 17:35:43-0600',mode:absolute,to:'2016-09-24 19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8" s="113" t="str">
        <f t="shared" si="1"/>
        <v>"C:\Program Files (x86)\AstroGrep\AstroGrep.exe" /spath="%USERPROFILE%\AppData\Local\Temp\OnboardLogs" /stypes="*4030*201609250*" /stext=" 00:.+((SYSTEM_STATE.+slice.+state.+changed )|(ment ac)|(system.+state.+changed )|(\|lc)|(penalty)|(\[timeout)|(PRM\|1\|D)|(kpr)|(kdp))" /e /r /s</v>
      </c>
      <c r="U48" s="9" t="str">
        <f t="shared" si="2"/>
        <v>4030</v>
      </c>
      <c r="V48" s="38">
        <f t="shared" si="3"/>
        <v>42638.037268518521</v>
      </c>
      <c r="W48" s="52" t="str">
        <f t="shared" si="4"/>
        <v>Other</v>
      </c>
      <c r="X48" s="52" t="str">
        <f t="shared" si="5"/>
        <v>OMIT</v>
      </c>
      <c r="Y48" s="134" t="str">
        <f t="shared" si="6"/>
        <v>echo {"issue":{"subject":"","project_id":79,"tracker_id":40,"status_id":1,"priority_id":2,"assigned_to_id":23,"start_date":"2016-09-24","description":"","custom_fields":[{"id":1,"name":"Subdivision","value":"Other"},{"id":4,"name":"Milepost","value":"0.0839"},{"id":17,"name":"Train ID","value":"52-24"},{"id":16,"name":"Locomotive ID","value":"4030"},{"id":130,"name":"Impact","value":""},{"id":150,"name":"Time of Event (Mountain Time)","value":"18:53:40"},{"id":151,"name":"Denver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 t="shared" si="7"/>
        <v>grep -hSE -A100 "Enforcement Action" "%USERPROFILE%\AppData\Local\Temp\OnboardLogs"\RTDC4030\*4030*201609250* | grep -SE "((Enforcement Ac)|(PRM))" -</v>
      </c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5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2016-09-24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-24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-24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-24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-24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-24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-24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-24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-24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-24</v>
      </c>
      <c r="C11" s="119"/>
      <c r="D11" s="11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-24</v>
      </c>
      <c r="C12" s="119"/>
      <c r="D12" s="11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-24</v>
      </c>
      <c r="C13" s="119"/>
      <c r="D13" s="119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-24</v>
      </c>
      <c r="C14" s="119"/>
      <c r="D14" s="119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18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291</v>
      </c>
      <c r="B1" s="23" t="s">
        <v>292</v>
      </c>
      <c r="C1" s="23" t="s">
        <v>0</v>
      </c>
      <c r="D1" s="23" t="s">
        <v>293</v>
      </c>
      <c r="E1" s="23" t="s">
        <v>294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42637.038356481484</v>
      </c>
      <c r="B2" s="23" t="s">
        <v>340</v>
      </c>
      <c r="C2" s="23" t="s">
        <v>392</v>
      </c>
      <c r="D2" s="23">
        <v>1800000</v>
      </c>
      <c r="E2" s="23" t="s">
        <v>248</v>
      </c>
      <c r="F2" s="23" t="str">
        <f t="shared" ref="F2:F65" si="0">B2</f>
        <v>rtdc.l.rtdc.4039:itc</v>
      </c>
      <c r="G2" s="8">
        <f t="shared" ref="G2:G65" si="1">A2</f>
        <v>42637.038356481484</v>
      </c>
    </row>
    <row r="3" spans="1:7" x14ac:dyDescent="0.25">
      <c r="A3" s="8">
        <v>42637.040567129632</v>
      </c>
      <c r="B3" s="23" t="s">
        <v>251</v>
      </c>
      <c r="C3" s="23" t="s">
        <v>393</v>
      </c>
      <c r="D3" s="23">
        <v>2260000</v>
      </c>
      <c r="E3" s="23" t="s">
        <v>130</v>
      </c>
      <c r="F3" s="23" t="str">
        <f t="shared" si="0"/>
        <v>rtdc.l.rtdc.4011:itc</v>
      </c>
      <c r="G3" s="8">
        <f t="shared" si="1"/>
        <v>42637.040567129632</v>
      </c>
    </row>
    <row r="4" spans="1:7" x14ac:dyDescent="0.25">
      <c r="A4" s="8">
        <v>42637.048101851855</v>
      </c>
      <c r="B4" s="23" t="s">
        <v>297</v>
      </c>
      <c r="C4" s="23" t="s">
        <v>394</v>
      </c>
      <c r="D4" s="23">
        <v>1230000</v>
      </c>
      <c r="E4" s="23" t="s">
        <v>247</v>
      </c>
      <c r="F4" s="23" t="str">
        <f t="shared" si="0"/>
        <v>rtdc.l.rtdc.4027:itc</v>
      </c>
      <c r="G4" s="8">
        <f t="shared" si="1"/>
        <v>42637.048101851855</v>
      </c>
    </row>
    <row r="5" spans="1:7" x14ac:dyDescent="0.25">
      <c r="A5" s="8">
        <v>42637.051157407404</v>
      </c>
      <c r="B5" s="23" t="s">
        <v>338</v>
      </c>
      <c r="C5" s="23" t="s">
        <v>395</v>
      </c>
      <c r="D5" s="23">
        <v>1480000</v>
      </c>
      <c r="E5" s="23" t="s">
        <v>240</v>
      </c>
      <c r="F5" s="23" t="str">
        <f t="shared" si="0"/>
        <v>rtdc.l.rtdc.4015:itc</v>
      </c>
      <c r="G5" s="8">
        <f t="shared" si="1"/>
        <v>42637.051157407404</v>
      </c>
    </row>
    <row r="6" spans="1:7" x14ac:dyDescent="0.25">
      <c r="A6" s="8">
        <v>42637.072418981479</v>
      </c>
      <c r="B6" s="23" t="s">
        <v>336</v>
      </c>
      <c r="C6" s="23" t="s">
        <v>396</v>
      </c>
      <c r="D6" s="23">
        <v>1800000</v>
      </c>
      <c r="E6" s="23" t="s">
        <v>248</v>
      </c>
      <c r="F6" s="23" t="str">
        <f t="shared" si="0"/>
        <v>rtdc.l.rtdc.4040:itc</v>
      </c>
      <c r="G6" s="8">
        <f t="shared" si="1"/>
        <v>42637.072418981479</v>
      </c>
    </row>
    <row r="7" spans="1:7" x14ac:dyDescent="0.25">
      <c r="A7" s="8">
        <v>42637.077384259261</v>
      </c>
      <c r="B7" s="23" t="s">
        <v>252</v>
      </c>
      <c r="C7" s="23" t="s">
        <v>397</v>
      </c>
      <c r="D7" s="23">
        <v>2260000</v>
      </c>
      <c r="E7" s="23" t="s">
        <v>130</v>
      </c>
      <c r="F7" s="23" t="str">
        <f t="shared" si="0"/>
        <v>rtdc.l.rtdc.4012:itc</v>
      </c>
      <c r="G7" s="8">
        <f t="shared" si="1"/>
        <v>42637.077384259261</v>
      </c>
    </row>
    <row r="8" spans="1:7" x14ac:dyDescent="0.25">
      <c r="A8" s="8">
        <v>42637.09238425926</v>
      </c>
      <c r="B8" s="23" t="s">
        <v>296</v>
      </c>
      <c r="C8" s="23" t="s">
        <v>398</v>
      </c>
      <c r="D8" s="23">
        <v>1480000</v>
      </c>
      <c r="E8" s="23" t="s">
        <v>240</v>
      </c>
      <c r="F8" s="23" t="str">
        <f t="shared" si="0"/>
        <v>rtdc.l.rtdc.4016:itc</v>
      </c>
      <c r="G8" s="8">
        <f t="shared" si="1"/>
        <v>42637.09238425926</v>
      </c>
    </row>
    <row r="9" spans="1:7" ht="15.75" thickBot="1" x14ac:dyDescent="0.3">
      <c r="A9" s="27">
        <v>42637.111817129633</v>
      </c>
      <c r="B9" s="23" t="s">
        <v>251</v>
      </c>
      <c r="C9" s="23" t="s">
        <v>399</v>
      </c>
      <c r="D9" s="23">
        <v>2260000</v>
      </c>
      <c r="E9" s="23" t="s">
        <v>130</v>
      </c>
      <c r="F9" s="23" t="str">
        <f t="shared" si="0"/>
        <v>rtdc.l.rtdc.4011:itc</v>
      </c>
      <c r="G9" s="8">
        <f t="shared" si="1"/>
        <v>42637.111817129633</v>
      </c>
    </row>
    <row r="10" spans="1:7" x14ac:dyDescent="0.25">
      <c r="A10" s="8">
        <v>42637.132662037038</v>
      </c>
      <c r="B10" s="23" t="s">
        <v>339</v>
      </c>
      <c r="C10" s="23" t="s">
        <v>462</v>
      </c>
      <c r="D10" s="23">
        <v>2010000</v>
      </c>
      <c r="E10" s="23" t="s">
        <v>295</v>
      </c>
      <c r="F10" s="23" t="str">
        <f t="shared" si="0"/>
        <v>rtdc.l.rtdc.4018:itc</v>
      </c>
      <c r="G10" s="8">
        <f t="shared" si="1"/>
        <v>42637.132662037038</v>
      </c>
    </row>
    <row r="11" spans="1:7" x14ac:dyDescent="0.25">
      <c r="A11" s="8">
        <v>42637.156435185185</v>
      </c>
      <c r="B11" s="23" t="s">
        <v>275</v>
      </c>
      <c r="C11" s="23" t="s">
        <v>429</v>
      </c>
      <c r="D11" s="23">
        <v>1310000</v>
      </c>
      <c r="E11" s="23" t="s">
        <v>310</v>
      </c>
      <c r="F11" s="23" t="str">
        <f t="shared" si="0"/>
        <v>rtdc.l.rtdc.4014:itc</v>
      </c>
      <c r="G11" s="8">
        <f t="shared" si="1"/>
        <v>42637.156435185185</v>
      </c>
    </row>
    <row r="12" spans="1:7" x14ac:dyDescent="0.25">
      <c r="A12" s="8">
        <v>42637.172337962962</v>
      </c>
      <c r="B12" s="23" t="s">
        <v>177</v>
      </c>
      <c r="C12" s="23" t="s">
        <v>463</v>
      </c>
      <c r="D12" s="23">
        <v>2010000</v>
      </c>
      <c r="E12" s="23" t="s">
        <v>295</v>
      </c>
      <c r="F12" s="23" t="str">
        <f t="shared" si="0"/>
        <v>rtdc.l.rtdc.4010:itc</v>
      </c>
      <c r="G12" s="8">
        <f t="shared" si="1"/>
        <v>42637.172337962962</v>
      </c>
    </row>
    <row r="13" spans="1:7" x14ac:dyDescent="0.25">
      <c r="A13" s="8">
        <v>42637.174004629633</v>
      </c>
      <c r="B13" s="23" t="s">
        <v>430</v>
      </c>
      <c r="C13" s="23" t="s">
        <v>431</v>
      </c>
      <c r="D13" s="23">
        <v>1260000</v>
      </c>
      <c r="E13" s="23" t="s">
        <v>464</v>
      </c>
      <c r="F13" s="23" t="str">
        <f t="shared" si="0"/>
        <v>rtdc.l.rtdc.4053:itc</v>
      </c>
      <c r="G13" s="8">
        <f t="shared" si="1"/>
        <v>42637.174004629633</v>
      </c>
    </row>
    <row r="14" spans="1:7" x14ac:dyDescent="0.25">
      <c r="A14" s="8">
        <v>42637.182604166665</v>
      </c>
      <c r="B14" s="23" t="s">
        <v>433</v>
      </c>
      <c r="C14" s="23" t="s">
        <v>434</v>
      </c>
      <c r="D14" s="23">
        <v>1990000</v>
      </c>
      <c r="E14" s="23" t="s">
        <v>335</v>
      </c>
      <c r="F14" s="23" t="str">
        <f t="shared" si="0"/>
        <v>rtdc.l.rtdc.4007:itc</v>
      </c>
      <c r="G14" s="8">
        <f t="shared" si="1"/>
        <v>42637.182604166665</v>
      </c>
    </row>
    <row r="15" spans="1:7" x14ac:dyDescent="0.25">
      <c r="A15" s="8">
        <v>42637.191516203704</v>
      </c>
      <c r="B15" s="23" t="s">
        <v>246</v>
      </c>
      <c r="C15" s="23" t="s">
        <v>432</v>
      </c>
      <c r="D15" s="23">
        <v>1310000</v>
      </c>
      <c r="E15" s="23" t="s">
        <v>310</v>
      </c>
      <c r="F15" s="23" t="str">
        <f t="shared" si="0"/>
        <v>rtdc.l.rtdc.4004:itc</v>
      </c>
      <c r="G15" s="8">
        <f t="shared" si="1"/>
        <v>42637.191516203704</v>
      </c>
    </row>
    <row r="16" spans="1:7" x14ac:dyDescent="0.25">
      <c r="A16" s="8">
        <v>42637.193136574075</v>
      </c>
      <c r="B16" s="23" t="s">
        <v>178</v>
      </c>
      <c r="C16" s="23" t="s">
        <v>465</v>
      </c>
      <c r="D16" s="23">
        <v>1780000</v>
      </c>
      <c r="E16" s="23" t="s">
        <v>466</v>
      </c>
      <c r="F16" s="23" t="str">
        <f t="shared" si="0"/>
        <v>rtdc.l.rtdc.4042:itc</v>
      </c>
      <c r="G16" s="8">
        <f t="shared" si="1"/>
        <v>42637.193136574075</v>
      </c>
    </row>
    <row r="17" spans="1:7" x14ac:dyDescent="0.25">
      <c r="A17" s="8">
        <v>42637.205069444448</v>
      </c>
      <c r="B17" s="23" t="s">
        <v>339</v>
      </c>
      <c r="C17" s="23" t="s">
        <v>467</v>
      </c>
      <c r="D17" s="23">
        <v>1100000</v>
      </c>
      <c r="E17" s="23" t="s">
        <v>276</v>
      </c>
      <c r="F17" s="23" t="str">
        <f t="shared" si="0"/>
        <v>rtdc.l.rtdc.4018:itc</v>
      </c>
      <c r="G17" s="8">
        <f t="shared" si="1"/>
        <v>42637.205069444448</v>
      </c>
    </row>
    <row r="18" spans="1:7" x14ac:dyDescent="0.25">
      <c r="A18" s="8">
        <v>42637.209421296298</v>
      </c>
      <c r="B18" s="23" t="s">
        <v>435</v>
      </c>
      <c r="C18" s="23" t="s">
        <v>436</v>
      </c>
      <c r="D18" s="23">
        <v>1260000</v>
      </c>
      <c r="E18" s="23" t="s">
        <v>464</v>
      </c>
      <c r="F18" s="23" t="str">
        <f t="shared" si="0"/>
        <v>rtdc.l.rtdc.4045:itc</v>
      </c>
      <c r="G18" s="8">
        <f t="shared" si="1"/>
        <v>42637.209421296298</v>
      </c>
    </row>
    <row r="19" spans="1:7" x14ac:dyDescent="0.25">
      <c r="A19" s="8">
        <v>42637.215254629627</v>
      </c>
      <c r="B19" s="23" t="s">
        <v>128</v>
      </c>
      <c r="C19" s="23" t="s">
        <v>468</v>
      </c>
      <c r="D19" s="23">
        <v>2010000</v>
      </c>
      <c r="E19" s="23" t="s">
        <v>295</v>
      </c>
      <c r="F19" s="23" t="str">
        <f t="shared" si="0"/>
        <v>rtdc.l.rtdc.4009:itc</v>
      </c>
      <c r="G19" s="8">
        <f t="shared" si="1"/>
        <v>42637.215254629627</v>
      </c>
    </row>
    <row r="20" spans="1:7" x14ac:dyDescent="0.25">
      <c r="A20" s="8">
        <v>42637.219270833331</v>
      </c>
      <c r="B20" s="23" t="s">
        <v>260</v>
      </c>
      <c r="C20" s="23" t="s">
        <v>469</v>
      </c>
      <c r="D20" s="23">
        <v>1990000</v>
      </c>
      <c r="E20" s="23" t="s">
        <v>335</v>
      </c>
      <c r="F20" s="23" t="str">
        <f t="shared" si="0"/>
        <v>rtdc.l.rtdc.4008:itc</v>
      </c>
      <c r="G20" s="8">
        <f t="shared" si="1"/>
        <v>42637.219270833331</v>
      </c>
    </row>
    <row r="21" spans="1:7" x14ac:dyDescent="0.25">
      <c r="A21" s="8">
        <v>42637.229328703703</v>
      </c>
      <c r="B21" s="23" t="s">
        <v>176</v>
      </c>
      <c r="C21" s="23" t="s">
        <v>470</v>
      </c>
      <c r="D21" s="23">
        <v>1780000</v>
      </c>
      <c r="E21" s="23" t="s">
        <v>466</v>
      </c>
      <c r="F21" s="23" t="str">
        <f t="shared" si="0"/>
        <v>rtdc.l.rtdc.4041:itc</v>
      </c>
      <c r="G21" s="8">
        <f t="shared" si="1"/>
        <v>42637.229328703703</v>
      </c>
    </row>
    <row r="22" spans="1:7" x14ac:dyDescent="0.25">
      <c r="A22" s="29">
        <v>42637.233391203707</v>
      </c>
      <c r="B22" s="23" t="s">
        <v>275</v>
      </c>
      <c r="C22" s="23" t="s">
        <v>471</v>
      </c>
      <c r="D22" s="23">
        <v>1760000</v>
      </c>
      <c r="E22" s="23" t="s">
        <v>298</v>
      </c>
      <c r="F22" s="23" t="str">
        <f t="shared" si="0"/>
        <v>rtdc.l.rtdc.4014:itc</v>
      </c>
      <c r="G22" s="8">
        <f t="shared" si="1"/>
        <v>42637.233391203707</v>
      </c>
    </row>
    <row r="23" spans="1:7" x14ac:dyDescent="0.25">
      <c r="A23" s="8">
        <v>42637.238298611112</v>
      </c>
      <c r="B23" s="23" t="s">
        <v>245</v>
      </c>
      <c r="C23" s="23" t="s">
        <v>472</v>
      </c>
      <c r="D23" s="23">
        <v>1310000</v>
      </c>
      <c r="E23" s="23" t="s">
        <v>310</v>
      </c>
      <c r="F23" s="23" t="str">
        <f t="shared" si="0"/>
        <v>rtdc.l.rtdc.4003:itc</v>
      </c>
      <c r="G23" s="8">
        <f t="shared" si="1"/>
        <v>42637.238298611112</v>
      </c>
    </row>
    <row r="24" spans="1:7" x14ac:dyDescent="0.25">
      <c r="A24" s="8">
        <v>42637.242812500001</v>
      </c>
      <c r="B24" s="23" t="s">
        <v>337</v>
      </c>
      <c r="C24" s="23" t="s">
        <v>473</v>
      </c>
      <c r="D24" s="23">
        <v>1100000</v>
      </c>
      <c r="E24" s="23" t="s">
        <v>276</v>
      </c>
      <c r="F24" s="23" t="str">
        <f t="shared" si="0"/>
        <v>rtdc.l.rtdc.4017:itc</v>
      </c>
      <c r="G24" s="8">
        <f t="shared" si="1"/>
        <v>42637.242812500001</v>
      </c>
    </row>
    <row r="25" spans="1:7" x14ac:dyDescent="0.25">
      <c r="A25" s="8">
        <v>42637.250127314815</v>
      </c>
      <c r="B25" s="23" t="s">
        <v>430</v>
      </c>
      <c r="C25" s="23" t="s">
        <v>474</v>
      </c>
      <c r="D25" s="23">
        <v>1260000</v>
      </c>
      <c r="E25" s="23" t="s">
        <v>464</v>
      </c>
      <c r="F25" s="23" t="str">
        <f t="shared" si="0"/>
        <v>rtdc.l.rtdc.4053:itc</v>
      </c>
      <c r="G25" s="8">
        <f t="shared" si="1"/>
        <v>42637.250127314815</v>
      </c>
    </row>
    <row r="26" spans="1:7" x14ac:dyDescent="0.25">
      <c r="A26" s="8">
        <v>42637.250937500001</v>
      </c>
      <c r="B26" s="23" t="s">
        <v>430</v>
      </c>
      <c r="C26" s="23" t="s">
        <v>474</v>
      </c>
      <c r="D26" s="23">
        <v>1260000</v>
      </c>
      <c r="E26" s="23" t="s">
        <v>464</v>
      </c>
      <c r="F26" s="23" t="str">
        <f t="shared" si="0"/>
        <v>rtdc.l.rtdc.4053:itc</v>
      </c>
      <c r="G26" s="8">
        <f t="shared" si="1"/>
        <v>42637.250937500001</v>
      </c>
    </row>
    <row r="27" spans="1:7" x14ac:dyDescent="0.25">
      <c r="A27" s="8">
        <v>42637.252175925925</v>
      </c>
      <c r="B27" s="23" t="s">
        <v>430</v>
      </c>
      <c r="C27" s="23" t="s">
        <v>474</v>
      </c>
      <c r="D27" s="23">
        <v>1260000</v>
      </c>
      <c r="E27" s="23" t="s">
        <v>464</v>
      </c>
      <c r="F27" s="23" t="str">
        <f t="shared" si="0"/>
        <v>rtdc.l.rtdc.4053:itc</v>
      </c>
      <c r="G27" s="8">
        <f t="shared" si="1"/>
        <v>42637.252175925925</v>
      </c>
    </row>
    <row r="28" spans="1:7" x14ac:dyDescent="0.25">
      <c r="A28" s="8">
        <v>42637.255925925929</v>
      </c>
      <c r="B28" s="23" t="s">
        <v>177</v>
      </c>
      <c r="C28" s="23" t="s">
        <v>437</v>
      </c>
      <c r="D28" s="23">
        <v>2010000</v>
      </c>
      <c r="E28" s="23" t="s">
        <v>295</v>
      </c>
      <c r="F28" s="23" t="str">
        <f t="shared" si="0"/>
        <v>rtdc.l.rtdc.4010:itc</v>
      </c>
      <c r="G28" s="8">
        <f t="shared" si="1"/>
        <v>42637.255925925929</v>
      </c>
    </row>
    <row r="29" spans="1:7" x14ac:dyDescent="0.25">
      <c r="A29" s="8">
        <v>42637.259120370371</v>
      </c>
      <c r="B29" s="23" t="s">
        <v>433</v>
      </c>
      <c r="C29" s="23" t="s">
        <v>475</v>
      </c>
      <c r="D29" s="23">
        <v>1990000</v>
      </c>
      <c r="E29" s="23" t="s">
        <v>335</v>
      </c>
      <c r="F29" s="23" t="str">
        <f t="shared" si="0"/>
        <v>rtdc.l.rtdc.4007:itc</v>
      </c>
      <c r="G29" s="8">
        <f t="shared" si="1"/>
        <v>42637.259120370371</v>
      </c>
    </row>
    <row r="30" spans="1:7" x14ac:dyDescent="0.25">
      <c r="A30" s="8">
        <v>42637.267083333332</v>
      </c>
      <c r="B30" s="23" t="s">
        <v>277</v>
      </c>
      <c r="C30" s="23" t="s">
        <v>438</v>
      </c>
      <c r="D30" s="23">
        <v>1760000</v>
      </c>
      <c r="E30" s="23" t="s">
        <v>298</v>
      </c>
      <c r="F30" s="23" t="str">
        <f t="shared" si="0"/>
        <v>rtdc.l.rtdc.4013:itc</v>
      </c>
      <c r="G30" s="8">
        <f t="shared" si="1"/>
        <v>42637.267083333332</v>
      </c>
    </row>
    <row r="31" spans="1:7" x14ac:dyDescent="0.25">
      <c r="A31" s="8">
        <v>42637.267476851855</v>
      </c>
      <c r="B31" s="23" t="s">
        <v>178</v>
      </c>
      <c r="C31" s="23" t="s">
        <v>476</v>
      </c>
      <c r="D31" s="23">
        <v>1780000</v>
      </c>
      <c r="E31" s="23" t="s">
        <v>466</v>
      </c>
      <c r="F31" s="23" t="str">
        <f t="shared" si="0"/>
        <v>rtdc.l.rtdc.4042:itc</v>
      </c>
      <c r="G31" s="8">
        <f t="shared" si="1"/>
        <v>42637.267476851855</v>
      </c>
    </row>
    <row r="32" spans="1:7" x14ac:dyDescent="0.25">
      <c r="A32" s="8">
        <v>42637.271562499998</v>
      </c>
      <c r="B32" s="23" t="s">
        <v>246</v>
      </c>
      <c r="C32" s="23" t="s">
        <v>439</v>
      </c>
      <c r="D32" s="23">
        <v>1310000</v>
      </c>
      <c r="E32" s="23" t="s">
        <v>310</v>
      </c>
      <c r="F32" s="23" t="str">
        <f t="shared" si="0"/>
        <v>rtdc.l.rtdc.4004:itc</v>
      </c>
      <c r="G32" s="8">
        <f t="shared" si="1"/>
        <v>42637.271562499998</v>
      </c>
    </row>
    <row r="33" spans="1:7" x14ac:dyDescent="0.25">
      <c r="A33" s="8">
        <v>42637.278564814813</v>
      </c>
      <c r="B33" s="23" t="s">
        <v>339</v>
      </c>
      <c r="C33" s="23" t="s">
        <v>477</v>
      </c>
      <c r="D33" s="23">
        <v>1100000</v>
      </c>
      <c r="E33" s="23" t="s">
        <v>276</v>
      </c>
      <c r="F33" s="23" t="str">
        <f t="shared" si="0"/>
        <v>rtdc.l.rtdc.4018:itc</v>
      </c>
      <c r="G33" s="8">
        <f t="shared" si="1"/>
        <v>42637.278564814813</v>
      </c>
    </row>
    <row r="34" spans="1:7" x14ac:dyDescent="0.25">
      <c r="A34" s="8">
        <v>42637.28701388889</v>
      </c>
      <c r="B34" s="23" t="s">
        <v>311</v>
      </c>
      <c r="C34" s="23" t="s">
        <v>478</v>
      </c>
      <c r="D34" s="23">
        <v>1260000</v>
      </c>
      <c r="E34" s="23" t="s">
        <v>464</v>
      </c>
      <c r="F34" s="23" t="str">
        <f t="shared" si="0"/>
        <v>rtdc.l.rtdc.4054:itc</v>
      </c>
      <c r="G34" s="8">
        <f t="shared" si="1"/>
        <v>42637.28701388889</v>
      </c>
    </row>
    <row r="35" spans="1:7" x14ac:dyDescent="0.25">
      <c r="A35" s="8">
        <v>42637.290358796294</v>
      </c>
      <c r="B35" s="23" t="s">
        <v>128</v>
      </c>
      <c r="C35" s="23" t="s">
        <v>479</v>
      </c>
      <c r="D35" s="23">
        <v>2010000</v>
      </c>
      <c r="E35" s="23" t="s">
        <v>295</v>
      </c>
      <c r="F35" s="23" t="str">
        <f t="shared" si="0"/>
        <v>rtdc.l.rtdc.4009:itc</v>
      </c>
      <c r="G35" s="8">
        <f t="shared" si="1"/>
        <v>42637.290358796294</v>
      </c>
    </row>
    <row r="36" spans="1:7" x14ac:dyDescent="0.25">
      <c r="A36" s="8">
        <v>42637.29314814815</v>
      </c>
      <c r="B36" s="23" t="s">
        <v>260</v>
      </c>
      <c r="C36" s="23" t="s">
        <v>480</v>
      </c>
      <c r="D36" s="23">
        <v>1990000</v>
      </c>
      <c r="E36" s="23" t="s">
        <v>335</v>
      </c>
      <c r="F36" s="23" t="str">
        <f t="shared" si="0"/>
        <v>rtdc.l.rtdc.4008:itc</v>
      </c>
      <c r="G36" s="8">
        <f t="shared" si="1"/>
        <v>42637.29314814815</v>
      </c>
    </row>
    <row r="37" spans="1:7" x14ac:dyDescent="0.25">
      <c r="A37" s="8">
        <v>42637.300092592595</v>
      </c>
      <c r="B37" s="23" t="s">
        <v>275</v>
      </c>
      <c r="C37" s="23" t="s">
        <v>440</v>
      </c>
      <c r="D37" s="23">
        <v>1760000</v>
      </c>
      <c r="E37" s="23" t="s">
        <v>298</v>
      </c>
      <c r="F37" s="23" t="str">
        <f t="shared" si="0"/>
        <v>rtdc.l.rtdc.4014:itc</v>
      </c>
      <c r="G37" s="8">
        <f t="shared" si="1"/>
        <v>42637.300092592595</v>
      </c>
    </row>
    <row r="38" spans="1:7" x14ac:dyDescent="0.25">
      <c r="A38" s="8">
        <v>42637.307974537034</v>
      </c>
      <c r="B38" s="23" t="s">
        <v>176</v>
      </c>
      <c r="C38" s="23" t="s">
        <v>481</v>
      </c>
      <c r="D38" s="23">
        <v>1780000</v>
      </c>
      <c r="E38" s="23" t="s">
        <v>466</v>
      </c>
      <c r="F38" s="23" t="str">
        <f t="shared" si="0"/>
        <v>rtdc.l.rtdc.4041:itc</v>
      </c>
      <c r="G38" s="8">
        <f t="shared" si="1"/>
        <v>42637.307974537034</v>
      </c>
    </row>
    <row r="39" spans="1:7" x14ac:dyDescent="0.25">
      <c r="A39" s="8">
        <v>42637.311435185184</v>
      </c>
      <c r="B39" s="23" t="s">
        <v>245</v>
      </c>
      <c r="C39" s="23" t="s">
        <v>482</v>
      </c>
      <c r="D39" s="23">
        <v>1310000</v>
      </c>
      <c r="E39" s="23" t="s">
        <v>310</v>
      </c>
      <c r="F39" s="23" t="str">
        <f t="shared" si="0"/>
        <v>rtdc.l.rtdc.4003:itc</v>
      </c>
      <c r="G39" s="8">
        <f t="shared" si="1"/>
        <v>42637.311435185184</v>
      </c>
    </row>
    <row r="40" spans="1:7" x14ac:dyDescent="0.25">
      <c r="A40" s="8">
        <v>42637.317731481482</v>
      </c>
      <c r="B40" s="28" t="s">
        <v>337</v>
      </c>
      <c r="C40" s="23" t="s">
        <v>483</v>
      </c>
      <c r="D40" s="23">
        <v>1100000</v>
      </c>
      <c r="E40" s="23" t="s">
        <v>276</v>
      </c>
      <c r="F40" s="23" t="str">
        <f t="shared" si="0"/>
        <v>rtdc.l.rtdc.4017:itc</v>
      </c>
      <c r="G40" s="8">
        <f t="shared" si="1"/>
        <v>42637.317731481482</v>
      </c>
    </row>
    <row r="41" spans="1:7" x14ac:dyDescent="0.25">
      <c r="A41" s="8">
        <v>42637.319305555553</v>
      </c>
      <c r="B41" s="23" t="s">
        <v>430</v>
      </c>
      <c r="C41" s="23" t="s">
        <v>484</v>
      </c>
      <c r="D41" s="23">
        <v>1260000</v>
      </c>
      <c r="E41" s="23" t="s">
        <v>464</v>
      </c>
      <c r="F41" s="23" t="str">
        <f t="shared" si="0"/>
        <v>rtdc.l.rtdc.4053:itc</v>
      </c>
      <c r="G41" s="8">
        <f t="shared" si="1"/>
        <v>42637.319305555553</v>
      </c>
    </row>
    <row r="42" spans="1:7" x14ac:dyDescent="0.25">
      <c r="A42" s="8">
        <v>42637.327407407407</v>
      </c>
      <c r="B42" s="23" t="s">
        <v>177</v>
      </c>
      <c r="C42" s="23" t="s">
        <v>485</v>
      </c>
      <c r="D42" s="23">
        <v>2010000</v>
      </c>
      <c r="E42" s="23" t="s">
        <v>295</v>
      </c>
      <c r="F42" s="23" t="str">
        <f t="shared" si="0"/>
        <v>rtdc.l.rtdc.4010:itc</v>
      </c>
      <c r="G42" s="8">
        <f t="shared" si="1"/>
        <v>42637.327407407407</v>
      </c>
    </row>
    <row r="43" spans="1:7" x14ac:dyDescent="0.25">
      <c r="A43" s="8">
        <v>42637.329699074071</v>
      </c>
      <c r="B43" s="23" t="s">
        <v>433</v>
      </c>
      <c r="C43" s="23" t="s">
        <v>486</v>
      </c>
      <c r="D43" s="23">
        <v>1990000</v>
      </c>
      <c r="E43" s="23" t="s">
        <v>335</v>
      </c>
      <c r="F43" s="23" t="str">
        <f t="shared" si="0"/>
        <v>rtdc.l.rtdc.4007:itc</v>
      </c>
      <c r="G43" s="8">
        <f t="shared" si="1"/>
        <v>42637.329699074071</v>
      </c>
    </row>
    <row r="44" spans="1:7" x14ac:dyDescent="0.25">
      <c r="A44" s="8">
        <v>42637.34065972222</v>
      </c>
      <c r="B44" s="23" t="s">
        <v>277</v>
      </c>
      <c r="C44" s="23" t="s">
        <v>487</v>
      </c>
      <c r="D44" s="23">
        <v>1760000</v>
      </c>
      <c r="E44" s="23" t="s">
        <v>298</v>
      </c>
      <c r="F44" s="23" t="str">
        <f t="shared" si="0"/>
        <v>rtdc.l.rtdc.4013:itc</v>
      </c>
      <c r="G44" s="8">
        <f t="shared" si="1"/>
        <v>42637.34065972222</v>
      </c>
    </row>
    <row r="45" spans="1:7" x14ac:dyDescent="0.25">
      <c r="A45" s="8">
        <v>42637.341134259259</v>
      </c>
      <c r="B45" s="23" t="s">
        <v>178</v>
      </c>
      <c r="C45" s="23" t="s">
        <v>488</v>
      </c>
      <c r="D45" s="23">
        <v>1780000</v>
      </c>
      <c r="E45" s="23" t="s">
        <v>466</v>
      </c>
      <c r="F45" s="23" t="str">
        <f t="shared" si="0"/>
        <v>rtdc.l.rtdc.4042:itc</v>
      </c>
      <c r="G45" s="8">
        <f t="shared" si="1"/>
        <v>42637.341134259259</v>
      </c>
    </row>
    <row r="46" spans="1:7" x14ac:dyDescent="0.25">
      <c r="A46" s="8">
        <v>42637.350208333337</v>
      </c>
      <c r="B46" s="23" t="s">
        <v>246</v>
      </c>
      <c r="C46" s="23" t="s">
        <v>441</v>
      </c>
      <c r="D46" s="23">
        <v>1310000</v>
      </c>
      <c r="E46" s="23" t="s">
        <v>310</v>
      </c>
      <c r="F46" s="23" t="str">
        <f t="shared" si="0"/>
        <v>rtdc.l.rtdc.4004:itc</v>
      </c>
      <c r="G46" s="8">
        <f t="shared" si="1"/>
        <v>42637.350208333337</v>
      </c>
    </row>
    <row r="47" spans="1:7" x14ac:dyDescent="0.25">
      <c r="A47" s="8">
        <v>42637.351620370369</v>
      </c>
      <c r="B47" s="23" t="s">
        <v>339</v>
      </c>
      <c r="C47" s="23" t="s">
        <v>489</v>
      </c>
      <c r="D47" s="23">
        <v>1100000</v>
      </c>
      <c r="E47" s="23" t="s">
        <v>276</v>
      </c>
      <c r="F47" s="23" t="str">
        <f t="shared" si="0"/>
        <v>rtdc.l.rtdc.4018:itc</v>
      </c>
      <c r="G47" s="8">
        <f t="shared" si="1"/>
        <v>42637.351620370369</v>
      </c>
    </row>
    <row r="48" spans="1:7" x14ac:dyDescent="0.25">
      <c r="A48" s="8">
        <v>42637.357187499998</v>
      </c>
      <c r="B48" s="23" t="s">
        <v>311</v>
      </c>
      <c r="C48" s="23" t="s">
        <v>490</v>
      </c>
      <c r="D48" s="23">
        <v>1260000</v>
      </c>
      <c r="E48" s="23" t="s">
        <v>464</v>
      </c>
      <c r="F48" s="23" t="str">
        <f t="shared" si="0"/>
        <v>rtdc.l.rtdc.4054:itc</v>
      </c>
      <c r="G48" s="8">
        <f t="shared" si="1"/>
        <v>42637.357187499998</v>
      </c>
    </row>
    <row r="49" spans="1:7" x14ac:dyDescent="0.25">
      <c r="A49" s="8">
        <v>42637.362245370372</v>
      </c>
      <c r="B49" s="23" t="s">
        <v>128</v>
      </c>
      <c r="C49" s="23" t="s">
        <v>491</v>
      </c>
      <c r="D49" s="23">
        <v>2010000</v>
      </c>
      <c r="E49" s="23" t="s">
        <v>295</v>
      </c>
      <c r="F49" s="23" t="str">
        <f t="shared" si="0"/>
        <v>rtdc.l.rtdc.4009:itc</v>
      </c>
      <c r="G49" s="8">
        <f t="shared" si="1"/>
        <v>42637.362245370372</v>
      </c>
    </row>
    <row r="50" spans="1:7" x14ac:dyDescent="0.25">
      <c r="A50" s="8">
        <v>42637.36791666667</v>
      </c>
      <c r="B50" s="23" t="s">
        <v>260</v>
      </c>
      <c r="C50" s="23" t="s">
        <v>492</v>
      </c>
      <c r="D50" s="23">
        <v>1990000</v>
      </c>
      <c r="E50" s="23" t="s">
        <v>335</v>
      </c>
      <c r="F50" s="23" t="str">
        <f t="shared" si="0"/>
        <v>rtdc.l.rtdc.4008:itc</v>
      </c>
      <c r="G50" s="8">
        <f t="shared" si="1"/>
        <v>42637.36791666667</v>
      </c>
    </row>
    <row r="51" spans="1:7" x14ac:dyDescent="0.25">
      <c r="A51" s="8">
        <v>42637.375243055554</v>
      </c>
      <c r="B51" s="23" t="s">
        <v>275</v>
      </c>
      <c r="C51" s="23" t="s">
        <v>493</v>
      </c>
      <c r="D51" s="23">
        <v>1340000</v>
      </c>
      <c r="E51" s="23" t="s">
        <v>494</v>
      </c>
      <c r="F51" s="23" t="str">
        <f t="shared" si="0"/>
        <v>rtdc.l.rtdc.4014:itc</v>
      </c>
      <c r="G51" s="8">
        <f t="shared" si="1"/>
        <v>42637.375243055554</v>
      </c>
    </row>
    <row r="52" spans="1:7" x14ac:dyDescent="0.25">
      <c r="A52" s="8">
        <v>42637.376226851855</v>
      </c>
      <c r="B52" s="23" t="s">
        <v>176</v>
      </c>
      <c r="C52" s="23" t="s">
        <v>495</v>
      </c>
      <c r="D52" s="23">
        <v>1780000</v>
      </c>
      <c r="E52" s="23" t="s">
        <v>466</v>
      </c>
      <c r="F52" s="23" t="str">
        <f t="shared" si="0"/>
        <v>rtdc.l.rtdc.4041:itc</v>
      </c>
      <c r="G52" s="8">
        <f t="shared" si="1"/>
        <v>42637.376226851855</v>
      </c>
    </row>
    <row r="53" spans="1:7" x14ac:dyDescent="0.25">
      <c r="A53" s="8">
        <v>42637.38422453704</v>
      </c>
      <c r="B53" s="23" t="s">
        <v>245</v>
      </c>
      <c r="C53" s="23" t="s">
        <v>442</v>
      </c>
      <c r="D53" s="23">
        <v>1310000</v>
      </c>
      <c r="E53" s="23" t="s">
        <v>310</v>
      </c>
      <c r="F53" s="23" t="str">
        <f t="shared" si="0"/>
        <v>rtdc.l.rtdc.4003:itc</v>
      </c>
      <c r="G53" s="8">
        <f t="shared" si="1"/>
        <v>42637.38422453704</v>
      </c>
    </row>
    <row r="54" spans="1:7" x14ac:dyDescent="0.25">
      <c r="A54" s="8">
        <v>42637.391574074078</v>
      </c>
      <c r="B54" s="23" t="s">
        <v>337</v>
      </c>
      <c r="C54" s="23" t="s">
        <v>496</v>
      </c>
      <c r="D54" s="23">
        <v>1100000</v>
      </c>
      <c r="E54" s="23" t="s">
        <v>276</v>
      </c>
      <c r="F54" s="23" t="str">
        <f t="shared" si="0"/>
        <v>rtdc.l.rtdc.4017:itc</v>
      </c>
      <c r="G54" s="8">
        <f t="shared" si="1"/>
        <v>42637.391574074078</v>
      </c>
    </row>
    <row r="55" spans="1:7" x14ac:dyDescent="0.25">
      <c r="A55" s="8">
        <v>42637.392013888886</v>
      </c>
      <c r="B55" s="23" t="s">
        <v>430</v>
      </c>
      <c r="C55" s="23" t="s">
        <v>497</v>
      </c>
      <c r="D55" s="23">
        <v>1260000</v>
      </c>
      <c r="E55" s="23" t="s">
        <v>464</v>
      </c>
      <c r="F55" s="23" t="str">
        <f t="shared" si="0"/>
        <v>rtdc.l.rtdc.4053:itc</v>
      </c>
      <c r="G55" s="8">
        <f t="shared" si="1"/>
        <v>42637.392013888886</v>
      </c>
    </row>
    <row r="56" spans="1:7" x14ac:dyDescent="0.25">
      <c r="A56" s="8">
        <v>42637.396493055552</v>
      </c>
      <c r="B56" s="23" t="s">
        <v>177</v>
      </c>
      <c r="C56" s="23" t="s">
        <v>498</v>
      </c>
      <c r="D56" s="23">
        <v>2010000</v>
      </c>
      <c r="E56" s="23" t="s">
        <v>295</v>
      </c>
      <c r="F56" s="23" t="str">
        <f t="shared" si="0"/>
        <v>rtdc.l.rtdc.4010:itc</v>
      </c>
      <c r="G56" s="8">
        <f t="shared" si="1"/>
        <v>42637.396493055552</v>
      </c>
    </row>
    <row r="57" spans="1:7" x14ac:dyDescent="0.25">
      <c r="A57" s="8">
        <v>42637.401967592596</v>
      </c>
      <c r="B57" s="23" t="s">
        <v>433</v>
      </c>
      <c r="C57" s="23" t="s">
        <v>499</v>
      </c>
      <c r="D57" s="23">
        <v>1990000</v>
      </c>
      <c r="E57" s="23" t="s">
        <v>335</v>
      </c>
      <c r="F57" s="23" t="str">
        <f t="shared" si="0"/>
        <v>rtdc.l.rtdc.4007:itc</v>
      </c>
      <c r="G57" s="8">
        <f t="shared" si="1"/>
        <v>42637.401967592596</v>
      </c>
    </row>
    <row r="58" spans="1:7" x14ac:dyDescent="0.25">
      <c r="A58" s="8">
        <v>42637.412256944444</v>
      </c>
      <c r="B58" s="23" t="s">
        <v>277</v>
      </c>
      <c r="C58" s="23" t="s">
        <v>500</v>
      </c>
      <c r="D58" s="23">
        <v>1340000</v>
      </c>
      <c r="E58" s="23" t="s">
        <v>494</v>
      </c>
      <c r="F58" s="23" t="str">
        <f t="shared" si="0"/>
        <v>rtdc.l.rtdc.4013:itc</v>
      </c>
      <c r="G58" s="8">
        <f t="shared" si="1"/>
        <v>42637.412256944444</v>
      </c>
    </row>
    <row r="59" spans="1:7" x14ac:dyDescent="0.25">
      <c r="A59" s="8">
        <v>42637.413101851853</v>
      </c>
      <c r="B59" s="23" t="s">
        <v>178</v>
      </c>
      <c r="C59" s="23" t="s">
        <v>501</v>
      </c>
      <c r="D59" s="23">
        <v>1780000</v>
      </c>
      <c r="E59" s="23" t="s">
        <v>466</v>
      </c>
      <c r="F59" s="23" t="str">
        <f t="shared" si="0"/>
        <v>rtdc.l.rtdc.4042:itc</v>
      </c>
      <c r="G59" s="8">
        <f t="shared" si="1"/>
        <v>42637.413101851853</v>
      </c>
    </row>
    <row r="60" spans="1:7" x14ac:dyDescent="0.25">
      <c r="A60" s="8">
        <v>42637.423055555555</v>
      </c>
      <c r="B60" s="23" t="s">
        <v>246</v>
      </c>
      <c r="C60" s="23" t="s">
        <v>502</v>
      </c>
      <c r="D60" s="23">
        <v>1310000</v>
      </c>
      <c r="E60" s="23" t="s">
        <v>310</v>
      </c>
      <c r="F60" s="23" t="str">
        <f t="shared" si="0"/>
        <v>rtdc.l.rtdc.4004:itc</v>
      </c>
      <c r="G60" s="8">
        <f t="shared" si="1"/>
        <v>42637.423055555555</v>
      </c>
    </row>
    <row r="61" spans="1:7" x14ac:dyDescent="0.25">
      <c r="A61" s="8">
        <v>42637.425347222219</v>
      </c>
      <c r="B61" s="23" t="s">
        <v>339</v>
      </c>
      <c r="C61" s="23" t="s">
        <v>503</v>
      </c>
      <c r="D61" s="23">
        <v>1100000</v>
      </c>
      <c r="E61" s="23" t="s">
        <v>276</v>
      </c>
      <c r="F61" s="23" t="str">
        <f t="shared" si="0"/>
        <v>rtdc.l.rtdc.4018:itc</v>
      </c>
      <c r="G61" s="8">
        <f t="shared" si="1"/>
        <v>42637.425347222219</v>
      </c>
    </row>
    <row r="62" spans="1:7" x14ac:dyDescent="0.25">
      <c r="A62" s="8">
        <v>42637.429386574076</v>
      </c>
      <c r="B62" s="23" t="s">
        <v>311</v>
      </c>
      <c r="C62" s="23" t="s">
        <v>497</v>
      </c>
      <c r="D62" s="23">
        <v>1260000</v>
      </c>
      <c r="E62" s="23" t="s">
        <v>464</v>
      </c>
      <c r="F62" s="23" t="str">
        <f t="shared" si="0"/>
        <v>rtdc.l.rtdc.4054:itc</v>
      </c>
      <c r="G62" s="8">
        <f t="shared" si="1"/>
        <v>42637.429386574076</v>
      </c>
    </row>
    <row r="63" spans="1:7" x14ac:dyDescent="0.25">
      <c r="A63" s="8">
        <v>42637.43</v>
      </c>
      <c r="B63" s="23" t="s">
        <v>311</v>
      </c>
      <c r="C63" s="23" t="s">
        <v>504</v>
      </c>
      <c r="D63" s="23">
        <v>1260000</v>
      </c>
      <c r="E63" s="23" t="s">
        <v>464</v>
      </c>
      <c r="F63" s="23" t="str">
        <f t="shared" si="0"/>
        <v>rtdc.l.rtdc.4054:itc</v>
      </c>
      <c r="G63" s="8">
        <f t="shared" si="1"/>
        <v>42637.43</v>
      </c>
    </row>
    <row r="64" spans="1:7" x14ac:dyDescent="0.25">
      <c r="A64" s="29">
        <v>42637.435289351852</v>
      </c>
      <c r="B64" s="23" t="s">
        <v>128</v>
      </c>
      <c r="C64" s="23" t="s">
        <v>444</v>
      </c>
      <c r="D64" s="23">
        <v>930000</v>
      </c>
      <c r="E64" s="23" t="s">
        <v>344</v>
      </c>
      <c r="F64" s="23" t="str">
        <f t="shared" si="0"/>
        <v>rtdc.l.rtdc.4009:itc</v>
      </c>
      <c r="G64" s="8">
        <f t="shared" si="1"/>
        <v>42637.435289351852</v>
      </c>
    </row>
    <row r="65" spans="1:7" x14ac:dyDescent="0.25">
      <c r="A65" s="8">
        <v>42637.441666666666</v>
      </c>
      <c r="B65" s="23" t="s">
        <v>260</v>
      </c>
      <c r="C65" s="23" t="s">
        <v>505</v>
      </c>
      <c r="D65" s="23">
        <v>1990000</v>
      </c>
      <c r="E65" s="23" t="s">
        <v>335</v>
      </c>
      <c r="F65" s="23" t="str">
        <f t="shared" si="0"/>
        <v>rtdc.l.rtdc.4008:itc</v>
      </c>
      <c r="G65" s="8">
        <f t="shared" si="1"/>
        <v>42637.441666666666</v>
      </c>
    </row>
    <row r="66" spans="1:7" x14ac:dyDescent="0.25">
      <c r="A66" s="8">
        <v>42637.445034722223</v>
      </c>
      <c r="B66" s="23" t="s">
        <v>275</v>
      </c>
      <c r="C66" s="23" t="s">
        <v>443</v>
      </c>
      <c r="D66" s="23">
        <v>1760000</v>
      </c>
      <c r="E66" s="23" t="s">
        <v>298</v>
      </c>
      <c r="F66" s="23" t="str">
        <f t="shared" ref="F66:F129" si="2">B66</f>
        <v>rtdc.l.rtdc.4014:itc</v>
      </c>
      <c r="G66" s="8">
        <f t="shared" ref="G66:G129" si="3">A66</f>
        <v>42637.445034722223</v>
      </c>
    </row>
    <row r="67" spans="1:7" x14ac:dyDescent="0.25">
      <c r="A67" s="8">
        <v>42637.453182870369</v>
      </c>
      <c r="B67" s="23" t="s">
        <v>176</v>
      </c>
      <c r="C67" s="23" t="s">
        <v>506</v>
      </c>
      <c r="D67" s="23">
        <v>1780000</v>
      </c>
      <c r="E67" s="23" t="s">
        <v>466</v>
      </c>
      <c r="F67" s="23" t="str">
        <f t="shared" si="2"/>
        <v>rtdc.l.rtdc.4041:itc</v>
      </c>
      <c r="G67" s="8">
        <f t="shared" si="3"/>
        <v>42637.453182870369</v>
      </c>
    </row>
    <row r="68" spans="1:7" x14ac:dyDescent="0.25">
      <c r="A68" s="8">
        <v>42637.45789351852</v>
      </c>
      <c r="B68" s="23" t="s">
        <v>245</v>
      </c>
      <c r="C68" s="23" t="s">
        <v>507</v>
      </c>
      <c r="D68" s="23">
        <v>880000</v>
      </c>
      <c r="E68" s="23" t="s">
        <v>341</v>
      </c>
      <c r="F68" s="23" t="str">
        <f t="shared" si="2"/>
        <v>rtdc.l.rtdc.4003:itc</v>
      </c>
      <c r="G68" s="8">
        <f t="shared" si="3"/>
        <v>42637.45789351852</v>
      </c>
    </row>
    <row r="69" spans="1:7" x14ac:dyDescent="0.25">
      <c r="A69" s="8">
        <v>42637.463773148149</v>
      </c>
      <c r="B69" s="23" t="s">
        <v>337</v>
      </c>
      <c r="C69" s="23" t="s">
        <v>508</v>
      </c>
      <c r="D69" s="23">
        <v>1100000</v>
      </c>
      <c r="E69" s="23" t="s">
        <v>276</v>
      </c>
      <c r="F69" s="23" t="str">
        <f t="shared" si="2"/>
        <v>rtdc.l.rtdc.4017:itc</v>
      </c>
      <c r="G69" s="8">
        <f t="shared" si="3"/>
        <v>42637.463773148149</v>
      </c>
    </row>
    <row r="70" spans="1:7" x14ac:dyDescent="0.25">
      <c r="A70" s="8">
        <v>42637.465648148151</v>
      </c>
      <c r="B70" s="23" t="s">
        <v>430</v>
      </c>
      <c r="C70" s="23" t="s">
        <v>509</v>
      </c>
      <c r="D70" s="23">
        <v>1280000</v>
      </c>
      <c r="E70" s="23" t="s">
        <v>510</v>
      </c>
      <c r="F70" s="23" t="str">
        <f t="shared" si="2"/>
        <v>rtdc.l.rtdc.4053:itc</v>
      </c>
      <c r="G70" s="8">
        <f t="shared" si="3"/>
        <v>42637.465648148151</v>
      </c>
    </row>
    <row r="71" spans="1:7" x14ac:dyDescent="0.25">
      <c r="A71" s="8">
        <v>42637.473067129627</v>
      </c>
      <c r="B71" s="23" t="s">
        <v>177</v>
      </c>
      <c r="C71" s="23" t="s">
        <v>511</v>
      </c>
      <c r="D71" s="23">
        <v>930000</v>
      </c>
      <c r="E71" s="23" t="s">
        <v>344</v>
      </c>
      <c r="F71" s="23" t="str">
        <f t="shared" si="2"/>
        <v>rtdc.l.rtdc.4010:itc</v>
      </c>
      <c r="G71" s="8">
        <f t="shared" si="3"/>
        <v>42637.473067129627</v>
      </c>
    </row>
    <row r="72" spans="1:7" x14ac:dyDescent="0.25">
      <c r="A72" s="8">
        <v>42637.479884259257</v>
      </c>
      <c r="B72" s="23" t="s">
        <v>433</v>
      </c>
      <c r="C72" s="23" t="s">
        <v>512</v>
      </c>
      <c r="D72" s="23">
        <v>2040000</v>
      </c>
      <c r="E72" s="23" t="s">
        <v>300</v>
      </c>
      <c r="F72" s="23" t="str">
        <f t="shared" si="2"/>
        <v>rtdc.l.rtdc.4007:itc</v>
      </c>
      <c r="G72" s="8">
        <f t="shared" si="3"/>
        <v>42637.479884259257</v>
      </c>
    </row>
    <row r="73" spans="1:7" x14ac:dyDescent="0.25">
      <c r="A73" s="8">
        <v>42637.483483796299</v>
      </c>
      <c r="B73" s="23" t="s">
        <v>277</v>
      </c>
      <c r="C73" s="23" t="s">
        <v>446</v>
      </c>
      <c r="D73" s="23">
        <v>1760000</v>
      </c>
      <c r="E73" s="23" t="s">
        <v>298</v>
      </c>
      <c r="F73" s="23" t="str">
        <f t="shared" si="2"/>
        <v>rtdc.l.rtdc.4013:itc</v>
      </c>
      <c r="G73" s="8">
        <f t="shared" si="3"/>
        <v>42637.483483796299</v>
      </c>
    </row>
    <row r="74" spans="1:7" x14ac:dyDescent="0.25">
      <c r="A74" s="8">
        <v>42637.486666666664</v>
      </c>
      <c r="B74" s="23" t="s">
        <v>433</v>
      </c>
      <c r="C74" s="23" t="s">
        <v>512</v>
      </c>
      <c r="D74" s="23">
        <v>2040000</v>
      </c>
      <c r="E74" s="23" t="s">
        <v>300</v>
      </c>
      <c r="F74" s="23" t="str">
        <f t="shared" si="2"/>
        <v>rtdc.l.rtdc.4007:itc</v>
      </c>
      <c r="G74" s="8">
        <f t="shared" si="3"/>
        <v>42637.486666666664</v>
      </c>
    </row>
    <row r="75" spans="1:7" x14ac:dyDescent="0.25">
      <c r="A75" s="8">
        <v>42637.487870370373</v>
      </c>
      <c r="B75" s="23" t="s">
        <v>178</v>
      </c>
      <c r="C75" s="23" t="s">
        <v>445</v>
      </c>
      <c r="D75" s="23">
        <v>2020000</v>
      </c>
      <c r="E75" s="23" t="s">
        <v>314</v>
      </c>
      <c r="F75" s="23" t="str">
        <f t="shared" si="2"/>
        <v>rtdc.l.rtdc.4042:itc</v>
      </c>
      <c r="G75" s="8">
        <f t="shared" si="3"/>
        <v>42637.487870370373</v>
      </c>
    </row>
    <row r="76" spans="1:7" x14ac:dyDescent="0.25">
      <c r="A76" s="8">
        <v>42637.495000000003</v>
      </c>
      <c r="B76" s="23" t="s">
        <v>246</v>
      </c>
      <c r="C76" s="23" t="s">
        <v>447</v>
      </c>
      <c r="D76" s="23">
        <v>880000</v>
      </c>
      <c r="E76" s="23" t="s">
        <v>341</v>
      </c>
      <c r="F76" s="23" t="str">
        <f t="shared" si="2"/>
        <v>rtdc.l.rtdc.4004:itc</v>
      </c>
      <c r="G76" s="8">
        <f t="shared" si="3"/>
        <v>42637.495000000003</v>
      </c>
    </row>
    <row r="77" spans="1:7" x14ac:dyDescent="0.25">
      <c r="A77" s="8">
        <v>42637.497418981482</v>
      </c>
      <c r="B77" s="23" t="s">
        <v>311</v>
      </c>
      <c r="C77" s="23" t="s">
        <v>513</v>
      </c>
      <c r="D77" s="23">
        <v>1280000</v>
      </c>
      <c r="E77" s="23" t="s">
        <v>510</v>
      </c>
      <c r="F77" s="23" t="str">
        <f t="shared" si="2"/>
        <v>rtdc.l.rtdc.4054:itc</v>
      </c>
      <c r="G77" s="8">
        <f t="shared" si="3"/>
        <v>42637.497418981482</v>
      </c>
    </row>
    <row r="78" spans="1:7" x14ac:dyDescent="0.25">
      <c r="A78" s="8">
        <v>42637.49832175926</v>
      </c>
      <c r="B78" s="23" t="s">
        <v>339</v>
      </c>
      <c r="C78" s="23" t="s">
        <v>514</v>
      </c>
      <c r="D78" s="23">
        <v>1770000</v>
      </c>
      <c r="E78" s="23" t="s">
        <v>515</v>
      </c>
      <c r="F78" s="23" t="str">
        <f t="shared" si="2"/>
        <v>rtdc.l.rtdc.4018:itc</v>
      </c>
      <c r="G78" s="8">
        <f t="shared" si="3"/>
        <v>42637.49832175926</v>
      </c>
    </row>
    <row r="79" spans="1:7" x14ac:dyDescent="0.25">
      <c r="A79" s="8">
        <v>42637.510046296295</v>
      </c>
      <c r="B79" s="23" t="s">
        <v>128</v>
      </c>
      <c r="C79" s="23" t="s">
        <v>516</v>
      </c>
      <c r="D79" s="23">
        <v>930000</v>
      </c>
      <c r="E79" s="23" t="s">
        <v>344</v>
      </c>
      <c r="F79" s="23" t="str">
        <f t="shared" si="2"/>
        <v>rtdc.l.rtdc.4009:itc</v>
      </c>
      <c r="G79" s="8">
        <f t="shared" si="3"/>
        <v>42637.510046296295</v>
      </c>
    </row>
    <row r="80" spans="1:7" x14ac:dyDescent="0.25">
      <c r="A80" s="8">
        <v>42637.516099537039</v>
      </c>
      <c r="B80" s="23" t="s">
        <v>260</v>
      </c>
      <c r="C80" s="23" t="s">
        <v>517</v>
      </c>
      <c r="D80" s="23">
        <v>2040000</v>
      </c>
      <c r="E80" s="23" t="s">
        <v>300</v>
      </c>
      <c r="F80" s="23" t="str">
        <f t="shared" si="2"/>
        <v>rtdc.l.rtdc.4008:itc</v>
      </c>
      <c r="G80" s="8">
        <f t="shared" si="3"/>
        <v>42637.516099537039</v>
      </c>
    </row>
    <row r="81" spans="1:7" x14ac:dyDescent="0.25">
      <c r="A81" s="8">
        <v>42637.519629629627</v>
      </c>
      <c r="B81" s="23" t="s">
        <v>275</v>
      </c>
      <c r="C81" s="23" t="s">
        <v>518</v>
      </c>
      <c r="D81" s="23">
        <v>1740000</v>
      </c>
      <c r="E81" s="23" t="s">
        <v>280</v>
      </c>
      <c r="F81" s="23" t="str">
        <f t="shared" si="2"/>
        <v>rtdc.l.rtdc.4014:itc</v>
      </c>
      <c r="G81" s="8">
        <f t="shared" si="3"/>
        <v>42637.519629629627</v>
      </c>
    </row>
    <row r="82" spans="1:7" x14ac:dyDescent="0.25">
      <c r="A82" s="8">
        <v>42637.525416666664</v>
      </c>
      <c r="B82" s="23" t="s">
        <v>176</v>
      </c>
      <c r="C82" s="23" t="s">
        <v>519</v>
      </c>
      <c r="D82" s="23">
        <v>2020000</v>
      </c>
      <c r="E82" s="23" t="s">
        <v>314</v>
      </c>
      <c r="F82" s="23" t="str">
        <f t="shared" si="2"/>
        <v>rtdc.l.rtdc.4041:itc</v>
      </c>
      <c r="G82" s="8">
        <f t="shared" si="3"/>
        <v>42637.525416666664</v>
      </c>
    </row>
    <row r="83" spans="1:7" x14ac:dyDescent="0.25">
      <c r="A83" s="8">
        <v>42637.529918981483</v>
      </c>
      <c r="B83" s="23" t="s">
        <v>245</v>
      </c>
      <c r="C83" s="23" t="s">
        <v>520</v>
      </c>
      <c r="D83" s="23">
        <v>880000</v>
      </c>
      <c r="E83" s="23" t="s">
        <v>341</v>
      </c>
      <c r="F83" s="23" t="str">
        <f t="shared" si="2"/>
        <v>rtdc.l.rtdc.4003:itc</v>
      </c>
      <c r="G83" s="8">
        <f t="shared" si="3"/>
        <v>42637.529918981483</v>
      </c>
    </row>
    <row r="84" spans="1:7" x14ac:dyDescent="0.25">
      <c r="A84" s="8">
        <v>42637.534722222219</v>
      </c>
      <c r="B84" s="23" t="s">
        <v>337</v>
      </c>
      <c r="C84" s="23" t="s">
        <v>521</v>
      </c>
      <c r="D84" s="23">
        <v>1770000</v>
      </c>
      <c r="E84" s="23" t="s">
        <v>515</v>
      </c>
      <c r="F84" s="23" t="str">
        <f t="shared" si="2"/>
        <v>rtdc.l.rtdc.4017:itc</v>
      </c>
      <c r="G84" s="8">
        <f t="shared" si="3"/>
        <v>42637.534722222219</v>
      </c>
    </row>
    <row r="85" spans="1:7" x14ac:dyDescent="0.25">
      <c r="A85" s="8">
        <v>42637.538171296299</v>
      </c>
      <c r="B85" s="23" t="s">
        <v>430</v>
      </c>
      <c r="C85" s="23" t="s">
        <v>522</v>
      </c>
      <c r="D85" s="23">
        <v>1280000</v>
      </c>
      <c r="E85" s="23" t="s">
        <v>510</v>
      </c>
      <c r="F85" s="23" t="str">
        <f t="shared" si="2"/>
        <v>rtdc.l.rtdc.4053:itc</v>
      </c>
      <c r="G85" s="8">
        <f t="shared" si="3"/>
        <v>42637.538171296299</v>
      </c>
    </row>
    <row r="86" spans="1:7" x14ac:dyDescent="0.25">
      <c r="A86" s="8">
        <v>42637.543969907405</v>
      </c>
      <c r="B86" s="23" t="s">
        <v>177</v>
      </c>
      <c r="C86" s="23" t="s">
        <v>523</v>
      </c>
      <c r="D86" s="23">
        <v>930000</v>
      </c>
      <c r="E86" s="23" t="s">
        <v>344</v>
      </c>
      <c r="F86" s="23" t="str">
        <f t="shared" si="2"/>
        <v>rtdc.l.rtdc.4010:itc</v>
      </c>
      <c r="G86" s="8">
        <f t="shared" si="3"/>
        <v>42637.543969907405</v>
      </c>
    </row>
    <row r="87" spans="1:7" x14ac:dyDescent="0.25">
      <c r="A87" s="8">
        <v>42637.550752314812</v>
      </c>
      <c r="B87" s="23" t="s">
        <v>433</v>
      </c>
      <c r="C87" s="23" t="s">
        <v>524</v>
      </c>
      <c r="D87" s="23">
        <v>2040000</v>
      </c>
      <c r="E87" s="23" t="s">
        <v>300</v>
      </c>
      <c r="F87" s="23" t="str">
        <f t="shared" si="2"/>
        <v>rtdc.l.rtdc.4007:itc</v>
      </c>
      <c r="G87" s="8">
        <f t="shared" si="3"/>
        <v>42637.550752314812</v>
      </c>
    </row>
    <row r="88" spans="1:7" x14ac:dyDescent="0.25">
      <c r="A88" s="8">
        <v>42637.553877314815</v>
      </c>
      <c r="B88" s="23" t="s">
        <v>277</v>
      </c>
      <c r="C88" s="23" t="s">
        <v>450</v>
      </c>
      <c r="D88" s="23">
        <v>1740000</v>
      </c>
      <c r="E88" s="23" t="s">
        <v>280</v>
      </c>
      <c r="F88" s="23" t="str">
        <f t="shared" si="2"/>
        <v>rtdc.l.rtdc.4013:itc</v>
      </c>
      <c r="G88" s="8">
        <f t="shared" si="3"/>
        <v>42637.553877314815</v>
      </c>
    </row>
    <row r="89" spans="1:7" x14ac:dyDescent="0.25">
      <c r="A89" s="8">
        <v>42637.559618055559</v>
      </c>
      <c r="B89" s="23" t="s">
        <v>178</v>
      </c>
      <c r="C89" s="23" t="s">
        <v>449</v>
      </c>
      <c r="D89" s="23">
        <v>2020000</v>
      </c>
      <c r="E89" s="23" t="s">
        <v>314</v>
      </c>
      <c r="F89" s="23" t="str">
        <f t="shared" si="2"/>
        <v>rtdc.l.rtdc.4042:itc</v>
      </c>
      <c r="G89" s="8">
        <f t="shared" si="3"/>
        <v>42637.559618055559</v>
      </c>
    </row>
    <row r="90" spans="1:7" x14ac:dyDescent="0.25">
      <c r="A90" s="8">
        <v>42637.567962962959</v>
      </c>
      <c r="B90" s="23" t="s">
        <v>246</v>
      </c>
      <c r="C90" s="23" t="s">
        <v>448</v>
      </c>
      <c r="D90" s="23">
        <v>880000</v>
      </c>
      <c r="E90" s="23" t="s">
        <v>341</v>
      </c>
      <c r="F90" s="23" t="str">
        <f t="shared" si="2"/>
        <v>rtdc.l.rtdc.4004:itc</v>
      </c>
      <c r="G90" s="8">
        <f t="shared" si="3"/>
        <v>42637.567962962959</v>
      </c>
    </row>
    <row r="91" spans="1:7" x14ac:dyDescent="0.25">
      <c r="A91" s="8">
        <v>42637.568807870368</v>
      </c>
      <c r="B91" s="23" t="s">
        <v>339</v>
      </c>
      <c r="C91" s="23" t="s">
        <v>525</v>
      </c>
      <c r="D91" s="23">
        <v>1770000</v>
      </c>
      <c r="E91" s="23" t="s">
        <v>515</v>
      </c>
      <c r="F91" s="23" t="str">
        <f t="shared" si="2"/>
        <v>rtdc.l.rtdc.4018:itc</v>
      </c>
      <c r="G91" s="8">
        <f t="shared" si="3"/>
        <v>42637.568807870368</v>
      </c>
    </row>
    <row r="92" spans="1:7" x14ac:dyDescent="0.25">
      <c r="A92" s="8">
        <v>42637.570497685185</v>
      </c>
      <c r="B92" s="23" t="s">
        <v>311</v>
      </c>
      <c r="C92" s="23" t="s">
        <v>526</v>
      </c>
      <c r="D92" s="23">
        <v>1280000</v>
      </c>
      <c r="E92" s="23" t="s">
        <v>510</v>
      </c>
      <c r="F92" s="23" t="str">
        <f t="shared" si="2"/>
        <v>rtdc.l.rtdc.4054:itc</v>
      </c>
      <c r="G92" s="8">
        <f t="shared" si="3"/>
        <v>42637.570497685185</v>
      </c>
    </row>
    <row r="93" spans="1:7" x14ac:dyDescent="0.25">
      <c r="A93" s="8">
        <v>42637.581307870372</v>
      </c>
      <c r="B93" s="23" t="s">
        <v>128</v>
      </c>
      <c r="C93" s="23" t="s">
        <v>527</v>
      </c>
      <c r="D93" s="23">
        <v>930000</v>
      </c>
      <c r="E93" s="23" t="s">
        <v>344</v>
      </c>
      <c r="F93" s="23" t="str">
        <f t="shared" si="2"/>
        <v>rtdc.l.rtdc.4009:itc</v>
      </c>
      <c r="G93" s="8">
        <f t="shared" si="3"/>
        <v>42637.581307870372</v>
      </c>
    </row>
    <row r="94" spans="1:7" x14ac:dyDescent="0.25">
      <c r="A94" s="8">
        <v>42637.586539351854</v>
      </c>
      <c r="B94" s="23" t="s">
        <v>260</v>
      </c>
      <c r="C94" s="23" t="s">
        <v>528</v>
      </c>
      <c r="D94" s="23">
        <v>2040000</v>
      </c>
      <c r="E94" s="23" t="s">
        <v>300</v>
      </c>
      <c r="F94" s="23" t="str">
        <f t="shared" si="2"/>
        <v>rtdc.l.rtdc.4008:itc</v>
      </c>
      <c r="G94" s="8">
        <f t="shared" si="3"/>
        <v>42637.586539351854</v>
      </c>
    </row>
    <row r="95" spans="1:7" x14ac:dyDescent="0.25">
      <c r="A95" s="8">
        <v>42637.591527777775</v>
      </c>
      <c r="B95" s="23" t="s">
        <v>275</v>
      </c>
      <c r="C95" s="23" t="s">
        <v>529</v>
      </c>
      <c r="D95" s="23">
        <v>1740000</v>
      </c>
      <c r="E95" s="23" t="s">
        <v>280</v>
      </c>
      <c r="F95" s="23" t="str">
        <f t="shared" si="2"/>
        <v>rtdc.l.rtdc.4014:itc</v>
      </c>
      <c r="G95" s="8">
        <f t="shared" si="3"/>
        <v>42637.591527777775</v>
      </c>
    </row>
    <row r="96" spans="1:7" x14ac:dyDescent="0.25">
      <c r="A96" s="8">
        <v>42637.59642361111</v>
      </c>
      <c r="B96" s="23" t="s">
        <v>176</v>
      </c>
      <c r="C96" s="23" t="s">
        <v>530</v>
      </c>
      <c r="D96" s="23">
        <v>2020000</v>
      </c>
      <c r="E96" s="23" t="s">
        <v>314</v>
      </c>
      <c r="F96" s="23" t="str">
        <f t="shared" si="2"/>
        <v>rtdc.l.rtdc.4041:itc</v>
      </c>
      <c r="G96" s="8">
        <f t="shared" si="3"/>
        <v>42637.59642361111</v>
      </c>
    </row>
    <row r="97" spans="1:7" x14ac:dyDescent="0.25">
      <c r="A97" s="8">
        <v>42637.604884259257</v>
      </c>
      <c r="B97" s="23" t="s">
        <v>337</v>
      </c>
      <c r="C97" s="23" t="s">
        <v>531</v>
      </c>
      <c r="D97" s="23">
        <v>1770000</v>
      </c>
      <c r="E97" s="23" t="s">
        <v>515</v>
      </c>
      <c r="F97" s="23" t="str">
        <f t="shared" si="2"/>
        <v>rtdc.l.rtdc.4017:itc</v>
      </c>
      <c r="G97" s="8">
        <f t="shared" si="3"/>
        <v>42637.604884259257</v>
      </c>
    </row>
    <row r="98" spans="1:7" x14ac:dyDescent="0.25">
      <c r="A98" s="8">
        <v>42637.606365740743</v>
      </c>
      <c r="B98" s="23" t="s">
        <v>181</v>
      </c>
      <c r="C98" s="23" t="s">
        <v>532</v>
      </c>
      <c r="D98" s="23">
        <v>880000</v>
      </c>
      <c r="E98" s="23" t="s">
        <v>341</v>
      </c>
      <c r="F98" s="23" t="str">
        <f t="shared" si="2"/>
        <v>rtdc.l.rtdc.4046:itc</v>
      </c>
      <c r="G98" s="8">
        <f t="shared" si="3"/>
        <v>42637.606365740743</v>
      </c>
    </row>
    <row r="99" spans="1:7" x14ac:dyDescent="0.25">
      <c r="A99" s="8">
        <v>42637.611030092594</v>
      </c>
      <c r="B99" s="23" t="s">
        <v>430</v>
      </c>
      <c r="C99" s="23" t="s">
        <v>533</v>
      </c>
      <c r="D99" s="23">
        <v>1280000</v>
      </c>
      <c r="E99" s="23" t="s">
        <v>510</v>
      </c>
      <c r="F99" s="23" t="str">
        <f t="shared" si="2"/>
        <v>rtdc.l.rtdc.4053:itc</v>
      </c>
      <c r="G99" s="8">
        <f t="shared" si="3"/>
        <v>42637.611030092594</v>
      </c>
    </row>
    <row r="100" spans="1:7" x14ac:dyDescent="0.25">
      <c r="A100" s="8">
        <v>42637.618576388886</v>
      </c>
      <c r="B100" s="23" t="s">
        <v>177</v>
      </c>
      <c r="C100" s="23" t="s">
        <v>452</v>
      </c>
      <c r="D100" s="23">
        <v>930000</v>
      </c>
      <c r="E100" s="23" t="s">
        <v>344</v>
      </c>
      <c r="F100" s="23" t="str">
        <f t="shared" si="2"/>
        <v>rtdc.l.rtdc.4010:itc</v>
      </c>
      <c r="G100" s="8">
        <f t="shared" si="3"/>
        <v>42637.618576388886</v>
      </c>
    </row>
    <row r="101" spans="1:7" x14ac:dyDescent="0.25">
      <c r="A101" s="8">
        <v>42637.622685185182</v>
      </c>
      <c r="B101" s="23" t="s">
        <v>433</v>
      </c>
      <c r="C101" s="23" t="s">
        <v>534</v>
      </c>
      <c r="D101" s="23">
        <v>2040000</v>
      </c>
      <c r="E101" s="23" t="s">
        <v>300</v>
      </c>
      <c r="F101" s="23" t="str">
        <f t="shared" si="2"/>
        <v>rtdc.l.rtdc.4007:itc</v>
      </c>
      <c r="G101" s="8">
        <f t="shared" si="3"/>
        <v>42637.622685185182</v>
      </c>
    </row>
    <row r="102" spans="1:7" x14ac:dyDescent="0.25">
      <c r="A102" s="8">
        <v>42637.625127314815</v>
      </c>
      <c r="B102" s="23" t="s">
        <v>277</v>
      </c>
      <c r="C102" s="23" t="s">
        <v>451</v>
      </c>
      <c r="D102" s="23">
        <v>1740000</v>
      </c>
      <c r="E102" s="23" t="s">
        <v>280</v>
      </c>
      <c r="F102" s="23" t="str">
        <f t="shared" si="2"/>
        <v>rtdc.l.rtdc.4013:itc</v>
      </c>
      <c r="G102" s="8">
        <f t="shared" si="3"/>
        <v>42637.625127314815</v>
      </c>
    </row>
    <row r="103" spans="1:7" x14ac:dyDescent="0.25">
      <c r="A103" s="8">
        <v>42637.631956018522</v>
      </c>
      <c r="B103" s="23" t="s">
        <v>178</v>
      </c>
      <c r="C103" s="23" t="s">
        <v>535</v>
      </c>
      <c r="D103" s="23">
        <v>2020000</v>
      </c>
      <c r="E103" s="23" t="s">
        <v>314</v>
      </c>
      <c r="F103" s="23" t="str">
        <f t="shared" si="2"/>
        <v>rtdc.l.rtdc.4042:itc</v>
      </c>
      <c r="G103" s="8">
        <f t="shared" si="3"/>
        <v>42637.631956018522</v>
      </c>
    </row>
    <row r="104" spans="1:7" x14ac:dyDescent="0.25">
      <c r="A104" s="8">
        <v>42637.640046296299</v>
      </c>
      <c r="B104" s="23" t="s">
        <v>435</v>
      </c>
      <c r="C104" s="23" t="s">
        <v>536</v>
      </c>
      <c r="D104" s="23">
        <v>880000</v>
      </c>
      <c r="E104" s="23" t="s">
        <v>341</v>
      </c>
      <c r="F104" s="23" t="str">
        <f t="shared" si="2"/>
        <v>rtdc.l.rtdc.4045:itc</v>
      </c>
      <c r="G104" s="8">
        <f t="shared" si="3"/>
        <v>42637.640046296299</v>
      </c>
    </row>
    <row r="105" spans="1:7" x14ac:dyDescent="0.25">
      <c r="A105" s="8">
        <v>42637.643692129626</v>
      </c>
      <c r="B105" s="23" t="s">
        <v>339</v>
      </c>
      <c r="C105" s="23" t="s">
        <v>537</v>
      </c>
      <c r="D105" s="23">
        <v>1770000</v>
      </c>
      <c r="E105" s="23" t="s">
        <v>515</v>
      </c>
      <c r="F105" s="23" t="str">
        <f t="shared" si="2"/>
        <v>rtdc.l.rtdc.4018:itc</v>
      </c>
      <c r="G105" s="8">
        <f t="shared" si="3"/>
        <v>42637.643692129626</v>
      </c>
    </row>
    <row r="106" spans="1:7" x14ac:dyDescent="0.25">
      <c r="A106" s="8">
        <v>42637.648738425924</v>
      </c>
      <c r="B106" s="23" t="s">
        <v>311</v>
      </c>
      <c r="C106" s="23" t="s">
        <v>538</v>
      </c>
      <c r="D106" s="23">
        <v>1280000</v>
      </c>
      <c r="E106" s="23" t="s">
        <v>510</v>
      </c>
      <c r="F106" s="23" t="str">
        <f t="shared" si="2"/>
        <v>rtdc.l.rtdc.4054:itc</v>
      </c>
      <c r="G106" s="8">
        <f t="shared" si="3"/>
        <v>42637.648738425924</v>
      </c>
    </row>
    <row r="107" spans="1:7" x14ac:dyDescent="0.25">
      <c r="A107" s="8">
        <v>42637.66070601852</v>
      </c>
      <c r="B107" s="23" t="s">
        <v>260</v>
      </c>
      <c r="C107" s="23" t="s">
        <v>453</v>
      </c>
      <c r="D107" s="23">
        <v>2040000</v>
      </c>
      <c r="E107" s="23" t="s">
        <v>300</v>
      </c>
      <c r="F107" s="23" t="str">
        <f t="shared" si="2"/>
        <v>rtdc.l.rtdc.4008:itc</v>
      </c>
      <c r="G107" s="8">
        <f t="shared" si="3"/>
        <v>42637.66070601852</v>
      </c>
    </row>
    <row r="108" spans="1:7" x14ac:dyDescent="0.25">
      <c r="A108" s="8">
        <v>42637.662939814814</v>
      </c>
      <c r="B108" s="23" t="s">
        <v>128</v>
      </c>
      <c r="C108" s="23" t="s">
        <v>539</v>
      </c>
      <c r="D108" s="23">
        <v>2270000</v>
      </c>
      <c r="E108" s="23" t="s">
        <v>540</v>
      </c>
      <c r="F108" s="23" t="str">
        <f t="shared" si="2"/>
        <v>rtdc.l.rtdc.4009:itc</v>
      </c>
      <c r="G108" s="8">
        <f t="shared" si="3"/>
        <v>42637.662939814814</v>
      </c>
    </row>
    <row r="109" spans="1:7" x14ac:dyDescent="0.25">
      <c r="A109" s="8">
        <v>42637.67083333333</v>
      </c>
      <c r="B109" s="23" t="s">
        <v>176</v>
      </c>
      <c r="C109" s="23" t="s">
        <v>541</v>
      </c>
      <c r="D109" s="23">
        <v>2020000</v>
      </c>
      <c r="E109" s="23" t="s">
        <v>314</v>
      </c>
      <c r="F109" s="23" t="str">
        <f t="shared" si="2"/>
        <v>rtdc.l.rtdc.4041:itc</v>
      </c>
      <c r="G109" s="8">
        <f t="shared" si="3"/>
        <v>42637.67083333333</v>
      </c>
    </row>
    <row r="110" spans="1:7" x14ac:dyDescent="0.25">
      <c r="A110" s="8">
        <v>42637.671481481484</v>
      </c>
      <c r="B110" s="23" t="s">
        <v>275</v>
      </c>
      <c r="C110" s="23" t="s">
        <v>542</v>
      </c>
      <c r="D110" s="23">
        <v>2280000</v>
      </c>
      <c r="E110" s="23" t="s">
        <v>543</v>
      </c>
      <c r="F110" s="23" t="str">
        <f t="shared" si="2"/>
        <v>rtdc.l.rtdc.4014:itc</v>
      </c>
      <c r="G110" s="8">
        <f t="shared" si="3"/>
        <v>42637.671481481484</v>
      </c>
    </row>
    <row r="111" spans="1:7" x14ac:dyDescent="0.25">
      <c r="A111" s="8">
        <v>42637.674085648148</v>
      </c>
      <c r="B111" s="23" t="s">
        <v>260</v>
      </c>
      <c r="C111" s="23" t="s">
        <v>453</v>
      </c>
      <c r="D111" s="23">
        <v>2040000</v>
      </c>
      <c r="E111" s="23" t="s">
        <v>300</v>
      </c>
      <c r="F111" s="23" t="str">
        <f t="shared" si="2"/>
        <v>rtdc.l.rtdc.4008:itc</v>
      </c>
      <c r="G111" s="8">
        <f t="shared" si="3"/>
        <v>42637.674085648148</v>
      </c>
    </row>
    <row r="112" spans="1:7" x14ac:dyDescent="0.25">
      <c r="A112" s="8">
        <v>42637.679826388892</v>
      </c>
      <c r="B112" s="23" t="s">
        <v>181</v>
      </c>
      <c r="C112" s="23" t="s">
        <v>544</v>
      </c>
      <c r="D112" s="23">
        <v>880000</v>
      </c>
      <c r="E112" s="23" t="s">
        <v>341</v>
      </c>
      <c r="F112" s="23" t="str">
        <f t="shared" si="2"/>
        <v>rtdc.l.rtdc.4046:itc</v>
      </c>
      <c r="G112" s="8">
        <f t="shared" si="3"/>
        <v>42637.679826388892</v>
      </c>
    </row>
    <row r="113" spans="1:7" x14ac:dyDescent="0.25">
      <c r="A113" s="8">
        <v>42637.681435185186</v>
      </c>
      <c r="B113" s="23" t="s">
        <v>337</v>
      </c>
      <c r="C113" s="23" t="s">
        <v>454</v>
      </c>
      <c r="D113" s="23">
        <v>1770000</v>
      </c>
      <c r="E113" s="23" t="s">
        <v>515</v>
      </c>
      <c r="F113" s="23" t="str">
        <f t="shared" si="2"/>
        <v>rtdc.l.rtdc.4017:itc</v>
      </c>
      <c r="G113" s="8">
        <f t="shared" si="3"/>
        <v>42637.681435185186</v>
      </c>
    </row>
    <row r="114" spans="1:7" x14ac:dyDescent="0.25">
      <c r="A114" s="8">
        <v>42637.681759259256</v>
      </c>
      <c r="B114" s="23" t="s">
        <v>260</v>
      </c>
      <c r="C114" s="23" t="s">
        <v>453</v>
      </c>
      <c r="D114" s="23">
        <v>2040000</v>
      </c>
      <c r="E114" s="23" t="s">
        <v>300</v>
      </c>
      <c r="F114" s="23" t="str">
        <f t="shared" si="2"/>
        <v>rtdc.l.rtdc.4008:itc</v>
      </c>
      <c r="G114" s="8">
        <f t="shared" si="3"/>
        <v>42637.681759259256</v>
      </c>
    </row>
    <row r="115" spans="1:7" x14ac:dyDescent="0.25">
      <c r="A115" s="8">
        <v>42637.687245370369</v>
      </c>
      <c r="B115" s="23" t="s">
        <v>430</v>
      </c>
      <c r="C115" s="23" t="s">
        <v>545</v>
      </c>
      <c r="D115" s="23">
        <v>1280000</v>
      </c>
      <c r="E115" s="23" t="s">
        <v>510</v>
      </c>
      <c r="F115" s="23" t="str">
        <f t="shared" si="2"/>
        <v>rtdc.l.rtdc.4053:itc</v>
      </c>
      <c r="G115" s="8">
        <f t="shared" si="3"/>
        <v>42637.687245370369</v>
      </c>
    </row>
    <row r="116" spans="1:7" x14ac:dyDescent="0.25">
      <c r="A116" s="8">
        <v>42637.695694444446</v>
      </c>
      <c r="B116" s="23" t="s">
        <v>177</v>
      </c>
      <c r="C116" s="23" t="s">
        <v>546</v>
      </c>
      <c r="D116" s="23">
        <v>2270000</v>
      </c>
      <c r="E116" s="23" t="s">
        <v>540</v>
      </c>
      <c r="F116" s="23" t="str">
        <f t="shared" si="2"/>
        <v>rtdc.l.rtdc.4010:itc</v>
      </c>
      <c r="G116" s="8">
        <f t="shared" si="3"/>
        <v>42637.695694444446</v>
      </c>
    </row>
    <row r="117" spans="1:7" x14ac:dyDescent="0.25">
      <c r="A117" s="8">
        <v>42637.69872685185</v>
      </c>
      <c r="B117" s="23" t="s">
        <v>433</v>
      </c>
      <c r="C117" s="23" t="s">
        <v>547</v>
      </c>
      <c r="D117" s="23">
        <v>2040000</v>
      </c>
      <c r="E117" s="23" t="s">
        <v>300</v>
      </c>
      <c r="F117" s="23" t="str">
        <f t="shared" si="2"/>
        <v>rtdc.l.rtdc.4007:itc</v>
      </c>
      <c r="G117" s="8">
        <f t="shared" si="3"/>
        <v>42637.69872685185</v>
      </c>
    </row>
    <row r="118" spans="1:7" x14ac:dyDescent="0.25">
      <c r="A118" s="8">
        <v>42637.704074074078</v>
      </c>
      <c r="B118" s="23" t="s">
        <v>181</v>
      </c>
      <c r="C118" s="23" t="s">
        <v>544</v>
      </c>
      <c r="D118" s="23">
        <v>880000</v>
      </c>
      <c r="E118" s="23" t="s">
        <v>341</v>
      </c>
      <c r="F118" s="23" t="str">
        <f t="shared" si="2"/>
        <v>rtdc.l.rtdc.4046:itc</v>
      </c>
      <c r="G118" s="8">
        <f t="shared" si="3"/>
        <v>42637.704074074078</v>
      </c>
    </row>
    <row r="119" spans="1:7" x14ac:dyDescent="0.25">
      <c r="A119" s="8">
        <v>42637.706886574073</v>
      </c>
      <c r="B119" s="23" t="s">
        <v>178</v>
      </c>
      <c r="C119" s="23" t="s">
        <v>548</v>
      </c>
      <c r="D119" s="23">
        <v>2020000</v>
      </c>
      <c r="E119" s="23" t="s">
        <v>314</v>
      </c>
      <c r="F119" s="23" t="str">
        <f t="shared" si="2"/>
        <v>rtdc.l.rtdc.4042:itc</v>
      </c>
      <c r="G119" s="8">
        <f t="shared" si="3"/>
        <v>42637.706886574073</v>
      </c>
    </row>
    <row r="120" spans="1:7" x14ac:dyDescent="0.25">
      <c r="A120" s="8">
        <v>42637.710104166668</v>
      </c>
      <c r="B120" s="23" t="s">
        <v>277</v>
      </c>
      <c r="C120" s="23" t="s">
        <v>456</v>
      </c>
      <c r="D120" s="23">
        <v>2280000</v>
      </c>
      <c r="E120" s="23" t="s">
        <v>543</v>
      </c>
      <c r="F120" s="23" t="str">
        <f t="shared" si="2"/>
        <v>rtdc.l.rtdc.4013:itc</v>
      </c>
      <c r="G120" s="8">
        <f t="shared" si="3"/>
        <v>42637.710104166668</v>
      </c>
    </row>
    <row r="121" spans="1:7" x14ac:dyDescent="0.25">
      <c r="A121" s="8">
        <v>42637.715590277781</v>
      </c>
      <c r="B121" s="23" t="s">
        <v>339</v>
      </c>
      <c r="C121" s="23" t="s">
        <v>549</v>
      </c>
      <c r="D121" s="23">
        <v>1770000</v>
      </c>
      <c r="E121" s="23" t="s">
        <v>515</v>
      </c>
      <c r="F121" s="23" t="str">
        <f t="shared" si="2"/>
        <v>rtdc.l.rtdc.4018:itc</v>
      </c>
      <c r="G121" s="8">
        <f t="shared" si="3"/>
        <v>42637.715590277781</v>
      </c>
    </row>
    <row r="122" spans="1:7" x14ac:dyDescent="0.25">
      <c r="A122" s="8">
        <v>42637.716840277775</v>
      </c>
      <c r="B122" s="28" t="s">
        <v>435</v>
      </c>
      <c r="C122" s="23" t="s">
        <v>550</v>
      </c>
      <c r="D122" s="23">
        <v>880000</v>
      </c>
      <c r="E122" s="23" t="s">
        <v>341</v>
      </c>
      <c r="F122" s="23" t="str">
        <f t="shared" si="2"/>
        <v>rtdc.l.rtdc.4045:itc</v>
      </c>
      <c r="G122" s="8">
        <f t="shared" si="3"/>
        <v>42637.716840277775</v>
      </c>
    </row>
    <row r="123" spans="1:7" x14ac:dyDescent="0.25">
      <c r="A123" s="8">
        <v>42637.719456018516</v>
      </c>
      <c r="B123" s="23" t="s">
        <v>311</v>
      </c>
      <c r="C123" s="23" t="s">
        <v>551</v>
      </c>
      <c r="D123" s="23">
        <v>1280000</v>
      </c>
      <c r="E123" s="23" t="s">
        <v>510</v>
      </c>
      <c r="F123" s="23" t="str">
        <f t="shared" si="2"/>
        <v>rtdc.l.rtdc.4054:itc</v>
      </c>
      <c r="G123" s="8">
        <f t="shared" si="3"/>
        <v>42637.719456018516</v>
      </c>
    </row>
    <row r="124" spans="1:7" x14ac:dyDescent="0.25">
      <c r="A124" s="8">
        <v>42637.72278935185</v>
      </c>
      <c r="B124" s="23" t="s">
        <v>245</v>
      </c>
      <c r="C124" s="23" t="s">
        <v>455</v>
      </c>
      <c r="D124" s="23">
        <v>2100000</v>
      </c>
      <c r="E124" s="23" t="s">
        <v>552</v>
      </c>
      <c r="F124" s="23" t="str">
        <f t="shared" si="2"/>
        <v>rtdc.l.rtdc.4003:itc</v>
      </c>
      <c r="G124" s="8">
        <f t="shared" si="3"/>
        <v>42637.72278935185</v>
      </c>
    </row>
    <row r="125" spans="1:7" x14ac:dyDescent="0.25">
      <c r="A125" s="8">
        <v>42637.729398148149</v>
      </c>
      <c r="B125" s="23" t="s">
        <v>128</v>
      </c>
      <c r="C125" s="23" t="s">
        <v>553</v>
      </c>
      <c r="D125" s="23">
        <v>930000</v>
      </c>
      <c r="E125" s="23" t="s">
        <v>344</v>
      </c>
      <c r="F125" s="23" t="str">
        <f t="shared" si="2"/>
        <v>rtdc.l.rtdc.4009:itc</v>
      </c>
      <c r="G125" s="8">
        <f t="shared" si="3"/>
        <v>42637.729398148149</v>
      </c>
    </row>
    <row r="126" spans="1:7" x14ac:dyDescent="0.25">
      <c r="A126" s="8">
        <v>42637.735659722224</v>
      </c>
      <c r="B126" s="23" t="s">
        <v>260</v>
      </c>
      <c r="C126" s="23" t="s">
        <v>554</v>
      </c>
      <c r="D126" s="23">
        <v>2040000</v>
      </c>
      <c r="E126" s="23" t="s">
        <v>300</v>
      </c>
      <c r="F126" s="23" t="str">
        <f t="shared" si="2"/>
        <v>rtdc.l.rtdc.4008:itc</v>
      </c>
      <c r="G126" s="8">
        <f t="shared" si="3"/>
        <v>42637.735659722224</v>
      </c>
    </row>
    <row r="127" spans="1:7" x14ac:dyDescent="0.25">
      <c r="A127" s="8">
        <v>42637.743715277778</v>
      </c>
      <c r="B127" s="23" t="s">
        <v>275</v>
      </c>
      <c r="C127" s="23" t="s">
        <v>555</v>
      </c>
      <c r="D127" s="23">
        <v>1810000</v>
      </c>
      <c r="E127" s="23" t="s">
        <v>313</v>
      </c>
      <c r="F127" s="23" t="str">
        <f t="shared" si="2"/>
        <v>rtdc.l.rtdc.4014:itc</v>
      </c>
      <c r="G127" s="8">
        <f t="shared" si="3"/>
        <v>42637.743715277778</v>
      </c>
    </row>
    <row r="128" spans="1:7" x14ac:dyDescent="0.25">
      <c r="A128" s="8">
        <v>42637.746030092596</v>
      </c>
      <c r="B128" s="23" t="s">
        <v>260</v>
      </c>
      <c r="C128" s="23" t="s">
        <v>554</v>
      </c>
      <c r="D128" s="23">
        <v>2040000</v>
      </c>
      <c r="E128" s="23" t="s">
        <v>300</v>
      </c>
      <c r="F128" s="23" t="str">
        <f t="shared" si="2"/>
        <v>rtdc.l.rtdc.4008:itc</v>
      </c>
      <c r="G128" s="8">
        <f t="shared" si="3"/>
        <v>42637.746030092596</v>
      </c>
    </row>
    <row r="129" spans="1:7" x14ac:dyDescent="0.25">
      <c r="A129" s="8">
        <v>42637.746932870374</v>
      </c>
      <c r="B129" s="23" t="s">
        <v>176</v>
      </c>
      <c r="C129" s="23" t="s">
        <v>556</v>
      </c>
      <c r="D129" s="23">
        <v>2020000</v>
      </c>
      <c r="E129" s="23" t="s">
        <v>314</v>
      </c>
      <c r="F129" s="23" t="str">
        <f t="shared" si="2"/>
        <v>rtdc.l.rtdc.4041:itc</v>
      </c>
      <c r="G129" s="8">
        <f t="shared" si="3"/>
        <v>42637.746932870374</v>
      </c>
    </row>
    <row r="130" spans="1:7" x14ac:dyDescent="0.25">
      <c r="A130" s="8">
        <v>42637.751307870371</v>
      </c>
      <c r="B130" s="23" t="s">
        <v>181</v>
      </c>
      <c r="C130" s="23" t="s">
        <v>557</v>
      </c>
      <c r="D130" s="23">
        <v>1740000</v>
      </c>
      <c r="E130" s="23" t="s">
        <v>280</v>
      </c>
      <c r="F130" s="23" t="str">
        <f t="shared" ref="F130:F193" si="4">B130</f>
        <v>rtdc.l.rtdc.4046:itc</v>
      </c>
      <c r="G130" s="8">
        <f t="shared" ref="G130:G193" si="5">A130</f>
        <v>42637.751307870371</v>
      </c>
    </row>
    <row r="131" spans="1:7" x14ac:dyDescent="0.25">
      <c r="A131" s="8">
        <v>42637.751527777778</v>
      </c>
      <c r="B131" s="23" t="s">
        <v>342</v>
      </c>
      <c r="C131" s="23" t="s">
        <v>558</v>
      </c>
      <c r="D131" s="23">
        <v>1480000</v>
      </c>
      <c r="E131" s="23" t="s">
        <v>240</v>
      </c>
      <c r="F131" s="23" t="str">
        <f t="shared" si="4"/>
        <v>rtdc.l.rtdc.4021:itc</v>
      </c>
      <c r="G131" s="8">
        <f t="shared" si="5"/>
        <v>42637.751527777778</v>
      </c>
    </row>
    <row r="132" spans="1:7" x14ac:dyDescent="0.25">
      <c r="A132" s="8">
        <v>42637.752025462964</v>
      </c>
      <c r="B132" s="23" t="s">
        <v>337</v>
      </c>
      <c r="C132" s="23" t="s">
        <v>559</v>
      </c>
      <c r="D132" s="23">
        <v>1770000</v>
      </c>
      <c r="E132" s="23" t="s">
        <v>515</v>
      </c>
      <c r="F132" s="23" t="str">
        <f t="shared" si="4"/>
        <v>rtdc.l.rtdc.4017:itc</v>
      </c>
      <c r="G132" s="8">
        <f t="shared" si="5"/>
        <v>42637.752025462964</v>
      </c>
    </row>
    <row r="133" spans="1:7" x14ac:dyDescent="0.25">
      <c r="A133" s="8">
        <v>42637.760810185187</v>
      </c>
      <c r="B133" s="23" t="s">
        <v>430</v>
      </c>
      <c r="C133" s="23" t="s">
        <v>560</v>
      </c>
      <c r="D133" s="23">
        <v>1800000</v>
      </c>
      <c r="E133" s="23" t="s">
        <v>248</v>
      </c>
      <c r="F133" s="23" t="str">
        <f t="shared" si="4"/>
        <v>rtdc.l.rtdc.4053:itc</v>
      </c>
      <c r="G133" s="8">
        <f t="shared" si="5"/>
        <v>42637.760810185187</v>
      </c>
    </row>
    <row r="134" spans="1:7" x14ac:dyDescent="0.25">
      <c r="A134" s="8">
        <v>42637.76421296296</v>
      </c>
      <c r="B134" s="23" t="s">
        <v>177</v>
      </c>
      <c r="C134" s="23" t="s">
        <v>561</v>
      </c>
      <c r="D134" s="23">
        <v>930000</v>
      </c>
      <c r="E134" s="23" t="s">
        <v>344</v>
      </c>
      <c r="F134" s="23" t="str">
        <f t="shared" si="4"/>
        <v>rtdc.l.rtdc.4010:itc</v>
      </c>
      <c r="G134" s="8">
        <f t="shared" si="5"/>
        <v>42637.76421296296</v>
      </c>
    </row>
    <row r="135" spans="1:7" x14ac:dyDescent="0.25">
      <c r="A135" s="8">
        <v>42637.766851851855</v>
      </c>
      <c r="B135" s="23" t="s">
        <v>281</v>
      </c>
      <c r="C135" s="23" t="s">
        <v>457</v>
      </c>
      <c r="D135" s="23">
        <v>2230000</v>
      </c>
      <c r="E135" s="23" t="s">
        <v>562</v>
      </c>
      <c r="F135" s="23" t="str">
        <f t="shared" si="4"/>
        <v>rtdc.l.rtdc.4005:itc</v>
      </c>
      <c r="G135" s="8">
        <f t="shared" si="5"/>
        <v>42637.766851851855</v>
      </c>
    </row>
    <row r="136" spans="1:7" x14ac:dyDescent="0.25">
      <c r="A136" s="8">
        <v>42637.775312500002</v>
      </c>
      <c r="B136" s="23" t="s">
        <v>312</v>
      </c>
      <c r="C136" s="23" t="s">
        <v>458</v>
      </c>
      <c r="D136" s="23">
        <v>2260000</v>
      </c>
      <c r="E136" s="23" t="s">
        <v>130</v>
      </c>
      <c r="F136" s="23" t="str">
        <f t="shared" si="4"/>
        <v>rtdc.l.rtdc.4030:itc</v>
      </c>
      <c r="G136" s="8">
        <f t="shared" si="5"/>
        <v>42637.775312500002</v>
      </c>
    </row>
    <row r="137" spans="1:7" x14ac:dyDescent="0.25">
      <c r="A137" s="8">
        <v>42637.775462962964</v>
      </c>
      <c r="B137" s="23" t="s">
        <v>433</v>
      </c>
      <c r="C137" s="23" t="s">
        <v>563</v>
      </c>
      <c r="D137" s="23">
        <v>1480000</v>
      </c>
      <c r="E137" s="23" t="s">
        <v>240</v>
      </c>
      <c r="F137" s="23" t="str">
        <f t="shared" si="4"/>
        <v>rtdc.l.rtdc.4007:itc</v>
      </c>
      <c r="G137" s="8">
        <f t="shared" si="5"/>
        <v>42637.775462962964</v>
      </c>
    </row>
    <row r="138" spans="1:7" x14ac:dyDescent="0.25">
      <c r="A138" s="8">
        <v>42637.776087962964</v>
      </c>
      <c r="B138" s="23" t="s">
        <v>277</v>
      </c>
      <c r="C138" s="23" t="s">
        <v>564</v>
      </c>
      <c r="D138" s="23">
        <v>1810000</v>
      </c>
      <c r="E138" s="23" t="s">
        <v>313</v>
      </c>
      <c r="F138" s="23" t="str">
        <f t="shared" si="4"/>
        <v>rtdc.l.rtdc.4013:itc</v>
      </c>
      <c r="G138" s="8">
        <f t="shared" si="5"/>
        <v>42637.776087962964</v>
      </c>
    </row>
    <row r="139" spans="1:7" x14ac:dyDescent="0.25">
      <c r="A139" s="8">
        <v>42637.783888888887</v>
      </c>
      <c r="B139" s="23" t="s">
        <v>279</v>
      </c>
      <c r="C139" s="23" t="s">
        <v>565</v>
      </c>
      <c r="D139" s="23">
        <v>2040000</v>
      </c>
      <c r="E139" s="23" t="s">
        <v>300</v>
      </c>
      <c r="F139" s="23" t="str">
        <f t="shared" si="4"/>
        <v>rtdc.l.rtdc.4006:itc</v>
      </c>
      <c r="G139" s="8">
        <f t="shared" si="5"/>
        <v>42637.783888888887</v>
      </c>
    </row>
    <row r="140" spans="1:7" x14ac:dyDescent="0.25">
      <c r="A140" s="8">
        <v>42637.784456018519</v>
      </c>
      <c r="B140" s="23" t="s">
        <v>178</v>
      </c>
      <c r="C140" s="23" t="s">
        <v>566</v>
      </c>
      <c r="D140" s="23">
        <v>2020000</v>
      </c>
      <c r="E140" s="23" t="s">
        <v>314</v>
      </c>
      <c r="F140" s="23" t="str">
        <f t="shared" si="4"/>
        <v>rtdc.l.rtdc.4042:itc</v>
      </c>
      <c r="G140" s="8">
        <f t="shared" si="5"/>
        <v>42637.784456018519</v>
      </c>
    </row>
    <row r="141" spans="1:7" x14ac:dyDescent="0.25">
      <c r="A141" s="8">
        <v>42637.785868055558</v>
      </c>
      <c r="B141" s="23" t="s">
        <v>435</v>
      </c>
      <c r="C141" s="23" t="s">
        <v>460</v>
      </c>
      <c r="D141" s="23">
        <v>1740000</v>
      </c>
      <c r="E141" s="23" t="s">
        <v>280</v>
      </c>
      <c r="F141" s="23" t="str">
        <f t="shared" si="4"/>
        <v>rtdc.l.rtdc.4045:itc</v>
      </c>
      <c r="G141" s="8">
        <f t="shared" si="5"/>
        <v>42637.785868055558</v>
      </c>
    </row>
    <row r="142" spans="1:7" x14ac:dyDescent="0.25">
      <c r="A142" s="8">
        <v>42637.789155092592</v>
      </c>
      <c r="B142" s="23" t="s">
        <v>177</v>
      </c>
      <c r="C142" s="23" t="s">
        <v>561</v>
      </c>
      <c r="D142" s="23">
        <v>930000</v>
      </c>
      <c r="E142" s="23" t="s">
        <v>344</v>
      </c>
      <c r="F142" s="23" t="str">
        <f t="shared" si="4"/>
        <v>rtdc.l.rtdc.4010:itc</v>
      </c>
      <c r="G142" s="8">
        <f t="shared" si="5"/>
        <v>42637.789155092592</v>
      </c>
    </row>
    <row r="143" spans="1:7" x14ac:dyDescent="0.25">
      <c r="A143" s="8">
        <v>42637.79109953704</v>
      </c>
      <c r="B143" s="23" t="s">
        <v>339</v>
      </c>
      <c r="C143" s="23" t="s">
        <v>459</v>
      </c>
      <c r="D143" s="23">
        <v>2230000</v>
      </c>
      <c r="E143" s="23" t="s">
        <v>562</v>
      </c>
      <c r="F143" s="23" t="str">
        <f t="shared" si="4"/>
        <v>rtdc.l.rtdc.4018:itc</v>
      </c>
      <c r="G143" s="8">
        <f t="shared" si="5"/>
        <v>42637.79109953704</v>
      </c>
    </row>
    <row r="144" spans="1:7" x14ac:dyDescent="0.25">
      <c r="A144" s="8">
        <v>42637.794768518521</v>
      </c>
      <c r="B144" s="23" t="s">
        <v>360</v>
      </c>
      <c r="C144" s="23" t="s">
        <v>567</v>
      </c>
      <c r="D144" s="23">
        <v>1770000</v>
      </c>
      <c r="E144" s="23" t="s">
        <v>515</v>
      </c>
      <c r="F144" s="23" t="str">
        <f t="shared" si="4"/>
        <v>rtdc.l.rtdc.4022:itc</v>
      </c>
      <c r="G144" s="8">
        <f t="shared" si="5"/>
        <v>42637.794768518521</v>
      </c>
    </row>
    <row r="145" spans="1:7" x14ac:dyDescent="0.25">
      <c r="A145" s="8">
        <v>42637.799016203702</v>
      </c>
      <c r="B145" s="23" t="s">
        <v>311</v>
      </c>
      <c r="C145" s="23" t="s">
        <v>568</v>
      </c>
      <c r="D145" s="23">
        <v>1800000</v>
      </c>
      <c r="E145" s="23" t="s">
        <v>248</v>
      </c>
      <c r="F145" s="23" t="str">
        <f t="shared" si="4"/>
        <v>rtdc.l.rtdc.4054:itc</v>
      </c>
      <c r="G145" s="8">
        <f t="shared" si="5"/>
        <v>42637.799016203702</v>
      </c>
    </row>
    <row r="146" spans="1:7" x14ac:dyDescent="0.25">
      <c r="A146" s="8">
        <v>42637.807199074072</v>
      </c>
      <c r="B146" s="23" t="s">
        <v>260</v>
      </c>
      <c r="C146" s="23" t="s">
        <v>569</v>
      </c>
      <c r="D146" s="23">
        <v>1480000</v>
      </c>
      <c r="E146" s="23" t="s">
        <v>240</v>
      </c>
      <c r="F146" s="23" t="str">
        <f t="shared" si="4"/>
        <v>rtdc.l.rtdc.4008:itc</v>
      </c>
      <c r="G146" s="8">
        <f t="shared" si="5"/>
        <v>42637.807199074072</v>
      </c>
    </row>
    <row r="147" spans="1:7" x14ac:dyDescent="0.25">
      <c r="A147" s="8">
        <v>42637.807847222219</v>
      </c>
      <c r="B147" s="23" t="s">
        <v>128</v>
      </c>
      <c r="C147" s="23" t="s">
        <v>570</v>
      </c>
      <c r="D147" s="23">
        <v>930000</v>
      </c>
      <c r="E147" s="23" t="s">
        <v>344</v>
      </c>
      <c r="F147" s="23" t="str">
        <f t="shared" si="4"/>
        <v>rtdc.l.rtdc.4009:itc</v>
      </c>
      <c r="G147" s="8">
        <f t="shared" si="5"/>
        <v>42637.807847222219</v>
      </c>
    </row>
    <row r="148" spans="1:7" x14ac:dyDescent="0.25">
      <c r="A148" s="8">
        <v>42637.810243055559</v>
      </c>
      <c r="B148" s="23" t="s">
        <v>275</v>
      </c>
      <c r="C148" s="23" t="s">
        <v>571</v>
      </c>
      <c r="D148" s="23">
        <v>1810000</v>
      </c>
      <c r="E148" s="23" t="s">
        <v>313</v>
      </c>
      <c r="F148" s="23" t="str">
        <f t="shared" si="4"/>
        <v>rtdc.l.rtdc.4014:itc</v>
      </c>
      <c r="G148" s="8">
        <f t="shared" si="5"/>
        <v>42637.810243055559</v>
      </c>
    </row>
    <row r="149" spans="1:7" x14ac:dyDescent="0.25">
      <c r="A149" s="8">
        <v>42637.821921296294</v>
      </c>
      <c r="B149" s="23" t="s">
        <v>181</v>
      </c>
      <c r="C149" s="23" t="s">
        <v>572</v>
      </c>
      <c r="D149" s="23">
        <v>1740000</v>
      </c>
      <c r="E149" s="23" t="s">
        <v>280</v>
      </c>
      <c r="F149" s="23" t="str">
        <f t="shared" si="4"/>
        <v>rtdc.l.rtdc.4046:itc</v>
      </c>
      <c r="G149" s="8">
        <f t="shared" si="5"/>
        <v>42637.821921296294</v>
      </c>
    </row>
    <row r="150" spans="1:7" x14ac:dyDescent="0.25">
      <c r="A150" s="8">
        <v>42637.828703703701</v>
      </c>
      <c r="B150" s="23" t="s">
        <v>337</v>
      </c>
      <c r="C150" s="23" t="s">
        <v>573</v>
      </c>
      <c r="D150" s="23">
        <v>2230000</v>
      </c>
      <c r="E150" s="23" t="s">
        <v>562</v>
      </c>
      <c r="F150" s="23" t="str">
        <f t="shared" si="4"/>
        <v>rtdc.l.rtdc.4017:itc</v>
      </c>
      <c r="G150" s="8">
        <f t="shared" si="5"/>
        <v>42637.828703703701</v>
      </c>
    </row>
    <row r="151" spans="1:7" x14ac:dyDescent="0.25">
      <c r="A151" s="8">
        <v>42637.837337962963</v>
      </c>
      <c r="B151" s="23" t="s">
        <v>430</v>
      </c>
      <c r="C151" s="23" t="s">
        <v>574</v>
      </c>
      <c r="D151" s="23">
        <v>1800000</v>
      </c>
      <c r="E151" s="23" t="s">
        <v>248</v>
      </c>
      <c r="F151" s="23" t="str">
        <f t="shared" si="4"/>
        <v>rtdc.l.rtdc.4053:itc</v>
      </c>
      <c r="G151" s="8">
        <f t="shared" si="5"/>
        <v>42637.837337962963</v>
      </c>
    </row>
    <row r="152" spans="1:7" x14ac:dyDescent="0.25">
      <c r="A152" s="8">
        <v>42637.842858796299</v>
      </c>
      <c r="B152" s="23" t="s">
        <v>277</v>
      </c>
      <c r="C152" s="23" t="s">
        <v>575</v>
      </c>
      <c r="D152" s="23">
        <v>1810000</v>
      </c>
      <c r="E152" s="23" t="s">
        <v>313</v>
      </c>
      <c r="F152" s="23" t="str">
        <f t="shared" si="4"/>
        <v>rtdc.l.rtdc.4013:itc</v>
      </c>
      <c r="G152" s="8">
        <f t="shared" si="5"/>
        <v>42637.842858796299</v>
      </c>
    </row>
    <row r="153" spans="1:7" x14ac:dyDescent="0.25">
      <c r="A153" s="8">
        <v>42637.850138888891</v>
      </c>
      <c r="B153" s="23" t="s">
        <v>433</v>
      </c>
      <c r="C153" s="23" t="s">
        <v>576</v>
      </c>
      <c r="D153" s="23">
        <v>1480000</v>
      </c>
      <c r="E153" s="23" t="s">
        <v>240</v>
      </c>
      <c r="F153" s="23" t="str">
        <f t="shared" si="4"/>
        <v>rtdc.l.rtdc.4007:itc</v>
      </c>
      <c r="G153" s="8">
        <f t="shared" si="5"/>
        <v>42637.850138888891</v>
      </c>
    </row>
    <row r="154" spans="1:7" x14ac:dyDescent="0.25">
      <c r="A154" s="8">
        <v>42637.869456018518</v>
      </c>
      <c r="B154" s="23" t="s">
        <v>339</v>
      </c>
      <c r="C154" s="23" t="s">
        <v>577</v>
      </c>
      <c r="D154" s="23">
        <v>2230000</v>
      </c>
      <c r="E154" s="23" t="s">
        <v>562</v>
      </c>
      <c r="F154" s="23" t="str">
        <f t="shared" si="4"/>
        <v>rtdc.l.rtdc.4018:itc</v>
      </c>
      <c r="G154" s="8">
        <f t="shared" si="5"/>
        <v>42637.869456018518</v>
      </c>
    </row>
    <row r="155" spans="1:7" x14ac:dyDescent="0.25">
      <c r="A155" s="8">
        <v>42637.87190972222</v>
      </c>
      <c r="B155" s="23" t="s">
        <v>311</v>
      </c>
      <c r="C155" s="23" t="s">
        <v>578</v>
      </c>
      <c r="D155" s="23">
        <v>1800000</v>
      </c>
      <c r="E155" s="23" t="s">
        <v>248</v>
      </c>
      <c r="F155" s="23" t="str">
        <f t="shared" si="4"/>
        <v>rtdc.l.rtdc.4054:itc</v>
      </c>
      <c r="G155" s="8">
        <f t="shared" si="5"/>
        <v>42637.87190972222</v>
      </c>
    </row>
    <row r="156" spans="1:7" x14ac:dyDescent="0.25">
      <c r="A156" s="8">
        <v>42637.887789351851</v>
      </c>
      <c r="B156" s="23" t="s">
        <v>260</v>
      </c>
      <c r="C156" s="23" t="s">
        <v>579</v>
      </c>
      <c r="D156" s="23">
        <v>1480000</v>
      </c>
      <c r="E156" s="23" t="s">
        <v>240</v>
      </c>
      <c r="F156" s="23" t="str">
        <f t="shared" si="4"/>
        <v>rtdc.l.rtdc.4008:itc</v>
      </c>
      <c r="G156" s="8">
        <f t="shared" si="5"/>
        <v>42637.887789351851</v>
      </c>
    </row>
    <row r="157" spans="1:7" x14ac:dyDescent="0.25">
      <c r="A157" s="8">
        <v>42637.89298611111</v>
      </c>
      <c r="B157" s="23" t="s">
        <v>275</v>
      </c>
      <c r="C157" s="23" t="s">
        <v>580</v>
      </c>
      <c r="D157" s="23">
        <v>1810000</v>
      </c>
      <c r="E157" s="23" t="s">
        <v>313</v>
      </c>
      <c r="F157" s="23" t="str">
        <f t="shared" si="4"/>
        <v>rtdc.l.rtdc.4014:itc</v>
      </c>
      <c r="G157" s="8">
        <f t="shared" si="5"/>
        <v>42637.89298611111</v>
      </c>
    </row>
    <row r="158" spans="1:7" x14ac:dyDescent="0.25">
      <c r="A158" s="8">
        <v>42637.907025462962</v>
      </c>
      <c r="B158" s="23" t="s">
        <v>337</v>
      </c>
      <c r="C158" s="23" t="s">
        <v>581</v>
      </c>
      <c r="D158" s="23">
        <v>2230000</v>
      </c>
      <c r="E158" s="23" t="s">
        <v>562</v>
      </c>
      <c r="F158" s="23" t="str">
        <f t="shared" si="4"/>
        <v>rtdc.l.rtdc.4017:itc</v>
      </c>
      <c r="G158" s="8">
        <f t="shared" si="5"/>
        <v>42637.907025462962</v>
      </c>
    </row>
    <row r="159" spans="1:7" x14ac:dyDescent="0.25">
      <c r="A159" s="8">
        <v>42637.914548611108</v>
      </c>
      <c r="B159" s="23" t="s">
        <v>430</v>
      </c>
      <c r="C159" s="23" t="s">
        <v>582</v>
      </c>
      <c r="D159" s="23">
        <v>1800000</v>
      </c>
      <c r="E159" s="23" t="s">
        <v>248</v>
      </c>
      <c r="F159" s="23" t="str">
        <f t="shared" si="4"/>
        <v>rtdc.l.rtdc.4053:itc</v>
      </c>
      <c r="G159" s="8">
        <f t="shared" si="5"/>
        <v>42637.914548611108</v>
      </c>
    </row>
    <row r="160" spans="1:7" x14ac:dyDescent="0.25">
      <c r="A160" s="8">
        <v>42637.927384259259</v>
      </c>
      <c r="B160" s="23" t="s">
        <v>277</v>
      </c>
      <c r="C160" s="23" t="s">
        <v>583</v>
      </c>
      <c r="D160" s="23">
        <v>1810000</v>
      </c>
      <c r="E160" s="23" t="s">
        <v>313</v>
      </c>
      <c r="F160" s="23" t="str">
        <f t="shared" si="4"/>
        <v>rtdc.l.rtdc.4013:itc</v>
      </c>
      <c r="G160" s="8">
        <f t="shared" si="5"/>
        <v>42637.927384259259</v>
      </c>
    </row>
    <row r="161" spans="1:7" x14ac:dyDescent="0.25">
      <c r="A161" s="8">
        <v>42637.934016203704</v>
      </c>
      <c r="B161" s="23" t="s">
        <v>433</v>
      </c>
      <c r="C161" s="23" t="s">
        <v>584</v>
      </c>
      <c r="D161" s="23">
        <v>1480000</v>
      </c>
      <c r="E161" s="23" t="s">
        <v>240</v>
      </c>
      <c r="F161" s="23" t="str">
        <f t="shared" si="4"/>
        <v>rtdc.l.rtdc.4007:itc</v>
      </c>
      <c r="G161" s="8">
        <f t="shared" si="5"/>
        <v>42637.934016203704</v>
      </c>
    </row>
    <row r="162" spans="1:7" x14ac:dyDescent="0.25">
      <c r="A162" s="8">
        <v>42637.950960648152</v>
      </c>
      <c r="B162" s="23" t="s">
        <v>339</v>
      </c>
      <c r="C162" s="23" t="s">
        <v>585</v>
      </c>
      <c r="D162" s="23">
        <v>2230000</v>
      </c>
      <c r="E162" s="23" t="s">
        <v>562</v>
      </c>
      <c r="F162" s="23" t="str">
        <f t="shared" si="4"/>
        <v>rtdc.l.rtdc.4018:itc</v>
      </c>
      <c r="G162" s="8">
        <f t="shared" si="5"/>
        <v>42637.950960648152</v>
      </c>
    </row>
    <row r="163" spans="1:7" x14ac:dyDescent="0.25">
      <c r="A163" s="8">
        <v>42637.954062500001</v>
      </c>
      <c r="B163" s="23" t="s">
        <v>311</v>
      </c>
      <c r="C163" s="23" t="s">
        <v>461</v>
      </c>
      <c r="D163" s="23">
        <v>1800000</v>
      </c>
      <c r="E163" s="23" t="s">
        <v>248</v>
      </c>
      <c r="F163" s="23" t="str">
        <f t="shared" si="4"/>
        <v>rtdc.l.rtdc.4054:itc</v>
      </c>
      <c r="G163" s="8">
        <f t="shared" si="5"/>
        <v>42637.954062500001</v>
      </c>
    </row>
    <row r="164" spans="1:7" x14ac:dyDescent="0.25">
      <c r="A164" s="8">
        <v>42637.971041666664</v>
      </c>
      <c r="B164" s="23" t="s">
        <v>260</v>
      </c>
      <c r="C164" s="23" t="s">
        <v>586</v>
      </c>
      <c r="D164" s="23">
        <v>1480000</v>
      </c>
      <c r="E164" s="23" t="s">
        <v>240</v>
      </c>
      <c r="F164" s="23" t="str">
        <f t="shared" si="4"/>
        <v>rtdc.l.rtdc.4008:itc</v>
      </c>
      <c r="G164" s="8">
        <f t="shared" si="5"/>
        <v>42637.971041666664</v>
      </c>
    </row>
    <row r="165" spans="1:7" x14ac:dyDescent="0.25">
      <c r="A165" s="8">
        <v>42637.975891203707</v>
      </c>
      <c r="B165" s="23" t="s">
        <v>275</v>
      </c>
      <c r="C165" s="23" t="s">
        <v>587</v>
      </c>
      <c r="D165" s="23">
        <v>1810000</v>
      </c>
      <c r="E165" s="23" t="s">
        <v>313</v>
      </c>
      <c r="F165" s="23" t="str">
        <f t="shared" si="4"/>
        <v>rtdc.l.rtdc.4014:itc</v>
      </c>
      <c r="G165" s="8">
        <f t="shared" si="5"/>
        <v>42637.975891203707</v>
      </c>
    </row>
    <row r="166" spans="1:7" x14ac:dyDescent="0.25">
      <c r="A166" s="8">
        <v>42637.986631944441</v>
      </c>
      <c r="B166" s="23" t="s">
        <v>275</v>
      </c>
      <c r="C166" s="23" t="s">
        <v>587</v>
      </c>
      <c r="D166" s="23">
        <v>1810000</v>
      </c>
      <c r="E166" s="23" t="s">
        <v>313</v>
      </c>
      <c r="F166" s="23" t="str">
        <f t="shared" si="4"/>
        <v>rtdc.l.rtdc.4014:itc</v>
      </c>
      <c r="G166" s="8">
        <f t="shared" si="5"/>
        <v>42637.986631944441</v>
      </c>
    </row>
    <row r="167" spans="1:7" x14ac:dyDescent="0.25">
      <c r="A167" s="8">
        <v>42637.994699074072</v>
      </c>
      <c r="B167" s="23" t="s">
        <v>337</v>
      </c>
      <c r="C167" s="23" t="s">
        <v>588</v>
      </c>
      <c r="D167" s="23">
        <v>2230000</v>
      </c>
      <c r="E167" s="23" t="s">
        <v>562</v>
      </c>
      <c r="F167" s="23" t="str">
        <f t="shared" si="4"/>
        <v>rtdc.l.rtdc.4017:itc</v>
      </c>
      <c r="G167" s="8">
        <f t="shared" si="5"/>
        <v>42637.994699074072</v>
      </c>
    </row>
    <row r="168" spans="1:7" x14ac:dyDescent="0.25">
      <c r="A168" s="8">
        <v>42637.999942129631</v>
      </c>
      <c r="B168" s="23" t="s">
        <v>430</v>
      </c>
      <c r="C168" s="23" t="s">
        <v>589</v>
      </c>
      <c r="D168" s="23">
        <v>1800000</v>
      </c>
      <c r="E168" s="23" t="s">
        <v>248</v>
      </c>
      <c r="F168" s="23" t="str">
        <f t="shared" si="4"/>
        <v>rtdc.l.rtdc.4053:itc</v>
      </c>
      <c r="G168" s="8">
        <f t="shared" si="5"/>
        <v>42637.999942129631</v>
      </c>
    </row>
    <row r="169" spans="1:7" x14ac:dyDescent="0.25">
      <c r="A169" s="8">
        <v>42638.008935185186</v>
      </c>
      <c r="B169" s="23" t="s">
        <v>337</v>
      </c>
      <c r="C169" s="23" t="s">
        <v>588</v>
      </c>
      <c r="D169" s="23">
        <v>2230000</v>
      </c>
      <c r="E169" s="23" t="s">
        <v>562</v>
      </c>
      <c r="F169" s="23" t="str">
        <f t="shared" si="4"/>
        <v>rtdc.l.rtdc.4017:itc</v>
      </c>
      <c r="G169" s="8">
        <f t="shared" si="5"/>
        <v>42638.008935185186</v>
      </c>
    </row>
    <row r="170" spans="1:7" x14ac:dyDescent="0.25">
      <c r="A170" s="8">
        <v>42638.010104166664</v>
      </c>
      <c r="B170" s="23" t="s">
        <v>337</v>
      </c>
      <c r="C170" s="23" t="s">
        <v>588</v>
      </c>
      <c r="D170" s="23">
        <v>2230000</v>
      </c>
      <c r="E170" s="23" t="s">
        <v>562</v>
      </c>
      <c r="F170" s="23" t="str">
        <f t="shared" si="4"/>
        <v>rtdc.l.rtdc.4017:itc</v>
      </c>
      <c r="G170" s="8">
        <f t="shared" si="5"/>
        <v>42638.010104166664</v>
      </c>
    </row>
    <row r="171" spans="1:7" x14ac:dyDescent="0.25">
      <c r="A171" s="8">
        <v>42638.013483796298</v>
      </c>
      <c r="B171" s="23" t="s">
        <v>277</v>
      </c>
      <c r="C171" s="23" t="s">
        <v>590</v>
      </c>
      <c r="D171" s="23">
        <v>1810000</v>
      </c>
      <c r="E171" s="23" t="s">
        <v>313</v>
      </c>
      <c r="F171" s="23" t="str">
        <f t="shared" si="4"/>
        <v>rtdc.l.rtdc.4013:itc</v>
      </c>
      <c r="G171" s="8">
        <f t="shared" si="5"/>
        <v>42638.013483796298</v>
      </c>
    </row>
    <row r="172" spans="1:7" x14ac:dyDescent="0.25">
      <c r="A172" s="8">
        <v>42638.01525462963</v>
      </c>
      <c r="B172" s="23" t="s">
        <v>433</v>
      </c>
      <c r="C172" s="23" t="s">
        <v>591</v>
      </c>
      <c r="D172" s="23">
        <v>1480000</v>
      </c>
      <c r="E172" s="23" t="s">
        <v>240</v>
      </c>
      <c r="F172" s="23" t="str">
        <f t="shared" si="4"/>
        <v>rtdc.l.rtdc.4007:itc</v>
      </c>
      <c r="G172" s="8">
        <f t="shared" si="5"/>
        <v>42638.01525462963</v>
      </c>
    </row>
    <row r="173" spans="1:7" x14ac:dyDescent="0.25">
      <c r="A173" s="8">
        <v>42638.036273148151</v>
      </c>
      <c r="B173" s="23" t="s">
        <v>311</v>
      </c>
      <c r="C173" s="23" t="s">
        <v>592</v>
      </c>
      <c r="D173" s="23">
        <v>1800000</v>
      </c>
      <c r="E173" s="23" t="s">
        <v>248</v>
      </c>
      <c r="F173" s="23" t="str">
        <f t="shared" si="4"/>
        <v>rtdc.l.rtdc.4054:itc</v>
      </c>
      <c r="G173" s="8">
        <f t="shared" si="5"/>
        <v>42638.036273148151</v>
      </c>
    </row>
    <row r="174" spans="1:7" x14ac:dyDescent="0.25">
      <c r="A174" s="8">
        <v>42638.039363425924</v>
      </c>
      <c r="B174" s="23" t="s">
        <v>339</v>
      </c>
      <c r="C174" s="23" t="s">
        <v>593</v>
      </c>
      <c r="D174" s="23">
        <v>2230000</v>
      </c>
      <c r="E174" s="23" t="s">
        <v>562</v>
      </c>
      <c r="F174" s="23" t="str">
        <f t="shared" si="4"/>
        <v>rtdc.l.rtdc.4018:itc</v>
      </c>
      <c r="G174" s="8">
        <f t="shared" si="5"/>
        <v>42638.039363425924</v>
      </c>
    </row>
    <row r="175" spans="1:7" x14ac:dyDescent="0.25">
      <c r="A175" s="8">
        <v>42638.051041666666</v>
      </c>
      <c r="B175" s="23" t="s">
        <v>275</v>
      </c>
      <c r="C175" s="23" t="s">
        <v>594</v>
      </c>
      <c r="D175" s="23">
        <v>1810000</v>
      </c>
      <c r="E175" s="23" t="s">
        <v>313</v>
      </c>
      <c r="F175" s="23" t="str">
        <f t="shared" si="4"/>
        <v>rtdc.l.rtdc.4014:itc</v>
      </c>
      <c r="G175" s="8">
        <f t="shared" si="5"/>
        <v>42638.051041666666</v>
      </c>
    </row>
    <row r="176" spans="1:7" x14ac:dyDescent="0.25">
      <c r="A176" s="8">
        <v>42638.055810185186</v>
      </c>
      <c r="B176" s="23" t="s">
        <v>260</v>
      </c>
      <c r="C176" s="23" t="s">
        <v>595</v>
      </c>
      <c r="D176" s="23">
        <v>1480000</v>
      </c>
      <c r="E176" s="23" t="s">
        <v>240</v>
      </c>
      <c r="F176" s="23" t="str">
        <f t="shared" si="4"/>
        <v>rtdc.l.rtdc.4008:itc</v>
      </c>
      <c r="G176" s="8">
        <f t="shared" si="5"/>
        <v>42638.055810185186</v>
      </c>
    </row>
    <row r="177" spans="1:7" x14ac:dyDescent="0.25">
      <c r="A177" s="8">
        <v>42638.071226851855</v>
      </c>
      <c r="B177" s="23" t="s">
        <v>430</v>
      </c>
      <c r="C177" s="23" t="s">
        <v>596</v>
      </c>
      <c r="D177" s="23">
        <v>1800000</v>
      </c>
      <c r="E177" s="23" t="s">
        <v>248</v>
      </c>
      <c r="F177" s="23" t="str">
        <f t="shared" si="4"/>
        <v>rtdc.l.rtdc.4053:itc</v>
      </c>
      <c r="G177" s="8">
        <f t="shared" si="5"/>
        <v>42638.071226851855</v>
      </c>
    </row>
    <row r="178" spans="1:7" x14ac:dyDescent="0.25">
      <c r="A178" s="8">
        <v>42638.073275462964</v>
      </c>
      <c r="B178" s="23" t="s">
        <v>337</v>
      </c>
      <c r="C178" s="23" t="s">
        <v>597</v>
      </c>
      <c r="D178" s="23">
        <v>2230000</v>
      </c>
      <c r="E178" s="23" t="s">
        <v>562</v>
      </c>
      <c r="F178" s="23" t="str">
        <f t="shared" si="4"/>
        <v>rtdc.l.rtdc.4017:itc</v>
      </c>
      <c r="G178" s="8">
        <f t="shared" si="5"/>
        <v>42638.073275462964</v>
      </c>
    </row>
    <row r="179" spans="1:7" x14ac:dyDescent="0.25">
      <c r="A179" s="8">
        <v>42638.076319444444</v>
      </c>
      <c r="B179" s="23" t="s">
        <v>337</v>
      </c>
      <c r="C179" s="23" t="s">
        <v>597</v>
      </c>
      <c r="D179" s="23">
        <v>2230000</v>
      </c>
      <c r="E179" s="23" t="s">
        <v>562</v>
      </c>
      <c r="F179" s="23" t="str">
        <f t="shared" si="4"/>
        <v>rtdc.l.rtdc.4017:itc</v>
      </c>
      <c r="G179" s="8">
        <f t="shared" si="5"/>
        <v>42638.076319444444</v>
      </c>
    </row>
    <row r="180" spans="1:7" x14ac:dyDescent="0.25">
      <c r="A180" s="8">
        <v>42638.092222222222</v>
      </c>
      <c r="B180" s="23" t="s">
        <v>433</v>
      </c>
      <c r="C180" s="23" t="s">
        <v>598</v>
      </c>
      <c r="D180" s="23">
        <v>1480000</v>
      </c>
      <c r="E180" s="23" t="s">
        <v>240</v>
      </c>
      <c r="F180" s="23" t="str">
        <f t="shared" si="4"/>
        <v>rtdc.l.rtdc.4007:itc</v>
      </c>
      <c r="G180" s="8">
        <f t="shared" si="5"/>
        <v>42638.092222222222</v>
      </c>
    </row>
    <row r="181" spans="1:7" x14ac:dyDescent="0.25">
      <c r="A181" s="8">
        <v>42638.094641203701</v>
      </c>
      <c r="B181" s="23" t="s">
        <v>337</v>
      </c>
      <c r="C181" s="23" t="s">
        <v>597</v>
      </c>
      <c r="D181" s="23">
        <v>2230000</v>
      </c>
      <c r="E181" s="23" t="s">
        <v>562</v>
      </c>
      <c r="F181" s="23" t="str">
        <f t="shared" si="4"/>
        <v>rtdc.l.rtdc.4017:itc</v>
      </c>
      <c r="G181" s="8">
        <f t="shared" si="5"/>
        <v>42638.094641203701</v>
      </c>
    </row>
    <row r="182" spans="1:7" x14ac:dyDescent="0.25">
      <c r="B182" s="23"/>
      <c r="C182" s="23"/>
      <c r="D182" s="23"/>
      <c r="E182" s="23"/>
      <c r="F182" s="23">
        <f t="shared" si="4"/>
        <v>0</v>
      </c>
      <c r="G182" s="8">
        <f t="shared" si="5"/>
        <v>0</v>
      </c>
    </row>
    <row r="183" spans="1:7" x14ac:dyDescent="0.25">
      <c r="A183" s="8">
        <v>42636.767314814817</v>
      </c>
      <c r="B183" s="23" t="s">
        <v>336</v>
      </c>
      <c r="C183" s="23" t="s">
        <v>348</v>
      </c>
      <c r="D183" s="23">
        <v>1800000</v>
      </c>
      <c r="E183" s="23" t="s">
        <v>248</v>
      </c>
      <c r="F183" s="23" t="str">
        <f t="shared" si="4"/>
        <v>rtdc.l.rtdc.4040:itc</v>
      </c>
      <c r="G183" s="8">
        <f t="shared" si="5"/>
        <v>42636.767314814817</v>
      </c>
    </row>
    <row r="184" spans="1:7" x14ac:dyDescent="0.25">
      <c r="A184" s="8">
        <v>42636.767314814817</v>
      </c>
      <c r="B184" s="23" t="s">
        <v>239</v>
      </c>
      <c r="C184" s="23" t="s">
        <v>349</v>
      </c>
      <c r="D184" s="23">
        <v>2020000</v>
      </c>
      <c r="E184" s="23" t="s">
        <v>314</v>
      </c>
      <c r="F184" s="23" t="str">
        <f t="shared" si="4"/>
        <v>rtdc.l.rtdc.4043:itc</v>
      </c>
      <c r="G184" s="8">
        <f t="shared" si="5"/>
        <v>42636.767314814817</v>
      </c>
    </row>
    <row r="185" spans="1:7" x14ac:dyDescent="0.25">
      <c r="A185" s="8">
        <v>42636.767754629633</v>
      </c>
      <c r="B185" s="23" t="s">
        <v>281</v>
      </c>
      <c r="C185" s="23" t="s">
        <v>343</v>
      </c>
      <c r="D185" s="23">
        <v>1300000</v>
      </c>
      <c r="E185" s="23" t="s">
        <v>121</v>
      </c>
      <c r="F185" s="23" t="str">
        <f t="shared" si="4"/>
        <v>rtdc.l.rtdc.4005:itc</v>
      </c>
      <c r="G185" s="8">
        <f t="shared" si="5"/>
        <v>42636.767754629633</v>
      </c>
    </row>
    <row r="186" spans="1:7" x14ac:dyDescent="0.25">
      <c r="A186" s="8">
        <v>42636.769849537035</v>
      </c>
      <c r="B186" s="23" t="s">
        <v>252</v>
      </c>
      <c r="C186" s="23" t="s">
        <v>347</v>
      </c>
      <c r="D186" s="23">
        <v>2150000</v>
      </c>
      <c r="E186" s="23" t="s">
        <v>346</v>
      </c>
      <c r="F186" s="23" t="str">
        <f t="shared" si="4"/>
        <v>rtdc.l.rtdc.4012:itc</v>
      </c>
      <c r="G186" s="8">
        <f t="shared" si="5"/>
        <v>42636.769849537035</v>
      </c>
    </row>
    <row r="187" spans="1:7" x14ac:dyDescent="0.25">
      <c r="A187" s="8">
        <v>42636.77144675926</v>
      </c>
      <c r="B187" s="23" t="s">
        <v>339</v>
      </c>
      <c r="C187" s="23" t="s">
        <v>350</v>
      </c>
      <c r="D187" s="23">
        <v>1810000</v>
      </c>
      <c r="E187" s="23" t="s">
        <v>313</v>
      </c>
      <c r="F187" s="23" t="str">
        <f t="shared" si="4"/>
        <v>rtdc.l.rtdc.4018:itc</v>
      </c>
      <c r="G187" s="8">
        <f t="shared" si="5"/>
        <v>42636.77144675926</v>
      </c>
    </row>
    <row r="188" spans="1:7" x14ac:dyDescent="0.25">
      <c r="A188" s="8">
        <v>42636.773854166669</v>
      </c>
      <c r="B188" s="23" t="s">
        <v>296</v>
      </c>
      <c r="C188" s="23" t="s">
        <v>351</v>
      </c>
      <c r="D188" s="23">
        <v>1480000</v>
      </c>
      <c r="E188" s="23" t="s">
        <v>240</v>
      </c>
      <c r="F188" s="23" t="str">
        <f t="shared" si="4"/>
        <v>rtdc.l.rtdc.4016:itc</v>
      </c>
      <c r="G188" s="8">
        <f t="shared" si="5"/>
        <v>42636.773854166669</v>
      </c>
    </row>
    <row r="189" spans="1:7" x14ac:dyDescent="0.25">
      <c r="A189" s="8">
        <v>42636.775590277779</v>
      </c>
      <c r="B189" s="23" t="s">
        <v>164</v>
      </c>
      <c r="C189" s="23" t="s">
        <v>352</v>
      </c>
      <c r="D189" s="23">
        <v>1540000</v>
      </c>
      <c r="E189" s="23" t="s">
        <v>278</v>
      </c>
      <c r="F189" s="23" t="str">
        <f t="shared" si="4"/>
        <v>rtdc.l.rtdc.4019:itc</v>
      </c>
      <c r="G189" s="8">
        <f t="shared" si="5"/>
        <v>42636.775590277779</v>
      </c>
    </row>
    <row r="190" spans="1:7" x14ac:dyDescent="0.25">
      <c r="A190" s="8">
        <v>42636.776099537034</v>
      </c>
      <c r="B190" s="23" t="s">
        <v>299</v>
      </c>
      <c r="C190" s="23" t="s">
        <v>353</v>
      </c>
      <c r="D190" s="23">
        <v>1230000</v>
      </c>
      <c r="E190" s="23" t="s">
        <v>247</v>
      </c>
      <c r="F190" s="23" t="str">
        <f t="shared" si="4"/>
        <v>rtdc.l.rtdc.4028:itc</v>
      </c>
      <c r="G190" s="8">
        <f t="shared" si="5"/>
        <v>42636.776099537034</v>
      </c>
    </row>
    <row r="191" spans="1:7" x14ac:dyDescent="0.25">
      <c r="A191" s="8">
        <v>42636.780034722222</v>
      </c>
      <c r="B191" s="23" t="s">
        <v>279</v>
      </c>
      <c r="C191" s="23" t="s">
        <v>354</v>
      </c>
      <c r="D191" s="23">
        <v>940000</v>
      </c>
      <c r="E191" s="23" t="s">
        <v>345</v>
      </c>
      <c r="F191" s="23" t="str">
        <f t="shared" si="4"/>
        <v>rtdc.l.rtdc.4006:itc</v>
      </c>
      <c r="G191" s="8">
        <f t="shared" si="5"/>
        <v>42636.780034722222</v>
      </c>
    </row>
    <row r="192" spans="1:7" x14ac:dyDescent="0.25">
      <c r="A192" s="8">
        <v>42636.784166666665</v>
      </c>
      <c r="B192" s="23" t="s">
        <v>312</v>
      </c>
      <c r="C192" s="23" t="s">
        <v>355</v>
      </c>
      <c r="D192" s="23">
        <v>1740000</v>
      </c>
      <c r="E192" s="23" t="s">
        <v>280</v>
      </c>
      <c r="F192" s="23" t="str">
        <f t="shared" si="4"/>
        <v>rtdc.l.rtdc.4030:itc</v>
      </c>
      <c r="G192" s="8">
        <f t="shared" si="5"/>
        <v>42636.784166666665</v>
      </c>
    </row>
    <row r="193" spans="1:7" x14ac:dyDescent="0.25">
      <c r="A193" s="8">
        <v>42636.78533564815</v>
      </c>
      <c r="B193" s="23" t="s">
        <v>245</v>
      </c>
      <c r="C193" s="23" t="s">
        <v>356</v>
      </c>
      <c r="D193" s="23">
        <v>2040000</v>
      </c>
      <c r="E193" s="23" t="s">
        <v>300</v>
      </c>
      <c r="F193" s="23" t="str">
        <f t="shared" si="4"/>
        <v>rtdc.l.rtdc.4003:itc</v>
      </c>
      <c r="G193" s="8">
        <f t="shared" si="5"/>
        <v>42636.78533564815</v>
      </c>
    </row>
    <row r="194" spans="1:7" x14ac:dyDescent="0.25">
      <c r="A194" s="8">
        <v>42636.785555555558</v>
      </c>
      <c r="B194" s="23" t="s">
        <v>239</v>
      </c>
      <c r="C194" s="23" t="s">
        <v>349</v>
      </c>
      <c r="D194" s="23">
        <v>2020000</v>
      </c>
      <c r="E194" s="23" t="s">
        <v>314</v>
      </c>
      <c r="F194" s="23" t="str">
        <f t="shared" ref="F194:F235" si="6">B194</f>
        <v>rtdc.l.rtdc.4043:itc</v>
      </c>
      <c r="G194" s="8">
        <f t="shared" ref="G194:G235" si="7">A194</f>
        <v>42636.785555555558</v>
      </c>
    </row>
    <row r="195" spans="1:7" x14ac:dyDescent="0.25">
      <c r="A195" s="8">
        <v>42636.788275462961</v>
      </c>
      <c r="B195" s="23" t="s">
        <v>299</v>
      </c>
      <c r="C195" s="23" t="s">
        <v>353</v>
      </c>
      <c r="D195" s="23">
        <v>1230000</v>
      </c>
      <c r="E195" s="23" t="s">
        <v>247</v>
      </c>
      <c r="F195" s="23" t="str">
        <f t="shared" si="6"/>
        <v>rtdc.l.rtdc.4028:itc</v>
      </c>
      <c r="G195" s="8">
        <f t="shared" si="7"/>
        <v>42636.788275462961</v>
      </c>
    </row>
    <row r="196" spans="1:7" x14ac:dyDescent="0.25">
      <c r="A196" s="8">
        <v>42636.792847222219</v>
      </c>
      <c r="B196" s="23" t="s">
        <v>251</v>
      </c>
      <c r="C196" s="23" t="s">
        <v>357</v>
      </c>
      <c r="D196" s="23">
        <v>1300000</v>
      </c>
      <c r="E196" s="23" t="s">
        <v>121</v>
      </c>
      <c r="F196" s="23" t="str">
        <f t="shared" si="6"/>
        <v>rtdc.l.rtdc.4011:itc</v>
      </c>
      <c r="G196" s="8">
        <f t="shared" si="7"/>
        <v>42636.792847222219</v>
      </c>
    </row>
    <row r="197" spans="1:7" x14ac:dyDescent="0.25">
      <c r="A197" s="8">
        <v>42636.796215277776</v>
      </c>
      <c r="B197" s="23" t="s">
        <v>337</v>
      </c>
      <c r="C197" s="23" t="s">
        <v>358</v>
      </c>
      <c r="D197" s="23">
        <v>1810000</v>
      </c>
      <c r="E197" s="23" t="s">
        <v>313</v>
      </c>
      <c r="F197" s="23" t="str">
        <f t="shared" si="6"/>
        <v>rtdc.l.rtdc.4017:itc</v>
      </c>
      <c r="G197" s="8">
        <f t="shared" si="7"/>
        <v>42636.796215277776</v>
      </c>
    </row>
    <row r="198" spans="1:7" x14ac:dyDescent="0.25">
      <c r="A198" s="8">
        <v>42636.798888888887</v>
      </c>
      <c r="B198" s="23" t="s">
        <v>340</v>
      </c>
      <c r="C198" s="23" t="s">
        <v>359</v>
      </c>
      <c r="D198" s="23">
        <v>1800000</v>
      </c>
      <c r="E198" s="23" t="s">
        <v>248</v>
      </c>
      <c r="F198" s="23" t="str">
        <f t="shared" si="6"/>
        <v>rtdc.l.rtdc.4039:itc</v>
      </c>
      <c r="G198" s="8">
        <f t="shared" si="7"/>
        <v>42636.798888888887</v>
      </c>
    </row>
    <row r="199" spans="1:7" x14ac:dyDescent="0.25">
      <c r="A199" s="8">
        <v>42636.799826388888</v>
      </c>
      <c r="B199" s="23" t="s">
        <v>360</v>
      </c>
      <c r="C199" s="23" t="s">
        <v>361</v>
      </c>
      <c r="D199" s="23">
        <v>2150000</v>
      </c>
      <c r="E199" s="23" t="s">
        <v>346</v>
      </c>
      <c r="F199" s="23" t="str">
        <f t="shared" si="6"/>
        <v>rtdc.l.rtdc.4022:itc</v>
      </c>
      <c r="G199" s="8">
        <f t="shared" si="7"/>
        <v>42636.799826388888</v>
      </c>
    </row>
    <row r="200" spans="1:7" x14ac:dyDescent="0.25">
      <c r="A200" s="8">
        <v>42636.800856481481</v>
      </c>
      <c r="B200" s="23" t="s">
        <v>165</v>
      </c>
      <c r="C200" s="23" t="s">
        <v>362</v>
      </c>
      <c r="D200" s="23">
        <v>1540000</v>
      </c>
      <c r="E200" s="23" t="s">
        <v>278</v>
      </c>
      <c r="F200" s="23" t="str">
        <f t="shared" si="6"/>
        <v>rtdc.l.rtdc.4020:itc</v>
      </c>
      <c r="G200" s="8">
        <f t="shared" si="7"/>
        <v>42636.800856481481</v>
      </c>
    </row>
    <row r="201" spans="1:7" x14ac:dyDescent="0.25">
      <c r="A201" s="8">
        <v>42636.806435185186</v>
      </c>
      <c r="B201" s="23" t="s">
        <v>238</v>
      </c>
      <c r="C201" s="23" t="s">
        <v>363</v>
      </c>
      <c r="D201" s="23">
        <v>2020000</v>
      </c>
      <c r="E201" s="23" t="s">
        <v>314</v>
      </c>
      <c r="F201" s="23" t="str">
        <f t="shared" si="6"/>
        <v>rtdc.l.rtdc.4044:itc</v>
      </c>
      <c r="G201" s="8">
        <f t="shared" si="7"/>
        <v>42636.806435185186</v>
      </c>
    </row>
    <row r="202" spans="1:7" x14ac:dyDescent="0.25">
      <c r="A202" s="29">
        <v>42636.809432870374</v>
      </c>
      <c r="B202" s="23" t="s">
        <v>338</v>
      </c>
      <c r="C202" s="23" t="s">
        <v>364</v>
      </c>
      <c r="D202" s="23">
        <v>1480000</v>
      </c>
      <c r="E202" s="23" t="s">
        <v>240</v>
      </c>
      <c r="F202" s="23" t="str">
        <f t="shared" si="6"/>
        <v>rtdc.l.rtdc.4015:itc</v>
      </c>
      <c r="G202" s="8">
        <f t="shared" si="7"/>
        <v>42636.809432870374</v>
      </c>
    </row>
    <row r="203" spans="1:7" x14ac:dyDescent="0.25">
      <c r="A203" s="8">
        <v>42636.809502314813</v>
      </c>
      <c r="B203" s="23" t="s">
        <v>297</v>
      </c>
      <c r="C203" s="23" t="s">
        <v>365</v>
      </c>
      <c r="D203" s="23">
        <v>1230000</v>
      </c>
      <c r="E203" s="23" t="s">
        <v>247</v>
      </c>
      <c r="F203" s="23" t="str">
        <f t="shared" si="6"/>
        <v>rtdc.l.rtdc.4027:itc</v>
      </c>
      <c r="G203" s="8">
        <f t="shared" si="7"/>
        <v>42636.809502314813</v>
      </c>
    </row>
    <row r="204" spans="1:7" x14ac:dyDescent="0.25">
      <c r="A204" s="8">
        <v>42636.818738425929</v>
      </c>
      <c r="B204" s="23" t="s">
        <v>164</v>
      </c>
      <c r="C204" s="23" t="s">
        <v>366</v>
      </c>
      <c r="D204" s="23">
        <v>1540000</v>
      </c>
      <c r="E204" s="23" t="s">
        <v>278</v>
      </c>
      <c r="F204" s="23" t="str">
        <f t="shared" si="6"/>
        <v>rtdc.l.rtdc.4019:itc</v>
      </c>
      <c r="G204" s="8">
        <f t="shared" si="7"/>
        <v>42636.818738425929</v>
      </c>
    </row>
    <row r="205" spans="1:7" x14ac:dyDescent="0.25">
      <c r="A205" s="8">
        <v>42636.822534722225</v>
      </c>
      <c r="B205" s="23" t="s">
        <v>309</v>
      </c>
      <c r="C205" s="23" t="s">
        <v>367</v>
      </c>
      <c r="D205" s="23">
        <v>1740000</v>
      </c>
      <c r="E205" s="23" t="s">
        <v>280</v>
      </c>
      <c r="F205" s="23" t="str">
        <f t="shared" si="6"/>
        <v>rtdc.l.rtdc.4029:itc</v>
      </c>
      <c r="G205" s="8">
        <f t="shared" si="7"/>
        <v>42636.822534722225</v>
      </c>
    </row>
    <row r="206" spans="1:7" x14ac:dyDescent="0.25">
      <c r="A206" s="8">
        <v>42636.826354166667</v>
      </c>
      <c r="B206" s="23" t="s">
        <v>252</v>
      </c>
      <c r="C206" s="23" t="s">
        <v>368</v>
      </c>
      <c r="D206" s="23">
        <v>1300000</v>
      </c>
      <c r="E206" s="23" t="s">
        <v>121</v>
      </c>
      <c r="F206" s="23" t="str">
        <f t="shared" si="6"/>
        <v>rtdc.l.rtdc.4012:itc</v>
      </c>
      <c r="G206" s="8">
        <f t="shared" si="7"/>
        <v>42636.826354166667</v>
      </c>
    </row>
    <row r="207" spans="1:7" x14ac:dyDescent="0.25">
      <c r="A207" s="8">
        <v>42636.834374999999</v>
      </c>
      <c r="B207" s="23" t="s">
        <v>336</v>
      </c>
      <c r="C207" s="23" t="s">
        <v>369</v>
      </c>
      <c r="D207" s="23">
        <v>1800000</v>
      </c>
      <c r="E207" s="23" t="s">
        <v>248</v>
      </c>
      <c r="F207" s="23" t="str">
        <f t="shared" si="6"/>
        <v>rtdc.l.rtdc.4040:itc</v>
      </c>
      <c r="G207" s="8">
        <f t="shared" si="7"/>
        <v>42636.834374999999</v>
      </c>
    </row>
    <row r="208" spans="1:7" x14ac:dyDescent="0.25">
      <c r="A208" s="8">
        <v>42636.845856481479</v>
      </c>
      <c r="B208" s="23" t="s">
        <v>165</v>
      </c>
      <c r="C208" s="23" t="s">
        <v>370</v>
      </c>
      <c r="D208" s="23">
        <v>1540000</v>
      </c>
      <c r="E208" s="23" t="s">
        <v>278</v>
      </c>
      <c r="F208" s="23" t="str">
        <f t="shared" si="6"/>
        <v>rtdc.l.rtdc.4020:itc</v>
      </c>
      <c r="G208" s="8">
        <f t="shared" si="7"/>
        <v>42636.845856481479</v>
      </c>
    </row>
    <row r="209" spans="1:7" x14ac:dyDescent="0.25">
      <c r="A209" s="8">
        <v>42636.848194444443</v>
      </c>
      <c r="B209" s="23" t="s">
        <v>299</v>
      </c>
      <c r="C209" s="23" t="s">
        <v>371</v>
      </c>
      <c r="D209" s="23">
        <v>1230000</v>
      </c>
      <c r="E209" s="23" t="s">
        <v>247</v>
      </c>
      <c r="F209" s="23" t="str">
        <f t="shared" si="6"/>
        <v>rtdc.l.rtdc.4028:itc</v>
      </c>
      <c r="G209" s="8">
        <f t="shared" si="7"/>
        <v>42636.848194444443</v>
      </c>
    </row>
    <row r="210" spans="1:7" x14ac:dyDescent="0.25">
      <c r="A210" s="8">
        <v>42636.849131944444</v>
      </c>
      <c r="B210" s="23" t="s">
        <v>296</v>
      </c>
      <c r="C210" s="23" t="s">
        <v>372</v>
      </c>
      <c r="D210" s="23">
        <v>1480000</v>
      </c>
      <c r="E210" s="23" t="s">
        <v>240</v>
      </c>
      <c r="F210" s="23" t="str">
        <f t="shared" si="6"/>
        <v>rtdc.l.rtdc.4016:itc</v>
      </c>
      <c r="G210" s="8">
        <f t="shared" si="7"/>
        <v>42636.849131944444</v>
      </c>
    </row>
    <row r="211" spans="1:7" x14ac:dyDescent="0.25">
      <c r="A211" s="8">
        <v>42636.861076388886</v>
      </c>
      <c r="B211" s="23" t="s">
        <v>164</v>
      </c>
      <c r="C211" s="23" t="s">
        <v>373</v>
      </c>
      <c r="D211" s="23">
        <v>1540000</v>
      </c>
      <c r="E211" s="23" t="s">
        <v>278</v>
      </c>
      <c r="F211" s="23" t="str">
        <f t="shared" si="6"/>
        <v>rtdc.l.rtdc.4019:itc</v>
      </c>
      <c r="G211" s="8">
        <f t="shared" si="7"/>
        <v>42636.861076388886</v>
      </c>
    </row>
    <row r="212" spans="1:7" x14ac:dyDescent="0.25">
      <c r="A212" s="8">
        <v>42636.871053240742</v>
      </c>
      <c r="B212" s="23" t="s">
        <v>251</v>
      </c>
      <c r="C212" s="23" t="s">
        <v>374</v>
      </c>
      <c r="D212" s="23">
        <v>1300000</v>
      </c>
      <c r="E212" s="23" t="s">
        <v>121</v>
      </c>
      <c r="F212" s="23" t="str">
        <f t="shared" si="6"/>
        <v>rtdc.l.rtdc.4011:itc</v>
      </c>
      <c r="G212" s="8">
        <f t="shared" si="7"/>
        <v>42636.871053240742</v>
      </c>
    </row>
    <row r="213" spans="1:7" x14ac:dyDescent="0.25">
      <c r="A213" s="8">
        <v>42636.871967592589</v>
      </c>
      <c r="B213" s="23" t="s">
        <v>340</v>
      </c>
      <c r="C213" s="23" t="s">
        <v>375</v>
      </c>
      <c r="D213" s="23">
        <v>1800000</v>
      </c>
      <c r="E213" s="23" t="s">
        <v>248</v>
      </c>
      <c r="F213" s="23" t="str">
        <f t="shared" si="6"/>
        <v>rtdc.l.rtdc.4039:itc</v>
      </c>
      <c r="G213" s="8">
        <f t="shared" si="7"/>
        <v>42636.871967592589</v>
      </c>
    </row>
    <row r="214" spans="1:7" x14ac:dyDescent="0.25">
      <c r="A214" s="8">
        <v>42636.88380787037</v>
      </c>
      <c r="B214" s="23" t="s">
        <v>297</v>
      </c>
      <c r="C214" s="23" t="s">
        <v>376</v>
      </c>
      <c r="D214" s="23">
        <v>1230000</v>
      </c>
      <c r="E214" s="23" t="s">
        <v>247</v>
      </c>
      <c r="F214" s="23" t="str">
        <f t="shared" si="6"/>
        <v>rtdc.l.rtdc.4027:itc</v>
      </c>
      <c r="G214" s="8">
        <f t="shared" si="7"/>
        <v>42636.88380787037</v>
      </c>
    </row>
    <row r="215" spans="1:7" x14ac:dyDescent="0.25">
      <c r="A215" s="8">
        <v>42636.887199074074</v>
      </c>
      <c r="B215" s="23" t="s">
        <v>338</v>
      </c>
      <c r="C215" s="23" t="s">
        <v>377</v>
      </c>
      <c r="D215" s="23">
        <v>1480000</v>
      </c>
      <c r="E215" s="23" t="s">
        <v>240</v>
      </c>
      <c r="F215" s="23" t="str">
        <f t="shared" si="6"/>
        <v>rtdc.l.rtdc.4015:itc</v>
      </c>
      <c r="G215" s="8">
        <f t="shared" si="7"/>
        <v>42636.887199074074</v>
      </c>
    </row>
    <row r="216" spans="1:7" x14ac:dyDescent="0.25">
      <c r="A216" s="8">
        <v>42636.911874999998</v>
      </c>
      <c r="B216" s="23" t="s">
        <v>252</v>
      </c>
      <c r="C216" s="23" t="s">
        <v>378</v>
      </c>
      <c r="D216" s="23">
        <v>1300000</v>
      </c>
      <c r="E216" s="23" t="s">
        <v>121</v>
      </c>
      <c r="F216" s="23" t="str">
        <f t="shared" si="6"/>
        <v>rtdc.l.rtdc.4012:itc</v>
      </c>
      <c r="G216" s="8">
        <f t="shared" si="7"/>
        <v>42636.911874999998</v>
      </c>
    </row>
    <row r="217" spans="1:7" x14ac:dyDescent="0.25">
      <c r="A217" s="8">
        <v>42636.913784722223</v>
      </c>
      <c r="B217" s="23" t="s">
        <v>336</v>
      </c>
      <c r="C217" s="23" t="s">
        <v>379</v>
      </c>
      <c r="D217" s="23">
        <v>1800000</v>
      </c>
      <c r="E217" s="23" t="s">
        <v>248</v>
      </c>
      <c r="F217" s="23" t="str">
        <f t="shared" si="6"/>
        <v>rtdc.l.rtdc.4040:itc</v>
      </c>
      <c r="G217" s="8">
        <f t="shared" si="7"/>
        <v>42636.913784722223</v>
      </c>
    </row>
    <row r="218" spans="1:7" x14ac:dyDescent="0.25">
      <c r="A218" s="8">
        <v>42636.92119212963</v>
      </c>
      <c r="B218" s="23" t="s">
        <v>165</v>
      </c>
      <c r="C218" s="23" t="s">
        <v>380</v>
      </c>
      <c r="D218" s="23">
        <v>1810000</v>
      </c>
      <c r="E218" s="23" t="s">
        <v>313</v>
      </c>
      <c r="F218" s="23" t="str">
        <f t="shared" si="6"/>
        <v>rtdc.l.rtdc.4020:itc</v>
      </c>
      <c r="G218" s="8">
        <f t="shared" si="7"/>
        <v>42636.92119212963</v>
      </c>
    </row>
    <row r="219" spans="1:7" x14ac:dyDescent="0.25">
      <c r="A219" s="8">
        <v>42636.930092592593</v>
      </c>
      <c r="B219" s="23" t="s">
        <v>299</v>
      </c>
      <c r="C219" s="23" t="s">
        <v>381</v>
      </c>
      <c r="D219" s="23">
        <v>1230000</v>
      </c>
      <c r="E219" s="23" t="s">
        <v>247</v>
      </c>
      <c r="F219" s="23" t="str">
        <f t="shared" si="6"/>
        <v>rtdc.l.rtdc.4028:itc</v>
      </c>
      <c r="G219" s="8">
        <f t="shared" si="7"/>
        <v>42636.930092592593</v>
      </c>
    </row>
    <row r="220" spans="1:7" x14ac:dyDescent="0.25">
      <c r="A220" s="8">
        <v>42636.933506944442</v>
      </c>
      <c r="B220" s="23" t="s">
        <v>296</v>
      </c>
      <c r="C220" s="23" t="s">
        <v>382</v>
      </c>
      <c r="D220" s="23">
        <v>1480000</v>
      </c>
      <c r="E220" s="23" t="s">
        <v>240</v>
      </c>
      <c r="F220" s="23" t="str">
        <f t="shared" si="6"/>
        <v>rtdc.l.rtdc.4016:itc</v>
      </c>
      <c r="G220" s="8">
        <f t="shared" si="7"/>
        <v>42636.933506944442</v>
      </c>
    </row>
    <row r="221" spans="1:7" x14ac:dyDescent="0.25">
      <c r="A221" s="8">
        <v>42636.943576388891</v>
      </c>
      <c r="B221" s="23" t="s">
        <v>164</v>
      </c>
      <c r="C221" s="23" t="s">
        <v>383</v>
      </c>
      <c r="D221" s="23">
        <v>1810000</v>
      </c>
      <c r="E221" s="23" t="s">
        <v>313</v>
      </c>
      <c r="F221" s="23" t="str">
        <f t="shared" si="6"/>
        <v>rtdc.l.rtdc.4019:itc</v>
      </c>
      <c r="G221" s="8">
        <f t="shared" si="7"/>
        <v>42636.943576388891</v>
      </c>
    </row>
    <row r="222" spans="1:7" x14ac:dyDescent="0.25">
      <c r="A222" s="8">
        <v>42636.950127314813</v>
      </c>
      <c r="B222" s="23" t="s">
        <v>165</v>
      </c>
      <c r="C222" s="23" t="s">
        <v>383</v>
      </c>
      <c r="D222" s="23">
        <v>1810000</v>
      </c>
      <c r="E222" s="23" t="s">
        <v>313</v>
      </c>
      <c r="F222" s="23" t="str">
        <f t="shared" si="6"/>
        <v>rtdc.l.rtdc.4020:itc</v>
      </c>
      <c r="G222" s="8">
        <f t="shared" si="7"/>
        <v>42636.950127314813</v>
      </c>
    </row>
    <row r="223" spans="1:7" x14ac:dyDescent="0.25">
      <c r="A223" s="8">
        <v>42636.955243055556</v>
      </c>
      <c r="B223" s="23" t="s">
        <v>340</v>
      </c>
      <c r="C223" s="23" t="s">
        <v>384</v>
      </c>
      <c r="D223" s="23">
        <v>1800000</v>
      </c>
      <c r="E223" s="23" t="s">
        <v>248</v>
      </c>
      <c r="F223" s="23" t="str">
        <f t="shared" si="6"/>
        <v>rtdc.l.rtdc.4039:itc</v>
      </c>
      <c r="G223" s="8">
        <f t="shared" si="7"/>
        <v>42636.955243055556</v>
      </c>
    </row>
    <row r="224" spans="1:7" x14ac:dyDescent="0.25">
      <c r="A224" s="8">
        <v>42636.955347222225</v>
      </c>
      <c r="B224" t="s">
        <v>251</v>
      </c>
      <c r="C224" t="s">
        <v>385</v>
      </c>
      <c r="D224">
        <v>1300000</v>
      </c>
      <c r="E224" t="s">
        <v>121</v>
      </c>
      <c r="F224" s="23" t="str">
        <f t="shared" si="6"/>
        <v>rtdc.l.rtdc.4011:itc</v>
      </c>
      <c r="G224" s="8">
        <f t="shared" si="7"/>
        <v>42636.955347222225</v>
      </c>
    </row>
    <row r="225" spans="1:7" x14ac:dyDescent="0.25">
      <c r="A225" s="8">
        <v>42636.964421296296</v>
      </c>
      <c r="B225" t="s">
        <v>297</v>
      </c>
      <c r="C225" t="s">
        <v>386</v>
      </c>
      <c r="D225">
        <v>1230000</v>
      </c>
      <c r="E225" t="s">
        <v>247</v>
      </c>
      <c r="F225" s="23" t="str">
        <f t="shared" si="6"/>
        <v>rtdc.l.rtdc.4027:itc</v>
      </c>
      <c r="G225" s="8">
        <f t="shared" si="7"/>
        <v>42636.964421296296</v>
      </c>
    </row>
    <row r="226" spans="1:7" x14ac:dyDescent="0.25">
      <c r="A226" s="8">
        <v>42636.969097222223</v>
      </c>
      <c r="B226" t="s">
        <v>338</v>
      </c>
      <c r="C226" t="s">
        <v>387</v>
      </c>
      <c r="D226">
        <v>1480000</v>
      </c>
      <c r="E226" t="s">
        <v>240</v>
      </c>
      <c r="F226" s="23" t="str">
        <f t="shared" si="6"/>
        <v>rtdc.l.rtdc.4015:itc</v>
      </c>
      <c r="G226" s="8">
        <f t="shared" si="7"/>
        <v>42636.969097222223</v>
      </c>
    </row>
    <row r="227" spans="1:7" x14ac:dyDescent="0.25">
      <c r="A227" s="8">
        <v>42636.987581018519</v>
      </c>
      <c r="B227" t="s">
        <v>252</v>
      </c>
      <c r="C227" t="s">
        <v>388</v>
      </c>
      <c r="D227">
        <v>1300000</v>
      </c>
      <c r="E227" t="s">
        <v>121</v>
      </c>
      <c r="F227" s="23" t="str">
        <f t="shared" si="6"/>
        <v>rtdc.l.rtdc.4012:itc</v>
      </c>
      <c r="G227" s="8">
        <f t="shared" si="7"/>
        <v>42636.987581018519</v>
      </c>
    </row>
    <row r="228" spans="1:7" x14ac:dyDescent="0.25">
      <c r="A228" s="8">
        <v>42637.000173611108</v>
      </c>
      <c r="B228" t="s">
        <v>336</v>
      </c>
      <c r="C228" t="s">
        <v>389</v>
      </c>
      <c r="D228">
        <v>1800000</v>
      </c>
      <c r="E228" t="s">
        <v>248</v>
      </c>
      <c r="F228" s="23" t="str">
        <f t="shared" si="6"/>
        <v>rtdc.l.rtdc.4040:itc</v>
      </c>
      <c r="G228" s="8">
        <f t="shared" si="7"/>
        <v>42637.000173611108</v>
      </c>
    </row>
    <row r="229" spans="1:7" x14ac:dyDescent="0.25">
      <c r="A229" s="8">
        <v>42637.008425925924</v>
      </c>
      <c r="B229" t="s">
        <v>296</v>
      </c>
      <c r="C229" t="s">
        <v>390</v>
      </c>
      <c r="D229">
        <v>1480000</v>
      </c>
      <c r="E229" t="s">
        <v>240</v>
      </c>
      <c r="F229" s="23" t="str">
        <f t="shared" si="6"/>
        <v>rtdc.l.rtdc.4016:itc</v>
      </c>
      <c r="G229" s="8">
        <f t="shared" si="7"/>
        <v>42637.008425925924</v>
      </c>
    </row>
    <row r="230" spans="1:7" x14ac:dyDescent="0.25">
      <c r="A230" s="8">
        <v>42637.014398148145</v>
      </c>
      <c r="B230" t="s">
        <v>299</v>
      </c>
      <c r="C230" t="s">
        <v>391</v>
      </c>
      <c r="D230">
        <v>1230000</v>
      </c>
      <c r="E230" t="s">
        <v>247</v>
      </c>
      <c r="F230" s="23" t="str">
        <f t="shared" si="6"/>
        <v>rtdc.l.rtdc.4028:itc</v>
      </c>
      <c r="G230" s="8">
        <f t="shared" si="7"/>
        <v>42637.014398148145</v>
      </c>
    </row>
    <row r="231" spans="1:7" x14ac:dyDescent="0.25">
      <c r="A231" s="8">
        <v>42637.038356481484</v>
      </c>
      <c r="B231" t="s">
        <v>340</v>
      </c>
      <c r="C231" t="s">
        <v>392</v>
      </c>
      <c r="D231">
        <v>1800000</v>
      </c>
      <c r="E231" t="s">
        <v>248</v>
      </c>
      <c r="F231" s="23" t="str">
        <f t="shared" si="6"/>
        <v>rtdc.l.rtdc.4039:itc</v>
      </c>
      <c r="G231" s="8">
        <f t="shared" si="7"/>
        <v>42637.038356481484</v>
      </c>
    </row>
    <row r="232" spans="1:7" x14ac:dyDescent="0.25">
      <c r="A232" s="8">
        <v>42637.040567129632</v>
      </c>
      <c r="B232" t="s">
        <v>251</v>
      </c>
      <c r="C232" t="s">
        <v>393</v>
      </c>
      <c r="D232">
        <v>2260000</v>
      </c>
      <c r="E232" t="s">
        <v>130</v>
      </c>
      <c r="F232" s="23" t="str">
        <f t="shared" si="6"/>
        <v>rtdc.l.rtdc.4011:itc</v>
      </c>
      <c r="G232" s="8">
        <f t="shared" si="7"/>
        <v>42637.040567129632</v>
      </c>
    </row>
    <row r="233" spans="1:7" x14ac:dyDescent="0.25">
      <c r="A233" s="8">
        <v>42637.048101851855</v>
      </c>
      <c r="B233" t="s">
        <v>297</v>
      </c>
      <c r="C233" t="s">
        <v>394</v>
      </c>
      <c r="D233">
        <v>1230000</v>
      </c>
      <c r="E233" t="s">
        <v>247</v>
      </c>
      <c r="F233" s="23" t="str">
        <f t="shared" si="6"/>
        <v>rtdc.l.rtdc.4027:itc</v>
      </c>
      <c r="G233" s="8">
        <f t="shared" si="7"/>
        <v>42637.048101851855</v>
      </c>
    </row>
    <row r="234" spans="1:7" x14ac:dyDescent="0.25">
      <c r="A234" s="8">
        <v>42637.051157407404</v>
      </c>
      <c r="B234" t="s">
        <v>338</v>
      </c>
      <c r="C234" t="s">
        <v>395</v>
      </c>
      <c r="D234">
        <v>1480000</v>
      </c>
      <c r="E234" t="s">
        <v>240</v>
      </c>
      <c r="F234" s="23" t="str">
        <f t="shared" si="6"/>
        <v>rtdc.l.rtdc.4015:itc</v>
      </c>
      <c r="G234" s="8">
        <f t="shared" si="7"/>
        <v>42637.051157407404</v>
      </c>
    </row>
    <row r="235" spans="1:7" x14ac:dyDescent="0.25">
      <c r="A235" s="8">
        <v>42637.072418981479</v>
      </c>
      <c r="B235" t="s">
        <v>336</v>
      </c>
      <c r="C235" t="s">
        <v>396</v>
      </c>
      <c r="D235">
        <v>1800000</v>
      </c>
      <c r="E235" t="s">
        <v>248</v>
      </c>
      <c r="F235" s="23" t="str">
        <f t="shared" si="6"/>
        <v>rtdc.l.rtdc.4040:itc</v>
      </c>
      <c r="G235" s="8">
        <f t="shared" si="7"/>
        <v>42637.072418981479</v>
      </c>
    </row>
    <row r="236" spans="1:7" x14ac:dyDescent="0.25">
      <c r="A236" s="8">
        <v>42637.077384259261</v>
      </c>
      <c r="B236" t="s">
        <v>252</v>
      </c>
      <c r="C236" t="s">
        <v>397</v>
      </c>
      <c r="D236">
        <v>2260000</v>
      </c>
      <c r="E236" t="s">
        <v>130</v>
      </c>
      <c r="F236" s="23" t="str">
        <f t="shared" ref="F236:F265" si="8">B236</f>
        <v>rtdc.l.rtdc.4012:itc</v>
      </c>
      <c r="G236" s="8">
        <f t="shared" ref="G236:G265" si="9">A236</f>
        <v>42637.077384259261</v>
      </c>
    </row>
    <row r="237" spans="1:7" x14ac:dyDescent="0.25">
      <c r="A237" s="8">
        <v>42637.09238425926</v>
      </c>
      <c r="B237" t="s">
        <v>296</v>
      </c>
      <c r="C237" t="s">
        <v>398</v>
      </c>
      <c r="D237">
        <v>1480000</v>
      </c>
      <c r="E237" t="s">
        <v>240</v>
      </c>
      <c r="F237" s="23" t="str">
        <f t="shared" si="8"/>
        <v>rtdc.l.rtdc.4016:itc</v>
      </c>
      <c r="G237" s="8">
        <f t="shared" si="9"/>
        <v>42637.09238425926</v>
      </c>
    </row>
    <row r="238" spans="1:7" x14ac:dyDescent="0.25">
      <c r="A238" s="8">
        <v>42637.111817129633</v>
      </c>
      <c r="B238" t="s">
        <v>251</v>
      </c>
      <c r="C238" t="s">
        <v>399</v>
      </c>
      <c r="D238">
        <v>2260000</v>
      </c>
      <c r="E238" t="s">
        <v>130</v>
      </c>
      <c r="F238" s="23" t="str">
        <f t="shared" si="8"/>
        <v>rtdc.l.rtdc.4011:itc</v>
      </c>
      <c r="G238" s="8">
        <f t="shared" si="9"/>
        <v>42637.111817129633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10" sqref="I10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232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269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54.47</v>
      </c>
      <c r="B2" s="154">
        <v>0.76</v>
      </c>
      <c r="C2" s="154">
        <v>32.68</v>
      </c>
      <c r="D2" s="169">
        <v>42637</v>
      </c>
      <c r="E2" s="154">
        <v>0.43</v>
      </c>
      <c r="F2" s="154" t="s">
        <v>272</v>
      </c>
      <c r="G2" s="154">
        <v>303.95999999999998</v>
      </c>
      <c r="H2" s="154">
        <v>2.5000000000000001E-3</v>
      </c>
      <c r="I2" s="154">
        <v>0.06</v>
      </c>
      <c r="J2" s="154" t="s">
        <v>271</v>
      </c>
      <c r="K2" s="154">
        <v>1011.18</v>
      </c>
      <c r="L2" s="154" t="s">
        <v>273</v>
      </c>
      <c r="M2" s="154">
        <v>54.47</v>
      </c>
      <c r="N2" s="154">
        <v>1474696800</v>
      </c>
      <c r="O2" s="154">
        <v>9.39</v>
      </c>
      <c r="P2" s="154">
        <v>232</v>
      </c>
      <c r="Q2" s="154">
        <v>2.77</v>
      </c>
    </row>
    <row r="3" spans="1:17" x14ac:dyDescent="0.25">
      <c r="A3" s="154">
        <v>52.44</v>
      </c>
      <c r="B3" s="154">
        <v>0.57999999999999996</v>
      </c>
      <c r="C3" s="154">
        <v>31.52</v>
      </c>
      <c r="D3" s="169">
        <v>42637.041666666664</v>
      </c>
      <c r="E3" s="154">
        <v>0.45</v>
      </c>
      <c r="F3" s="154" t="s">
        <v>272</v>
      </c>
      <c r="G3" s="154">
        <v>303.29000000000002</v>
      </c>
      <c r="H3" s="154">
        <v>2.3E-3</v>
      </c>
      <c r="I3" s="154">
        <v>0.06</v>
      </c>
      <c r="J3" s="154" t="s">
        <v>271</v>
      </c>
      <c r="K3" s="154">
        <v>1011.69</v>
      </c>
      <c r="L3" s="154" t="s">
        <v>290</v>
      </c>
      <c r="M3" s="154">
        <v>52.44</v>
      </c>
      <c r="N3" s="154">
        <v>1474700400</v>
      </c>
      <c r="O3" s="154">
        <v>9.4499999999999993</v>
      </c>
      <c r="P3" s="154">
        <v>270</v>
      </c>
      <c r="Q3" s="154">
        <v>2.39</v>
      </c>
    </row>
    <row r="4" spans="1:17" x14ac:dyDescent="0.25">
      <c r="A4" s="154">
        <v>51.01</v>
      </c>
      <c r="B4" s="154">
        <v>0.45</v>
      </c>
      <c r="C4" s="154">
        <v>32.130000000000003</v>
      </c>
      <c r="D4" s="169">
        <v>42637.083333333336</v>
      </c>
      <c r="E4" s="154">
        <v>0.48</v>
      </c>
      <c r="F4" s="154" t="s">
        <v>272</v>
      </c>
      <c r="G4" s="154">
        <v>302.62</v>
      </c>
      <c r="H4" s="154">
        <v>1.5E-3</v>
      </c>
      <c r="I4" s="154">
        <v>0.03</v>
      </c>
      <c r="J4" s="154" t="s">
        <v>271</v>
      </c>
      <c r="K4" s="154">
        <v>1012.23</v>
      </c>
      <c r="L4" s="154" t="s">
        <v>290</v>
      </c>
      <c r="M4" s="154">
        <v>51.01</v>
      </c>
      <c r="N4" s="154">
        <v>1474704000</v>
      </c>
      <c r="O4" s="154">
        <v>9.4600000000000009</v>
      </c>
      <c r="P4" s="154">
        <v>212</v>
      </c>
      <c r="Q4" s="154">
        <v>0.41</v>
      </c>
    </row>
    <row r="5" spans="1:17" x14ac:dyDescent="0.25">
      <c r="A5" s="154">
        <v>49.35</v>
      </c>
      <c r="B5" s="154">
        <v>0.33</v>
      </c>
      <c r="C5" s="154">
        <v>33.25</v>
      </c>
      <c r="D5" s="169">
        <v>42637.125</v>
      </c>
      <c r="E5" s="154">
        <v>0.54</v>
      </c>
      <c r="F5" s="154" t="s">
        <v>272</v>
      </c>
      <c r="G5" s="154">
        <v>301.95</v>
      </c>
      <c r="H5" s="154">
        <v>1.1000000000000001E-3</v>
      </c>
      <c r="I5" s="154">
        <v>0.01</v>
      </c>
      <c r="J5" s="154" t="s">
        <v>271</v>
      </c>
      <c r="K5" s="154">
        <v>1012.81</v>
      </c>
      <c r="L5" s="154" t="s">
        <v>290</v>
      </c>
      <c r="M5" s="154">
        <v>49.35</v>
      </c>
      <c r="N5" s="154">
        <v>1474707600</v>
      </c>
      <c r="O5" s="154">
        <v>9.2899999999999991</v>
      </c>
      <c r="P5" s="154">
        <v>138</v>
      </c>
      <c r="Q5" s="154">
        <v>1.75</v>
      </c>
    </row>
    <row r="6" spans="1:17" x14ac:dyDescent="0.25">
      <c r="A6" s="154">
        <v>47.12</v>
      </c>
      <c r="B6" s="154">
        <v>0.2</v>
      </c>
      <c r="C6" s="154">
        <v>32.71</v>
      </c>
      <c r="D6" s="169">
        <v>42637.166666666664</v>
      </c>
      <c r="E6" s="154">
        <v>0.56999999999999995</v>
      </c>
      <c r="F6" s="154" t="s">
        <v>332</v>
      </c>
      <c r="G6" s="154">
        <v>300.14999999999998</v>
      </c>
      <c r="H6" s="154">
        <v>8.0000000000000004E-4</v>
      </c>
      <c r="I6" s="154">
        <v>0.01</v>
      </c>
      <c r="J6" s="154" t="s">
        <v>271</v>
      </c>
      <c r="K6" s="154">
        <v>1013.2</v>
      </c>
      <c r="L6" s="154" t="s">
        <v>333</v>
      </c>
      <c r="M6" s="154">
        <v>47.12</v>
      </c>
      <c r="N6" s="154">
        <v>1474711200</v>
      </c>
      <c r="O6" s="154">
        <v>9.32</v>
      </c>
      <c r="P6" s="154">
        <v>188</v>
      </c>
      <c r="Q6" s="154">
        <v>2.42</v>
      </c>
    </row>
    <row r="7" spans="1:17" x14ac:dyDescent="0.25">
      <c r="A7" s="154">
        <v>45.67</v>
      </c>
      <c r="B7" s="154">
        <v>0.12</v>
      </c>
      <c r="C7" s="154">
        <v>30.71</v>
      </c>
      <c r="D7" s="169">
        <v>42637.208333333336</v>
      </c>
      <c r="E7" s="154">
        <v>0.56000000000000005</v>
      </c>
      <c r="F7" s="154" t="s">
        <v>332</v>
      </c>
      <c r="G7" s="154">
        <v>298.02999999999997</v>
      </c>
      <c r="H7" s="154">
        <v>0</v>
      </c>
      <c r="I7" s="154">
        <v>0</v>
      </c>
      <c r="K7" s="154">
        <v>1013.51</v>
      </c>
      <c r="L7" s="154" t="s">
        <v>333</v>
      </c>
      <c r="M7" s="154">
        <v>45.67</v>
      </c>
      <c r="N7" s="154">
        <v>1474714800</v>
      </c>
      <c r="O7" s="154">
        <v>9.35</v>
      </c>
      <c r="P7" s="154">
        <v>182</v>
      </c>
      <c r="Q7" s="154">
        <v>1.79</v>
      </c>
    </row>
    <row r="8" spans="1:17" x14ac:dyDescent="0.25">
      <c r="A8" s="154">
        <v>45.32</v>
      </c>
      <c r="B8" s="154">
        <v>0.12</v>
      </c>
      <c r="C8" s="154">
        <v>31.78</v>
      </c>
      <c r="D8" s="169">
        <v>42637.25</v>
      </c>
      <c r="E8" s="154">
        <v>0.59</v>
      </c>
      <c r="F8" s="154" t="s">
        <v>332</v>
      </c>
      <c r="G8" s="154">
        <v>296.95999999999998</v>
      </c>
      <c r="H8" s="154">
        <v>0</v>
      </c>
      <c r="I8" s="154">
        <v>0</v>
      </c>
      <c r="K8" s="154">
        <v>1013.74</v>
      </c>
      <c r="L8" s="154" t="s">
        <v>333</v>
      </c>
      <c r="M8" s="154">
        <v>45.32</v>
      </c>
      <c r="N8" s="154">
        <v>1474718400</v>
      </c>
      <c r="O8" s="154">
        <v>9</v>
      </c>
      <c r="P8" s="154">
        <v>213</v>
      </c>
      <c r="Q8" s="154">
        <v>1.99</v>
      </c>
    </row>
    <row r="9" spans="1:17" x14ac:dyDescent="0.25">
      <c r="A9" s="154">
        <v>43.99</v>
      </c>
      <c r="B9" s="154">
        <v>0.11</v>
      </c>
      <c r="C9" s="154">
        <v>29.99</v>
      </c>
      <c r="D9" s="169">
        <v>42637.291666666664</v>
      </c>
      <c r="E9" s="154">
        <v>0.57999999999999996</v>
      </c>
      <c r="F9" s="154" t="s">
        <v>334</v>
      </c>
      <c r="G9" s="154">
        <v>298.05</v>
      </c>
      <c r="H9" s="154">
        <v>0</v>
      </c>
      <c r="I9" s="154">
        <v>0</v>
      </c>
      <c r="K9" s="154">
        <v>1013.8</v>
      </c>
      <c r="L9" s="154" t="s">
        <v>333</v>
      </c>
      <c r="M9" s="154">
        <v>43.99</v>
      </c>
      <c r="N9" s="154">
        <v>1474722000</v>
      </c>
      <c r="O9" s="154">
        <v>8.7100000000000009</v>
      </c>
      <c r="P9" s="154">
        <v>188</v>
      </c>
      <c r="Q9" s="154">
        <v>2.11</v>
      </c>
    </row>
    <row r="10" spans="1:17" x14ac:dyDescent="0.25">
      <c r="A10" s="154">
        <v>47.06</v>
      </c>
      <c r="B10" s="154">
        <v>0.1</v>
      </c>
      <c r="C10" s="154">
        <v>31.48</v>
      </c>
      <c r="D10" s="169">
        <v>42637.333333333336</v>
      </c>
      <c r="E10" s="154">
        <v>0.54</v>
      </c>
      <c r="F10" s="154" t="s">
        <v>334</v>
      </c>
      <c r="G10" s="154">
        <v>300.19</v>
      </c>
      <c r="H10" s="154">
        <v>0</v>
      </c>
      <c r="I10" s="154">
        <v>0</v>
      </c>
      <c r="K10" s="154">
        <v>1013.72</v>
      </c>
      <c r="L10" s="154" t="s">
        <v>333</v>
      </c>
      <c r="M10" s="154">
        <v>47.06</v>
      </c>
      <c r="N10" s="154">
        <v>1474725600</v>
      </c>
      <c r="O10" s="154">
        <v>8.5399999999999991</v>
      </c>
      <c r="P10" s="154">
        <v>211</v>
      </c>
      <c r="Q10" s="154">
        <v>2.5499999999999998</v>
      </c>
    </row>
    <row r="11" spans="1:17" x14ac:dyDescent="0.25">
      <c r="A11" s="154">
        <v>53.01</v>
      </c>
      <c r="B11" s="154">
        <v>0.11</v>
      </c>
      <c r="C11" s="154">
        <v>32.01</v>
      </c>
      <c r="D11" s="169">
        <v>42637.375</v>
      </c>
      <c r="E11" s="154">
        <v>0.45</v>
      </c>
      <c r="F11" s="154" t="s">
        <v>334</v>
      </c>
      <c r="G11" s="154">
        <v>301.51</v>
      </c>
      <c r="H11" s="154">
        <v>0</v>
      </c>
      <c r="I11" s="154">
        <v>0</v>
      </c>
      <c r="K11" s="154">
        <v>1013.54</v>
      </c>
      <c r="L11" s="154" t="s">
        <v>333</v>
      </c>
      <c r="M11" s="154">
        <v>53.01</v>
      </c>
      <c r="N11" s="154">
        <v>1474729200</v>
      </c>
      <c r="O11" s="154">
        <v>8.4600000000000009</v>
      </c>
      <c r="P11" s="154">
        <v>199</v>
      </c>
      <c r="Q11" s="154">
        <v>3.14</v>
      </c>
    </row>
    <row r="12" spans="1:17" x14ac:dyDescent="0.25">
      <c r="A12" s="154">
        <v>58.64</v>
      </c>
      <c r="B12" s="154">
        <v>0.15</v>
      </c>
      <c r="C12" s="154">
        <v>32.24</v>
      </c>
      <c r="D12" s="169">
        <v>42637.416666666664</v>
      </c>
      <c r="E12" s="154">
        <v>0.37</v>
      </c>
      <c r="F12" s="154" t="s">
        <v>334</v>
      </c>
      <c r="G12" s="154">
        <v>300.74</v>
      </c>
      <c r="H12" s="154">
        <v>0</v>
      </c>
      <c r="I12" s="154">
        <v>0</v>
      </c>
      <c r="K12" s="154">
        <v>1013.25</v>
      </c>
      <c r="L12" s="154" t="s">
        <v>333</v>
      </c>
      <c r="M12" s="154">
        <v>58.64</v>
      </c>
      <c r="N12" s="154">
        <v>1474732800</v>
      </c>
      <c r="O12" s="154">
        <v>8.4600000000000009</v>
      </c>
      <c r="P12" s="154">
        <v>195</v>
      </c>
      <c r="Q12" s="154">
        <v>3.74</v>
      </c>
    </row>
    <row r="13" spans="1:17" x14ac:dyDescent="0.25">
      <c r="A13" s="154">
        <v>62.67</v>
      </c>
      <c r="B13" s="154">
        <v>0.22</v>
      </c>
      <c r="C13" s="154">
        <v>31.66</v>
      </c>
      <c r="D13" s="169">
        <v>42637.458333333336</v>
      </c>
      <c r="E13" s="154">
        <v>0.31</v>
      </c>
      <c r="F13" s="154" t="s">
        <v>334</v>
      </c>
      <c r="G13" s="154">
        <v>299.16000000000003</v>
      </c>
      <c r="H13" s="154">
        <v>0</v>
      </c>
      <c r="I13" s="154">
        <v>0</v>
      </c>
      <c r="K13" s="154">
        <v>1012.88</v>
      </c>
      <c r="L13" s="154" t="s">
        <v>333</v>
      </c>
      <c r="M13" s="154">
        <v>62.67</v>
      </c>
      <c r="N13" s="154">
        <v>1474736400</v>
      </c>
      <c r="O13" s="154">
        <v>8.57</v>
      </c>
      <c r="P13" s="154">
        <v>177</v>
      </c>
      <c r="Q13" s="154">
        <v>3.07</v>
      </c>
    </row>
    <row r="14" spans="1:17" x14ac:dyDescent="0.25">
      <c r="A14" s="154">
        <v>65.22</v>
      </c>
      <c r="B14" s="154">
        <v>0.31</v>
      </c>
      <c r="C14" s="154">
        <v>31.59</v>
      </c>
      <c r="D14" s="169">
        <v>42637.5</v>
      </c>
      <c r="E14" s="154">
        <v>0.28000000000000003</v>
      </c>
      <c r="F14" s="154" t="s">
        <v>270</v>
      </c>
      <c r="G14" s="154">
        <v>298.7</v>
      </c>
      <c r="H14" s="154">
        <v>0</v>
      </c>
      <c r="I14" s="154">
        <v>0</v>
      </c>
      <c r="K14" s="154">
        <v>1012.62</v>
      </c>
      <c r="L14" s="154" t="s">
        <v>290</v>
      </c>
      <c r="M14" s="154">
        <v>65.22</v>
      </c>
      <c r="N14" s="154">
        <v>1474740000</v>
      </c>
      <c r="O14" s="154">
        <v>8.67</v>
      </c>
      <c r="P14" s="154">
        <v>181</v>
      </c>
      <c r="Q14" s="154">
        <v>1.36</v>
      </c>
    </row>
    <row r="15" spans="1:17" x14ac:dyDescent="0.25">
      <c r="A15" s="154">
        <v>67.47</v>
      </c>
      <c r="B15" s="154">
        <v>0.35</v>
      </c>
      <c r="C15" s="154">
        <v>31.52</v>
      </c>
      <c r="D15" s="169">
        <v>42637.541666666664</v>
      </c>
      <c r="E15" s="154">
        <v>0.26</v>
      </c>
      <c r="F15" s="154" t="s">
        <v>270</v>
      </c>
      <c r="G15" s="154">
        <v>301.05</v>
      </c>
      <c r="H15" s="154">
        <v>1.9E-3</v>
      </c>
      <c r="I15" s="154">
        <v>0.04</v>
      </c>
      <c r="J15" s="154" t="s">
        <v>271</v>
      </c>
      <c r="K15" s="154">
        <v>1012.44</v>
      </c>
      <c r="L15" s="154" t="s">
        <v>290</v>
      </c>
      <c r="M15" s="154">
        <v>67.47</v>
      </c>
      <c r="N15" s="154">
        <v>1474743600</v>
      </c>
      <c r="O15" s="154">
        <v>8.69</v>
      </c>
      <c r="P15" s="154">
        <v>212</v>
      </c>
      <c r="Q15" s="154">
        <v>0.36</v>
      </c>
    </row>
    <row r="16" spans="1:17" x14ac:dyDescent="0.25">
      <c r="A16" s="154">
        <v>68.349999999999994</v>
      </c>
      <c r="B16" s="154">
        <v>0.37</v>
      </c>
      <c r="C16" s="154">
        <v>30.53</v>
      </c>
      <c r="D16" s="169">
        <v>42637.583333333336</v>
      </c>
      <c r="E16" s="154">
        <v>0.24</v>
      </c>
      <c r="F16" s="154" t="s">
        <v>270</v>
      </c>
      <c r="G16" s="154">
        <v>304.51</v>
      </c>
      <c r="H16" s="154">
        <v>0</v>
      </c>
      <c r="I16" s="154">
        <v>0</v>
      </c>
      <c r="K16" s="154">
        <v>1012.35</v>
      </c>
      <c r="L16" s="154" t="s">
        <v>290</v>
      </c>
      <c r="M16" s="154">
        <v>68.349999999999994</v>
      </c>
      <c r="N16" s="154">
        <v>1474747200</v>
      </c>
      <c r="O16" s="154">
        <v>8.7200000000000006</v>
      </c>
      <c r="P16" s="154">
        <v>327</v>
      </c>
      <c r="Q16" s="154">
        <v>1.69</v>
      </c>
    </row>
    <row r="17" spans="1:17" x14ac:dyDescent="0.25">
      <c r="A17" s="154">
        <v>67.31</v>
      </c>
      <c r="B17" s="154">
        <v>0.35</v>
      </c>
      <c r="C17" s="154">
        <v>30.67</v>
      </c>
      <c r="D17" s="169">
        <v>42637.625</v>
      </c>
      <c r="E17" s="154">
        <v>0.25</v>
      </c>
      <c r="F17" s="154" t="s">
        <v>270</v>
      </c>
      <c r="G17" s="154">
        <v>305.99</v>
      </c>
      <c r="H17" s="154">
        <v>0</v>
      </c>
      <c r="I17" s="154">
        <v>0</v>
      </c>
      <c r="K17" s="154">
        <v>1012.52</v>
      </c>
      <c r="L17" s="154" t="s">
        <v>290</v>
      </c>
      <c r="M17" s="154">
        <v>67.31</v>
      </c>
      <c r="N17" s="154">
        <v>1474750800</v>
      </c>
      <c r="O17" s="154">
        <v>8.7899999999999991</v>
      </c>
      <c r="P17" s="154">
        <v>307</v>
      </c>
      <c r="Q17" s="154">
        <v>3.87</v>
      </c>
    </row>
    <row r="18" spans="1:17" x14ac:dyDescent="0.25">
      <c r="A18" s="154">
        <v>66.56</v>
      </c>
      <c r="B18" s="154">
        <v>0.35</v>
      </c>
      <c r="C18" s="154">
        <v>28.83</v>
      </c>
      <c r="D18" s="169">
        <v>42637.666666666664</v>
      </c>
      <c r="E18" s="154">
        <v>0.24</v>
      </c>
      <c r="F18" s="154" t="s">
        <v>270</v>
      </c>
      <c r="G18" s="154">
        <v>303.81</v>
      </c>
      <c r="H18" s="154">
        <v>0</v>
      </c>
      <c r="I18" s="154">
        <v>0</v>
      </c>
      <c r="K18" s="154">
        <v>1013.07</v>
      </c>
      <c r="L18" s="154" t="s">
        <v>290</v>
      </c>
      <c r="M18" s="154">
        <v>66.56</v>
      </c>
      <c r="N18" s="154">
        <v>1474754400</v>
      </c>
      <c r="O18" s="154">
        <v>8.83</v>
      </c>
      <c r="P18" s="154">
        <v>298</v>
      </c>
      <c r="Q18" s="154">
        <v>5.81</v>
      </c>
    </row>
    <row r="19" spans="1:17" x14ac:dyDescent="0.25">
      <c r="A19" s="154">
        <v>65.72</v>
      </c>
      <c r="B19" s="154">
        <v>0.31</v>
      </c>
      <c r="C19" s="154">
        <v>29.22</v>
      </c>
      <c r="D19" s="169">
        <v>42637.708333333336</v>
      </c>
      <c r="E19" s="154">
        <v>0.25</v>
      </c>
      <c r="F19" s="154" t="s">
        <v>270</v>
      </c>
      <c r="G19" s="154">
        <v>299.64</v>
      </c>
      <c r="H19" s="154">
        <v>0</v>
      </c>
      <c r="I19" s="154">
        <v>0</v>
      </c>
      <c r="K19" s="154">
        <v>1013.91</v>
      </c>
      <c r="L19" s="154" t="s">
        <v>290</v>
      </c>
      <c r="M19" s="154">
        <v>65.72</v>
      </c>
      <c r="N19" s="154">
        <v>1474758000</v>
      </c>
      <c r="O19" s="154">
        <v>8.91</v>
      </c>
      <c r="P19" s="154">
        <v>292</v>
      </c>
      <c r="Q19" s="154">
        <v>9.5500000000000007</v>
      </c>
    </row>
    <row r="20" spans="1:17" x14ac:dyDescent="0.25">
      <c r="A20" s="154">
        <v>62.92</v>
      </c>
      <c r="B20" s="154">
        <v>0.34</v>
      </c>
      <c r="C20" s="154">
        <v>30.33</v>
      </c>
      <c r="D20" s="169">
        <v>42637.75</v>
      </c>
      <c r="E20" s="154">
        <v>0.28999999999999998</v>
      </c>
      <c r="F20" s="154" t="s">
        <v>270</v>
      </c>
      <c r="G20" s="154">
        <v>295.35000000000002</v>
      </c>
      <c r="H20" s="154">
        <v>0</v>
      </c>
      <c r="I20" s="154">
        <v>0</v>
      </c>
      <c r="K20" s="154">
        <v>1014.97</v>
      </c>
      <c r="L20" s="154" t="s">
        <v>290</v>
      </c>
      <c r="M20" s="154">
        <v>62.92</v>
      </c>
      <c r="N20" s="154">
        <v>1474761600</v>
      </c>
      <c r="O20" s="154">
        <v>9.06</v>
      </c>
      <c r="P20" s="154">
        <v>294</v>
      </c>
      <c r="Q20" s="154">
        <v>10.68</v>
      </c>
    </row>
    <row r="21" spans="1:17" x14ac:dyDescent="0.25">
      <c r="A21" s="154">
        <v>59.54</v>
      </c>
      <c r="B21" s="154">
        <v>0.4</v>
      </c>
      <c r="C21" s="154">
        <v>31.47</v>
      </c>
      <c r="D21" s="169">
        <v>42637.791666666664</v>
      </c>
      <c r="E21" s="154">
        <v>0.34</v>
      </c>
      <c r="F21" s="154" t="s">
        <v>272</v>
      </c>
      <c r="G21" s="154">
        <v>291.12</v>
      </c>
      <c r="H21" s="154">
        <v>0</v>
      </c>
      <c r="I21" s="154">
        <v>0</v>
      </c>
      <c r="K21" s="154">
        <v>1016.06</v>
      </c>
      <c r="L21" s="154" t="s">
        <v>290</v>
      </c>
      <c r="M21" s="154">
        <v>59.54</v>
      </c>
      <c r="N21" s="154">
        <v>1474765200</v>
      </c>
      <c r="O21" s="154">
        <v>9.24</v>
      </c>
      <c r="P21" s="154">
        <v>294</v>
      </c>
      <c r="Q21" s="154">
        <v>7.21</v>
      </c>
    </row>
    <row r="22" spans="1:17" x14ac:dyDescent="0.25">
      <c r="A22" s="154">
        <v>56.12</v>
      </c>
      <c r="B22" s="154">
        <v>0.34</v>
      </c>
      <c r="C22" s="154">
        <v>31.77</v>
      </c>
      <c r="D22" s="169">
        <v>42637.833333333336</v>
      </c>
      <c r="E22" s="154">
        <v>0.39</v>
      </c>
      <c r="F22" s="154" t="s">
        <v>272</v>
      </c>
      <c r="G22" s="154">
        <v>286.77</v>
      </c>
      <c r="H22" s="154">
        <v>0</v>
      </c>
      <c r="I22" s="154">
        <v>0</v>
      </c>
      <c r="K22" s="154">
        <v>1017.61</v>
      </c>
      <c r="L22" s="154" t="s">
        <v>290</v>
      </c>
      <c r="M22" s="154">
        <v>56.12</v>
      </c>
      <c r="N22" s="154">
        <v>1474768800</v>
      </c>
      <c r="O22" s="154">
        <v>9.44</v>
      </c>
      <c r="P22" s="154">
        <v>288</v>
      </c>
      <c r="Q22" s="154">
        <v>4.58</v>
      </c>
    </row>
    <row r="23" spans="1:17" x14ac:dyDescent="0.25">
      <c r="A23" s="154">
        <v>54.08</v>
      </c>
      <c r="B23" s="154">
        <v>0.32</v>
      </c>
      <c r="C23" s="154">
        <v>32.869999999999997</v>
      </c>
      <c r="D23" s="169">
        <v>42637.875</v>
      </c>
      <c r="E23" s="154">
        <v>0.44</v>
      </c>
      <c r="F23" s="154" t="s">
        <v>272</v>
      </c>
      <c r="G23" s="154">
        <v>283.58999999999997</v>
      </c>
      <c r="H23" s="154">
        <v>0</v>
      </c>
      <c r="I23" s="154">
        <v>0</v>
      </c>
      <c r="K23" s="154">
        <v>1019.15</v>
      </c>
      <c r="L23" s="154" t="s">
        <v>290</v>
      </c>
      <c r="M23" s="154">
        <v>54.08</v>
      </c>
      <c r="N23" s="154">
        <v>1474772400</v>
      </c>
      <c r="O23" s="154">
        <v>9.6300000000000008</v>
      </c>
      <c r="P23" s="154">
        <v>314</v>
      </c>
      <c r="Q23" s="154">
        <v>2.89</v>
      </c>
    </row>
    <row r="24" spans="1:17" x14ac:dyDescent="0.25">
      <c r="A24" s="154">
        <v>51.92</v>
      </c>
      <c r="B24" s="154">
        <v>0.4</v>
      </c>
      <c r="C24" s="154">
        <v>32.450000000000003</v>
      </c>
      <c r="D24" s="169">
        <v>42637.916666666664</v>
      </c>
      <c r="E24" s="154">
        <v>0.47</v>
      </c>
      <c r="F24" s="154" t="s">
        <v>272</v>
      </c>
      <c r="G24" s="154">
        <v>282.32</v>
      </c>
      <c r="H24" s="154">
        <v>0</v>
      </c>
      <c r="I24" s="154">
        <v>0</v>
      </c>
      <c r="K24" s="154">
        <v>1020.46</v>
      </c>
      <c r="L24" s="154" t="s">
        <v>290</v>
      </c>
      <c r="M24" s="154">
        <v>51.92</v>
      </c>
      <c r="N24" s="154">
        <v>1474776000</v>
      </c>
      <c r="O24" s="154">
        <v>9.7100000000000009</v>
      </c>
      <c r="P24" s="154">
        <v>338</v>
      </c>
      <c r="Q24" s="154">
        <v>1.62</v>
      </c>
    </row>
    <row r="25" spans="1:17" x14ac:dyDescent="0.25">
      <c r="A25" s="154">
        <v>51.21</v>
      </c>
      <c r="B25" s="154">
        <v>0.46</v>
      </c>
      <c r="C25" s="154">
        <v>34.200000000000003</v>
      </c>
      <c r="D25" s="169">
        <v>42637.958333333336</v>
      </c>
      <c r="E25" s="154">
        <v>0.52</v>
      </c>
      <c r="F25" s="154" t="s">
        <v>272</v>
      </c>
      <c r="G25" s="154">
        <v>282.22000000000003</v>
      </c>
      <c r="H25" s="154">
        <v>0</v>
      </c>
      <c r="I25" s="154">
        <v>0</v>
      </c>
      <c r="K25" s="154">
        <v>1021.63</v>
      </c>
      <c r="L25" s="154" t="s">
        <v>290</v>
      </c>
      <c r="M25" s="154">
        <v>51.21</v>
      </c>
      <c r="N25" s="154">
        <v>1474779600</v>
      </c>
      <c r="O25" s="154">
        <v>9.66</v>
      </c>
      <c r="P25" s="154">
        <v>2</v>
      </c>
      <c r="Q25" s="154">
        <v>1.98</v>
      </c>
    </row>
    <row r="26" spans="1:17" x14ac:dyDescent="0.25">
      <c r="A26" s="154">
        <v>49.24</v>
      </c>
      <c r="B26" s="154">
        <v>0.53</v>
      </c>
      <c r="C26" s="154">
        <v>34.229999999999997</v>
      </c>
      <c r="D26" s="169">
        <v>42638</v>
      </c>
      <c r="E26" s="154">
        <v>0.56000000000000005</v>
      </c>
      <c r="F26" s="154" t="s">
        <v>272</v>
      </c>
      <c r="G26" s="154">
        <v>282.33999999999997</v>
      </c>
      <c r="H26" s="154">
        <v>0</v>
      </c>
      <c r="I26" s="154">
        <v>0</v>
      </c>
      <c r="K26" s="154">
        <v>1022.68</v>
      </c>
      <c r="L26" s="154" t="s">
        <v>290</v>
      </c>
      <c r="M26" s="154">
        <v>49.24</v>
      </c>
      <c r="N26" s="154">
        <v>1474783200</v>
      </c>
      <c r="O26" s="154">
        <v>9.68</v>
      </c>
      <c r="P26" s="154">
        <v>4</v>
      </c>
      <c r="Q26" s="154">
        <v>1.56</v>
      </c>
    </row>
    <row r="27" spans="1:17" x14ac:dyDescent="0.25">
      <c r="A27" s="154">
        <v>47.98</v>
      </c>
      <c r="B27" s="154">
        <v>0.61</v>
      </c>
      <c r="C27" s="154">
        <v>33.799999999999997</v>
      </c>
      <c r="D27" s="169">
        <v>42638.041666666664</v>
      </c>
      <c r="E27" s="154">
        <v>0.57999999999999996</v>
      </c>
      <c r="F27" s="154" t="s">
        <v>272</v>
      </c>
      <c r="G27" s="154">
        <v>282.58</v>
      </c>
      <c r="H27" s="154">
        <v>0</v>
      </c>
      <c r="I27" s="154">
        <v>0</v>
      </c>
      <c r="K27" s="154">
        <v>1023.55</v>
      </c>
      <c r="L27" s="154" t="s">
        <v>273</v>
      </c>
      <c r="M27" s="154">
        <v>47.98</v>
      </c>
      <c r="N27" s="154">
        <v>1474786800</v>
      </c>
      <c r="O27" s="154">
        <v>9.6999999999999993</v>
      </c>
      <c r="P27" s="154">
        <v>192</v>
      </c>
      <c r="Q27" s="154">
        <v>1.31</v>
      </c>
    </row>
    <row r="28" spans="1:17" x14ac:dyDescent="0.25">
      <c r="A28" s="154">
        <v>47.36</v>
      </c>
      <c r="B28" s="154">
        <v>0.67</v>
      </c>
      <c r="C28" s="154">
        <v>33.700000000000003</v>
      </c>
      <c r="D28" s="169">
        <v>42638.083333333336</v>
      </c>
      <c r="E28" s="154">
        <v>0.59</v>
      </c>
      <c r="F28" s="154" t="s">
        <v>272</v>
      </c>
      <c r="G28" s="154">
        <v>282.83</v>
      </c>
      <c r="H28" s="154">
        <v>0</v>
      </c>
      <c r="I28" s="154">
        <v>0</v>
      </c>
      <c r="K28" s="154">
        <v>1024.4100000000001</v>
      </c>
      <c r="L28" s="154" t="s">
        <v>273</v>
      </c>
      <c r="M28" s="154">
        <v>47.36</v>
      </c>
      <c r="N28" s="154">
        <v>1474790400</v>
      </c>
      <c r="O28" s="154">
        <v>9.6999999999999993</v>
      </c>
      <c r="P28" s="154">
        <v>168</v>
      </c>
      <c r="Q28" s="154">
        <v>1.38</v>
      </c>
    </row>
    <row r="29" spans="1:17" x14ac:dyDescent="0.25">
      <c r="A29" s="154">
        <v>46.58</v>
      </c>
      <c r="B29" s="154">
        <v>0.75</v>
      </c>
      <c r="C29" s="154">
        <v>33.85</v>
      </c>
      <c r="D29" s="169">
        <v>42638.125</v>
      </c>
      <c r="E29" s="154">
        <v>0.61</v>
      </c>
      <c r="F29" s="154" t="s">
        <v>272</v>
      </c>
      <c r="G29" s="154">
        <v>283.08</v>
      </c>
      <c r="H29" s="154">
        <v>0</v>
      </c>
      <c r="I29" s="154">
        <v>0</v>
      </c>
      <c r="K29" s="154">
        <v>1025.26</v>
      </c>
      <c r="L29" s="154" t="s">
        <v>273</v>
      </c>
      <c r="M29" s="154">
        <v>46.58</v>
      </c>
      <c r="N29" s="154">
        <v>1474794000</v>
      </c>
      <c r="O29" s="154">
        <v>9.39</v>
      </c>
      <c r="P29" s="154">
        <v>186</v>
      </c>
      <c r="Q29" s="154">
        <v>2.41</v>
      </c>
    </row>
    <row r="31" spans="1:17" x14ac:dyDescent="0.25">
      <c r="A31" s="154" t="s">
        <v>599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42637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C:\Users\stu\Documents\GitHub\eaglep3-reporting\EC\2016-09-24-refined-times.txt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241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242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2016-09-26T16:04:43Z</dcterms:modified>
</cp:coreProperties>
</file>