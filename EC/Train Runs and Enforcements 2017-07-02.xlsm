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Trips'!$A$2:$J$51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4" i="1" l="1"/>
  <c r="M164" i="1"/>
  <c r="N164" i="1" s="1"/>
  <c r="V164" i="1"/>
  <c r="Y164" i="1"/>
  <c r="Z164" i="1"/>
  <c r="AB164" i="1"/>
  <c r="AC164" i="1"/>
  <c r="AD164" i="1"/>
  <c r="T164" i="1" s="1"/>
  <c r="AE164" i="1"/>
  <c r="AF164" i="1"/>
  <c r="AH164" i="1"/>
  <c r="AM164" i="1"/>
  <c r="AN164" i="1"/>
  <c r="AG164" i="1"/>
  <c r="AA164" i="1" l="1"/>
  <c r="W164" i="1" s="1"/>
  <c r="AI164" i="1"/>
  <c r="U164" i="1"/>
  <c r="S164" i="1" s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X22" i="1" s="1"/>
  <c r="AE22" i="1"/>
  <c r="AF22" i="1"/>
  <c r="AH22" i="1"/>
  <c r="AM22" i="1"/>
  <c r="AN22" i="1"/>
  <c r="K23" i="1"/>
  <c r="L23" i="1"/>
  <c r="M23" i="1"/>
  <c r="V23" i="1"/>
  <c r="S41" i="3" s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36" i="3" s="1"/>
  <c r="Y31" i="1"/>
  <c r="Z31" i="1"/>
  <c r="AB31" i="1"/>
  <c r="AC31" i="1"/>
  <c r="AD31" i="1"/>
  <c r="T31" i="1" s="1"/>
  <c r="AE31" i="1"/>
  <c r="R36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24" i="3" s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AA43" i="1" s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S25" i="3" s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S16" i="3" s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R26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R45" i="3" s="1"/>
  <c r="AF65" i="1"/>
  <c r="AH65" i="1"/>
  <c r="AM65" i="1"/>
  <c r="AN65" i="1"/>
  <c r="K66" i="1"/>
  <c r="L66" i="1"/>
  <c r="M66" i="1"/>
  <c r="N66" i="1"/>
  <c r="V66" i="1"/>
  <c r="S52" i="3" s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R18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R11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S27" i="3" s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S19" i="3" s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R30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S46" i="3" s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/>
  <c r="V86" i="1"/>
  <c r="S12" i="3" s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R20" i="3" s="1"/>
  <c r="AF89" i="1"/>
  <c r="AH89" i="1"/>
  <c r="AM89" i="1"/>
  <c r="AN89" i="1"/>
  <c r="K90" i="1"/>
  <c r="L90" i="1"/>
  <c r="M90" i="1"/>
  <c r="P90" i="1" s="1"/>
  <c r="V90" i="1"/>
  <c r="S53" i="3" s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S21" i="3" s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95" i="1"/>
  <c r="AM95" i="1"/>
  <c r="AN9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96" i="1"/>
  <c r="AM96" i="1"/>
  <c r="AN96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97" i="1"/>
  <c r="AM97" i="1"/>
  <c r="AN9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98" i="1"/>
  <c r="AM98" i="1"/>
  <c r="AN9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99" i="1"/>
  <c r="AM99" i="1"/>
  <c r="AN9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0" i="1"/>
  <c r="AM100" i="1"/>
  <c r="AN100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01" i="1"/>
  <c r="AM101" i="1"/>
  <c r="AN10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2" i="1"/>
  <c r="AM102" i="1"/>
  <c r="AN10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3" i="1"/>
  <c r="AM103" i="1"/>
  <c r="AN10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05" i="1"/>
  <c r="AM105" i="1"/>
  <c r="AN10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06" i="1"/>
  <c r="AM106" i="1"/>
  <c r="AN10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07" i="1"/>
  <c r="AM107" i="1"/>
  <c r="AN10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08" i="1"/>
  <c r="AM108" i="1"/>
  <c r="AN10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09" i="1"/>
  <c r="AM109" i="1"/>
  <c r="AN10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0" i="1"/>
  <c r="AM110" i="1"/>
  <c r="AN110" i="1"/>
  <c r="K181" i="1"/>
  <c r="L181" i="1"/>
  <c r="M181" i="1"/>
  <c r="N181" i="1"/>
  <c r="V181" i="1"/>
  <c r="Y181" i="1"/>
  <c r="Z181" i="1"/>
  <c r="AB181" i="1"/>
  <c r="AC181" i="1"/>
  <c r="AD181" i="1"/>
  <c r="T181" i="1" s="1"/>
  <c r="AE181" i="1"/>
  <c r="AF181" i="1"/>
  <c r="AH111" i="1"/>
  <c r="AM111" i="1"/>
  <c r="AN111" i="1"/>
  <c r="K182" i="1"/>
  <c r="L182" i="1"/>
  <c r="M182" i="1"/>
  <c r="N182" i="1" s="1"/>
  <c r="V182" i="1"/>
  <c r="Y182" i="1"/>
  <c r="Z182" i="1"/>
  <c r="AB182" i="1"/>
  <c r="AC182" i="1"/>
  <c r="AD182" i="1"/>
  <c r="AE182" i="1"/>
  <c r="R61" i="3" s="1"/>
  <c r="AF182" i="1"/>
  <c r="AH112" i="1"/>
  <c r="AM112" i="1"/>
  <c r="AN11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3" i="1"/>
  <c r="AM113" i="1"/>
  <c r="AN11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4" i="1"/>
  <c r="AM114" i="1"/>
  <c r="AN11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R58" i="3" s="1"/>
  <c r="AF185" i="1"/>
  <c r="AH115" i="1"/>
  <c r="AM115" i="1"/>
  <c r="AN11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16" i="1"/>
  <c r="AM116" i="1"/>
  <c r="AN116" i="1"/>
  <c r="K186" i="1"/>
  <c r="L186" i="1"/>
  <c r="M186" i="1"/>
  <c r="N186" i="1" s="1"/>
  <c r="V186" i="1"/>
  <c r="Y186" i="1"/>
  <c r="Z186" i="1"/>
  <c r="AB186" i="1"/>
  <c r="AC186" i="1"/>
  <c r="AD186" i="1"/>
  <c r="AE186" i="1"/>
  <c r="R62" i="3" s="1"/>
  <c r="AF186" i="1"/>
  <c r="AH117" i="1"/>
  <c r="AM117" i="1"/>
  <c r="AN11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18" i="1"/>
  <c r="AM118" i="1"/>
  <c r="AN118" i="1"/>
  <c r="K188" i="1"/>
  <c r="L188" i="1"/>
  <c r="M188" i="1"/>
  <c r="N188" i="1" s="1"/>
  <c r="V188" i="1"/>
  <c r="S63" i="3" s="1"/>
  <c r="Y188" i="1"/>
  <c r="Z188" i="1"/>
  <c r="AB188" i="1"/>
  <c r="AC188" i="1"/>
  <c r="AD188" i="1"/>
  <c r="T188" i="1" s="1"/>
  <c r="AE188" i="1"/>
  <c r="R63" i="3" s="1"/>
  <c r="AF188" i="1"/>
  <c r="AH119" i="1"/>
  <c r="AM119" i="1"/>
  <c r="AN119" i="1"/>
  <c r="K189" i="1"/>
  <c r="L189" i="1"/>
  <c r="M189" i="1"/>
  <c r="N189" i="1" s="1"/>
  <c r="V189" i="1"/>
  <c r="S59" i="3" s="1"/>
  <c r="Y189" i="1"/>
  <c r="Z189" i="1"/>
  <c r="AB189" i="1"/>
  <c r="AC189" i="1"/>
  <c r="AD189" i="1"/>
  <c r="T189" i="1" s="1"/>
  <c r="AE189" i="1"/>
  <c r="AF189" i="1"/>
  <c r="AH120" i="1"/>
  <c r="AM120" i="1"/>
  <c r="AN12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1" i="1"/>
  <c r="AM121" i="1"/>
  <c r="AN12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2" i="1"/>
  <c r="AM122" i="1"/>
  <c r="AN12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3" i="1"/>
  <c r="AM123" i="1"/>
  <c r="AN12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4" i="1"/>
  <c r="AM124" i="1"/>
  <c r="AN124" i="1"/>
  <c r="K194" i="1"/>
  <c r="L194" i="1"/>
  <c r="M194" i="1"/>
  <c r="N194" i="1" s="1"/>
  <c r="V194" i="1"/>
  <c r="S64" i="3" s="1"/>
  <c r="Y194" i="1"/>
  <c r="Z194" i="1"/>
  <c r="AB194" i="1"/>
  <c r="AC194" i="1"/>
  <c r="AD194" i="1"/>
  <c r="AE194" i="1"/>
  <c r="R64" i="3" s="1"/>
  <c r="AF194" i="1"/>
  <c r="AH125" i="1"/>
  <c r="AM125" i="1"/>
  <c r="AN125" i="1"/>
  <c r="K195" i="1"/>
  <c r="L195" i="1"/>
  <c r="M195" i="1"/>
  <c r="P195" i="1" s="1"/>
  <c r="V195" i="1"/>
  <c r="AB195" i="1"/>
  <c r="AC195" i="1"/>
  <c r="AD195" i="1"/>
  <c r="AE195" i="1"/>
  <c r="AF195" i="1"/>
  <c r="AH126" i="1"/>
  <c r="AM126" i="1"/>
  <c r="AN126" i="1"/>
  <c r="K97" i="1"/>
  <c r="L97" i="1"/>
  <c r="M97" i="1"/>
  <c r="P97" i="1" s="1"/>
  <c r="V97" i="1"/>
  <c r="S13" i="3" s="1"/>
  <c r="Y97" i="1"/>
  <c r="Z97" i="1"/>
  <c r="AB97" i="1"/>
  <c r="AC97" i="1"/>
  <c r="AD97" i="1"/>
  <c r="T97" i="1" s="1"/>
  <c r="AE97" i="1"/>
  <c r="R13" i="3" s="1"/>
  <c r="AF97" i="1"/>
  <c r="AH127" i="1"/>
  <c r="AM127" i="1"/>
  <c r="AN127" i="1"/>
  <c r="K98" i="1"/>
  <c r="L98" i="1"/>
  <c r="M98" i="1"/>
  <c r="V98" i="1"/>
  <c r="Y98" i="1"/>
  <c r="Z98" i="1"/>
  <c r="AB98" i="1"/>
  <c r="AC98" i="1"/>
  <c r="AD98" i="1"/>
  <c r="T98" i="1" s="1"/>
  <c r="AE98" i="1"/>
  <c r="AF98" i="1"/>
  <c r="AH128" i="1"/>
  <c r="AM128" i="1"/>
  <c r="AN128" i="1"/>
  <c r="K99" i="1"/>
  <c r="L99" i="1"/>
  <c r="M99" i="1"/>
  <c r="V99" i="1"/>
  <c r="Y99" i="1"/>
  <c r="Z99" i="1"/>
  <c r="AB99" i="1"/>
  <c r="AC99" i="1"/>
  <c r="AD99" i="1"/>
  <c r="T99" i="1" s="1"/>
  <c r="AE99" i="1"/>
  <c r="AF99" i="1"/>
  <c r="AH129" i="1"/>
  <c r="AM129" i="1"/>
  <c r="AN12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0" i="1"/>
  <c r="AM130" i="1"/>
  <c r="AN13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31" i="1"/>
  <c r="AM131" i="1"/>
  <c r="AN131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132" i="1"/>
  <c r="AM132" i="1"/>
  <c r="AN13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33" i="1"/>
  <c r="AM133" i="1"/>
  <c r="AN133" i="1"/>
  <c r="K100" i="1"/>
  <c r="L100" i="1"/>
  <c r="M100" i="1"/>
  <c r="N100" i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AM136" i="1"/>
  <c r="AN136" i="1"/>
  <c r="K103" i="1"/>
  <c r="L103" i="1"/>
  <c r="M103" i="1"/>
  <c r="N103" i="1" s="1"/>
  <c r="V103" i="1"/>
  <c r="S54" i="3" s="1"/>
  <c r="Y103" i="1"/>
  <c r="Z103" i="1"/>
  <c r="AB103" i="1"/>
  <c r="AC103" i="1"/>
  <c r="AD103" i="1"/>
  <c r="T103" i="1" s="1"/>
  <c r="AE103" i="1"/>
  <c r="R54" i="3" s="1"/>
  <c r="AF103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8" i="1"/>
  <c r="AM138" i="1"/>
  <c r="AN138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39" i="1"/>
  <c r="AM139" i="1"/>
  <c r="AN139" i="1"/>
  <c r="K106" i="1"/>
  <c r="L106" i="1"/>
  <c r="M106" i="1"/>
  <c r="N106" i="1" s="1"/>
  <c r="V106" i="1"/>
  <c r="S22" i="3" s="1"/>
  <c r="Y106" i="1"/>
  <c r="Z106" i="1"/>
  <c r="AB106" i="1"/>
  <c r="AC106" i="1"/>
  <c r="AD106" i="1"/>
  <c r="T106" i="1" s="1"/>
  <c r="AE106" i="1"/>
  <c r="AF106" i="1"/>
  <c r="AH140" i="1"/>
  <c r="AM140" i="1"/>
  <c r="AN140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41" i="1"/>
  <c r="AM141" i="1"/>
  <c r="AN141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S48" i="3" s="1"/>
  <c r="Y108" i="1"/>
  <c r="Z108" i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P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V113" i="1"/>
  <c r="Y113" i="1"/>
  <c r="Z113" i="1"/>
  <c r="AB113" i="1"/>
  <c r="AC113" i="1"/>
  <c r="AD113" i="1"/>
  <c r="AE113" i="1"/>
  <c r="AF113" i="1"/>
  <c r="AH149" i="1"/>
  <c r="AM149" i="1"/>
  <c r="AN149" i="1"/>
  <c r="K114" i="1"/>
  <c r="L114" i="1"/>
  <c r="M114" i="1"/>
  <c r="V114" i="1"/>
  <c r="Y114" i="1"/>
  <c r="Z114" i="1"/>
  <c r="AB114" i="1"/>
  <c r="AC114" i="1"/>
  <c r="AD114" i="1"/>
  <c r="AE114" i="1"/>
  <c r="AF114" i="1"/>
  <c r="AH150" i="1"/>
  <c r="AM150" i="1"/>
  <c r="AN150" i="1"/>
  <c r="K115" i="1"/>
  <c r="L115" i="1"/>
  <c r="M115" i="1"/>
  <c r="N115" i="1" s="1"/>
  <c r="V115" i="1"/>
  <c r="S39" i="3" s="1"/>
  <c r="Y115" i="1"/>
  <c r="Z115" i="1"/>
  <c r="AB115" i="1"/>
  <c r="AC115" i="1"/>
  <c r="AD115" i="1"/>
  <c r="T115" i="1" s="1"/>
  <c r="AE115" i="1"/>
  <c r="R37" i="3" s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N117" i="1" s="1"/>
  <c r="V117" i="1"/>
  <c r="S28" i="3" s="1"/>
  <c r="Y117" i="1"/>
  <c r="Z117" i="1"/>
  <c r="AB117" i="1"/>
  <c r="AC117" i="1"/>
  <c r="AD117" i="1"/>
  <c r="T117" i="1" s="1"/>
  <c r="AE117" i="1"/>
  <c r="R28" i="3" s="1"/>
  <c r="AF117" i="1"/>
  <c r="AH153" i="1"/>
  <c r="AM153" i="1"/>
  <c r="AN153" i="1"/>
  <c r="K118" i="1"/>
  <c r="L118" i="1"/>
  <c r="M118" i="1"/>
  <c r="N118" i="1" s="1"/>
  <c r="V118" i="1"/>
  <c r="S33" i="3" s="1"/>
  <c r="Y118" i="1"/>
  <c r="Z118" i="1"/>
  <c r="AB118" i="1"/>
  <c r="AC118" i="1"/>
  <c r="AD118" i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P122" i="1" s="1"/>
  <c r="V122" i="1"/>
  <c r="Y122" i="1"/>
  <c r="Z122" i="1"/>
  <c r="AB122" i="1"/>
  <c r="AC122" i="1"/>
  <c r="AD122" i="1"/>
  <c r="AE122" i="1"/>
  <c r="AF122" i="1"/>
  <c r="AH158" i="1"/>
  <c r="AM158" i="1"/>
  <c r="AN158" i="1"/>
  <c r="K123" i="1"/>
  <c r="L123" i="1"/>
  <c r="M123" i="1"/>
  <c r="V123" i="1"/>
  <c r="Y123" i="1"/>
  <c r="Z123" i="1"/>
  <c r="AB123" i="1"/>
  <c r="AC123" i="1"/>
  <c r="AD123" i="1"/>
  <c r="X123" i="1" s="1"/>
  <c r="AE123" i="1"/>
  <c r="AF123" i="1"/>
  <c r="AH159" i="1"/>
  <c r="AM159" i="1"/>
  <c r="AN159" i="1"/>
  <c r="K124" i="1"/>
  <c r="L124" i="1"/>
  <c r="M124" i="1"/>
  <c r="P124" i="1" s="1"/>
  <c r="V124" i="1"/>
  <c r="S55" i="3" s="1"/>
  <c r="Y124" i="1"/>
  <c r="Z124" i="1"/>
  <c r="AB124" i="1"/>
  <c r="AC124" i="1"/>
  <c r="AD124" i="1"/>
  <c r="AE124" i="1"/>
  <c r="R55" i="3" s="1"/>
  <c r="AF124" i="1"/>
  <c r="AH160" i="1"/>
  <c r="AM160" i="1"/>
  <c r="AN160" i="1"/>
  <c r="K125" i="1"/>
  <c r="L125" i="1"/>
  <c r="M125" i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S23" i="3" s="1"/>
  <c r="Y126" i="1"/>
  <c r="Z126" i="1"/>
  <c r="AB126" i="1"/>
  <c r="AC126" i="1"/>
  <c r="AD126" i="1"/>
  <c r="AE126" i="1"/>
  <c r="R23" i="3" s="1"/>
  <c r="AF126" i="1"/>
  <c r="AH162" i="1"/>
  <c r="AM162" i="1"/>
  <c r="AN162" i="1"/>
  <c r="K127" i="1"/>
  <c r="L127" i="1"/>
  <c r="M127" i="1"/>
  <c r="N127" i="1" s="1"/>
  <c r="V127" i="1"/>
  <c r="S14" i="3" s="1"/>
  <c r="Y127" i="1"/>
  <c r="Z127" i="1"/>
  <c r="AB127" i="1"/>
  <c r="AC127" i="1"/>
  <c r="AD127" i="1"/>
  <c r="T127" i="1" s="1"/>
  <c r="AE127" i="1"/>
  <c r="R14" i="3" s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5" i="1"/>
  <c r="AM165" i="1"/>
  <c r="AN165" i="1"/>
  <c r="K129" i="1"/>
  <c r="L129" i="1"/>
  <c r="M129" i="1"/>
  <c r="N129" i="1" s="1"/>
  <c r="V129" i="1"/>
  <c r="S38" i="3" s="1"/>
  <c r="Y129" i="1"/>
  <c r="Z129" i="1"/>
  <c r="AB129" i="1"/>
  <c r="AC129" i="1"/>
  <c r="AD129" i="1"/>
  <c r="T129" i="1" s="1"/>
  <c r="AE129" i="1"/>
  <c r="R38" i="3" s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T135" i="1"/>
  <c r="V135" i="1"/>
  <c r="Y135" i="1"/>
  <c r="Z135" i="1"/>
  <c r="AB135" i="1"/>
  <c r="AC135" i="1"/>
  <c r="AD135" i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2" i="1"/>
  <c r="AM172" i="1"/>
  <c r="AN172" i="1"/>
  <c r="K137" i="1"/>
  <c r="L137" i="1"/>
  <c r="M137" i="1"/>
  <c r="N137" i="1" s="1"/>
  <c r="V137" i="1"/>
  <c r="S31" i="3" s="1"/>
  <c r="Y137" i="1"/>
  <c r="Z137" i="1"/>
  <c r="AA137" i="1" s="1"/>
  <c r="AB137" i="1"/>
  <c r="AC137" i="1"/>
  <c r="AD137" i="1"/>
  <c r="T137" i="1" s="1"/>
  <c r="AE137" i="1"/>
  <c r="R31" i="3" s="1"/>
  <c r="AF137" i="1"/>
  <c r="AH173" i="1"/>
  <c r="AM173" i="1"/>
  <c r="AN173" i="1"/>
  <c r="K138" i="1"/>
  <c r="L138" i="1"/>
  <c r="M138" i="1"/>
  <c r="N138" i="1" s="1"/>
  <c r="V138" i="1"/>
  <c r="S34" i="3" s="1"/>
  <c r="Y138" i="1"/>
  <c r="Z138" i="1"/>
  <c r="AA138" i="1" s="1"/>
  <c r="AB138" i="1"/>
  <c r="AC138" i="1"/>
  <c r="AD138" i="1"/>
  <c r="AE138" i="1"/>
  <c r="R34" i="3" s="1"/>
  <c r="AF138" i="1"/>
  <c r="AH174" i="1"/>
  <c r="AM174" i="1"/>
  <c r="AN174" i="1"/>
  <c r="K139" i="1"/>
  <c r="L139" i="1"/>
  <c r="M139" i="1"/>
  <c r="V139" i="1"/>
  <c r="Y139" i="1"/>
  <c r="Z139" i="1"/>
  <c r="AB139" i="1"/>
  <c r="AC139" i="1"/>
  <c r="AD139" i="1"/>
  <c r="T139" i="1" s="1"/>
  <c r="AE139" i="1"/>
  <c r="AF139" i="1"/>
  <c r="AH175" i="1"/>
  <c r="AM175" i="1"/>
  <c r="AN175" i="1"/>
  <c r="K140" i="1"/>
  <c r="L140" i="1"/>
  <c r="M140" i="1"/>
  <c r="P140" i="1" s="1"/>
  <c r="V140" i="1"/>
  <c r="Y140" i="1"/>
  <c r="Z140" i="1"/>
  <c r="AB140" i="1"/>
  <c r="AC140" i="1"/>
  <c r="AD140" i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M177" i="1"/>
  <c r="AN177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/>
  <c r="V146" i="1"/>
  <c r="Y146" i="1"/>
  <c r="AA146" i="1" s="1"/>
  <c r="Z146" i="1"/>
  <c r="AB146" i="1"/>
  <c r="AC146" i="1"/>
  <c r="AD146" i="1"/>
  <c r="T146" i="1" s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R50" i="3" s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4" i="1"/>
  <c r="AM184" i="1"/>
  <c r="AN184" i="1"/>
  <c r="K149" i="1"/>
  <c r="L149" i="1"/>
  <c r="M149" i="1"/>
  <c r="N149" i="1" s="1"/>
  <c r="V149" i="1"/>
  <c r="S40" i="3" s="1"/>
  <c r="Y149" i="1"/>
  <c r="Z149" i="1"/>
  <c r="AB149" i="1"/>
  <c r="AC149" i="1"/>
  <c r="AD149" i="1"/>
  <c r="T149" i="1" s="1"/>
  <c r="AE149" i="1"/>
  <c r="AF149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R15" i="3" s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1" i="1"/>
  <c r="AM191" i="1"/>
  <c r="AN191" i="1"/>
  <c r="K156" i="1"/>
  <c r="L156" i="1"/>
  <c r="M156" i="1"/>
  <c r="P156" i="1" s="1"/>
  <c r="V156" i="1"/>
  <c r="Y156" i="1"/>
  <c r="Z156" i="1"/>
  <c r="AB156" i="1"/>
  <c r="AC156" i="1"/>
  <c r="AD156" i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K158" i="1"/>
  <c r="L158" i="1"/>
  <c r="M158" i="1"/>
  <c r="N158" i="1" s="1"/>
  <c r="V158" i="1"/>
  <c r="S57" i="3" s="1"/>
  <c r="Y158" i="1"/>
  <c r="Z158" i="1"/>
  <c r="AB158" i="1"/>
  <c r="AC158" i="1"/>
  <c r="AD158" i="1"/>
  <c r="T158" i="1" s="1"/>
  <c r="AE158" i="1"/>
  <c r="R57" i="3" s="1"/>
  <c r="AF158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5" i="1"/>
  <c r="AM195" i="1"/>
  <c r="AN1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96" i="1"/>
  <c r="AM196" i="1"/>
  <c r="AN1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R51" i="3" s="1"/>
  <c r="AF161" i="1"/>
  <c r="AH197" i="1"/>
  <c r="AM197" i="1"/>
  <c r="AN19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8" i="1"/>
  <c r="AM198" i="1"/>
  <c r="AN198" i="1"/>
  <c r="K163" i="1"/>
  <c r="L163" i="1"/>
  <c r="M163" i="1"/>
  <c r="N163" i="1" s="1"/>
  <c r="V163" i="1"/>
  <c r="S8" i="3" s="1"/>
  <c r="Y163" i="1"/>
  <c r="Z163" i="1"/>
  <c r="AB163" i="1"/>
  <c r="AC163" i="1"/>
  <c r="AD163" i="1"/>
  <c r="X164" i="1" s="1"/>
  <c r="AE163" i="1"/>
  <c r="R8" i="3" s="1"/>
  <c r="AF163" i="1"/>
  <c r="AH199" i="1"/>
  <c r="AM199" i="1"/>
  <c r="AN199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200" i="1"/>
  <c r="AM200" i="1"/>
  <c r="AN200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2" i="1"/>
  <c r="AM212" i="1"/>
  <c r="AN212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13" i="1"/>
  <c r="AM213" i="1"/>
  <c r="AN213" i="1"/>
  <c r="K212" i="1"/>
  <c r="L212" i="1"/>
  <c r="M212" i="1"/>
  <c r="N212" i="1"/>
  <c r="V212" i="1"/>
  <c r="Y212" i="1"/>
  <c r="Z212" i="1"/>
  <c r="AB212" i="1"/>
  <c r="AC212" i="1"/>
  <c r="AD212" i="1"/>
  <c r="T212" i="1" s="1"/>
  <c r="AE212" i="1"/>
  <c r="AF212" i="1"/>
  <c r="AH214" i="1"/>
  <c r="AM214" i="1"/>
  <c r="AN21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5" i="1"/>
  <c r="AM215" i="1"/>
  <c r="AN21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6" i="1"/>
  <c r="AM216" i="1"/>
  <c r="AN216" i="1"/>
  <c r="K217" i="1"/>
  <c r="L217" i="1"/>
  <c r="M217" i="1"/>
  <c r="N217" i="1" s="1"/>
  <c r="V217" i="1"/>
  <c r="S68" i="3" s="1"/>
  <c r="Y217" i="1"/>
  <c r="Z217" i="1"/>
  <c r="AB217" i="1"/>
  <c r="AC217" i="1"/>
  <c r="AD217" i="1"/>
  <c r="T217" i="1" s="1"/>
  <c r="AE217" i="1"/>
  <c r="R68" i="3" s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K222" i="1"/>
  <c r="L222" i="1"/>
  <c r="M222" i="1"/>
  <c r="N222" i="1" s="1"/>
  <c r="V222" i="1"/>
  <c r="S67" i="3" s="1"/>
  <c r="Y222" i="1"/>
  <c r="Z222" i="1"/>
  <c r="AB222" i="1"/>
  <c r="AC222" i="1"/>
  <c r="AD222" i="1"/>
  <c r="AE222" i="1"/>
  <c r="R67" i="3" s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27" i="1"/>
  <c r="AM227" i="1"/>
  <c r="AN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28" i="1"/>
  <c r="AM228" i="1"/>
  <c r="AN22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29" i="1"/>
  <c r="AM229" i="1"/>
  <c r="AN229" i="1"/>
  <c r="M41" i="3"/>
  <c r="U41" i="3"/>
  <c r="V41" i="3"/>
  <c r="X41" i="3"/>
  <c r="M9" i="3"/>
  <c r="R9" i="3"/>
  <c r="U9" i="3"/>
  <c r="AD9" i="3" s="1"/>
  <c r="V9" i="3"/>
  <c r="X9" i="3"/>
  <c r="M7" i="3"/>
  <c r="R7" i="3"/>
  <c r="S7" i="3"/>
  <c r="U7" i="3"/>
  <c r="V7" i="3"/>
  <c r="X7" i="3"/>
  <c r="M42" i="3"/>
  <c r="U42" i="3"/>
  <c r="V42" i="3"/>
  <c r="X42" i="3"/>
  <c r="M43" i="3"/>
  <c r="R43" i="3"/>
  <c r="U43" i="3"/>
  <c r="T43" i="3" s="1"/>
  <c r="V43" i="3"/>
  <c r="X43" i="3"/>
  <c r="M66" i="3"/>
  <c r="R66" i="3"/>
  <c r="S66" i="3"/>
  <c r="U66" i="3"/>
  <c r="V66" i="3"/>
  <c r="X66" i="3"/>
  <c r="M24" i="3"/>
  <c r="R24" i="3"/>
  <c r="U24" i="3"/>
  <c r="V24" i="3"/>
  <c r="X24" i="3"/>
  <c r="M36" i="3"/>
  <c r="U36" i="3"/>
  <c r="AD36" i="3" s="1"/>
  <c r="V36" i="3"/>
  <c r="X36" i="3"/>
  <c r="M35" i="3"/>
  <c r="R35" i="3"/>
  <c r="U35" i="3"/>
  <c r="T35" i="3" s="1"/>
  <c r="V35" i="3"/>
  <c r="X35" i="3"/>
  <c r="M60" i="3"/>
  <c r="R60" i="3"/>
  <c r="S60" i="3"/>
  <c r="U60" i="3"/>
  <c r="AD60" i="3" s="1"/>
  <c r="V60" i="3"/>
  <c r="X60" i="3"/>
  <c r="M25" i="3"/>
  <c r="R25" i="3"/>
  <c r="U25" i="3"/>
  <c r="V25" i="3"/>
  <c r="X25" i="3"/>
  <c r="M44" i="3"/>
  <c r="R44" i="3"/>
  <c r="S44" i="3"/>
  <c r="U44" i="3"/>
  <c r="V44" i="3"/>
  <c r="X44" i="3"/>
  <c r="M16" i="3"/>
  <c r="R16" i="3"/>
  <c r="U16" i="3"/>
  <c r="T16" i="3" s="1"/>
  <c r="V16" i="3"/>
  <c r="X16" i="3"/>
  <c r="M29" i="3"/>
  <c r="R29" i="3"/>
  <c r="S29" i="3"/>
  <c r="U29" i="3"/>
  <c r="AC29" i="3" s="1"/>
  <c r="V29" i="3"/>
  <c r="X29" i="3"/>
  <c r="M17" i="3"/>
  <c r="R17" i="3"/>
  <c r="S17" i="3"/>
  <c r="U17" i="3"/>
  <c r="V17" i="3"/>
  <c r="X17" i="3"/>
  <c r="M26" i="3"/>
  <c r="S26" i="3"/>
  <c r="U26" i="3"/>
  <c r="T26" i="3" s="1"/>
  <c r="V26" i="3"/>
  <c r="X26" i="3"/>
  <c r="M52" i="3"/>
  <c r="R52" i="3"/>
  <c r="U52" i="3"/>
  <c r="T52" i="3" s="1"/>
  <c r="V52" i="3"/>
  <c r="X52" i="3"/>
  <c r="AD24" i="3"/>
  <c r="M45" i="3"/>
  <c r="S45" i="3"/>
  <c r="U45" i="3"/>
  <c r="AD25" i="3" s="1"/>
  <c r="V45" i="3"/>
  <c r="X45" i="3"/>
  <c r="AC45" i="3"/>
  <c r="M18" i="3"/>
  <c r="S18" i="3"/>
  <c r="U18" i="3"/>
  <c r="V18" i="3"/>
  <c r="X18" i="3"/>
  <c r="M67" i="3"/>
  <c r="U67" i="3"/>
  <c r="V67" i="3"/>
  <c r="X67" i="3"/>
  <c r="M30" i="3"/>
  <c r="S30" i="3"/>
  <c r="U30" i="3"/>
  <c r="T30" i="3" s="1"/>
  <c r="V30" i="3"/>
  <c r="X30" i="3"/>
  <c r="M11" i="3"/>
  <c r="S11" i="3"/>
  <c r="U11" i="3"/>
  <c r="AD29" i="3" s="1"/>
  <c r="V11" i="3"/>
  <c r="X11" i="3"/>
  <c r="M27" i="3"/>
  <c r="R27" i="3"/>
  <c r="U27" i="3"/>
  <c r="AD27" i="3" s="1"/>
  <c r="V27" i="3"/>
  <c r="X27" i="3"/>
  <c r="M19" i="3"/>
  <c r="R19" i="3"/>
  <c r="U19" i="3"/>
  <c r="V19" i="3"/>
  <c r="X19" i="3"/>
  <c r="M12" i="3"/>
  <c r="R12" i="3"/>
  <c r="U12" i="3"/>
  <c r="T12" i="3" s="1"/>
  <c r="V12" i="3"/>
  <c r="X12" i="3"/>
  <c r="M32" i="3"/>
  <c r="R32" i="3"/>
  <c r="S32" i="3"/>
  <c r="U32" i="3"/>
  <c r="AC32" i="3" s="1"/>
  <c r="V32" i="3"/>
  <c r="X32" i="3"/>
  <c r="M46" i="3"/>
  <c r="R46" i="3"/>
  <c r="U46" i="3"/>
  <c r="V46" i="3"/>
  <c r="X46" i="3"/>
  <c r="M61" i="3"/>
  <c r="S61" i="3"/>
  <c r="U61" i="3"/>
  <c r="V61" i="3"/>
  <c r="X61" i="3"/>
  <c r="M53" i="3"/>
  <c r="R53" i="3"/>
  <c r="U53" i="3"/>
  <c r="V53" i="3"/>
  <c r="X53" i="3"/>
  <c r="M13" i="3"/>
  <c r="U13" i="3"/>
  <c r="AC13" i="3" s="1"/>
  <c r="V13" i="3"/>
  <c r="X13" i="3"/>
  <c r="M20" i="3"/>
  <c r="S20" i="3"/>
  <c r="U20" i="3"/>
  <c r="T20" i="3" s="1"/>
  <c r="V20" i="3"/>
  <c r="X20" i="3"/>
  <c r="M21" i="3"/>
  <c r="R21" i="3"/>
  <c r="U21" i="3"/>
  <c r="T21" i="3" s="1"/>
  <c r="V21" i="3"/>
  <c r="X21" i="3"/>
  <c r="M47" i="3"/>
  <c r="R47" i="3"/>
  <c r="U47" i="3"/>
  <c r="T47" i="3" s="1"/>
  <c r="V47" i="3"/>
  <c r="X47" i="3"/>
  <c r="M54" i="3"/>
  <c r="U54" i="3"/>
  <c r="AC54" i="3" s="1"/>
  <c r="V54" i="3"/>
  <c r="X54" i="3"/>
  <c r="M58" i="3"/>
  <c r="S58" i="3"/>
  <c r="U58" i="3"/>
  <c r="T58" i="3" s="1"/>
  <c r="V58" i="3"/>
  <c r="X58" i="3"/>
  <c r="M62" i="3"/>
  <c r="S62" i="3"/>
  <c r="U62" i="3"/>
  <c r="AE62" i="3" s="1"/>
  <c r="V62" i="3"/>
  <c r="X62" i="3"/>
  <c r="M28" i="3"/>
  <c r="U28" i="3"/>
  <c r="T28" i="3" s="1"/>
  <c r="V28" i="3"/>
  <c r="X28" i="3"/>
  <c r="M22" i="3"/>
  <c r="R22" i="3"/>
  <c r="U22" i="3"/>
  <c r="AC22" i="3" s="1"/>
  <c r="V22" i="3"/>
  <c r="X22" i="3"/>
  <c r="M37" i="3"/>
  <c r="U37" i="3"/>
  <c r="V37" i="3"/>
  <c r="X37" i="3"/>
  <c r="M39" i="3"/>
  <c r="U39" i="3"/>
  <c r="V39" i="3"/>
  <c r="X39" i="3"/>
  <c r="M48" i="3"/>
  <c r="R48" i="3"/>
  <c r="U48" i="3"/>
  <c r="AC48" i="3" s="1"/>
  <c r="V48" i="3"/>
  <c r="X48" i="3"/>
  <c r="M63" i="3"/>
  <c r="U63" i="3"/>
  <c r="V63" i="3"/>
  <c r="X63" i="3"/>
  <c r="M33" i="3"/>
  <c r="R33" i="3"/>
  <c r="U33" i="3"/>
  <c r="AC33" i="3" s="1"/>
  <c r="V33" i="3"/>
  <c r="X33" i="3"/>
  <c r="M14" i="3"/>
  <c r="U14" i="3"/>
  <c r="T14" i="3" s="1"/>
  <c r="V14" i="3"/>
  <c r="X14" i="3"/>
  <c r="M59" i="3"/>
  <c r="R59" i="3"/>
  <c r="U59" i="3"/>
  <c r="AD59" i="3" s="1"/>
  <c r="V59" i="3"/>
  <c r="X59" i="3"/>
  <c r="M55" i="3"/>
  <c r="U55" i="3"/>
  <c r="V55" i="3"/>
  <c r="X55" i="3"/>
  <c r="M38" i="3"/>
  <c r="U38" i="3"/>
  <c r="AC38" i="3" s="1"/>
  <c r="V38" i="3"/>
  <c r="X38" i="3"/>
  <c r="M68" i="3"/>
  <c r="U68" i="3"/>
  <c r="T68" i="3" s="1"/>
  <c r="V68" i="3"/>
  <c r="X68" i="3"/>
  <c r="M56" i="3"/>
  <c r="U56" i="3"/>
  <c r="AC56" i="3" s="1"/>
  <c r="V56" i="3"/>
  <c r="X56" i="3"/>
  <c r="M23" i="3"/>
  <c r="U23" i="3"/>
  <c r="AD23" i="3" s="1"/>
  <c r="V23" i="3"/>
  <c r="X23" i="3"/>
  <c r="M49" i="3"/>
  <c r="S49" i="3"/>
  <c r="U49" i="3"/>
  <c r="AC49" i="3" s="1"/>
  <c r="V49" i="3"/>
  <c r="X49" i="3"/>
  <c r="M31" i="3"/>
  <c r="U31" i="3"/>
  <c r="AD31" i="3" s="1"/>
  <c r="V31" i="3"/>
  <c r="X31" i="3"/>
  <c r="M34" i="3"/>
  <c r="U34" i="3"/>
  <c r="AC34" i="3" s="1"/>
  <c r="V34" i="3"/>
  <c r="X34" i="3"/>
  <c r="M64" i="3"/>
  <c r="U64" i="3"/>
  <c r="V64" i="3"/>
  <c r="X64" i="3"/>
  <c r="M15" i="3"/>
  <c r="S15" i="3"/>
  <c r="U15" i="3"/>
  <c r="AC15" i="3" s="1"/>
  <c r="V15" i="3"/>
  <c r="X15" i="3"/>
  <c r="M40" i="3"/>
  <c r="R40" i="3"/>
  <c r="U40" i="3"/>
  <c r="AD40" i="3" s="1"/>
  <c r="V40" i="3"/>
  <c r="X40" i="3"/>
  <c r="AD63" i="3"/>
  <c r="M50" i="3"/>
  <c r="S50" i="3"/>
  <c r="U50" i="3"/>
  <c r="AC50" i="3" s="1"/>
  <c r="V50" i="3"/>
  <c r="X50" i="3"/>
  <c r="M57" i="3"/>
  <c r="U57" i="3"/>
  <c r="V57" i="3"/>
  <c r="X57" i="3"/>
  <c r="M10" i="3"/>
  <c r="R10" i="3"/>
  <c r="S10" i="3"/>
  <c r="U10" i="3"/>
  <c r="AC10" i="3" s="1"/>
  <c r="V10" i="3"/>
  <c r="X10" i="3"/>
  <c r="M51" i="3"/>
  <c r="S51" i="3"/>
  <c r="U51" i="3"/>
  <c r="T51" i="3" s="1"/>
  <c r="V51" i="3"/>
  <c r="X51" i="3"/>
  <c r="AD67" i="3"/>
  <c r="M8" i="3"/>
  <c r="U8" i="3"/>
  <c r="T8" i="3" s="1"/>
  <c r="V8" i="3"/>
  <c r="X8" i="3"/>
  <c r="AG16" i="1"/>
  <c r="AG32" i="1"/>
  <c r="AG48" i="1"/>
  <c r="AG23" i="1"/>
  <c r="AG39" i="1"/>
  <c r="AG18" i="1"/>
  <c r="AG34" i="1"/>
  <c r="AG50" i="1"/>
  <c r="AG29" i="1"/>
  <c r="AG45" i="1"/>
  <c r="AG60" i="1"/>
  <c r="AG76" i="1"/>
  <c r="AG59" i="1"/>
  <c r="AG75" i="1"/>
  <c r="AG58" i="1"/>
  <c r="AG74" i="1"/>
  <c r="AG69" i="1"/>
  <c r="AG170" i="1"/>
  <c r="AG185" i="1"/>
  <c r="AG80" i="1"/>
  <c r="AG169" i="1"/>
  <c r="AG184" i="1"/>
  <c r="AG77" i="1"/>
  <c r="AG172" i="1"/>
  <c r="AG186" i="1"/>
  <c r="AG195" i="1"/>
  <c r="AG216" i="1"/>
  <c r="AG85" i="1"/>
  <c r="AG96" i="1"/>
  <c r="AG103" i="1"/>
  <c r="AG189" i="1"/>
  <c r="AG106" i="1"/>
  <c r="AG193" i="1"/>
  <c r="AG105" i="1"/>
  <c r="AG117" i="1"/>
  <c r="AG133" i="1"/>
  <c r="AG149" i="1"/>
  <c r="AG217" i="1"/>
  <c r="AG128" i="1"/>
  <c r="AG144" i="1"/>
  <c r="AG160" i="1"/>
  <c r="AG210" i="1"/>
  <c r="AG118" i="1"/>
  <c r="AG134" i="1"/>
  <c r="AG150" i="1"/>
  <c r="AG200" i="1"/>
  <c r="AG218" i="1"/>
  <c r="AG151" i="1"/>
  <c r="AG225" i="1"/>
  <c r="AG219" i="1"/>
  <c r="AG228" i="1"/>
  <c r="AG131" i="1"/>
  <c r="AG155" i="1"/>
  <c r="AG222" i="1"/>
  <c r="AG20" i="1"/>
  <c r="AG36" i="1"/>
  <c r="AG52" i="1"/>
  <c r="AG27" i="1"/>
  <c r="AG43" i="1"/>
  <c r="AG22" i="1"/>
  <c r="AG38" i="1"/>
  <c r="AG17" i="1"/>
  <c r="AG33" i="1"/>
  <c r="AG49" i="1"/>
  <c r="AG64" i="1"/>
  <c r="AG63" i="1"/>
  <c r="AG62" i="1"/>
  <c r="AG78" i="1"/>
  <c r="AG87" i="1"/>
  <c r="AG174" i="1"/>
  <c r="AG188" i="1"/>
  <c r="AG86" i="1"/>
  <c r="AG173" i="1"/>
  <c r="AG187" i="1"/>
  <c r="AG95" i="1"/>
  <c r="AG190" i="1"/>
  <c r="AG196" i="1"/>
  <c r="AG110" i="1"/>
  <c r="AG194" i="1"/>
  <c r="AG215" i="1"/>
  <c r="AG108" i="1"/>
  <c r="AG107" i="1"/>
  <c r="AG121" i="1"/>
  <c r="AG153" i="1"/>
  <c r="AG116" i="1"/>
  <c r="AG148" i="1"/>
  <c r="AG214" i="1"/>
  <c r="AG138" i="1"/>
  <c r="AG154" i="1"/>
  <c r="AG119" i="1"/>
  <c r="AG229" i="1"/>
  <c r="AG205" i="1"/>
  <c r="AG127" i="1"/>
  <c r="AG24" i="1"/>
  <c r="AG40" i="1"/>
  <c r="AG15" i="1"/>
  <c r="AG31" i="1"/>
  <c r="AG47" i="1"/>
  <c r="AG26" i="1"/>
  <c r="AG42" i="1"/>
  <c r="AG21" i="1"/>
  <c r="AG37" i="1"/>
  <c r="AG51" i="1"/>
  <c r="AG68" i="1"/>
  <c r="AG83" i="1"/>
  <c r="AG67" i="1"/>
  <c r="AG66" i="1"/>
  <c r="AG81" i="1"/>
  <c r="AG91" i="1"/>
  <c r="AG177" i="1"/>
  <c r="AG90" i="1"/>
  <c r="AG176" i="1"/>
  <c r="AG93" i="1"/>
  <c r="AG84" i="1"/>
  <c r="AG114" i="1"/>
  <c r="AG99" i="1"/>
  <c r="AG198" i="1"/>
  <c r="AG197" i="1"/>
  <c r="AG125" i="1"/>
  <c r="AG141" i="1"/>
  <c r="AG207" i="1"/>
  <c r="AG136" i="1"/>
  <c r="AG202" i="1"/>
  <c r="AG126" i="1"/>
  <c r="AG158" i="1"/>
  <c r="AG135" i="1"/>
  <c r="AG226" i="1"/>
  <c r="AG221" i="1"/>
  <c r="AG139" i="1"/>
  <c r="AG28" i="1"/>
  <c r="AG44" i="1"/>
  <c r="AG19" i="1"/>
  <c r="AG35" i="1"/>
  <c r="AG14" i="1"/>
  <c r="AG30" i="1"/>
  <c r="AG46" i="1"/>
  <c r="AG25" i="1"/>
  <c r="AG41" i="1"/>
  <c r="AG56" i="1"/>
  <c r="AG72" i="1"/>
  <c r="AG55" i="1"/>
  <c r="AG54" i="1"/>
  <c r="AG70" i="1"/>
  <c r="AG53" i="1"/>
  <c r="AG181" i="1"/>
  <c r="AG94" i="1"/>
  <c r="AG180" i="1"/>
  <c r="AG168" i="1"/>
  <c r="AG178" i="1"/>
  <c r="AG57" i="1"/>
  <c r="AG171" i="1"/>
  <c r="AG175" i="1"/>
  <c r="AG109" i="1"/>
  <c r="AG129" i="1"/>
  <c r="AG161" i="1"/>
  <c r="AG140" i="1"/>
  <c r="AG206" i="1"/>
  <c r="AG130" i="1"/>
  <c r="AG162" i="1"/>
  <c r="AG123" i="1"/>
  <c r="AG147" i="1"/>
  <c r="AG79" i="1"/>
  <c r="AG89" i="1"/>
  <c r="AG88" i="1"/>
  <c r="AG98" i="1"/>
  <c r="AG97" i="1"/>
  <c r="AG137" i="1"/>
  <c r="AG203" i="1"/>
  <c r="AG132" i="1"/>
  <c r="AG165" i="1"/>
  <c r="AG122" i="1"/>
  <c r="AG204" i="1"/>
  <c r="AG159" i="1"/>
  <c r="AG220" i="1"/>
  <c r="AG163" i="1"/>
  <c r="AG71" i="1"/>
  <c r="AG166" i="1"/>
  <c r="AG65" i="1"/>
  <c r="AG61" i="1"/>
  <c r="AG183" i="1"/>
  <c r="AG104" i="1"/>
  <c r="AG182" i="1"/>
  <c r="AG199" i="1"/>
  <c r="AG102" i="1"/>
  <c r="AG101" i="1"/>
  <c r="AG145" i="1"/>
  <c r="AG211" i="1"/>
  <c r="AG156" i="1"/>
  <c r="AG113" i="1"/>
  <c r="AG146" i="1"/>
  <c r="AG143" i="1"/>
  <c r="AG209" i="1"/>
  <c r="AG227" i="1"/>
  <c r="AG82" i="1"/>
  <c r="AG192" i="1"/>
  <c r="AG191" i="1"/>
  <c r="AG179" i="1"/>
  <c r="AG100" i="1"/>
  <c r="AG167" i="1"/>
  <c r="AG73" i="1"/>
  <c r="AG92" i="1"/>
  <c r="AG111" i="1"/>
  <c r="AG157" i="1"/>
  <c r="AG120" i="1"/>
  <c r="AG152" i="1"/>
  <c r="AG112" i="1"/>
  <c r="AG142" i="1"/>
  <c r="AG208" i="1"/>
  <c r="AG201" i="1"/>
  <c r="AG213" i="1"/>
  <c r="AG223" i="1"/>
  <c r="AG124" i="1"/>
  <c r="AG212" i="1"/>
  <c r="AG224" i="1"/>
  <c r="AG115" i="1"/>
  <c r="W66" i="3"/>
  <c r="W22" i="3"/>
  <c r="W25" i="3"/>
  <c r="W42" i="3"/>
  <c r="W62" i="3"/>
  <c r="W39" i="3"/>
  <c r="W59" i="3"/>
  <c r="W31" i="3"/>
  <c r="W60" i="3"/>
  <c r="W32" i="3"/>
  <c r="W63" i="3"/>
  <c r="W57" i="3"/>
  <c r="W17" i="3"/>
  <c r="W20" i="3"/>
  <c r="W36" i="3"/>
  <c r="W19" i="3"/>
  <c r="W48" i="3"/>
  <c r="W38" i="3"/>
  <c r="W43" i="3"/>
  <c r="W33" i="3"/>
  <c r="W10" i="3"/>
  <c r="W34" i="3"/>
  <c r="W29" i="3"/>
  <c r="W13" i="3"/>
  <c r="W55" i="3"/>
  <c r="W7" i="3"/>
  <c r="W18" i="3"/>
  <c r="W58" i="3"/>
  <c r="W44" i="3"/>
  <c r="W35" i="3"/>
  <c r="W56" i="3"/>
  <c r="W16" i="3"/>
  <c r="W68" i="3"/>
  <c r="W61" i="3"/>
  <c r="W30" i="3"/>
  <c r="W14" i="3"/>
  <c r="W51" i="3"/>
  <c r="W11" i="3"/>
  <c r="W64" i="3"/>
  <c r="W46" i="3"/>
  <c r="W67" i="3"/>
  <c r="W40" i="3"/>
  <c r="W41" i="3"/>
  <c r="W28" i="3"/>
  <c r="W9" i="3"/>
  <c r="W45" i="3"/>
  <c r="W54" i="3"/>
  <c r="W23" i="3"/>
  <c r="W24" i="3"/>
  <c r="W27" i="3"/>
  <c r="W37" i="3"/>
  <c r="W26" i="3"/>
  <c r="W12" i="3"/>
  <c r="W50" i="3"/>
  <c r="W53" i="3"/>
  <c r="W15" i="3"/>
  <c r="W47" i="3"/>
  <c r="W21" i="3"/>
  <c r="W49" i="3"/>
  <c r="W8" i="3"/>
  <c r="W52" i="3"/>
  <c r="AA202" i="1" l="1"/>
  <c r="AA200" i="1"/>
  <c r="AA161" i="1"/>
  <c r="W161" i="1" s="1"/>
  <c r="AA96" i="1"/>
  <c r="X224" i="1"/>
  <c r="X219" i="1"/>
  <c r="X213" i="1"/>
  <c r="X83" i="1"/>
  <c r="AA228" i="1"/>
  <c r="T83" i="1"/>
  <c r="X170" i="1"/>
  <c r="X166" i="1"/>
  <c r="AA219" i="1"/>
  <c r="R56" i="3"/>
  <c r="X85" i="1"/>
  <c r="X79" i="1"/>
  <c r="X169" i="1"/>
  <c r="X163" i="1"/>
  <c r="R39" i="3"/>
  <c r="X225" i="1"/>
  <c r="X130" i="1"/>
  <c r="X201" i="1"/>
  <c r="AA154" i="1"/>
  <c r="W154" i="1" s="1"/>
  <c r="AA150" i="1"/>
  <c r="X81" i="1"/>
  <c r="X38" i="1"/>
  <c r="P23" i="1"/>
  <c r="AA93" i="1"/>
  <c r="AA80" i="1"/>
  <c r="AA69" i="1"/>
  <c r="W69" i="1" s="1"/>
  <c r="AA64" i="1"/>
  <c r="AA60" i="1"/>
  <c r="X56" i="1"/>
  <c r="AA56" i="1"/>
  <c r="W56" i="1" s="1"/>
  <c r="AA54" i="1"/>
  <c r="W54" i="1" s="1"/>
  <c r="X16" i="1"/>
  <c r="X171" i="1"/>
  <c r="X167" i="1"/>
  <c r="AC21" i="3"/>
  <c r="AD35" i="3"/>
  <c r="AE61" i="3"/>
  <c r="AE63" i="3"/>
  <c r="AE19" i="3"/>
  <c r="AE42" i="3"/>
  <c r="S56" i="3"/>
  <c r="AD43" i="3"/>
  <c r="AE43" i="3"/>
  <c r="R49" i="3"/>
  <c r="AD51" i="3"/>
  <c r="AE50" i="3"/>
  <c r="AC62" i="3"/>
  <c r="T62" i="3"/>
  <c r="S47" i="3"/>
  <c r="AE53" i="3"/>
  <c r="S35" i="3"/>
  <c r="X204" i="1"/>
  <c r="AA201" i="1"/>
  <c r="AA134" i="1"/>
  <c r="AA117" i="1"/>
  <c r="W117" i="1" s="1"/>
  <c r="AA198" i="1"/>
  <c r="T198" i="1"/>
  <c r="AA174" i="1"/>
  <c r="AA71" i="1"/>
  <c r="W71" i="1" s="1"/>
  <c r="AA45" i="1"/>
  <c r="AA29" i="1"/>
  <c r="X84" i="1"/>
  <c r="X80" i="1"/>
  <c r="AD53" i="3"/>
  <c r="AD52" i="3"/>
  <c r="AE35" i="3"/>
  <c r="AE46" i="3"/>
  <c r="AA224" i="1"/>
  <c r="AA218" i="1"/>
  <c r="AA212" i="1"/>
  <c r="T130" i="1"/>
  <c r="U130" i="1" s="1"/>
  <c r="S130" i="1" s="1"/>
  <c r="AA103" i="1"/>
  <c r="AA97" i="1"/>
  <c r="X194" i="1"/>
  <c r="X182" i="1"/>
  <c r="X91" i="1"/>
  <c r="X87" i="1"/>
  <c r="AA19" i="1"/>
  <c r="W19" i="1" s="1"/>
  <c r="X82" i="1"/>
  <c r="T131" i="1"/>
  <c r="U131" i="1" s="1"/>
  <c r="S131" i="1" s="1"/>
  <c r="AA130" i="1"/>
  <c r="AA129" i="1"/>
  <c r="W129" i="1" s="1"/>
  <c r="AA196" i="1"/>
  <c r="AA195" i="1"/>
  <c r="W195" i="1" s="1"/>
  <c r="AA181" i="1"/>
  <c r="X175" i="1"/>
  <c r="AA167" i="1"/>
  <c r="W167" i="1" s="1"/>
  <c r="AA90" i="1"/>
  <c r="AA86" i="1"/>
  <c r="AA79" i="1"/>
  <c r="W79" i="1" s="1"/>
  <c r="X46" i="1"/>
  <c r="AA35" i="1"/>
  <c r="X30" i="1"/>
  <c r="X17" i="1"/>
  <c r="T41" i="3"/>
  <c r="AC41" i="3"/>
  <c r="AE55" i="3"/>
  <c r="AC59" i="3"/>
  <c r="T44" i="3"/>
  <c r="AD44" i="3"/>
  <c r="T42" i="3"/>
  <c r="AC42" i="3"/>
  <c r="AA162" i="1"/>
  <c r="W162" i="1" s="1"/>
  <c r="T159" i="1"/>
  <c r="U159" i="1" s="1"/>
  <c r="S159" i="1" s="1"/>
  <c r="X159" i="1"/>
  <c r="X118" i="1"/>
  <c r="T118" i="1"/>
  <c r="U118" i="1" s="1"/>
  <c r="S118" i="1" s="1"/>
  <c r="AA194" i="1"/>
  <c r="X177" i="1"/>
  <c r="X68" i="1"/>
  <c r="T68" i="1"/>
  <c r="U68" i="1" s="1"/>
  <c r="S68" i="1" s="1"/>
  <c r="R42" i="3"/>
  <c r="R41" i="3"/>
  <c r="T163" i="1"/>
  <c r="U163" i="1" s="1"/>
  <c r="S163" i="1" s="1"/>
  <c r="T126" i="1"/>
  <c r="U126" i="1" s="1"/>
  <c r="S126" i="1" s="1"/>
  <c r="X126" i="1"/>
  <c r="S37" i="3"/>
  <c r="T162" i="1"/>
  <c r="X162" i="1"/>
  <c r="AD55" i="3"/>
  <c r="T53" i="3"/>
  <c r="AC53" i="3"/>
  <c r="AD61" i="3"/>
  <c r="AD47" i="3"/>
  <c r="X229" i="1"/>
  <c r="T229" i="1"/>
  <c r="U229" i="1" s="1"/>
  <c r="S229" i="1" s="1"/>
  <c r="X151" i="1"/>
  <c r="T151" i="1"/>
  <c r="U151" i="1" s="1"/>
  <c r="S151" i="1" s="1"/>
  <c r="X119" i="1"/>
  <c r="T119" i="1"/>
  <c r="U119" i="1" s="1"/>
  <c r="S119" i="1" s="1"/>
  <c r="AA109" i="1"/>
  <c r="W109" i="1" s="1"/>
  <c r="X106" i="1"/>
  <c r="X76" i="1"/>
  <c r="T76" i="1"/>
  <c r="S9" i="3"/>
  <c r="S43" i="3"/>
  <c r="AA205" i="1"/>
  <c r="X147" i="1"/>
  <c r="AC26" i="3"/>
  <c r="AC9" i="3"/>
  <c r="AA203" i="1"/>
  <c r="AA158" i="1"/>
  <c r="X155" i="1"/>
  <c r="AA153" i="1"/>
  <c r="X143" i="1"/>
  <c r="X135" i="1"/>
  <c r="X127" i="1"/>
  <c r="AA118" i="1"/>
  <c r="AA106" i="1"/>
  <c r="W106" i="1" s="1"/>
  <c r="AA197" i="1"/>
  <c r="W197" i="1" s="1"/>
  <c r="AA193" i="1"/>
  <c r="AA177" i="1"/>
  <c r="AA166" i="1"/>
  <c r="W166" i="1" s="1"/>
  <c r="AA94" i="1"/>
  <c r="X72" i="1"/>
  <c r="X50" i="1"/>
  <c r="AA46" i="1"/>
  <c r="W46" i="1" s="1"/>
  <c r="AA38" i="1"/>
  <c r="W38" i="1" s="1"/>
  <c r="X34" i="1"/>
  <c r="AA30" i="1"/>
  <c r="AA28" i="1"/>
  <c r="W28" i="1" s="1"/>
  <c r="AA24" i="1"/>
  <c r="AA17" i="1"/>
  <c r="AA14" i="1"/>
  <c r="AA51" i="1"/>
  <c r="W51" i="1" s="1"/>
  <c r="AA49" i="1"/>
  <c r="W49" i="1" s="1"/>
  <c r="X139" i="1"/>
  <c r="X122" i="1"/>
  <c r="T46" i="1"/>
  <c r="AA25" i="1"/>
  <c r="W25" i="1" s="1"/>
  <c r="AA21" i="1"/>
  <c r="W21" i="1" s="1"/>
  <c r="X15" i="1"/>
  <c r="S42" i="3"/>
  <c r="AA226" i="1"/>
  <c r="W226" i="1" s="1"/>
  <c r="T213" i="1"/>
  <c r="U213" i="1" s="1"/>
  <c r="S213" i="1" s="1"/>
  <c r="AA208" i="1"/>
  <c r="W208" i="1" s="1"/>
  <c r="AA157" i="1"/>
  <c r="AA152" i="1"/>
  <c r="W152" i="1" s="1"/>
  <c r="AA149" i="1"/>
  <c r="W149" i="1" s="1"/>
  <c r="X146" i="1"/>
  <c r="AA141" i="1"/>
  <c r="AA136" i="1"/>
  <c r="T123" i="1"/>
  <c r="U123" i="1" s="1"/>
  <c r="AA122" i="1"/>
  <c r="T122" i="1"/>
  <c r="U122" i="1" s="1"/>
  <c r="AA121" i="1"/>
  <c r="W121" i="1" s="1"/>
  <c r="AA113" i="1"/>
  <c r="W113" i="1" s="1"/>
  <c r="AA111" i="1"/>
  <c r="AA107" i="1"/>
  <c r="AA105" i="1"/>
  <c r="AA101" i="1"/>
  <c r="W101" i="1" s="1"/>
  <c r="AA192" i="1"/>
  <c r="AA191" i="1"/>
  <c r="X188" i="1"/>
  <c r="AA186" i="1"/>
  <c r="W186" i="1" s="1"/>
  <c r="AA184" i="1"/>
  <c r="T182" i="1"/>
  <c r="X178" i="1"/>
  <c r="AA176" i="1"/>
  <c r="W176" i="1" s="1"/>
  <c r="T175" i="1"/>
  <c r="AA87" i="1"/>
  <c r="W87" i="1" s="1"/>
  <c r="T87" i="1"/>
  <c r="AA67" i="1"/>
  <c r="X64" i="1"/>
  <c r="AA62" i="1"/>
  <c r="W62" i="1" s="1"/>
  <c r="AA63" i="1"/>
  <c r="AA44" i="1"/>
  <c r="W44" i="1" s="1"/>
  <c r="AA36" i="1"/>
  <c r="AA27" i="1"/>
  <c r="W27" i="1" s="1"/>
  <c r="X222" i="1"/>
  <c r="AA209" i="1"/>
  <c r="W209" i="1" s="1"/>
  <c r="X208" i="1"/>
  <c r="X205" i="1"/>
  <c r="X154" i="1"/>
  <c r="X142" i="1"/>
  <c r="X138" i="1"/>
  <c r="AA110" i="1"/>
  <c r="W110" i="1" s="1"/>
  <c r="AA104" i="1"/>
  <c r="AA99" i="1"/>
  <c r="W99" i="1" s="1"/>
  <c r="T194" i="1"/>
  <c r="X192" i="1"/>
  <c r="AA190" i="1"/>
  <c r="AA188" i="1"/>
  <c r="AA187" i="1"/>
  <c r="AA180" i="1"/>
  <c r="W180" i="1" s="1"/>
  <c r="AA173" i="1"/>
  <c r="W173" i="1" s="1"/>
  <c r="AA170" i="1"/>
  <c r="AA169" i="1"/>
  <c r="AA88" i="1"/>
  <c r="W88" i="1" s="1"/>
  <c r="AA82" i="1"/>
  <c r="X60" i="1"/>
  <c r="X228" i="1"/>
  <c r="AA225" i="1"/>
  <c r="W225" i="1" s="1"/>
  <c r="AA221" i="1"/>
  <c r="AA217" i="1"/>
  <c r="W217" i="1" s="1"/>
  <c r="X212" i="1"/>
  <c r="X209" i="1"/>
  <c r="AA207" i="1"/>
  <c r="W207" i="1" s="1"/>
  <c r="AA204" i="1"/>
  <c r="W204" i="1" s="1"/>
  <c r="AA159" i="1"/>
  <c r="X158" i="1"/>
  <c r="AA143" i="1"/>
  <c r="W143" i="1" s="1"/>
  <c r="AA126" i="1"/>
  <c r="W126" i="1" s="1"/>
  <c r="AA125" i="1"/>
  <c r="X102" i="1"/>
  <c r="X181" i="1"/>
  <c r="X174" i="1"/>
  <c r="X86" i="1"/>
  <c r="AA75" i="1"/>
  <c r="W75" i="1" s="1"/>
  <c r="AA55" i="1"/>
  <c r="W55" i="1" s="1"/>
  <c r="AA41" i="1"/>
  <c r="W41" i="1" s="1"/>
  <c r="AA37" i="1"/>
  <c r="AA33" i="1"/>
  <c r="AA23" i="1"/>
  <c r="AA20" i="1"/>
  <c r="W20" i="1" s="1"/>
  <c r="AA16" i="1"/>
  <c r="AA222" i="1"/>
  <c r="X220" i="1"/>
  <c r="X218" i="1"/>
  <c r="AA210" i="1"/>
  <c r="X200" i="1"/>
  <c r="AA160" i="1"/>
  <c r="W160" i="1" s="1"/>
  <c r="X150" i="1"/>
  <c r="AA144" i="1"/>
  <c r="T142" i="1"/>
  <c r="AA223" i="1"/>
  <c r="W223" i="1" s="1"/>
  <c r="T219" i="1"/>
  <c r="U219" i="1" s="1"/>
  <c r="S219" i="1" s="1"/>
  <c r="AA206" i="1"/>
  <c r="T204" i="1"/>
  <c r="T201" i="1"/>
  <c r="U201" i="1" s="1"/>
  <c r="S201" i="1" s="1"/>
  <c r="AA156" i="1"/>
  <c r="W156" i="1" s="1"/>
  <c r="AA155" i="1"/>
  <c r="T154" i="1"/>
  <c r="AA140" i="1"/>
  <c r="AA139" i="1"/>
  <c r="W139" i="1" s="1"/>
  <c r="T138" i="1"/>
  <c r="U138" i="1" s="1"/>
  <c r="S138" i="1" s="1"/>
  <c r="AA133" i="1"/>
  <c r="AA151" i="1"/>
  <c r="W151" i="1" s="1"/>
  <c r="AA229" i="1"/>
  <c r="W229" i="1" s="1"/>
  <c r="AA227" i="1"/>
  <c r="T222" i="1"/>
  <c r="AA220" i="1"/>
  <c r="AA214" i="1"/>
  <c r="AA213" i="1"/>
  <c r="AA165" i="1"/>
  <c r="AA163" i="1"/>
  <c r="W163" i="1" s="1"/>
  <c r="AA148" i="1"/>
  <c r="W148" i="1" s="1"/>
  <c r="AA147" i="1"/>
  <c r="X134" i="1"/>
  <c r="X111" i="1"/>
  <c r="T64" i="1"/>
  <c r="U64" i="1" s="1"/>
  <c r="S64" i="1" s="1"/>
  <c r="T56" i="1"/>
  <c r="AA53" i="1"/>
  <c r="AA50" i="1"/>
  <c r="W50" i="1" s="1"/>
  <c r="T50" i="1"/>
  <c r="U50" i="1" s="1"/>
  <c r="S50" i="1" s="1"/>
  <c r="AA48" i="1"/>
  <c r="AA47" i="1"/>
  <c r="X42" i="1"/>
  <c r="X37" i="1"/>
  <c r="AA34" i="1"/>
  <c r="T34" i="1"/>
  <c r="AA32" i="1"/>
  <c r="W32" i="1" s="1"/>
  <c r="AA31" i="1"/>
  <c r="W31" i="1" s="1"/>
  <c r="X26" i="1"/>
  <c r="X25" i="1"/>
  <c r="AA22" i="1"/>
  <c r="T22" i="1"/>
  <c r="U22" i="1" s="1"/>
  <c r="S22" i="1" s="1"/>
  <c r="X18" i="1"/>
  <c r="T16" i="1"/>
  <c r="AA114" i="1"/>
  <c r="W114" i="1" s="1"/>
  <c r="X108" i="1"/>
  <c r="X105" i="1"/>
  <c r="AA102" i="1"/>
  <c r="T102" i="1"/>
  <c r="AA100" i="1"/>
  <c r="AA199" i="1"/>
  <c r="X98" i="1"/>
  <c r="X97" i="1"/>
  <c r="X193" i="1"/>
  <c r="X189" i="1"/>
  <c r="X96" i="1"/>
  <c r="X185" i="1"/>
  <c r="AA91" i="1"/>
  <c r="W91" i="1" s="1"/>
  <c r="T91" i="1"/>
  <c r="AA89" i="1"/>
  <c r="AA78" i="1"/>
  <c r="W78" i="1" s="1"/>
  <c r="AA72" i="1"/>
  <c r="AA70" i="1"/>
  <c r="X49" i="1"/>
  <c r="X33" i="1"/>
  <c r="T15" i="1"/>
  <c r="U15" i="1" s="1"/>
  <c r="S15" i="1" s="1"/>
  <c r="X101" i="1"/>
  <c r="AA52" i="1"/>
  <c r="X45" i="1"/>
  <c r="AA42" i="1"/>
  <c r="W42" i="1" s="1"/>
  <c r="AA40" i="1"/>
  <c r="AA39" i="1"/>
  <c r="X29" i="1"/>
  <c r="AA26" i="1"/>
  <c r="W26" i="1" s="1"/>
  <c r="X21" i="1"/>
  <c r="AA18" i="1"/>
  <c r="AA135" i="1"/>
  <c r="W135" i="1" s="1"/>
  <c r="AA132" i="1"/>
  <c r="W132" i="1" s="1"/>
  <c r="AA131" i="1"/>
  <c r="AA128" i="1"/>
  <c r="AA127" i="1"/>
  <c r="W127" i="1" s="1"/>
  <c r="AA124" i="1"/>
  <c r="W124" i="1" s="1"/>
  <c r="AA123" i="1"/>
  <c r="AA120" i="1"/>
  <c r="AA119" i="1"/>
  <c r="AA116" i="1"/>
  <c r="W116" i="1" s="1"/>
  <c r="AA115" i="1"/>
  <c r="AA108" i="1"/>
  <c r="AA216" i="1"/>
  <c r="AA215" i="1"/>
  <c r="W215" i="1" s="1"/>
  <c r="X197" i="1"/>
  <c r="AA98" i="1"/>
  <c r="AA185" i="1"/>
  <c r="W185" i="1" s="1"/>
  <c r="AA183" i="1"/>
  <c r="W183" i="1" s="1"/>
  <c r="AA182" i="1"/>
  <c r="AA179" i="1"/>
  <c r="AA178" i="1"/>
  <c r="W178" i="1" s="1"/>
  <c r="AA95" i="1"/>
  <c r="AA175" i="1"/>
  <c r="AA172" i="1"/>
  <c r="AA171" i="1"/>
  <c r="W171" i="1" s="1"/>
  <c r="AA168" i="1"/>
  <c r="W168" i="1" s="1"/>
  <c r="AA92" i="1"/>
  <c r="AA83" i="1"/>
  <c r="AA81" i="1"/>
  <c r="W81" i="1" s="1"/>
  <c r="AA76" i="1"/>
  <c r="W76" i="1" s="1"/>
  <c r="AA74" i="1"/>
  <c r="AA68" i="1"/>
  <c r="AA66" i="1"/>
  <c r="W66" i="1" s="1"/>
  <c r="AA58" i="1"/>
  <c r="X41" i="1"/>
  <c r="U222" i="1"/>
  <c r="S222" i="1" s="1"/>
  <c r="AI222" i="1"/>
  <c r="AI151" i="1"/>
  <c r="U115" i="1"/>
  <c r="S115" i="1" s="1"/>
  <c r="AI223" i="1"/>
  <c r="AI199" i="1"/>
  <c r="AI191" i="1"/>
  <c r="U155" i="1"/>
  <c r="S155" i="1" s="1"/>
  <c r="AI183" i="1"/>
  <c r="U147" i="1"/>
  <c r="S147" i="1" s="1"/>
  <c r="AI175" i="1"/>
  <c r="U139" i="1"/>
  <c r="AI163" i="1"/>
  <c r="U127" i="1"/>
  <c r="S127" i="1" s="1"/>
  <c r="AI167" i="1"/>
  <c r="AI227" i="1"/>
  <c r="AI215" i="1"/>
  <c r="AI207" i="1"/>
  <c r="U205" i="1"/>
  <c r="S205" i="1" s="1"/>
  <c r="U228" i="1"/>
  <c r="S228" i="1" s="1"/>
  <c r="AI228" i="1"/>
  <c r="U224" i="1"/>
  <c r="S224" i="1" s="1"/>
  <c r="AI224" i="1"/>
  <c r="AI221" i="1"/>
  <c r="AI220" i="1"/>
  <c r="AI219" i="1"/>
  <c r="AI159" i="1"/>
  <c r="U226" i="1"/>
  <c r="S226" i="1" s="1"/>
  <c r="AI226" i="1"/>
  <c r="AI229" i="1"/>
  <c r="U225" i="1"/>
  <c r="S225" i="1" s="1"/>
  <c r="AI225" i="1"/>
  <c r="AI211" i="1"/>
  <c r="U209" i="1"/>
  <c r="S209" i="1" s="1"/>
  <c r="AI203" i="1"/>
  <c r="AI195" i="1"/>
  <c r="AI187" i="1"/>
  <c r="AI179" i="1"/>
  <c r="U143" i="1"/>
  <c r="S143" i="1" s="1"/>
  <c r="AI171" i="1"/>
  <c r="U135" i="1"/>
  <c r="S135" i="1" s="1"/>
  <c r="AI155" i="1"/>
  <c r="S218" i="1"/>
  <c r="U218" i="1"/>
  <c r="AI218" i="1"/>
  <c r="AI214" i="1"/>
  <c r="U212" i="1"/>
  <c r="S212" i="1" s="1"/>
  <c r="AI210" i="1"/>
  <c r="U208" i="1"/>
  <c r="S208" i="1" s="1"/>
  <c r="AI206" i="1"/>
  <c r="U204" i="1"/>
  <c r="S204" i="1" s="1"/>
  <c r="AI202" i="1"/>
  <c r="U200" i="1"/>
  <c r="S200" i="1" s="1"/>
  <c r="AI198" i="1"/>
  <c r="U162" i="1"/>
  <c r="S162" i="1" s="1"/>
  <c r="AI194" i="1"/>
  <c r="U158" i="1"/>
  <c r="S158" i="1" s="1"/>
  <c r="AI190" i="1"/>
  <c r="U154" i="1"/>
  <c r="S154" i="1" s="1"/>
  <c r="AI186" i="1"/>
  <c r="U150" i="1"/>
  <c r="S150" i="1" s="1"/>
  <c r="AI182" i="1"/>
  <c r="U146" i="1"/>
  <c r="S146" i="1" s="1"/>
  <c r="AI178" i="1"/>
  <c r="U142" i="1"/>
  <c r="S142" i="1" s="1"/>
  <c r="AI174" i="1"/>
  <c r="AI170" i="1"/>
  <c r="U134" i="1"/>
  <c r="S134" i="1" s="1"/>
  <c r="AI166" i="1"/>
  <c r="AI162" i="1"/>
  <c r="AI158" i="1"/>
  <c r="AI154" i="1"/>
  <c r="AI149" i="1"/>
  <c r="AI148" i="1"/>
  <c r="U112" i="1"/>
  <c r="S112" i="1" s="1"/>
  <c r="AI216" i="1"/>
  <c r="AI212" i="1"/>
  <c r="AI208" i="1"/>
  <c r="AI204" i="1"/>
  <c r="AI200" i="1"/>
  <c r="AI196" i="1"/>
  <c r="AI192" i="1"/>
  <c r="AI188" i="1"/>
  <c r="AI184" i="1"/>
  <c r="AI180" i="1"/>
  <c r="AI176" i="1"/>
  <c r="AI172" i="1"/>
  <c r="AI168" i="1"/>
  <c r="AI165" i="1"/>
  <c r="AI160" i="1"/>
  <c r="AI156" i="1"/>
  <c r="AI152" i="1"/>
  <c r="U217" i="1"/>
  <c r="S217" i="1" s="1"/>
  <c r="AI217" i="1"/>
  <c r="U211" i="1"/>
  <c r="S211" i="1" s="1"/>
  <c r="AI213" i="1"/>
  <c r="U207" i="1"/>
  <c r="S207" i="1" s="1"/>
  <c r="AI209" i="1"/>
  <c r="U203" i="1"/>
  <c r="S203" i="1" s="1"/>
  <c r="AI205" i="1"/>
  <c r="AI201" i="1"/>
  <c r="U161" i="1"/>
  <c r="S161" i="1" s="1"/>
  <c r="AI197" i="1"/>
  <c r="U157" i="1"/>
  <c r="S157" i="1" s="1"/>
  <c r="AI193" i="1"/>
  <c r="W157" i="1"/>
  <c r="U153" i="1"/>
  <c r="S153" i="1" s="1"/>
  <c r="AI189" i="1"/>
  <c r="U149" i="1"/>
  <c r="S149" i="1" s="1"/>
  <c r="AI185" i="1"/>
  <c r="U145" i="1"/>
  <c r="S145" i="1" s="1"/>
  <c r="AI181" i="1"/>
  <c r="U141" i="1"/>
  <c r="S141" i="1" s="1"/>
  <c r="AI177" i="1"/>
  <c r="W141" i="1"/>
  <c r="U137" i="1"/>
  <c r="S137" i="1" s="1"/>
  <c r="AI173" i="1"/>
  <c r="U133" i="1"/>
  <c r="S133" i="1" s="1"/>
  <c r="AI169" i="1"/>
  <c r="U129" i="1"/>
  <c r="S129" i="1" s="1"/>
  <c r="U125" i="1"/>
  <c r="AI161" i="1"/>
  <c r="W125" i="1"/>
  <c r="U121" i="1"/>
  <c r="S121" i="1" s="1"/>
  <c r="AI157" i="1"/>
  <c r="U117" i="1"/>
  <c r="S117" i="1" s="1"/>
  <c r="AI153" i="1"/>
  <c r="AI145" i="1"/>
  <c r="U109" i="1"/>
  <c r="S109" i="1" s="1"/>
  <c r="U111" i="1"/>
  <c r="S111" i="1" s="1"/>
  <c r="AI147" i="1"/>
  <c r="U107" i="1"/>
  <c r="S107" i="1" s="1"/>
  <c r="AI143" i="1"/>
  <c r="AI139" i="1"/>
  <c r="U105" i="1"/>
  <c r="S105" i="1" s="1"/>
  <c r="AI135" i="1"/>
  <c r="U101" i="1"/>
  <c r="S101" i="1" s="1"/>
  <c r="AI131" i="1"/>
  <c r="U197" i="1"/>
  <c r="S197" i="1" s="1"/>
  <c r="AI127" i="1"/>
  <c r="U97" i="1"/>
  <c r="S97" i="1" s="1"/>
  <c r="U193" i="1"/>
  <c r="S193" i="1" s="1"/>
  <c r="AI124" i="1"/>
  <c r="AI104" i="1"/>
  <c r="U175" i="1"/>
  <c r="S175" i="1" s="1"/>
  <c r="AI92" i="1"/>
  <c r="U92" i="1"/>
  <c r="S92" i="1" s="1"/>
  <c r="AI144" i="1"/>
  <c r="U108" i="1"/>
  <c r="S108" i="1" s="1"/>
  <c r="AI140" i="1"/>
  <c r="U106" i="1"/>
  <c r="S106" i="1" s="1"/>
  <c r="AI136" i="1"/>
  <c r="U102" i="1"/>
  <c r="S102" i="1" s="1"/>
  <c r="AI132" i="1"/>
  <c r="U198" i="1"/>
  <c r="S198" i="1" s="1"/>
  <c r="AI128" i="1"/>
  <c r="U98" i="1"/>
  <c r="AI120" i="1"/>
  <c r="U189" i="1"/>
  <c r="S189" i="1" s="1"/>
  <c r="AI100" i="1"/>
  <c r="U171" i="1"/>
  <c r="S171" i="1" s="1"/>
  <c r="AI73" i="1"/>
  <c r="U73" i="1"/>
  <c r="S73" i="1" s="1"/>
  <c r="U215" i="1"/>
  <c r="S215" i="1" s="1"/>
  <c r="AI141" i="1"/>
  <c r="U103" i="1"/>
  <c r="S103" i="1" s="1"/>
  <c r="AI137" i="1"/>
  <c r="U199" i="1"/>
  <c r="S199" i="1" s="1"/>
  <c r="AI133" i="1"/>
  <c r="U99" i="1"/>
  <c r="AI129" i="1"/>
  <c r="U194" i="1"/>
  <c r="S194" i="1" s="1"/>
  <c r="AI125" i="1"/>
  <c r="AI116" i="1"/>
  <c r="U96" i="1"/>
  <c r="S96" i="1" s="1"/>
  <c r="AI112" i="1"/>
  <c r="U182" i="1"/>
  <c r="S182" i="1" s="1"/>
  <c r="AI96" i="1"/>
  <c r="U167" i="1"/>
  <c r="S167" i="1" s="1"/>
  <c r="AI88" i="1"/>
  <c r="U88" i="1"/>
  <c r="S88" i="1" s="1"/>
  <c r="AI85" i="1"/>
  <c r="AI57" i="1"/>
  <c r="U57" i="1"/>
  <c r="S57" i="1" s="1"/>
  <c r="AI150" i="1"/>
  <c r="AI146" i="1"/>
  <c r="AI142" i="1"/>
  <c r="AI138" i="1"/>
  <c r="AI134" i="1"/>
  <c r="AI130" i="1"/>
  <c r="AI126" i="1"/>
  <c r="AI108" i="1"/>
  <c r="U178" i="1"/>
  <c r="S178" i="1" s="1"/>
  <c r="AI84" i="1"/>
  <c r="U84" i="1"/>
  <c r="S84" i="1" s="1"/>
  <c r="AI121" i="1"/>
  <c r="AI117" i="1"/>
  <c r="AI113" i="1"/>
  <c r="AI109" i="1"/>
  <c r="AI105" i="1"/>
  <c r="AI101" i="1"/>
  <c r="AI97" i="1"/>
  <c r="AI93" i="1"/>
  <c r="AI89" i="1"/>
  <c r="AI77" i="1"/>
  <c r="U77" i="1"/>
  <c r="S77" i="1" s="1"/>
  <c r="AI61" i="1"/>
  <c r="U61" i="1"/>
  <c r="S61" i="1" s="1"/>
  <c r="U191" i="1"/>
  <c r="S191" i="1" s="1"/>
  <c r="AI122" i="1"/>
  <c r="W191" i="1"/>
  <c r="U187" i="1"/>
  <c r="S187" i="1" s="1"/>
  <c r="AI118" i="1"/>
  <c r="U184" i="1"/>
  <c r="S184" i="1" s="1"/>
  <c r="W184" i="1"/>
  <c r="AI114" i="1"/>
  <c r="U180" i="1"/>
  <c r="S180" i="1" s="1"/>
  <c r="AI110" i="1"/>
  <c r="U176" i="1"/>
  <c r="S176" i="1" s="1"/>
  <c r="AI106" i="1"/>
  <c r="U173" i="1"/>
  <c r="S173" i="1" s="1"/>
  <c r="AI102" i="1"/>
  <c r="U169" i="1"/>
  <c r="S169" i="1" s="1"/>
  <c r="AI98" i="1"/>
  <c r="U94" i="1"/>
  <c r="S94" i="1" s="1"/>
  <c r="AI94" i="1"/>
  <c r="U90" i="1"/>
  <c r="S90" i="1" s="1"/>
  <c r="AI90" i="1"/>
  <c r="U86" i="1"/>
  <c r="S86" i="1" s="1"/>
  <c r="AI86" i="1"/>
  <c r="AI80" i="1"/>
  <c r="U80" i="1"/>
  <c r="S80" i="1" s="1"/>
  <c r="AI65" i="1"/>
  <c r="U65" i="1"/>
  <c r="S65" i="1" s="1"/>
  <c r="U192" i="1"/>
  <c r="S192" i="1" s="1"/>
  <c r="AI123" i="1"/>
  <c r="U188" i="1"/>
  <c r="S188" i="1" s="1"/>
  <c r="AI119" i="1"/>
  <c r="U185" i="1"/>
  <c r="S185" i="1" s="1"/>
  <c r="AI115" i="1"/>
  <c r="U181" i="1"/>
  <c r="S181" i="1" s="1"/>
  <c r="AI111" i="1"/>
  <c r="U177" i="1"/>
  <c r="S177" i="1" s="1"/>
  <c r="AI107" i="1"/>
  <c r="U174" i="1"/>
  <c r="S174" i="1" s="1"/>
  <c r="AI103" i="1"/>
  <c r="U170" i="1"/>
  <c r="S170" i="1" s="1"/>
  <c r="AI99" i="1"/>
  <c r="U166" i="1"/>
  <c r="S166" i="1" s="1"/>
  <c r="AI95" i="1"/>
  <c r="U91" i="1"/>
  <c r="AI91" i="1"/>
  <c r="U87" i="1"/>
  <c r="S87" i="1" s="1"/>
  <c r="AI87" i="1"/>
  <c r="AI69" i="1"/>
  <c r="U69" i="1"/>
  <c r="S69" i="1" s="1"/>
  <c r="AI53" i="1"/>
  <c r="U53" i="1"/>
  <c r="S53" i="1" s="1"/>
  <c r="AI81" i="1"/>
  <c r="AI78" i="1"/>
  <c r="AI74" i="1"/>
  <c r="AI70" i="1"/>
  <c r="AI66" i="1"/>
  <c r="AI62" i="1"/>
  <c r="AI58" i="1"/>
  <c r="AI54" i="1"/>
  <c r="U82" i="1"/>
  <c r="S82" i="1" s="1"/>
  <c r="AI82" i="1"/>
  <c r="W82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W67" i="1"/>
  <c r="U63" i="1"/>
  <c r="S63" i="1" s="1"/>
  <c r="AI63" i="1"/>
  <c r="U59" i="1"/>
  <c r="S59" i="1" s="1"/>
  <c r="AI59" i="1"/>
  <c r="U55" i="1"/>
  <c r="S55" i="1" s="1"/>
  <c r="AI55" i="1"/>
  <c r="U83" i="1"/>
  <c r="S83" i="1" s="1"/>
  <c r="AI83" i="1"/>
  <c r="U76" i="1"/>
  <c r="S76" i="1" s="1"/>
  <c r="AI76" i="1"/>
  <c r="U72" i="1"/>
  <c r="S72" i="1" s="1"/>
  <c r="AI72" i="1"/>
  <c r="AI68" i="1"/>
  <c r="AI64" i="1"/>
  <c r="U60" i="1"/>
  <c r="S60" i="1" s="1"/>
  <c r="AI60" i="1"/>
  <c r="U56" i="1"/>
  <c r="S56" i="1" s="1"/>
  <c r="AI56" i="1"/>
  <c r="U51" i="1"/>
  <c r="S51" i="1" s="1"/>
  <c r="AI51" i="1"/>
  <c r="U49" i="1"/>
  <c r="S49" i="1" s="1"/>
  <c r="AI49" i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AI18" i="1"/>
  <c r="U18" i="1"/>
  <c r="S18" i="1" s="1"/>
  <c r="AI14" i="1"/>
  <c r="U14" i="1"/>
  <c r="S14" i="1" s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AI23" i="1"/>
  <c r="U19" i="1"/>
  <c r="S19" i="1" s="1"/>
  <c r="AI19" i="1"/>
  <c r="AI15" i="1"/>
  <c r="AI52" i="1"/>
  <c r="AI48" i="1"/>
  <c r="AI44" i="1"/>
  <c r="AI40" i="1"/>
  <c r="AI36" i="1"/>
  <c r="AI32" i="1"/>
  <c r="AI28" i="1"/>
  <c r="AI24" i="1"/>
  <c r="AI20" i="1"/>
  <c r="U16" i="1"/>
  <c r="S16" i="1" s="1"/>
  <c r="AI16" i="1"/>
  <c r="W227" i="1"/>
  <c r="W228" i="1"/>
  <c r="W224" i="1"/>
  <c r="W222" i="1"/>
  <c r="W221" i="1"/>
  <c r="W211" i="1"/>
  <c r="W145" i="1"/>
  <c r="W111" i="1"/>
  <c r="W203" i="1"/>
  <c r="W153" i="1"/>
  <c r="W137" i="1"/>
  <c r="W133" i="1"/>
  <c r="T206" i="1"/>
  <c r="U206" i="1" s="1"/>
  <c r="S206" i="1" s="1"/>
  <c r="X206" i="1"/>
  <c r="W205" i="1"/>
  <c r="T156" i="1"/>
  <c r="U156" i="1" s="1"/>
  <c r="S156" i="1" s="1"/>
  <c r="X156" i="1"/>
  <c r="W155" i="1"/>
  <c r="T128" i="1"/>
  <c r="U128" i="1" s="1"/>
  <c r="S128" i="1" s="1"/>
  <c r="X128" i="1"/>
  <c r="X129" i="1"/>
  <c r="X114" i="1"/>
  <c r="T114" i="1"/>
  <c r="U114" i="1" s="1"/>
  <c r="X115" i="1"/>
  <c r="X226" i="1"/>
  <c r="T220" i="1"/>
  <c r="U220" i="1" s="1"/>
  <c r="S220" i="1" s="1"/>
  <c r="W219" i="1"/>
  <c r="W210" i="1"/>
  <c r="W202" i="1"/>
  <c r="W144" i="1"/>
  <c r="W136" i="1"/>
  <c r="T124" i="1"/>
  <c r="U124" i="1" s="1"/>
  <c r="X124" i="1"/>
  <c r="X125" i="1"/>
  <c r="W123" i="1"/>
  <c r="W122" i="1"/>
  <c r="W120" i="1"/>
  <c r="W102" i="1"/>
  <c r="W100" i="1"/>
  <c r="W199" i="1"/>
  <c r="W90" i="1"/>
  <c r="W220" i="1"/>
  <c r="T214" i="1"/>
  <c r="U214" i="1" s="1"/>
  <c r="S214" i="1" s="1"/>
  <c r="X214" i="1"/>
  <c r="W213" i="1"/>
  <c r="W212" i="1"/>
  <c r="T165" i="1"/>
  <c r="U165" i="1" s="1"/>
  <c r="S165" i="1" s="1"/>
  <c r="T148" i="1"/>
  <c r="U148" i="1" s="1"/>
  <c r="S148" i="1" s="1"/>
  <c r="X148" i="1"/>
  <c r="W147" i="1"/>
  <c r="W146" i="1"/>
  <c r="T140" i="1"/>
  <c r="U140" i="1" s="1"/>
  <c r="S140" i="1" s="1"/>
  <c r="X140" i="1"/>
  <c r="W138" i="1"/>
  <c r="T221" i="1"/>
  <c r="U221" i="1" s="1"/>
  <c r="S221" i="1" s="1"/>
  <c r="X221" i="1"/>
  <c r="X227" i="1"/>
  <c r="T227" i="1"/>
  <c r="U227" i="1" s="1"/>
  <c r="S227" i="1" s="1"/>
  <c r="X223" i="1"/>
  <c r="T223" i="1"/>
  <c r="U223" i="1" s="1"/>
  <c r="S223" i="1" s="1"/>
  <c r="W218" i="1"/>
  <c r="T210" i="1"/>
  <c r="U210" i="1" s="1"/>
  <c r="S210" i="1" s="1"/>
  <c r="X210" i="1"/>
  <c r="T202" i="1"/>
  <c r="U202" i="1" s="1"/>
  <c r="S202" i="1" s="1"/>
  <c r="X202" i="1"/>
  <c r="W201" i="1"/>
  <c r="W200" i="1"/>
  <c r="T160" i="1"/>
  <c r="U160" i="1" s="1"/>
  <c r="S160" i="1" s="1"/>
  <c r="X160" i="1"/>
  <c r="W159" i="1"/>
  <c r="W158" i="1"/>
  <c r="T152" i="1"/>
  <c r="U152" i="1" s="1"/>
  <c r="S152" i="1" s="1"/>
  <c r="X152" i="1"/>
  <c r="W150" i="1"/>
  <c r="T144" i="1"/>
  <c r="U144" i="1" s="1"/>
  <c r="S144" i="1" s="1"/>
  <c r="X144" i="1"/>
  <c r="W142" i="1"/>
  <c r="T136" i="1"/>
  <c r="U136" i="1" s="1"/>
  <c r="S136" i="1" s="1"/>
  <c r="X136" i="1"/>
  <c r="X137" i="1"/>
  <c r="W134" i="1"/>
  <c r="T120" i="1"/>
  <c r="U120" i="1" s="1"/>
  <c r="S120" i="1" s="1"/>
  <c r="X120" i="1"/>
  <c r="X121" i="1"/>
  <c r="W119" i="1"/>
  <c r="W118" i="1"/>
  <c r="W214" i="1"/>
  <c r="W206" i="1"/>
  <c r="W165" i="1"/>
  <c r="W140" i="1"/>
  <c r="T132" i="1"/>
  <c r="U132" i="1" s="1"/>
  <c r="S132" i="1" s="1"/>
  <c r="X132" i="1"/>
  <c r="X133" i="1"/>
  <c r="W131" i="1"/>
  <c r="W130" i="1"/>
  <c r="W128" i="1"/>
  <c r="T116" i="1"/>
  <c r="U116" i="1" s="1"/>
  <c r="S116" i="1" s="1"/>
  <c r="X116" i="1"/>
  <c r="X117" i="1"/>
  <c r="W115" i="1"/>
  <c r="W107" i="1"/>
  <c r="X217" i="1"/>
  <c r="X211" i="1"/>
  <c r="X207" i="1"/>
  <c r="X203" i="1"/>
  <c r="X161" i="1"/>
  <c r="X157" i="1"/>
  <c r="X153" i="1"/>
  <c r="X149" i="1"/>
  <c r="X145" i="1"/>
  <c r="X141" i="1"/>
  <c r="X112" i="1"/>
  <c r="W108" i="1"/>
  <c r="X107" i="1"/>
  <c r="T216" i="1"/>
  <c r="U216" i="1" s="1"/>
  <c r="S216" i="1" s="1"/>
  <c r="X216" i="1"/>
  <c r="W105" i="1"/>
  <c r="W104" i="1"/>
  <c r="W103" i="1"/>
  <c r="W97" i="1"/>
  <c r="W194" i="1"/>
  <c r="W187" i="1"/>
  <c r="W94" i="1"/>
  <c r="AA112" i="1"/>
  <c r="W112" i="1" s="1"/>
  <c r="T110" i="1"/>
  <c r="U110" i="1" s="1"/>
  <c r="S110" i="1" s="1"/>
  <c r="X110" i="1"/>
  <c r="W198" i="1"/>
  <c r="W196" i="1"/>
  <c r="W86" i="1"/>
  <c r="T113" i="1"/>
  <c r="U113" i="1" s="1"/>
  <c r="X113" i="1"/>
  <c r="W216" i="1"/>
  <c r="W98" i="1"/>
  <c r="W169" i="1"/>
  <c r="X104" i="1"/>
  <c r="T104" i="1"/>
  <c r="U104" i="1" s="1"/>
  <c r="S104" i="1" s="1"/>
  <c r="X100" i="1"/>
  <c r="T100" i="1"/>
  <c r="U100" i="1" s="1"/>
  <c r="S100" i="1" s="1"/>
  <c r="X196" i="1"/>
  <c r="T196" i="1"/>
  <c r="U196" i="1" s="1"/>
  <c r="S196" i="1" s="1"/>
  <c r="X195" i="1"/>
  <c r="T195" i="1"/>
  <c r="U195" i="1" s="1"/>
  <c r="S195" i="1" s="1"/>
  <c r="X191" i="1"/>
  <c r="T190" i="1"/>
  <c r="U190" i="1" s="1"/>
  <c r="S190" i="1" s="1"/>
  <c r="X190" i="1"/>
  <c r="W188" i="1"/>
  <c r="T172" i="1"/>
  <c r="U172" i="1" s="1"/>
  <c r="S172" i="1" s="1"/>
  <c r="W170" i="1"/>
  <c r="W89" i="1"/>
  <c r="AA85" i="1"/>
  <c r="W85" i="1" s="1"/>
  <c r="W63" i="1"/>
  <c r="W48" i="1"/>
  <c r="W47" i="1"/>
  <c r="W34" i="1"/>
  <c r="W33" i="1"/>
  <c r="W22" i="1"/>
  <c r="W15" i="1"/>
  <c r="X187" i="1"/>
  <c r="T186" i="1"/>
  <c r="U186" i="1" s="1"/>
  <c r="S186" i="1" s="1"/>
  <c r="X186" i="1"/>
  <c r="W96" i="1"/>
  <c r="T183" i="1"/>
  <c r="U183" i="1" s="1"/>
  <c r="S183" i="1" s="1"/>
  <c r="X183" i="1"/>
  <c r="W182" i="1"/>
  <c r="W181" i="1"/>
  <c r="W179" i="1"/>
  <c r="T168" i="1"/>
  <c r="U168" i="1" s="1"/>
  <c r="S168" i="1" s="1"/>
  <c r="X90" i="1"/>
  <c r="T89" i="1"/>
  <c r="U89" i="1" s="1"/>
  <c r="S89" i="1" s="1"/>
  <c r="X89" i="1"/>
  <c r="W80" i="1"/>
  <c r="T78" i="1"/>
  <c r="U78" i="1" s="1"/>
  <c r="S78" i="1" s="1"/>
  <c r="X78" i="1"/>
  <c r="W64" i="1"/>
  <c r="T179" i="1"/>
  <c r="U179" i="1" s="1"/>
  <c r="S179" i="1" s="1"/>
  <c r="X179" i="1"/>
  <c r="W177" i="1"/>
  <c r="W95" i="1"/>
  <c r="W93" i="1"/>
  <c r="W92" i="1"/>
  <c r="W65" i="1"/>
  <c r="X63" i="1"/>
  <c r="T62" i="1"/>
  <c r="U62" i="1" s="1"/>
  <c r="S62" i="1" s="1"/>
  <c r="X62" i="1"/>
  <c r="X109" i="1"/>
  <c r="X215" i="1"/>
  <c r="X103" i="1"/>
  <c r="X199" i="1"/>
  <c r="X99" i="1"/>
  <c r="W193" i="1"/>
  <c r="W192" i="1"/>
  <c r="W190" i="1"/>
  <c r="AA189" i="1"/>
  <c r="W189" i="1" s="1"/>
  <c r="T95" i="1"/>
  <c r="U95" i="1" s="1"/>
  <c r="S95" i="1" s="1"/>
  <c r="X95" i="1"/>
  <c r="W175" i="1"/>
  <c r="W174" i="1"/>
  <c r="W172" i="1"/>
  <c r="X94" i="1"/>
  <c r="T93" i="1"/>
  <c r="U93" i="1" s="1"/>
  <c r="S93" i="1" s="1"/>
  <c r="X93" i="1"/>
  <c r="W59" i="1"/>
  <c r="X92" i="1"/>
  <c r="X88" i="1"/>
  <c r="W83" i="1"/>
  <c r="T81" i="1"/>
  <c r="U81" i="1" s="1"/>
  <c r="S81" i="1" s="1"/>
  <c r="W70" i="1"/>
  <c r="W68" i="1"/>
  <c r="X67" i="1"/>
  <c r="T66" i="1"/>
  <c r="U66" i="1" s="1"/>
  <c r="S66" i="1" s="1"/>
  <c r="X66" i="1"/>
  <c r="W53" i="1"/>
  <c r="W52" i="1"/>
  <c r="AA84" i="1"/>
  <c r="W84" i="1" s="1"/>
  <c r="W74" i="1"/>
  <c r="AA73" i="1"/>
  <c r="W73" i="1" s="1"/>
  <c r="W72" i="1"/>
  <c r="X71" i="1"/>
  <c r="T70" i="1"/>
  <c r="U70" i="1" s="1"/>
  <c r="S70" i="1" s="1"/>
  <c r="X70" i="1"/>
  <c r="W58" i="1"/>
  <c r="AA57" i="1"/>
  <c r="W57" i="1" s="1"/>
  <c r="X55" i="1"/>
  <c r="T54" i="1"/>
  <c r="U54" i="1" s="1"/>
  <c r="S54" i="1" s="1"/>
  <c r="X54" i="1"/>
  <c r="X52" i="1"/>
  <c r="T52" i="1"/>
  <c r="U52" i="1" s="1"/>
  <c r="S52" i="1" s="1"/>
  <c r="X184" i="1"/>
  <c r="X180" i="1"/>
  <c r="X176" i="1"/>
  <c r="X173" i="1"/>
  <c r="T85" i="1"/>
  <c r="U85" i="1" s="1"/>
  <c r="S85" i="1" s="1"/>
  <c r="AA77" i="1"/>
  <c r="W77" i="1" s="1"/>
  <c r="X75" i="1"/>
  <c r="T74" i="1"/>
  <c r="U74" i="1" s="1"/>
  <c r="S74" i="1" s="1"/>
  <c r="X74" i="1"/>
  <c r="AA61" i="1"/>
  <c r="W61" i="1" s="1"/>
  <c r="W60" i="1"/>
  <c r="X59" i="1"/>
  <c r="T58" i="1"/>
  <c r="U58" i="1" s="1"/>
  <c r="S58" i="1" s="1"/>
  <c r="X58" i="1"/>
  <c r="X77" i="1"/>
  <c r="X73" i="1"/>
  <c r="X69" i="1"/>
  <c r="X65" i="1"/>
  <c r="X61" i="1"/>
  <c r="X57" i="1"/>
  <c r="X53" i="1"/>
  <c r="W45" i="1"/>
  <c r="W43" i="1"/>
  <c r="W30" i="1"/>
  <c r="W29" i="1"/>
  <c r="W14" i="1"/>
  <c r="W40" i="1"/>
  <c r="W39" i="1"/>
  <c r="W18" i="1"/>
  <c r="W37" i="1"/>
  <c r="W36" i="1"/>
  <c r="W35" i="1"/>
  <c r="W24" i="1"/>
  <c r="W23" i="1"/>
  <c r="W17" i="1"/>
  <c r="W16" i="1"/>
  <c r="X48" i="1"/>
  <c r="T48" i="1"/>
  <c r="U48" i="1" s="1"/>
  <c r="S48" i="1" s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X28" i="1"/>
  <c r="T28" i="1"/>
  <c r="U28" i="1" s="1"/>
  <c r="S28" i="1" s="1"/>
  <c r="X24" i="1"/>
  <c r="T24" i="1"/>
  <c r="U24" i="1" s="1"/>
  <c r="X20" i="1"/>
  <c r="T20" i="1"/>
  <c r="U20" i="1" s="1"/>
  <c r="S20" i="1" s="1"/>
  <c r="X51" i="1"/>
  <c r="X47" i="1"/>
  <c r="X43" i="1"/>
  <c r="X39" i="1"/>
  <c r="X35" i="1"/>
  <c r="X31" i="1"/>
  <c r="X27" i="1"/>
  <c r="X23" i="1"/>
  <c r="X19" i="1"/>
  <c r="AC40" i="3"/>
  <c r="T40" i="3"/>
  <c r="AC31" i="3"/>
  <c r="T31" i="3"/>
  <c r="AC68" i="3"/>
  <c r="AC14" i="3"/>
  <c r="AD49" i="3"/>
  <c r="AE47" i="3"/>
  <c r="AD28" i="3"/>
  <c r="AE27" i="3"/>
  <c r="AC16" i="3"/>
  <c r="AC35" i="3"/>
  <c r="AD15" i="3"/>
  <c r="AC8" i="3"/>
  <c r="T15" i="3"/>
  <c r="AE54" i="3"/>
  <c r="T38" i="3"/>
  <c r="AD50" i="3"/>
  <c r="AC63" i="3"/>
  <c r="AC39" i="3"/>
  <c r="T39" i="3"/>
  <c r="AC47" i="3"/>
  <c r="AD39" i="3"/>
  <c r="AE39" i="3"/>
  <c r="AE34" i="3"/>
  <c r="AD32" i="3"/>
  <c r="AE31" i="3"/>
  <c r="AC67" i="3"/>
  <c r="T67" i="3"/>
  <c r="AE23" i="3"/>
  <c r="AD19" i="3"/>
  <c r="AD13" i="3"/>
  <c r="AC12" i="3"/>
  <c r="AD21" i="3"/>
  <c r="AD17" i="3"/>
  <c r="AD12" i="3"/>
  <c r="AD11" i="3"/>
  <c r="AE11" i="3"/>
  <c r="AD57" i="3"/>
  <c r="AD20" i="3"/>
  <c r="AD16" i="3"/>
  <c r="AE15" i="3"/>
  <c r="AD8" i="3"/>
  <c r="AC51" i="3"/>
  <c r="AD66" i="3"/>
  <c r="AC57" i="3"/>
  <c r="AC64" i="3"/>
  <c r="T64" i="3"/>
  <c r="AD58" i="3"/>
  <c r="AC23" i="3"/>
  <c r="AC55" i="3"/>
  <c r="T55" i="3"/>
  <c r="AC28" i="3"/>
  <c r="AE38" i="3"/>
  <c r="AC61" i="3"/>
  <c r="T61" i="3"/>
  <c r="AC19" i="3"/>
  <c r="T19" i="3"/>
  <c r="AC11" i="3"/>
  <c r="AC52" i="3"/>
  <c r="AC36" i="3"/>
  <c r="T36" i="3"/>
  <c r="AC66" i="3"/>
  <c r="AE67" i="3"/>
  <c r="AE59" i="3"/>
  <c r="AE51" i="3"/>
  <c r="AC30" i="3"/>
  <c r="AC44" i="3"/>
  <c r="AC60" i="3"/>
  <c r="AC43" i="3"/>
  <c r="Y8" i="3"/>
  <c r="Y51" i="3"/>
  <c r="Y10" i="3"/>
  <c r="Y31" i="3"/>
  <c r="Y49" i="3"/>
  <c r="Y14" i="3"/>
  <c r="Y33" i="3"/>
  <c r="Y28" i="3"/>
  <c r="Y21" i="3"/>
  <c r="Y30" i="3"/>
  <c r="Y43" i="3"/>
  <c r="Y59" i="3"/>
  <c r="Y47" i="3"/>
  <c r="Y61" i="3"/>
  <c r="Y52" i="3"/>
  <c r="Y41" i="3"/>
  <c r="Y15" i="3"/>
  <c r="Y68" i="3"/>
  <c r="Y38" i="3"/>
  <c r="Y39" i="3"/>
  <c r="Y53" i="3"/>
  <c r="Y16" i="3"/>
  <c r="Y34" i="3"/>
  <c r="Y40" i="3"/>
  <c r="Y50" i="3"/>
  <c r="Y56" i="3"/>
  <c r="Y48" i="3"/>
  <c r="Y62" i="3"/>
  <c r="Y12" i="3"/>
  <c r="Y35" i="3"/>
  <c r="Y19" i="3"/>
  <c r="Y67" i="3"/>
  <c r="Y26" i="3"/>
  <c r="Y44" i="3"/>
  <c r="Y36" i="3"/>
  <c r="Y42" i="3"/>
  <c r="Y37" i="3"/>
  <c r="Y58" i="3"/>
  <c r="Y20" i="3"/>
  <c r="Y46" i="3"/>
  <c r="Y27" i="3"/>
  <c r="Y18" i="3"/>
  <c r="Y17" i="3"/>
  <c r="Y25" i="3"/>
  <c r="Y24" i="3"/>
  <c r="Y7" i="3"/>
  <c r="Y57" i="3"/>
  <c r="Y64" i="3"/>
  <c r="Y23" i="3"/>
  <c r="Y55" i="3"/>
  <c r="Y63" i="3"/>
  <c r="Y22" i="3"/>
  <c r="Y54" i="3"/>
  <c r="Y13" i="3"/>
  <c r="Y32" i="3"/>
  <c r="Y11" i="3"/>
  <c r="Y45" i="3"/>
  <c r="Y29" i="3"/>
  <c r="Y60" i="3"/>
  <c r="Y66" i="3"/>
  <c r="Y9" i="3"/>
  <c r="AD68" i="3"/>
  <c r="AE66" i="3"/>
  <c r="AE58" i="3"/>
  <c r="AE57" i="3"/>
  <c r="AE49" i="3"/>
  <c r="AD45" i="3"/>
  <c r="T22" i="3"/>
  <c r="AE45" i="3"/>
  <c r="AC20" i="3"/>
  <c r="AD38" i="3"/>
  <c r="AC27" i="3"/>
  <c r="AD30" i="3"/>
  <c r="T27" i="3"/>
  <c r="AE30" i="3"/>
  <c r="AC24" i="3"/>
  <c r="AD14" i="3"/>
  <c r="T24" i="3"/>
  <c r="AE14" i="3"/>
  <c r="T56" i="3"/>
  <c r="AE56" i="3"/>
  <c r="T48" i="3"/>
  <c r="AE48" i="3"/>
  <c r="AD41" i="3"/>
  <c r="T54" i="3"/>
  <c r="AE41" i="3"/>
  <c r="AC46" i="3"/>
  <c r="AD34" i="3"/>
  <c r="AC18" i="3"/>
  <c r="AD26" i="3"/>
  <c r="T18" i="3"/>
  <c r="AE26" i="3"/>
  <c r="AC7" i="3"/>
  <c r="AD10" i="3"/>
  <c r="T7" i="3"/>
  <c r="AE10" i="3"/>
  <c r="T50" i="3"/>
  <c r="AE64" i="3"/>
  <c r="T57" i="3"/>
  <c r="T23" i="3"/>
  <c r="T63" i="3"/>
  <c r="AC37" i="3"/>
  <c r="AD46" i="3"/>
  <c r="AD37" i="3"/>
  <c r="T13" i="3"/>
  <c r="AE37" i="3"/>
  <c r="T46" i="3"/>
  <c r="AC17" i="3"/>
  <c r="AD22" i="3"/>
  <c r="T17" i="3"/>
  <c r="AE22" i="3"/>
  <c r="AE68" i="3"/>
  <c r="T10" i="3"/>
  <c r="AD64" i="3"/>
  <c r="AD62" i="3"/>
  <c r="T34" i="3"/>
  <c r="AE60" i="3"/>
  <c r="T49" i="3"/>
  <c r="AD56" i="3"/>
  <c r="AD54" i="3"/>
  <c r="T59" i="3"/>
  <c r="AE52" i="3"/>
  <c r="T33" i="3"/>
  <c r="AD48" i="3"/>
  <c r="T37" i="3"/>
  <c r="AC58" i="3"/>
  <c r="AD42" i="3"/>
  <c r="AD33" i="3"/>
  <c r="T32" i="3"/>
  <c r="AE33" i="3"/>
  <c r="AC25" i="3"/>
  <c r="AD18" i="3"/>
  <c r="T25" i="3"/>
  <c r="AE18" i="3"/>
  <c r="AE29" i="3"/>
  <c r="T11" i="3"/>
  <c r="AE25" i="3"/>
  <c r="T45" i="3"/>
  <c r="AE21" i="3"/>
  <c r="T29" i="3"/>
  <c r="AE17" i="3"/>
  <c r="T60" i="3"/>
  <c r="AE13" i="3"/>
  <c r="T66" i="3"/>
  <c r="AE9" i="3"/>
  <c r="T9" i="3"/>
  <c r="AE44" i="3"/>
  <c r="AE40" i="3"/>
  <c r="AE36" i="3"/>
  <c r="AE32" i="3"/>
  <c r="AE28" i="3"/>
  <c r="AE24" i="3"/>
  <c r="AE20" i="3"/>
  <c r="AE16" i="3"/>
  <c r="AE12" i="3"/>
  <c r="AE8" i="3"/>
  <c r="M65" i="3"/>
  <c r="R65" i="3"/>
  <c r="S65" i="3"/>
  <c r="U65" i="3"/>
  <c r="T65" i="3" s="1"/>
  <c r="V65" i="3"/>
  <c r="X65" i="3"/>
  <c r="W65" i="3"/>
  <c r="S122" i="1" l="1"/>
  <c r="S124" i="1"/>
  <c r="S23" i="1"/>
  <c r="AE65" i="3"/>
  <c r="AD65" i="3"/>
  <c r="Y65" i="3"/>
  <c r="AC65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" i="6" l="1"/>
  <c r="B31" i="9"/>
  <c r="B32" i="9"/>
  <c r="C33" i="9" s="1"/>
  <c r="F3" i="6" l="1"/>
  <c r="G3" i="6"/>
  <c r="I3" i="6"/>
  <c r="J3" i="6"/>
  <c r="B4" i="6"/>
  <c r="C32" i="9"/>
  <c r="G4" i="6" l="1"/>
  <c r="I4" i="6"/>
  <c r="F4" i="6"/>
  <c r="H4" i="6"/>
  <c r="J4" i="6"/>
  <c r="B5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66" i="3" s="1"/>
  <c r="G38" i="4"/>
  <c r="G39" i="4"/>
  <c r="G40" i="4"/>
  <c r="G41" i="4"/>
  <c r="G42" i="4"/>
  <c r="G43" i="4"/>
  <c r="G44" i="4"/>
  <c r="G45" i="4"/>
  <c r="G46" i="4"/>
  <c r="G47" i="4"/>
  <c r="G48" i="4"/>
  <c r="G49" i="4"/>
  <c r="N24" i="3" s="1"/>
  <c r="G50" i="4"/>
  <c r="G51" i="4"/>
  <c r="N60" i="3" s="1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N44" i="3" s="1"/>
  <c r="G70" i="4"/>
  <c r="N25" i="3" s="1"/>
  <c r="G71" i="4"/>
  <c r="G72" i="4"/>
  <c r="G73" i="4"/>
  <c r="G74" i="4"/>
  <c r="G75" i="4"/>
  <c r="G76" i="4"/>
  <c r="G77" i="4"/>
  <c r="G78" i="4"/>
  <c r="N16" i="3" s="1"/>
  <c r="G79" i="4"/>
  <c r="G80" i="4"/>
  <c r="N29" i="3" s="1"/>
  <c r="G81" i="4"/>
  <c r="G82" i="4"/>
  <c r="G83" i="4"/>
  <c r="N17" i="3" s="1"/>
  <c r="G84" i="4"/>
  <c r="G85" i="4"/>
  <c r="G86" i="4"/>
  <c r="N26" i="3" s="1"/>
  <c r="G87" i="4"/>
  <c r="G88" i="4"/>
  <c r="G89" i="4"/>
  <c r="G90" i="4"/>
  <c r="N52" i="3" s="1"/>
  <c r="G91" i="4"/>
  <c r="G92" i="4"/>
  <c r="G93" i="4"/>
  <c r="G94" i="4"/>
  <c r="G95" i="4"/>
  <c r="N45" i="3" s="1"/>
  <c r="G96" i="4"/>
  <c r="G97" i="4"/>
  <c r="G98" i="4"/>
  <c r="G99" i="4"/>
  <c r="N18" i="3" s="1"/>
  <c r="G100" i="4"/>
  <c r="G101" i="4"/>
  <c r="G102" i="4"/>
  <c r="N30" i="3" s="1"/>
  <c r="G103" i="4"/>
  <c r="N11" i="3" s="1"/>
  <c r="G104" i="4"/>
  <c r="G105" i="4"/>
  <c r="G106" i="4"/>
  <c r="N67" i="3" s="1"/>
  <c r="G107" i="4"/>
  <c r="N27" i="3" s="1"/>
  <c r="G108" i="4"/>
  <c r="G109" i="4"/>
  <c r="G110" i="4"/>
  <c r="G111" i="4"/>
  <c r="G112" i="4"/>
  <c r="N19" i="3" s="1"/>
  <c r="G113" i="4"/>
  <c r="G114" i="4"/>
  <c r="G115" i="4"/>
  <c r="G116" i="4"/>
  <c r="G117" i="4"/>
  <c r="G118" i="4"/>
  <c r="N12" i="3" s="1"/>
  <c r="G119" i="4"/>
  <c r="N46" i="3" s="1"/>
  <c r="G120" i="4"/>
  <c r="G121" i="4"/>
  <c r="N32" i="3" s="1"/>
  <c r="G122" i="4"/>
  <c r="G123" i="4"/>
  <c r="N53" i="3" s="1"/>
  <c r="G124" i="4"/>
  <c r="G125" i="4"/>
  <c r="G126" i="4"/>
  <c r="G127" i="4"/>
  <c r="N61" i="3" s="1"/>
  <c r="G128" i="4"/>
  <c r="G129" i="4"/>
  <c r="G130" i="4"/>
  <c r="N20" i="3" s="1"/>
  <c r="G131" i="4"/>
  <c r="N13" i="3" s="1"/>
  <c r="G132" i="4"/>
  <c r="G133" i="4"/>
  <c r="G134" i="4"/>
  <c r="G135" i="4"/>
  <c r="G136" i="4"/>
  <c r="G137" i="4"/>
  <c r="N54" i="3" s="1"/>
  <c r="G138" i="4"/>
  <c r="G139" i="4"/>
  <c r="G140" i="4"/>
  <c r="G141" i="4"/>
  <c r="G142" i="4"/>
  <c r="G143" i="4"/>
  <c r="G144" i="4"/>
  <c r="G145" i="4"/>
  <c r="N58" i="3" s="1"/>
  <c r="G146" i="4"/>
  <c r="G147" i="4"/>
  <c r="G148" i="4"/>
  <c r="N62" i="3" s="1"/>
  <c r="G149" i="4"/>
  <c r="N22" i="3" s="1"/>
  <c r="G150" i="4"/>
  <c r="G151" i="4"/>
  <c r="N48" i="3" s="1"/>
  <c r="G152" i="4"/>
  <c r="N28" i="3" s="1"/>
  <c r="G153" i="4"/>
  <c r="G154" i="4"/>
  <c r="G155" i="4"/>
  <c r="G156" i="4"/>
  <c r="G157" i="4"/>
  <c r="G158" i="4"/>
  <c r="G159" i="4"/>
  <c r="G160" i="4"/>
  <c r="N63" i="3" s="1"/>
  <c r="G161" i="4"/>
  <c r="N33" i="3" s="1"/>
  <c r="G162" i="4"/>
  <c r="G163" i="4"/>
  <c r="N55" i="3" s="1"/>
  <c r="G164" i="4"/>
  <c r="G165" i="4"/>
  <c r="N14" i="3" s="1"/>
  <c r="G166" i="4"/>
  <c r="G167" i="4"/>
  <c r="G168" i="4"/>
  <c r="G169" i="4"/>
  <c r="G170" i="4"/>
  <c r="N59" i="3" s="1"/>
  <c r="G171" i="4"/>
  <c r="G172" i="4"/>
  <c r="G173" i="4"/>
  <c r="G174" i="4"/>
  <c r="G175" i="4"/>
  <c r="G176" i="4"/>
  <c r="G177" i="4"/>
  <c r="G178" i="4"/>
  <c r="N68" i="3" s="1"/>
  <c r="G179" i="4"/>
  <c r="G180" i="4"/>
  <c r="G181" i="4"/>
  <c r="G182" i="4"/>
  <c r="G183" i="4"/>
  <c r="G184" i="4"/>
  <c r="G185" i="4"/>
  <c r="N31" i="3" s="1"/>
  <c r="G186" i="4"/>
  <c r="G187" i="4"/>
  <c r="G188" i="4"/>
  <c r="G189" i="4"/>
  <c r="G190" i="4"/>
  <c r="N65" i="3" s="1"/>
  <c r="G191" i="4"/>
  <c r="G192" i="4"/>
  <c r="G193" i="4"/>
  <c r="G194" i="4"/>
  <c r="N34" i="3" s="1"/>
  <c r="G195" i="4"/>
  <c r="G196" i="4"/>
  <c r="G197" i="4"/>
  <c r="G198" i="4"/>
  <c r="G199" i="4"/>
  <c r="N64" i="3" s="1"/>
  <c r="G200" i="4"/>
  <c r="G201" i="4"/>
  <c r="G202" i="4"/>
  <c r="G203" i="4"/>
  <c r="G204" i="4"/>
  <c r="G205" i="4"/>
  <c r="G206" i="4"/>
  <c r="N15" i="3" s="1"/>
  <c r="G207" i="4"/>
  <c r="G208" i="4"/>
  <c r="N50" i="3" s="1"/>
  <c r="G209" i="4"/>
  <c r="G210" i="4"/>
  <c r="G211" i="4"/>
  <c r="N40" i="3" s="1"/>
  <c r="G212" i="4"/>
  <c r="G213" i="4"/>
  <c r="G214" i="4"/>
  <c r="G215" i="4"/>
  <c r="G216" i="4"/>
  <c r="G217" i="4"/>
  <c r="G218" i="4"/>
  <c r="G219" i="4"/>
  <c r="G220" i="4"/>
  <c r="N57" i="3" s="1"/>
  <c r="G221" i="4"/>
  <c r="G222" i="4"/>
  <c r="G223" i="4"/>
  <c r="G224" i="4"/>
  <c r="G225" i="4"/>
  <c r="N10" i="3" s="1"/>
  <c r="G226" i="4"/>
  <c r="N51" i="3" s="1"/>
  <c r="G227" i="4"/>
  <c r="G228" i="4"/>
  <c r="N8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9" i="3" l="1"/>
  <c r="N23" i="3"/>
  <c r="N35" i="3"/>
  <c r="N36" i="3"/>
  <c r="N42" i="3"/>
  <c r="N41" i="3"/>
  <c r="N38" i="3"/>
  <c r="N56" i="3"/>
  <c r="N37" i="3"/>
  <c r="N39" i="3"/>
  <c r="N47" i="3"/>
  <c r="N21" i="3"/>
  <c r="N9" i="3"/>
  <c r="N7" i="3"/>
  <c r="N43" i="3"/>
  <c r="H3" i="6"/>
  <c r="F5" i="6"/>
  <c r="I5" i="6"/>
  <c r="G5" i="6"/>
  <c r="H5" i="6"/>
  <c r="J5" i="6"/>
  <c r="B6" i="6"/>
  <c r="G6" i="6" l="1"/>
  <c r="I6" i="6"/>
  <c r="J6" i="6"/>
  <c r="F6" i="6"/>
  <c r="H6" i="6"/>
  <c r="B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7" i="6" l="1"/>
  <c r="G7" i="6"/>
  <c r="I7" i="6"/>
  <c r="J7" i="6"/>
  <c r="H7" i="6"/>
  <c r="B8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8" i="6" l="1"/>
  <c r="H8" i="6"/>
  <c r="J8" i="6"/>
  <c r="I8" i="6"/>
  <c r="F8" i="6"/>
  <c r="B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0" i="6" l="1"/>
  <c r="F9" i="6"/>
  <c r="G9" i="6"/>
  <c r="I9" i="6"/>
  <c r="H9" i="6"/>
  <c r="J9" i="6"/>
  <c r="M30" i="5"/>
  <c r="M29" i="5"/>
  <c r="M27" i="5"/>
  <c r="G10" i="6" l="1"/>
  <c r="I10" i="6"/>
  <c r="J10" i="6"/>
  <c r="H10" i="6"/>
  <c r="F10" i="6"/>
  <c r="B11" i="6"/>
  <c r="M26" i="5"/>
  <c r="AH13" i="1" l="1"/>
  <c r="B12" i="6"/>
  <c r="F11" i="6"/>
  <c r="G11" i="6"/>
  <c r="H11" i="6"/>
  <c r="J11" i="6"/>
  <c r="I11" i="6"/>
  <c r="J7" i="1"/>
  <c r="G12" i="6" l="1"/>
  <c r="F12" i="6"/>
  <c r="H12" i="6"/>
  <c r="J12" i="6"/>
  <c r="I12" i="6"/>
  <c r="B13" i="6"/>
  <c r="X6" i="1"/>
  <c r="W6" i="1"/>
  <c r="V6" i="1"/>
  <c r="S6" i="1"/>
  <c r="R2" i="1"/>
  <c r="I2" i="1"/>
  <c r="O6" i="1"/>
  <c r="N6" i="1"/>
  <c r="M6" i="1"/>
  <c r="J6" i="1"/>
  <c r="B14" i="6" l="1"/>
  <c r="I13" i="6"/>
  <c r="G13" i="6"/>
  <c r="H13" i="6"/>
  <c r="J13" i="6"/>
  <c r="F13" i="6"/>
  <c r="P3" i="5"/>
  <c r="G14" i="6" l="1"/>
  <c r="I14" i="6"/>
  <c r="J14" i="6"/>
  <c r="F14" i="6"/>
  <c r="H14" i="6"/>
  <c r="B15" i="6"/>
  <c r="M18" i="5"/>
  <c r="B16" i="6" l="1"/>
  <c r="F15" i="6"/>
  <c r="G15" i="6"/>
  <c r="I15" i="6"/>
  <c r="J15" i="6"/>
  <c r="H15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6" i="6" l="1"/>
  <c r="I16" i="6"/>
  <c r="J16" i="6"/>
  <c r="F16" i="6"/>
  <c r="H16" i="6"/>
  <c r="B17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8" i="6" l="1"/>
  <c r="F17" i="6"/>
  <c r="G17" i="6"/>
  <c r="I17" i="6"/>
  <c r="H17" i="6"/>
  <c r="J17" i="6"/>
  <c r="G259" i="4"/>
  <c r="G260" i="4"/>
  <c r="G261" i="4"/>
  <c r="G262" i="4"/>
  <c r="G263" i="4"/>
  <c r="G264" i="4"/>
  <c r="G265" i="4"/>
  <c r="B19" i="6" l="1"/>
  <c r="G18" i="6"/>
  <c r="I18" i="6"/>
  <c r="H18" i="6"/>
  <c r="J18" i="6"/>
  <c r="F18" i="6"/>
  <c r="M14" i="5"/>
  <c r="M13" i="5"/>
  <c r="M12" i="5"/>
  <c r="M11" i="5"/>
  <c r="M10" i="5"/>
  <c r="M9" i="5"/>
  <c r="M8" i="5"/>
  <c r="M7" i="5"/>
  <c r="M6" i="5"/>
  <c r="M5" i="5"/>
  <c r="M4" i="5"/>
  <c r="M3" i="5"/>
  <c r="F19" i="6" l="1"/>
  <c r="G19" i="6"/>
  <c r="I19" i="6"/>
  <c r="J19" i="6"/>
  <c r="H19" i="6"/>
  <c r="B20" i="6"/>
  <c r="O3" i="3"/>
  <c r="H20" i="6" l="1"/>
  <c r="I20" i="6"/>
  <c r="F20" i="6"/>
  <c r="G20" i="6"/>
  <c r="J20" i="6"/>
  <c r="B21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2" i="6" l="1"/>
  <c r="F22" i="6" s="1"/>
  <c r="F21" i="6"/>
  <c r="G21" i="6"/>
  <c r="I21" i="6"/>
  <c r="H21" i="6"/>
  <c r="J21" i="6"/>
  <c r="J8" i="1"/>
  <c r="J4" i="1"/>
  <c r="S8" i="1"/>
  <c r="S4" i="1"/>
  <c r="J22" i="6" l="1"/>
  <c r="I22" i="6"/>
  <c r="G22" i="6"/>
  <c r="H22" i="6"/>
  <c r="B23" i="6"/>
  <c r="S9" i="1"/>
  <c r="J9" i="1"/>
  <c r="B24" i="6" l="1"/>
  <c r="H23" i="6"/>
  <c r="J23" i="6"/>
  <c r="F23" i="6"/>
  <c r="G23" i="6"/>
  <c r="I23" i="6"/>
  <c r="S11" i="1"/>
  <c r="A11" i="1"/>
  <c r="B25" i="6" l="1"/>
  <c r="F24" i="6"/>
  <c r="I24" i="6"/>
  <c r="J24" i="6"/>
  <c r="G24" i="6"/>
  <c r="H24" i="6"/>
  <c r="B1" i="6"/>
  <c r="A5" i="3"/>
  <c r="B26" i="6" l="1"/>
  <c r="G25" i="6"/>
  <c r="H25" i="6"/>
  <c r="F25" i="6"/>
  <c r="I25" i="6"/>
  <c r="J25" i="6"/>
  <c r="G26" i="6" l="1"/>
  <c r="H26" i="6"/>
  <c r="I26" i="6"/>
  <c r="J26" i="6"/>
  <c r="F26" i="6"/>
  <c r="B27" i="6"/>
  <c r="H27" i="6" l="1"/>
  <c r="F27" i="6"/>
  <c r="G27" i="6"/>
  <c r="I27" i="6"/>
  <c r="J27" i="6"/>
  <c r="B28" i="6"/>
  <c r="B29" i="6" l="1"/>
  <c r="G28" i="6"/>
  <c r="H28" i="6"/>
  <c r="I28" i="6"/>
  <c r="J28" i="6"/>
  <c r="F28" i="6"/>
  <c r="B30" i="6" l="1"/>
  <c r="I29" i="6"/>
  <c r="G29" i="6"/>
  <c r="F29" i="6"/>
  <c r="H29" i="6"/>
  <c r="J29" i="6"/>
  <c r="G30" i="6" l="1"/>
  <c r="F30" i="6"/>
  <c r="H30" i="6"/>
  <c r="I30" i="6"/>
  <c r="J30" i="6"/>
  <c r="B31" i="6"/>
  <c r="H31" i="6" l="1"/>
  <c r="J31" i="6"/>
  <c r="F31" i="6"/>
  <c r="G31" i="6"/>
  <c r="I31" i="6"/>
  <c r="B32" i="6"/>
  <c r="B33" i="6" l="1"/>
  <c r="F32" i="6"/>
  <c r="G32" i="6"/>
  <c r="I32" i="6"/>
  <c r="H32" i="6"/>
  <c r="J32" i="6"/>
  <c r="F33" i="6" l="1"/>
  <c r="G33" i="6"/>
  <c r="J33" i="6"/>
  <c r="H33" i="6"/>
  <c r="I33" i="6"/>
  <c r="B34" i="6"/>
  <c r="G34" i="6" l="1"/>
  <c r="J34" i="6"/>
  <c r="F34" i="6"/>
  <c r="H34" i="6"/>
  <c r="I34" i="6"/>
  <c r="B35" i="6"/>
  <c r="B36" i="6" l="1"/>
  <c r="F35" i="6"/>
  <c r="G35" i="6"/>
  <c r="H35" i="6"/>
  <c r="I35" i="6"/>
  <c r="J35" i="6"/>
  <c r="B37" i="6" l="1"/>
  <c r="J36" i="6"/>
  <c r="F36" i="6"/>
  <c r="I36" i="6"/>
  <c r="G36" i="6"/>
  <c r="H36" i="6"/>
  <c r="B38" i="6" l="1"/>
  <c r="G37" i="6"/>
  <c r="H37" i="6"/>
  <c r="F37" i="6"/>
  <c r="I37" i="6"/>
  <c r="J37" i="6"/>
  <c r="G38" i="6" l="1"/>
  <c r="I38" i="6"/>
  <c r="J38" i="6"/>
  <c r="F38" i="6"/>
  <c r="H38" i="6"/>
  <c r="B39" i="6"/>
  <c r="B40" i="6" l="1"/>
  <c r="J39" i="6"/>
  <c r="F39" i="6"/>
  <c r="H39" i="6"/>
  <c r="G39" i="6"/>
  <c r="I39" i="6"/>
  <c r="B41" i="6" l="1"/>
  <c r="H40" i="6"/>
  <c r="F40" i="6"/>
  <c r="I40" i="6"/>
  <c r="J40" i="6"/>
  <c r="G40" i="6"/>
  <c r="B43" i="6" l="1"/>
  <c r="B42" i="6"/>
  <c r="G41" i="6"/>
  <c r="H41" i="6"/>
  <c r="F41" i="6"/>
  <c r="I41" i="6"/>
  <c r="J41" i="6"/>
  <c r="G42" i="6" l="1"/>
  <c r="H42" i="6"/>
  <c r="I42" i="6"/>
  <c r="J42" i="6"/>
  <c r="F42" i="6"/>
  <c r="H43" i="6"/>
  <c r="J43" i="6"/>
  <c r="G43" i="6"/>
  <c r="I43" i="6"/>
  <c r="F4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<sst xmlns="http://schemas.openxmlformats.org/spreadsheetml/2006/main" count="3029" uniqueCount="1036">
  <si>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</si>
  <si>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</si>
  <si>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</si>
  <si>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</si>
  <si>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</si>
  <si>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</si>
  <si>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</si>
  <si>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</si>
  <si>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</si>
  <si>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</si>
  <si>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</si>
  <si>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</si>
  <si>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</si>
  <si>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</si>
  <si>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</si>
  <si>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</si>
  <si>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</si>
  <si>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</si>
  <si>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</si>
  <si>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</si>
  <si>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</si>
  <si>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</si>
  <si>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</si>
  <si>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</si>
  <si>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</si>
  <si>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</si>
  <si>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</si>
  <si>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</si>
  <si>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</si>
  <si>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</si>
  <si>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</si>
  <si>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</si>
  <si>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</si>
  <si>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</si>
  <si>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</si>
  <si>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</si>
  <si>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</si>
  <si>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</si>
  <si>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</si>
  <si>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</si>
  <si>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</si>
  <si>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</si>
  <si>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</si>
  <si>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</si>
  <si>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</si>
  <si>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</si>
  <si>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</si>
  <si>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</si>
  <si>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</si>
  <si>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</si>
  <si>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</si>
  <si>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</si>
  <si>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</si>
  <si>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</si>
  <si>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</si>
  <si>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</si>
  <si>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</si>
  <si>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</si>
  <si>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</si>
  <si>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</si>
  <si>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</si>
  <si>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</si>
  <si>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</si>
  <si>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</si>
  <si>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</si>
  <si>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</si>
  <si>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</si>
  <si>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</si>
  <si>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</si>
  <si>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</si>
  <si>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</si>
  <si>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</si>
  <si>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</si>
  <si>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</si>
  <si>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</si>
  <si>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</si>
  <si>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</si>
  <si>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</si>
  <si>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</si>
  <si>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</si>
  <si>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</si>
  <si>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</si>
  <si>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</si>
  <si>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</si>
  <si>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</si>
  <si>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</si>
  <si>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</si>
  <si>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</si>
  <si>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</si>
  <si>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</si>
  <si>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</si>
  <si>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</si>
  <si>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</si>
  <si>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</si>
  <si>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</si>
  <si>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</si>
  <si>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</si>
  <si>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</si>
  <si>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</si>
  <si>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</si>
  <si>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</si>
  <si>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</si>
  <si>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</si>
  <si>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</si>
  <si>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</si>
  <si>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</si>
  <si>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</si>
  <si>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</si>
  <si>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</si>
  <si>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</si>
  <si>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</si>
  <si>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</si>
  <si>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</si>
  <si>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</si>
  <si>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</si>
  <si>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</si>
  <si>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</si>
  <si>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</si>
  <si>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</si>
  <si>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</si>
  <si>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</si>
  <si>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</si>
  <si>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</si>
  <si>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</si>
  <si>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</si>
  <si>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</si>
  <si>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</si>
  <si>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</si>
  <si>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</si>
  <si>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</si>
  <si>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</si>
  <si>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</si>
  <si>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</si>
  <si>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</si>
  <si>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</si>
  <si>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</si>
  <si>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</si>
  <si>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</si>
  <si>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</si>
  <si>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</si>
  <si>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</si>
  <si>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</si>
  <si>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</si>
  <si>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</si>
  <si>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</si>
  <si>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</si>
  <si>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</si>
  <si>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</si>
  <si>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</si>
  <si>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</si>
  <si>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</si>
  <si>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</si>
  <si>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</si>
  <si>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</si>
  <si>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</si>
  <si>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</si>
  <si>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</si>
  <si>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</si>
  <si>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</si>
  <si>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</si>
  <si>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</si>
  <si>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</si>
  <si>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</si>
  <si>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</si>
  <si>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</si>
  <si>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</si>
  <si>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</si>
  <si>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</si>
  <si>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</si>
  <si>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</si>
  <si>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</si>
  <si>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</si>
  <si>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</si>
  <si>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</si>
  <si>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</si>
  <si>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</si>
  <si>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</si>
  <si>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</si>
  <si>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</si>
  <si>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</si>
  <si>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</si>
  <si>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</si>
  <si>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</si>
  <si>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</si>
  <si>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</si>
  <si>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</si>
  <si>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</si>
  <si>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</si>
  <si>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</si>
  <si>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</si>
  <si>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</si>
  <si>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</si>
  <si>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</si>
  <si>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</si>
  <si>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</si>
  <si>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</si>
  <si>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</si>
  <si>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</si>
  <si>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</si>
  <si>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</si>
  <si>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</si>
  <si>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</si>
  <si>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</si>
  <si>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</si>
  <si>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</si>
  <si>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</si>
  <si>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</si>
  <si>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</si>
  <si>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</si>
  <si>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</si>
  <si>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</si>
  <si>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</si>
  <si>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</si>
  <si>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</si>
  <si>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</si>
  <si>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</si>
  <si>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</si>
  <si>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</si>
  <si>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</si>
  <si>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</si>
  <si>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</si>
  <si>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</si>
  <si>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</si>
  <si>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</si>
  <si>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</si>
  <si>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</si>
  <si>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</si>
  <si>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</si>
  <si>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</si>
  <si>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</si>
  <si>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</si>
  <si>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</si>
  <si>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</si>
  <si>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</si>
  <si>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</si>
  <si>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</si>
  <si>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</si>
  <si>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</si>
  <si>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</si>
  <si>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</si>
  <si>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</si>
  <si>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</si>
  <si>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</si>
  <si>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</si>
  <si>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</si>
  <si>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</si>
  <si>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</si>
  <si>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</si>
  <si>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</si>
  <si>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</si>
  <si>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</si>
  <si>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</si>
  <si>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</si>
  <si>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</si>
  <si>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</si>
  <si>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</si>
  <si>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</si>
  <si>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</si>
  <si>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</si>
  <si>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</si>
  <si>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</si>
  <si>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</si>
  <si>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</si>
  <si>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</si>
  <si>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</si>
  <si>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</si>
  <si>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</si>
  <si>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</si>
  <si>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</si>
  <si>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</si>
  <si>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</si>
  <si>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</si>
  <si>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</si>
  <si>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</si>
  <si>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</si>
  <si>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</si>
  <si>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</si>
  <si>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</si>
  <si>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</si>
  <si>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</si>
  <si>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</si>
  <si>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</si>
  <si>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</si>
  <si>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</si>
  <si>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</si>
  <si>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</si>
  <si>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</si>
  <si>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</si>
  <si>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</si>
  <si>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</si>
  <si>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</si>
  <si>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</si>
  <si>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</si>
  <si>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</si>
  <si>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</si>
  <si>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</si>
  <si>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</si>
  <si>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</si>
  <si>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</si>
  <si>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</si>
  <si>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</si>
  <si>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</si>
  <si>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</si>
  <si>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</si>
  <si>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</si>
  <si>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</si>
  <si>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</si>
  <si>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</si>
  <si>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</si>
  <si>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</si>
  <si>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</si>
  <si>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</si>
  <si>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</si>
  <si>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</si>
  <si>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</si>
  <si>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</si>
  <si>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</si>
  <si>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</si>
  <si>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</si>
  <si>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</si>
  <si>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</si>
  <si>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</si>
  <si>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</si>
  <si>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</si>
  <si>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</si>
  <si>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</si>
  <si>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</si>
  <si>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</si>
  <si>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</si>
  <si>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</si>
  <si>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</si>
  <si>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</si>
  <si>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</si>
  <si>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</si>
  <si>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</si>
  <si>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</si>
  <si>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</si>
  <si>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</si>
  <si>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</si>
  <si>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</si>
  <si>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</si>
  <si>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</si>
  <si>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</si>
  <si>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</si>
  <si>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</si>
  <si>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</si>
  <si>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</si>
  <si>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</si>
  <si>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</si>
  <si>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</si>
  <si>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</si>
  <si>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</si>
  <si>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</si>
  <si>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</si>
  <si>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</si>
  <si>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</si>
  <si>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</si>
  <si>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</si>
  <si>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</si>
  <si>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</si>
  <si>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</si>
  <si>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</si>
  <si>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</si>
  <si>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</si>
  <si>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</si>
  <si>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</si>
  <si>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</si>
  <si>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</si>
  <si>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</si>
  <si>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</si>
  <si>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</si>
  <si>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</si>
  <si>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</si>
  <si>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</si>
  <si>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</si>
  <si>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</si>
  <si>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</si>
  <si>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</si>
  <si>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</si>
  <si>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</si>
  <si>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</si>
  <si>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</si>
  <si>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</si>
  <si>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</si>
  <si>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</si>
  <si>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</si>
  <si>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</si>
  <si>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</si>
  <si>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</si>
  <si>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</si>
  <si>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</si>
  <si>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</si>
  <si>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</si>
  <si>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</si>
  <si>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</si>
  <si>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</si>
  <si>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</si>
  <si>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</si>
  <si>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</si>
  <si>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</si>
  <si>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</si>
  <si>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</si>
  <si>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</si>
  <si>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</si>
  <si>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</si>
  <si>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</si>
  <si>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</si>
  <si>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</si>
  <si>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</si>
  <si>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</si>
  <si>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</si>
  <si>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</si>
  <si>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</si>
  <si>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</si>
  <si>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</si>
  <si>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</si>
  <si>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</si>
  <si>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</si>
  <si>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</si>
  <si>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</si>
  <si>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</si>
  <si>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</si>
  <si>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</si>
  <si>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</si>
  <si>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</si>
  <si>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</si>
  <si>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</si>
  <si>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</si>
  <si>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</si>
  <si>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</si>
  <si>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</si>
  <si>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</si>
  <si>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</si>
  <si>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</si>
  <si>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</si>
  <si>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</si>
  <si>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</si>
  <si>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</si>
  <si>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</si>
  <si>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</si>
  <si>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</si>
  <si>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</si>
  <si>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</si>
  <si>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</si>
  <si>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204:442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</si>
  <si>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</si>
  <si>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</si>
  <si>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</si>
  <si>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</si>
  <si>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</si>
  <si>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</si>
  <si>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</si>
  <si>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STAMBAUGH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</si>
  <si>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</si>
  <si>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</si>
  <si>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</si>
  <si>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</si>
  <si>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</si>
  <si>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</si>
  <si>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</si>
  <si>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</si>
  <si>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</si>
  <si>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</si>
  <si>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</si>
  <si>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</si>
  <si>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</si>
  <si>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</si>
  <si>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ROMERO</t>
  </si>
  <si>
    <t>CHAD</t>
  </si>
  <si>
    <t>204:161</t>
  </si>
  <si>
    <t>204:233004</t>
  </si>
  <si>
    <t>rtdc.l.rtdc.4018:itc</t>
  </si>
  <si>
    <t>204:458</t>
  </si>
  <si>
    <t>204:473</t>
  </si>
  <si>
    <t>204:233000</t>
  </si>
  <si>
    <t>rtdc.l.rtdc.4010:itc</t>
  </si>
  <si>
    <t>204:233308</t>
  </si>
  <si>
    <t>204:974</t>
  </si>
  <si>
    <t>rtdc.l.rtdc.4017:itc</t>
  </si>
  <si>
    <t>rtdc.l.rtdc.4009:itc</t>
  </si>
  <si>
    <t>204:233312</t>
  </si>
  <si>
    <t>204:444</t>
  </si>
  <si>
    <t>204:440</t>
  </si>
  <si>
    <t>300:58634</t>
  </si>
  <si>
    <t>300:58948</t>
  </si>
  <si>
    <t>Early arrival</t>
  </si>
  <si>
    <t>rtdc.l.rtdc.4007:itc</t>
  </si>
  <si>
    <t>204:233015</t>
  </si>
  <si>
    <t>204:163</t>
  </si>
  <si>
    <t>204:233329</t>
  </si>
  <si>
    <t>204:437</t>
  </si>
  <si>
    <t>204:475</t>
  </si>
  <si>
    <t>Wi-MAX data drop</t>
  </si>
  <si>
    <t>rtdc.l.rtdc.4031:itc</t>
  </si>
  <si>
    <t>rtdc.l.rtdc.4057:itc</t>
  </si>
  <si>
    <t>rtdc.l.rtdc.4058:itc</t>
  </si>
  <si>
    <t>MAELZER</t>
  </si>
  <si>
    <t>KURT</t>
  </si>
  <si>
    <t>MACDONALD</t>
  </si>
  <si>
    <t>BRUDER</t>
  </si>
  <si>
    <t>RICHARD</t>
  </si>
  <si>
    <t>204:232989</t>
  </si>
  <si>
    <t>204:233293</t>
  </si>
  <si>
    <t>300:58944</t>
  </si>
  <si>
    <t>300:58943</t>
  </si>
  <si>
    <t>300:58939</t>
  </si>
  <si>
    <t>204:978</t>
  </si>
  <si>
    <t>Onboard in-route failure</t>
  </si>
  <si>
    <t>BONDS</t>
  </si>
  <si>
    <t>REYNALDO</t>
  </si>
  <si>
    <t>STORY</t>
  </si>
  <si>
    <t>SAMANTHA</t>
  </si>
  <si>
    <t>204:136</t>
  </si>
  <si>
    <t>204:233310</t>
  </si>
  <si>
    <t>204:233319</t>
  </si>
  <si>
    <t>204:232980</t>
  </si>
  <si>
    <t>204:233049</t>
  </si>
  <si>
    <t>204:233282</t>
  </si>
  <si>
    <t>300:58621</t>
  </si>
  <si>
    <t>300:58946</t>
  </si>
  <si>
    <t>300:58643</t>
  </si>
  <si>
    <t>300:58950</t>
  </si>
  <si>
    <t>300:58632</t>
  </si>
  <si>
    <t>rtdc.l.rtdc.4011:itc</t>
  </si>
  <si>
    <t>242-27</t>
  </si>
  <si>
    <t>rtdc.l.rtdc.4012:itc</t>
  </si>
  <si>
    <t>YANG</t>
  </si>
  <si>
    <t>JAN</t>
  </si>
  <si>
    <t>235-27</t>
  </si>
  <si>
    <t>232-27</t>
  </si>
  <si>
    <t>908-27</t>
  </si>
  <si>
    <t>237-27</t>
  </si>
  <si>
    <t>234-27</t>
  </si>
  <si>
    <t>239-27</t>
  </si>
  <si>
    <t>236-27</t>
  </si>
  <si>
    <t>241-27</t>
  </si>
  <si>
    <t>238-27</t>
  </si>
  <si>
    <t>243-27</t>
  </si>
  <si>
    <t>240-27</t>
  </si>
  <si>
    <t>307-27</t>
  </si>
  <si>
    <t>309-27</t>
  </si>
  <si>
    <t>244-27</t>
  </si>
  <si>
    <t>311-27</t>
  </si>
  <si>
    <t>313-27</t>
  </si>
  <si>
    <t>300-28</t>
  </si>
  <si>
    <t>204:232992</t>
  </si>
  <si>
    <t>204:233297</t>
  </si>
  <si>
    <t>204:435</t>
  </si>
  <si>
    <t>204:233300</t>
  </si>
  <si>
    <t>204:233323</t>
  </si>
  <si>
    <t>204:232998</t>
  </si>
  <si>
    <t>204:233314</t>
  </si>
  <si>
    <t>204:233372</t>
  </si>
  <si>
    <t>204:233057</t>
  </si>
  <si>
    <t>204:233006</t>
  </si>
  <si>
    <t>204:233341</t>
  </si>
  <si>
    <t>204:129</t>
  </si>
  <si>
    <t>300:23304</t>
  </si>
  <si>
    <t>204:990</t>
  </si>
  <si>
    <t>300:23308</t>
  </si>
  <si>
    <t>204:691</t>
  </si>
  <si>
    <t>204:988</t>
  </si>
  <si>
    <t>300:58640</t>
  </si>
  <si>
    <t>300:58954</t>
  </si>
  <si>
    <t>Form C</t>
  </si>
  <si>
    <t>rtdc.l.rtdc.4063:itc</t>
  </si>
  <si>
    <t>rtdc.l.rtdc.4064:itc</t>
  </si>
  <si>
    <t>244-28</t>
  </si>
  <si>
    <t>rtdc.l.rtdc.4003:itc</t>
  </si>
  <si>
    <t>WENDY</t>
  </si>
  <si>
    <t>rtdc.l.rtdc.4004:itc</t>
  </si>
  <si>
    <t>GEBRETEKLE</t>
  </si>
  <si>
    <t>DAGNEW</t>
  </si>
  <si>
    <t>DELGADO</t>
  </si>
  <si>
    <t>DIANAH</t>
  </si>
  <si>
    <t>307-28</t>
  </si>
  <si>
    <t>242-28</t>
  </si>
  <si>
    <t>309-28</t>
  </si>
  <si>
    <t>311-28</t>
  </si>
  <si>
    <t>313-28</t>
  </si>
  <si>
    <t>Mostly Cloudy</t>
  </si>
  <si>
    <t>partly-cloudy-night</t>
  </si>
  <si>
    <t>204:233011</t>
  </si>
  <si>
    <t>204:233321</t>
  </si>
  <si>
    <t>204:232993</t>
  </si>
  <si>
    <t>204:232967</t>
  </si>
  <si>
    <t>204:233295</t>
  </si>
  <si>
    <t>204:232994</t>
  </si>
  <si>
    <t>204:233286</t>
  </si>
  <si>
    <t>204:167</t>
  </si>
  <si>
    <t>204:233010</t>
  </si>
  <si>
    <t>204:233285</t>
  </si>
  <si>
    <t>204:478</t>
  </si>
  <si>
    <t>204:232990</t>
  </si>
  <si>
    <t>204:233332</t>
  </si>
  <si>
    <t>204:160</t>
  </si>
  <si>
    <t>204:127</t>
  </si>
  <si>
    <t>204:232948</t>
  </si>
  <si>
    <t>204:233007</t>
  </si>
  <si>
    <t>204:183</t>
  </si>
  <si>
    <t>204:233364</t>
  </si>
  <si>
    <t>204:165</t>
  </si>
  <si>
    <t>204:233240</t>
  </si>
  <si>
    <t>204:232963</t>
  </si>
  <si>
    <t>204:471</t>
  </si>
  <si>
    <t>204:232961</t>
  </si>
  <si>
    <t>300:23310</t>
  </si>
  <si>
    <t>300:23306</t>
  </si>
  <si>
    <t>300:58630</t>
  </si>
  <si>
    <t>300:58651</t>
  </si>
  <si>
    <t>204:703</t>
  </si>
  <si>
    <t>300:58988</t>
  </si>
  <si>
    <t>204:1156</t>
  </si>
  <si>
    <t>204:668</t>
  </si>
  <si>
    <t>204:983</t>
  </si>
  <si>
    <t>300:58658</t>
  </si>
  <si>
    <t>204:705</t>
  </si>
  <si>
    <t>300:58960</t>
  </si>
  <si>
    <t>204:979</t>
  </si>
  <si>
    <t>300:58613</t>
  </si>
  <si>
    <t>204:680</t>
  </si>
  <si>
    <t>204:972</t>
  </si>
  <si>
    <t>300:58628</t>
  </si>
  <si>
    <t>304-02</t>
  </si>
  <si>
    <t>111-02</t>
  </si>
  <si>
    <t>rtdc.l.rtdc.4051:itc</t>
  </si>
  <si>
    <t>104-02</t>
  </si>
  <si>
    <t>312-02</t>
  </si>
  <si>
    <t>SWITCH UNKNOWN</t>
  </si>
  <si>
    <t>Track device (7)</t>
  </si>
  <si>
    <t>123-02</t>
  </si>
  <si>
    <t>118-02</t>
  </si>
  <si>
    <t>rtdc.l.rtdc.4025:itc</t>
  </si>
  <si>
    <t>1802-02</t>
  </si>
  <si>
    <t>137-02</t>
  </si>
  <si>
    <t>rtdc.l.rtdc.4053:itc</t>
  </si>
  <si>
    <t>130-02</t>
  </si>
  <si>
    <t>143-02</t>
  </si>
  <si>
    <t>145-02</t>
  </si>
  <si>
    <t>142-02</t>
  </si>
  <si>
    <t>144-02</t>
  </si>
  <si>
    <t>153-02</t>
  </si>
  <si>
    <t>152-02</t>
  </si>
  <si>
    <t>rtdc.l.rtdc.4041:itc</t>
  </si>
  <si>
    <t>154-02</t>
  </si>
  <si>
    <t>63-02</t>
  </si>
  <si>
    <t>163-02</t>
  </si>
  <si>
    <t>158-02</t>
  </si>
  <si>
    <t>160-02</t>
  </si>
  <si>
    <t>162-02</t>
  </si>
  <si>
    <t>173-02</t>
  </si>
  <si>
    <t>175-02</t>
  </si>
  <si>
    <t>168-02</t>
  </si>
  <si>
    <t>1816-02</t>
  </si>
  <si>
    <t>177-02</t>
  </si>
  <si>
    <t>183-02</t>
  </si>
  <si>
    <t>176-02</t>
  </si>
  <si>
    <t>178-02</t>
  </si>
  <si>
    <t>187-02</t>
  </si>
  <si>
    <t>rtdc.l.rtdc.4026:itc</t>
  </si>
  <si>
    <t>1819-02</t>
  </si>
  <si>
    <t>1820-02</t>
  </si>
  <si>
    <t>199-02</t>
  </si>
  <si>
    <t>190-02</t>
  </si>
  <si>
    <t>197-02</t>
  </si>
  <si>
    <t>192-02</t>
  </si>
  <si>
    <t>1822-02</t>
  </si>
  <si>
    <t>200-02</t>
  </si>
  <si>
    <t>207-02</t>
  </si>
  <si>
    <t>1823-02</t>
  </si>
  <si>
    <t>205-02</t>
  </si>
  <si>
    <t>209-02</t>
  </si>
  <si>
    <t>51-02</t>
  </si>
  <si>
    <t>SWITCH ALIGNMENT</t>
  </si>
  <si>
    <t>206-02</t>
  </si>
  <si>
    <t>217-02</t>
  </si>
  <si>
    <t>218-02</t>
  </si>
  <si>
    <t>1828-02</t>
  </si>
  <si>
    <t>229-02</t>
  </si>
  <si>
    <t>228-02</t>
  </si>
  <si>
    <t>226-02</t>
  </si>
  <si>
    <t>237-02</t>
  </si>
  <si>
    <t>243-02</t>
  </si>
  <si>
    <t>rtdc.l.rtdc.4015:itc</t>
  </si>
  <si>
    <t>240-02</t>
  </si>
  <si>
    <t>242-02</t>
  </si>
  <si>
    <t>242-01</t>
  </si>
  <si>
    <t>PERKINS</t>
  </si>
  <si>
    <t>DARREN</t>
  </si>
  <si>
    <t>245-01</t>
  </si>
  <si>
    <t>307-01</t>
  </si>
  <si>
    <t>244-01</t>
  </si>
  <si>
    <t>309-01</t>
  </si>
  <si>
    <t>246-01</t>
  </si>
  <si>
    <t>311-01</t>
  </si>
  <si>
    <t>313-01</t>
  </si>
  <si>
    <t>55-02</t>
  </si>
  <si>
    <t>MAYBERRY</t>
  </si>
  <si>
    <t>BILL</t>
  </si>
  <si>
    <t>300-02</t>
  </si>
  <si>
    <t>101-02</t>
  </si>
  <si>
    <t>rtdc.l.rtdc.4052:itc</t>
  </si>
  <si>
    <t>103-02</t>
  </si>
  <si>
    <t>302-02</t>
  </si>
  <si>
    <t>102-02</t>
  </si>
  <si>
    <t>105-02</t>
  </si>
  <si>
    <t>306-02</t>
  </si>
  <si>
    <t>LALONDE</t>
  </si>
  <si>
    <t>GREGORY</t>
  </si>
  <si>
    <t>308-02</t>
  </si>
  <si>
    <t>107-02</t>
  </si>
  <si>
    <t>109-02</t>
  </si>
  <si>
    <t>310-02</t>
  </si>
  <si>
    <t>rtdc.l.rtdc.4016:itc</t>
  </si>
  <si>
    <t>67-02</t>
  </si>
  <si>
    <t>58-02</t>
  </si>
  <si>
    <t>106-02</t>
  </si>
  <si>
    <t>108-02</t>
  </si>
  <si>
    <t>113-02</t>
  </si>
  <si>
    <t>1901-02</t>
  </si>
  <si>
    <t>DAVIDSON</t>
  </si>
  <si>
    <t>DAVID</t>
  </si>
  <si>
    <t>115-02</t>
  </si>
  <si>
    <t>110-02</t>
  </si>
  <si>
    <t>1800-02</t>
  </si>
  <si>
    <t>60-02</t>
  </si>
  <si>
    <t>117-02</t>
  </si>
  <si>
    <t>112-02</t>
  </si>
  <si>
    <t>119-02</t>
  </si>
  <si>
    <t>114-02</t>
  </si>
  <si>
    <t>1801-02</t>
  </si>
  <si>
    <t>121-02</t>
  </si>
  <si>
    <t>116-02</t>
  </si>
  <si>
    <t>125-02</t>
  </si>
  <si>
    <t>127-02</t>
  </si>
  <si>
    <t>120-02</t>
  </si>
  <si>
    <t>122-02</t>
  </si>
  <si>
    <t>1803-02</t>
  </si>
  <si>
    <t>124-02</t>
  </si>
  <si>
    <t>129-02</t>
  </si>
  <si>
    <t>131-02</t>
  </si>
  <si>
    <t>1804-02</t>
  </si>
  <si>
    <t>126-02</t>
  </si>
  <si>
    <t>141-02</t>
  </si>
  <si>
    <t>133-02</t>
  </si>
  <si>
    <t>128-02</t>
  </si>
  <si>
    <t>135-02</t>
  </si>
  <si>
    <t>1805-02</t>
  </si>
  <si>
    <t>132-02</t>
  </si>
  <si>
    <t>139-02</t>
  </si>
  <si>
    <t>1806-02</t>
  </si>
  <si>
    <t>134-02</t>
  </si>
  <si>
    <t>136-02</t>
  </si>
  <si>
    <t>138-02</t>
  </si>
  <si>
    <t>1807-02</t>
  </si>
  <si>
    <t>140-02</t>
  </si>
  <si>
    <t>147-02</t>
  </si>
  <si>
    <t>1808-02</t>
  </si>
  <si>
    <t>149-02</t>
  </si>
  <si>
    <t>151-02</t>
  </si>
  <si>
    <t>1809-02</t>
  </si>
  <si>
    <t>146-02</t>
  </si>
  <si>
    <t>148-02</t>
  </si>
  <si>
    <t>155-02</t>
  </si>
  <si>
    <t>1810-02</t>
  </si>
  <si>
    <t>150-02</t>
  </si>
  <si>
    <t>157-02</t>
  </si>
  <si>
    <t>1811-02</t>
  </si>
  <si>
    <t>159-02</t>
  </si>
  <si>
    <t>156-02</t>
  </si>
  <si>
    <t>161-02</t>
  </si>
  <si>
    <t>BRANDNER</t>
  </si>
  <si>
    <t>MELINDA</t>
  </si>
  <si>
    <t>1812-02</t>
  </si>
  <si>
    <t>165-02</t>
  </si>
  <si>
    <t>BROWN</t>
  </si>
  <si>
    <t>JACOB</t>
  </si>
  <si>
    <t>167-02</t>
  </si>
  <si>
    <t>1813-02</t>
  </si>
  <si>
    <t>169-02</t>
  </si>
  <si>
    <t>171-02</t>
  </si>
  <si>
    <t>164-02</t>
  </si>
  <si>
    <t>166-02</t>
  </si>
  <si>
    <t>1814-02</t>
  </si>
  <si>
    <t>NELSON</t>
  </si>
  <si>
    <t>ARIANE</t>
  </si>
  <si>
    <t>1815-02</t>
  </si>
  <si>
    <t>170-02</t>
  </si>
  <si>
    <t>172-02</t>
  </si>
  <si>
    <t>179-02</t>
  </si>
  <si>
    <t>174-02</t>
  </si>
  <si>
    <t>181-02</t>
  </si>
  <si>
    <t>185-02</t>
  </si>
  <si>
    <t>180-02</t>
  </si>
  <si>
    <t>1817-02</t>
  </si>
  <si>
    <t>182-02</t>
  </si>
  <si>
    <t>1818-02</t>
  </si>
  <si>
    <t>189-02</t>
  </si>
  <si>
    <t>184-02</t>
  </si>
  <si>
    <t>186-02</t>
  </si>
  <si>
    <t>191-02</t>
  </si>
  <si>
    <t>193-02</t>
  </si>
  <si>
    <t>188-02</t>
  </si>
  <si>
    <t>195-02</t>
  </si>
  <si>
    <t>194-02</t>
  </si>
  <si>
    <t>201-02</t>
  </si>
  <si>
    <t>196-02</t>
  </si>
  <si>
    <t>1821-02</t>
  </si>
  <si>
    <t>203-02</t>
  </si>
  <si>
    <t>198-02</t>
  </si>
  <si>
    <t>69-02</t>
  </si>
  <si>
    <t>71-02</t>
  </si>
  <si>
    <t>LOPES</t>
  </si>
  <si>
    <t>KIMBERLY</t>
  </si>
  <si>
    <t>202-02</t>
  </si>
  <si>
    <t>204-02</t>
  </si>
  <si>
    <t>211-02</t>
  </si>
  <si>
    <t>213-02</t>
  </si>
  <si>
    <t>1824-02</t>
  </si>
  <si>
    <t>208-02</t>
  </si>
  <si>
    <t>215-02</t>
  </si>
  <si>
    <t>210-02</t>
  </si>
  <si>
    <t>1825-02</t>
  </si>
  <si>
    <t>212-02</t>
  </si>
  <si>
    <t>219-02</t>
  </si>
  <si>
    <t>214-02</t>
  </si>
  <si>
    <t>1826-02</t>
  </si>
  <si>
    <t>301-02</t>
  </si>
  <si>
    <t>216-02</t>
  </si>
  <si>
    <t>221-02</t>
  </si>
  <si>
    <t>303-02</t>
  </si>
  <si>
    <t>1827-02</t>
  </si>
  <si>
    <t>220-02</t>
  </si>
  <si>
    <t>223-02</t>
  </si>
  <si>
    <t>THOMPSON</t>
  </si>
  <si>
    <t>LESTER</t>
  </si>
  <si>
    <t>305-02</t>
  </si>
  <si>
    <t>222-02</t>
  </si>
  <si>
    <t>225-02</t>
  </si>
  <si>
    <t>227-02</t>
  </si>
  <si>
    <t>1829-02</t>
  </si>
  <si>
    <t>224-02</t>
  </si>
  <si>
    <t>1830-02</t>
  </si>
  <si>
    <t>231-02</t>
  </si>
  <si>
    <t>1831-02</t>
  </si>
  <si>
    <t>1832-02</t>
  </si>
  <si>
    <t>230-02</t>
  </si>
  <si>
    <t>233-02</t>
  </si>
  <si>
    <t>235-02</t>
  </si>
  <si>
    <t>232-02</t>
  </si>
  <si>
    <t>1833-02</t>
  </si>
  <si>
    <t>1902-02</t>
  </si>
  <si>
    <t>234-02</t>
  </si>
  <si>
    <t>239-02</t>
  </si>
  <si>
    <t>236-02</t>
  </si>
  <si>
    <t>241-02</t>
  </si>
  <si>
    <t>238-02</t>
  </si>
  <si>
    <t>307-02</t>
  </si>
  <si>
    <t>244-02</t>
  </si>
  <si>
    <t>309-02</t>
  </si>
  <si>
    <t>311-02</t>
  </si>
  <si>
    <t>313-02</t>
  </si>
  <si>
    <t>204:1488</t>
  </si>
  <si>
    <t>204:233299</t>
  </si>
  <si>
    <t>204:146</t>
  </si>
  <si>
    <t>204:233334</t>
  </si>
  <si>
    <t>204:233017</t>
  </si>
  <si>
    <t>204:233376</t>
  </si>
  <si>
    <t>204:1477</t>
  </si>
  <si>
    <t>204:1806</t>
  </si>
  <si>
    <t>204:64692</t>
  </si>
  <si>
    <t>204:69260</t>
  </si>
  <si>
    <t>204:233040</t>
  </si>
  <si>
    <t>204:232969</t>
  </si>
  <si>
    <t>204:119</t>
  </si>
  <si>
    <t>204:232974</t>
  </si>
  <si>
    <t>204:180</t>
  </si>
  <si>
    <t>204:233349</t>
  </si>
  <si>
    <t>204:233023</t>
  </si>
  <si>
    <t>204:482</t>
  </si>
  <si>
    <t>204:233337</t>
  </si>
  <si>
    <t>204:233013</t>
  </si>
  <si>
    <t>204:233340</t>
  </si>
  <si>
    <t>204:233345</t>
  </si>
  <si>
    <t>204:233003</t>
  </si>
  <si>
    <t>204:431</t>
  </si>
  <si>
    <t>204:233280</t>
  </si>
  <si>
    <t>204:233363</t>
  </si>
  <si>
    <t>204:233043</t>
  </si>
  <si>
    <t>204:233324</t>
  </si>
  <si>
    <t>204:232987</t>
  </si>
  <si>
    <t>204:231</t>
  </si>
  <si>
    <t>204:232988</t>
  </si>
  <si>
    <t>204:233253</t>
  </si>
  <si>
    <t>204:232940</t>
  </si>
  <si>
    <t>204:233259</t>
  </si>
  <si>
    <t>204:232975</t>
  </si>
  <si>
    <t>204:233315</t>
  </si>
  <si>
    <t>204:233393</t>
  </si>
  <si>
    <t>204:170</t>
  </si>
  <si>
    <t>204:540</t>
  </si>
  <si>
    <t>204:1160</t>
  </si>
  <si>
    <t>204:233402</t>
  </si>
  <si>
    <t>204:233094</t>
  </si>
  <si>
    <t>204:233008</t>
  </si>
  <si>
    <t>204:132</t>
  </si>
  <si>
    <t>204:502</t>
  </si>
  <si>
    <t>204:233302</t>
  </si>
  <si>
    <t>204:233311</t>
  </si>
  <si>
    <t>204:118</t>
  </si>
  <si>
    <t>204:233278</t>
  </si>
  <si>
    <t>204:232962</t>
  </si>
  <si>
    <t>204:433</t>
  </si>
  <si>
    <t>204:233316</t>
  </si>
  <si>
    <t>204:19147</t>
  </si>
  <si>
    <t>204:582</t>
  </si>
  <si>
    <t>204:232945</t>
  </si>
  <si>
    <t>204:203</t>
  </si>
  <si>
    <t>204:997</t>
  </si>
  <si>
    <t>204:698</t>
  </si>
  <si>
    <t>204:726</t>
  </si>
  <si>
    <t>300:58961</t>
  </si>
  <si>
    <t>300:58647</t>
  </si>
  <si>
    <t>204:710</t>
  </si>
  <si>
    <t>204:701</t>
  </si>
  <si>
    <t>204:992</t>
  </si>
  <si>
    <t>300:58937</t>
  </si>
  <si>
    <t>300:58615</t>
  </si>
  <si>
    <t>204:769</t>
  </si>
  <si>
    <t>204:1203</t>
  </si>
  <si>
    <t>204:752</t>
  </si>
  <si>
    <t>300:58978</t>
  </si>
  <si>
    <t>204:1051</t>
  </si>
  <si>
    <t>300:58673</t>
  </si>
  <si>
    <t>204:635</t>
  </si>
  <si>
    <t>204:948</t>
  </si>
  <si>
    <t>204:1002</t>
  </si>
  <si>
    <t>300:58641</t>
  </si>
  <si>
    <t>204:782</t>
  </si>
  <si>
    <t>204:1072</t>
  </si>
  <si>
    <t>204:19091</t>
  </si>
  <si>
    <t>204:233357</t>
  </si>
  <si>
    <t>204:853</t>
  </si>
  <si>
    <t>204:1109</t>
  </si>
  <si>
    <t>204:761</t>
  </si>
  <si>
    <t>204:1055</t>
  </si>
  <si>
    <t>204:233030</t>
  </si>
  <si>
    <t>204:416</t>
  </si>
  <si>
    <t>204:233036</t>
  </si>
  <si>
    <t>300:30178</t>
  </si>
  <si>
    <t>300:58656</t>
  </si>
  <si>
    <t>300:28782</t>
  </si>
  <si>
    <t>204:524</t>
  </si>
  <si>
    <t>204:233330</t>
  </si>
  <si>
    <t>204:233347</t>
  </si>
  <si>
    <t>204:127858</t>
  </si>
  <si>
    <t>204:233002</t>
  </si>
  <si>
    <t>204:122</t>
  </si>
  <si>
    <t>204:61418</t>
  </si>
  <si>
    <t>204:36808</t>
  </si>
  <si>
    <t>204:19140</t>
  </si>
  <si>
    <t>204:64712</t>
  </si>
  <si>
    <t>204:233021</t>
  </si>
  <si>
    <t>204:178</t>
  </si>
  <si>
    <t>204:108</t>
  </si>
  <si>
    <t>204:233327</t>
  </si>
  <si>
    <t>204:233360</t>
  </si>
  <si>
    <t>204:233009</t>
  </si>
  <si>
    <t>204:134</t>
  </si>
  <si>
    <t>204:1147</t>
  </si>
  <si>
    <t>204:64708</t>
  </si>
  <si>
    <t>204:227</t>
  </si>
  <si>
    <t>204:488</t>
  </si>
  <si>
    <t>204:233422</t>
  </si>
  <si>
    <t>204:233130</t>
  </si>
  <si>
    <t>204:232991</t>
  </si>
  <si>
    <t>204:535</t>
  </si>
  <si>
    <t>204:41535</t>
  </si>
  <si>
    <t>204:233042</t>
  </si>
  <si>
    <t>300:20242</t>
  </si>
  <si>
    <t>300:23499</t>
  </si>
  <si>
    <t>204:1194</t>
  </si>
  <si>
    <t>300:22482</t>
  </si>
  <si>
    <t>300:21748</t>
  </si>
  <si>
    <t>300:23468</t>
  </si>
  <si>
    <t>300:23495</t>
  </si>
  <si>
    <t>204:176</t>
  </si>
  <si>
    <t>300:23487</t>
  </si>
  <si>
    <t>300:23299</t>
  </si>
  <si>
    <t>300:23314</t>
  </si>
  <si>
    <t>300:23457</t>
  </si>
  <si>
    <t>300:22997</t>
  </si>
  <si>
    <t>300:19742</t>
  </si>
  <si>
    <t>300:22292</t>
  </si>
  <si>
    <t>204:430</t>
  </si>
  <si>
    <t>300:22344</t>
  </si>
  <si>
    <t>204:1152</t>
  </si>
  <si>
    <t>204:3316</t>
  </si>
  <si>
    <t>204:1823</t>
  </si>
  <si>
    <t>204:1814</t>
  </si>
  <si>
    <t>204:3623</t>
  </si>
  <si>
    <t>204:1150</t>
  </si>
  <si>
    <t>204:1483</t>
  </si>
  <si>
    <t>204:3205</t>
  </si>
  <si>
    <t>204:1148</t>
  </si>
  <si>
    <t>204:3528</t>
  </si>
  <si>
    <t>204:1154</t>
  </si>
  <si>
    <t>start /low /b %USERPROFILE%\Documents\GitHub\eaglep3\Utilities\DownloadLogsFromS3.py --loco 4042 --day 2017-07-02</t>
  </si>
  <si>
    <t>start /low /b %USERPROFILE%\Documents\GitHub\eaglep3\Utilities\DownloadLogsFromS3.py --loco 4046 --day 2017-07-02</t>
  </si>
  <si>
    <t>start /low /b %USERPROFILE%\Documents\GitHub\eaglep3\Utilities\DownloadLogsFromS3.py --loco 4064 --day 2017-07-02</t>
  </si>
  <si>
    <t>start /low /b %USERPROFILE%\Documents\GitHub\eaglep3\Utilities\DownloadLogsFromS3.py --loco 4041 --day 2017-07-02</t>
  </si>
  <si>
    <t>start /low /b %USERPROFILE%\Documents\GitHub\eaglep3\Utilities\DownloadLogsFromS3.py --loco 4043 --day 2017-07-02</t>
  </si>
  <si>
    <t>start /low /b %USERPROFILE%\Documents\GitHub\eaglep3\Utilities\DownloadLogsFromS3.py --loco 4051 --day 2017-07-02</t>
  </si>
  <si>
    <t>start /low /b %USERPROFILE%\Documents\GitHub\eaglep3\Utilities\DownloadLogsFromS3.py --loco 4043 --day 2017-07-03</t>
  </si>
  <si>
    <t>start /low /b %USERPROFILE%\Documents\GitHub\eaglep3\Utilities\DownloadLogsFromS3.py --loco 4046 --day 2017-07-03</t>
  </si>
  <si>
    <t>start /low /b %USERPROFILE%\Documents\GitHub\eaglep3\Utilities\DownloadLogsFromS3.py --loco 4053 --day 2017-07-02</t>
  </si>
  <si>
    <t>start /low /b %USERPROFILE%\Documents\GitHub\eaglep3\Utilities\DownloadLogsFromS3.py --loco 4022 --day 2017-07-02</t>
  </si>
  <si>
    <t>start /low /b %USERPROFILE%\Documents\GitHub\eaglep3\Utilities\DownloadLogsFromS3.py --loco 4004 --day 2017-07-02</t>
  </si>
  <si>
    <t>start /low /b %USERPROFILE%\Documents\GitHub\eaglep3\Utilities\DownloadLogsFromS3.py --loco 4042 --day 2017-07-03</t>
  </si>
  <si>
    <t>start /low /b %USERPROFILE%\Documents\GitHub\eaglep3\Utilities\DownloadLogsFromS3.py --loco 4054 --day 2017-07-02</t>
  </si>
  <si>
    <t>start /low /b %USERPROFILE%\Documents\GitHub\eaglep3\Utilities\DownloadLogsFromS3.py --loco 4057 --day 2017-07-02</t>
  </si>
  <si>
    <t>start /low /b %USERPROFILE%\Documents\GitHub\eaglep3\Utilities\DownloadLogsFromS3.py --loco 4045 --day 2017-07-02</t>
  </si>
  <si>
    <t>start /low /b %USERPROFILE%\Documents\GitHub\eaglep3\Utilities\DownloadLogsFromS3.py --loco 4045 --day 2017-07-03</t>
  </si>
  <si>
    <t>start /low /b %USERPROFILE%\Documents\GitHub\eaglep3\Utilities\DownloadLogsFromS3.py --loco 4021 --day 2017-07-02</t>
  </si>
  <si>
    <t>start /low /b %USERPROFILE%\Documents\GitHub\eaglep3\Utilities\DownloadLogsFromS3.py --loco 4044 --day 2017-07-03</t>
  </si>
  <si>
    <t>start /low /b %USERPROFILE%\Documents\GitHub\eaglep3\Utilities\DownloadLogsFromS3.py --loco 4044 --day 2017-07-02</t>
  </si>
  <si>
    <t>start /low /b %USERPROFILE%\Documents\GitHub\eaglep3\Utilities\DownloadLogsFromS3.py --loco 4003 --day 2017-07-02</t>
  </si>
  <si>
    <t>start /low /b %USERPROFILE%\Documents\GitHub\eaglep3\Utilities\DownloadLogsFromS3.py --loco 4015 --day 2017-07-03</t>
  </si>
  <si>
    <t>start /low /b %USERPROFILE%\Documents\GitHub\eaglep3\Utilities\DownloadLogsFromS3.py --loco 4026 --day 2017-07-02</t>
  </si>
  <si>
    <t>start /low /b %USERPROFILE%\Documents\GitHub\eaglep3\Utilities\DownloadLogsFromS3.py --loco 4025 --day 2017-07-02</t>
  </si>
  <si>
    <t>start /low /b %USERPROFILE%\Documents\GitHub\eaglep3\Utilities\DownloadLogsFromS3.py --loco 4025 --day 2017-07-03</t>
  </si>
  <si>
    <t>Main 3 departure</t>
  </si>
  <si>
    <t>Cut out for Quebec crossing issue</t>
  </si>
  <si>
    <t>HAITHCOX MICHAEL</t>
  </si>
  <si>
    <t>Main 3 departure, then Wi-MAX data drop</t>
  </si>
  <si>
    <t>Onboard in-route failure (re: 49360)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</si>
</sst>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42918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42918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COUNTIFS($N$13:$N$9319,"&gt;0",$AG$13:$AG$9319,I1)</f>
        <v>136</v>
      </c>
      <c r="K5" s="39"/>
      <c r="L5" s="39"/>
      <c r="M5" s="40">
        <f>AVERAGEIFS($N$13:$N$9319,$AG$13:$AG$9319,I1)</f>
        <v>40.159436273910721</v>
      </c>
      <c r="N5" s="38">
        <f t="array" ref="N5">MIN(IF($AG$13:$AG$9319=I1,IF(ISNUMBER($N$13:$N$9319),IF($N$13:$N$9319&gt;0,$N$13:$N$9319))))</f>
        <v>34.816666664555669</v>
      </c>
      <c r="O5" s="3">
        <f t="array" ref="O5">MAX(IF($AG$13:$AG$9319=I1,IF(ISNUMBER($N$13:$N$9319),IF($N$13:$N$9319&gt;0,$N$13:$N$9319))))</f>
        <v>50.233333330834284</v>
      </c>
      <c r="P5" s="2"/>
      <c r="R5" s="166" t="s">
        <v>17</v>
      </c>
      <c r="S5" s="186">
        <f>COUNTIFS($N$13:$N$9319,"&gt;0",$AG$13:$AG$9319,R1)</f>
        <v>33</v>
      </c>
      <c r="T5" s="187"/>
      <c r="U5" s="187"/>
      <c r="V5" s="183">
        <f>AVERAGEIFS($N$13:$N$9319,$AG$13:$AG$9319,R1)</f>
        <v>15.122222222535955</v>
      </c>
      <c r="W5" s="184">
        <f t="array" ref="W5">MIN(IF($AG$13:$AG$9319=R1,IF(ISNUMBER($N$13:$N$9319),IF($N$13:$N$9319&gt;0,$N$13:$N$9319))))</f>
        <v>12.800000006100163</v>
      </c>
      <c r="X5" s="185">
        <f t="array" ref="X5">MAX(IF($AG$13:$AG$9319=R1,IF(ISNUMBER($N$13:$N$9319),IF($N$13:$N$9319&gt;0,$N$13:$N$9319))))</f>
        <v>24.183333328692243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COUNT($O$13:$O$117)</f>
        <v>0</v>
      </c>
      <c r="K6" s="39"/>
      <c r="L6" s="39"/>
      <c r="M6" s="40">
        <f>IFERROR(AVERAGE($O$13:$O$117),0)</f>
        <v>0</v>
      </c>
      <c r="N6" s="38">
        <f>MIN($O$13:$O$117)</f>
        <v>0</v>
      </c>
      <c r="O6" s="3">
        <f>MAX($O$13:$O$117)</f>
        <v>0</v>
      </c>
      <c r="P6" s="2"/>
      <c r="R6" s="167" t="s">
        <v>43</v>
      </c>
      <c r="S6" s="186">
        <f>COUNT($O$13:$O$117)</f>
        <v>0</v>
      </c>
      <c r="T6" s="187"/>
      <c r="U6" s="187"/>
      <c r="V6" s="183">
        <f>IFERROR(AVERAGE($O$13:$O$117),0)</f>
        <v>0</v>
      </c>
      <c r="W6" s="184">
        <f>MIN($O$13:$O$117)</f>
        <v>0</v>
      </c>
      <c r="X6" s="185">
        <f>MAX($O$13:$O$117)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COUNTIFS($P$13:$P$9319,"&gt;0",$AG$13:$AG$9319,I1)</f>
        <v>8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COUNTIFS($P$13:$P$9319,"&gt;0",$AG$13:$AG$9319,R1)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136</v>
      </c>
      <c r="K8" s="39"/>
      <c r="L8" s="39"/>
      <c r="M8" s="40">
        <f>M5</f>
        <v>40.159436273910721</v>
      </c>
      <c r="N8" s="38">
        <f>N5</f>
        <v>34.816666664555669</v>
      </c>
      <c r="O8" s="3">
        <f>O5</f>
        <v>50.233333330834284</v>
      </c>
      <c r="P8" s="2"/>
      <c r="R8" s="166" t="s">
        <v>16</v>
      </c>
      <c r="S8" s="186">
        <f>S5</f>
        <v>33</v>
      </c>
      <c r="T8" s="187"/>
      <c r="U8" s="187"/>
      <c r="V8" s="183">
        <f>V5</f>
        <v>15.122222222535955</v>
      </c>
      <c r="W8" s="184">
        <f>W5</f>
        <v>12.800000006100163</v>
      </c>
      <c r="X8" s="185">
        <f>X5</f>
        <v>24.183333328692243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0.94444444444444442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0.97058823529411764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- 2017-07-02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AVERAGE(S13:S92)</f>
        <v>0.98717948717948723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700</v>
      </c>
      <c r="B13" s="7">
        <v>4054</v>
      </c>
      <c r="C13" s="21" t="s">
        <v>202</v>
      </c>
      <c r="D13" s="21" t="s">
        <v>355</v>
      </c>
      <c r="E13" s="13">
        <v>42918.130057870374</v>
      </c>
      <c r="F13" s="13">
        <v>42918.135972222219</v>
      </c>
      <c r="G13" s="7">
        <v>1</v>
      </c>
      <c r="H13" s="21" t="s">
        <v>513</v>
      </c>
      <c r="I13" s="13">
        <v>42918.161192129628</v>
      </c>
      <c r="J13" s="7">
        <v>0</v>
      </c>
      <c r="K13" s="89" t="str">
        <f t="shared" ref="K13:K76" si="0">IF(ISEVEN(B13),(B13-1)&amp;"/"&amp;B13,B13&amp;"/"&amp;(B13+1))</f>
        <v>4053/4054</v>
      </c>
      <c r="L13" s="21" t="str">
        <f>VLOOKUP(A13,'Trips&amp;Operators'!$C$1:$G$99999,5,FALSE)</f>
        <v>MAELZER KURT</v>
      </c>
      <c r="M13" s="6">
        <f t="shared" ref="M13:M76" si="1">I13-F13</f>
        <v>2.5219907409336884E-2</v>
      </c>
      <c r="N13" s="7">
        <f t="shared" ref="N13:N22" si="2">24*60*SUM($M13:$M13)</f>
        <v>36.316666669445112</v>
      </c>
      <c r="O13" s="7"/>
      <c r="P13" s="7"/>
      <c r="Q13" s="22"/>
      <c r="R13" s="170"/>
      <c r="S13" s="213">
        <f t="shared" ref="S13:S22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-02T02:07:17-0600',mode:absolute,to:'2017-07-02T04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4.4699999999999997E-2</v>
      </c>
      <c r="Z13" s="197">
        <f t="shared" ref="Z13:Z44" si="8">RIGHT(H13,LEN(H13)-4)/10000</f>
        <v>23.331</v>
      </c>
      <c r="AA13" s="197">
        <f t="shared" ref="AA13:AA76" si="9">ABS(Z13-Y13)</f>
        <v>23.286300000000001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/stypes="app*4054*20170702*"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4054 --swversion DE.1.0.9.0 --startMP 204:447 --initTime 2017-07-02T03:07:17 --startdatetime 2017-07-02T03:15:48 --delay 1 --endMP 204:233310 --enddatetime 2017-07-02T03:52:07 --enforcementcount 0 &gt;&gt;C:\Users\stu\Documents\GitHub\eaglep3-reporting\EC\2017-07-02-refined-times.txt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{"issue":{"subject":"","project_id":79,"tracker_id":40,"status_id":1,"priority_id":2,"assigned_to_id":23,"start_date":"2017-07-02","description":"","custom_fields":[{"id":1,"name":"Subdivision","value":"EC"},{"id":4,"name":"Milepost","value":"23.331"},{"id":17,"name":"Train ID","value":"101-02"},{"id":16,"name":"Locomotive ID","value":"4054"},{"id":130,"name":"Impact","value":""},{"id":150,"name":"Time of Event (Mountain Time)","value":"03:52:07"},{"id":151,"name":"Denver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4054 --day 2017-07-02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09:52:07"},{"id":29,"name":"Sharepoint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704</v>
      </c>
      <c r="B14" s="7">
        <v>4053</v>
      </c>
      <c r="C14" s="21" t="s">
        <v>202</v>
      </c>
      <c r="D14" s="21" t="s">
        <v>501</v>
      </c>
      <c r="E14" s="13">
        <v>42918.169421296298</v>
      </c>
      <c r="F14" s="13">
        <v>42918.175185185188</v>
      </c>
      <c r="G14" s="7">
        <v>0</v>
      </c>
      <c r="H14" s="21" t="s">
        <v>416</v>
      </c>
      <c r="I14" s="13">
        <v>42918.201886574076</v>
      </c>
      <c r="J14" s="7">
        <v>0</v>
      </c>
      <c r="K14" s="89" t="str">
        <f t="shared" si="0"/>
        <v>4053/4054</v>
      </c>
      <c r="L14" s="21" t="str">
        <f>VLOOKUP(A14,'Trips&amp;Operators'!$C$1:$G$99999,5,FALSE)</f>
        <v>MAELZER KURT</v>
      </c>
      <c r="M14" s="6">
        <f t="shared" si="1"/>
        <v>2.6701388887886424E-2</v>
      </c>
      <c r="N14" s="7">
        <f t="shared" si="2"/>
        <v>38.44999999855645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-02T03:03:58-0600',mode:absolute,to:'2017-07-02T05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23.2989</v>
      </c>
      <c r="Z14" s="197">
        <f t="shared" si="8"/>
        <v>1.4500000000000001E-2</v>
      </c>
      <c r="AA14" s="197">
        <f t="shared" si="9"/>
        <v>23.284399999999998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14" s="74" t="str">
        <f t="shared" si="12"/>
        <v>"C:\Program Files (x86)\AstroGrep\AstroGrep.exe" /e /r /s /spath="%USERPROFILE%\AppData\Local\Temp\OnboardLogs" /stypes="app*4053*20170702*"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4053 --swversion DE.1.0.9.0 --startMP 204:232989 --initTime 2017-07-02T04:03:58 --startdatetime 2017-07-02T04:12:16 --delay 0 --endMP 204:145 --enddatetime 2017-07-02T04:50:43 --enforcementcount 0 &gt;&gt;C:\Users\stu\Documents\GitHub\eaglep3-reporting\EC\2017-07-02-refined-times.txt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ID","value":"102-02"},{"id":16,"name":"Locomotive ID","value":"4053"},{"id":130,"name":"Impact","value":""},{"id":150,"name":"Time of Event (Mountain Time)","value":"04:50:43"},{"id":151,"name":"Denver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4053 --day 2017-07-02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702</v>
      </c>
      <c r="B15" s="7">
        <v>4052</v>
      </c>
      <c r="C15" s="21" t="s">
        <v>202</v>
      </c>
      <c r="D15" s="21" t="s">
        <v>862</v>
      </c>
      <c r="E15" s="13">
        <v>42918.149699074071</v>
      </c>
      <c r="F15" s="13">
        <v>42918.157407407409</v>
      </c>
      <c r="G15" s="7">
        <v>3</v>
      </c>
      <c r="H15" s="21" t="s">
        <v>863</v>
      </c>
      <c r="I15" s="13">
        <v>42918.182870370372</v>
      </c>
      <c r="J15" s="7">
        <v>0</v>
      </c>
      <c r="K15" s="89" t="str">
        <f t="shared" si="0"/>
        <v>4051/4052</v>
      </c>
      <c r="L15" s="21" t="str">
        <f>VLOOKUP(A15,'Trips&amp;Operators'!$C$1:$G$99999,5,FALSE)</f>
        <v>MAYBERRY BILL</v>
      </c>
      <c r="M15" s="6">
        <f t="shared" si="1"/>
        <v>2.5462962963501923E-2</v>
      </c>
      <c r="N15" s="7">
        <f t="shared" si="2"/>
        <v>36.666666667442769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-02T02:35:34-0600',mode:absolute,to:'2017-07-02T05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0.14879999999999999</v>
      </c>
      <c r="Z15" s="197">
        <f t="shared" si="8"/>
        <v>23.329899999999999</v>
      </c>
      <c r="AA15" s="197">
        <f t="shared" si="9"/>
        <v>23.181099999999997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s3://rtdc.mdm.uploadarchive.raw/RTDC4052/ "%USERPROFILE%\AppData\Local\Temp\OnboardLogs"\RTDC4052\2017-07-02 --exclude "*" --recursive --include "*20170702*" &amp; "%USERPROFILE%\Documents\GitHub\mrs-test-scripts\Headless Mode &amp; Sideloading\WalkAndUnGZ.bat" "%USERPROFILE%\AppData\Local\Temp\OnboardLogs"\RTDC4052\2017-07-02 &amp; aws s3 cp s3://rtdc.mdm.uploadarchive.raw/RTDC4052/ "%USERPROFILE%\AppData\Local\Temp\OnboardLogs"\RTDC4052\2017-07-03 --exclude "*" --recursive --include "*20170703*" &amp; "%USERPROFILE%\Documents\GitHub\mrs-test-scripts\Headless Mode &amp; Sideloading\WalkAndUnGZ.bat" "%USERPROFILE%\AppData\Local\Temp\OnboardLogs"\RTDC4052\2017-07-03</v>
      </c>
      <c r="AF15" s="74" t="str">
        <f t="shared" si="12"/>
        <v>"C:\Program Files (x86)\AstroGrep\AstroGrep.exe" /e /r /s /spath="%USERPROFILE%\AppData\Local\Temp\OnboardLogs" /stypes="app*4052*20170702*"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103-02 --locoid 4052 --swversion DE.1.0.9.0 --startMP 204:1488 --initTime 2017-07-02T03:35:34 --startdatetime 2017-07-02T03:46:40 --delay 3 --endMP 204:233299 --enddatetime 2017-07-02T04:23:20 --enforcementcount 0 &gt;&gt;C:\Users\stu\Documents\GitHub\eaglep3-reporting\EC\2017-07-02-refined-times.txt</v>
      </c>
      <c r="AI1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ID","value":"103-02"},{"id":16,"name":"Locomotive ID","value":"4052"},{"id":130,"name":"Impact","value":""},{"id":150,"name":"Time of Event (Mountain Time)","value":"04:23:20"},{"id":151,"name":"Denver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4052 --day 2017-07-02</v>
      </c>
      <c r="AN1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626</v>
      </c>
      <c r="B16" s="7">
        <v>4051</v>
      </c>
      <c r="C16" s="21" t="s">
        <v>202</v>
      </c>
      <c r="D16" s="21" t="s">
        <v>585</v>
      </c>
      <c r="E16" s="13">
        <v>42918.194189814814</v>
      </c>
      <c r="F16" s="13">
        <v>42918.196331018517</v>
      </c>
      <c r="G16" s="7">
        <v>1</v>
      </c>
      <c r="H16" s="21" t="s">
        <v>864</v>
      </c>
      <c r="I16" s="13">
        <v>42918.224097222221</v>
      </c>
      <c r="J16" s="7">
        <v>0</v>
      </c>
      <c r="K16" s="89" t="str">
        <f t="shared" si="0"/>
        <v>4051/4052</v>
      </c>
      <c r="L16" s="21" t="str">
        <f>VLOOKUP(A16,'Trips&amp;Operators'!$C$1:$G$99999,5,FALSE)</f>
        <v>MAYBERRY BILL</v>
      </c>
      <c r="M16" s="6">
        <f t="shared" si="1"/>
        <v>2.7766203704231884E-2</v>
      </c>
      <c r="N16" s="7">
        <f t="shared" si="2"/>
        <v>39.983333334093913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-02T03:39:38-0600',mode:absolute,to:'2017-07-02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23.296700000000001</v>
      </c>
      <c r="Z16" s="197">
        <f t="shared" si="8"/>
        <v>1.46E-2</v>
      </c>
      <c r="AA16" s="197">
        <f t="shared" si="9"/>
        <v>23.2821</v>
      </c>
      <c r="AB16" s="54" t="str">
        <f>VLOOKUP(A16,Enforcements!$C$7:$K$13,8,0)</f>
        <v>Bulletin (2)</v>
      </c>
      <c r="AC16" s="51" t="str">
        <f>VLOOKUP(A16,Enforcements!$C$7:$E$13,3,0)</f>
        <v>GRADE CROSSING</v>
      </c>
      <c r="AD16" s="206">
        <f t="shared" si="10"/>
        <v>104</v>
      </c>
      <c r="AE16" s="77" t="str">
        <f t="shared" si="11"/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AF16" s="74" t="str">
        <f t="shared" si="12"/>
        <v>"C:\Program Files (x86)\AstroGrep\AstroGrep.exe" /e /r /s /spath="%USERPROFILE%\AppData\Local\Temp\OnboardLogs" /stypes="app*4051*20170702*"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104-02 --locoid 4051 --swversion DE.1.0.9.0 --startMP 204:232967 --initTime 2017-07-02T04:39:38 --startdatetime 2017-07-02T04:42:43 --delay 1 --endMP 204:146 --enddatetime 2017-07-02T05:22:42 --enforcementcount 0 &gt;&gt;C:\Users\stu\Documents\GitHub\eaglep3-reporting\EC\2017-07-02-refined-times.txt</v>
      </c>
      <c r="AI1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{"issue":{"subject":"","project_id":79,"tracker_id":40,"status_id":1,"priority_id":2,"assigned_to_id":23,"start_date":"2017-07-02","description":"","custom_fields":[{"id":1,"name":"Subdivision","value":"EC"},{"id":4,"name":"Milepost","value":"0.0146"},{"id":17,"name":"Train ID","value":"104-02"},{"id":16,"name":"Locomotive ID","value":"4051"},{"id":130,"name":"Impact","value":""},{"id":150,"name":"Time of Event (Mountain Time)","value":"05:22:42"},{"id":151,"name":"Denver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4051 --day 2017-07-02</v>
      </c>
      <c r="AN1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705</v>
      </c>
      <c r="B17" s="7">
        <v>4044</v>
      </c>
      <c r="C17" s="21" t="s">
        <v>202</v>
      </c>
      <c r="D17" s="21" t="s">
        <v>444</v>
      </c>
      <c r="E17" s="13">
        <v>42918.170810185184</v>
      </c>
      <c r="F17" s="13">
        <v>42918.177604166667</v>
      </c>
      <c r="G17" s="7">
        <v>1</v>
      </c>
      <c r="H17" s="21" t="s">
        <v>480</v>
      </c>
      <c r="I17" s="13">
        <v>42918.203379629631</v>
      </c>
      <c r="J17" s="7">
        <v>0</v>
      </c>
      <c r="K17" s="89" t="str">
        <f t="shared" si="0"/>
        <v>4043/4044</v>
      </c>
      <c r="L17" s="21" t="str">
        <f>VLOOKUP(A17,'Trips&amp;Operators'!$C$1:$G$99999,5,FALSE)</f>
        <v>DAVIS WENDY</v>
      </c>
      <c r="M17" s="6">
        <f t="shared" si="1"/>
        <v>2.5775462963792961E-2</v>
      </c>
      <c r="N17" s="7">
        <f t="shared" si="2"/>
        <v>37.116666667861864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-02T03:05:58-0600',mode:absolute,to:'2017-07-02T05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4.4200000000000003E-2</v>
      </c>
      <c r="Z17" s="197">
        <f t="shared" si="8"/>
        <v>23.331199999999999</v>
      </c>
      <c r="AA17" s="197">
        <f t="shared" si="9"/>
        <v>23.286999999999999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7" s="74" t="str">
        <f t="shared" si="12"/>
        <v>"C:\Program Files (x86)\AstroGrep\AstroGrep.exe" /e /r /s /spath="%USERPROFILE%\AppData\Local\Temp\OnboardLogs" /stypes="app*4044*20170702*"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105-02 --locoid 4044 --swversion DE.1.0.9.0 --startMP 204:442 --initTime 2017-07-02T04:05:58 --startdatetime 2017-07-02T04:15:45 --delay 1 --endMP 204:233312 --enddatetime 2017-07-02T04:52:52 --enforcementcount 0 &gt;&gt;C:\Users\stu\Documents\GitHub\eaglep3-reporting\EC\2017-07-02-refined-times.txt</v>
      </c>
      <c r="AI1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{"issue":{"subject":"","project_id":79,"tracker_id":40,"status_id":1,"priority_id":2,"assigned_to_id":23,"start_date":"2017-07-02","description":"","custom_fields":[{"id":1,"name":"Subdivision","value":"EC"},{"id":4,"name":"Milepost","value":"23.3312"},{"id":17,"name":"Train ID","value":"105-02"},{"id":16,"name":"Locomotive ID","value":"4044"},{"id":130,"name":"Impact","value":""},{"id":150,"name":"Time of Event (Mountain Time)","value":"04:52:52"},{"id":151,"name":"Denver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4044 --day 2017-07-02</v>
      </c>
      <c r="AN1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716</v>
      </c>
      <c r="B18" s="7">
        <v>4043</v>
      </c>
      <c r="C18" s="21" t="s">
        <v>202</v>
      </c>
      <c r="D18" s="21" t="s">
        <v>470</v>
      </c>
      <c r="E18" s="13">
        <v>42918.214282407411</v>
      </c>
      <c r="F18" s="13">
        <v>42918.216863425929</v>
      </c>
      <c r="G18" s="7">
        <v>1</v>
      </c>
      <c r="H18" s="21" t="s">
        <v>394</v>
      </c>
      <c r="I18" s="13">
        <v>42918.243750000001</v>
      </c>
      <c r="J18" s="7">
        <v>0</v>
      </c>
      <c r="K18" s="89" t="str">
        <f t="shared" si="0"/>
        <v>4043/4044</v>
      </c>
      <c r="L18" s="21" t="str">
        <f>VLOOKUP(A18,'Trips&amp;Operators'!$C$1:$G$99999,5,FALSE)</f>
        <v>DAVIS WENDY</v>
      </c>
      <c r="M18" s="6">
        <f t="shared" si="1"/>
        <v>2.6886574072705116E-2</v>
      </c>
      <c r="N18" s="7">
        <f t="shared" si="2"/>
        <v>38.716666664695367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-02T04:08:34-0600',mode:absolute,to:'2017-07-02T06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23.3004</v>
      </c>
      <c r="Z18" s="197">
        <f t="shared" si="8"/>
        <v>1.54E-2</v>
      </c>
      <c r="AA18" s="197">
        <f t="shared" si="9"/>
        <v>23.285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8" s="74" t="str">
        <f t="shared" si="12"/>
        <v>"C:\Program Files (x86)\AstroGrep\AstroGrep.exe" /e /r /s /spath="%USERPROFILE%\AppData\Local\Temp\OnboardLogs" /stypes="app*4043*20170702*"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106-02 --locoid 4043 --swversion DE.1.0.9.0 --startMP 204:233004 --initTime 2017-07-02T05:08:34 --startdatetime 2017-07-02T05:12:17 --delay 1 --endMP 204:154 --enddatetime 2017-07-02T05:51:00 --enforcementcount 0 &gt;&gt;C:\Users\stu\Documents\GitHub\eaglep3-reporting\EC\2017-07-02-refined-times.txt</v>
      </c>
      <c r="AI1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ID","value":"106-02"},{"id":16,"name":"Locomotive ID","value":"4043"},{"id":130,"name":"Impact","value":""},{"id":150,"name":"Time of Event (Mountain Time)","value":"05:51:00"},{"id":151,"name":"Denver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4043 --day 2017-07-02</v>
      </c>
      <c r="AN1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710</v>
      </c>
      <c r="B19" s="7">
        <v>4046</v>
      </c>
      <c r="C19" s="21" t="s">
        <v>202</v>
      </c>
      <c r="D19" s="21" t="s">
        <v>199</v>
      </c>
      <c r="E19" s="13">
        <v>42918.186018518521</v>
      </c>
      <c r="F19" s="13">
        <v>42918.188055555554</v>
      </c>
      <c r="G19" s="7">
        <v>1</v>
      </c>
      <c r="H19" s="21" t="s">
        <v>865</v>
      </c>
      <c r="I19" s="13">
        <v>42918.212233796294</v>
      </c>
      <c r="J19" s="7">
        <v>0</v>
      </c>
      <c r="K19" s="89" t="str">
        <f t="shared" si="0"/>
        <v>4045/4046</v>
      </c>
      <c r="L19" s="21" t="str">
        <f>VLOOKUP(A19,'Trips&amp;Operators'!$C$1:$G$99999,5,FALSE)</f>
        <v>LALONDE GREGORY</v>
      </c>
      <c r="M19" s="6">
        <f t="shared" si="1"/>
        <v>2.417824073927477E-2</v>
      </c>
      <c r="N19" s="7">
        <f t="shared" si="2"/>
        <v>34.816666664555669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-02T03:27:52-0600',mode:absolute,to:'2017-07-02T06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4.5999999999999999E-2</v>
      </c>
      <c r="Z19" s="197">
        <f t="shared" si="8"/>
        <v>23.333400000000001</v>
      </c>
      <c r="AA19" s="197">
        <f t="shared" si="9"/>
        <v>23.287400000000002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9" s="74" t="str">
        <f t="shared" si="12"/>
        <v>"C:\Program Files (x86)\AstroGrep\AstroGrep.exe" /e /r /s /spath="%USERPROFILE%\AppData\Local\Temp\OnboardLogs" /stypes="app*4046*20170702*"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107-02 --locoid 4046 --swversion DE.1.0.9.0 --startMP 204:460 --initTime 2017-07-02T04:27:52 --startdatetime 2017-07-02T04:30:48 --delay 1 --endMP 204:233334 --enddatetime 2017-07-02T05:05:37 --enforcementcount 0 &gt;&gt;C:\Users\stu\Documents\GitHub\eaglep3-reporting\EC\2017-07-02-refined-times.txt</v>
      </c>
      <c r="AI1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{"issue":{"subject":"","project_id":79,"tracker_id":40,"status_id":1,"priority_id":2,"assigned_to_id":23,"start_date":"2017-07-02","description":"","custom_fields":[{"id":1,"name":"Subdivision","value":"EC"},{"id":4,"name":"Milepost","value":"23.3334"},{"id":17,"name":"Train ID","value":"107-02"},{"id":16,"name":"Locomotive ID","value":"4046"},{"id":130,"name":"Impact","value":""},{"id":150,"name":"Time of Event (Mountain Time)","value":"05:05:37"},{"id":151,"name":"Denver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4046 --day 2017-07-02</v>
      </c>
      <c r="AN1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717</v>
      </c>
      <c r="B20" s="7">
        <v>4045</v>
      </c>
      <c r="C20" s="21" t="s">
        <v>202</v>
      </c>
      <c r="D20" s="21" t="s">
        <v>866</v>
      </c>
      <c r="E20" s="13">
        <v>42918.21434027778</v>
      </c>
      <c r="F20" s="13">
        <v>42918.227222222224</v>
      </c>
      <c r="G20" s="7">
        <v>1</v>
      </c>
      <c r="H20" s="21" t="s">
        <v>436</v>
      </c>
      <c r="I20" s="13">
        <v>42918.253449074073</v>
      </c>
      <c r="J20" s="7">
        <v>0</v>
      </c>
      <c r="K20" s="89" t="str">
        <f t="shared" si="0"/>
        <v>4045/4046</v>
      </c>
      <c r="L20" s="21" t="str">
        <f>VLOOKUP(A20,'Trips&amp;Operators'!$C$1:$G$99999,5,FALSE)</f>
        <v>LALONDE GREGORY</v>
      </c>
      <c r="M20" s="6">
        <f t="shared" si="1"/>
        <v>2.622685184906004E-2</v>
      </c>
      <c r="N20" s="7">
        <f t="shared" si="2"/>
        <v>37.766666662646458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-02T04:08:39-0600',mode:absolute,to:'2017-07-02T07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23.3017</v>
      </c>
      <c r="Z20" s="197">
        <f t="shared" si="8"/>
        <v>1.5599999999999999E-2</v>
      </c>
      <c r="AA20" s="197">
        <f t="shared" si="9"/>
        <v>23.286100000000001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20" s="74" t="str">
        <f t="shared" si="12"/>
        <v>"C:\Program Files (x86)\AstroGrep\AstroGrep.exe" /e /r /s /spath="%USERPROFILE%\AppData\Local\Temp\OnboardLogs" /stypes="app*4045*20170702*"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108-02 --locoid 4045 --swversion DE.1.0.9.0 --startMP 204:233017 --initTime 2017-07-02T05:08:39 --startdatetime 2017-07-02T05:27:12 --delay 1 --endMP 204:156 --enddatetime 2017-07-02T06:04:58 --enforcementcount 0 &gt;&gt;C:\Users\stu\Documents\GitHub\eaglep3-reporting\EC\2017-07-02-refined-times.txt</v>
      </c>
      <c r="AI2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{"issue":{"subject":"","project_id":79,"tracker_id":40,"status_id":1,"priority_id":2,"assigned_to_id":23,"start_date":"2017-07-02","description":"","custom_fields":[{"id":1,"name":"Subdivision","value":"EC"},{"id":4,"name":"Milepost","value":"0.0156"},{"id":17,"name":"Train ID","value":"108-02"},{"id":16,"name":"Locomotive ID","value":"4045"},{"id":130,"name":"Impact","value":""},{"id":150,"name":"Time of Event (Mountain Time)","value":"06:04:58"},{"id":151,"name":"Denver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4045 --day 2017-07-02</v>
      </c>
      <c r="AN2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711</v>
      </c>
      <c r="B21" s="7">
        <v>4004</v>
      </c>
      <c r="C21" s="21" t="s">
        <v>202</v>
      </c>
      <c r="D21" s="21" t="s">
        <v>343</v>
      </c>
      <c r="E21" s="13">
        <v>42918.194282407407</v>
      </c>
      <c r="F21" s="13">
        <v>42918.198599537034</v>
      </c>
      <c r="G21" s="7">
        <v>1</v>
      </c>
      <c r="H21" s="21" t="s">
        <v>867</v>
      </c>
      <c r="I21" s="13">
        <v>42918.223113425927</v>
      </c>
      <c r="J21" s="7">
        <v>0</v>
      </c>
      <c r="K21" s="89" t="str">
        <f t="shared" si="0"/>
        <v>4003/4004</v>
      </c>
      <c r="L21" s="21" t="str">
        <f>VLOOKUP(A21,'Trips&amp;Operators'!$C$1:$G$99999,5,FALSE)</f>
        <v>GEBRETEKLE DAGNEW</v>
      </c>
      <c r="M21" s="6">
        <f t="shared" si="1"/>
        <v>2.4513888893125113E-2</v>
      </c>
      <c r="N21" s="7">
        <f t="shared" si="2"/>
        <v>35.300000006100163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-02T03:39:46-0600',mode:absolute,to:'2017-07-02T06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4.4900000000000002E-2</v>
      </c>
      <c r="Z21" s="197">
        <f t="shared" si="8"/>
        <v>23.337599999999998</v>
      </c>
      <c r="AA21" s="197">
        <f t="shared" si="9"/>
        <v>23.2927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21" s="74" t="str">
        <f t="shared" si="12"/>
        <v>"C:\Program Files (x86)\AstroGrep\AstroGrep.exe" /e /r /s /spath="%USERPROFILE%\AppData\Local\Temp\OnboardLogs" /stypes="app*4004*20170702*"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109-02 --locoid 4004 --swversion DE.1.0.9.0 --startMP 204:449 --initTime 2017-07-02T04:39:46 --startdatetime 2017-07-02T04:45:59 --delay 1 --endMP 204:233376 --enddatetime 2017-07-02T05:21:17 --enforcementcount 0 &gt;&gt;C:\Users\stu\Documents\GitHub\eaglep3-reporting\EC\2017-07-02-refined-times.txt</v>
      </c>
      <c r="AI2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{"issue":{"subject":"","project_id":79,"tracker_id":40,"status_id":1,"priority_id":2,"assigned_to_id":23,"start_date":"2017-07-02","description":"","custom_fields":[{"id":1,"name":"Subdivision","value":"EC"},{"id":4,"name":"Milepost","value":"23.3376"},{"id":17,"name":"Train ID","value":"109-02"},{"id":16,"name":"Locomotive ID","value":"4004"},{"id":130,"name":"Impact","value":""},{"id":150,"name":"Time of Event (Mountain Time)","value":"05:21:17"},{"id":151,"name":"Denver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4004 --day 2017-07-02</v>
      </c>
      <c r="AN2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723</v>
      </c>
      <c r="B22" s="7">
        <v>4003</v>
      </c>
      <c r="C22" s="21" t="s">
        <v>202</v>
      </c>
      <c r="D22" s="21" t="s">
        <v>553</v>
      </c>
      <c r="E22" s="13">
        <v>42918.224594907406</v>
      </c>
      <c r="F22" s="13">
        <v>42918.237685185188</v>
      </c>
      <c r="G22" s="7">
        <v>1</v>
      </c>
      <c r="H22" s="21" t="s">
        <v>193</v>
      </c>
      <c r="I22" s="13">
        <v>42918.263622685183</v>
      </c>
      <c r="J22" s="7">
        <v>0</v>
      </c>
      <c r="K22" s="89" t="str">
        <f t="shared" si="0"/>
        <v>4003/4004</v>
      </c>
      <c r="L22" s="21" t="str">
        <f>VLOOKUP(A22,'Trips&amp;Operators'!$C$1:$G$99999,5,FALSE)</f>
        <v>GEBRETEKLE DAGNEW</v>
      </c>
      <c r="M22" s="6">
        <f t="shared" si="1"/>
        <v>2.5937499995052349E-2</v>
      </c>
      <c r="N22" s="7">
        <f t="shared" si="2"/>
        <v>37.349999992875382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-02T04:23:25-0600',mode:absolute,to:'2017-07-02T07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23.305700000000002</v>
      </c>
      <c r="Z22" s="197">
        <f t="shared" si="8"/>
        <v>1.52E-2</v>
      </c>
      <c r="AA22" s="197">
        <f t="shared" si="9"/>
        <v>23.290500000000002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22" s="74" t="str">
        <f t="shared" si="12"/>
        <v>"C:\Program Files (x86)\AstroGrep\AstroGrep.exe" /e /r /s /spath="%USERPROFILE%\AppData\Local\Temp\OnboardLogs" /stypes="app*4003*20170702*"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110-02 --locoid 4003 --swversion DE.1.0.9.0 --startMP 204:233057 --initTime 2017-07-02T05:23:25 --startdatetime 2017-07-02T05:42:16 --delay 1 --endMP 204:152 --enddatetime 2017-07-02T06:19:37 --enforcementcount 0 &gt;&gt;C:\Users\stu\Documents\GitHub\eaglep3-reporting\EC\2017-07-02-refined-times.txt</v>
      </c>
      <c r="AI2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ID","value":"110-02"},{"id":16,"name":"Locomotive ID","value":"4003"},{"id":130,"name":"Impact","value":""},{"id":150,"name":"Time of Event (Mountain Time)","value":"06:19:37"},{"id":151,"name":"Denver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4003 --day 2017-07-02</v>
      </c>
      <c r="AN2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624</v>
      </c>
      <c r="B23" s="7">
        <v>4042</v>
      </c>
      <c r="C23" s="21" t="s">
        <v>202</v>
      </c>
      <c r="D23" s="21" t="s">
        <v>868</v>
      </c>
      <c r="E23" s="13">
        <v>42918.202291666668</v>
      </c>
      <c r="F23" s="13">
        <v>42918.203657407408</v>
      </c>
      <c r="G23" s="7">
        <v>1</v>
      </c>
      <c r="H23" s="21" t="s">
        <v>869</v>
      </c>
      <c r="I23" s="13">
        <v>42918.20952546296</v>
      </c>
      <c r="J23" s="7">
        <v>1</v>
      </c>
      <c r="K23" s="89" t="str">
        <f t="shared" si="0"/>
        <v>4041/4042</v>
      </c>
      <c r="L23" s="21" t="str">
        <f>VLOOKUP(A23,'Trips&amp;Operators'!$C$1:$G$99999,5,FALSE)</f>
        <v>STORY SAMANTHA</v>
      </c>
      <c r="M23" s="6">
        <f t="shared" si="1"/>
        <v>5.8680555521277711E-3</v>
      </c>
      <c r="N23" s="7"/>
      <c r="O23" s="7"/>
      <c r="P23" s="7">
        <f>24*60*SUM($M23:$M24)</f>
        <v>10.433333331020549</v>
      </c>
      <c r="Q23" s="22"/>
      <c r="R23" s="170" t="s">
        <v>1034</v>
      </c>
      <c r="S23" s="213">
        <f>SUM(U23:U24)/IF(AG23="EC",12,1)</f>
        <v>0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-02T03:51:18-0600',mode:absolute,to:'2017-07-02T06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7" t="str">
        <f>IF(AA23&lt;VLOOKUP(AG23,Variables!$AC$3:$AD$8,2,FALSE),"Y","N")</f>
        <v>Y</v>
      </c>
      <c r="X23" s="197">
        <f t="shared" si="6"/>
        <v>1</v>
      </c>
      <c r="Y23" s="197">
        <f t="shared" si="7"/>
        <v>0.1477</v>
      </c>
      <c r="Z23" s="197">
        <f t="shared" si="8"/>
        <v>0.18060000000000001</v>
      </c>
      <c r="AA23" s="197">
        <f t="shared" si="9"/>
        <v>3.2900000000000013E-2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23" s="74" t="str">
        <f t="shared" si="12"/>
        <v>"C:\Program Files (x86)\AstroGrep\AstroGrep.exe" /e /r /s /spath="%USERPROFILE%\AppData\Local\Temp\OnboardLogs" /stypes="app*4042*20170702*"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111-02 --locoid 4042 --swversion DE.1.0.9.0 --startMP 204:1477 --initTime 2017-07-02T04:51:18 --startdatetime 2017-07-02T04:53:16 --delay 1 --endMP 204:1806 --enddatetime 2017-07-02T05:01:43 --enforcementcount 1 &gt;&gt;C:\Users\stu\Documents\GitHub\eaglep3-reporting\EC\2017-07-02-refined-times.txt</v>
      </c>
      <c r="AI23" s="96" t="str">
        <f t="shared" si="19"/>
        <v>echo {"issue":{"subject":"Main 3 departure, then Wi-MAX data drop","project_id":79,"tracker_id":40,"status_id":1,"priority_id":2,"assigned_to_id":23,"start_date":"2017-07-02","description":"","custom_fields":[{"id":1,"name":"Subdivision","value":"EC"},{"id":4,"name":"Milepost","value":"0.1806"},{"id":17,"name":"Train ID","value":"111-02"},{"id":16,"name":"Locomotive ID","value":"4042"},{"id":130,"name":"Impact","value":""},{"id":150,"name":"Time of Event (Mountain Time)","value":"05:01:43"},{"id":151,"name":"Denver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4042 --day 2017-07-02</v>
      </c>
      <c r="AN23" s="151" t="str">
        <f t="shared" si="21"/>
        <v>echo {"issue":{"subject":"Main 3 departure, then Wi-MAX data drop","project_id":30,"tracker_id":4,"status_id":1,"priority_id":1,"assigned_to_id":10,"start_date":"2017-07-02","description":"","custom_fields":[{"id":30,"name":"Category","value":"Issue"},{"id":3,"name":"Functional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11:01:43"},{"id":29,"name":"Sharepoint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624</v>
      </c>
      <c r="B24" s="7">
        <v>4042</v>
      </c>
      <c r="C24" s="21" t="s">
        <v>202</v>
      </c>
      <c r="D24" s="21" t="s">
        <v>870</v>
      </c>
      <c r="E24" s="13">
        <v>42918.218124999999</v>
      </c>
      <c r="F24" s="13">
        <v>42918.218611111108</v>
      </c>
      <c r="G24" s="7">
        <v>0</v>
      </c>
      <c r="H24" s="21" t="s">
        <v>871</v>
      </c>
      <c r="I24" s="13">
        <v>42918.219988425924</v>
      </c>
      <c r="J24" s="7">
        <v>1</v>
      </c>
      <c r="K24" s="89" t="str">
        <f t="shared" si="0"/>
        <v>4041/4042</v>
      </c>
      <c r="L24" s="21" t="str">
        <f>VLOOKUP(A24,'Trips&amp;Operators'!$C$1:$G$99999,5,FALSE)</f>
        <v>STORY SAMANTHA</v>
      </c>
      <c r="M24" s="6">
        <f t="shared" si="1"/>
        <v>1.377314816636499E-3</v>
      </c>
      <c r="N24" s="7"/>
      <c r="O24" s="7"/>
      <c r="P24" s="7"/>
      <c r="Q24" s="22"/>
      <c r="R24" s="170"/>
      <c r="S24" s="213"/>
      <c r="T24" s="195" t="str">
        <f t="shared" si="4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-02T04:14:06-0600',mode:absolute,to:'2017-07-02T06:16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" s="197" t="str">
        <f>IF(AA24&lt;VLOOKUP(AG24,Variables!$AC$3:$AD$8,2,FALSE),"Y","N")</f>
        <v>Y</v>
      </c>
      <c r="X24" s="197">
        <f t="shared" si="6"/>
        <v>0</v>
      </c>
      <c r="Y24" s="197">
        <f t="shared" si="7"/>
        <v>6.4691999999999998</v>
      </c>
      <c r="Z24" s="197">
        <f t="shared" si="8"/>
        <v>6.9260000000000002</v>
      </c>
      <c r="AA24" s="197">
        <f t="shared" si="9"/>
        <v>0.45680000000000032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111</v>
      </c>
      <c r="AE24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24" s="74" t="str">
        <f t="shared" si="12"/>
        <v>"C:\Program Files (x86)\AstroGrep\AstroGrep.exe" /e /r /s /spath="%USERPROFILE%\AppData\Local\Temp\OnboardLogs" /stypes="app*4042*20170702*" /stext=" 11:.+((SYSTEM_STATE.+slice.+state.+changed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111-02 --locoid 4042 --swversion DE.1.0.9.0 --startMP 204:64692 --initTime 2017-07-02T05:14:06 --startdatetime 2017-07-02T05:14:48 --delay 0 --endMP 204:69260 --enddatetime 2017-07-02T05:16:47 --enforcementcount 1 &gt;&gt;C:\Users\stu\Documents\GitHub\eaglep3-reporting\EC\2017-07-02-refined-times.txt</v>
      </c>
      <c r="AI2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{"issue":{"subject":"","project_id":79,"tracker_id":40,"status_id":1,"priority_id":2,"assigned_to_id":23,"start_date":"2017-07-02","description":"","custom_fields":[{"id":1,"name":"Subdivision","value":"EC"},{"id":4,"name":"Milepost","value":"6.926"},{"id":17,"name":"Train ID","value":"111-02"},{"id":16,"name":"Locomotive ID","value":"4042"},{"id":130,"name":"Impact","value":""},{"id":150,"name":"Time of Event (Mountain Time)","value":"05:16:47"},{"id":151,"name":"Denver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4042 --day 2017-07-02</v>
      </c>
      <c r="AN2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11:16:47"},{"id":29,"name":"Sharepoint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727</v>
      </c>
      <c r="B25" s="7">
        <v>4041</v>
      </c>
      <c r="C25" s="21" t="s">
        <v>202</v>
      </c>
      <c r="D25" s="21" t="s">
        <v>872</v>
      </c>
      <c r="E25" s="13">
        <v>42918.241423611114</v>
      </c>
      <c r="F25" s="13">
        <v>42918.248194444444</v>
      </c>
      <c r="G25" s="7">
        <v>2</v>
      </c>
      <c r="H25" s="21" t="s">
        <v>448</v>
      </c>
      <c r="I25" s="13">
        <v>42918.273958333331</v>
      </c>
      <c r="J25" s="7">
        <v>0</v>
      </c>
      <c r="K25" s="89" t="str">
        <f t="shared" si="0"/>
        <v>4041/4042</v>
      </c>
      <c r="L25" s="21" t="str">
        <f>VLOOKUP(A25,'Trips&amp;Operators'!$C$1:$G$99999,5,FALSE)</f>
        <v>STORY SAMANTHA</v>
      </c>
      <c r="M25" s="6">
        <f t="shared" si="1"/>
        <v>2.5763888887013309E-2</v>
      </c>
      <c r="N25" s="7">
        <f t="shared" ref="N25:N56" si="22">24*60*SUM($M25:$M25)</f>
        <v>37.099999997299165</v>
      </c>
      <c r="O25" s="7"/>
      <c r="P25" s="7"/>
      <c r="Q25" s="22"/>
      <c r="R25" s="170"/>
      <c r="S25" s="213">
        <f t="shared" ref="S25:S56" si="23">SUM(U25:U25)/IF(AG25="EC",12,1)</f>
        <v>1</v>
      </c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-02T04:47:39-0600',mode:absolute,to:'2017-07-02T07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23.303999999999998</v>
      </c>
      <c r="Z25" s="197">
        <f t="shared" si="8"/>
        <v>1.38E-2</v>
      </c>
      <c r="AA25" s="197">
        <f t="shared" si="9"/>
        <v>23.290199999999999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112</v>
      </c>
      <c r="AE25" s="77" t="str">
        <f t="shared" si="11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25" s="74" t="str">
        <f t="shared" si="12"/>
        <v>"C:\Program Files (x86)\AstroGrep\AstroGrep.exe" /e /r /s /spath="%USERPROFILE%\AppData\Local\Temp\OnboardLogs" /stypes="app*4041*20170702*" /stext=" 12:.+((SYSTEM_STATE.+slice.+state.+changed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112-02 --locoid 4041 --swversion DE.1.0.9.0 --startMP 204:233040 --initTime 2017-07-02T05:47:39 --startdatetime 2017-07-02T05:57:24 --delay 2 --endMP 204:138 --enddatetime 2017-07-02T06:34:30 --enforcementcount 0 &gt;&gt;C:\Users\stu\Documents\GitHub\eaglep3-reporting\EC\2017-07-02-refined-times.txt</v>
      </c>
      <c r="AI2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{"issue":{"subject":"","project_id":79,"tracker_id":40,"status_id":1,"priority_id":2,"assigned_to_id":23,"start_date":"2017-07-02","description":"","custom_fields":[{"id":1,"name":"Subdivision","value":"EC"},{"id":4,"name":"Milepost","value":"0.0138"},{"id":17,"name":"Train ID","value":"112-02"},{"id":16,"name":"Locomotive ID","value":"4041"},{"id":130,"name":"Impact","value":""},{"id":150,"name":"Time of Event (Mountain Time)","value":"06:34:30"},{"id":151,"name":"Denver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4041 --day 2017-07-02</v>
      </c>
      <c r="AN2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718</v>
      </c>
      <c r="B26" s="7">
        <v>4058</v>
      </c>
      <c r="C26" s="21" t="s">
        <v>202</v>
      </c>
      <c r="D26" s="21" t="s">
        <v>354</v>
      </c>
      <c r="E26" s="13">
        <v>42918.216585648152</v>
      </c>
      <c r="F26" s="13">
        <v>42918.219722222224</v>
      </c>
      <c r="G26" s="7">
        <v>2</v>
      </c>
      <c r="H26" s="21" t="s">
        <v>513</v>
      </c>
      <c r="I26" s="13">
        <v>42918.244606481479</v>
      </c>
      <c r="J26" s="7">
        <v>0</v>
      </c>
      <c r="K26" s="89" t="str">
        <f t="shared" si="0"/>
        <v>4057/4058</v>
      </c>
      <c r="L26" s="21" t="str">
        <f>VLOOKUP(A26,'Trips&amp;Operators'!$C$1:$G$99999,5,FALSE)</f>
        <v>GUZMAN DANNY</v>
      </c>
      <c r="M26" s="6">
        <f t="shared" si="1"/>
        <v>2.488425925548654E-2</v>
      </c>
      <c r="N26" s="7">
        <f t="shared" si="22"/>
        <v>35.833333327900618</v>
      </c>
      <c r="O26" s="7"/>
      <c r="P26" s="7"/>
      <c r="Q26" s="22"/>
      <c r="R26" s="170"/>
      <c r="S26" s="213">
        <f t="shared" si="2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-02T04:11:53-0600',mode:absolute,to:'2017-07-02T06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4.53E-2</v>
      </c>
      <c r="Z26" s="197">
        <f t="shared" si="8"/>
        <v>23.331</v>
      </c>
      <c r="AA26" s="197">
        <f t="shared" si="9"/>
        <v>23.285699999999999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113</v>
      </c>
      <c r="AE26" s="77" t="str">
        <f t="shared" si="11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26" s="74" t="str">
        <f t="shared" si="12"/>
        <v>"C:\Program Files (x86)\AstroGrep\AstroGrep.exe" /e /r /s /spath="%USERPROFILE%\AppData\Local\Temp\OnboardLogs" /stypes="app*4058*20170702*" /stext=" 11:.+((SYSTEM_STATE.+slice.+state.+changed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113-02 --locoid 4058 --swversion DE.1.0.9.0 --startMP 204:453 --initTime 2017-07-02T05:11:53 --startdatetime 2017-07-02T05:16:24 --delay 2 --endMP 204:233310 --enddatetime 2017-07-02T05:52:14 --enforcementcount 0 &gt;&gt;C:\Users\stu\Documents\GitHub\eaglep3-reporting\EC\2017-07-02-refined-times.txt</v>
      </c>
      <c r="AI2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{"issue":{"subject":"","project_id":79,"tracker_id":40,"status_id":1,"priority_id":2,"assigned_to_id":23,"start_date":"2017-07-02","description":"","custom_fields":[{"id":1,"name":"Subdivision","value":"EC"},{"id":4,"name":"Milepost","value":"23.331"},{"id":17,"name":"Train ID","value":"113-02"},{"id":16,"name":"Locomotive ID","value":"4058"},{"id":130,"name":"Impact","value":""},{"id":150,"name":"Time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4058 --day 2017-07-02</v>
      </c>
      <c r="AN2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729</v>
      </c>
      <c r="B27" s="7">
        <v>4057</v>
      </c>
      <c r="C27" s="21" t="s">
        <v>202</v>
      </c>
      <c r="D27" s="21" t="s">
        <v>584</v>
      </c>
      <c r="E27" s="13">
        <v>42918.246331018519</v>
      </c>
      <c r="F27" s="13">
        <v>42918.25849537037</v>
      </c>
      <c r="G27" s="7">
        <v>1</v>
      </c>
      <c r="H27" s="21" t="s">
        <v>416</v>
      </c>
      <c r="I27" s="13">
        <v>42918.285277777781</v>
      </c>
      <c r="J27" s="7">
        <v>0</v>
      </c>
      <c r="K27" s="89" t="str">
        <f t="shared" si="0"/>
        <v>4057/4058</v>
      </c>
      <c r="L27" s="21" t="str">
        <f>VLOOKUP(A27,'Trips&amp;Operators'!$C$1:$G$99999,5,FALSE)</f>
        <v>GUZMAN DANNY</v>
      </c>
      <c r="M27" s="6">
        <f t="shared" si="1"/>
        <v>2.6782407410792075E-2</v>
      </c>
      <c r="N27" s="7">
        <f t="shared" si="22"/>
        <v>38.566666671540588</v>
      </c>
      <c r="O27" s="7"/>
      <c r="P27" s="7"/>
      <c r="Q27" s="22"/>
      <c r="R27" s="170"/>
      <c r="S27" s="213">
        <f t="shared" si="2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-02T04:54:43-0600',mode:absolute,to:'2017-07-02T07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23.299299999999999</v>
      </c>
      <c r="Z27" s="197">
        <f t="shared" si="8"/>
        <v>1.4500000000000001E-2</v>
      </c>
      <c r="AA27" s="197">
        <f t="shared" si="9"/>
        <v>23.284799999999997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114</v>
      </c>
      <c r="AE27" s="77" t="str">
        <f t="shared" si="11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27" s="74" t="str">
        <f t="shared" si="12"/>
        <v>"C:\Program Files (x86)\AstroGrep\AstroGrep.exe" /e /r /s /spath="%USERPROFILE%\AppData\Local\Temp\OnboardLogs" /stypes="app*4057*20170702*"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114-02 --locoid 4057 --swversion DE.1.0.9.0 --startMP 204:232993 --initTime 2017-07-02T05:54:43 --startdatetime 2017-07-02T06:12:14 --delay 1 --endMP 204:145 --enddatetime 2017-07-02T06:50:48 --enforcementcount 0 &gt;&gt;C:\Users\stu\Documents\GitHub\eaglep3-reporting\EC\2017-07-02-refined-times.txt</v>
      </c>
      <c r="AI2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ID","value":"114-02"},{"id":16,"name":"Locomotive ID","value":"4057"},{"id":130,"name":"Impact","value":""},{"id":150,"name":"Time of Event (Mountain Time)","value":"06:50:48"},{"id":151,"name":"Denver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4057 --day 2017-07-02</v>
      </c>
      <c r="AN2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722</v>
      </c>
      <c r="B28" s="7">
        <v>4054</v>
      </c>
      <c r="C28" s="21" t="s">
        <v>202</v>
      </c>
      <c r="D28" s="21" t="s">
        <v>490</v>
      </c>
      <c r="E28" s="13">
        <v>42918.221863425926</v>
      </c>
      <c r="F28" s="13">
        <v>42918.229618055557</v>
      </c>
      <c r="G28" s="7">
        <v>1</v>
      </c>
      <c r="H28" s="21" t="s">
        <v>517</v>
      </c>
      <c r="I28" s="13">
        <v>42918.256053240744</v>
      </c>
      <c r="J28" s="7">
        <v>0</v>
      </c>
      <c r="K28" s="89" t="str">
        <f t="shared" si="0"/>
        <v>4053/4054</v>
      </c>
      <c r="L28" s="21" t="str">
        <f>VLOOKUP(A28,'Trips&amp;Operators'!$C$1:$G$99999,5,FALSE)</f>
        <v>CHANDLER KELVIN</v>
      </c>
      <c r="M28" s="6">
        <f t="shared" si="1"/>
        <v>2.6435185187438037E-2</v>
      </c>
      <c r="N28" s="7">
        <f t="shared" si="22"/>
        <v>38.066666669910774</v>
      </c>
      <c r="O28" s="7"/>
      <c r="P28" s="7"/>
      <c r="Q28" s="22"/>
      <c r="R28" s="170"/>
      <c r="S28" s="213">
        <f t="shared" si="2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-02T04:19:29-0600',mode:absolute,to:'2017-07-02T07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4.3700000000000003E-2</v>
      </c>
      <c r="Z28" s="197">
        <f t="shared" si="8"/>
        <v>23.328199999999999</v>
      </c>
      <c r="AA28" s="197">
        <f t="shared" si="9"/>
        <v>23.284499999999998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115</v>
      </c>
      <c r="AE28" s="77" t="str">
        <f t="shared" si="11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28" s="74" t="str">
        <f t="shared" si="12"/>
        <v>"C:\Program Files (x86)\AstroGrep\AstroGrep.exe" /e /r /s /spath="%USERPROFILE%\AppData\Local\Temp\OnboardLogs" /stypes="app*4054*20170702*" /stext=" 12:.+((SYSTEM_STATE.+slice.+state.+changed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115-02 --locoid 4054 --swversion DE.1.0.9.0 --startMP 204:437 --initTime 2017-07-02T05:19:29 --startdatetime 2017-07-02T05:30:39 --delay 1 --endMP 204:233282 --enddatetime 2017-07-02T06:08:43 --enforcementcount 0 &gt;&gt;C:\Users\stu\Documents\GitHub\eaglep3-reporting\EC\2017-07-02-refined-times.txt</v>
      </c>
      <c r="AI2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{"issue":{"subject":"","project_id":79,"tracker_id":40,"status_id":1,"priority_id":2,"assigned_to_id":23,"start_date":"2017-07-02","description":"","custom_fields":[{"id":1,"name":"Subdivision","value":"EC"},{"id":4,"name":"Milepost","value":"23.3282"},{"id":17,"name":"Train ID","value":"115-02"},{"id":16,"name":"Locomotive ID","value":"4054"},{"id":130,"name":"Impact","value":""},{"id":150,"name":"Time of Event (Mountain Time)","value":"06:08:43"},{"id":151,"name":"Denver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4054 --day 2017-07-02</v>
      </c>
      <c r="AN2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732</v>
      </c>
      <c r="B29" s="7">
        <v>4053</v>
      </c>
      <c r="C29" s="21" t="s">
        <v>202</v>
      </c>
      <c r="D29" s="21" t="s">
        <v>873</v>
      </c>
      <c r="E29" s="13">
        <v>42918.268472222226</v>
      </c>
      <c r="F29" s="13">
        <v>42918.269745370373</v>
      </c>
      <c r="G29" s="7">
        <v>1</v>
      </c>
      <c r="H29" s="21" t="s">
        <v>874</v>
      </c>
      <c r="I29" s="13">
        <v>42918.297349537039</v>
      </c>
      <c r="J29" s="7">
        <v>0</v>
      </c>
      <c r="K29" s="89" t="str">
        <f t="shared" si="0"/>
        <v>4053/4054</v>
      </c>
      <c r="L29" s="21" t="str">
        <f>VLOOKUP(A29,'Trips&amp;Operators'!$C$1:$G$99999,5,FALSE)</f>
        <v>CHANDLER KELVIN</v>
      </c>
      <c r="M29" s="6">
        <f t="shared" si="1"/>
        <v>2.7604166665696539E-2</v>
      </c>
      <c r="N29" s="7">
        <f t="shared" si="22"/>
        <v>39.749999998603016</v>
      </c>
      <c r="O29" s="7"/>
      <c r="P29" s="7"/>
      <c r="Q29" s="22"/>
      <c r="R29" s="170"/>
      <c r="S29" s="213">
        <f t="shared" si="2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-02T05:26:36-0600',mode:absolute,to:'2017-07-02T08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23.296900000000001</v>
      </c>
      <c r="Z29" s="197">
        <f t="shared" si="8"/>
        <v>1.1900000000000001E-2</v>
      </c>
      <c r="AA29" s="197">
        <f t="shared" si="9"/>
        <v>23.285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116</v>
      </c>
      <c r="AE29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29" s="74" t="str">
        <f t="shared" si="12"/>
        <v>"C:\Program Files (x86)\AstroGrep\AstroGrep.exe" /e /r /s /spath="%USERPROFILE%\AppData\Local\Temp\OnboardLogs" /stypes="app*4053*20170702*" /stext=" 13:.+((SYSTEM_STATE.+slice.+state.+changed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116-02 --locoid 4053 --swversion DE.1.0.9.0 --startMP 204:232969 --initTime 2017-07-02T06:26:36 --startdatetime 2017-07-02T06:28:26 --delay 1 --endMP 204:119 --enddatetime 2017-07-02T07:08:11 --enforcementcount 0 &gt;&gt;C:\Users\stu\Documents\GitHub\eaglep3-reporting\EC\2017-07-02-refined-times.txt</v>
      </c>
      <c r="AI2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{"issue":{"subject":"","project_id":79,"tracker_id":40,"status_id":1,"priority_id":2,"assigned_to_id":23,"start_date":"2017-07-02","description":"","custom_fields":[{"id":1,"name":"Subdivision","value":"EC"},{"id":4,"name":"Milepost","value":"0.0119"},{"id":17,"name":"Train ID","value":"116-02"},{"id":16,"name":"Locomotive ID","value":"4053"},{"id":130,"name":"Impact","value":""},{"id":150,"name":"Time of Event (Mountain Time)","value":"07:08:11"},{"id":151,"name":"Denver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4053 --day 2017-07-02</v>
      </c>
      <c r="AN2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726</v>
      </c>
      <c r="B30" s="7">
        <v>4022</v>
      </c>
      <c r="C30" s="21" t="s">
        <v>202</v>
      </c>
      <c r="D30" s="21" t="s">
        <v>604</v>
      </c>
      <c r="E30" s="13">
        <v>42918.237326388888</v>
      </c>
      <c r="F30" s="13">
        <v>42918.239999999998</v>
      </c>
      <c r="G30" s="7">
        <v>1</v>
      </c>
      <c r="H30" s="21" t="s">
        <v>586</v>
      </c>
      <c r="I30" s="13">
        <v>42918.264409722222</v>
      </c>
      <c r="J30" s="7">
        <v>0</v>
      </c>
      <c r="K30" s="89" t="str">
        <f t="shared" si="0"/>
        <v>4021/4022</v>
      </c>
      <c r="L30" s="21" t="str">
        <f>VLOOKUP(A30,'Trips&amp;Operators'!$C$1:$G$99999,5,FALSE)</f>
        <v>MACDONALD THOMAS</v>
      </c>
      <c r="M30" s="6">
        <f t="shared" si="1"/>
        <v>2.4409722223936114E-2</v>
      </c>
      <c r="N30" s="7">
        <f t="shared" si="22"/>
        <v>35.150000002468005</v>
      </c>
      <c r="O30" s="7"/>
      <c r="P30" s="7"/>
      <c r="Q30" s="22"/>
      <c r="R30" s="170"/>
      <c r="S30" s="213">
        <f t="shared" si="23"/>
        <v>1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-02T04:41:45-0600',mode:absolute,to:'2017-07-02T07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4.7100000000000003E-2</v>
      </c>
      <c r="Z30" s="197">
        <f t="shared" si="8"/>
        <v>23.329499999999999</v>
      </c>
      <c r="AA30" s="197">
        <f t="shared" si="9"/>
        <v>23.282399999999999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117</v>
      </c>
      <c r="AE30" s="77" t="str">
        <f t="shared" si="11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30" s="74" t="str">
        <f t="shared" si="12"/>
        <v>"C:\Program Files (x86)\AstroGrep\AstroGrep.exe" /e /r /s /spath="%USERPROFILE%\AppData\Local\Temp\OnboardLogs" /stypes="app*4022*20170702*"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117-02 --locoid 4022 --swversion DE.1.0.9.0 --startMP 204:471 --initTime 2017-07-02T05:41:45 --startdatetime 2017-07-02T05:45:36 --delay 1 --endMP 204:233295 --enddatetime 2017-07-02T06:20:45 --enforcementcount 0 &gt;&gt;C:\Users\stu\Documents\GitHub\eaglep3-reporting\EC\2017-07-02-refined-times.txt</v>
      </c>
      <c r="AI3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{"issue":{"subject":"","project_id":79,"tracker_id":40,"status_id":1,"priority_id":2,"assigned_to_id":23,"start_date":"2017-07-02","description":"","custom_fields":[{"id":1,"name":"Subdivision","value":"EC"},{"id":4,"name":"Milepost","value":"23.3295"},{"id":17,"name":"Train ID","value":"117-02"},{"id":16,"name":"Locomotive ID","value":"4022"},{"id":130,"name":"Impact","value":""},{"id":150,"name":"Time of Event (Mountain Time)","value":"06:20:45"},{"id":151,"name":"Denver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4022 --day 2017-07-02</v>
      </c>
      <c r="AN3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631</v>
      </c>
      <c r="B31" s="7">
        <v>4021</v>
      </c>
      <c r="C31" s="21" t="s">
        <v>202</v>
      </c>
      <c r="D31" s="21" t="s">
        <v>875</v>
      </c>
      <c r="E31" s="13">
        <v>42918.265567129631</v>
      </c>
      <c r="F31" s="13">
        <v>42918.279722222222</v>
      </c>
      <c r="G31" s="7">
        <v>1</v>
      </c>
      <c r="H31" s="21" t="s">
        <v>876</v>
      </c>
      <c r="I31" s="13">
        <v>42918.307106481479</v>
      </c>
      <c r="J31" s="7">
        <v>0</v>
      </c>
      <c r="K31" s="89" t="str">
        <f t="shared" si="0"/>
        <v>4021/4022</v>
      </c>
      <c r="L31" s="21" t="str">
        <f>VLOOKUP(A31,'Trips&amp;Operators'!$C$1:$G$99999,5,FALSE)</f>
        <v>MACDONALD THOMAS</v>
      </c>
      <c r="M31" s="6">
        <f t="shared" si="1"/>
        <v>2.7384259257814847E-2</v>
      </c>
      <c r="N31" s="7">
        <f t="shared" si="22"/>
        <v>39.43333333125338</v>
      </c>
      <c r="O31" s="7"/>
      <c r="P31" s="7"/>
      <c r="Q31" s="22"/>
      <c r="R31" s="170"/>
      <c r="S31" s="213">
        <f t="shared" si="23"/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-02T05:22:25-0600',mode:absolute,to:'2017-07-02T08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23.2974</v>
      </c>
      <c r="Z31" s="197">
        <f t="shared" si="8"/>
        <v>1.7999999999999999E-2</v>
      </c>
      <c r="AA31" s="197">
        <f t="shared" si="9"/>
        <v>23.279399999999999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118</v>
      </c>
      <c r="AE31" s="77" t="str">
        <f t="shared" si="11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31" s="74" t="str">
        <f t="shared" si="12"/>
        <v>"C:\Program Files (x86)\AstroGrep\AstroGrep.exe" /e /r /s /spath="%USERPROFILE%\AppData\Local\Temp\OnboardLogs" /stypes="app*4021*20170702*" /stext=" 13:.+((SYSTEM_STATE.+slice.+state.+changed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118-02 --locoid 4021 --swversion DE.1.0.9.0 --startMP 204:232974 --initTime 2017-07-02T06:22:25 --startdatetime 2017-07-02T06:42:48 --delay 1 --endMP 204:180 --enddatetime 2017-07-02T07:22:14 --enforcementcount 0 &gt;&gt;C:\Users\stu\Documents\GitHub\eaglep3-reporting\EC\2017-07-02-refined-times.txt</v>
      </c>
      <c r="AI3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{"issue":{"subject":"","project_id":79,"tracker_id":40,"status_id":1,"priority_id":2,"assigned_to_id":23,"start_date":"2017-07-02","description":"","custom_fields":[{"id":1,"name":"Subdivision","value":"EC"},{"id":4,"name":"Milepost","value":"0.018"},{"id":17,"name":"Train ID","value":"118-02"},{"id":16,"name":"Locomotive ID","value":"4021"},{"id":130,"name":"Impact","value":""},{"id":150,"name":"Time of Event (Mountain Time)","value":"07:22:14"},{"id":151,"name":"Denver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4021 --day 2017-07-02</v>
      </c>
      <c r="AN3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728</v>
      </c>
      <c r="B32" s="7">
        <v>4044</v>
      </c>
      <c r="C32" s="21" t="s">
        <v>202</v>
      </c>
      <c r="D32" s="21" t="s">
        <v>355</v>
      </c>
      <c r="E32" s="13">
        <v>42918.245798611111</v>
      </c>
      <c r="F32" s="13">
        <v>42918.250590277778</v>
      </c>
      <c r="G32" s="7">
        <v>1</v>
      </c>
      <c r="H32" s="21" t="s">
        <v>863</v>
      </c>
      <c r="I32" s="13">
        <v>42918.276250000003</v>
      </c>
      <c r="J32" s="7">
        <v>0</v>
      </c>
      <c r="K32" s="89" t="str">
        <f t="shared" si="0"/>
        <v>4043/4044</v>
      </c>
      <c r="L32" s="21" t="str">
        <f>VLOOKUP(A32,'Trips&amp;Operators'!$C$1:$G$99999,5,FALSE)</f>
        <v>DAVIS WENDY</v>
      </c>
      <c r="M32" s="6">
        <f t="shared" si="1"/>
        <v>2.5659722225100268E-2</v>
      </c>
      <c r="N32" s="7">
        <f t="shared" si="22"/>
        <v>36.950000004144385</v>
      </c>
      <c r="O32" s="7"/>
      <c r="P32" s="7"/>
      <c r="Q32" s="22"/>
      <c r="R32" s="170"/>
      <c r="S32" s="213">
        <f t="shared" si="23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-02T04:53:57-0600',mode:absolute,to:'2017-07-02T07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4.4699999999999997E-2</v>
      </c>
      <c r="Z32" s="197">
        <f t="shared" si="8"/>
        <v>23.329899999999999</v>
      </c>
      <c r="AA32" s="197">
        <f t="shared" si="9"/>
        <v>23.2852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119</v>
      </c>
      <c r="AE32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32" s="74" t="str">
        <f t="shared" si="12"/>
        <v>"C:\Program Files (x86)\AstroGrep\AstroGrep.exe" /e /r /s /spath="%USERPROFILE%\AppData\Local\Temp\OnboardLogs" /stypes="app*4044*20170702*" /stext=" 12:.+((SYSTEM_STATE.+slice.+state.+changed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119-02 --locoid 4044 --swversion DE.1.0.9.0 --startMP 204:447 --initTime 2017-07-02T05:53:57 --startdatetime 2017-07-02T06:00:51 --delay 1 --endMP 204:233299 --enddatetime 2017-07-02T06:37:48 --enforcementcount 0 &gt;&gt;C:\Users\stu\Documents\GitHub\eaglep3-reporting\EC\2017-07-02-refined-times.txt</v>
      </c>
      <c r="AI3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ID","value":"119-02"},{"id":16,"name":"Locomotive ID","value":"4044"},{"id":130,"name":"Impact","value":""},{"id":150,"name":"Time of Event (Mountain Time)","value":"06:37:48"},{"id":151,"name":"Denver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4044 --day 2017-07-02</v>
      </c>
      <c r="AN3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735</v>
      </c>
      <c r="B33" s="7">
        <v>4043</v>
      </c>
      <c r="C33" s="21" t="s">
        <v>202</v>
      </c>
      <c r="D33" s="21" t="s">
        <v>545</v>
      </c>
      <c r="E33" s="13">
        <v>42918.287361111114</v>
      </c>
      <c r="F33" s="13">
        <v>42918.289780092593</v>
      </c>
      <c r="G33" s="7">
        <v>1</v>
      </c>
      <c r="H33" s="21" t="s">
        <v>193</v>
      </c>
      <c r="I33" s="13">
        <v>42918.316562499997</v>
      </c>
      <c r="J33" s="7">
        <v>0</v>
      </c>
      <c r="K33" s="89" t="str">
        <f t="shared" si="0"/>
        <v>4043/4044</v>
      </c>
      <c r="L33" s="21" t="str">
        <f>VLOOKUP(A33,'Trips&amp;Operators'!$C$1:$G$99999,5,FALSE)</f>
        <v>DAVIS WENDY</v>
      </c>
      <c r="M33" s="6">
        <f t="shared" si="1"/>
        <v>2.6782407403516117E-2</v>
      </c>
      <c r="N33" s="7">
        <f t="shared" si="22"/>
        <v>38.566666661063209</v>
      </c>
      <c r="O33" s="7"/>
      <c r="P33" s="7"/>
      <c r="Q33" s="22"/>
      <c r="R33" s="170"/>
      <c r="S33" s="213">
        <f t="shared" si="23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-02T05:53:48-0600',mode:absolute,to:'2017-07-02T08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23.299199999999999</v>
      </c>
      <c r="Z33" s="197">
        <f t="shared" si="8"/>
        <v>1.52E-2</v>
      </c>
      <c r="AA33" s="197">
        <f t="shared" si="9"/>
        <v>23.283999999999999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120</v>
      </c>
      <c r="AE33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33" s="74" t="str">
        <f t="shared" si="12"/>
        <v>"C:\Program Files (x86)\AstroGrep\AstroGrep.exe" /e /r /s /spath="%USERPROFILE%\AppData\Local\Temp\OnboardLogs" /stypes="app*4043*20170702*" /stext=" 13:.+((SYSTEM_STATE.+slice.+state.+changed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120-02 --locoid 4043 --swversion DE.1.0.9.0 --startMP 204:232992 --initTime 2017-07-02T06:53:48 --startdatetime 2017-07-02T06:57:17 --delay 1 --endMP 204:152 --enddatetime 2017-07-02T07:35:51 --enforcementcount 0 &gt;&gt;C:\Users\stu\Documents\GitHub\eaglep3-reporting\EC\2017-07-02-refined-times.txt</v>
      </c>
      <c r="AI3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ID","value":"120-02"},{"id":16,"name":"Locomotive ID","value":"4043"},{"id":130,"name":"Impact","value":""},{"id":150,"name":"Time of Event (Mountain Time)","value":"07:35:51"},{"id":151,"name":"Denver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4043 --day 2017-07-02</v>
      </c>
      <c r="AN3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731</v>
      </c>
      <c r="B34" s="7">
        <v>4046</v>
      </c>
      <c r="C34" s="21" t="s">
        <v>202</v>
      </c>
      <c r="D34" s="21" t="s">
        <v>472</v>
      </c>
      <c r="E34" s="13">
        <v>42918.256203703706</v>
      </c>
      <c r="F34" s="13">
        <v>42918.261041666665</v>
      </c>
      <c r="G34" s="7">
        <v>2</v>
      </c>
      <c r="H34" s="21" t="s">
        <v>877</v>
      </c>
      <c r="I34" s="13">
        <v>42918.28528935185</v>
      </c>
      <c r="J34" s="7">
        <v>0</v>
      </c>
      <c r="K34" s="89" t="str">
        <f t="shared" si="0"/>
        <v>4045/4046</v>
      </c>
      <c r="L34" s="21" t="str">
        <f>VLOOKUP(A34,'Trips&amp;Operators'!$C$1:$G$99999,5,FALSE)</f>
        <v>LALONDE GREGORY</v>
      </c>
      <c r="M34" s="6">
        <f t="shared" si="1"/>
        <v>2.4247685185400769E-2</v>
      </c>
      <c r="N34" s="7">
        <f t="shared" si="22"/>
        <v>34.916666666977108</v>
      </c>
      <c r="O34" s="7"/>
      <c r="P34" s="7"/>
      <c r="Q34" s="22"/>
      <c r="R34" s="170"/>
      <c r="S34" s="213">
        <f t="shared" si="23"/>
        <v>1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-02T05:08:56-0600',mode:absolute,to:'2017-07-02T07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4.58E-2</v>
      </c>
      <c r="Z34" s="197">
        <f t="shared" si="8"/>
        <v>23.334900000000001</v>
      </c>
      <c r="AA34" s="197">
        <f t="shared" si="9"/>
        <v>23.289100000000001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121</v>
      </c>
      <c r="AE34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34" s="74" t="str">
        <f t="shared" si="12"/>
        <v>"C:\Program Files (x86)\AstroGrep\AstroGrep.exe" /e /r /s /spath="%USERPROFILE%\AppData\Local\Temp\OnboardLogs" /stypes="app*4046*20170702*" /stext=" 12:.+((SYSTEM_STATE.+slice.+state.+changed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121-02 --locoid 4046 --swversion DE.1.0.9.0 --startMP 204:458 --initTime 2017-07-02T06:08:56 --startdatetime 2017-07-02T06:15:54 --delay 2 --endMP 204:233349 --enddatetime 2017-07-02T06:50:49 --enforcementcount 0 &gt;&gt;C:\Users\stu\Documents\GitHub\eaglep3-reporting\EC\2017-07-02-refined-times.txt</v>
      </c>
      <c r="AI3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{"issue":{"subject":"","project_id":79,"tracker_id":40,"status_id":1,"priority_id":2,"assigned_to_id":23,"start_date":"2017-07-02","description":"","custom_fields":[{"id":1,"name":"Subdivision","value":"EC"},{"id":4,"name":"Milepost","value":"23.3349"},{"id":17,"name":"Train ID","value":"121-02"},{"id":16,"name":"Locomotive ID","value":"4046"},{"id":130,"name":"Impact","value":""},{"id":150,"name":"Time of Event (Mountain Time)","value":"06:50:49"},{"id":151,"name":"Denver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4046 --day 2017-07-02</v>
      </c>
      <c r="AN3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736</v>
      </c>
      <c r="B35" s="7">
        <v>4045</v>
      </c>
      <c r="C35" s="21" t="s">
        <v>202</v>
      </c>
      <c r="D35" s="21" t="s">
        <v>878</v>
      </c>
      <c r="E35" s="13">
        <v>42918.287453703706</v>
      </c>
      <c r="F35" s="13">
        <v>42918.300150462965</v>
      </c>
      <c r="G35" s="7">
        <v>1</v>
      </c>
      <c r="H35" s="21" t="s">
        <v>194</v>
      </c>
      <c r="I35" s="13">
        <v>42918.325752314813</v>
      </c>
      <c r="J35" s="7">
        <v>0</v>
      </c>
      <c r="K35" s="89" t="str">
        <f t="shared" si="0"/>
        <v>4045/4046</v>
      </c>
      <c r="L35" s="21" t="str">
        <f>VLOOKUP(A35,'Trips&amp;Operators'!$C$1:$G$99999,5,FALSE)</f>
        <v>LALONDE GREGORY</v>
      </c>
      <c r="M35" s="6">
        <f t="shared" si="1"/>
        <v>2.5601851848477963E-2</v>
      </c>
      <c r="N35" s="7">
        <f t="shared" si="22"/>
        <v>36.866666661808267</v>
      </c>
      <c r="O35" s="7"/>
      <c r="P35" s="7"/>
      <c r="Q35" s="22"/>
      <c r="R35" s="170"/>
      <c r="S35" s="213">
        <f t="shared" si="23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-02T05:53:56-0600',mode:absolute,to:'2017-07-02T08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23.302299999999999</v>
      </c>
      <c r="Z35" s="197">
        <f t="shared" si="8"/>
        <v>1.5800000000000002E-2</v>
      </c>
      <c r="AA35" s="197">
        <f t="shared" si="9"/>
        <v>23.2865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122</v>
      </c>
      <c r="AE35" s="77" t="str">
        <f t="shared" si="11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35" s="74" t="str">
        <f t="shared" si="12"/>
        <v>"C:\Program Files (x86)\AstroGrep\AstroGrep.exe" /e /r /s /spath="%USERPROFILE%\AppData\Local\Temp\OnboardLogs" /stypes="app*4045*20170702*"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122-02 --locoid 4045 --swversion DE.1.0.9.0 --startMP 204:233023 --initTime 2017-07-02T06:53:56 --startdatetime 2017-07-02T07:12:13 --delay 1 --endMP 204:158 --enddatetime 2017-07-02T07:49:05 --enforcementcount 0 &gt;&gt;C:\Users\stu\Documents\GitHub\eaglep3-reporting\EC\2017-07-02-refined-times.txt</v>
      </c>
      <c r="AI3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{"issue":{"subject":"","project_id":79,"tracker_id":40,"status_id":1,"priority_id":2,"assigned_to_id":23,"start_date":"2017-07-02","description":"","custom_fields":[{"id":1,"name":"Subdivision","value":"EC"},{"id":4,"name":"Milepost","value":"0.0158"},{"id":17,"name":"Train ID","value":"122-02"},{"id":16,"name":"Locomotive ID","value":"4045"},{"id":130,"name":"Impact","value":""},{"id":150,"name":"Time of Event (Mountain Time)","value":"07:49:05"},{"id":151,"name":"Denver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4045 --day 2017-07-02</v>
      </c>
      <c r="AN3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630</v>
      </c>
      <c r="B36" s="7">
        <v>4004</v>
      </c>
      <c r="C36" s="21" t="s">
        <v>202</v>
      </c>
      <c r="D36" s="21" t="s">
        <v>879</v>
      </c>
      <c r="E36" s="13">
        <v>42918.265879629631</v>
      </c>
      <c r="F36" s="13">
        <v>42918.271365740744</v>
      </c>
      <c r="G36" s="7">
        <v>1</v>
      </c>
      <c r="H36" s="21" t="s">
        <v>880</v>
      </c>
      <c r="I36" s="13">
        <v>42918.296643518515</v>
      </c>
      <c r="J36" s="7">
        <v>0</v>
      </c>
      <c r="K36" s="89" t="str">
        <f t="shared" si="0"/>
        <v>4003/4004</v>
      </c>
      <c r="L36" s="21" t="str">
        <f>VLOOKUP(A36,'Trips&amp;Operators'!$C$1:$G$99999,5,FALSE)</f>
        <v>GEBRETEKLE DAGNEW</v>
      </c>
      <c r="M36" s="6">
        <f t="shared" si="1"/>
        <v>2.5277777771407273E-2</v>
      </c>
      <c r="N36" s="7">
        <f t="shared" si="22"/>
        <v>36.399999990826473</v>
      </c>
      <c r="O36" s="7"/>
      <c r="P36" s="7"/>
      <c r="Q36" s="22"/>
      <c r="R36" s="170"/>
      <c r="S36" s="213">
        <f t="shared" si="23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-02T05:22:52-0600',mode:absolute,to:'2017-07-02T08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4.82E-2</v>
      </c>
      <c r="Z36" s="197">
        <f t="shared" si="8"/>
        <v>23.3337</v>
      </c>
      <c r="AA36" s="197">
        <f t="shared" si="9"/>
        <v>23.285499999999999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123</v>
      </c>
      <c r="AE36" s="77" t="str">
        <f t="shared" si="11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36" s="74" t="str">
        <f t="shared" si="12"/>
        <v>"C:\Program Files (x86)\AstroGrep\AstroGrep.exe" /e /r /s /spath="%USERPROFILE%\AppData\Local\Temp\OnboardLogs" /stypes="app*4004*20170702*"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123-02 --locoid 4004 --swversion DE.1.0.9.0 --startMP 204:482 --initTime 2017-07-02T06:22:52 --startdatetime 2017-07-02T06:30:46 --delay 1 --endMP 204:233337 --enddatetime 2017-07-02T07:07:10 --enforcementcount 0 &gt;&gt;C:\Users\stu\Documents\GitHub\eaglep3-reporting\EC\2017-07-02-refined-times.txt</v>
      </c>
      <c r="AI3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{"issue":{"subject":"","project_id":79,"tracker_id":40,"status_id":1,"priority_id":2,"assigned_to_id":23,"start_date":"2017-07-02","description":"","custom_fields":[{"id":1,"name":"Subdivision","value":"EC"},{"id":4,"name":"Milepost","value":"23.3337"},{"id":17,"name":"Train ID","value":"123-02"},{"id":16,"name":"Locomotive ID","value":"4004"},{"id":130,"name":"Impact","value":""},{"id":150,"name":"Time of Event (Mountain Time)","value":"07:07:10"},{"id":151,"name":"Denver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4004 --day 2017-07-02</v>
      </c>
      <c r="AN3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738</v>
      </c>
      <c r="B37" s="7">
        <v>4003</v>
      </c>
      <c r="C37" s="21" t="s">
        <v>202</v>
      </c>
      <c r="D37" s="21" t="s">
        <v>881</v>
      </c>
      <c r="E37" s="13">
        <v>42918.298113425924</v>
      </c>
      <c r="F37" s="13">
        <v>42918.310601851852</v>
      </c>
      <c r="G37" s="7">
        <v>1</v>
      </c>
      <c r="H37" s="21" t="s">
        <v>394</v>
      </c>
      <c r="I37" s="13">
        <v>42918.336458333331</v>
      </c>
      <c r="J37" s="7">
        <v>0</v>
      </c>
      <c r="K37" s="89" t="str">
        <f t="shared" si="0"/>
        <v>4003/4004</v>
      </c>
      <c r="L37" s="21" t="str">
        <f>VLOOKUP(A37,'Trips&amp;Operators'!$C$1:$G$99999,5,FALSE)</f>
        <v>GEBRETEKLE DAGNEW</v>
      </c>
      <c r="M37" s="6">
        <f t="shared" si="1"/>
        <v>2.5856481479422655E-2</v>
      </c>
      <c r="N37" s="7">
        <f t="shared" si="22"/>
        <v>37.233333330368623</v>
      </c>
      <c r="O37" s="7"/>
      <c r="P37" s="7"/>
      <c r="Q37" s="22"/>
      <c r="R37" s="170"/>
      <c r="S37" s="213">
        <f t="shared" si="23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-02T06:09:17-0600',mode:absolute,to:'2017-07-02T09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23.301300000000001</v>
      </c>
      <c r="Z37" s="197">
        <f t="shared" si="8"/>
        <v>1.54E-2</v>
      </c>
      <c r="AA37" s="197">
        <f t="shared" si="9"/>
        <v>23.285900000000002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124</v>
      </c>
      <c r="AE37" s="77" t="str">
        <f t="shared" si="11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37" s="74" t="str">
        <f t="shared" si="12"/>
        <v>"C:\Program Files (x86)\AstroGrep\AstroGrep.exe" /e /r /s /spath="%USERPROFILE%\AppData\Local\Temp\OnboardLogs" /stypes="app*4003*20170702*" /stext=" 14:.+((SYSTEM_STATE.+slice.+state.+changed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124-02 --locoid 4003 --swversion DE.1.0.9.0 --startMP 204:233013 --initTime 2017-07-02T07:09:17 --startdatetime 2017-07-02T07:27:16 --delay 1 --endMP 204:154 --enddatetime 2017-07-02T08:04:30 --enforcementcount 0 &gt;&gt;C:\Users\stu\Documents\GitHub\eaglep3-reporting\EC\2017-07-02-refined-times.txt</v>
      </c>
      <c r="AI3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ID","value":"124-02"},{"id":16,"name":"Locomotive ID","value":"4003"},{"id":130,"name":"Impact","value":""},{"id":150,"name":"Time of Event (Mountain Time)","value":"08:04:30"},{"id":151,"name":"Denver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4003 --day 2017-07-02</v>
      </c>
      <c r="AN3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733</v>
      </c>
      <c r="B38" s="7">
        <v>4042</v>
      </c>
      <c r="C38" s="21" t="s">
        <v>202</v>
      </c>
      <c r="D38" s="21" t="s">
        <v>482</v>
      </c>
      <c r="E38" s="13">
        <v>42918.278495370374</v>
      </c>
      <c r="F38" s="13">
        <v>42918.281805555554</v>
      </c>
      <c r="G38" s="7">
        <v>1</v>
      </c>
      <c r="H38" s="21" t="s">
        <v>882</v>
      </c>
      <c r="I38" s="13">
        <v>42918.306319444448</v>
      </c>
      <c r="J38" s="7">
        <v>0</v>
      </c>
      <c r="K38" s="89" t="str">
        <f t="shared" si="0"/>
        <v>4041/4042</v>
      </c>
      <c r="L38" s="21" t="str">
        <f>VLOOKUP(A38,'Trips&amp;Operators'!$C$1:$G$99999,5,FALSE)</f>
        <v>MAELZER KURT</v>
      </c>
      <c r="M38" s="6">
        <f t="shared" si="1"/>
        <v>2.4513888893125113E-2</v>
      </c>
      <c r="N38" s="7">
        <f t="shared" si="22"/>
        <v>35.300000006100163</v>
      </c>
      <c r="O38" s="7"/>
      <c r="P38" s="7"/>
      <c r="Q38" s="22"/>
      <c r="R38" s="170"/>
      <c r="S38" s="213">
        <f t="shared" si="2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-02T05:41:02-0600',mode:absolute,to:'2017-07-02T08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4.3999999999999997E-2</v>
      </c>
      <c r="Z38" s="197">
        <f t="shared" si="8"/>
        <v>23.334</v>
      </c>
      <c r="AA38" s="197">
        <f t="shared" si="9"/>
        <v>23.29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125</v>
      </c>
      <c r="AE38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38" s="74" t="str">
        <f t="shared" si="12"/>
        <v>"C:\Program Files (x86)\AstroGrep\AstroGrep.exe" /e /r /s /spath="%USERPROFILE%\AppData\Local\Temp\OnboardLogs" /stypes="app*4042*20170702*" /stext=" 13:.+((SYSTEM_STATE.+slice.+state.+changed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125-02 --locoid 4042 --swversion DE.1.0.9.0 --startMP 204:440 --initTime 2017-07-02T06:41:02 --startdatetime 2017-07-02T06:45:48 --delay 1 --endMP 204:233340 --enddatetime 2017-07-02T07:21:06 --enforcementcount 0 &gt;&gt;C:\Users\stu\Documents\GitHub\eaglep3-reporting\EC\2017-07-02-refined-times.txt</v>
      </c>
      <c r="AI3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{"issue":{"subject":"","project_id":79,"tracker_id":40,"status_id":1,"priority_id":2,"assigned_to_id":23,"start_date":"2017-07-02","description":"","custom_fields":[{"id":1,"name":"Subdivision","value":"EC"},{"id":4,"name":"Milepost","value":"23.334"},{"id":17,"name":"Train ID","value":"125-02"},{"id":16,"name":"Locomotive ID","value":"4042"},{"id":130,"name":"Impact","value":""},{"id":150,"name":"Time of Event (Mountain Time)","value":"07:21:06"},{"id":151,"name":"Denver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4042 --day 2017-07-02</v>
      </c>
      <c r="AN3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742</v>
      </c>
      <c r="B39" s="7">
        <v>4041</v>
      </c>
      <c r="C39" s="21" t="s">
        <v>202</v>
      </c>
      <c r="D39" s="21" t="s">
        <v>554</v>
      </c>
      <c r="E39" s="13">
        <v>42918.317048611112</v>
      </c>
      <c r="F39" s="13">
        <v>42918.321111111109</v>
      </c>
      <c r="G39" s="7">
        <v>1</v>
      </c>
      <c r="H39" s="21" t="s">
        <v>556</v>
      </c>
      <c r="I39" s="13">
        <v>42918.347303240742</v>
      </c>
      <c r="J39" s="7">
        <v>0</v>
      </c>
      <c r="K39" s="89" t="str">
        <f t="shared" si="0"/>
        <v>4041/4042</v>
      </c>
      <c r="L39" s="21" t="str">
        <f>VLOOKUP(A39,'Trips&amp;Operators'!$C$1:$G$99999,5,FALSE)</f>
        <v>MAELZER KURT</v>
      </c>
      <c r="M39" s="6">
        <f t="shared" si="1"/>
        <v>2.6192129633272998E-2</v>
      </c>
      <c r="N39" s="7">
        <f t="shared" si="22"/>
        <v>37.716666671913117</v>
      </c>
      <c r="O39" s="7"/>
      <c r="P39" s="7"/>
      <c r="Q39" s="22"/>
      <c r="R39" s="170"/>
      <c r="S39" s="213">
        <f t="shared" si="23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-02T06:36:33-0600',mode:absolute,to:'2017-07-02T09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23.300599999999999</v>
      </c>
      <c r="Z39" s="197">
        <f t="shared" si="8"/>
        <v>1.29E-2</v>
      </c>
      <c r="AA39" s="197">
        <f t="shared" si="9"/>
        <v>23.287700000000001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126</v>
      </c>
      <c r="AE39" s="77" t="str">
        <f t="shared" si="11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39" s="74" t="str">
        <f t="shared" si="12"/>
        <v>"C:\Program Files (x86)\AstroGrep\AstroGrep.exe" /e /r /s /spath="%USERPROFILE%\AppData\Local\Temp\OnboardLogs" /stypes="app*4041*20170702*"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126-02 --locoid 4041 --swversion DE.1.0.9.0 --startMP 204:233006 --initTime 2017-07-02T07:36:33 --startdatetime 2017-07-02T07:42:24 --delay 1 --endMP 204:129 --enddatetime 2017-07-02T08:20:07 --enforcementcount 0 &gt;&gt;C:\Users\stu\Documents\GitHub\eaglep3-reporting\EC\2017-07-02-refined-times.txt</v>
      </c>
      <c r="AI3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{"issue":{"subject":"","project_id":79,"tracker_id":40,"status_id":1,"priority_id":2,"assigned_to_id":23,"start_date":"2017-07-02","description":"","custom_fields":[{"id":1,"name":"Subdivision","value":"EC"},{"id":4,"name":"Milepost","value":"0.0129"},{"id":17,"name":"Train ID","value":"126-02"},{"id":16,"name":"Locomotive ID","value":"4041"},{"id":130,"name":"Impact","value":""},{"id":150,"name":"Time of Event (Mountain Time)","value":"08:20:07"},{"id":151,"name":"Denver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4041 --day 2017-07-02</v>
      </c>
      <c r="AN3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734</v>
      </c>
      <c r="B40" s="7">
        <v>4058</v>
      </c>
      <c r="C40" s="21" t="s">
        <v>202</v>
      </c>
      <c r="D40" s="21" t="s">
        <v>352</v>
      </c>
      <c r="E40" s="13">
        <v>42918.287291666667</v>
      </c>
      <c r="F40" s="13">
        <v>42918.292187500003</v>
      </c>
      <c r="G40" s="7">
        <v>1</v>
      </c>
      <c r="H40" s="21" t="s">
        <v>883</v>
      </c>
      <c r="I40" s="13">
        <v>42918.31759259259</v>
      </c>
      <c r="J40" s="7">
        <v>0</v>
      </c>
      <c r="K40" s="89" t="str">
        <f t="shared" si="0"/>
        <v>4057/4058</v>
      </c>
      <c r="L40" s="21" t="str">
        <f>VLOOKUP(A40,'Trips&amp;Operators'!$C$1:$G$99999,5,FALSE)</f>
        <v>GUZMAN DANNY</v>
      </c>
      <c r="M40" s="6">
        <f t="shared" si="1"/>
        <v>2.5405092586879618E-2</v>
      </c>
      <c r="N40" s="7">
        <f t="shared" si="22"/>
        <v>36.583333325106651</v>
      </c>
      <c r="O40" s="7"/>
      <c r="P40" s="7"/>
      <c r="Q40" s="22"/>
      <c r="R40" s="170"/>
      <c r="S40" s="213">
        <f t="shared" si="23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-02T05:53:42-0600',mode:absolute,to:'2017-07-02T08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4.5100000000000001E-2</v>
      </c>
      <c r="Z40" s="197">
        <f t="shared" si="8"/>
        <v>23.334499999999998</v>
      </c>
      <c r="AA40" s="197">
        <f t="shared" si="9"/>
        <v>23.289399999999997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127</v>
      </c>
      <c r="AE40" s="77" t="str">
        <f t="shared" si="11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40" s="74" t="str">
        <f t="shared" si="12"/>
        <v>"C:\Program Files (x86)\AstroGrep\AstroGrep.exe" /e /r /s /spath="%USERPROFILE%\AppData\Local\Temp\OnboardLogs" /stypes="app*4058*20170702*"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127-02 --locoid 4058 --swversion DE.1.0.9.0 --startMP 204:451 --initTime 2017-07-02T06:53:42 --startdatetime 2017-07-02T07:00:45 --delay 1 --endMP 204:233345 --enddatetime 2017-07-02T07:37:20 --enforcementcount 0 &gt;&gt;C:\Users\stu\Documents\GitHub\eaglep3-reporting\EC\2017-07-02-refined-times.txt</v>
      </c>
      <c r="AI4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{"issue":{"subject":"","project_id":79,"tracker_id":40,"status_id":1,"priority_id":2,"assigned_to_id":23,"start_date":"2017-07-02","description":"","custom_fields":[{"id":1,"name":"Subdivision","value":"EC"},{"id":4,"name":"Milepost","value":"23.3345"},{"id":17,"name":"Train ID","value":"127-02"},{"id":16,"name":"Locomotive ID","value":"4058"},{"id":130,"name":"Impact","value":""},{"id":150,"name":"Time of Event (Mountain Time)","value":"07:37:20"},{"id":151,"name":"Denver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4058 --day 2017-07-02</v>
      </c>
      <c r="AN4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745</v>
      </c>
      <c r="B41" s="7">
        <v>4057</v>
      </c>
      <c r="C41" s="21" t="s">
        <v>202</v>
      </c>
      <c r="D41" s="21" t="s">
        <v>884</v>
      </c>
      <c r="E41" s="13">
        <v>42918.323912037034</v>
      </c>
      <c r="F41" s="13">
        <v>42918.331446759257</v>
      </c>
      <c r="G41" s="7">
        <v>0</v>
      </c>
      <c r="H41" s="21" t="s">
        <v>356</v>
      </c>
      <c r="I41" s="13">
        <v>42918.358506944445</v>
      </c>
      <c r="J41" s="7">
        <v>0</v>
      </c>
      <c r="K41" s="89" t="str">
        <f t="shared" si="0"/>
        <v>4057/4058</v>
      </c>
      <c r="L41" s="21" t="str">
        <f>VLOOKUP(A41,'Trips&amp;Operators'!$C$1:$G$99999,5,FALSE)</f>
        <v>GUZMAN DANNY</v>
      </c>
      <c r="M41" s="6">
        <f t="shared" si="1"/>
        <v>2.7060185188020114E-2</v>
      </c>
      <c r="N41" s="7">
        <f t="shared" si="22"/>
        <v>38.966666670748964</v>
      </c>
      <c r="O41" s="7"/>
      <c r="P41" s="7"/>
      <c r="Q41" s="22"/>
      <c r="R41" s="170"/>
      <c r="S41" s="213">
        <f t="shared" si="23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-02T06:46:26-0600',mode:absolute,to:'2017-07-02T09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23.3003</v>
      </c>
      <c r="Z41" s="197">
        <f t="shared" si="8"/>
        <v>1.3899999999999999E-2</v>
      </c>
      <c r="AA41" s="197">
        <f t="shared" si="9"/>
        <v>23.2864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128</v>
      </c>
      <c r="AE41" s="77" t="str">
        <f t="shared" si="11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41" s="74" t="str">
        <f t="shared" si="12"/>
        <v>"C:\Program Files (x86)\AstroGrep\AstroGrep.exe" /e /r /s /spath="%USERPROFILE%\AppData\Local\Temp\OnboardLogs" /stypes="app*4057*20170702*"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128-02 --locoid 4057 --swversion DE.1.0.9.0 --startMP 204:233003 --initTime 2017-07-02T07:46:26 --startdatetime 2017-07-02T07:57:17 --delay 0 --endMP 204:139 --enddatetime 2017-07-02T08:36:15 --enforcementcount 0 &gt;&gt;C:\Users\stu\Documents\GitHub\eaglep3-reporting\EC\2017-07-02-refined-times.txt</v>
      </c>
      <c r="AI4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{"issue":{"subject":"","project_id":79,"tracker_id":40,"status_id":1,"priority_id":2,"assigned_to_id":23,"start_date":"2017-07-02","description":"","custom_fields":[{"id":1,"name":"Subdivision","value":"EC"},{"id":4,"name":"Milepost","value":"0.0139"},{"id":17,"name":"Train ID","value":"128-02"},{"id":16,"name":"Locomotive ID","value":"4057"},{"id":130,"name":"Impact","value":""},{"id":150,"name":"Time of Event (Mountain Time)","value":"08:36:15"},{"id":151,"name":"Denver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4057 --day 2017-07-02</v>
      </c>
      <c r="AN4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739</v>
      </c>
      <c r="B42" s="7">
        <v>4054</v>
      </c>
      <c r="C42" s="21" t="s">
        <v>202</v>
      </c>
      <c r="D42" s="21" t="s">
        <v>885</v>
      </c>
      <c r="E42" s="13">
        <v>42918.300509259258</v>
      </c>
      <c r="F42" s="13">
        <v>42918.302858796298</v>
      </c>
      <c r="G42" s="7">
        <v>1</v>
      </c>
      <c r="H42" s="21" t="s">
        <v>476</v>
      </c>
      <c r="I42" s="13">
        <v>42918.328831018516</v>
      </c>
      <c r="J42" s="7">
        <v>0</v>
      </c>
      <c r="K42" s="89" t="str">
        <f t="shared" si="0"/>
        <v>4053/4054</v>
      </c>
      <c r="L42" s="21" t="str">
        <f>VLOOKUP(A42,'Trips&amp;Operators'!$C$1:$G$99999,5,FALSE)</f>
        <v>CHANDLER KELVIN</v>
      </c>
      <c r="M42" s="6">
        <f t="shared" si="1"/>
        <v>2.5972222218115348E-2</v>
      </c>
      <c r="N42" s="7">
        <f t="shared" si="22"/>
        <v>37.399999994086102</v>
      </c>
      <c r="O42" s="7"/>
      <c r="P42" s="7"/>
      <c r="Q42" s="22"/>
      <c r="R42" s="170"/>
      <c r="S42" s="213">
        <f t="shared" si="23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-02T06:12:44-0600',mode:absolute,to:'2017-07-02T08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4.3099999999999999E-2</v>
      </c>
      <c r="Z42" s="197">
        <f t="shared" si="8"/>
        <v>23.3308</v>
      </c>
      <c r="AA42" s="197">
        <f t="shared" si="9"/>
        <v>23.287700000000001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129</v>
      </c>
      <c r="AE42" s="77" t="str">
        <f t="shared" si="11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42" s="74" t="str">
        <f t="shared" si="12"/>
        <v>"C:\Program Files (x86)\AstroGrep\AstroGrep.exe" /e /r /s /spath="%USERPROFILE%\AppData\Local\Temp\OnboardLogs" /stypes="app*4054*20170702*"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129-02 --locoid 4054 --swversion DE.1.0.9.0 --startMP 204:431 --initTime 2017-07-02T07:12:44 --startdatetime 2017-07-02T07:16:07 --delay 1 --endMP 204:233308 --enddatetime 2017-07-02T07:53:31 --enforcementcount 0 &gt;&gt;C:\Users\stu\Documents\GitHub\eaglep3-reporting\EC\2017-07-02-refined-times.txt</v>
      </c>
      <c r="AI4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{"issue":{"subject":"","project_id":79,"tracker_id":40,"status_id":1,"priority_id":2,"assigned_to_id":23,"start_date":"2017-07-02","description":"","custom_fields":[{"id":1,"name":"Subdivision","value":"EC"},{"id":4,"name":"Milepost","value":"23.3308"},{"id":17,"name":"Train ID","value":"129-02"},{"id":16,"name":"Locomotive ID","value":"4054"},{"id":130,"name":"Impact","value":""},{"id":150,"name":"Time of Event (Mountain Time)","value":"07:53:31"},{"id":151,"name":"Denver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4054 --day 2017-07-02</v>
      </c>
      <c r="AN4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636</v>
      </c>
      <c r="B43" s="7">
        <v>4053</v>
      </c>
      <c r="C43" s="21" t="s">
        <v>202</v>
      </c>
      <c r="D43" s="21" t="s">
        <v>550</v>
      </c>
      <c r="E43" s="13">
        <v>42918.338090277779</v>
      </c>
      <c r="F43" s="13">
        <v>42918.342372685183</v>
      </c>
      <c r="G43" s="7">
        <v>1</v>
      </c>
      <c r="H43" s="21" t="s">
        <v>394</v>
      </c>
      <c r="I43" s="13">
        <v>42918.370358796295</v>
      </c>
      <c r="J43" s="7">
        <v>0</v>
      </c>
      <c r="K43" s="89" t="str">
        <f t="shared" si="0"/>
        <v>4053/4054</v>
      </c>
      <c r="L43" s="21" t="str">
        <f>VLOOKUP(A43,'Trips&amp;Operators'!$C$1:$G$99999,5,FALSE)</f>
        <v>CHANDLER KELVIN</v>
      </c>
      <c r="M43" s="6">
        <f t="shared" si="1"/>
        <v>2.7986111112113576E-2</v>
      </c>
      <c r="N43" s="7">
        <f t="shared" si="22"/>
        <v>40.30000000144355</v>
      </c>
      <c r="O43" s="7"/>
      <c r="P43" s="7"/>
      <c r="Q43" s="22"/>
      <c r="R43" s="170"/>
      <c r="S43" s="213">
        <f t="shared" si="2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-02T07:06:51-0600',mode:absolute,to:'2017-07-02T09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23.299800000000001</v>
      </c>
      <c r="Z43" s="197">
        <f t="shared" si="8"/>
        <v>1.54E-2</v>
      </c>
      <c r="AA43" s="197">
        <f t="shared" si="9"/>
        <v>23.284400000000002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130</v>
      </c>
      <c r="AE43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43" s="74" t="str">
        <f t="shared" si="12"/>
        <v>"C:\Program Files (x86)\AstroGrep\AstroGrep.exe" /e /r /s /spath="%USERPROFILE%\AppData\Local\Temp\OnboardLogs" /stypes="app*4053*20170702*"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130-02 --locoid 4053 --swversion DE.1.0.9.0 --startMP 204:232998 --initTime 2017-07-02T08:06:51 --startdatetime 2017-07-02T08:13:01 --delay 1 --endMP 204:154 --enddatetime 2017-07-02T08:53:19 --enforcementcount 0 &gt;&gt;C:\Users\stu\Documents\GitHub\eaglep3-reporting\EC\2017-07-02-refined-times.txt</v>
      </c>
      <c r="AI4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ID","value":"130-02"},{"id":16,"name":"Locomotive ID","value":"4053"},{"id":130,"name":"Impact","value":""},{"id":150,"name":"Time of Event (Mountain Time)","value":"08:53:19"},{"id":151,"name":"Denver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4053 --day 2017-07-02</v>
      </c>
      <c r="AN4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740</v>
      </c>
      <c r="B44" s="7">
        <v>4022</v>
      </c>
      <c r="C44" s="21" t="s">
        <v>202</v>
      </c>
      <c r="D44" s="21" t="s">
        <v>456</v>
      </c>
      <c r="E44" s="13">
        <v>42918.308333333334</v>
      </c>
      <c r="F44" s="13">
        <v>42918.312951388885</v>
      </c>
      <c r="G44" s="7">
        <v>1</v>
      </c>
      <c r="H44" s="21" t="s">
        <v>886</v>
      </c>
      <c r="I44" s="13">
        <v>42918.338553240741</v>
      </c>
      <c r="J44" s="7">
        <v>0</v>
      </c>
      <c r="K44" s="89" t="str">
        <f t="shared" si="0"/>
        <v>4021/4022</v>
      </c>
      <c r="L44" s="21" t="str">
        <f>VLOOKUP(A44,'Trips&amp;Operators'!$C$1:$G$99999,5,FALSE)</f>
        <v>MACDONALD THOMAS</v>
      </c>
      <c r="M44" s="6">
        <f t="shared" si="1"/>
        <v>2.5601851855753921E-2</v>
      </c>
      <c r="N44" s="7">
        <f t="shared" si="22"/>
        <v>36.866666672285646</v>
      </c>
      <c r="O44" s="7"/>
      <c r="P44" s="7"/>
      <c r="Q44" s="22"/>
      <c r="R44" s="170"/>
      <c r="S44" s="213">
        <f t="shared" si="2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-02T06:24:00-0600',mode:absolute,to:'2017-07-02T09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4.6399999999999997E-2</v>
      </c>
      <c r="Z44" s="197">
        <f t="shared" si="8"/>
        <v>23.327999999999999</v>
      </c>
      <c r="AA44" s="197">
        <f t="shared" si="9"/>
        <v>23.281600000000001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131</v>
      </c>
      <c r="AE44" s="77" t="str">
        <f t="shared" si="11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44" s="74" t="str">
        <f t="shared" si="12"/>
        <v>"C:\Program Files (x86)\AstroGrep\AstroGrep.exe" /e /r /s /spath="%USERPROFILE%\AppData\Local\Temp\OnboardLogs" /stypes="app*4022*20170702*"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131-02 --locoid 4022 --swversion DE.1.0.9.0 --startMP 204:464 --initTime 2017-07-02T07:24:00 --startdatetime 2017-07-02T07:30:39 --delay 1 --endMP 204:233280 --enddatetime 2017-07-02T08:07:31 --enforcementcount 0 &gt;&gt;C:\Users\stu\Documents\GitHub\eaglep3-reporting\EC\2017-07-02-refined-times.txt</v>
      </c>
      <c r="AI4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{"issue":{"subject":"","project_id":79,"tracker_id":40,"status_id":1,"priority_id":2,"assigned_to_id":23,"start_date":"2017-07-02","description":"","custom_fields":[{"id":1,"name":"Subdivision","value":"EC"},{"id":4,"name":"Milepost","value":"23.328"},{"id":17,"name":"Train ID","value":"131-02"},{"id":16,"name":"Locomotive ID","value":"4022"},{"id":130,"name":"Impact","value":""},{"id":150,"name":"Time of Event (Mountain Time)","value":"08:07:31"},{"id":151,"name":"Denver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4022 --day 2017-07-02</v>
      </c>
      <c r="AN4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748</v>
      </c>
      <c r="B45" s="7">
        <v>4021</v>
      </c>
      <c r="C45" s="21" t="s">
        <v>202</v>
      </c>
      <c r="D45" s="21" t="s">
        <v>605</v>
      </c>
      <c r="E45" s="13">
        <v>42918.352187500001</v>
      </c>
      <c r="F45" s="13">
        <v>42918.353090277778</v>
      </c>
      <c r="G45" s="7">
        <v>1</v>
      </c>
      <c r="H45" s="21" t="s">
        <v>469</v>
      </c>
      <c r="I45" s="13">
        <v>42918.378912037035</v>
      </c>
      <c r="J45" s="7">
        <v>0</v>
      </c>
      <c r="K45" s="89" t="str">
        <f t="shared" si="0"/>
        <v>4021/4022</v>
      </c>
      <c r="L45" s="21" t="str">
        <f>VLOOKUP(A45,'Trips&amp;Operators'!$C$1:$G$99999,5,FALSE)</f>
        <v>MACDONALD THOMAS</v>
      </c>
      <c r="M45" s="6">
        <f t="shared" si="1"/>
        <v>2.5821759256359655E-2</v>
      </c>
      <c r="N45" s="7">
        <f t="shared" si="22"/>
        <v>37.183333329157904</v>
      </c>
      <c r="O45" s="7"/>
      <c r="P45" s="7"/>
      <c r="Q45" s="22"/>
      <c r="R45" s="170"/>
      <c r="S45" s="213">
        <f t="shared" si="23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-02T07:27:09-0600',mode:absolute,to:'2017-07-02T10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5" s="197" t="str">
        <f>IF(AA45&lt;VLOOKUP(AG45,Variables!$AC$3:$AD$8,2,FALSE),"Y","N")</f>
        <v>N</v>
      </c>
      <c r="X45" s="197">
        <f t="shared" ref="X45:X78" si="24">VALUE(LEFT(AD45,4))-VALUE(LEFT(AD44,4))</f>
        <v>1</v>
      </c>
      <c r="Y45" s="197">
        <f t="shared" ref="Y45:Y76" si="25">RIGHT(D45,LEN(D45)-4)/10000</f>
        <v>23.296099999999999</v>
      </c>
      <c r="Z45" s="197">
        <f t="shared" ref="Z45:Z76" si="26">RIGHT(H45,LEN(H45)-4)/10000</f>
        <v>1.61E-2</v>
      </c>
      <c r="AA45" s="197">
        <f t="shared" si="9"/>
        <v>23.279999999999998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132</v>
      </c>
      <c r="AE45" s="77" t="str">
        <f t="shared" si="11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45" s="74" t="str">
        <f t="shared" si="12"/>
        <v>"C:\Program Files (x86)\AstroGrep\AstroGrep.exe" /e /r /s /spath="%USERPROFILE%\AppData\Local\Temp\OnboardLogs" /stypes="app*4021*20170702*"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132-02 --locoid 4021 --swversion DE.1.0.9.0 --startMP 204:232961 --initTime 2017-07-02T08:27:09 --startdatetime 2017-07-02T08:28:27 --delay 1 --endMP 204:161 --enddatetime 2017-07-02T09:05:38 --enforcementcount 0 &gt;&gt;C:\Users\stu\Documents\GitHub\eaglep3-reporting\EC\2017-07-02-refined-times.txt</v>
      </c>
      <c r="AI4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{"issue":{"subject":"","project_id":79,"tracker_id":40,"status_id":1,"priority_id":2,"assigned_to_id":23,"start_date":"2017-07-02","description":"","custom_fields":[{"id":1,"name":"Subdivision","value":"EC"},{"id":4,"name":"Milepost","value":"0.0161"},{"id":17,"name":"Train ID","value":"132-02"},{"id":16,"name":"Locomotive ID","value":"4021"},{"id":130,"name":"Impact","value":""},{"id":150,"name":"Time of Event (Mountain Time)","value":"09:05:38"},{"id":151,"name":"Denver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4021 --day 2017-07-02</v>
      </c>
      <c r="AN4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744</v>
      </c>
      <c r="B46" s="7">
        <v>4044</v>
      </c>
      <c r="C46" s="21" t="s">
        <v>202</v>
      </c>
      <c r="D46" s="21" t="s">
        <v>198</v>
      </c>
      <c r="E46" s="13">
        <v>42918.320231481484</v>
      </c>
      <c r="F46" s="13">
        <v>42918.323472222219</v>
      </c>
      <c r="G46" s="7">
        <v>1</v>
      </c>
      <c r="H46" s="21" t="s">
        <v>514</v>
      </c>
      <c r="I46" s="13">
        <v>42918.349062499998</v>
      </c>
      <c r="J46" s="7">
        <v>0</v>
      </c>
      <c r="K46" s="89" t="str">
        <f t="shared" si="0"/>
        <v>4043/4044</v>
      </c>
      <c r="L46" s="21" t="str">
        <f>VLOOKUP(A46,'Trips&amp;Operators'!$C$1:$G$99999,5,FALSE)</f>
        <v>DAVIS WENDY</v>
      </c>
      <c r="M46" s="6">
        <f t="shared" si="1"/>
        <v>2.5590277778974269E-2</v>
      </c>
      <c r="N46" s="7">
        <f t="shared" si="22"/>
        <v>36.850000001722947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-02T06:41:08-0600',mode:absolute,to:'2017-07-02T09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25"/>
        <v>4.5699999999999998E-2</v>
      </c>
      <c r="Z46" s="197">
        <f t="shared" si="26"/>
        <v>23.331900000000001</v>
      </c>
      <c r="AA46" s="197">
        <f t="shared" si="9"/>
        <v>23.286200000000001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133</v>
      </c>
      <c r="AE46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46" s="74" t="str">
        <f t="shared" si="12"/>
        <v>"C:\Program Files (x86)\AstroGrep\AstroGrep.exe" /e /r /s /spath="%USERPROFILE%\AppData\Local\Temp\OnboardLogs" /stypes="app*4044*20170702*"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133-02 --locoid 4044 --swversion DE.1.0.9.0 --startMP 204:457 --initTime 2017-07-02T07:41:08 --startdatetime 2017-07-02T07:45:48 --delay 1 --endMP 204:233319 --enddatetime 2017-07-02T08:22:39 --enforcementcount 0 &gt;&gt;C:\Users\stu\Documents\GitHub\eaglep3-reporting\EC\2017-07-02-refined-times.txt</v>
      </c>
      <c r="AI4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{"issue":{"subject":"","project_id":79,"tracker_id":40,"status_id":1,"priority_id":2,"assigned_to_id":23,"start_date":"2017-07-02","description":"","custom_fields":[{"id":1,"name":"Subdivision","value":"EC"},{"id":4,"name":"Milepost","value":"23.3319"},{"id":17,"name":"Train ID","value":"133-02"},{"id":16,"name":"Locomotive ID","value":"4044"},{"id":130,"name":"Impact","value":""},{"id":150,"name":"Time of Event (Mountain Time)","value":"08:22:39"},{"id":151,"name":"Denver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4044 --day 2017-07-02</v>
      </c>
      <c r="AN4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751</v>
      </c>
      <c r="B47" s="7">
        <v>4043</v>
      </c>
      <c r="C47" s="21" t="s">
        <v>202</v>
      </c>
      <c r="D47" s="21" t="s">
        <v>554</v>
      </c>
      <c r="E47" s="13">
        <v>42918.359490740739</v>
      </c>
      <c r="F47" s="13">
        <v>42918.362662037034</v>
      </c>
      <c r="G47" s="7">
        <v>1</v>
      </c>
      <c r="H47" s="21" t="s">
        <v>589</v>
      </c>
      <c r="I47" s="13">
        <v>42918.389699074076</v>
      </c>
      <c r="J47" s="7">
        <v>0</v>
      </c>
      <c r="K47" s="89" t="str">
        <f t="shared" si="0"/>
        <v>4043/4044</v>
      </c>
      <c r="L47" s="21" t="str">
        <f>VLOOKUP(A47,'Trips&amp;Operators'!$C$1:$G$99999,5,FALSE)</f>
        <v>DAVIS WENDY</v>
      </c>
      <c r="M47" s="6">
        <f t="shared" si="1"/>
        <v>2.7037037041736767E-2</v>
      </c>
      <c r="N47" s="7">
        <f t="shared" si="22"/>
        <v>38.933333340100944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-02T07:37:40-0600',mode:absolute,to:'2017-07-02T10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25"/>
        <v>23.300599999999999</v>
      </c>
      <c r="Z47" s="197">
        <f t="shared" si="26"/>
        <v>1.67E-2</v>
      </c>
      <c r="AA47" s="197">
        <f t="shared" si="9"/>
        <v>23.283899999999999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134</v>
      </c>
      <c r="AE47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47" s="74" t="str">
        <f t="shared" si="12"/>
        <v>"C:\Program Files (x86)\AstroGrep\AstroGrep.exe" /e /r /s /spath="%USERPROFILE%\AppData\Local\Temp\OnboardLogs" /stypes="app*4043*20170702*"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134-02 --locoid 4043 --swversion DE.1.0.9.0 --startMP 204:233006 --initTime 2017-07-02T08:37:40 --startdatetime 2017-07-02T08:42:14 --delay 1 --endMP 204:167 --enddatetime 2017-07-02T09:21:10 --enforcementcount 0 &gt;&gt;C:\Users\stu\Documents\GitHub\eaglep3-reporting\EC\2017-07-02-refined-times.txt</v>
      </c>
      <c r="AI4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{"issue":{"subject":"","project_id":79,"tracker_id":40,"status_id":1,"priority_id":2,"assigned_to_id":23,"start_date":"2017-07-02","description":"","custom_fields":[{"id":1,"name":"Subdivision","value":"EC"},{"id":4,"name":"Milepost","value":"0.0167"},{"id":17,"name":"Train ID","value":"134-02"},{"id":16,"name":"Locomotive ID","value":"4043"},{"id":130,"name":"Impact","value":""},{"id":150,"name":"Time of Event (Mountain Time)","value":"09:21:10"},{"id":151,"name":"Denver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4043 --day 2017-07-02</v>
      </c>
      <c r="AN4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746</v>
      </c>
      <c r="B48" s="7">
        <v>4046</v>
      </c>
      <c r="C48" s="21" t="s">
        <v>202</v>
      </c>
      <c r="D48" s="21" t="s">
        <v>343</v>
      </c>
      <c r="E48" s="13">
        <v>42918.329722222225</v>
      </c>
      <c r="F48" s="13">
        <v>42918.333854166667</v>
      </c>
      <c r="G48" s="7">
        <v>1</v>
      </c>
      <c r="H48" s="21" t="s">
        <v>877</v>
      </c>
      <c r="I48" s="13">
        <v>42918.358738425923</v>
      </c>
      <c r="J48" s="7">
        <v>0</v>
      </c>
      <c r="K48" s="89" t="str">
        <f t="shared" si="0"/>
        <v>4045/4046</v>
      </c>
      <c r="L48" s="21" t="str">
        <f>VLOOKUP(A48,'Trips&amp;Operators'!$C$1:$G$99999,5,FALSE)</f>
        <v>LALONDE GREGORY</v>
      </c>
      <c r="M48" s="6">
        <f t="shared" si="1"/>
        <v>2.488425925548654E-2</v>
      </c>
      <c r="N48" s="7">
        <f t="shared" si="22"/>
        <v>35.833333327900618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-02T06:54:48-0600',mode:absolute,to:'2017-07-02T09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25"/>
        <v>4.4900000000000002E-2</v>
      </c>
      <c r="Z48" s="197">
        <f t="shared" si="26"/>
        <v>23.334900000000001</v>
      </c>
      <c r="AA48" s="197">
        <f t="shared" si="9"/>
        <v>23.290000000000003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135</v>
      </c>
      <c r="AE48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48" s="74" t="str">
        <f t="shared" si="12"/>
        <v>"C:\Program Files (x86)\AstroGrep\AstroGrep.exe" /e /r /s /spath="%USERPROFILE%\AppData\Local\Temp\OnboardLogs" /stypes="app*4046*20170702*"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135-02 --locoid 4046 --swversion DE.1.0.9.0 --startMP 204:449 --initTime 2017-07-02T07:54:48 --startdatetime 2017-07-02T08:00:45 --delay 1 --endMP 204:233349 --enddatetime 2017-07-02T08:36:35 --enforcementcount 0 &gt;&gt;C:\Users\stu\Documents\GitHub\eaglep3-reporting\EC\2017-07-02-refined-times.txt</v>
      </c>
      <c r="AI4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{"issue":{"subject":"","project_id":79,"tracker_id":40,"status_id":1,"priority_id":2,"assigned_to_id":23,"start_date":"2017-07-02","description":"","custom_fields":[{"id":1,"name":"Subdivision","value":"EC"},{"id":4,"name":"Milepost","value":"23.3349"},{"id":17,"name":"Train ID","value":"135-02"},{"id":16,"name":"Locomotive ID","value":"4046"},{"id":130,"name":"Impact","value":""},{"id":150,"name":"Time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4046 --day 2017-07-02</v>
      </c>
      <c r="AN4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752</v>
      </c>
      <c r="B49" s="7">
        <v>4045</v>
      </c>
      <c r="C49" s="21" t="s">
        <v>202</v>
      </c>
      <c r="D49" s="21" t="s">
        <v>598</v>
      </c>
      <c r="E49" s="13">
        <v>42918.359895833331</v>
      </c>
      <c r="F49" s="13">
        <v>42918.373263888891</v>
      </c>
      <c r="G49" s="7">
        <v>1</v>
      </c>
      <c r="H49" s="21" t="s">
        <v>193</v>
      </c>
      <c r="I49" s="13">
        <v>42918.400925925926</v>
      </c>
      <c r="J49" s="7">
        <v>0</v>
      </c>
      <c r="K49" s="89" t="str">
        <f t="shared" si="0"/>
        <v>4045/4046</v>
      </c>
      <c r="L49" s="21" t="str">
        <f>VLOOKUP(A49,'Trips&amp;Operators'!$C$1:$G$99999,5,FALSE)</f>
        <v>LALONDE GREGORY</v>
      </c>
      <c r="M49" s="6">
        <f t="shared" si="1"/>
        <v>2.7662037035042886E-2</v>
      </c>
      <c r="N49" s="7">
        <f t="shared" si="22"/>
        <v>39.833333330461755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-02T07:38:15-0600',mode:absolute,to:'2017-07-02T10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25"/>
        <v>23.300699999999999</v>
      </c>
      <c r="Z49" s="197">
        <f t="shared" si="26"/>
        <v>1.52E-2</v>
      </c>
      <c r="AA49" s="197">
        <f t="shared" si="9"/>
        <v>23.285499999999999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136</v>
      </c>
      <c r="AE49" s="77" t="str">
        <f t="shared" si="11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49" s="74" t="str">
        <f t="shared" si="12"/>
        <v>"C:\Program Files (x86)\AstroGrep\AstroGrep.exe" /e /r /s /spath="%USERPROFILE%\AppData\Local\Temp\OnboardLogs" /stypes="app*4045*20170702*"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136-02 --locoid 4045 --swversion DE.1.0.9.0 --startMP 204:233007 --initTime 2017-07-02T08:38:15 --startdatetime 2017-07-02T08:57:30 --delay 1 --endMP 204:152 --enddatetime 2017-07-02T09:37:20 --enforcementcount 0 &gt;&gt;C:\Users\stu\Documents\GitHub\eaglep3-reporting\EC\2017-07-02-refined-times.txt</v>
      </c>
      <c r="AI4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ID","value":"136-02"},{"id":16,"name":"Locomotive ID","value":"4045"},{"id":130,"name":"Impact","value":""},{"id":150,"name":"Time of Event (Mountain Time)","value":"09:37:20"},{"id":151,"name":"Denver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4045 --day 2017-07-02</v>
      </c>
      <c r="AN4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634</v>
      </c>
      <c r="B50" s="7">
        <v>4004</v>
      </c>
      <c r="C50" s="21" t="s">
        <v>202</v>
      </c>
      <c r="D50" s="21" t="s">
        <v>455</v>
      </c>
      <c r="E50" s="13">
        <v>42918.339699074073</v>
      </c>
      <c r="F50" s="13">
        <v>42918.344259259262</v>
      </c>
      <c r="G50" s="7">
        <v>1</v>
      </c>
      <c r="H50" s="21" t="s">
        <v>887</v>
      </c>
      <c r="I50" s="13">
        <v>42918.369444444441</v>
      </c>
      <c r="J50" s="7">
        <v>0</v>
      </c>
      <c r="K50" s="89" t="str">
        <f t="shared" si="0"/>
        <v>4003/4004</v>
      </c>
      <c r="L50" s="21" t="str">
        <f>VLOOKUP(A50,'Trips&amp;Operators'!$C$1:$G$99999,5,FALSE)</f>
        <v>GEBRETEKLE DAGNEW</v>
      </c>
      <c r="M50" s="6">
        <f t="shared" si="1"/>
        <v>2.5185185178997926E-2</v>
      </c>
      <c r="N50" s="7">
        <f t="shared" si="22"/>
        <v>36.266666657757014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-02T07:09:10-0600',mode:absolute,to:'2017-07-02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25"/>
        <v>4.5499999999999999E-2</v>
      </c>
      <c r="Z50" s="197">
        <f t="shared" si="26"/>
        <v>23.336300000000001</v>
      </c>
      <c r="AA50" s="197">
        <f t="shared" si="9"/>
        <v>23.290800000000001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137</v>
      </c>
      <c r="AE50" s="77" t="str">
        <f t="shared" si="11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50" s="74" t="str">
        <f t="shared" si="12"/>
        <v>"C:\Program Files (x86)\AstroGrep\AstroGrep.exe" /e /r /s /spath="%USERPROFILE%\AppData\Local\Temp\OnboardLogs" /stypes="app*4004*20170702*" /stext=" 14:.+((SYSTEM_STATE.+slice.+state.+changed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137-02 --locoid 4004 --swversion DE.1.0.9.0 --startMP 204:455 --initTime 2017-07-02T08:09:10 --startdatetime 2017-07-02T08:15:44 --delay 1 --endMP 204:233363 --enddatetime 2017-07-02T08:52:00 --enforcementcount 0 &gt;&gt;C:\Users\stu\Documents\GitHub\eaglep3-reporting\EC\2017-07-02-refined-times.txt</v>
      </c>
      <c r="AI5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{"issue":{"subject":"","project_id":79,"tracker_id":40,"status_id":1,"priority_id":2,"assigned_to_id":23,"start_date":"2017-07-02","description":"","custom_fields":[{"id":1,"name":"Subdivision","value":"EC"},{"id":4,"name":"Milepost","value":"23.3363"},{"id":17,"name":"Train ID","value":"137-02"},{"id":16,"name":"Locomotive ID","value":"4004"},{"id":130,"name":"Impact","value":""},{"id":150,"name":"Time of Event (Mountain Time)","value":"08:52:00"},{"id":151,"name":"Denver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4004 --day 2017-07-02</v>
      </c>
      <c r="AN5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753</v>
      </c>
      <c r="B51" s="7">
        <v>4003</v>
      </c>
      <c r="C51" s="21" t="s">
        <v>202</v>
      </c>
      <c r="D51" s="21" t="s">
        <v>888</v>
      </c>
      <c r="E51" s="13">
        <v>42918.370717592596</v>
      </c>
      <c r="F51" s="13">
        <v>42918.38354166667</v>
      </c>
      <c r="G51" s="7">
        <v>1</v>
      </c>
      <c r="H51" s="21" t="s">
        <v>488</v>
      </c>
      <c r="I51" s="13">
        <v>42918.410856481481</v>
      </c>
      <c r="J51" s="7">
        <v>0</v>
      </c>
      <c r="K51" s="89" t="str">
        <f t="shared" si="0"/>
        <v>4003/4004</v>
      </c>
      <c r="L51" s="21" t="str">
        <f>VLOOKUP(A51,'Trips&amp;Operators'!$C$1:$G$99999,5,FALSE)</f>
        <v>GEBRETEKLE DAGNEW</v>
      </c>
      <c r="M51" s="6">
        <f t="shared" si="1"/>
        <v>2.7314814811688848E-2</v>
      </c>
      <c r="N51" s="7">
        <f t="shared" si="22"/>
        <v>39.333333328831941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-02T07:53:50-0600',mode:absolute,to:'2017-07-02T10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25"/>
        <v>23.304300000000001</v>
      </c>
      <c r="Z51" s="197">
        <f t="shared" si="26"/>
        <v>1.6299999999999999E-2</v>
      </c>
      <c r="AA51" s="197">
        <f t="shared" si="9"/>
        <v>23.288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138</v>
      </c>
      <c r="AE51" s="77" t="str">
        <f t="shared" si="11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51" s="74" t="str">
        <f t="shared" si="12"/>
        <v>"C:\Program Files (x86)\AstroGrep\AstroGrep.exe" /e /r /s /spath="%USERPROFILE%\AppData\Local\Temp\OnboardLogs" /stypes="app*4003*20170702*"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138-02 --locoid 4003 --swversion DE.1.0.9.0 --startMP 204:233043 --initTime 2017-07-02T08:53:50 --startdatetime 2017-07-02T09:12:18 --delay 1 --endMP 204:163 --enddatetime 2017-07-02T09:51:38 --enforcementcount 0 &gt;&gt;C:\Users\stu\Documents\GitHub\eaglep3-reporting\EC\2017-07-02-refined-times.txt</v>
      </c>
      <c r="AI5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{"issue":{"subject":"","project_id":79,"tracker_id":40,"status_id":1,"priority_id":2,"assigned_to_id":23,"start_date":"2017-07-02","description":"","custom_fields":[{"id":1,"name":"Subdivision","value":"EC"},{"id":4,"name":"Milepost","value":"0.0163"},{"id":17,"name":"Train ID","value":"138-02"},{"id":16,"name":"Locomotive ID","value":"4003"},{"id":130,"name":"Impact","value":""},{"id":150,"name":"Time of Event (Mountain Time)","value":"09:51:38"},{"id":151,"name":"Denver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4003 --day 2017-07-02</v>
      </c>
      <c r="AN5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749</v>
      </c>
      <c r="B52" s="7">
        <v>4042</v>
      </c>
      <c r="C52" s="21" t="s">
        <v>202</v>
      </c>
      <c r="D52" s="21" t="s">
        <v>199</v>
      </c>
      <c r="E52" s="13">
        <v>42918.352175925924</v>
      </c>
      <c r="F52" s="13">
        <v>42918.354699074072</v>
      </c>
      <c r="G52" s="7">
        <v>2</v>
      </c>
      <c r="H52" s="21" t="s">
        <v>889</v>
      </c>
      <c r="I52" s="13">
        <v>42918.379791666666</v>
      </c>
      <c r="J52" s="7">
        <v>0</v>
      </c>
      <c r="K52" s="89" t="str">
        <f t="shared" si="0"/>
        <v>4041/4042</v>
      </c>
      <c r="L52" s="21" t="str">
        <f>VLOOKUP(A52,'Trips&amp;Operators'!$C$1:$G$99999,5,FALSE)</f>
        <v>MAELZER KURT</v>
      </c>
      <c r="M52" s="6">
        <f t="shared" si="1"/>
        <v>2.5092592593864538E-2</v>
      </c>
      <c r="N52" s="7">
        <f t="shared" si="22"/>
        <v>36.133333335164934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-02T07:27:08-0600',mode:absolute,to:'2017-07-02T10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25"/>
        <v>4.5999999999999999E-2</v>
      </c>
      <c r="Z52" s="197">
        <f t="shared" si="26"/>
        <v>23.3324</v>
      </c>
      <c r="AA52" s="197">
        <f t="shared" si="9"/>
        <v>23.2864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139</v>
      </c>
      <c r="AE52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52" s="74" t="str">
        <f t="shared" si="12"/>
        <v>"C:\Program Files (x86)\AstroGrep\AstroGrep.exe" /e /r /s /spath="%USERPROFILE%\AppData\Local\Temp\OnboardLogs" /stypes="app*4042*20170702*"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139-02 --locoid 4042 --swversion DE.1.0.9.0 --startMP 204:460 --initTime 2017-07-02T08:27:08 --startdatetime 2017-07-02T08:30:46 --delay 2 --endMP 204:233324 --enddatetime 2017-07-02T09:06:54 --enforcementcount 0 &gt;&gt;C:\Users\stu\Documents\GitHub\eaglep3-reporting\EC\2017-07-02-refined-times.txt</v>
      </c>
      <c r="AI5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{"issue":{"subject":"","project_id":79,"tracker_id":40,"status_id":1,"priority_id":2,"assigned_to_id":23,"start_date":"2017-07-02","description":"","custom_fields":[{"id":1,"name":"Subdivision","value":"EC"},{"id":4,"name":"Milepost","value":"23.3324"},{"id":17,"name":"Train ID","value":"139-02"},{"id":16,"name":"Locomotive ID","value":"4042"},{"id":130,"name":"Impact","value":""},{"id":150,"name":"Time of Event (Mountain Time)","value":"09:06:54"},{"id":151,"name":"Denver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4042 --day 2017-07-02</v>
      </c>
      <c r="AN5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755</v>
      </c>
      <c r="B53" s="7">
        <v>4041</v>
      </c>
      <c r="C53" s="21" t="s">
        <v>202</v>
      </c>
      <c r="D53" s="21" t="s">
        <v>884</v>
      </c>
      <c r="E53" s="13">
        <v>42918.38622685185</v>
      </c>
      <c r="F53" s="13">
        <v>42918.393946759257</v>
      </c>
      <c r="G53" s="7">
        <v>1</v>
      </c>
      <c r="H53" s="21" t="s">
        <v>416</v>
      </c>
      <c r="I53" s="13">
        <v>42918.423449074071</v>
      </c>
      <c r="J53" s="7">
        <v>0</v>
      </c>
      <c r="K53" s="89" t="str">
        <f t="shared" si="0"/>
        <v>4041/4042</v>
      </c>
      <c r="L53" s="21" t="str">
        <f>VLOOKUP(A53,'Trips&amp;Operators'!$C$1:$G$99999,5,FALSE)</f>
        <v>MAELZER KURT</v>
      </c>
      <c r="M53" s="6">
        <f t="shared" si="1"/>
        <v>2.9502314813726116E-2</v>
      </c>
      <c r="N53" s="7">
        <f t="shared" si="22"/>
        <v>42.483333331765607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-02T08:16:10-0600',mode:absolute,to:'2017-07-02T11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25"/>
        <v>23.3003</v>
      </c>
      <c r="Z53" s="197">
        <f t="shared" si="26"/>
        <v>1.4500000000000001E-2</v>
      </c>
      <c r="AA53" s="197">
        <f t="shared" si="9"/>
        <v>23.285799999999998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140</v>
      </c>
      <c r="AE53" s="77" t="str">
        <f t="shared" si="11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53" s="74" t="str">
        <f t="shared" si="12"/>
        <v>"C:\Program Files (x86)\AstroGrep\AstroGrep.exe" /e /r /s /spath="%USERPROFILE%\AppData\Local\Temp\OnboardLogs" /stypes="app*4041*20170702*"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140-02 --locoid 4041 --swversion DE.1.0.9.0 --startMP 204:233003 --initTime 2017-07-02T09:16:10 --startdatetime 2017-07-02T09:27:17 --delay 1 --endMP 204:145 --enddatetime 2017-07-02T10:09:46 --enforcementcount 0 &gt;&gt;C:\Users\stu\Documents\GitHub\eaglep3-reporting\EC\2017-07-02-refined-times.txt</v>
      </c>
      <c r="AI5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ID","value":"140-02"},{"id":16,"name":"Locomotive ID","value":"4041"},{"id":130,"name":"Impact","value":""},{"id":150,"name":"Time of Event (Mountain Time)","value":"10:09:46"},{"id":151,"name":"Denver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4041 --day 2017-07-02</v>
      </c>
      <c r="AN5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743</v>
      </c>
      <c r="B54" s="7">
        <v>4058</v>
      </c>
      <c r="C54" s="21" t="s">
        <v>202</v>
      </c>
      <c r="D54" s="21" t="s">
        <v>444</v>
      </c>
      <c r="E54" s="13">
        <v>42918.360231481478</v>
      </c>
      <c r="F54" s="13">
        <v>42918.36509259259</v>
      </c>
      <c r="G54" s="7">
        <v>1</v>
      </c>
      <c r="H54" s="21" t="s">
        <v>865</v>
      </c>
      <c r="I54" s="13">
        <v>42918.389965277776</v>
      </c>
      <c r="J54" s="7">
        <v>0</v>
      </c>
      <c r="K54" s="89" t="str">
        <f t="shared" si="0"/>
        <v>4057/4058</v>
      </c>
      <c r="L54" s="21" t="str">
        <f>VLOOKUP(A54,'Trips&amp;Operators'!$C$1:$G$99999,5,FALSE)</f>
        <v>GUZMAN DANNY</v>
      </c>
      <c r="M54" s="6">
        <f t="shared" si="1"/>
        <v>2.4872685185982846E-2</v>
      </c>
      <c r="N54" s="7">
        <f t="shared" si="22"/>
        <v>35.816666667815298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-02T07:38:44-0600',mode:absolute,to:'2017-07-02T10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25"/>
        <v>4.4200000000000003E-2</v>
      </c>
      <c r="Z54" s="197">
        <f t="shared" si="26"/>
        <v>23.333400000000001</v>
      </c>
      <c r="AA54" s="197">
        <f t="shared" si="9"/>
        <v>23.289200000000001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141</v>
      </c>
      <c r="AE54" s="77" t="str">
        <f t="shared" si="11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54" s="74" t="str">
        <f t="shared" si="12"/>
        <v>"C:\Program Files (x86)\AstroGrep\AstroGrep.exe" /e /r /s /spath="%USERPROFILE%\AppData\Local\Temp\OnboardLogs" /stypes="app*4058*20170702*"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141-02 --locoid 4058 --swversion DE.1.0.9.0 --startMP 204:442 --initTime 2017-07-02T08:38:44 --startdatetime 2017-07-02T08:45:44 --delay 1 --endMP 204:233334 --enddatetime 2017-07-02T09:21:33 --enforcementcount 0 &gt;&gt;C:\Users\stu\Documents\GitHub\eaglep3-reporting\EC\2017-07-02-refined-times.txt</v>
      </c>
      <c r="AI5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{"issue":{"subject":"","project_id":79,"tracker_id":40,"status_id":1,"priority_id":2,"assigned_to_id":23,"start_date":"2017-07-02","description":"","custom_fields":[{"id":1,"name":"Subdivision","value":"EC"},{"id":4,"name":"Milepost","value":"23.3334"},{"id":17,"name":"Train ID","value":"141-02"},{"id":16,"name":"Locomotive ID","value":"4058"},{"id":130,"name":"Impact","value":""},{"id":150,"name":"Time of Event (Mountain Time)","value":"09:21:33"},{"id":151,"name":"Denver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4058 --day 2017-07-02</v>
      </c>
      <c r="AN5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639</v>
      </c>
      <c r="B55" s="7">
        <v>4057</v>
      </c>
      <c r="C55" s="21" t="s">
        <v>202</v>
      </c>
      <c r="D55" s="21" t="s">
        <v>890</v>
      </c>
      <c r="E55" s="13">
        <v>42918.393564814818</v>
      </c>
      <c r="F55" s="13">
        <v>42918.404328703706</v>
      </c>
      <c r="G55" s="7">
        <v>2</v>
      </c>
      <c r="H55" s="21" t="s">
        <v>891</v>
      </c>
      <c r="I55" s="13">
        <v>42918.435023148151</v>
      </c>
      <c r="J55" s="7">
        <v>0</v>
      </c>
      <c r="K55" s="89" t="str">
        <f t="shared" si="0"/>
        <v>4057/4058</v>
      </c>
      <c r="L55" s="21" t="str">
        <f>VLOOKUP(A55,'Trips&amp;Operators'!$C$1:$G$99999,5,FALSE)</f>
        <v>GUZMAN DANNY</v>
      </c>
      <c r="M55" s="6">
        <f t="shared" si="1"/>
        <v>3.0694444445543922E-2</v>
      </c>
      <c r="N55" s="7">
        <f t="shared" si="22"/>
        <v>44.200000001583248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-02T08:26:44-0600',mode:absolute,to:'2017-07-02T11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25"/>
        <v>23.2987</v>
      </c>
      <c r="Z55" s="197">
        <f t="shared" si="26"/>
        <v>2.3099999999999999E-2</v>
      </c>
      <c r="AA55" s="197">
        <f t="shared" si="9"/>
        <v>23.275600000000001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142</v>
      </c>
      <c r="AE55" s="77" t="str">
        <f t="shared" si="11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55" s="74" t="str">
        <f t="shared" si="12"/>
        <v>"C:\Program Files (x86)\AstroGrep\AstroGrep.exe" /e /r /s /spath="%USERPROFILE%\AppData\Local\Temp\OnboardLogs" /stypes="app*4057*20170702*"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142-02 --locoid 4057 --swversion DE.1.0.9.0 --startMP 204:232987 --initTime 2017-07-02T09:26:44 --startdatetime 2017-07-02T09:42:14 --delay 2 --endMP 204:231 --enddatetime 2017-07-02T10:26:26 --enforcementcount 0 &gt;&gt;C:\Users\stu\Documents\GitHub\eaglep3-reporting\EC\2017-07-02-refined-times.txt</v>
      </c>
      <c r="AI5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{"issue":{"subject":"","project_id":79,"tracker_id":40,"status_id":1,"priority_id":2,"assigned_to_id":23,"start_date":"2017-07-02","description":"","custom_fields":[{"id":1,"name":"Subdivision","value":"EC"},{"id":4,"name":"Milepost","value":"0.0231"},{"id":17,"name":"Train ID","value":"142-02"},{"id":16,"name":"Locomotive ID","value":"4057"},{"id":130,"name":"Impact","value":""},{"id":150,"name":"Time of Event (Mountain Time)","value":"10:26:26"},{"id":151,"name":"Denver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4057 --day 2017-07-02</v>
      </c>
      <c r="AN5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637</v>
      </c>
      <c r="B56" s="7">
        <v>4054</v>
      </c>
      <c r="C56" s="21" t="s">
        <v>202</v>
      </c>
      <c r="D56" s="21" t="s">
        <v>351</v>
      </c>
      <c r="E56" s="13">
        <v>42918.374456018515</v>
      </c>
      <c r="F56" s="13">
        <v>42918.375810185185</v>
      </c>
      <c r="G56" s="7">
        <v>1</v>
      </c>
      <c r="H56" s="21" t="s">
        <v>886</v>
      </c>
      <c r="I56" s="13">
        <v>42918.403009259258</v>
      </c>
      <c r="J56" s="7">
        <v>0</v>
      </c>
      <c r="K56" s="89" t="str">
        <f t="shared" si="0"/>
        <v>4053/4054</v>
      </c>
      <c r="L56" s="21" t="str">
        <f>VLOOKUP(A56,'Trips&amp;Operators'!$C$1:$G$99999,5,FALSE)</f>
        <v>CHANDLER KELVIN</v>
      </c>
      <c r="M56" s="6">
        <f t="shared" si="1"/>
        <v>2.7199074072996154E-2</v>
      </c>
      <c r="N56" s="7">
        <f t="shared" si="22"/>
        <v>39.166666665114462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-02T07:59:13-0600',mode:absolute,to:'2017-07-02T10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25"/>
        <v>4.6600000000000003E-2</v>
      </c>
      <c r="Z56" s="197">
        <f t="shared" si="26"/>
        <v>23.327999999999999</v>
      </c>
      <c r="AA56" s="197">
        <f t="shared" si="9"/>
        <v>23.281399999999998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143</v>
      </c>
      <c r="AE56" s="77" t="str">
        <f t="shared" si="11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56" s="74" t="str">
        <f t="shared" si="12"/>
        <v>"C:\Program Files (x86)\AstroGrep\AstroGrep.exe" /e /r /s /spath="%USERPROFILE%\AppData\Local\Temp\OnboardLogs" /stypes="app*4054*20170702*"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143-02 --locoid 4054 --swversion DE.1.0.9.0 --startMP 204:466 --initTime 2017-07-02T08:59:13 --startdatetime 2017-07-02T09:01:10 --delay 1 --endMP 204:233280 --enddatetime 2017-07-02T09:40:20 --enforcementcount 0 &gt;&gt;C:\Users\stu\Documents\GitHub\eaglep3-reporting\EC\2017-07-02-refined-times.txt</v>
      </c>
      <c r="AI5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{"issue":{"subject":"","project_id":79,"tracker_id":40,"status_id":1,"priority_id":2,"assigned_to_id":23,"start_date":"2017-07-02","description":"","custom_fields":[{"id":1,"name":"Subdivision","value":"EC"},{"id":4,"name":"Milepost","value":"23.328"},{"id":17,"name":"Train ID","value":"143-02"},{"id":16,"name":"Locomotive ID","value":"4054"},{"id":130,"name":"Impact","value":""},{"id":150,"name":"Time of Event (Mountain Time)","value":"09:40:20"},{"id":151,"name":"Denver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4054 --day 2017-07-02</v>
      </c>
      <c r="AN5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640</v>
      </c>
      <c r="B57" s="7">
        <v>4053</v>
      </c>
      <c r="C57" s="21" t="s">
        <v>202</v>
      </c>
      <c r="D57" s="21" t="s">
        <v>892</v>
      </c>
      <c r="E57" s="13">
        <v>42918.408796296295</v>
      </c>
      <c r="F57" s="13">
        <v>42918.41505787037</v>
      </c>
      <c r="G57" s="7">
        <v>1</v>
      </c>
      <c r="H57" s="21" t="s">
        <v>194</v>
      </c>
      <c r="I57" s="13">
        <v>42918.447210648148</v>
      </c>
      <c r="J57" s="7">
        <v>0</v>
      </c>
      <c r="K57" s="89" t="str">
        <f t="shared" si="0"/>
        <v>4053/4054</v>
      </c>
      <c r="L57" s="21" t="str">
        <f>VLOOKUP(A57,'Trips&amp;Operators'!$C$1:$G$99999,5,FALSE)</f>
        <v>CHANDLER KELVIN</v>
      </c>
      <c r="M57" s="6">
        <f t="shared" si="1"/>
        <v>3.2152777777810115E-2</v>
      </c>
      <c r="N57" s="7">
        <f t="shared" ref="N57:N89" si="27">24*60*SUM($M57:$M57)</f>
        <v>46.300000000046566</v>
      </c>
      <c r="O57" s="7"/>
      <c r="P57" s="7"/>
      <c r="Q57" s="22"/>
      <c r="R57" s="170"/>
      <c r="S57" s="213">
        <f t="shared" ref="S57:S90" si="28">SUM(U57:U57)/IF(AG57="EC",12,1)</f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-02T08:48:40-0600',mode:absolute,to:'2017-07-02T11:43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25"/>
        <v>23.2988</v>
      </c>
      <c r="Z57" s="197">
        <f t="shared" si="26"/>
        <v>1.5800000000000002E-2</v>
      </c>
      <c r="AA57" s="197">
        <f t="shared" si="9"/>
        <v>23.283000000000001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144</v>
      </c>
      <c r="AE57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57" s="74" t="str">
        <f t="shared" si="12"/>
        <v>"C:\Program Files (x86)\AstroGrep\AstroGrep.exe" /e /r /s /spath="%USERPROFILE%\AppData\Local\Temp\OnboardLogs" /stypes="app*4053*20170702*"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144-02 --locoid 4053 --swversion DE.1.0.9.0 --startMP 204:232988 --initTime 2017-07-02T09:48:40 --startdatetime 2017-07-02T09:57:41 --delay 1 --endMP 204:158 --enddatetime 2017-07-02T10:43:59 --enforcementcount 0 &gt;&gt;C:\Users\stu\Documents\GitHub\eaglep3-reporting\EC\2017-07-02-refined-times.txt</v>
      </c>
      <c r="AI5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{"issue":{"subject":"","project_id":79,"tracker_id":40,"status_id":1,"priority_id":2,"assigned_to_id":23,"start_date":"2017-07-02","description":"","custom_fields":[{"id":1,"name":"Subdivision","value":"EC"},{"id":4,"name":"Milepost","value":"0.0158"},{"id":17,"name":"Train ID","value":"144-02"},{"id":16,"name":"Locomotive ID","value":"4053"},{"id":130,"name":"Impact","value":""},{"id":150,"name":"Time of Event (Mountain Time)","value":"10:43:59"},{"id":151,"name":"Denver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4053 --day 2017-07-02</v>
      </c>
      <c r="AN5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16:43:59"},{"id":29,"name":"Sharepoint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638</v>
      </c>
      <c r="B58" s="7">
        <v>4022</v>
      </c>
      <c r="C58" s="21" t="s">
        <v>202</v>
      </c>
      <c r="D58" s="21" t="s">
        <v>435</v>
      </c>
      <c r="E58" s="13">
        <v>42918.383738425924</v>
      </c>
      <c r="F58" s="13">
        <v>42918.385740740741</v>
      </c>
      <c r="G58" s="7">
        <v>1</v>
      </c>
      <c r="H58" s="21" t="s">
        <v>893</v>
      </c>
      <c r="I58" s="13">
        <v>42918.41337962963</v>
      </c>
      <c r="J58" s="7">
        <v>0</v>
      </c>
      <c r="K58" s="89" t="str">
        <f t="shared" si="0"/>
        <v>4021/4022</v>
      </c>
      <c r="L58" s="21" t="str">
        <f>VLOOKUP(A58,'Trips&amp;Operators'!$C$1:$G$99999,5,FALSE)</f>
        <v>MACDONALD THOMAS</v>
      </c>
      <c r="M58" s="6">
        <f t="shared" si="1"/>
        <v>2.7638888888759539E-2</v>
      </c>
      <c r="N58" s="7">
        <f t="shared" si="27"/>
        <v>39.799999999813735</v>
      </c>
      <c r="O58" s="7"/>
      <c r="P58" s="7"/>
      <c r="Q58" s="22"/>
      <c r="R58" s="170"/>
      <c r="S58" s="213">
        <f t="shared" si="28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-02T08:12:35-0600',mode:absolute,to:'2017-07-02T10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25"/>
        <v>4.6699999999999998E-2</v>
      </c>
      <c r="Z58" s="197">
        <f t="shared" si="26"/>
        <v>23.325299999999999</v>
      </c>
      <c r="AA58" s="197">
        <f t="shared" si="9"/>
        <v>23.278599999999997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145</v>
      </c>
      <c r="AE58" s="77" t="str">
        <f t="shared" si="11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58" s="74" t="str">
        <f t="shared" si="12"/>
        <v>"C:\Program Files (x86)\AstroGrep\AstroGrep.exe" /e /r /s /spath="%USERPROFILE%\AppData\Local\Temp\OnboardLogs" /stypes="app*4022*20170702*"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145-02 --locoid 4022 --swversion DE.1.0.9.0 --startMP 204:467 --initTime 2017-07-02T09:12:35 --startdatetime 2017-07-02T09:15:28 --delay 1 --endMP 204:233253 --enddatetime 2017-07-02T09:55:16 --enforcementcount 0 &gt;&gt;C:\Users\stu\Documents\GitHub\eaglep3-reporting\EC\2017-07-02-refined-times.txt</v>
      </c>
      <c r="AI5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{"issue":{"subject":"","project_id":79,"tracker_id":40,"status_id":1,"priority_id":2,"assigned_to_id":23,"start_date":"2017-07-02","description":"","custom_fields":[{"id":1,"name":"Subdivision","value":"EC"},{"id":4,"name":"Milepost","value":"23.3253"},{"id":17,"name":"Train ID","value":"145-02"},{"id":16,"name":"Locomotive ID","value":"4022"},{"id":130,"name":"Impact","value":""},{"id":150,"name":"Time of Event (Mountain Time)","value":"09:55:16"},{"id":151,"name":"Denver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4022 --day 2017-07-02</v>
      </c>
      <c r="AN5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761</v>
      </c>
      <c r="B59" s="7">
        <v>4021</v>
      </c>
      <c r="C59" s="21" t="s">
        <v>202</v>
      </c>
      <c r="D59" s="21" t="s">
        <v>894</v>
      </c>
      <c r="E59" s="13">
        <v>42918.423009259262</v>
      </c>
      <c r="F59" s="13">
        <v>42918.426041666666</v>
      </c>
      <c r="G59" s="7">
        <v>1</v>
      </c>
      <c r="H59" s="21" t="s">
        <v>876</v>
      </c>
      <c r="I59" s="13">
        <v>42918.455185185187</v>
      </c>
      <c r="J59" s="7">
        <v>0</v>
      </c>
      <c r="K59" s="89" t="str">
        <f t="shared" si="0"/>
        <v>4021/4022</v>
      </c>
      <c r="L59" s="21" t="str">
        <f>VLOOKUP(A59,'Trips&amp;Operators'!$C$1:$G$99999,5,FALSE)</f>
        <v>MACDONALD THOMAS</v>
      </c>
      <c r="M59" s="6">
        <f t="shared" si="1"/>
        <v>2.9143518520868383E-2</v>
      </c>
      <c r="N59" s="7">
        <f t="shared" si="27"/>
        <v>41.966666670050472</v>
      </c>
      <c r="O59" s="7"/>
      <c r="P59" s="7"/>
      <c r="Q59" s="22"/>
      <c r="R59" s="170"/>
      <c r="S59" s="213">
        <f t="shared" si="28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-02T09:09:08-0600',mode:absolute,to:'2017-07-02T11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25"/>
        <v>23.294</v>
      </c>
      <c r="Z59" s="197">
        <f t="shared" si="26"/>
        <v>1.7999999999999999E-2</v>
      </c>
      <c r="AA59" s="197">
        <f t="shared" si="9"/>
        <v>23.276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146</v>
      </c>
      <c r="AE59" s="77" t="str">
        <f t="shared" si="11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59" s="74" t="str">
        <f t="shared" si="12"/>
        <v>"C:\Program Files (x86)\AstroGrep\AstroGrep.exe" /e /r /s /spath="%USERPROFILE%\AppData\Local\Temp\OnboardLogs" /stypes="app*4021*20170702*"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146-02 --locoid 4021 --swversion DE.1.0.9.0 --startMP 204:232940 --initTime 2017-07-02T10:09:08 --startdatetime 2017-07-02T10:13:30 --delay 1 --endMP 204:180 --enddatetime 2017-07-02T10:55:28 --enforcementcount 0 &gt;&gt;C:\Users\stu\Documents\GitHub\eaglep3-reporting\EC\2017-07-02-refined-times.txt</v>
      </c>
      <c r="AI5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{"issue":{"subject":"","project_id":79,"tracker_id":40,"status_id":1,"priority_id":2,"assigned_to_id":23,"start_date":"2017-07-02","description":"","custom_fields":[{"id":1,"name":"Subdivision","value":"EC"},{"id":4,"name":"Milepost","value":"0.018"},{"id":17,"name":"Train ID","value":"146-02"},{"id":16,"name":"Locomotive ID","value":"4021"},{"id":130,"name":"Impact","value":""},{"id":150,"name":"Time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4021 --day 2017-07-02</v>
      </c>
      <c r="AN5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756</v>
      </c>
      <c r="B60" s="7">
        <v>4044</v>
      </c>
      <c r="C60" s="21" t="s">
        <v>202</v>
      </c>
      <c r="D60" s="21" t="s">
        <v>355</v>
      </c>
      <c r="E60" s="13">
        <v>42918.391909722224</v>
      </c>
      <c r="F60" s="13">
        <v>42918.396365740744</v>
      </c>
      <c r="G60" s="7">
        <v>1</v>
      </c>
      <c r="H60" s="21" t="s">
        <v>895</v>
      </c>
      <c r="I60" s="13">
        <v>42918.424074074072</v>
      </c>
      <c r="J60" s="7">
        <v>0</v>
      </c>
      <c r="K60" s="89" t="str">
        <f t="shared" si="0"/>
        <v>4043/4044</v>
      </c>
      <c r="L60" s="21" t="str">
        <f>VLOOKUP(A60,'Trips&amp;Operators'!$C$1:$G$99999,5,FALSE)</f>
        <v>DAVIS WENDY</v>
      </c>
      <c r="M60" s="6">
        <f t="shared" si="1"/>
        <v>2.770833332760958E-2</v>
      </c>
      <c r="N60" s="7">
        <f t="shared" si="27"/>
        <v>39.899999991757795</v>
      </c>
      <c r="O60" s="7"/>
      <c r="P60" s="7"/>
      <c r="Q60" s="22"/>
      <c r="R60" s="170"/>
      <c r="S60" s="213">
        <f t="shared" si="28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-02T08:24:21-0600',mode:absolute,to:'2017-07-02T11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25"/>
        <v>4.4699999999999997E-2</v>
      </c>
      <c r="Z60" s="197">
        <f t="shared" si="26"/>
        <v>23.325900000000001</v>
      </c>
      <c r="AA60" s="197">
        <f t="shared" si="9"/>
        <v>23.281200000000002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147</v>
      </c>
      <c r="AE60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60" s="74" t="str">
        <f t="shared" si="12"/>
        <v>"C:\Program Files (x86)\AstroGrep\AstroGrep.exe" /e /r /s /spath="%USERPROFILE%\AppData\Local\Temp\OnboardLogs" /stypes="app*4044*20170702*"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147-02 --locoid 4044 --swversion DE.1.0.9.0 --startMP 204:447 --initTime 2017-07-02T09:24:21 --startdatetime 2017-07-02T09:30:46 --delay 1 --endMP 204:233259 --enddatetime 2017-07-02T10:10:40 --enforcementcount 0 &gt;&gt;C:\Users\stu\Documents\GitHub\eaglep3-reporting\EC\2017-07-02-refined-times.txt</v>
      </c>
      <c r="AI6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{"issue":{"subject":"","project_id":79,"tracker_id":40,"status_id":1,"priority_id":2,"assigned_to_id":23,"start_date":"2017-07-02","description":"","custom_fields":[{"id":1,"name":"Subdivision","value":"EC"},{"id":4,"name":"Milepost","value":"23.3259"},{"id":17,"name":"Train ID","value":"147-02"},{"id":16,"name":"Locomotive ID","value":"4044"},{"id":130,"name":"Impact","value":""},{"id":150,"name":"Time of Event (Mountain Time)","value":"10:10:40"},{"id":151,"name":"Denver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4044 --day 2017-07-02</v>
      </c>
      <c r="AN6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762</v>
      </c>
      <c r="B61" s="7">
        <v>4043</v>
      </c>
      <c r="C61" s="21" t="s">
        <v>202</v>
      </c>
      <c r="D61" s="21" t="s">
        <v>896</v>
      </c>
      <c r="E61" s="13">
        <v>42918.433749999997</v>
      </c>
      <c r="F61" s="13">
        <v>42918.435578703706</v>
      </c>
      <c r="G61" s="7">
        <v>1</v>
      </c>
      <c r="H61" s="21" t="s">
        <v>436</v>
      </c>
      <c r="I61" s="13">
        <v>42918.466400462959</v>
      </c>
      <c r="J61" s="7">
        <v>0</v>
      </c>
      <c r="K61" s="89" t="str">
        <f t="shared" si="0"/>
        <v>4043/4044</v>
      </c>
      <c r="L61" s="21" t="str">
        <f>VLOOKUP(A61,'Trips&amp;Operators'!$C$1:$G$99999,5,FALSE)</f>
        <v>DAVIS WENDY</v>
      </c>
      <c r="M61" s="6">
        <f t="shared" si="1"/>
        <v>3.0821759253740311E-2</v>
      </c>
      <c r="N61" s="7">
        <f t="shared" si="27"/>
        <v>44.383333325386047</v>
      </c>
      <c r="O61" s="7"/>
      <c r="P61" s="7"/>
      <c r="Q61" s="22"/>
      <c r="R61" s="170"/>
      <c r="S61" s="213">
        <f t="shared" si="28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-02T09:24:36-0600',mode:absolute,to:'2017-07-02T12:11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25"/>
        <v>23.297499999999999</v>
      </c>
      <c r="Z61" s="197">
        <f t="shared" si="26"/>
        <v>1.5599999999999999E-2</v>
      </c>
      <c r="AA61" s="197">
        <f t="shared" si="9"/>
        <v>23.2819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148</v>
      </c>
      <c r="AE61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61" s="74" t="str">
        <f t="shared" si="12"/>
        <v>"C:\Program Files (x86)\AstroGrep\AstroGrep.exe" /e /r /s /spath="%USERPROFILE%\AppData\Local\Temp\OnboardLogs" /stypes="app*4043*20170702*"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148-02 --locoid 4043 --swversion DE.1.0.9.0 --startMP 204:232975 --initTime 2017-07-02T10:24:36 --startdatetime 2017-07-02T10:27:14 --delay 1 --endMP 204:156 --enddatetime 2017-07-02T11:11:37 --enforcementcount 0 &gt;&gt;C:\Users\stu\Documents\GitHub\eaglep3-reporting\EC\2017-07-02-refined-times.txt</v>
      </c>
      <c r="AI6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{"issue":{"subject":"","project_id":79,"tracker_id":40,"status_id":1,"priority_id":2,"assigned_to_id":23,"start_date":"2017-07-02","description":"","custom_fields":[{"id":1,"name":"Subdivision","value":"EC"},{"id":4,"name":"Milepost","value":"0.0156"},{"id":17,"name":"Train ID","value":"148-02"},{"id":16,"name":"Locomotive ID","value":"4043"},{"id":130,"name":"Impact","value":""},{"id":150,"name":"Time of Event (Mountain Time)","value":"11:11:37"},{"id":151,"name":"Denver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4043 --day 2017-07-02</v>
      </c>
      <c r="AN6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17:11:37"},{"id":29,"name":"Sharepoint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758</v>
      </c>
      <c r="B62" s="7">
        <v>4046</v>
      </c>
      <c r="C62" s="21" t="s">
        <v>202</v>
      </c>
      <c r="D62" s="21" t="s">
        <v>355</v>
      </c>
      <c r="E62" s="13">
        <v>42918.403923611113</v>
      </c>
      <c r="F62" s="13">
        <v>42918.406793981485</v>
      </c>
      <c r="G62" s="7">
        <v>1</v>
      </c>
      <c r="H62" s="21" t="s">
        <v>897</v>
      </c>
      <c r="I62" s="13">
        <v>42918.433900462966</v>
      </c>
      <c r="J62" s="7">
        <v>0</v>
      </c>
      <c r="K62" s="89" t="str">
        <f t="shared" si="0"/>
        <v>4045/4046</v>
      </c>
      <c r="L62" s="21" t="str">
        <f>VLOOKUP(A62,'Trips&amp;Operators'!$C$1:$G$99999,5,FALSE)</f>
        <v>LALONDE GREGORY</v>
      </c>
      <c r="M62" s="6">
        <f t="shared" si="1"/>
        <v>2.7106481480586808E-2</v>
      </c>
      <c r="N62" s="7">
        <f t="shared" si="27"/>
        <v>39.033333332045004</v>
      </c>
      <c r="O62" s="7"/>
      <c r="P62" s="7"/>
      <c r="Q62" s="22"/>
      <c r="R62" s="170"/>
      <c r="S62" s="213">
        <f t="shared" si="28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-02T08:41:39-0600',mode:absolute,to:'2017-07-02T11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25"/>
        <v>4.4699999999999997E-2</v>
      </c>
      <c r="Z62" s="197">
        <f t="shared" si="26"/>
        <v>23.331499999999998</v>
      </c>
      <c r="AA62" s="197">
        <f t="shared" si="9"/>
        <v>23.286799999999999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149</v>
      </c>
      <c r="AE62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62" s="74" t="str">
        <f t="shared" si="12"/>
        <v>"C:\Program Files (x86)\AstroGrep\AstroGrep.exe" /e /r /s /spath="%USERPROFILE%\AppData\Local\Temp\OnboardLogs" /stypes="app*4046*20170702*"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149-02 --locoid 4046 --swversion DE.1.0.9.0 --startMP 204:447 --initTime 2017-07-02T09:41:39 --startdatetime 2017-07-02T09:45:47 --delay 1 --endMP 204:233315 --enddatetime 2017-07-02T10:24:49 --enforcementcount 0 &gt;&gt;C:\Users\stu\Documents\GitHub\eaglep3-reporting\EC\2017-07-02-refined-times.txt</v>
      </c>
      <c r="AI6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{"issue":{"subject":"","project_id":79,"tracker_id":40,"status_id":1,"priority_id":2,"assigned_to_id":23,"start_date":"2017-07-02","description":"","custom_fields":[{"id":1,"name":"Subdivision","value":"EC"},{"id":4,"name":"Milepost","value":"23.3315"},{"id":17,"name":"Train ID","value":"149-02"},{"id":16,"name":"Locomotive ID","value":"4046"},{"id":130,"name":"Impact","value":""},{"id":150,"name":"Time of Event (Mountain Time)","value":"10:24:49"},{"id":151,"name":"Denver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4046 --day 2017-07-02</v>
      </c>
      <c r="AN6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765</v>
      </c>
      <c r="B63" s="7">
        <v>4045</v>
      </c>
      <c r="C63" s="21" t="s">
        <v>202</v>
      </c>
      <c r="D63" s="21" t="s">
        <v>590</v>
      </c>
      <c r="E63" s="13">
        <v>42918.442291666666</v>
      </c>
      <c r="F63" s="13">
        <v>42918.446076388886</v>
      </c>
      <c r="G63" s="7">
        <v>1</v>
      </c>
      <c r="H63" s="21" t="s">
        <v>349</v>
      </c>
      <c r="I63" s="13">
        <v>42918.474675925929</v>
      </c>
      <c r="J63" s="7">
        <v>0</v>
      </c>
      <c r="K63" s="89" t="str">
        <f t="shared" si="0"/>
        <v>4045/4046</v>
      </c>
      <c r="L63" s="21" t="str">
        <f>VLOOKUP(A63,'Trips&amp;Operators'!$C$1:$G$99999,5,FALSE)</f>
        <v>LALONDE GREGORY</v>
      </c>
      <c r="M63" s="6">
        <f t="shared" si="1"/>
        <v>2.8599537043191958E-2</v>
      </c>
      <c r="N63" s="7">
        <f t="shared" si="27"/>
        <v>41.18333334219642</v>
      </c>
      <c r="O63" s="7"/>
      <c r="P63" s="7"/>
      <c r="Q63" s="22"/>
      <c r="R63" s="170"/>
      <c r="S63" s="213">
        <f t="shared" si="28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-02T09:36:54-0600',mode:absolute,to:'2017-07-02T12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25"/>
        <v>23.300999999999998</v>
      </c>
      <c r="Z63" s="197">
        <f t="shared" si="26"/>
        <v>1.49E-2</v>
      </c>
      <c r="AA63" s="197">
        <f t="shared" si="9"/>
        <v>23.286099999999998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150</v>
      </c>
      <c r="AE63" s="77" t="str">
        <f t="shared" si="11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63" s="74" t="str">
        <f t="shared" si="12"/>
        <v>"C:\Program Files (x86)\AstroGrep\AstroGrep.exe" /e /r /s /spath="%USERPROFILE%\AppData\Local\Temp\OnboardLogs" /stypes="app*4045*20170702*"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150-02 --locoid 4045 --swversion DE.1.0.9.0 --startMP 204:233010 --initTime 2017-07-02T10:36:54 --startdatetime 2017-07-02T10:42:21 --delay 1 --endMP 204:149 --enddatetime 2017-07-02T11:23:32 --enforcementcount 0 &gt;&gt;C:\Users\stu\Documents\GitHub\eaglep3-reporting\EC\2017-07-02-refined-times.txt</v>
      </c>
      <c r="AI6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ID","value":"150-02"},{"id":16,"name":"Locomotive ID","value":"4045"},{"id":130,"name":"Impact","value":""},{"id":150,"name":"Time of Event (Mountain Time)","value":"11:23:32"},{"id":151,"name":"Denver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4045 --day 2017-07-02</v>
      </c>
      <c r="AN6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759</v>
      </c>
      <c r="B64" s="7">
        <v>4004</v>
      </c>
      <c r="C64" s="21" t="s">
        <v>202</v>
      </c>
      <c r="D64" s="21" t="s">
        <v>199</v>
      </c>
      <c r="E64" s="13">
        <v>42918.413344907407</v>
      </c>
      <c r="F64" s="13">
        <v>42918.417187500003</v>
      </c>
      <c r="G64" s="7">
        <v>1</v>
      </c>
      <c r="H64" s="21" t="s">
        <v>898</v>
      </c>
      <c r="I64" s="13">
        <v>42918.442870370367</v>
      </c>
      <c r="J64" s="7">
        <v>0</v>
      </c>
      <c r="K64" s="89" t="str">
        <f t="shared" si="0"/>
        <v>4003/4004</v>
      </c>
      <c r="L64" s="21" t="str">
        <f>VLOOKUP(A64,'Trips&amp;Operators'!$C$1:$G$99999,5,FALSE)</f>
        <v>GEBRETEKLE DAGNEW</v>
      </c>
      <c r="M64" s="6">
        <f t="shared" si="1"/>
        <v>2.5682870364107657E-2</v>
      </c>
      <c r="N64" s="7">
        <f t="shared" si="27"/>
        <v>36.983333324315026</v>
      </c>
      <c r="O64" s="7"/>
      <c r="P64" s="7"/>
      <c r="Q64" s="22"/>
      <c r="R64" s="170"/>
      <c r="S64" s="213">
        <f t="shared" si="28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-02T08:55:13-0600',mode:absolute,to:'2017-07-02T11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25"/>
        <v>4.5999999999999999E-2</v>
      </c>
      <c r="Z64" s="197">
        <f t="shared" si="26"/>
        <v>23.339300000000001</v>
      </c>
      <c r="AA64" s="197">
        <f t="shared" si="9"/>
        <v>23.293300000000002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151</v>
      </c>
      <c r="AE64" s="77" t="str">
        <f t="shared" si="11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64" s="74" t="str">
        <f t="shared" si="12"/>
        <v>"C:\Program Files (x86)\AstroGrep\AstroGrep.exe" /e /r /s /spath="%USERPROFILE%\AppData\Local\Temp\OnboardLogs" /stypes="app*4004*20170702*"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151-02 --locoid 4004 --swversion DE.1.0.9.0 --startMP 204:460 --initTime 2017-07-02T09:55:13 --startdatetime 2017-07-02T10:00:45 --delay 1 --endMP 204:233393 --enddatetime 2017-07-02T10:37:44 --enforcementcount 0 &gt;&gt;C:\Users\stu\Documents\GitHub\eaglep3-reporting\EC\2017-07-02-refined-times.txt</v>
      </c>
      <c r="AI6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{"issue":{"subject":"","project_id":79,"tracker_id":40,"status_id":1,"priority_id":2,"assigned_to_id":23,"start_date":"2017-07-02","description":"","custom_fields":[{"id":1,"name":"Subdivision","value":"EC"},{"id":4,"name":"Milepost","value":"23.3393"},{"id":17,"name":"Train ID","value":"151-02"},{"id":16,"name":"Locomotive ID","value":"4004"},{"id":130,"name":"Impact","value":""},{"id":150,"name":"Time of Event (Mountain Time)","value":"10:37:44"},{"id":151,"name":"Denver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4004 --day 2017-07-02</v>
      </c>
      <c r="AN6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642</v>
      </c>
      <c r="B65" s="7">
        <v>4003</v>
      </c>
      <c r="C65" s="21" t="s">
        <v>202</v>
      </c>
      <c r="D65" s="21" t="s">
        <v>516</v>
      </c>
      <c r="E65" s="13">
        <v>42918.444421296299</v>
      </c>
      <c r="F65" s="13">
        <v>42918.456562500003</v>
      </c>
      <c r="G65" s="7">
        <v>1</v>
      </c>
      <c r="H65" s="21" t="s">
        <v>899</v>
      </c>
      <c r="I65" s="13">
        <v>42918.484502314815</v>
      </c>
      <c r="J65" s="7">
        <v>0</v>
      </c>
      <c r="K65" s="89" t="str">
        <f t="shared" si="0"/>
        <v>4003/4004</v>
      </c>
      <c r="L65" s="21" t="str">
        <f>VLOOKUP(A65,'Trips&amp;Operators'!$C$1:$G$99999,5,FALSE)</f>
        <v>GEBRETEKLE DAGNEW</v>
      </c>
      <c r="M65" s="6">
        <f t="shared" si="1"/>
        <v>2.7939814812270924E-2</v>
      </c>
      <c r="N65" s="7">
        <f t="shared" si="27"/>
        <v>40.233333329670131</v>
      </c>
      <c r="O65" s="7"/>
      <c r="P65" s="7"/>
      <c r="Q65" s="22"/>
      <c r="R65" s="170"/>
      <c r="S65" s="213">
        <f t="shared" si="28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-02T09:39:58-0600',mode:absolute,to:'2017-07-02T12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25"/>
        <v>23.3049</v>
      </c>
      <c r="Z65" s="197">
        <f t="shared" si="26"/>
        <v>1.7000000000000001E-2</v>
      </c>
      <c r="AA65" s="197">
        <f t="shared" si="9"/>
        <v>23.2879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65" s="74" t="str">
        <f t="shared" si="12"/>
        <v>"C:\Program Files (x86)\AstroGrep\AstroGrep.exe" /e /r /s /spath="%USERPROFILE%\AppData\Local\Temp\OnboardLogs" /stypes="app*4003*20170702*"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152-02 --locoid 4003 --swversion DE.1.0.9.0 --startMP 204:233049 --initTime 2017-07-02T10:39:58 --startdatetime 2017-07-02T10:57:27 --delay 1 --endMP 204:170 --enddatetime 2017-07-02T11:37:41 --enforcementcount 0 &gt;&gt;C:\Users\stu\Documents\GitHub\eaglep3-reporting\EC\2017-07-02-refined-times.txt</v>
      </c>
      <c r="AI6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{"issue":{"subject":"","project_id":79,"tracker_id":40,"status_id":1,"priority_id":2,"assigned_to_id":23,"start_date":"2017-07-02","description":"","custom_fields":[{"id":1,"name":"Subdivision","value":"EC"},{"id":4,"name":"Milepost","value":"0.017"},{"id":17,"name":"Train ID","value":"152-02"},{"id":16,"name":"Locomotive ID","value":"4003"},{"id":130,"name":"Impact","value":""},{"id":150,"name":"Time of Event (Mountain Time)","value":"11:37:41"},{"id":151,"name":"Denver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4003 --day 2017-07-02</v>
      </c>
      <c r="AN6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641</v>
      </c>
      <c r="B66" s="7">
        <v>4042</v>
      </c>
      <c r="C66" s="21" t="s">
        <v>202</v>
      </c>
      <c r="D66" s="21" t="s">
        <v>198</v>
      </c>
      <c r="E66" s="13">
        <v>42918.426226851851</v>
      </c>
      <c r="F66" s="13">
        <v>42918.427766203706</v>
      </c>
      <c r="G66" s="7">
        <v>1</v>
      </c>
      <c r="H66" s="21" t="s">
        <v>887</v>
      </c>
      <c r="I66" s="13">
        <v>42918.454259259262</v>
      </c>
      <c r="J66" s="7">
        <v>0</v>
      </c>
      <c r="K66" s="89" t="str">
        <f t="shared" si="0"/>
        <v>4041/4042</v>
      </c>
      <c r="L66" s="21" t="str">
        <f>VLOOKUP(A66,'Trips&amp;Operators'!$C$1:$G$99999,5,FALSE)</f>
        <v>SULLIVAN BRANDON</v>
      </c>
      <c r="M66" s="6">
        <f t="shared" si="1"/>
        <v>2.6493055556784384E-2</v>
      </c>
      <c r="N66" s="7">
        <f t="shared" si="27"/>
        <v>38.150000001769513</v>
      </c>
      <c r="O66" s="7"/>
      <c r="P66" s="7"/>
      <c r="Q66" s="22"/>
      <c r="R66" s="170"/>
      <c r="S66" s="213">
        <f t="shared" si="28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-02T09:13:46-0600',mode:absolute,to:'2017-07-02T11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25"/>
        <v>4.5699999999999998E-2</v>
      </c>
      <c r="Z66" s="197">
        <f t="shared" si="26"/>
        <v>23.336300000000001</v>
      </c>
      <c r="AA66" s="197">
        <f t="shared" si="9"/>
        <v>23.290600000000001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66" s="74" t="str">
        <f t="shared" si="12"/>
        <v>"C:\Program Files (x86)\AstroGrep\AstroGrep.exe" /e /r /s /spath="%USERPROFILE%\AppData\Local\Temp\OnboardLogs" /stypes="app*4042*20170702*"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153-02 --locoid 4042 --swversion DE.1.0.9.0 --startMP 204:457 --initTime 2017-07-02T10:13:46 --startdatetime 2017-07-02T10:15:59 --delay 1 --endMP 204:233363 --enddatetime 2017-07-02T10:54:08 --enforcementcount 0 &gt;&gt;C:\Users\stu\Documents\GitHub\eaglep3-reporting\EC\2017-07-02-refined-times.txt</v>
      </c>
      <c r="AI6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{"issue":{"subject":"","project_id":79,"tracker_id":40,"status_id":1,"priority_id":2,"assigned_to_id":23,"start_date":"2017-07-02","description":"","custom_fields":[{"id":1,"name":"Subdivision","value":"EC"},{"id":4,"name":"Milepost","value":"23.3363"},{"id":17,"name":"Train ID","value":"153-02"},{"id":16,"name":"Locomotive ID","value":"4042"},{"id":130,"name":"Impact","value":""},{"id":150,"name":"Time of Event (Mountain Time)","value":"10:54:08"},{"id":151,"name":"Denver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4042 --day 2017-07-02</v>
      </c>
      <c r="AN6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644</v>
      </c>
      <c r="B67" s="7">
        <v>4041</v>
      </c>
      <c r="C67" s="21" t="s">
        <v>202</v>
      </c>
      <c r="D67" s="21" t="s">
        <v>501</v>
      </c>
      <c r="E67" s="13">
        <v>42918.459814814814</v>
      </c>
      <c r="F67" s="13">
        <v>42918.466840277775</v>
      </c>
      <c r="G67" s="7">
        <v>2</v>
      </c>
      <c r="H67" s="21" t="s">
        <v>601</v>
      </c>
      <c r="I67" s="13">
        <v>42918.497025462966</v>
      </c>
      <c r="J67" s="7">
        <v>0</v>
      </c>
      <c r="K67" s="89" t="str">
        <f t="shared" si="0"/>
        <v>4041/4042</v>
      </c>
      <c r="L67" s="21" t="str">
        <f>VLOOKUP(A67,'Trips&amp;Operators'!$C$1:$G$99999,5,FALSE)</f>
        <v>SULLIVAN BRANDON</v>
      </c>
      <c r="M67" s="6">
        <f t="shared" si="1"/>
        <v>3.0185185190930497E-2</v>
      </c>
      <c r="N67" s="7">
        <f t="shared" si="27"/>
        <v>43.466666674939916</v>
      </c>
      <c r="O67" s="7"/>
      <c r="P67" s="7"/>
      <c r="Q67" s="22"/>
      <c r="R67" s="170"/>
      <c r="S67" s="213">
        <f t="shared" si="28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-02T10:02:08-0600',mode:absolute,to:'2017-07-02T12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25"/>
        <v>23.2989</v>
      </c>
      <c r="Z67" s="197">
        <f t="shared" si="26"/>
        <v>1.6500000000000001E-2</v>
      </c>
      <c r="AA67" s="197">
        <f t="shared" si="9"/>
        <v>23.282399999999999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67" s="74" t="str">
        <f t="shared" si="12"/>
        <v>"C:\Program Files (x86)\AstroGrep\AstroGrep.exe" /e /r /s /spath="%USERPROFILE%\AppData\Local\Temp\OnboardLogs" /stypes="app*4041*20170702*"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154-02 --locoid 4041 --swversion DE.1.0.9.0 --startMP 204:232989 --initTime 2017-07-02T11:02:08 --startdatetime 2017-07-02T11:12:15 --delay 2 --endMP 204:165 --enddatetime 2017-07-02T11:55:43 --enforcementcount 0 &gt;&gt;C:\Users\stu\Documents\GitHub\eaglep3-reporting\EC\2017-07-02-refined-times.txt</v>
      </c>
      <c r="AI6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{"issue":{"subject":"","project_id":79,"tracker_id":40,"status_id":1,"priority_id":2,"assigned_to_id":23,"start_date":"2017-07-02","description":"","custom_fields":[{"id":1,"name":"Subdivision","value":"EC"},{"id":4,"name":"Milepost","value":"0.0165"},{"id":17,"name":"Train ID","value":"154-02"},{"id":16,"name":"Locomotive ID","value":"4041"},{"id":130,"name":"Impact","value":""},{"id":150,"name":"Time of Event (Mountain Time)","value":"11:55:43"},{"id":151,"name":"Denver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4041 --day 2017-07-02</v>
      </c>
      <c r="AN6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763</v>
      </c>
      <c r="B68" s="7">
        <v>4058</v>
      </c>
      <c r="C68" s="21" t="s">
        <v>202</v>
      </c>
      <c r="D68" s="21" t="s">
        <v>900</v>
      </c>
      <c r="E68" s="13">
        <v>42918.435891203706</v>
      </c>
      <c r="F68" s="13">
        <v>42918.438032407408</v>
      </c>
      <c r="G68" s="7">
        <v>1</v>
      </c>
      <c r="H68" s="21" t="s">
        <v>602</v>
      </c>
      <c r="I68" s="13">
        <v>42918.464236111111</v>
      </c>
      <c r="J68" s="7">
        <v>0</v>
      </c>
      <c r="K68" s="89" t="str">
        <f t="shared" si="0"/>
        <v>4057/4058</v>
      </c>
      <c r="L68" s="21" t="str">
        <f>VLOOKUP(A68,'Trips&amp;Operators'!$C$1:$G$99999,5,FALSE)</f>
        <v>GUZMAN DANNY</v>
      </c>
      <c r="M68" s="6">
        <f t="shared" si="1"/>
        <v>2.6203703702776693E-2</v>
      </c>
      <c r="N68" s="7">
        <f t="shared" si="27"/>
        <v>37.733333331998438</v>
      </c>
      <c r="O68" s="7"/>
      <c r="P68" s="7"/>
      <c r="Q68" s="22"/>
      <c r="R68" s="170"/>
      <c r="S68" s="213">
        <f t="shared" si="28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-02T09:27:41-0600',mode:absolute,to:'2017-07-02T12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25"/>
        <v>5.3999999999999999E-2</v>
      </c>
      <c r="Z68" s="197">
        <f t="shared" si="26"/>
        <v>23.324000000000002</v>
      </c>
      <c r="AA68" s="197">
        <f t="shared" si="9"/>
        <v>23.270000000000003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68" s="74" t="str">
        <f t="shared" si="12"/>
        <v>"C:\Program Files (x86)\AstroGrep\AstroGrep.exe" /e /r /s /spath="%USERPROFILE%\AppData\Local\Temp\OnboardLogs" /stypes="app*4058*20170702*"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155-02 --locoid 4058 --swversion DE.1.0.9.0 --startMP 204:540 --initTime 2017-07-02T10:27:41 --startdatetime 2017-07-02T10:30:46 --delay 1 --endMP 204:233240 --enddatetime 2017-07-02T11:08:30 --enforcementcount 0 &gt;&gt;C:\Users\stu\Documents\GitHub\eaglep3-reporting\EC\2017-07-02-refined-times.txt</v>
      </c>
      <c r="AI68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{"issue":{"subject":"","project_id":79,"tracker_id":40,"status_id":1,"priority_id":2,"assigned_to_id":23,"start_date":"2017-07-02","description":"","custom_fields":[{"id":1,"name":"Subdivision","value":"EC"},{"id":4,"name":"Milepost","value":"23.324"},{"id":17,"name":"Train ID","value":"155-02"},{"id":16,"name":"Locomotive ID","value":"4058"},{"id":130,"name":"Impact","value":""},{"id":150,"name":"Time of Event (Mountain Time)","value":"11:08:30"},{"id":151,"name":"Denver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4058 --day 2017-07-02</v>
      </c>
      <c r="AN68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769</v>
      </c>
      <c r="B69" s="7">
        <v>4057</v>
      </c>
      <c r="C69" s="21" t="s">
        <v>202</v>
      </c>
      <c r="D69" s="21" t="s">
        <v>597</v>
      </c>
      <c r="E69" s="13">
        <v>42918.466643518521</v>
      </c>
      <c r="F69" s="13">
        <v>42918.477314814816</v>
      </c>
      <c r="G69" s="7">
        <v>1</v>
      </c>
      <c r="H69" s="21" t="s">
        <v>901</v>
      </c>
      <c r="I69" s="13">
        <v>42918.507627314815</v>
      </c>
      <c r="J69" s="7">
        <v>0</v>
      </c>
      <c r="K69" s="89" t="str">
        <f t="shared" si="0"/>
        <v>4057/4058</v>
      </c>
      <c r="L69" s="21" t="str">
        <f>VLOOKUP(A69,'Trips&amp;Operators'!$C$1:$G$99999,5,FALSE)</f>
        <v>GUZMAN DANNY</v>
      </c>
      <c r="M69" s="6">
        <f t="shared" si="1"/>
        <v>3.0312499999126885E-2</v>
      </c>
      <c r="N69" s="7">
        <f t="shared" si="27"/>
        <v>43.649999998742715</v>
      </c>
      <c r="O69" s="7"/>
      <c r="P69" s="7"/>
      <c r="Q69" s="22"/>
      <c r="R69" s="170"/>
      <c r="S69" s="213">
        <f t="shared" si="28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-02T10:11:58-0600',mode:absolute,to:'2017-07-02T13:10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25"/>
        <v>23.294799999999999</v>
      </c>
      <c r="Z69" s="197">
        <f t="shared" si="26"/>
        <v>0.11600000000000001</v>
      </c>
      <c r="AA69" s="197">
        <f t="shared" si="9"/>
        <v>23.178799999999999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69" s="74" t="str">
        <f t="shared" si="12"/>
        <v>"C:\Program Files (x86)\AstroGrep\AstroGrep.exe" /e /r /s /spath="%USERPROFILE%\AppData\Local\Temp\OnboardLogs" /stypes="app*4057*20170702*"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156-02 --locoid 4057 --swversion DE.1.0.9.0 --startMP 204:232948 --initTime 2017-07-02T11:11:58 --startdatetime 2017-07-02T11:27:20 --delay 1 --endMP 204:1160 --enddatetime 2017-07-02T12:10:59 --enforcementcount 0 &gt;&gt;C:\Users\stu\Documents\GitHub\eaglep3-reporting\EC\2017-07-02-refined-times.txt</v>
      </c>
      <c r="AI69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{"issue":{"subject":"","project_id":79,"tracker_id":40,"status_id":1,"priority_id":2,"assigned_to_id":23,"start_date":"2017-07-02","description":"","custom_fields":[{"id":1,"name":"Subdivision","value":"EC"},{"id":4,"name":"Milepost","value":"0.116"},{"id":17,"name":"Train ID","value":"156-02"},{"id":16,"name":"Locomotive ID","value":"4057"},{"id":130,"name":"Impact","value":""},{"id":150,"name":"Time of Event (Mountain Time)","value":"12:10:59"},{"id":151,"name":"Denver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4057 --day 2017-07-02</v>
      </c>
      <c r="AN69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18:10:59"},{"id":29,"name":"Sharepoint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766</v>
      </c>
      <c r="B70" s="7">
        <v>4054</v>
      </c>
      <c r="C70" s="21" t="s">
        <v>202</v>
      </c>
      <c r="D70" s="21" t="s">
        <v>456</v>
      </c>
      <c r="E70" s="13">
        <v>42918.448506944442</v>
      </c>
      <c r="F70" s="13">
        <v>42918.450219907405</v>
      </c>
      <c r="G70" s="7">
        <v>1</v>
      </c>
      <c r="H70" s="21" t="s">
        <v>902</v>
      </c>
      <c r="I70" s="13">
        <v>42918.475740740738</v>
      </c>
      <c r="J70" s="7">
        <v>0</v>
      </c>
      <c r="K70" s="89" t="str">
        <f t="shared" si="0"/>
        <v>4053/4054</v>
      </c>
      <c r="L70" s="21" t="str">
        <f>VLOOKUP(A70,'Trips&amp;Operators'!$C$1:$G$99999,5,FALSE)</f>
        <v>ROMERO CHAD</v>
      </c>
      <c r="M70" s="6">
        <f t="shared" si="1"/>
        <v>2.5520833332848269E-2</v>
      </c>
      <c r="N70" s="7">
        <f t="shared" si="27"/>
        <v>36.749999999301508</v>
      </c>
      <c r="O70" s="7"/>
      <c r="P70" s="7"/>
      <c r="Q70" s="22"/>
      <c r="R70" s="170"/>
      <c r="S70" s="213">
        <f t="shared" si="28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-02T09:45:51-0600',mode:absolute,to:'2017-07-02T12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25"/>
        <v>4.6399999999999997E-2</v>
      </c>
      <c r="Z70" s="197">
        <f t="shared" si="26"/>
        <v>23.340199999999999</v>
      </c>
      <c r="AA70" s="197">
        <f t="shared" si="9"/>
        <v>23.293800000000001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70" s="74" t="str">
        <f t="shared" si="12"/>
        <v>"C:\Program Files (x86)\AstroGrep\AstroGrep.exe" /e /r /s /spath="%USERPROFILE%\AppData\Local\Temp\OnboardLogs" /stypes="app*4054*20170702*"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157-02 --locoid 4054 --swversion DE.1.0.9.0 --startMP 204:464 --initTime 2017-07-02T10:45:51 --startdatetime 2017-07-02T10:48:19 --delay 1 --endMP 204:233402 --enddatetime 2017-07-02T11:25:04 --enforcementcount 0 &gt;&gt;C:\Users\stu\Documents\GitHub\eaglep3-reporting\EC\2017-07-02-refined-times.txt</v>
      </c>
      <c r="AI70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{"issue":{"subject":"","project_id":79,"tracker_id":40,"status_id":1,"priority_id":2,"assigned_to_id":23,"start_date":"2017-07-02","description":"","custom_fields":[{"id":1,"name":"Subdivision","value":"EC"},{"id":4,"name":"Milepost","value":"23.3402"},{"id":17,"name":"Train ID","value":"157-02"},{"id":16,"name":"Locomotive ID","value":"4054"},{"id":130,"name":"Impact","value":""},{"id":150,"name":"Time of Event (Mountain Time)","value":"11:25:04"},{"id":151,"name":"Denver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4054 --day 2017-07-02</v>
      </c>
      <c r="AN70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647</v>
      </c>
      <c r="B71" s="7">
        <v>4053</v>
      </c>
      <c r="C71" s="21" t="s">
        <v>202</v>
      </c>
      <c r="D71" s="21" t="s">
        <v>903</v>
      </c>
      <c r="E71" s="13">
        <v>42918.480092592596</v>
      </c>
      <c r="F71" s="13">
        <v>42918.48773148148</v>
      </c>
      <c r="G71" s="7">
        <v>1</v>
      </c>
      <c r="H71" s="21" t="s">
        <v>416</v>
      </c>
      <c r="I71" s="13">
        <v>42918.514641203707</v>
      </c>
      <c r="J71" s="7">
        <v>0</v>
      </c>
      <c r="K71" s="89" t="str">
        <f t="shared" si="0"/>
        <v>4053/4054</v>
      </c>
      <c r="L71" s="21" t="str">
        <f>VLOOKUP(A71,'Trips&amp;Operators'!$C$1:$G$99999,5,FALSE)</f>
        <v>ROMERO CHAD</v>
      </c>
      <c r="M71" s="6">
        <f t="shared" si="1"/>
        <v>2.6909722226264421E-2</v>
      </c>
      <c r="N71" s="7">
        <f t="shared" si="27"/>
        <v>38.750000005820766</v>
      </c>
      <c r="O71" s="7"/>
      <c r="P71" s="7"/>
      <c r="Q71" s="22"/>
      <c r="R71" s="170"/>
      <c r="S71" s="213">
        <f t="shared" si="28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-02T10:31:20-0600',mode:absolute,to:'2017-07-02T13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25"/>
        <v>23.3094</v>
      </c>
      <c r="Z71" s="197">
        <f t="shared" si="26"/>
        <v>1.4500000000000001E-2</v>
      </c>
      <c r="AA71" s="197">
        <f t="shared" si="9"/>
        <v>23.294899999999998</v>
      </c>
      <c r="AB71" s="54" t="str">
        <f>VLOOKUP(A71,Enforcements!$C$7:$K$13,8,0)</f>
        <v>Bulletin (2)</v>
      </c>
      <c r="AC71" s="51" t="str">
        <f>VLOOKUP(A71,Enforcements!$C$7:$E$13,3,0)</f>
        <v>GRADE CROSSING</v>
      </c>
      <c r="AD71" s="206">
        <f t="shared" si="10"/>
        <v>158</v>
      </c>
      <c r="AE71" s="77" t="str">
        <f t="shared" si="11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71" s="74" t="str">
        <f t="shared" si="12"/>
        <v>"C:\Program Files (x86)\AstroGrep\AstroGrep.exe" /e /r /s /spath="%USERPROFILE%\AppData\Local\Temp\OnboardLogs" /stypes="app*4053*20170702*"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158-02 --locoid 4053 --swversion DE.1.0.9.0 --startMP 204:233094 --initTime 2017-07-02T11:31:20 --startdatetime 2017-07-02T11:42:20 --delay 1 --endMP 204:145 --enddatetime 2017-07-02T12:21:05 --enforcementcount 0 &gt;&gt;C:\Users\stu\Documents\GitHub\eaglep3-reporting\EC\2017-07-02-refined-times.txt</v>
      </c>
      <c r="AI71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ID","value":"158-02"},{"id":16,"name":"Locomotive ID","value":"4053"},{"id":130,"name":"Impact","value":""},{"id":150,"name":"Time of Event (Mountain Time)","value":"12:21:05"},{"id":151,"name":"Denver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4053 --day 2017-07-02</v>
      </c>
      <c r="AN71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768</v>
      </c>
      <c r="B72" s="7">
        <v>4022</v>
      </c>
      <c r="C72" s="21" t="s">
        <v>202</v>
      </c>
      <c r="D72" s="21" t="s">
        <v>435</v>
      </c>
      <c r="E72" s="13">
        <v>42918.45853009259</v>
      </c>
      <c r="F72" s="13">
        <v>42918.459791666668</v>
      </c>
      <c r="G72" s="7">
        <v>0</v>
      </c>
      <c r="H72" s="21" t="s">
        <v>588</v>
      </c>
      <c r="I72" s="13">
        <v>42918.490162037036</v>
      </c>
      <c r="J72" s="7">
        <v>0</v>
      </c>
      <c r="K72" s="89" t="str">
        <f t="shared" si="0"/>
        <v>4021/4022</v>
      </c>
      <c r="L72" s="21" t="str">
        <f>VLOOKUP(A72,'Trips&amp;Operators'!$C$1:$G$99999,5,FALSE)</f>
        <v>MACDONALD THOMAS</v>
      </c>
      <c r="M72" s="6">
        <f t="shared" si="1"/>
        <v>3.0370370368473232E-2</v>
      </c>
      <c r="N72" s="7">
        <f t="shared" si="27"/>
        <v>43.733333330601454</v>
      </c>
      <c r="O72" s="7"/>
      <c r="P72" s="7"/>
      <c r="Q72" s="22"/>
      <c r="R72" s="170"/>
      <c r="S72" s="213">
        <f t="shared" si="28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-02T10:00:17-0600',mode:absolute,to:'2017-07-02T12:45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25"/>
        <v>4.6699999999999998E-2</v>
      </c>
      <c r="Z72" s="197">
        <f t="shared" si="26"/>
        <v>23.328600000000002</v>
      </c>
      <c r="AA72" s="197">
        <f t="shared" si="9"/>
        <v>23.2819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72" s="74" t="str">
        <f t="shared" si="12"/>
        <v>"C:\Program Files (x86)\AstroGrep\AstroGrep.exe" /e /r /s /spath="%USERPROFILE%\AppData\Local\Temp\OnboardLogs" /stypes="app*4022*20170702*"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159-02 --locoid 4022 --swversion DE.1.0.9.0 --startMP 204:467 --initTime 2017-07-02T11:00:17 --startdatetime 2017-07-02T11:02:06 --delay 0 --endMP 204:233286 --enddatetime 2017-07-02T11:45:50 --enforcementcount 0 &gt;&gt;C:\Users\stu\Documents\GitHub\eaglep3-reporting\EC\2017-07-02-refined-times.txt</v>
      </c>
      <c r="AI72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{"issue":{"subject":"","project_id":79,"tracker_id":40,"status_id":1,"priority_id":2,"assigned_to_id":23,"start_date":"2017-07-02","description":"","custom_fields":[{"id":1,"name":"Subdivision","value":"EC"},{"id":4,"name":"Milepost","value":"23.3286"},{"id":17,"name":"Train ID","value":"159-02"},{"id":16,"name":"Locomotive ID","value":"4022"},{"id":130,"name":"Impact","value":""},{"id":150,"name":"Time of Event (Mountain Time)","value":"11:45:50"},{"id":151,"name":"Denver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4022 --day 2017-07-02</v>
      </c>
      <c r="AN72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17:45:50"},{"id":29,"name":"Sharepoint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648</v>
      </c>
      <c r="B73" s="7">
        <v>4021</v>
      </c>
      <c r="C73" s="21" t="s">
        <v>202</v>
      </c>
      <c r="D73" s="21" t="s">
        <v>603</v>
      </c>
      <c r="E73" s="13">
        <v>42918.496307870373</v>
      </c>
      <c r="F73" s="13">
        <v>42918.498252314814</v>
      </c>
      <c r="G73" s="7">
        <v>1</v>
      </c>
      <c r="H73" s="21" t="s">
        <v>488</v>
      </c>
      <c r="I73" s="13">
        <v>42918.527291666665</v>
      </c>
      <c r="J73" s="7">
        <v>0</v>
      </c>
      <c r="K73" s="89" t="str">
        <f t="shared" si="0"/>
        <v>4021/4022</v>
      </c>
      <c r="L73" s="21" t="str">
        <f>VLOOKUP(A73,'Trips&amp;Operators'!$C$1:$G$99999,5,FALSE)</f>
        <v>MACDONALD THOMAS</v>
      </c>
      <c r="M73" s="6">
        <f t="shared" si="1"/>
        <v>2.9039351851679385E-2</v>
      </c>
      <c r="N73" s="7">
        <f t="shared" si="27"/>
        <v>41.816666666418314</v>
      </c>
      <c r="O73" s="7"/>
      <c r="P73" s="7"/>
      <c r="Q73" s="22"/>
      <c r="R73" s="170"/>
      <c r="S73" s="213">
        <f t="shared" si="28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-02T10:54:41-0600',mode:absolute,to:'2017-07-02T13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25"/>
        <v>23.296299999999999</v>
      </c>
      <c r="Z73" s="197">
        <f t="shared" si="26"/>
        <v>1.6299999999999999E-2</v>
      </c>
      <c r="AA73" s="197">
        <f t="shared" si="9"/>
        <v>23.279999999999998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73" s="74" t="str">
        <f t="shared" si="12"/>
        <v>"C:\Program Files (x86)\AstroGrep\AstroGrep.exe" /e /r /s /spath="%USERPROFILE%\AppData\Local\Temp\OnboardLogs" /stypes="app*4021*20170702*"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160-02 --locoid 4021 --swversion DE.1.0.9.0 --startMP 204:232963 --initTime 2017-07-02T11:54:41 --startdatetime 2017-07-02T11:57:29 --delay 1 --endMP 204:163 --enddatetime 2017-07-02T12:39:18 --enforcementcount 0 &gt;&gt;C:\Users\stu\Documents\GitHub\eaglep3-reporting\EC\2017-07-02-refined-times.txt</v>
      </c>
      <c r="AI73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{"issue":{"subject":"","project_id":79,"tracker_id":40,"status_id":1,"priority_id":2,"assigned_to_id":23,"start_date":"2017-07-02","description":"","custom_fields":[{"id":1,"name":"Subdivision","value":"EC"},{"id":4,"name":"Milepost","value":"0.0163"},{"id":17,"name":"Train ID","value":"160-02"},{"id":16,"name":"Locomotive ID","value":"4021"},{"id":130,"name":"Impact","value":""},{"id":150,"name":"Time of Event (Mountain Time)","value":"12:39:18"},{"id":151,"name":"Denver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4021 --day 2017-07-02</v>
      </c>
      <c r="AN73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770</v>
      </c>
      <c r="B74" s="7">
        <v>4044</v>
      </c>
      <c r="C74" s="21" t="s">
        <v>202</v>
      </c>
      <c r="D74" s="21" t="s">
        <v>354</v>
      </c>
      <c r="E74" s="13">
        <v>42918.468634259261</v>
      </c>
      <c r="F74" s="13">
        <v>42918.471018518518</v>
      </c>
      <c r="G74" s="7">
        <v>1</v>
      </c>
      <c r="H74" s="21" t="s">
        <v>489</v>
      </c>
      <c r="I74" s="13">
        <v>42918.502604166664</v>
      </c>
      <c r="J74" s="7">
        <v>0</v>
      </c>
      <c r="K74" s="89" t="str">
        <f t="shared" si="0"/>
        <v>4043/4044</v>
      </c>
      <c r="L74" s="21" t="str">
        <f>VLOOKUP(A74,'Trips&amp;Operators'!$C$1:$G$99999,5,FALSE)</f>
        <v>DAVIS MICHAEL</v>
      </c>
      <c r="M74" s="6">
        <f t="shared" si="1"/>
        <v>3.1585648146574385E-2</v>
      </c>
      <c r="N74" s="7">
        <f t="shared" si="27"/>
        <v>45.483333331067115</v>
      </c>
      <c r="O74" s="7"/>
      <c r="P74" s="7"/>
      <c r="Q74" s="22"/>
      <c r="R74" s="170"/>
      <c r="S74" s="213">
        <f t="shared" si="28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-02T10:14:50-0600',mode:absolute,to:'2017-07-02T13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25"/>
        <v>4.53E-2</v>
      </c>
      <c r="Z74" s="197">
        <f t="shared" si="26"/>
        <v>23.332899999999999</v>
      </c>
      <c r="AA74" s="197">
        <f t="shared" si="9"/>
        <v>23.287599999999998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74" s="74" t="str">
        <f t="shared" si="12"/>
        <v>"C:\Program Files (x86)\AstroGrep\AstroGrep.exe" /e /r /s /spath="%USERPROFILE%\AppData\Local\Temp\OnboardLogs" /stypes="app*4044*20170702*"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161-02 --locoid 4044 --swversion DE.1.0.9.0 --startMP 204:453 --initTime 2017-07-02T11:14:50 --startdatetime 2017-07-02T11:18:16 --delay 1 --endMP 204:233329 --enddatetime 2017-07-02T12:03:45 --enforcementcount 0 &gt;&gt;C:\Users\stu\Documents\GitHub\eaglep3-reporting\EC\2017-07-02-refined-times.txt</v>
      </c>
      <c r="AI74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{"issue":{"subject":"","project_id":79,"tracker_id":40,"status_id":1,"priority_id":2,"assigned_to_id":23,"start_date":"2017-07-02","description":"","custom_fields":[{"id":1,"name":"Subdivision","value":"EC"},{"id":4,"name":"Milepost","value":"23.3329"},{"id":17,"name":"Train ID","value":"161-02"},{"id":16,"name":"Locomotive ID","value":"4044"},{"id":130,"name":"Impact","value":""},{"id":150,"name":"Time of Event (Mountain Time)","value":"12:03:45"},{"id":151,"name":"Denver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4044 --day 2017-07-02</v>
      </c>
      <c r="AN74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649</v>
      </c>
      <c r="B75" s="7">
        <v>4043</v>
      </c>
      <c r="C75" s="21" t="s">
        <v>202</v>
      </c>
      <c r="D75" s="21" t="s">
        <v>904</v>
      </c>
      <c r="E75" s="13">
        <v>42918.505196759259</v>
      </c>
      <c r="F75" s="13">
        <v>42918.508958333332</v>
      </c>
      <c r="G75" s="7">
        <v>2</v>
      </c>
      <c r="H75" s="21" t="s">
        <v>350</v>
      </c>
      <c r="I75" s="13">
        <v>42918.538981481484</v>
      </c>
      <c r="J75" s="7">
        <v>0</v>
      </c>
      <c r="K75" s="89" t="str">
        <f t="shared" si="0"/>
        <v>4043/4044</v>
      </c>
      <c r="L75" s="21" t="str">
        <f>VLOOKUP(A75,'Trips&amp;Operators'!$C$1:$G$99999,5,FALSE)</f>
        <v>DAVIS MICHAEL</v>
      </c>
      <c r="M75" s="6">
        <f t="shared" si="1"/>
        <v>3.0023148152395152E-2</v>
      </c>
      <c r="N75" s="7">
        <f t="shared" si="27"/>
        <v>43.233333339449018</v>
      </c>
      <c r="O75" s="7"/>
      <c r="P75" s="7"/>
      <c r="Q75" s="22"/>
      <c r="R75" s="170"/>
      <c r="S75" s="213">
        <f t="shared" si="28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-02T11:07:29-0600',mode:absolute,to:'2017-07-02T13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25"/>
        <v>23.300799999999999</v>
      </c>
      <c r="Z75" s="197">
        <f t="shared" si="26"/>
        <v>1.43E-2</v>
      </c>
      <c r="AA75" s="197">
        <f t="shared" si="9"/>
        <v>23.2865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75" s="74" t="str">
        <f t="shared" si="12"/>
        <v>"C:\Program Files (x86)\AstroGrep\AstroGrep.exe" /e /r /s /spath="%USERPROFILE%\AppData\Local\Temp\OnboardLogs" /stypes="app*4043*20170702*"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162-02 --locoid 4043 --swversion DE.1.0.9.0 --startMP 204:233008 --initTime 2017-07-02T12:07:29 --startdatetime 2017-07-02T12:12:54 --delay 2 --endMP 204:143 --enddatetime 2017-07-02T12:56:08 --enforcementcount 0 &gt;&gt;C:\Users\stu\Documents\GitHub\eaglep3-reporting\EC\2017-07-02-refined-times.txt</v>
      </c>
      <c r="AI75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{"issue":{"subject":"","project_id":79,"tracker_id":40,"status_id":1,"priority_id":2,"assigned_to_id":23,"start_date":"2017-07-02","description":"","custom_fields":[{"id":1,"name":"Subdivision","value":"EC"},{"id":4,"name":"Milepost","value":"0.0143"},{"id":17,"name":"Train ID","value":"162-02"},{"id":16,"name":"Locomotive ID","value":"4043"},{"id":130,"name":"Impact","value":""},{"id":150,"name":"Time of Event (Mountain Time)","value":"12:56:08"},{"id":151,"name":"Denver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4043 --day 2017-07-02</v>
      </c>
      <c r="AN75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646</v>
      </c>
      <c r="B76" s="7">
        <v>4046</v>
      </c>
      <c r="C76" s="21" t="s">
        <v>202</v>
      </c>
      <c r="D76" s="21" t="s">
        <v>391</v>
      </c>
      <c r="E76" s="13">
        <v>42918.477175925924</v>
      </c>
      <c r="F76" s="13">
        <v>42918.480752314812</v>
      </c>
      <c r="G76" s="7">
        <v>2</v>
      </c>
      <c r="H76" s="21" t="s">
        <v>480</v>
      </c>
      <c r="I76" s="13">
        <v>42918.512789351851</v>
      </c>
      <c r="J76" s="7">
        <v>0</v>
      </c>
      <c r="K76" s="89" t="str">
        <f t="shared" si="0"/>
        <v>4045/4046</v>
      </c>
      <c r="L76" s="21" t="str">
        <f>VLOOKUP(A76,'Trips&amp;Operators'!$C$1:$G$99999,5,FALSE)</f>
        <v>BRANDNER MELINDA</v>
      </c>
      <c r="M76" s="6">
        <f t="shared" si="1"/>
        <v>3.2037037039117422E-2</v>
      </c>
      <c r="N76" s="7">
        <f t="shared" si="27"/>
        <v>46.133333336329088</v>
      </c>
      <c r="O76" s="7"/>
      <c r="P76" s="7"/>
      <c r="Q76" s="22"/>
      <c r="R76" s="170"/>
      <c r="S76" s="213">
        <f t="shared" si="28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-02T10:27:08-0600',mode:absolute,to:'2017-07-02T13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25"/>
        <v>4.6199999999999998E-2</v>
      </c>
      <c r="Z76" s="197">
        <f t="shared" si="26"/>
        <v>23.331199999999999</v>
      </c>
      <c r="AA76" s="197">
        <f t="shared" si="9"/>
        <v>23.285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76" s="74" t="str">
        <f t="shared" si="12"/>
        <v>"C:\Program Files (x86)\AstroGrep\AstroGrep.exe" /e /r /s /spath="%USERPROFILE%\AppData\Local\Temp\OnboardLogs" /stypes="app*4046*20170702*"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163-02 --locoid 4046 --swversion DE.1.0.9.0 --startMP 204:462 --initTime 2017-07-02T11:27:08 --startdatetime 2017-07-02T11:32:17 --delay 2 --endMP 204:233312 --enddatetime 2017-07-02T12:18:25 --enforcementcount 0 &gt;&gt;C:\Users\stu\Documents\GitHub\eaglep3-reporting\EC\2017-07-02-refined-times.txt</v>
      </c>
      <c r="AI76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{"issue":{"subject":"","project_id":79,"tracker_id":40,"status_id":1,"priority_id":2,"assigned_to_id":23,"start_date":"2017-07-02","description":"","custom_fields":[{"id":1,"name":"Subdivision","value":"EC"},{"id":4,"name":"Milepost","value":"23.3312"},{"id":17,"name":"Train ID","value":"163-02"},{"id":16,"name":"Locomotive ID","value":"4046"},{"id":130,"name":"Impact","value":""},{"id":150,"name":"Time of Event (Mountain Time)","value":"12:18:25"},{"id":151,"name":"Denver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4046 --day 2017-07-02</v>
      </c>
      <c r="AN76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781</v>
      </c>
      <c r="B77" s="7">
        <v>4045</v>
      </c>
      <c r="C77" s="21" t="s">
        <v>202</v>
      </c>
      <c r="D77" s="21" t="s">
        <v>515</v>
      </c>
      <c r="E77" s="13">
        <v>42918.517962962964</v>
      </c>
      <c r="F77" s="13">
        <v>42918.519490740742</v>
      </c>
      <c r="G77" s="7">
        <v>1</v>
      </c>
      <c r="H77" s="21" t="s">
        <v>905</v>
      </c>
      <c r="I77" s="13">
        <v>42918.55027777778</v>
      </c>
      <c r="J77" s="7">
        <v>0</v>
      </c>
      <c r="K77" s="89" t="str">
        <f t="shared" ref="K77:K140" si="29">IF(ISEVEN(B77),(B77-1)&amp;"/"&amp;B77,B77&amp;"/"&amp;(B77+1))</f>
        <v>4045/4046</v>
      </c>
      <c r="L77" s="21" t="str">
        <f>VLOOKUP(A77,'Trips&amp;Operators'!$C$1:$G$99999,5,FALSE)</f>
        <v>BRANDNER MELINDA</v>
      </c>
      <c r="M77" s="6">
        <f t="shared" ref="M77:M140" si="30">I77-F77</f>
        <v>3.0787037037953269E-2</v>
      </c>
      <c r="N77" s="7">
        <f t="shared" si="27"/>
        <v>44.333333334652707</v>
      </c>
      <c r="O77" s="7"/>
      <c r="P77" s="7"/>
      <c r="Q77" s="22"/>
      <c r="R77" s="170"/>
      <c r="S77" s="213">
        <f t="shared" si="28"/>
        <v>1</v>
      </c>
      <c r="T77" s="195" t="str">
        <f t="shared" ref="T77:T140" si="31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-02T11:25:52-0600',mode:absolute,to:'2017-07-02T14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97" t="str">
        <f>IF(AA77&lt;VLOOKUP(AG77,Variables!$AC$3:$AD$8,2,FALSE),"Y","N")</f>
        <v>N</v>
      </c>
      <c r="X77" s="197">
        <f t="shared" si="24"/>
        <v>1</v>
      </c>
      <c r="Y77" s="197">
        <f t="shared" ref="Y77:Y108" si="33">RIGHT(D77,LEN(D77)-4)/10000</f>
        <v>23.297999999999998</v>
      </c>
      <c r="Z77" s="197">
        <f t="shared" ref="Z77:Z108" si="34">RIGHT(H77,LEN(H77)-4)/10000</f>
        <v>1.32E-2</v>
      </c>
      <c r="AA77" s="197">
        <f t="shared" ref="AA77:AA140" si="35">ABS(Z77-Y77)</f>
        <v>23.284799999999997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6">VALUE(LEFT(A77,LEN(A77)-3))</f>
        <v>164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/stypes="app*4045*20170702*"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9">DetSubdiv(A77)</f>
        <v>EC</v>
      </c>
      <c r="AH77" s="78" t="str">
        <f t="shared" si="18"/>
        <v>"%USERPROFILE%\Documents\GitHub\eaglep3\Utilities\RefineRTDCRunTimes.py" --tripid 164-02 --locoid 4045 --swversion DE.1.0.9.0 --startMP 204:232980 --initTime 2017-07-02T12:25:52 --startdatetime 2017-07-02T12:28:04 --delay 1 --endMP 204:132 --enddatetime 2017-07-02T13:12:24 --enforcementcount 0 &gt;&gt;C:\Users\stu\Documents\GitHub\eaglep3-reporting\EC\2017-07-02-refined-times.txt</v>
      </c>
      <c r="AI77" s="96" t="str">
        <f t="shared" si="19"/>
        <v>echo {"issue":{"subject":"","project_id":79,"tracker_id":40,"status_id":1,"priority_id":2,"assigned_to_id":23,"start_date":"2017-07-02","description":"","custom_fields":[{"id":1,"name":"Subdivision","value":"EC"},{"id":4,"name":"Milepost","value":"0.0132"},{"id":17,"name":"Train ID","value":"164-02"},{"id":16,"name":"Locomotive ID","value":"4045"},{"id":130,"name":"Impact","value":""},{"id":150,"name":"Time of Event (Mountain Time)","value":"13:12:24"},{"id":151,"name":"Denver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4045 --day 2017-07-02</v>
      </c>
      <c r="AN77" s="151" t="str">
        <f t="shared" si="21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774</v>
      </c>
      <c r="B78" s="7">
        <v>4004</v>
      </c>
      <c r="C78" s="21" t="s">
        <v>202</v>
      </c>
      <c r="D78" s="21" t="s">
        <v>906</v>
      </c>
      <c r="E78" s="13">
        <v>42918.487523148149</v>
      </c>
      <c r="F78" s="13">
        <v>42918.490162037036</v>
      </c>
      <c r="G78" s="7">
        <v>1</v>
      </c>
      <c r="H78" s="21" t="s">
        <v>907</v>
      </c>
      <c r="I78" s="13">
        <v>42918.523379629631</v>
      </c>
      <c r="J78" s="7">
        <v>0</v>
      </c>
      <c r="K78" s="89" t="str">
        <f t="shared" si="29"/>
        <v>4003/4004</v>
      </c>
      <c r="L78" s="21" t="str">
        <f>VLOOKUP(A78,'Trips&amp;Operators'!$C$1:$G$99999,5,FALSE)</f>
        <v>BRUDER RICHARD</v>
      </c>
      <c r="M78" s="6">
        <f t="shared" si="30"/>
        <v>3.3217592594155576E-2</v>
      </c>
      <c r="N78" s="7">
        <f t="shared" si="27"/>
        <v>47.83333333558403</v>
      </c>
      <c r="O78" s="7"/>
      <c r="P78" s="7"/>
      <c r="Q78" s="22"/>
      <c r="R78" s="170"/>
      <c r="S78" s="213">
        <f t="shared" si="28"/>
        <v>1</v>
      </c>
      <c r="T78" s="195" t="str">
        <f t="shared" si="31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2"/>
        <v>https://d0f6bd738d7f1b3e5a7ca70fe4ff75f0.us-east-1.aws.found.io/app/kibana#/discover/Steve-Slow-Train-Analysis-(2080s-and-2083s)?_g=(refreshInterval:(display:Off,pause:!f,section:0,value:0),time:(from:'2017-07-02T10:42:02-0600',mode:absolute,to:'2017-07-02T13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8" s="197" t="str">
        <f>IF(AA78&lt;VLOOKUP(AG78,Variables!$AC$3:$AD$8,2,FALSE),"Y","N")</f>
        <v>N</v>
      </c>
      <c r="X78" s="197">
        <f t="shared" si="24"/>
        <v>1</v>
      </c>
      <c r="Y78" s="197">
        <f t="shared" si="33"/>
        <v>5.0200000000000002E-2</v>
      </c>
      <c r="Z78" s="197">
        <f t="shared" si="34"/>
        <v>23.330200000000001</v>
      </c>
      <c r="AA78" s="197">
        <f t="shared" si="35"/>
        <v>23.28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6"/>
        <v>165</v>
      </c>
      <c r="AE78" s="77" t="str">
        <f t="shared" si="37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78" s="74" t="str">
        <f t="shared" si="38"/>
        <v>"C:\Program Files (x86)\AstroGrep\AstroGrep.exe" /e /r /s /spath="%USERPROFILE%\AppData\Local\Temp\OnboardLogs" /stypes="app*4004*20170702*" /stext=" 18:.+((SYSTEM_STATE.+slice.+state.+changed )|(ment ac)|(multiple cpu faults)|(system.+state.+changed )|(\[timeout)|(PRM\|1\|D)|(kpr)|(kdp)|(train st.+moving)|(\|lc)|(penalty))"</v>
      </c>
      <c r="AG78" s="209" t="str">
        <f t="shared" si="39"/>
        <v>EC</v>
      </c>
      <c r="AH78" s="78" t="str">
        <f t="shared" ref="AH78:AH140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165-02 --locoid 4004 --swversion DE.1.0.9.0 --startMP 204:502 --initTime 2017-07-02T11:42:02 --startdatetime 2017-07-02T11:45:50 --delay 1 --endMP 204:233302 --enddatetime 2017-07-02T12:33:40 --enforcementcount 0 &gt;&gt;C:\Users\stu\Documents\GitHub\eaglep3-reporting\EC\2017-07-02-refined-times.txt</v>
      </c>
      <c r="AI78" s="96" t="str">
        <f t="shared" ref="AI78:AI140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{"issue":{"subject":"","project_id":79,"tracker_id":40,"status_id":1,"priority_id":2,"assigned_to_id":23,"start_date":"2017-07-02","description":"","custom_fields":[{"id":1,"name":"Subdivision","value":"EC"},{"id":4,"name":"Milepost","value":"23.3302"},{"id":17,"name":"Train ID","value":"165-02"},{"id":16,"name":"Locomotive ID","value":"4004"},{"id":130,"name":"Impact","value":""},{"id":150,"name":"Time of Event (Mountain Time)","value":"12:33:40"},{"id":151,"name":"Denver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0" si="42">"start /low /b "&amp;dls3logs&amp;" --loco "&amp;B78&amp;" --day "&amp;TEXT(F78,"YYYY-MM-DD")</f>
        <v>start /low /b %USERPROFILE%\Documents\GitHub\eaglep3\Utilities\DownloadLogsFromS3.py --loco 4004 --day 2017-07-02</v>
      </c>
      <c r="AN78" s="151" t="str">
        <f t="shared" ref="AN78:AN140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782</v>
      </c>
      <c r="B79" s="7">
        <v>4003</v>
      </c>
      <c r="C79" s="21" t="s">
        <v>202</v>
      </c>
      <c r="D79" s="21" t="s">
        <v>501</v>
      </c>
      <c r="E79" s="13">
        <v>42918.525185185186</v>
      </c>
      <c r="F79" s="13">
        <v>42918.529374999998</v>
      </c>
      <c r="G79" s="7">
        <v>1</v>
      </c>
      <c r="H79" s="21" t="s">
        <v>349</v>
      </c>
      <c r="I79" s="13">
        <v>42918.557534722226</v>
      </c>
      <c r="J79" s="7">
        <v>0</v>
      </c>
      <c r="K79" s="89" t="str">
        <f t="shared" si="29"/>
        <v>4003/4004</v>
      </c>
      <c r="L79" s="21" t="str">
        <f>VLOOKUP(A79,'Trips&amp;Operators'!$C$1:$G$99999,5,FALSE)</f>
        <v>BRUDER RICHARD</v>
      </c>
      <c r="M79" s="6">
        <f t="shared" si="30"/>
        <v>2.8159722227428574E-2</v>
      </c>
      <c r="N79" s="7">
        <f t="shared" si="27"/>
        <v>40.550000007497147</v>
      </c>
      <c r="O79" s="7"/>
      <c r="P79" s="7"/>
      <c r="Q79" s="22"/>
      <c r="R79" s="170"/>
      <c r="S79" s="213">
        <f t="shared" si="28"/>
        <v>1</v>
      </c>
      <c r="T79" s="195" t="str">
        <f t="shared" si="31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2"/>
        <v>https://d0f6bd738d7f1b3e5a7ca70fe4ff75f0.us-east-1.aws.found.io/app/kibana#/discover/Steve-Slow-Train-Analysis-(2080s-and-2083s)?_g=(refreshInterval:(display:Off,pause:!f,section:0,value:0),time:(from:'2017-07-02T11:36:16-0600',mode:absolute,to:'2017-07-02T14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9" s="197" t="str">
        <f>IF(AA79&lt;VLOOKUP(AG79,Variables!$AC$3:$AD$8,2,FALSE),"Y","N")</f>
        <v>N</v>
      </c>
      <c r="X79" s="197">
        <f t="shared" ref="X79:X85" si="44">VALUE(LEFT(AD79,4))-VALUE(LEFT(AD78,4))</f>
        <v>1</v>
      </c>
      <c r="Y79" s="197">
        <f t="shared" si="33"/>
        <v>23.2989</v>
      </c>
      <c r="Z79" s="197">
        <f t="shared" si="34"/>
        <v>1.49E-2</v>
      </c>
      <c r="AA79" s="197">
        <f t="shared" si="35"/>
        <v>23.283999999999999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6"/>
        <v>166</v>
      </c>
      <c r="AE79" s="77" t="str">
        <f t="shared" si="37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79" s="74" t="str">
        <f t="shared" si="38"/>
        <v>"C:\Program Files (x86)\AstroGrep\AstroGrep.exe" /e /r /s /spath="%USERPROFILE%\AppData\Local\Temp\OnboardLogs" /stypes="app*4003*20170702*" /stext=" 19:.+((SYSTEM_STATE.+slice.+state.+changed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40"/>
        <v>"%USERPROFILE%\Documents\GitHub\eaglep3\Utilities\RefineRTDCRunTimes.py" --tripid 166-02 --locoid 4003 --swversion DE.1.0.9.0 --startMP 204:232989 --initTime 2017-07-02T12:36:16 --startdatetime 2017-07-02T12:42:18 --delay 1 --endMP 204:149 --enddatetime 2017-07-02T13:22:51 --enforcementcount 0 &gt;&gt;C:\Users\stu\Documents\GitHub\eaglep3-reporting\EC\2017-07-02-refined-times.txt</v>
      </c>
      <c r="AI7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ID","value":"166-02"},{"id":16,"name":"Locomotive ID","value":"4003"},{"id":130,"name":"Impact","value":""},{"id":150,"name":"Time of Event (Mountain Time)","value":"13:22:51"},{"id":151,"name":"Denver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4003 --day 2017-07-02</v>
      </c>
      <c r="AN7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777</v>
      </c>
      <c r="B80" s="7">
        <v>4042</v>
      </c>
      <c r="C80" s="21" t="s">
        <v>202</v>
      </c>
      <c r="D80" s="21" t="s">
        <v>351</v>
      </c>
      <c r="E80" s="13">
        <v>42918.498379629629</v>
      </c>
      <c r="F80" s="13">
        <v>42918.500520833331</v>
      </c>
      <c r="G80" s="7">
        <v>1</v>
      </c>
      <c r="H80" s="21" t="s">
        <v>908</v>
      </c>
      <c r="I80" s="13">
        <v>42918.527743055558</v>
      </c>
      <c r="J80" s="7">
        <v>0</v>
      </c>
      <c r="K80" s="89" t="str">
        <f t="shared" si="29"/>
        <v>4041/4042</v>
      </c>
      <c r="L80" s="21" t="str">
        <f>VLOOKUP(A80,'Trips&amp;Operators'!$C$1:$G$99999,5,FALSE)</f>
        <v>SULLIVAN BRANDON</v>
      </c>
      <c r="M80" s="6">
        <f t="shared" si="30"/>
        <v>2.7222222226555459E-2</v>
      </c>
      <c r="N80" s="7">
        <f t="shared" si="27"/>
        <v>39.200000006239861</v>
      </c>
      <c r="O80" s="7"/>
      <c r="P80" s="7"/>
      <c r="Q80" s="22"/>
      <c r="R80" s="170"/>
      <c r="S80" s="213">
        <f t="shared" si="28"/>
        <v>1</v>
      </c>
      <c r="T80" s="195" t="str">
        <f t="shared" si="31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2"/>
        <v>https://d0f6bd738d7f1b3e5a7ca70fe4ff75f0.us-east-1.aws.found.io/app/kibana#/discover/Steve-Slow-Train-Analysis-(2080s-and-2083s)?_g=(refreshInterval:(display:Off,pause:!f,section:0,value:0),time:(from:'2017-07-02T10:57:40-0600',mode:absolute,to:'2017-07-02T13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197" t="str">
        <f>IF(AA80&lt;VLOOKUP(AG80,Variables!$AC$3:$AD$8,2,FALSE),"Y","N")</f>
        <v>N</v>
      </c>
      <c r="X80" s="197">
        <f t="shared" si="44"/>
        <v>1</v>
      </c>
      <c r="Y80" s="197">
        <f t="shared" si="33"/>
        <v>4.6600000000000003E-2</v>
      </c>
      <c r="Z80" s="197">
        <f t="shared" si="34"/>
        <v>23.331099999999999</v>
      </c>
      <c r="AA80" s="197">
        <f t="shared" si="35"/>
        <v>23.284499999999998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6"/>
        <v>167</v>
      </c>
      <c r="AE80" s="77" t="str">
        <f t="shared" si="37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80" s="74" t="str">
        <f t="shared" si="38"/>
        <v>"C:\Program Files (x86)\AstroGrep\AstroGrep.exe" /e /r /s /spath="%USERPROFILE%\AppData\Local\Temp\OnboardLogs" /stypes="app*4042*20170702*" /stext=" 18:.+((SYSTEM_STATE.+slice.+state.+changed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40"/>
        <v>"%USERPROFILE%\Documents\GitHub\eaglep3\Utilities\RefineRTDCRunTimes.py" --tripid 167-02 --locoid 4042 --swversion DE.1.0.9.0 --startMP 204:466 --initTime 2017-07-02T11:57:40 --startdatetime 2017-07-02T12:00:45 --delay 1 --endMP 204:233311 --enddatetime 2017-07-02T12:39:57 --enforcementcount 0 &gt;&gt;C:\Users\stu\Documents\GitHub\eaglep3-reporting\EC\2017-07-02-refined-times.txt</v>
      </c>
      <c r="AI8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{"issue":{"subject":"","project_id":79,"tracker_id":40,"status_id":1,"priority_id":2,"assigned_to_id":23,"start_date":"2017-07-02","description":"","custom_fields":[{"id":1,"name":"Subdivision","value":"EC"},{"id":4,"name":"Milepost","value":"23.3311"},{"id":17,"name":"Train ID","value":"167-02"},{"id":16,"name":"Locomotive ID","value":"4042"},{"id":130,"name":"Impact","value":""},{"id":150,"name":"Time of Event (Mountain Time)","value":"12:39:57"},{"id":151,"name":"Denver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4042 --day 2017-07-02</v>
      </c>
      <c r="AN80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652</v>
      </c>
      <c r="B81" s="7">
        <v>4041</v>
      </c>
      <c r="C81" s="21" t="s">
        <v>202</v>
      </c>
      <c r="D81" s="21" t="s">
        <v>474</v>
      </c>
      <c r="E81" s="13">
        <v>42918.533865740741</v>
      </c>
      <c r="F81" s="13">
        <v>42918.539814814816</v>
      </c>
      <c r="G81" s="7">
        <v>1</v>
      </c>
      <c r="H81" s="21" t="s">
        <v>349</v>
      </c>
      <c r="I81" s="13">
        <v>42918.571273148147</v>
      </c>
      <c r="J81" s="7">
        <v>0</v>
      </c>
      <c r="K81" s="89" t="str">
        <f t="shared" si="29"/>
        <v>4041/4042</v>
      </c>
      <c r="L81" s="21" t="str">
        <f>VLOOKUP(A81,'Trips&amp;Operators'!$C$1:$G$99999,5,FALSE)</f>
        <v>SULLIVAN BRANDON</v>
      </c>
      <c r="M81" s="6">
        <f t="shared" si="30"/>
        <v>3.145833333110204E-2</v>
      </c>
      <c r="N81" s="7">
        <f t="shared" si="27"/>
        <v>45.299999996786937</v>
      </c>
      <c r="O81" s="7"/>
      <c r="P81" s="7"/>
      <c r="Q81" s="22"/>
      <c r="R81" s="170"/>
      <c r="S81" s="213">
        <f t="shared" si="28"/>
        <v>1</v>
      </c>
      <c r="T81" s="195" t="str">
        <f t="shared" si="31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2"/>
        <v>https://d0f6bd738d7f1b3e5a7ca70fe4ff75f0.us-east-1.aws.found.io/app/kibana#/discover/Steve-Slow-Train-Analysis-(2080s-and-2083s)?_g=(refreshInterval:(display:Off,pause:!f,section:0,value:0),time:(from:'2017-07-02T11:48:46-0600',mode:absolute,to:'2017-07-02T14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197" t="str">
        <f>IF(AA81&lt;VLOOKUP(AG81,Variables!$AC$3:$AD$8,2,FALSE),"Y","N")</f>
        <v>N</v>
      </c>
      <c r="X81" s="197">
        <f t="shared" si="44"/>
        <v>1</v>
      </c>
      <c r="Y81" s="197">
        <f t="shared" si="33"/>
        <v>23.3</v>
      </c>
      <c r="Z81" s="197">
        <f t="shared" si="34"/>
        <v>1.49E-2</v>
      </c>
      <c r="AA81" s="197">
        <f t="shared" si="35"/>
        <v>23.2851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6"/>
        <v>168</v>
      </c>
      <c r="AE81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81" s="74" t="str">
        <f t="shared" si="38"/>
        <v>"C:\Program Files (x86)\AstroGrep\AstroGrep.exe" /e /r /s /spath="%USERPROFILE%\AppData\Local\Temp\OnboardLogs" /stypes="app*4041*20170702*" /stext=" 19:.+((SYSTEM_STATE.+slice.+state.+changed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40"/>
        <v>"%USERPROFILE%\Documents\GitHub\eaglep3\Utilities\RefineRTDCRunTimes.py" --tripid 168-02 --locoid 4041 --swversion DE.1.0.9.0 --startMP 204:233000 --initTime 2017-07-02T12:48:46 --startdatetime 2017-07-02T12:57:20 --delay 1 --endMP 204:149 --enddatetime 2017-07-02T13:42:38 --enforcementcount 0 &gt;&gt;C:\Users\stu\Documents\GitHub\eaglep3-reporting\EC\2017-07-02-refined-times.txt</v>
      </c>
      <c r="AI8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ID","value":"168-02"},{"id":16,"name":"Locomotive ID","value":"4041"},{"id":130,"name":"Impact","value":""},{"id":150,"name":"Time of Event (Mountain Time)","value":"13:42:38"},{"id":151,"name":"Denver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4041 --day 2017-07-02</v>
      </c>
      <c r="AN8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19:42:38"},{"id":29,"name":"Sharepoint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779</v>
      </c>
      <c r="B82" s="7">
        <v>4064</v>
      </c>
      <c r="C82" s="21" t="s">
        <v>202</v>
      </c>
      <c r="D82" s="21" t="s">
        <v>354</v>
      </c>
      <c r="E82" s="13">
        <v>42918.505127314813</v>
      </c>
      <c r="F82" s="13">
        <v>42918.510671296295</v>
      </c>
      <c r="G82" s="7">
        <v>3</v>
      </c>
      <c r="H82" s="21" t="s">
        <v>552</v>
      </c>
      <c r="I82" s="13">
        <v>42918.537199074075</v>
      </c>
      <c r="J82" s="7">
        <v>0</v>
      </c>
      <c r="K82" s="89" t="str">
        <f t="shared" si="29"/>
        <v>4063/4064</v>
      </c>
      <c r="L82" s="21" t="str">
        <f>VLOOKUP(A82,'Trips&amp;Operators'!$C$1:$G$99999,5,FALSE)</f>
        <v>DELGADO DIANAH</v>
      </c>
      <c r="M82" s="6">
        <f t="shared" si="30"/>
        <v>2.6527777779847383E-2</v>
      </c>
      <c r="N82" s="7">
        <f t="shared" si="27"/>
        <v>38.200000002980232</v>
      </c>
      <c r="O82" s="7"/>
      <c r="P82" s="7"/>
      <c r="Q82" s="22"/>
      <c r="R82" s="170"/>
      <c r="S82" s="213">
        <f t="shared" si="28"/>
        <v>1</v>
      </c>
      <c r="T82" s="195" t="str">
        <f t="shared" si="31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2"/>
        <v>https://d0f6bd738d7f1b3e5a7ca70fe4ff75f0.us-east-1.aws.found.io/app/kibana#/discover/Steve-Slow-Train-Analysis-(2080s-and-2083s)?_g=(refreshInterval:(display:Off,pause:!f,section:0,value:0),time:(from:'2017-07-02T11:07:23-0600',mode:absolute,to:'2017-07-02T13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2" s="197" t="str">
        <f>IF(AA82&lt;VLOOKUP(AG82,Variables!$AC$3:$AD$8,2,FALSE),"Y","N")</f>
        <v>N</v>
      </c>
      <c r="X82" s="197">
        <f t="shared" si="44"/>
        <v>1</v>
      </c>
      <c r="Y82" s="197">
        <f t="shared" si="33"/>
        <v>4.53E-2</v>
      </c>
      <c r="Z82" s="197">
        <f t="shared" si="34"/>
        <v>23.337199999999999</v>
      </c>
      <c r="AA82" s="197">
        <f t="shared" si="35"/>
        <v>23.291899999999998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6"/>
        <v>169</v>
      </c>
      <c r="AE82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82" s="74" t="str">
        <f t="shared" si="38"/>
        <v>"C:\Program Files (x86)\AstroGrep\AstroGrep.exe" /e /r /s /spath="%USERPROFILE%\AppData\Local\Temp\OnboardLogs" /stypes="app*4064*20170702*" /stext=" 18:.+((SYSTEM_STATE.+slice.+state.+changed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40"/>
        <v>"%USERPROFILE%\Documents\GitHub\eaglep3\Utilities\RefineRTDCRunTimes.py" --tripid 169-02 --locoid 4064 --swversion DE.1.0.9.0 --startMP 204:453 --initTime 2017-07-02T12:07:23 --startdatetime 2017-07-02T12:15:22 --delay 3 --endMP 204:233372 --enddatetime 2017-07-02T12:53:34 --enforcementcount 0 &gt;&gt;C:\Users\stu\Documents\GitHub\eaglep3-reporting\EC\2017-07-02-refined-times.txt</v>
      </c>
      <c r="AI82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{"issue":{"subject":"","project_id":79,"tracker_id":40,"status_id":1,"priority_id":2,"assigned_to_id":23,"start_date":"2017-07-02","description":"","custom_fields":[{"id":1,"name":"Subdivision","value":"EC"},{"id":4,"name":"Milepost","value":"23.3372"},{"id":17,"name":"Train ID","value":"169-02"},{"id":16,"name":"Locomotive ID","value":"4064"},{"id":130,"name":"Impact","value":""},{"id":150,"name":"Time of Event (Mountain Time)","value":"12:53:34"},{"id":151,"name":"Denver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4064 --day 2017-07-02</v>
      </c>
      <c r="AN82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787</v>
      </c>
      <c r="B83" s="7">
        <v>4063</v>
      </c>
      <c r="C83" s="21" t="s">
        <v>202</v>
      </c>
      <c r="D83" s="21" t="s">
        <v>516</v>
      </c>
      <c r="E83" s="13">
        <v>42918.545300925929</v>
      </c>
      <c r="F83" s="13">
        <v>42918.550173611111</v>
      </c>
      <c r="G83" s="7">
        <v>1</v>
      </c>
      <c r="H83" s="21" t="s">
        <v>601</v>
      </c>
      <c r="I83" s="13">
        <v>42918.579375000001</v>
      </c>
      <c r="J83" s="7">
        <v>0</v>
      </c>
      <c r="K83" s="89" t="str">
        <f t="shared" si="29"/>
        <v>4063/4064</v>
      </c>
      <c r="L83" s="21" t="str">
        <f>VLOOKUP(A83,'Trips&amp;Operators'!$C$1:$G$99999,5,FALSE)</f>
        <v>DELGADO DIANAH</v>
      </c>
      <c r="M83" s="6">
        <f t="shared" si="30"/>
        <v>2.920138889021473E-2</v>
      </c>
      <c r="N83" s="7">
        <f t="shared" si="27"/>
        <v>42.050000001909211</v>
      </c>
      <c r="O83" s="7"/>
      <c r="P83" s="7"/>
      <c r="Q83" s="22"/>
      <c r="R83" s="170"/>
      <c r="S83" s="213">
        <f t="shared" si="28"/>
        <v>1</v>
      </c>
      <c r="T83" s="195" t="str">
        <f t="shared" si="31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2"/>
        <v>https://d0f6bd738d7f1b3e5a7ca70fe4ff75f0.us-east-1.aws.found.io/app/kibana#/discover/Steve-Slow-Train-Analysis-(2080s-and-2083s)?_g=(refreshInterval:(display:Off,pause:!f,section:0,value:0),time:(from:'2017-07-02T12:05:14-0600',mode:absolute,to:'2017-07-02T14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3" s="197" t="str">
        <f>IF(AA83&lt;VLOOKUP(AG83,Variables!$AC$3:$AD$8,2,FALSE),"Y","N")</f>
        <v>N</v>
      </c>
      <c r="X83" s="197">
        <f t="shared" si="44"/>
        <v>1</v>
      </c>
      <c r="Y83" s="197">
        <f t="shared" si="33"/>
        <v>23.3049</v>
      </c>
      <c r="Z83" s="197">
        <f t="shared" si="34"/>
        <v>1.6500000000000001E-2</v>
      </c>
      <c r="AA83" s="197">
        <f t="shared" si="35"/>
        <v>23.288399999999999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6"/>
        <v>170</v>
      </c>
      <c r="AE83" s="77" t="str">
        <f t="shared" si="37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83" s="74" t="str">
        <f t="shared" si="38"/>
        <v>"C:\Program Files (x86)\AstroGrep\AstroGrep.exe" /e /r /s /spath="%USERPROFILE%\AppData\Local\Temp\OnboardLogs" /stypes="app*4063*20170702*" /stext=" 19:.+((SYSTEM_STATE.+slice.+state.+changed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40"/>
        <v>"%USERPROFILE%\Documents\GitHub\eaglep3\Utilities\RefineRTDCRunTimes.py" --tripid 170-02 --locoid 4063 --swversion DE.1.0.9.0 --startMP 204:233049 --initTime 2017-07-02T13:05:14 --startdatetime 2017-07-02T13:12:15 --delay 1 --endMP 204:165 --enddatetime 2017-07-02T13:54:18 --enforcementcount 0 &gt;&gt;C:\Users\stu\Documents\GitHub\eaglep3-reporting\EC\2017-07-02-refined-times.txt</v>
      </c>
      <c r="AI8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{"issue":{"subject":"","project_id":79,"tracker_id":40,"status_id":1,"priority_id":2,"assigned_to_id":23,"start_date":"2017-07-02","description":"","custom_fields":[{"id":1,"name":"Subdivision","value":"EC"},{"id":4,"name":"Milepost","value":"0.0165"},{"id":17,"name":"Train ID","value":"170-02"},{"id":16,"name":"Locomotive ID","value":"4063"},{"id":130,"name":"Impact","value":""},{"id":150,"name":"Time of Event (Mountain Time)","value":"13:54:18"},{"id":151,"name":"Denver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4063 --day 2017-07-02</v>
      </c>
      <c r="AN83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780</v>
      </c>
      <c r="B84" s="7">
        <v>4054</v>
      </c>
      <c r="C84" s="21" t="s">
        <v>202</v>
      </c>
      <c r="D84" s="21" t="s">
        <v>435</v>
      </c>
      <c r="E84" s="13">
        <v>42918.517835648148</v>
      </c>
      <c r="F84" s="13">
        <v>42918.521412037036</v>
      </c>
      <c r="G84" s="7">
        <v>1</v>
      </c>
      <c r="H84" s="21" t="s">
        <v>880</v>
      </c>
      <c r="I84" s="13">
        <v>42918.547013888892</v>
      </c>
      <c r="J84" s="7">
        <v>0</v>
      </c>
      <c r="K84" s="89" t="str">
        <f t="shared" si="29"/>
        <v>4053/4054</v>
      </c>
      <c r="L84" s="21" t="str">
        <f>VLOOKUP(A84,'Trips&amp;Operators'!$C$1:$G$99999,5,FALSE)</f>
        <v>ROMERO CHAD</v>
      </c>
      <c r="M84" s="6">
        <f t="shared" si="30"/>
        <v>2.5601851855753921E-2</v>
      </c>
      <c r="N84" s="7">
        <f t="shared" si="27"/>
        <v>36.866666672285646</v>
      </c>
      <c r="O84" s="7"/>
      <c r="P84" s="7"/>
      <c r="Q84" s="22"/>
      <c r="R84" s="170"/>
      <c r="S84" s="213">
        <f t="shared" si="28"/>
        <v>1</v>
      </c>
      <c r="T84" s="195" t="str">
        <f t="shared" si="31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2"/>
        <v>https://d0f6bd738d7f1b3e5a7ca70fe4ff75f0.us-east-1.aws.found.io/app/kibana#/discover/Steve-Slow-Train-Analysis-(2080s-and-2083s)?_g=(refreshInterval:(display:Off,pause:!f,section:0,value:0),time:(from:'2017-07-02T11:25:41-0600',mode:absolute,to:'2017-07-02T14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4" s="197" t="str">
        <f>IF(AA84&lt;VLOOKUP(AG84,Variables!$AC$3:$AD$8,2,FALSE),"Y","N")</f>
        <v>N</v>
      </c>
      <c r="X84" s="197">
        <f t="shared" si="44"/>
        <v>1</v>
      </c>
      <c r="Y84" s="197">
        <f t="shared" si="33"/>
        <v>4.6699999999999998E-2</v>
      </c>
      <c r="Z84" s="197">
        <f t="shared" si="34"/>
        <v>23.3337</v>
      </c>
      <c r="AA84" s="197">
        <f t="shared" si="35"/>
        <v>23.286999999999999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6"/>
        <v>171</v>
      </c>
      <c r="AE84" s="77" t="str">
        <f t="shared" si="37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84" s="74" t="str">
        <f t="shared" si="38"/>
        <v>"C:\Program Files (x86)\AstroGrep\AstroGrep.exe" /e /r /s /spath="%USERPROFILE%\AppData\Local\Temp\OnboardLogs" /stypes="app*4054*20170702*" /stext=" 19:.+((SYSTEM_STATE.+slice.+state.+changed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40"/>
        <v>"%USERPROFILE%\Documents\GitHub\eaglep3\Utilities\RefineRTDCRunTimes.py" --tripid 171-02 --locoid 4054 --swversion DE.1.0.9.0 --startMP 204:467 --initTime 2017-07-02T12:25:41 --startdatetime 2017-07-02T12:30:50 --delay 1 --endMP 204:233337 --enddatetime 2017-07-02T13:07:42 --enforcementcount 0 &gt;&gt;C:\Users\stu\Documents\GitHub\eaglep3-reporting\EC\2017-07-02-refined-times.txt</v>
      </c>
      <c r="AI8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{"issue":{"subject":"","project_id":79,"tracker_id":40,"status_id":1,"priority_id":2,"assigned_to_id":23,"start_date":"2017-07-02","description":"","custom_fields":[{"id":1,"name":"Subdivision","value":"EC"},{"id":4,"name":"Milepost","value":"23.3337"},{"id":17,"name":"Train ID","value":"171-02"},{"id":16,"name":"Locomotive ID","value":"4054"},{"id":130,"name":"Impact","value":""},{"id":150,"name":"Time of Event (Mountain Time)","value":"13:07:42"},{"id":151,"name":"Denver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4054 --day 2017-07-02</v>
      </c>
      <c r="AN84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788</v>
      </c>
      <c r="B85" s="7">
        <v>4053</v>
      </c>
      <c r="C85" s="21" t="s">
        <v>202</v>
      </c>
      <c r="D85" s="21" t="s">
        <v>866</v>
      </c>
      <c r="E85" s="13">
        <v>42918.548020833332</v>
      </c>
      <c r="F85" s="13">
        <v>42918.560613425929</v>
      </c>
      <c r="G85" s="7">
        <v>15</v>
      </c>
      <c r="H85" s="21" t="s">
        <v>909</v>
      </c>
      <c r="I85" s="13">
        <v>42918.587638888886</v>
      </c>
      <c r="J85" s="7">
        <v>0</v>
      </c>
      <c r="K85" s="89" t="str">
        <f t="shared" si="29"/>
        <v>4053/4054</v>
      </c>
      <c r="L85" s="21" t="str">
        <f>VLOOKUP(A85,'Trips&amp;Operators'!$C$1:$G$99999,5,FALSE)</f>
        <v>ROMERO CHAD</v>
      </c>
      <c r="M85" s="6">
        <f t="shared" si="30"/>
        <v>2.7025462957681157E-2</v>
      </c>
      <c r="N85" s="7">
        <f t="shared" si="27"/>
        <v>38.916666659060866</v>
      </c>
      <c r="O85" s="7"/>
      <c r="P85" s="7"/>
      <c r="Q85" s="22"/>
      <c r="R85" s="170"/>
      <c r="S85" s="213">
        <f t="shared" si="28"/>
        <v>1</v>
      </c>
      <c r="T85" s="195" t="str">
        <f t="shared" si="31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2"/>
        <v>https://d0f6bd738d7f1b3e5a7ca70fe4ff75f0.us-east-1.aws.found.io/app/kibana#/discover/Steve-Slow-Train-Analysis-(2080s-and-2083s)?_g=(refreshInterval:(display:Off,pause:!f,section:0,value:0),time:(from:'2017-07-02T12:09:09-0600',mode:absolute,to:'2017-07-02T15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5" s="197" t="str">
        <f>IF(AA85&lt;VLOOKUP(AG85,Variables!$AC$3:$AD$8,2,FALSE),"Y","N")</f>
        <v>N</v>
      </c>
      <c r="X85" s="197">
        <f t="shared" si="44"/>
        <v>1</v>
      </c>
      <c r="Y85" s="197">
        <f t="shared" si="33"/>
        <v>23.3017</v>
      </c>
      <c r="Z85" s="197">
        <f t="shared" si="34"/>
        <v>1.18E-2</v>
      </c>
      <c r="AA85" s="197">
        <f t="shared" si="35"/>
        <v>23.289899999999999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6"/>
        <v>172</v>
      </c>
      <c r="AE85" s="77" t="str">
        <f t="shared" si="37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85" s="74" t="str">
        <f t="shared" si="38"/>
        <v>"C:\Program Files (x86)\AstroGrep\AstroGrep.exe" /e /r /s /spath="%USERPROFILE%\AppData\Local\Temp\OnboardLogs" /stypes="app*4053*20170702*" /stext=" 20:.+((SYSTEM_STATE.+slice.+state.+changed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40"/>
        <v>"%USERPROFILE%\Documents\GitHub\eaglep3\Utilities\RefineRTDCRunTimes.py" --tripid 172-02 --locoid 4053 --swversion DE.1.0.9.0 --startMP 204:233017 --initTime 2017-07-02T13:09:09 --startdatetime 2017-07-02T13:27:17 --delay 15 --endMP 204:118 --enddatetime 2017-07-02T14:06:12 --enforcementcount 0 &gt;&gt;C:\Users\stu\Documents\GitHub\eaglep3-reporting\EC\2017-07-02-refined-times.txt</v>
      </c>
      <c r="AI8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{"issue":{"subject":"","project_id":79,"tracker_id":40,"status_id":1,"priority_id":2,"assigned_to_id":23,"start_date":"2017-07-02","description":"","custom_fields":[{"id":1,"name":"Subdivision","value":"EC"},{"id":4,"name":"Milepost","value":"0.0118"},{"id":17,"name":"Train ID","value":"172-02"},{"id":16,"name":"Locomotive ID","value":"4053"},{"id":130,"name":"Impact","value":""},{"id":150,"name":"Time of Event (Mountain Time)","value":"14:06:12"},{"id":151,"name":"Denver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4053 --day 2017-07-02</v>
      </c>
      <c r="AN8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650</v>
      </c>
      <c r="B86" s="7">
        <v>4022</v>
      </c>
      <c r="C86" s="21" t="s">
        <v>202</v>
      </c>
      <c r="D86" s="21" t="s">
        <v>442</v>
      </c>
      <c r="E86" s="13">
        <v>42918.529247685183</v>
      </c>
      <c r="F86" s="13">
        <v>42918.53197916667</v>
      </c>
      <c r="G86" s="7">
        <v>1</v>
      </c>
      <c r="H86" s="21" t="s">
        <v>910</v>
      </c>
      <c r="I86" s="13">
        <v>42918.564456018517</v>
      </c>
      <c r="J86" s="7">
        <v>0</v>
      </c>
      <c r="K86" s="89" t="str">
        <f t="shared" si="29"/>
        <v>4021/4022</v>
      </c>
      <c r="L86" s="21" t="str">
        <f>VLOOKUP(A86,'Trips&amp;Operators'!$C$1:$G$99999,5,FALSE)</f>
        <v>NELSON ARIANE</v>
      </c>
      <c r="M86" s="6">
        <f t="shared" si="30"/>
        <v>3.2476851847604848E-2</v>
      </c>
      <c r="N86" s="7">
        <f t="shared" si="27"/>
        <v>46.766666660550982</v>
      </c>
      <c r="O86" s="7"/>
      <c r="P86" s="7"/>
      <c r="Q86" s="22"/>
      <c r="R86" s="170"/>
      <c r="S86" s="213">
        <f t="shared" si="28"/>
        <v>1</v>
      </c>
      <c r="T86" s="195" t="str">
        <f t="shared" si="31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2"/>
        <v>https://d0f6bd738d7f1b3e5a7ca70fe4ff75f0.us-east-1.aws.found.io/app/kibana#/discover/Steve-Slow-Train-Analysis-(2080s-and-2083s)?_g=(refreshInterval:(display:Off,pause:!f,section:0,value:0),time:(from:'2017-07-02T11:42:07-0600',mode:absolute,to:'2017-07-02T14:32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6" s="197" t="str">
        <f>IF(AA86&lt;VLOOKUP(AG86,Variables!$AC$3:$AD$8,2,FALSE),"Y","N")</f>
        <v>N</v>
      </c>
      <c r="X86" s="197">
        <f t="shared" ref="X86:X117" si="45">VALUE(LEFT(AD86,4))-VALUE(LEFT(AD85,4))</f>
        <v>1</v>
      </c>
      <c r="Y86" s="197">
        <f t="shared" si="33"/>
        <v>4.6899999999999997E-2</v>
      </c>
      <c r="Z86" s="197">
        <f t="shared" si="34"/>
        <v>23.3278</v>
      </c>
      <c r="AA86" s="197">
        <f t="shared" si="35"/>
        <v>23.280899999999999</v>
      </c>
      <c r="AB86" s="54" t="str">
        <f>VLOOKUP(A86,Enforcements!$C$7:$K$13,8,0)</f>
        <v>Bulletin (2)</v>
      </c>
      <c r="AC86" s="51" t="str">
        <f>VLOOKUP(A86,Enforcements!$C$7:$E$13,3,0)</f>
        <v>GRADE CROSSING</v>
      </c>
      <c r="AD86" s="206">
        <f t="shared" si="36"/>
        <v>173</v>
      </c>
      <c r="AE86" s="77" t="str">
        <f t="shared" si="37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86" s="74" t="str">
        <f t="shared" si="38"/>
        <v>"C:\Program Files (x86)\AstroGrep\AstroGrep.exe" /e /r /s /spath="%USERPROFILE%\AppData\Local\Temp\OnboardLogs" /stypes="app*4022*20170702*" /stext=" 19:.+((SYSTEM_STATE.+slice.+state.+changed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40"/>
        <v>"%USERPROFILE%\Documents\GitHub\eaglep3\Utilities\RefineRTDCRunTimes.py" --tripid 173-02 --locoid 4022 --swversion DE.1.0.9.0 --startMP 204:469 --initTime 2017-07-02T12:42:07 --startdatetime 2017-07-02T12:46:03 --delay 1 --endMP 204:233278 --enddatetime 2017-07-02T13:32:49 --enforcementcount 0 &gt;&gt;C:\Users\stu\Documents\GitHub\eaglep3-reporting\EC\2017-07-02-refined-times.txt</v>
      </c>
      <c r="AI8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{"issue":{"subject":"","project_id":79,"tracker_id":40,"status_id":1,"priority_id":2,"assigned_to_id":23,"start_date":"2017-07-02","description":"","custom_fields":[{"id":1,"name":"Subdivision","value":"EC"},{"id":4,"name":"Milepost","value":"23.3278"},{"id":17,"name":"Train ID","value":"173-02"},{"id":16,"name":"Locomotive ID","value":"4022"},{"id":130,"name":"Impact","value":""},{"id":150,"name":"Time of Event (Mountain Time)","value":"13:32:49"},{"id":151,"name":"Denver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4022 --day 2017-07-02</v>
      </c>
      <c r="AN86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19:32:49"},{"id":29,"name":"Sharepoint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790</v>
      </c>
      <c r="B87" s="7">
        <v>4021</v>
      </c>
      <c r="C87" s="21" t="s">
        <v>202</v>
      </c>
      <c r="D87" s="21" t="s">
        <v>911</v>
      </c>
      <c r="E87" s="13">
        <v>42918.568877314814</v>
      </c>
      <c r="F87" s="13">
        <v>42918.571122685185</v>
      </c>
      <c r="G87" s="7">
        <v>2</v>
      </c>
      <c r="H87" s="21" t="s">
        <v>359</v>
      </c>
      <c r="I87" s="13">
        <v>42918.602002314816</v>
      </c>
      <c r="J87" s="7">
        <v>0</v>
      </c>
      <c r="K87" s="89" t="str">
        <f t="shared" si="29"/>
        <v>4021/4022</v>
      </c>
      <c r="L87" s="21" t="str">
        <f>VLOOKUP(A87,'Trips&amp;Operators'!$C$1:$G$99999,5,FALSE)</f>
        <v>NELSON ARIANE</v>
      </c>
      <c r="M87" s="6">
        <f t="shared" si="30"/>
        <v>3.0879629630362615E-2</v>
      </c>
      <c r="N87" s="7">
        <f t="shared" si="27"/>
        <v>44.466666667722166</v>
      </c>
      <c r="O87" s="7"/>
      <c r="P87" s="7"/>
      <c r="Q87" s="22"/>
      <c r="R87" s="170"/>
      <c r="S87" s="213">
        <f t="shared" si="28"/>
        <v>1</v>
      </c>
      <c r="T87" s="195" t="str">
        <f t="shared" si="31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2"/>
        <v>https://d0f6bd738d7f1b3e5a7ca70fe4ff75f0.us-east-1.aws.found.io/app/kibana#/discover/Steve-Slow-Train-Analysis-(2080s-and-2083s)?_g=(refreshInterval:(display:Off,pause:!f,section:0,value:0),time:(from:'2017-07-02T12:39:11-0600',mode:absolute,to:'2017-07-02T15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7" s="197" t="str">
        <f>IF(AA87&lt;VLOOKUP(AG87,Variables!$AC$3:$AD$8,2,FALSE),"Y","N")</f>
        <v>N</v>
      </c>
      <c r="X87" s="197">
        <f t="shared" si="45"/>
        <v>1</v>
      </c>
      <c r="Y87" s="197">
        <f t="shared" si="33"/>
        <v>23.296199999999999</v>
      </c>
      <c r="Z87" s="197">
        <f t="shared" si="34"/>
        <v>1.47E-2</v>
      </c>
      <c r="AA87" s="197">
        <f t="shared" si="35"/>
        <v>23.281499999999998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6"/>
        <v>174</v>
      </c>
      <c r="AE87" s="77" t="str">
        <f t="shared" si="37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87" s="74" t="str">
        <f t="shared" si="38"/>
        <v>"C:\Program Files (x86)\AstroGrep\AstroGrep.exe" /e /r /s /spath="%USERPROFILE%\AppData\Local\Temp\OnboardLogs" /stypes="app*4021*20170702*" /stext=" 20:.+((SYSTEM_STATE.+slice.+state.+changed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40"/>
        <v>"%USERPROFILE%\Documents\GitHub\eaglep3\Utilities\RefineRTDCRunTimes.py" --tripid 174-02 --locoid 4021 --swversion DE.1.0.9.0 --startMP 204:232962 --initTime 2017-07-02T13:39:11 --startdatetime 2017-07-02T13:42:25 --delay 2 --endMP 204:147 --enddatetime 2017-07-02T14:26:53 --enforcementcount 0 &gt;&gt;C:\Users\stu\Documents\GitHub\eaglep3-reporting\EC\2017-07-02-refined-times.txt</v>
      </c>
      <c r="AI8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{"issue":{"subject":"","project_id":79,"tracker_id":40,"status_id":1,"priority_id":2,"assigned_to_id":23,"start_date":"2017-07-02","description":"","custom_fields":[{"id":1,"name":"Subdivision","value":"EC"},{"id":4,"name":"Milepost","value":"0.0147"},{"id":17,"name":"Train ID","value":"174-02"},{"id":16,"name":"Locomotive ID","value":"4021"},{"id":130,"name":"Impact","value":""},{"id":150,"name":"Time of Event (Mountain Time)","value":"14:26:53"},{"id":151,"name":"Denver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4021 --day 2017-07-02</v>
      </c>
      <c r="AN87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651</v>
      </c>
      <c r="B88" s="7">
        <v>4044</v>
      </c>
      <c r="C88" s="21" t="s">
        <v>202</v>
      </c>
      <c r="D88" s="21" t="s">
        <v>912</v>
      </c>
      <c r="E88" s="13">
        <v>42918.541898148149</v>
      </c>
      <c r="F88" s="13">
        <v>42918.543240740742</v>
      </c>
      <c r="G88" s="7">
        <v>1</v>
      </c>
      <c r="H88" s="21" t="s">
        <v>913</v>
      </c>
      <c r="I88" s="13">
        <v>42918.574895833335</v>
      </c>
      <c r="J88" s="7">
        <v>0</v>
      </c>
      <c r="K88" s="89" t="str">
        <f t="shared" si="29"/>
        <v>4043/4044</v>
      </c>
      <c r="L88" s="21" t="str">
        <f>VLOOKUP(A88,'Trips&amp;Operators'!$C$1:$G$99999,5,FALSE)</f>
        <v>DAVIS MICHAEL</v>
      </c>
      <c r="M88" s="6">
        <f t="shared" si="30"/>
        <v>3.1655092592700385E-2</v>
      </c>
      <c r="N88" s="7">
        <f t="shared" si="27"/>
        <v>45.583333333488554</v>
      </c>
      <c r="O88" s="7"/>
      <c r="P88" s="7"/>
      <c r="Q88" s="22"/>
      <c r="R88" s="170"/>
      <c r="S88" s="213">
        <f t="shared" si="28"/>
        <v>1</v>
      </c>
      <c r="T88" s="195" t="str">
        <f t="shared" si="31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2"/>
        <v>https://d0f6bd738d7f1b3e5a7ca70fe4ff75f0.us-east-1.aws.found.io/app/kibana#/discover/Steve-Slow-Train-Analysis-(2080s-and-2083s)?_g=(refreshInterval:(display:Off,pause:!f,section:0,value:0),time:(from:'2017-07-02T12:00:20-0600',mode:absolute,to:'2017-07-02T14:47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197" t="str">
        <f>IF(AA88&lt;VLOOKUP(AG88,Variables!$AC$3:$AD$8,2,FALSE),"Y","N")</f>
        <v>N</v>
      </c>
      <c r="X88" s="197">
        <f t="shared" si="45"/>
        <v>1</v>
      </c>
      <c r="Y88" s="197">
        <f t="shared" si="33"/>
        <v>4.3299999999999998E-2</v>
      </c>
      <c r="Z88" s="197">
        <f t="shared" si="34"/>
        <v>23.331600000000002</v>
      </c>
      <c r="AA88" s="197">
        <f t="shared" si="35"/>
        <v>23.288300000000003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6"/>
        <v>175</v>
      </c>
      <c r="AE88" s="77" t="str">
        <f t="shared" si="37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88" s="74" t="str">
        <f t="shared" si="38"/>
        <v>"C:\Program Files (x86)\AstroGrep\AstroGrep.exe" /e /r /s /spath="%USERPROFILE%\AppData\Local\Temp\OnboardLogs" /stypes="app*4044*20170702*" /stext=" 19:.+((SYSTEM_STATE.+slice.+state.+changed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40"/>
        <v>"%USERPROFILE%\Documents\GitHub\eaglep3\Utilities\RefineRTDCRunTimes.py" --tripid 175-02 --locoid 4044 --swversion DE.1.0.9.0 --startMP 204:433 --initTime 2017-07-02T13:00:20 --startdatetime 2017-07-02T13:02:16 --delay 1 --endMP 204:233316 --enddatetime 2017-07-02T13:47:51 --enforcementcount 0 &gt;&gt;C:\Users\stu\Documents\GitHub\eaglep3-reporting\EC\2017-07-02-refined-times.txt</v>
      </c>
      <c r="AI8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{"issue":{"subject":"","project_id":79,"tracker_id":40,"status_id":1,"priority_id":2,"assigned_to_id":23,"start_date":"2017-07-02","description":"","custom_fields":[{"id":1,"name":"Subdivision","value":"EC"},{"id":4,"name":"Milepost","value":"23.3316"},{"id":17,"name":"Train ID","value":"175-02"},{"id":16,"name":"Locomotive ID","value":"4044"},{"id":130,"name":"Impact","value":""},{"id":150,"name":"Time of Event (Mountain Time)","value":"13:47:51"},{"id":151,"name":"Denver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4044 --day 2017-07-02</v>
      </c>
      <c r="AN88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19:47:51"},{"id":29,"name":"Sharepoint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</row>
    <row r="89" spans="1:91" s="20" customFormat="1" x14ac:dyDescent="0.25">
      <c r="A89" s="32" t="s">
        <v>656</v>
      </c>
      <c r="B89" s="7">
        <v>4043</v>
      </c>
      <c r="C89" s="21" t="s">
        <v>202</v>
      </c>
      <c r="D89" s="21" t="s">
        <v>550</v>
      </c>
      <c r="E89" s="13">
        <v>42918.5784375</v>
      </c>
      <c r="F89" s="13">
        <v>42918.581678240742</v>
      </c>
      <c r="G89" s="7">
        <v>2</v>
      </c>
      <c r="H89" s="21" t="s">
        <v>359</v>
      </c>
      <c r="I89" s="13">
        <v>42918.61109953704</v>
      </c>
      <c r="J89" s="7">
        <v>0</v>
      </c>
      <c r="K89" s="89" t="str">
        <f t="shared" si="29"/>
        <v>4043/4044</v>
      </c>
      <c r="L89" s="21" t="str">
        <f>VLOOKUP(A89,'Trips&amp;Operators'!$C$1:$G$99999,5,FALSE)</f>
        <v>DAVIS MICHAEL</v>
      </c>
      <c r="M89" s="6">
        <f t="shared" si="30"/>
        <v>2.9421296298096422E-2</v>
      </c>
      <c r="N89" s="7">
        <f t="shared" si="27"/>
        <v>42.366666669258848</v>
      </c>
      <c r="O89" s="7"/>
      <c r="P89" s="7"/>
      <c r="Q89" s="22"/>
      <c r="R89" s="170"/>
      <c r="S89" s="213">
        <f t="shared" si="28"/>
        <v>1</v>
      </c>
      <c r="T89" s="195" t="str">
        <f t="shared" si="31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2"/>
        <v>https://d0f6bd738d7f1b3e5a7ca70fe4ff75f0.us-east-1.aws.found.io/app/kibana#/discover/Steve-Slow-Train-Analysis-(2080s-and-2083s)?_g=(refreshInterval:(display:Off,pause:!f,section:0,value:0),time:(from:'2017-07-02T12:52:57-0600',mode:absolute,to:'2017-07-02T15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197" t="str">
        <f>IF(AA89&lt;VLOOKUP(AG89,Variables!$AC$3:$AD$8,2,FALSE),"Y","N")</f>
        <v>N</v>
      </c>
      <c r="X89" s="197">
        <f t="shared" si="45"/>
        <v>1</v>
      </c>
      <c r="Y89" s="197">
        <f t="shared" si="33"/>
        <v>23.299800000000001</v>
      </c>
      <c r="Z89" s="197">
        <f t="shared" si="34"/>
        <v>1.47E-2</v>
      </c>
      <c r="AA89" s="197">
        <f t="shared" si="35"/>
        <v>23.2851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6"/>
        <v>176</v>
      </c>
      <c r="AE89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89" s="74" t="str">
        <f t="shared" si="38"/>
        <v>"C:\Program Files (x86)\AstroGrep\AstroGrep.exe" /e /r /s /spath="%USERPROFILE%\AppData\Local\Temp\OnboardLogs" /stypes="app*4043*20170702*" /stext=" 20:.+((SYSTEM_STATE.+slice.+state.+changed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40"/>
        <v>"%USERPROFILE%\Documents\GitHub\eaglep3\Utilities\RefineRTDCRunTimes.py" --tripid 176-02 --locoid 4043 --swversion DE.1.0.9.0 --startMP 204:232998 --initTime 2017-07-02T13:52:57 --startdatetime 2017-07-02T13:57:37 --delay 2 --endMP 204:147 --enddatetime 2017-07-02T14:39:59 --enforcementcount 0 &gt;&gt;C:\Users\stu\Documents\GitHub\eaglep3-reporting\EC\2017-07-02-refined-times.txt</v>
      </c>
      <c r="AI8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{"issue":{"subject":"","project_id":79,"tracker_id":40,"status_id":1,"priority_id":2,"assigned_to_id":23,"start_date":"2017-07-02","description":"","custom_fields":[{"id":1,"name":"Subdivision","value":"EC"},{"id":4,"name":"Milepost","value":"0.0147"},{"id":17,"name":"Train ID","value":"176-02"},{"id":16,"name":"Locomotive ID","value":"4043"},{"id":130,"name":"Impact","value":""},{"id":150,"name":"Time of Event (Mountain Time)","value":"14:39:59"},{"id":151,"name":"Denver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2" t="str">
        <f t="shared" si="42"/>
        <v>start /low /b %USERPROFILE%\Documents\GitHub\eaglep3\Utilities\DownloadLogsFromS3.py --loco 4043 --day 2017-07-02</v>
      </c>
      <c r="AN8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20:39:59"},{"id":29,"name":"Sharepoint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654</v>
      </c>
      <c r="B90" s="7">
        <v>4046</v>
      </c>
      <c r="C90" s="21" t="s">
        <v>202</v>
      </c>
      <c r="D90" s="21" t="s">
        <v>914</v>
      </c>
      <c r="E90" s="13">
        <v>42918.551944444444</v>
      </c>
      <c r="F90" s="13">
        <v>42918.561527777776</v>
      </c>
      <c r="G90" s="7">
        <v>12</v>
      </c>
      <c r="H90" s="21" t="s">
        <v>895</v>
      </c>
      <c r="I90" s="13">
        <v>42918.586273148147</v>
      </c>
      <c r="J90" s="7">
        <v>0</v>
      </c>
      <c r="K90" s="89" t="str">
        <f t="shared" si="29"/>
        <v>4045/4046</v>
      </c>
      <c r="L90" s="21" t="str">
        <f>VLOOKUP(A90,'Trips&amp;Operators'!$C$1:$G$99999,5,FALSE)</f>
        <v>BRANDNER MELINDA</v>
      </c>
      <c r="M90" s="6">
        <f t="shared" si="30"/>
        <v>2.47453703705105E-2</v>
      </c>
      <c r="N90" s="7"/>
      <c r="O90" s="7"/>
      <c r="P90" s="7">
        <f>24*60*SUM($M90:$M90)</f>
        <v>35.63333333353512</v>
      </c>
      <c r="Q90" s="22"/>
      <c r="R90" s="170" t="s">
        <v>1035</v>
      </c>
      <c r="S90" s="213">
        <f t="shared" si="28"/>
        <v>1</v>
      </c>
      <c r="T90" s="195" t="str">
        <f t="shared" si="31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2"/>
        <v>https://d0f6bd738d7f1b3e5a7ca70fe4ff75f0.us-east-1.aws.found.io/app/kibana#/discover/Steve-Slow-Train-Analysis-(2080s-and-2083s)?_g=(refreshInterval:(display:Off,pause:!f,section:0,value:0),time:(from:'2017-07-02T12:14:48-0600',mode:absolute,to:'2017-07-02T15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97" t="str">
        <f>IF(AA90&lt;VLOOKUP(AG90,Variables!$AC$3:$AD$8,2,FALSE),"Y","N")</f>
        <v>Y</v>
      </c>
      <c r="X90" s="197">
        <f t="shared" si="45"/>
        <v>1</v>
      </c>
      <c r="Y90" s="197">
        <f t="shared" si="33"/>
        <v>1.9147000000000001</v>
      </c>
      <c r="Z90" s="197">
        <f t="shared" si="34"/>
        <v>23.325900000000001</v>
      </c>
      <c r="AA90" s="197">
        <f t="shared" si="35"/>
        <v>21.411200000000001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6"/>
        <v>177</v>
      </c>
      <c r="AE90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90" s="74" t="str">
        <f t="shared" si="38"/>
        <v>"C:\Program Files (x86)\AstroGrep\AstroGrep.exe" /e /r /s /spath="%USERPROFILE%\AppData\Local\Temp\OnboardLogs" /stypes="app*4046*20170702*" /stext=" 20:.+((SYSTEM_STATE.+slice.+state.+changed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40"/>
        <v>"%USERPROFILE%\Documents\GitHub\eaglep3\Utilities\RefineRTDCRunTimes.py" --tripid 177-02 --locoid 4046 --swversion DE.1.0.9.0 --startMP 204:19147 --initTime 2017-07-02T13:14:48 --startdatetime 2017-07-02T13:28:36 --delay 12 --endMP 204:233259 --enddatetime 2017-07-02T14:04:14 --enforcementcount 0 &gt;&gt;C:\Users\stu\Documents\GitHub\eaglep3-reporting\EC\2017-07-02-refined-times.txt</v>
      </c>
      <c r="AI90" s="96" t="str">
        <f t="shared" si="41"/>
        <v>echo {"issue":{"subject":"Onboard in-route failure (re: 49360)","project_id":79,"tracker_id":40,"status_id":1,"priority_id":2,"assigned_to_id":23,"start_date":"2017-07-02","description":"","custom_fields":[{"id":1,"name":"Subdivision","value":"EC"},{"id":4,"name":"Milepost","value":"23.3259"},{"id":17,"name":"Train ID","value":"177-02"},{"id":16,"name":"Locomotive ID","value":"4046"},{"id":130,"name":"Impact","value":""},{"id":150,"name":"Time of Event (Mountain Time)","value":"14:04:14"},{"id":151,"name":"Denver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2"/>
        <v>start /low /b %USERPROFILE%\Documents\GitHub\eaglep3\Utilities\DownloadLogsFromS3.py --loco 4046 --day 2017-07-02</v>
      </c>
      <c r="AN90" s="151" t="str">
        <f t="shared" si="43"/>
        <v>echo {"issue":{"subject":"Onboard in-route failure (re: 49360)","project_id":30,"tracker_id":4,"status_id":1,"priority_id":1,"assigned_to_id":10,"start_date":"2017-07-02","description":"","custom_fields":[{"id":30,"name":"Category","value":"Issue"},{"id":3,"name":"Functional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654</v>
      </c>
      <c r="B91" s="7">
        <v>4046</v>
      </c>
      <c r="C91" s="21" t="s">
        <v>202</v>
      </c>
      <c r="D91" s="21" t="s">
        <v>915</v>
      </c>
      <c r="E91" s="13">
        <v>42918.551944444444</v>
      </c>
      <c r="F91" s="13">
        <v>42918.561527777776</v>
      </c>
      <c r="G91" s="7">
        <v>2</v>
      </c>
      <c r="H91" s="21" t="s">
        <v>895</v>
      </c>
      <c r="I91" s="13">
        <v>42918.586273148147</v>
      </c>
      <c r="J91" s="7">
        <v>0</v>
      </c>
      <c r="K91" s="89" t="str">
        <f t="shared" si="29"/>
        <v>4045/4046</v>
      </c>
      <c r="L91" s="21" t="str">
        <f>VLOOKUP(A91,'Trips&amp;Operators'!$C$1:$G$99999,5,FALSE)</f>
        <v>BRANDNER MELINDA</v>
      </c>
      <c r="M91" s="6">
        <f t="shared" si="30"/>
        <v>2.47453703705105E-2</v>
      </c>
      <c r="N91" s="7"/>
      <c r="O91" s="7"/>
      <c r="P91" s="7"/>
      <c r="Q91" s="22"/>
      <c r="R91" s="170"/>
      <c r="S91" s="213"/>
      <c r="T91" s="195" t="str">
        <f t="shared" si="31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2"/>
        <v>https://d0f6bd738d7f1b3e5a7ca70fe4ff75f0.us-east-1.aws.found.io/app/kibana#/discover/Steve-Slow-Train-Analysis-(2080s-and-2083s)?_g=(refreshInterval:(display:Off,pause:!f,section:0,value:0),time:(from:'2017-07-02T12:14:48-0600',mode:absolute,to:'2017-07-02T15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197" t="str">
        <f>IF(AA91&lt;VLOOKUP(AG91,Variables!$AC$3:$AD$8,2,FALSE),"Y","N")</f>
        <v>N</v>
      </c>
      <c r="X91" s="197">
        <f t="shared" si="45"/>
        <v>0</v>
      </c>
      <c r="Y91" s="197">
        <f t="shared" si="33"/>
        <v>5.8200000000000002E-2</v>
      </c>
      <c r="Z91" s="197">
        <f t="shared" si="34"/>
        <v>23.325900000000001</v>
      </c>
      <c r="AA91" s="197">
        <f t="shared" si="35"/>
        <v>23.267700000000001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6"/>
        <v>177</v>
      </c>
      <c r="AE91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91" s="74" t="str">
        <f t="shared" si="38"/>
        <v>"C:\Program Files (x86)\AstroGrep\AstroGrep.exe" /e /r /s /spath="%USERPROFILE%\AppData\Local\Temp\OnboardLogs" /stypes="app*4046*20170702*" /stext=" 20:.+((SYSTEM_STATE.+slice.+state.+changed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40"/>
        <v>"%USERPROFILE%\Documents\GitHub\eaglep3\Utilities\RefineRTDCRunTimes.py" --tripid 177-02 --locoid 4046 --swversion DE.1.0.9.0 --startMP 204:582 --initTime 2017-07-02T13:14:48 --startdatetime 2017-07-02T13:28:36 --delay 2 --endMP 204:233259 --enddatetime 2017-07-02T14:04:14 --enforcementcount 0 &gt;&gt;C:\Users\stu\Documents\GitHub\eaglep3-reporting\EC\2017-07-02-refined-times.txt</v>
      </c>
      <c r="AI9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{"issue":{"subject":"","project_id":79,"tracker_id":40,"status_id":1,"priority_id":2,"assigned_to_id":23,"start_date":"2017-07-02","description":"","custom_fields":[{"id":1,"name":"Subdivision","value":"EC"},{"id":4,"name":"Milepost","value":"23.3259"},{"id":17,"name":"Train ID","value":"177-02"},{"id":16,"name":"Locomotive ID","value":"4046"},{"id":130,"name":"Impact","value":""},{"id":150,"name":"Time of Event (Mountain Time)","value":"14:04:14"},{"id":151,"name":"Denver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2"/>
        <v>start /low /b %USERPROFILE%\Documents\GitHub\eaglep3\Utilities\DownloadLogsFromS3.py --loco 4046 --day 2017-07-02</v>
      </c>
      <c r="AN9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657</v>
      </c>
      <c r="B92" s="7">
        <v>4045</v>
      </c>
      <c r="C92" s="21" t="s">
        <v>202</v>
      </c>
      <c r="D92" s="21" t="s">
        <v>916</v>
      </c>
      <c r="E92" s="13">
        <v>42918.589178240742</v>
      </c>
      <c r="F92" s="13">
        <v>42918.591909722221</v>
      </c>
      <c r="G92" s="7">
        <v>1</v>
      </c>
      <c r="H92" s="21" t="s">
        <v>917</v>
      </c>
      <c r="I92" s="13">
        <v>42918.622013888889</v>
      </c>
      <c r="J92" s="7">
        <v>0</v>
      </c>
      <c r="K92" s="89" t="str">
        <f t="shared" si="29"/>
        <v>4045/4046</v>
      </c>
      <c r="L92" s="21" t="str">
        <f>VLOOKUP(A92,'Trips&amp;Operators'!$C$1:$G$99999,5,FALSE)</f>
        <v>BRANDNER MELINDA</v>
      </c>
      <c r="M92" s="6">
        <f t="shared" si="30"/>
        <v>3.0104166668024845E-2</v>
      </c>
      <c r="N92" s="7">
        <f>24*60*SUM($M92:$M92)</f>
        <v>43.350000001955777</v>
      </c>
      <c r="O92" s="7"/>
      <c r="P92" s="7"/>
      <c r="Q92" s="22"/>
      <c r="R92" s="170"/>
      <c r="S92" s="213">
        <f t="shared" ref="S92:S97" si="46">SUM(U92:U92)/IF(AG92="EC",12,1)</f>
        <v>1</v>
      </c>
      <c r="T92" s="195" t="str">
        <f t="shared" si="31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2"/>
        <v>https://d0f6bd738d7f1b3e5a7ca70fe4ff75f0.us-east-1.aws.found.io/app/kibana#/discover/Steve-Slow-Train-Analysis-(2080s-and-2083s)?_g=(refreshInterval:(display:Off,pause:!f,section:0,value:0),time:(from:'2017-07-02T13:08:25-0600',mode:absolute,to:'2017-07-02T15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197" t="str">
        <f>IF(AA92&lt;VLOOKUP(AG92,Variables!$AC$3:$AD$8,2,FALSE),"Y","N")</f>
        <v>N</v>
      </c>
      <c r="X92" s="197">
        <f t="shared" si="45"/>
        <v>1</v>
      </c>
      <c r="Y92" s="197">
        <f t="shared" si="33"/>
        <v>23.294499999999999</v>
      </c>
      <c r="Z92" s="197">
        <f t="shared" si="34"/>
        <v>2.0299999999999999E-2</v>
      </c>
      <c r="AA92" s="197">
        <f t="shared" si="35"/>
        <v>23.2742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6"/>
        <v>178</v>
      </c>
      <c r="AE92" s="77" t="str">
        <f t="shared" si="37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92" s="74" t="str">
        <f t="shared" si="38"/>
        <v>"C:\Program Files (x86)\AstroGrep\AstroGrep.exe" /e /r /s /spath="%USERPROFILE%\AppData\Local\Temp\OnboardLogs" /stypes="app*4045*20170702*" /stext=" 20:.+((SYSTEM_STATE.+slice.+state.+changed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40"/>
        <v>"%USERPROFILE%\Documents\GitHub\eaglep3\Utilities\RefineRTDCRunTimes.py" --tripid 178-02 --locoid 4045 --swversion DE.1.0.9.0 --startMP 204:232945 --initTime 2017-07-02T14:08:25 --startdatetime 2017-07-02T14:12:21 --delay 1 --endMP 204:203 --enddatetime 2017-07-02T14:55:42 --enforcementcount 0 &gt;&gt;C:\Users\stu\Documents\GitHub\eaglep3-reporting\EC\2017-07-02-refined-times.txt</v>
      </c>
      <c r="AI92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{"issue":{"subject":"","project_id":79,"tracker_id":40,"status_id":1,"priority_id":2,"assigned_to_id":23,"start_date":"2017-07-02","description":"","custom_fields":[{"id":1,"name":"Subdivision","value":"EC"},{"id":4,"name":"Milepost","value":"0.0203"},{"id":17,"name":"Train ID","value":"178-02"},{"id":16,"name":"Locomotive ID","value":"4045"},{"id":130,"name":"Impact","value":""},{"id":150,"name":"Time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2"/>
        <v>start /low /b %USERPROFILE%\Documents\GitHub\eaglep3\Utilities\DownloadLogsFromS3.py --loco 4045 --day 2017-07-02</v>
      </c>
      <c r="AN92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789</v>
      </c>
      <c r="B93" s="7">
        <v>4004</v>
      </c>
      <c r="C93" s="21" t="s">
        <v>202</v>
      </c>
      <c r="D93" s="21" t="s">
        <v>354</v>
      </c>
      <c r="E93" s="13">
        <v>42918.560046296298</v>
      </c>
      <c r="F93" s="13">
        <v>42918.562997685185</v>
      </c>
      <c r="G93" s="7">
        <v>1</v>
      </c>
      <c r="H93" s="21" t="s">
        <v>502</v>
      </c>
      <c r="I93" s="13">
        <v>42918.589432870373</v>
      </c>
      <c r="J93" s="7">
        <v>0</v>
      </c>
      <c r="K93" s="89" t="str">
        <f t="shared" si="29"/>
        <v>4003/4004</v>
      </c>
      <c r="L93" s="21" t="str">
        <f>VLOOKUP(A93,'Trips&amp;Operators'!$C$1:$G$99999,5,FALSE)</f>
        <v>BRUDER RICHARD</v>
      </c>
      <c r="M93" s="6">
        <f t="shared" si="30"/>
        <v>2.6435185187438037E-2</v>
      </c>
      <c r="N93" s="7">
        <f>24*60*SUM($M93:$M93)</f>
        <v>38.066666669910774</v>
      </c>
      <c r="O93" s="7"/>
      <c r="P93" s="7"/>
      <c r="Q93" s="22"/>
      <c r="R93" s="170"/>
      <c r="S93" s="213">
        <f t="shared" si="46"/>
        <v>1</v>
      </c>
      <c r="T93" s="195" t="str">
        <f t="shared" si="31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2"/>
        <v>https://d0f6bd738d7f1b3e5a7ca70fe4ff75f0.us-east-1.aws.found.io/app/kibana#/discover/Steve-Slow-Train-Analysis-(2080s-and-2083s)?_g=(refreshInterval:(display:Off,pause:!f,section:0,value:0),time:(from:'2017-07-02T12:26:28-0600',mode:absolute,to:'2017-07-02T15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3" s="197" t="str">
        <f>IF(AA93&lt;VLOOKUP(AG93,Variables!$AC$3:$AD$8,2,FALSE),"Y","N")</f>
        <v>N</v>
      </c>
      <c r="X93" s="197">
        <f t="shared" si="45"/>
        <v>1</v>
      </c>
      <c r="Y93" s="197">
        <f t="shared" si="33"/>
        <v>4.53E-2</v>
      </c>
      <c r="Z93" s="197">
        <f t="shared" si="34"/>
        <v>23.3293</v>
      </c>
      <c r="AA93" s="197">
        <f t="shared" si="35"/>
        <v>23.283999999999999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6"/>
        <v>179</v>
      </c>
      <c r="AE93" s="77" t="str">
        <f t="shared" si="37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93" s="74" t="str">
        <f t="shared" si="38"/>
        <v>"C:\Program Files (x86)\AstroGrep\AstroGrep.exe" /e /r /s /spath="%USERPROFILE%\AppData\Local\Temp\OnboardLogs" /stypes="app*4004*20170702*" /stext=" 20:.+((SYSTEM_STATE.+slice.+state.+changed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40"/>
        <v>"%USERPROFILE%\Documents\GitHub\eaglep3\Utilities\RefineRTDCRunTimes.py" --tripid 179-02 --locoid 4004 --swversion DE.1.0.9.0 --startMP 204:453 --initTime 2017-07-02T13:26:28 --startdatetime 2017-07-02T13:30:43 --delay 1 --endMP 204:233293 --enddatetime 2017-07-02T14:08:47 --enforcementcount 0 &gt;&gt;C:\Users\stu\Documents\GitHub\eaglep3-reporting\EC\2017-07-02-refined-times.txt</v>
      </c>
      <c r="AI9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{"issue":{"subject":"","project_id":79,"tracker_id":40,"status_id":1,"priority_id":2,"assigned_to_id":23,"start_date":"2017-07-02","description":"","custom_fields":[{"id":1,"name":"Subdivision","value":"EC"},{"id":4,"name":"Milepost","value":"23.3293"},{"id":17,"name":"Train ID","value":"179-02"},{"id":16,"name":"Locomotive ID","value":"4004"},{"id":130,"name":"Impact","value":""},{"id":150,"name":"Time of Event (Mountain Time)","value":"14:08:47"},{"id":151,"name":"Denver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2"/>
        <v>start /low /b %USERPROFILE%\Documents\GitHub\eaglep3\Utilities\DownloadLogsFromS3.py --loco 4004 --day 2017-07-02</v>
      </c>
      <c r="AN93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793</v>
      </c>
      <c r="B94" s="7">
        <v>4003</v>
      </c>
      <c r="C94" s="21" t="s">
        <v>202</v>
      </c>
      <c r="D94" s="21" t="s">
        <v>892</v>
      </c>
      <c r="E94" s="13">
        <v>42918.596412037034</v>
      </c>
      <c r="F94" s="13">
        <v>42918.60361111111</v>
      </c>
      <c r="G94" s="7">
        <v>1</v>
      </c>
      <c r="H94" s="21" t="s">
        <v>394</v>
      </c>
      <c r="I94" s="13">
        <v>42918.633125</v>
      </c>
      <c r="J94" s="7">
        <v>0</v>
      </c>
      <c r="K94" s="89" t="str">
        <f t="shared" si="29"/>
        <v>4003/4004</v>
      </c>
      <c r="L94" s="21" t="str">
        <f>VLOOKUP(A94,'Trips&amp;Operators'!$C$1:$G$99999,5,FALSE)</f>
        <v>BRUDER RICHARD</v>
      </c>
      <c r="M94" s="6">
        <f t="shared" si="30"/>
        <v>2.9513888890505768E-2</v>
      </c>
      <c r="N94" s="7">
        <f>24*60*SUM($M94:$M94)</f>
        <v>42.500000002328306</v>
      </c>
      <c r="O94" s="7"/>
      <c r="P94" s="7"/>
      <c r="Q94" s="22"/>
      <c r="R94" s="170"/>
      <c r="S94" s="213">
        <f t="shared" si="46"/>
        <v>1</v>
      </c>
      <c r="T94" s="195" t="str">
        <f t="shared" si="31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2"/>
        <v>https://d0f6bd738d7f1b3e5a7ca70fe4ff75f0.us-east-1.aws.found.io/app/kibana#/discover/Steve-Slow-Train-Analysis-(2080s-and-2083s)?_g=(refreshInterval:(display:Off,pause:!f,section:0,value:0),time:(from:'2017-07-02T13:18:50-0600',mode:absolute,to:'2017-07-02T16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197" t="str">
        <f>IF(AA94&lt;VLOOKUP(AG94,Variables!$AC$3:$AD$8,2,FALSE),"Y","N")</f>
        <v>N</v>
      </c>
      <c r="X94" s="197">
        <f t="shared" si="45"/>
        <v>1</v>
      </c>
      <c r="Y94" s="197">
        <f t="shared" si="33"/>
        <v>23.2988</v>
      </c>
      <c r="Z94" s="197">
        <f t="shared" si="34"/>
        <v>1.54E-2</v>
      </c>
      <c r="AA94" s="197">
        <f t="shared" si="35"/>
        <v>23.2834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6"/>
        <v>180</v>
      </c>
      <c r="AE94" s="77" t="str">
        <f t="shared" si="37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94" s="74" t="str">
        <f t="shared" si="38"/>
        <v>"C:\Program Files (x86)\AstroGrep\AstroGrep.exe" /e /r /s /spath="%USERPROFILE%\AppData\Local\Temp\OnboardLogs" /stypes="app*4003*20170702*" /stext=" 21:.+((SYSTEM_STATE.+slice.+state.+changed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40"/>
        <v>"%USERPROFILE%\Documents\GitHub\eaglep3\Utilities\RefineRTDCRunTimes.py" --tripid 180-02 --locoid 4003 --swversion DE.1.0.9.0 --startMP 204:232988 --initTime 2017-07-02T14:18:50 --startdatetime 2017-07-02T14:29:12 --delay 1 --endMP 204:154 --enddatetime 2017-07-02T15:11:42 --enforcementcount 0 &gt;&gt;C:\Users\stu\Documents\GitHub\eaglep3-reporting\EC\2017-07-02-refined-times.txt</v>
      </c>
      <c r="AI9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ID","value":"180-02"},{"id":16,"name":"Locomotive ID","value":"4003"},{"id":130,"name":"Impact","value":""},{"id":150,"name":"Time of Event (Mountain Time)","value":"15:11:42"},{"id":151,"name":"Denver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2"/>
        <v>start /low /b %USERPROFILE%\Documents\GitHub\eaglep3\Utilities\DownloadLogsFromS3.py --loco 4003 --day 2017-07-02</v>
      </c>
      <c r="AN94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21:11:42"},{"id":29,"name":"Sharepoint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791</v>
      </c>
      <c r="B95" s="7">
        <v>4042</v>
      </c>
      <c r="C95" s="21" t="s">
        <v>202</v>
      </c>
      <c r="D95" s="21" t="s">
        <v>391</v>
      </c>
      <c r="E95" s="13">
        <v>42918.572268518517</v>
      </c>
      <c r="F95" s="13">
        <v>42918.573680555557</v>
      </c>
      <c r="G95" s="7">
        <v>1</v>
      </c>
      <c r="H95" s="21" t="s">
        <v>489</v>
      </c>
      <c r="I95" s="13">
        <v>42918.59952546296</v>
      </c>
      <c r="J95" s="7">
        <v>0</v>
      </c>
      <c r="K95" s="89" t="str">
        <f t="shared" si="29"/>
        <v>4041/4042</v>
      </c>
      <c r="L95" s="21" t="str">
        <f>VLOOKUP(A95,'Trips&amp;Operators'!$C$1:$G$99999,5,FALSE)</f>
        <v>SULLIVAN BRANDON</v>
      </c>
      <c r="M95" s="6">
        <f t="shared" si="30"/>
        <v>2.5844907402643003E-2</v>
      </c>
      <c r="N95" s="7">
        <f>24*60*SUM($M95:$M95)</f>
        <v>37.216666659805924</v>
      </c>
      <c r="O95" s="7"/>
      <c r="P95" s="7"/>
      <c r="Q95" s="22"/>
      <c r="R95" s="170"/>
      <c r="S95" s="213">
        <f t="shared" si="46"/>
        <v>1</v>
      </c>
      <c r="T95" s="195" t="str">
        <f t="shared" si="31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2"/>
        <v>https://d0f6bd738d7f1b3e5a7ca70fe4ff75f0.us-east-1.aws.found.io/app/kibana#/discover/Steve-Slow-Train-Analysis-(2080s-and-2083s)?_g=(refreshInterval:(display:Off,pause:!f,section:0,value:0),time:(from:'2017-07-02T12:44:04-0600',mode:absolute,to:'2017-07-02T15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197" t="str">
        <f>IF(AA95&lt;VLOOKUP(AG95,Variables!$AC$3:$AD$8,2,FALSE),"Y","N")</f>
        <v>N</v>
      </c>
      <c r="X95" s="197">
        <f t="shared" si="45"/>
        <v>1</v>
      </c>
      <c r="Y95" s="197">
        <f t="shared" si="33"/>
        <v>4.6199999999999998E-2</v>
      </c>
      <c r="Z95" s="197">
        <f t="shared" si="34"/>
        <v>23.332899999999999</v>
      </c>
      <c r="AA95" s="197">
        <f t="shared" si="35"/>
        <v>23.2867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6"/>
        <v>181</v>
      </c>
      <c r="AE95" s="77" t="str">
        <f t="shared" si="37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95" s="74" t="str">
        <f t="shared" si="38"/>
        <v>"C:\Program Files (x86)\AstroGrep\AstroGrep.exe" /e /r /s /spath="%USERPROFILE%\AppData\Local\Temp\OnboardLogs" /stypes="app*4042*20170702*" /stext=" 20:.+((SYSTEM_STATE.+slice.+state.+changed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40"/>
        <v>"%USERPROFILE%\Documents\GitHub\eaglep3\Utilities\RefineRTDCRunTimes.py" --tripid 181-02 --locoid 4042 --swversion DE.1.0.9.0 --startMP 204:462 --initTime 2017-07-02T13:44:04 --startdatetime 2017-07-02T13:46:06 --delay 1 --endMP 204:233329 --enddatetime 2017-07-02T14:23:19 --enforcementcount 0 &gt;&gt;C:\Users\stu\Documents\GitHub\eaglep3-reporting\EC\2017-07-02-refined-times.txt</v>
      </c>
      <c r="AI9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{"issue":{"subject":"","project_id":79,"tracker_id":40,"status_id":1,"priority_id":2,"assigned_to_id":23,"start_date":"2017-07-02","description":"","custom_fields":[{"id":1,"name":"Subdivision","value":"EC"},{"id":4,"name":"Milepost","value":"23.3329"},{"id":17,"name":"Train ID","value":"181-02"},{"id":16,"name":"Locomotive ID","value":"4042"},{"id":130,"name":"Impact","value":""},{"id":150,"name":"Time of Event (Mountain Time)","value":"14:23:19"},{"id":151,"name":"Denver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2"/>
        <v>start /low /b %USERPROFILE%\Documents\GitHub\eaglep3\Utilities\DownloadLogsFromS3.py --loco 4042 --day 2017-07-02</v>
      </c>
      <c r="AN9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795</v>
      </c>
      <c r="B96" s="7">
        <v>4041</v>
      </c>
      <c r="C96" s="21" t="s">
        <v>202</v>
      </c>
      <c r="D96" s="21" t="s">
        <v>582</v>
      </c>
      <c r="E96" s="13">
        <v>42918.606111111112</v>
      </c>
      <c r="F96" s="13">
        <v>42918.61273148148</v>
      </c>
      <c r="G96" s="7">
        <v>2</v>
      </c>
      <c r="H96" s="21" t="s">
        <v>348</v>
      </c>
      <c r="I96" s="13">
        <v>42918.641145833331</v>
      </c>
      <c r="J96" s="7">
        <v>0</v>
      </c>
      <c r="K96" s="89" t="str">
        <f t="shared" si="29"/>
        <v>4041/4042</v>
      </c>
      <c r="L96" s="21" t="str">
        <f>VLOOKUP(A96,'Trips&amp;Operators'!$C$1:$G$99999,5,FALSE)</f>
        <v>SULLIVAN BRANDON</v>
      </c>
      <c r="M96" s="6">
        <f t="shared" si="30"/>
        <v>2.8414351851097308E-2</v>
      </c>
      <c r="N96" s="7">
        <f>24*60*SUM($M96:$M96)</f>
        <v>40.916666665580124</v>
      </c>
      <c r="O96" s="7"/>
      <c r="P96" s="7"/>
      <c r="Q96" s="22"/>
      <c r="R96" s="170"/>
      <c r="S96" s="213">
        <f t="shared" si="46"/>
        <v>1</v>
      </c>
      <c r="T96" s="195" t="str">
        <f t="shared" si="31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2"/>
        <v>https://d0f6bd738d7f1b3e5a7ca70fe4ff75f0.us-east-1.aws.found.io/app/kibana#/discover/Steve-Slow-Train-Analysis-(2080s-and-2083s)?_g=(refreshInterval:(display:Off,pause:!f,section:0,value:0),time:(from:'2017-07-02T13:32:48-0600',mode:absolute,to:'2017-07-02T16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197" t="str">
        <f>IF(AA96&lt;VLOOKUP(AG96,Variables!$AC$3:$AD$8,2,FALSE),"Y","N")</f>
        <v>N</v>
      </c>
      <c r="X96" s="197">
        <f t="shared" si="45"/>
        <v>1</v>
      </c>
      <c r="Y96" s="197">
        <f t="shared" si="33"/>
        <v>23.301100000000002</v>
      </c>
      <c r="Z96" s="197">
        <f t="shared" si="34"/>
        <v>1.4999999999999999E-2</v>
      </c>
      <c r="AA96" s="197">
        <f t="shared" si="35"/>
        <v>23.286100000000001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6"/>
        <v>182</v>
      </c>
      <c r="AE96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96" s="74" t="str">
        <f t="shared" si="38"/>
        <v>"C:\Program Files (x86)\AstroGrep\AstroGrep.exe" /e /r /s /spath="%USERPROFILE%\AppData\Local\Temp\OnboardLogs" /stypes="app*4041*20170702*" /stext=" 21:.+((SYSTEM_STATE.+slice.+state.+changed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40"/>
        <v>"%USERPROFILE%\Documents\GitHub\eaglep3\Utilities\RefineRTDCRunTimes.py" --tripid 182-02 --locoid 4041 --swversion DE.1.0.9.0 --startMP 204:233011 --initTime 2017-07-02T14:32:48 --startdatetime 2017-07-02T14:42:20 --delay 2 --endMP 204:150 --enddatetime 2017-07-02T15:23:15 --enforcementcount 0 &gt;&gt;C:\Users\stu\Documents\GitHub\eaglep3-reporting\EC\2017-07-02-refined-times.txt</v>
      </c>
      <c r="AI9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{"issue":{"subject":"","project_id":79,"tracker_id":40,"status_id":1,"priority_id":2,"assigned_to_id":23,"start_date":"2017-07-02","description":"","custom_fields":[{"id":1,"name":"Subdivision","value":"EC"},{"id":4,"name":"Milepost","value":"0.015"},{"id":17,"name":"Train ID","value":"182-02"},{"id":16,"name":"Locomotive ID","value":"4041"},{"id":130,"name":"Impact","value":""},{"id":150,"name":"Time of Event (Mountain Time)","value":"15:23:15"},{"id":151,"name":"Denver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2"/>
        <v>start /low /b %USERPROFILE%\Documents\GitHub\eaglep3\Utilities\DownloadLogsFromS3.py --loco 4041 --day 2017-07-02</v>
      </c>
      <c r="AN96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655</v>
      </c>
      <c r="B97" s="7">
        <v>4064</v>
      </c>
      <c r="C97" s="21" t="s">
        <v>202</v>
      </c>
      <c r="D97" s="21" t="s">
        <v>940</v>
      </c>
      <c r="E97" s="13">
        <v>42918.579965277779</v>
      </c>
      <c r="F97" s="13">
        <v>42918.59101851852</v>
      </c>
      <c r="G97" s="7">
        <v>14</v>
      </c>
      <c r="H97" s="21" t="s">
        <v>941</v>
      </c>
      <c r="I97" s="13">
        <v>42918.61346064815</v>
      </c>
      <c r="J97" s="7">
        <v>0</v>
      </c>
      <c r="K97" s="89" t="str">
        <f t="shared" si="29"/>
        <v>4063/4064</v>
      </c>
      <c r="L97" s="21" t="str">
        <f>VLOOKUP(A97,'Trips&amp;Operators'!$C$1:$G$99999,5,FALSE)</f>
        <v>DELGADO DIANAH</v>
      </c>
      <c r="M97" s="6">
        <f t="shared" si="30"/>
        <v>2.2442129629780538E-2</v>
      </c>
      <c r="N97" s="7"/>
      <c r="O97" s="7"/>
      <c r="P97" s="7">
        <f>24*60*SUM($M97:$M97)</f>
        <v>32.316666666883975</v>
      </c>
      <c r="Q97" s="22"/>
      <c r="R97" s="170" t="s">
        <v>507</v>
      </c>
      <c r="S97" s="213">
        <f t="shared" si="46"/>
        <v>1</v>
      </c>
      <c r="T97" s="195" t="str">
        <f t="shared" si="31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2"/>
        <v>https://d0f6bd738d7f1b3e5a7ca70fe4ff75f0.us-east-1.aws.found.io/app/kibana#/discover/Steve-Slow-Train-Analysis-(2080s-and-2083s)?_g=(refreshInterval:(display:Off,pause:!f,section:0,value:0),time:(from:'2017-07-02T12:55:09-0600',mode:absolute,to:'2017-07-02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197" t="str">
        <f>IF(AA97&lt;VLOOKUP(AG97,Variables!$AC$3:$AD$8,2,FALSE),"Y","N")</f>
        <v>Y</v>
      </c>
      <c r="X97" s="197">
        <f t="shared" si="45"/>
        <v>1</v>
      </c>
      <c r="Y97" s="197">
        <f t="shared" si="33"/>
        <v>1.9091</v>
      </c>
      <c r="Z97" s="197">
        <f t="shared" si="34"/>
        <v>23.335699999999999</v>
      </c>
      <c r="AA97" s="197">
        <f t="shared" si="35"/>
        <v>21.426600000000001</v>
      </c>
      <c r="AB97" s="54" t="str">
        <f>VLOOKUP(A97,Enforcements!$C$7:$K$13,8,0)</f>
        <v>Bulletin (2)</v>
      </c>
      <c r="AC97" s="51" t="str">
        <f>VLOOKUP(A97,Enforcements!$C$7:$E$13,3,0)</f>
        <v>GRADE CROSSING</v>
      </c>
      <c r="AD97" s="206">
        <f t="shared" si="36"/>
        <v>183</v>
      </c>
      <c r="AE97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97" s="74" t="str">
        <f t="shared" si="38"/>
        <v>"C:\Program Files (x86)\AstroGrep\AstroGrep.exe" /e /r /s /spath="%USERPROFILE%\AppData\Local\Temp\OnboardLogs" /stypes="app*4064*20170702*" /stext=" 20:.+((SYSTEM_STATE.+slice.+state.+changed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40"/>
        <v>"%USERPROFILE%\Documents\GitHub\eaglep3\Utilities\RefineRTDCRunTimes.py" --tripid 183-02 --locoid 4064 --swversion DE.1.0.9.0 --startMP 204:19091 --initTime 2017-07-02T13:55:09 --startdatetime 2017-07-02T14:11:04 --delay 14 --endMP 204:233357 --enddatetime 2017-07-02T14:43:23 --enforcementcount 0 &gt;&gt;C:\Users\stu\Documents\GitHub\eaglep3-reporting\EC\2017-07-02-refined-times.txt</v>
      </c>
      <c r="AI97" s="96" t="str">
        <f t="shared" si="41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failure","project_id":79,"tracker_id":40,"status_id":1,"priority_id":2,"assigned_to_id":23,"start_date":"2017-07-02","description":"","custom_fields":[{"id":1,"name":"Subdivision","value":"EC"},{"id":4,"name":"Milepost","value":"23.3357"},{"id":17,"name":"Train ID","value":"183-02"},{"id":16,"name":"Locomotive ID","value":"4064"},{"id":130,"name":"Impact","value":""},{"id":150,"name":"Time of Event (Mountain Time)","value":"14:43:23"},{"id":151,"name":"Denver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2"/>
        <v>start /low /b %USERPROFILE%\Documents\GitHub\eaglep3\Utilities\DownloadLogsFromS3.py --loco 4064 --day 2017-07-02</v>
      </c>
      <c r="AN97" s="151" t="str">
        <f t="shared" si="43"/>
        <v>echo {"issue":{"subject":"Onboard in-route failure","project_id":30,"tracker_id":4,"status_id":1,"priority_id":1,"assigned_to_id":10,"start_date":"2017-07-02","description":"","custom_fields":[{"id":30,"name":"Category","value":"Issue"},{"id":3,"name":"Functional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655</v>
      </c>
      <c r="B98" s="7">
        <v>4064</v>
      </c>
      <c r="C98" s="21" t="s">
        <v>202</v>
      </c>
      <c r="D98" s="21" t="s">
        <v>940</v>
      </c>
      <c r="E98" s="13">
        <v>42918.588645833333</v>
      </c>
      <c r="F98" s="13">
        <v>42918.59101851852</v>
      </c>
      <c r="G98" s="7">
        <v>2</v>
      </c>
      <c r="H98" s="21" t="s">
        <v>941</v>
      </c>
      <c r="I98" s="13">
        <v>42918.61346064815</v>
      </c>
      <c r="J98" s="7">
        <v>0</v>
      </c>
      <c r="K98" s="89" t="str">
        <f t="shared" si="29"/>
        <v>4063/4064</v>
      </c>
      <c r="L98" s="21" t="str">
        <f>VLOOKUP(A98,'Trips&amp;Operators'!$C$1:$G$99999,5,FALSE)</f>
        <v>DELGADO DIANAH</v>
      </c>
      <c r="M98" s="6">
        <f t="shared" si="30"/>
        <v>2.2442129629780538E-2</v>
      </c>
      <c r="N98" s="7"/>
      <c r="O98" s="7"/>
      <c r="P98" s="7"/>
      <c r="Q98" s="22"/>
      <c r="R98" s="170"/>
      <c r="S98" s="213"/>
      <c r="T98" s="195" t="str">
        <f t="shared" si="31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2"/>
        <v>https://d0f6bd738d7f1b3e5a7ca70fe4ff75f0.us-east-1.aws.found.io/app/kibana#/discover/Steve-Slow-Train-Analysis-(2080s-and-2083s)?_g=(refreshInterval:(display:Off,pause:!f,section:0,value:0),time:(from:'2017-07-02T13:07:39-0600',mode:absolute,to:'2017-07-02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8" s="197" t="str">
        <f>IF(AA98&lt;VLOOKUP(AG98,Variables!$AC$3:$AD$8,2,FALSE),"Y","N")</f>
        <v>Y</v>
      </c>
      <c r="X98" s="197">
        <f t="shared" si="45"/>
        <v>0</v>
      </c>
      <c r="Y98" s="197">
        <f t="shared" si="33"/>
        <v>1.9091</v>
      </c>
      <c r="Z98" s="197">
        <f t="shared" si="34"/>
        <v>23.335699999999999</v>
      </c>
      <c r="AA98" s="197">
        <f t="shared" si="35"/>
        <v>21.426600000000001</v>
      </c>
      <c r="AB98" s="54" t="str">
        <f>VLOOKUP(A98,Enforcements!$C$7:$K$13,8,0)</f>
        <v>Bulletin (2)</v>
      </c>
      <c r="AC98" s="51" t="str">
        <f>VLOOKUP(A98,Enforcements!$C$7:$E$13,3,0)</f>
        <v>GRADE CROSSING</v>
      </c>
      <c r="AD98" s="206">
        <f t="shared" si="36"/>
        <v>183</v>
      </c>
      <c r="AE98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98" s="74" t="str">
        <f t="shared" si="38"/>
        <v>"C:\Program Files (x86)\AstroGrep\AstroGrep.exe" /e /r /s /spath="%USERPROFILE%\AppData\Local\Temp\OnboardLogs" /stypes="app*4064*20170702*" /stext=" 20:.+((SYSTEM_STATE.+slice.+state.+changed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40"/>
        <v>"%USERPROFILE%\Documents\GitHub\eaglep3\Utilities\RefineRTDCRunTimes.py" --tripid 183-02 --locoid 4064 --swversion DE.1.0.9.0 --startMP 204:19091 --initTime 2017-07-02T14:07:39 --startdatetime 2017-07-02T14:11:04 --delay 2 --endMP 204:233357 --enddatetime 2017-07-02T14:43:23 --enforcementcount 0 &gt;&gt;C:\Users\stu\Documents\GitHub\eaglep3-reporting\EC\2017-07-02-refined-times.txt</v>
      </c>
      <c r="AI9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{"issue":{"subject":"","project_id":79,"tracker_id":40,"status_id":1,"priority_id":2,"assigned_to_id":23,"start_date":"2017-07-02","description":"","custom_fields":[{"id":1,"name":"Subdivision","value":"EC"},{"id":4,"name":"Milepost","value":"23.3357"},{"id":17,"name":"Train ID","value":"183-02"},{"id":16,"name":"Locomotive ID","value":"4064"},{"id":130,"name":"Impact","value":""},{"id":150,"name":"Time of Event (Mountain Time)","value":"14:43:23"},{"id":151,"name":"Denver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2"/>
        <v>start /low /b %USERPROFILE%\Documents\GitHub\eaglep3\Utilities\DownloadLogsFromS3.py --loco 4064 --day 2017-07-02</v>
      </c>
      <c r="AN98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655</v>
      </c>
      <c r="B99" s="7">
        <v>4064</v>
      </c>
      <c r="C99" s="21" t="s">
        <v>202</v>
      </c>
      <c r="D99" s="21" t="s">
        <v>473</v>
      </c>
      <c r="E99" s="13">
        <v>42918.579965277779</v>
      </c>
      <c r="F99" s="13">
        <v>42918.59101851852</v>
      </c>
      <c r="G99" s="7">
        <v>1</v>
      </c>
      <c r="H99" s="21" t="s">
        <v>941</v>
      </c>
      <c r="I99" s="13">
        <v>42918.61346064815</v>
      </c>
      <c r="J99" s="7">
        <v>0</v>
      </c>
      <c r="K99" s="89" t="str">
        <f t="shared" si="29"/>
        <v>4063/4064</v>
      </c>
      <c r="L99" s="21" t="str">
        <f>VLOOKUP(A99,'Trips&amp;Operators'!$C$1:$G$99999,5,FALSE)</f>
        <v>DELGADO DIANAH</v>
      </c>
      <c r="M99" s="6">
        <f t="shared" si="30"/>
        <v>2.2442129629780538E-2</v>
      </c>
      <c r="N99" s="7"/>
      <c r="O99" s="7"/>
      <c r="P99" s="7"/>
      <c r="Q99" s="22"/>
      <c r="R99" s="170"/>
      <c r="S99" s="213"/>
      <c r="T99" s="195" t="str">
        <f t="shared" si="31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2"/>
        <v>https://d0f6bd738d7f1b3e5a7ca70fe4ff75f0.us-east-1.aws.found.io/app/kibana#/discover/Steve-Slow-Train-Analysis-(2080s-and-2083s)?_g=(refreshInterval:(display:Off,pause:!f,section:0,value:0),time:(from:'2017-07-02T12:55:09-0600',mode:absolute,to:'2017-07-02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197" t="str">
        <f>IF(AA99&lt;VLOOKUP(AG99,Variables!$AC$3:$AD$8,2,FALSE),"Y","N")</f>
        <v>N</v>
      </c>
      <c r="X99" s="197">
        <f t="shared" si="45"/>
        <v>0</v>
      </c>
      <c r="Y99" s="197">
        <f t="shared" si="33"/>
        <v>4.7300000000000002E-2</v>
      </c>
      <c r="Z99" s="197">
        <f t="shared" si="34"/>
        <v>23.335699999999999</v>
      </c>
      <c r="AA99" s="197">
        <f t="shared" si="35"/>
        <v>23.288399999999999</v>
      </c>
      <c r="AB99" s="54" t="str">
        <f>VLOOKUP(A99,Enforcements!$C$7:$K$13,8,0)</f>
        <v>Bulletin (2)</v>
      </c>
      <c r="AC99" s="51" t="str">
        <f>VLOOKUP(A99,Enforcements!$C$7:$E$13,3,0)</f>
        <v>GRADE CROSSING</v>
      </c>
      <c r="AD99" s="206">
        <f t="shared" si="36"/>
        <v>183</v>
      </c>
      <c r="AE99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99" s="74" t="str">
        <f t="shared" si="38"/>
        <v>"C:\Program Files (x86)\AstroGrep\AstroGrep.exe" /e /r /s /spath="%USERPROFILE%\AppData\Local\Temp\OnboardLogs" /stypes="app*4064*20170702*" /stext=" 20:.+((SYSTEM_STATE.+slice.+state.+changed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40"/>
        <v>"%USERPROFILE%\Documents\GitHub\eaglep3\Utilities\RefineRTDCRunTimes.py" --tripid 183-02 --locoid 4064 --swversion DE.1.0.9.0 --startMP 204:473 --initTime 2017-07-02T13:55:09 --startdatetime 2017-07-02T14:11:04 --delay 1 --endMP 204:233357 --enddatetime 2017-07-02T14:43:23 --enforcementcount 0 &gt;&gt;C:\Users\stu\Documents\GitHub\eaglep3-reporting\EC\2017-07-02-refined-times.txt</v>
      </c>
      <c r="AI9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{"issue":{"subject":"","project_id":79,"tracker_id":40,"status_id":1,"priority_id":2,"assigned_to_id":23,"start_date":"2017-07-02","description":"","custom_fields":[{"id":1,"name":"Subdivision","value":"EC"},{"id":4,"name":"Milepost","value":"23.3357"},{"id":17,"name":"Train ID","value":"183-02"},{"id":16,"name":"Locomotive ID","value":"4064"},{"id":130,"name":"Impact","value":""},{"id":150,"name":"Time of Event (Mountain Time)","value":"14:43:23"},{"id":151,"name":"Denver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4064 --day 2017-07-02</v>
      </c>
      <c r="AN9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20:43:23"},{"id":29,"name":"Sharepoint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798</v>
      </c>
      <c r="B100" s="7">
        <v>4063</v>
      </c>
      <c r="C100" s="21" t="s">
        <v>202</v>
      </c>
      <c r="D100" s="21" t="s">
        <v>946</v>
      </c>
      <c r="E100" s="13">
        <v>42918.615451388891</v>
      </c>
      <c r="F100" s="13">
        <v>42918.623090277775</v>
      </c>
      <c r="G100" s="7">
        <v>2</v>
      </c>
      <c r="H100" s="21" t="s">
        <v>358</v>
      </c>
      <c r="I100" s="13">
        <v>42918.651180555556</v>
      </c>
      <c r="J100" s="7">
        <v>0</v>
      </c>
      <c r="K100" s="89" t="str">
        <f t="shared" si="29"/>
        <v>4063/4064</v>
      </c>
      <c r="L100" s="21" t="str">
        <f>VLOOKUP(A100,'Trips&amp;Operators'!$C$1:$G$99999,5,FALSE)</f>
        <v>DELGADO DIANAH</v>
      </c>
      <c r="M100" s="6">
        <f t="shared" si="30"/>
        <v>2.8090277781302575E-2</v>
      </c>
      <c r="N100" s="7">
        <f t="shared" ref="N100:N111" si="47">24*60*SUM($M100:$M100)</f>
        <v>40.450000005075708</v>
      </c>
      <c r="O100" s="7"/>
      <c r="P100" s="7"/>
      <c r="Q100" s="22"/>
      <c r="R100" s="170"/>
      <c r="S100" s="213">
        <f t="shared" ref="S100:S112" si="48">SUM(U100:U100)/IF(AG100="EC",12,1)</f>
        <v>1</v>
      </c>
      <c r="T100" s="195" t="str">
        <f t="shared" si="31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2"/>
        <v>https://d0f6bd738d7f1b3e5a7ca70fe4ff75f0.us-east-1.aws.found.io/app/kibana#/discover/Steve-Slow-Train-Analysis-(2080s-and-2083s)?_g=(refreshInterval:(display:Off,pause:!f,section:0,value:0),time:(from:'2017-07-02T13:46:15-0600',mode:absolute,to:'2017-07-02T16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197" t="str">
        <f>IF(AA100&lt;VLOOKUP(AG100,Variables!$AC$3:$AD$8,2,FALSE),"Y","N")</f>
        <v>N</v>
      </c>
      <c r="X100" s="197">
        <f t="shared" si="45"/>
        <v>1</v>
      </c>
      <c r="Y100" s="197">
        <f t="shared" si="33"/>
        <v>23.303000000000001</v>
      </c>
      <c r="Z100" s="197">
        <f t="shared" si="34"/>
        <v>1.41E-2</v>
      </c>
      <c r="AA100" s="197">
        <f t="shared" si="35"/>
        <v>23.288900000000002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6"/>
        <v>184</v>
      </c>
      <c r="AE100" s="77" t="str">
        <f t="shared" si="37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100" s="74" t="str">
        <f t="shared" si="38"/>
        <v>"C:\Program Files (x86)\AstroGrep\AstroGrep.exe" /e /r /s /spath="%USERPROFILE%\AppData\Local\Temp\OnboardLogs" /stypes="app*4063*20170702*" /stext=" 21:.+((SYSTEM_STATE.+slice.+state.+changed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40"/>
        <v>"%USERPROFILE%\Documents\GitHub\eaglep3\Utilities\RefineRTDCRunTimes.py" --tripid 184-02 --locoid 4063 --swversion DE.1.0.9.0 --startMP 204:233030 --initTime 2017-07-02T14:46:15 --startdatetime 2017-07-02T14:57:15 --delay 2 --endMP 204:141 --enddatetime 2017-07-02T15:37:42 --enforcementcount 0 &gt;&gt;C:\Users\stu\Documents\GitHub\eaglep3-reporting\EC\2017-07-02-refined-times.txt</v>
      </c>
      <c r="AI10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{"issue":{"subject":"","project_id":79,"tracker_id":40,"status_id":1,"priority_id":2,"assigned_to_id":23,"start_date":"2017-07-02","description":"","custom_fields":[{"id":1,"name":"Subdivision","value":"EC"},{"id":4,"name":"Milepost","value":"0.0141"},{"id":17,"name":"Train ID","value":"184-02"},{"id":16,"name":"Locomotive ID","value":"4063"},{"id":130,"name":"Impact","value":""},{"id":150,"name":"Time of Event (Mountain Time)","value":"15:37:42"},{"id":151,"name":"Denver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4063 --day 2017-07-02</v>
      </c>
      <c r="AN100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792</v>
      </c>
      <c r="B101" s="7">
        <v>4054</v>
      </c>
      <c r="C101" s="21" t="s">
        <v>202</v>
      </c>
      <c r="D101" s="21" t="s">
        <v>947</v>
      </c>
      <c r="E101" s="13">
        <v>42918.588773148149</v>
      </c>
      <c r="F101" s="13">
        <v>42918.594247685185</v>
      </c>
      <c r="G101" s="7">
        <v>2</v>
      </c>
      <c r="H101" s="21" t="s">
        <v>600</v>
      </c>
      <c r="I101" s="13">
        <v>42918.619537037041</v>
      </c>
      <c r="J101" s="7">
        <v>0</v>
      </c>
      <c r="K101" s="89" t="str">
        <f t="shared" si="29"/>
        <v>4053/4054</v>
      </c>
      <c r="L101" s="21" t="str">
        <f>VLOOKUP(A101,'Trips&amp;Operators'!$C$1:$G$99999,5,FALSE)</f>
        <v>ROMERO CHAD</v>
      </c>
      <c r="M101" s="6">
        <f t="shared" si="30"/>
        <v>2.5289351855462883E-2</v>
      </c>
      <c r="N101" s="7">
        <f t="shared" si="47"/>
        <v>36.416666671866551</v>
      </c>
      <c r="O101" s="7"/>
      <c r="P101" s="7"/>
      <c r="Q101" s="22"/>
      <c r="R101" s="170"/>
      <c r="S101" s="213">
        <f t="shared" si="48"/>
        <v>1</v>
      </c>
      <c r="T101" s="195" t="str">
        <f t="shared" si="31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2"/>
        <v>https://d0f6bd738d7f1b3e5a7ca70fe4ff75f0.us-east-1.aws.found.io/app/kibana#/discover/Steve-Slow-Train-Analysis-(2080s-and-2083s)?_g=(refreshInterval:(display:Off,pause:!f,section:0,value:0),time:(from:'2017-07-02T13:07:50-0600',mode:absolute,to:'2017-07-02T15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97" t="str">
        <f>IF(AA101&lt;VLOOKUP(AG101,Variables!$AC$3:$AD$8,2,FALSE),"Y","N")</f>
        <v>N</v>
      </c>
      <c r="X101" s="197">
        <f t="shared" si="45"/>
        <v>1</v>
      </c>
      <c r="Y101" s="197">
        <f t="shared" si="33"/>
        <v>4.1599999999999998E-2</v>
      </c>
      <c r="Z101" s="197">
        <f t="shared" si="34"/>
        <v>23.336400000000001</v>
      </c>
      <c r="AA101" s="197">
        <f t="shared" si="35"/>
        <v>23.294800000000002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6"/>
        <v>185</v>
      </c>
      <c r="AE101" s="77" t="str">
        <f t="shared" si="37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101" s="74" t="str">
        <f t="shared" si="38"/>
        <v>"C:\Program Files (x86)\AstroGrep\AstroGrep.exe" /e /r /s /spath="%USERPROFILE%\AppData\Local\Temp\OnboardLogs" /stypes="app*4054*20170702*" /stext=" 20:.+((SYSTEM_STATE.+slice.+state.+changed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40"/>
        <v>"%USERPROFILE%\Documents\GitHub\eaglep3\Utilities\RefineRTDCRunTimes.py" --tripid 185-02 --locoid 4054 --swversion DE.1.0.9.0 --startMP 204:416 --initTime 2017-07-02T14:07:50 --startdatetime 2017-07-02T14:15:43 --delay 2 --endMP 204:233364 --enddatetime 2017-07-02T14:52:08 --enforcementcount 0 &gt;&gt;C:\Users\stu\Documents\GitHub\eaglep3-reporting\EC\2017-07-02-refined-times.txt</v>
      </c>
      <c r="AI10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{"issue":{"subject":"","project_id":79,"tracker_id":40,"status_id":1,"priority_id":2,"assigned_to_id":23,"start_date":"2017-07-02","description":"","custom_fields":[{"id":1,"name":"Subdivision","value":"EC"},{"id":4,"name":"Milepost","value":"23.3364"},{"id":17,"name":"Train ID","value":"185-02"},{"id":16,"name":"Locomotive ID","value":"4054"},{"id":130,"name":"Impact","value":""},{"id":150,"name":"Time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4054 --day 2017-07-02</v>
      </c>
      <c r="AN10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799</v>
      </c>
      <c r="B102" s="7">
        <v>4053</v>
      </c>
      <c r="C102" s="21" t="s">
        <v>202</v>
      </c>
      <c r="D102" s="21" t="s">
        <v>948</v>
      </c>
      <c r="E102" s="13">
        <v>42918.62127314815</v>
      </c>
      <c r="F102" s="13">
        <v>42918.633750000001</v>
      </c>
      <c r="G102" s="7">
        <v>1</v>
      </c>
      <c r="H102" s="21" t="s">
        <v>349</v>
      </c>
      <c r="I102" s="13">
        <v>42918.661134259259</v>
      </c>
      <c r="J102" s="7">
        <v>0</v>
      </c>
      <c r="K102" s="89" t="str">
        <f t="shared" si="29"/>
        <v>4053/4054</v>
      </c>
      <c r="L102" s="21" t="str">
        <f>VLOOKUP(A102,'Trips&amp;Operators'!$C$1:$G$99999,5,FALSE)</f>
        <v>ROMERO CHAD</v>
      </c>
      <c r="M102" s="6">
        <f t="shared" si="30"/>
        <v>2.7384259257814847E-2</v>
      </c>
      <c r="N102" s="7">
        <f t="shared" si="47"/>
        <v>39.43333333125338</v>
      </c>
      <c r="O102" s="7"/>
      <c r="P102" s="7"/>
      <c r="Q102" s="22"/>
      <c r="R102" s="170"/>
      <c r="S102" s="213">
        <f t="shared" si="48"/>
        <v>1</v>
      </c>
      <c r="T102" s="195" t="str">
        <f t="shared" si="31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2"/>
        <v>https://d0f6bd738d7f1b3e5a7ca70fe4ff75f0.us-east-1.aws.found.io/app/kibana#/discover/Steve-Slow-Train-Analysis-(2080s-and-2083s)?_g=(refreshInterval:(display:Off,pause:!f,section:0,value:0),time:(from:'2017-07-02T13:54:38-0600',mode:absolute,to:'2017-07-02T16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97" t="str">
        <f>IF(AA102&lt;VLOOKUP(AG102,Variables!$AC$3:$AD$8,2,FALSE),"Y","N")</f>
        <v>N</v>
      </c>
      <c r="X102" s="197">
        <f t="shared" si="45"/>
        <v>1</v>
      </c>
      <c r="Y102" s="197">
        <f t="shared" si="33"/>
        <v>23.303599999999999</v>
      </c>
      <c r="Z102" s="197">
        <f t="shared" si="34"/>
        <v>1.49E-2</v>
      </c>
      <c r="AA102" s="197">
        <f t="shared" si="35"/>
        <v>23.288699999999999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6"/>
        <v>186</v>
      </c>
      <c r="AE102" s="77" t="str">
        <f t="shared" si="37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102" s="74" t="str">
        <f t="shared" si="38"/>
        <v>"C:\Program Files (x86)\AstroGrep\AstroGrep.exe" /e /r /s /spath="%USERPROFILE%\AppData\Local\Temp\OnboardLogs" /stypes="app*4053*20170702*" /stext=" 21:.+((SYSTEM_STATE.+slice.+state.+changed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40"/>
        <v>"%USERPROFILE%\Documents\GitHub\eaglep3\Utilities\RefineRTDCRunTimes.py" --tripid 186-02 --locoid 4053 --swversion DE.1.0.9.0 --startMP 204:233036 --initTime 2017-07-02T14:54:38 --startdatetime 2017-07-02T15:12:36 --delay 1 --endMP 204:149 --enddatetime 2017-07-02T15:52:02 --enforcementcount 0 &gt;&gt;C:\Users\stu\Documents\GitHub\eaglep3-reporting\EC\2017-07-02-refined-times.txt</v>
      </c>
      <c r="AI102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ID","value":"186-02"},{"id":16,"name":"Locomotive ID","value":"4053"},{"id":130,"name":"Impact","value":""},{"id":150,"name":"Time of Event (Mountain Time)","value":"15:52:02"},{"id":151,"name":"Denver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4053 --day 2017-07-02</v>
      </c>
      <c r="AN102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658</v>
      </c>
      <c r="B103" s="7">
        <v>4022</v>
      </c>
      <c r="C103" s="21" t="s">
        <v>202</v>
      </c>
      <c r="D103" s="21" t="s">
        <v>352</v>
      </c>
      <c r="E103" s="13">
        <v>42918.603750000002</v>
      </c>
      <c r="F103" s="13">
        <v>42918.604837962965</v>
      </c>
      <c r="G103" s="7">
        <v>1</v>
      </c>
      <c r="H103" s="21" t="s">
        <v>863</v>
      </c>
      <c r="I103" s="13">
        <v>42918.632592592592</v>
      </c>
      <c r="J103" s="7">
        <v>0</v>
      </c>
      <c r="K103" s="89" t="str">
        <f t="shared" si="29"/>
        <v>4021/4022</v>
      </c>
      <c r="L103" s="21" t="str">
        <f>VLOOKUP(A103,'Trips&amp;Operators'!$C$1:$G$99999,5,FALSE)</f>
        <v>NELSON ARIANE</v>
      </c>
      <c r="M103" s="6">
        <f t="shared" si="30"/>
        <v>2.7754629627452232E-2</v>
      </c>
      <c r="N103" s="7">
        <f t="shared" si="47"/>
        <v>39.966666663531214</v>
      </c>
      <c r="O103" s="7"/>
      <c r="P103" s="7"/>
      <c r="Q103" s="22"/>
      <c r="R103" s="170"/>
      <c r="S103" s="213">
        <f t="shared" si="48"/>
        <v>1</v>
      </c>
      <c r="T103" s="195" t="str">
        <f t="shared" si="31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2"/>
        <v>https://d0f6bd738d7f1b3e5a7ca70fe4ff75f0.us-east-1.aws.found.io/app/kibana#/discover/Steve-Slow-Train-Analysis-(2080s-and-2083s)?_g=(refreshInterval:(display:Off,pause:!f,section:0,value:0),time:(from:'2017-07-02T13:29:24-0600',mode:absolute,to:'2017-07-02T16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197" t="str">
        <f>IF(AA103&lt;VLOOKUP(AG103,Variables!$AC$3:$AD$8,2,FALSE),"Y","N")</f>
        <v>N</v>
      </c>
      <c r="X103" s="197">
        <f t="shared" si="45"/>
        <v>1</v>
      </c>
      <c r="Y103" s="197">
        <f t="shared" si="33"/>
        <v>4.5100000000000001E-2</v>
      </c>
      <c r="Z103" s="197">
        <f t="shared" si="34"/>
        <v>23.329899999999999</v>
      </c>
      <c r="AA103" s="197">
        <f t="shared" si="35"/>
        <v>23.284799999999997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6"/>
        <v>187</v>
      </c>
      <c r="AE103" s="77" t="str">
        <f t="shared" si="37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103" s="74" t="str">
        <f t="shared" si="38"/>
        <v>"C:\Program Files (x86)\AstroGrep\AstroGrep.exe" /e /r /s /spath="%USERPROFILE%\AppData\Local\Temp\OnboardLogs" /stypes="app*4022*20170702*" /stext=" 21:.+((SYSTEM_STATE.+slice.+state.+changed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40"/>
        <v>"%USERPROFILE%\Documents\GitHub\eaglep3\Utilities\RefineRTDCRunTimes.py" --tripid 187-02 --locoid 4022 --swversion DE.1.0.9.0 --startMP 204:451 --initTime 2017-07-02T14:29:24 --startdatetime 2017-07-02T14:30:58 --delay 1 --endMP 204:233299 --enddatetime 2017-07-02T15:10:56 --enforcementcount 0 &gt;&gt;C:\Users\stu\Documents\GitHub\eaglep3-reporting\EC\2017-07-02-refined-times.txt</v>
      </c>
      <c r="AI10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ID","value":"187-02"},{"id":16,"name":"Locomotive ID","value":"4022"},{"id":130,"name":"Impact","value":""},{"id":150,"name":"Time of Event (Mountain Time)","value":"15:10:56"},{"id":151,"name":"Denver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4022 --day 2017-07-02</v>
      </c>
      <c r="AN103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21:10:56"},{"id":29,"name":"Sharepoint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802</v>
      </c>
      <c r="B104" s="7">
        <v>4021</v>
      </c>
      <c r="C104" s="21" t="s">
        <v>202</v>
      </c>
      <c r="D104" s="21" t="s">
        <v>585</v>
      </c>
      <c r="E104" s="13">
        <v>42918.641319444447</v>
      </c>
      <c r="F104" s="13">
        <v>42918.644074074073</v>
      </c>
      <c r="G104" s="7">
        <v>2</v>
      </c>
      <c r="H104" s="21" t="s">
        <v>350</v>
      </c>
      <c r="I104" s="13">
        <v>42918.674930555557</v>
      </c>
      <c r="J104" s="7">
        <v>0</v>
      </c>
      <c r="K104" s="89" t="str">
        <f t="shared" si="29"/>
        <v>4021/4022</v>
      </c>
      <c r="L104" s="21" t="str">
        <f>VLOOKUP(A104,'Trips&amp;Operators'!$C$1:$G$99999,5,FALSE)</f>
        <v>NELSON ARIANE</v>
      </c>
      <c r="M104" s="6">
        <f t="shared" si="30"/>
        <v>3.0856481484079268E-2</v>
      </c>
      <c r="N104" s="7">
        <f t="shared" si="47"/>
        <v>44.433333337074146</v>
      </c>
      <c r="O104" s="7"/>
      <c r="P104" s="7"/>
      <c r="Q104" s="22"/>
      <c r="R104" s="170"/>
      <c r="S104" s="213">
        <f t="shared" si="48"/>
        <v>1</v>
      </c>
      <c r="T104" s="195" t="str">
        <f t="shared" si="31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2"/>
        <v>https://d0f6bd738d7f1b3e5a7ca70fe4ff75f0.us-east-1.aws.found.io/app/kibana#/discover/Steve-Slow-Train-Analysis-(2080s-and-2083s)?_g=(refreshInterval:(display:Off,pause:!f,section:0,value:0),time:(from:'2017-07-02T14:23:30-0600',mode:absolute,to:'2017-07-02T17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197" t="str">
        <f>IF(AA104&lt;VLOOKUP(AG104,Variables!$AC$3:$AD$8,2,FALSE),"Y","N")</f>
        <v>N</v>
      </c>
      <c r="X104" s="197">
        <f t="shared" si="45"/>
        <v>1</v>
      </c>
      <c r="Y104" s="197">
        <f t="shared" si="33"/>
        <v>23.296700000000001</v>
      </c>
      <c r="Z104" s="197">
        <f t="shared" si="34"/>
        <v>1.43E-2</v>
      </c>
      <c r="AA104" s="197">
        <f t="shared" si="35"/>
        <v>23.282400000000003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6"/>
        <v>188</v>
      </c>
      <c r="AE104" s="77" t="str">
        <f t="shared" si="37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104" s="74" t="str">
        <f t="shared" si="38"/>
        <v>"C:\Program Files (x86)\AstroGrep\AstroGrep.exe" /e /r /s /spath="%USERPROFILE%\AppData\Local\Temp\OnboardLogs" /stypes="app*4021*20170702*" /stext=" 22:.+((SYSTEM_STATE.+slice.+state.+changed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40"/>
        <v>"%USERPROFILE%\Documents\GitHub\eaglep3\Utilities\RefineRTDCRunTimes.py" --tripid 188-02 --locoid 4021 --swversion DE.1.0.9.0 --startMP 204:232967 --initTime 2017-07-02T15:23:30 --startdatetime 2017-07-02T15:27:28 --delay 2 --endMP 204:143 --enddatetime 2017-07-02T16:11:54 --enforcementcount 0 &gt;&gt;C:\Users\stu\Documents\GitHub\eaglep3-reporting\EC\2017-07-02-refined-times.txt</v>
      </c>
      <c r="AI10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{"issue":{"subject":"","project_id":79,"tracker_id":40,"status_id":1,"priority_id":2,"assigned_to_id":23,"start_date":"2017-07-02","description":"","custom_fields":[{"id":1,"name":"Subdivision","value":"EC"},{"id":4,"name":"Milepost","value":"0.0143"},{"id":17,"name":"Train ID","value":"188-02"},{"id":16,"name":"Locomotive ID","value":"4021"},{"id":130,"name":"Impact","value":""},{"id":150,"name":"Time of Event (Mountain Time)","value":"16:11:54"},{"id":151,"name":"Denver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4021 --day 2017-07-02</v>
      </c>
      <c r="AN104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797</v>
      </c>
      <c r="B105" s="7">
        <v>4044</v>
      </c>
      <c r="C105" s="21" t="s">
        <v>202</v>
      </c>
      <c r="D105" s="21" t="s">
        <v>547</v>
      </c>
      <c r="E105" s="13">
        <v>42918.613865740743</v>
      </c>
      <c r="F105" s="13">
        <v>42918.615798611114</v>
      </c>
      <c r="G105" s="7">
        <v>1</v>
      </c>
      <c r="H105" s="21" t="s">
        <v>549</v>
      </c>
      <c r="I105" s="13">
        <v>42918.642789351848</v>
      </c>
      <c r="J105" s="7">
        <v>0</v>
      </c>
      <c r="K105" s="89" t="str">
        <f t="shared" si="29"/>
        <v>4043/4044</v>
      </c>
      <c r="L105" s="21" t="str">
        <f>VLOOKUP(A105,'Trips&amp;Operators'!$C$1:$G$99999,5,FALSE)</f>
        <v>DAVIS MICHAEL</v>
      </c>
      <c r="M105" s="6">
        <f t="shared" si="30"/>
        <v>2.6990740734618157E-2</v>
      </c>
      <c r="N105" s="7">
        <f t="shared" si="47"/>
        <v>38.866666657850146</v>
      </c>
      <c r="O105" s="7"/>
      <c r="P105" s="7"/>
      <c r="Q105" s="22"/>
      <c r="R105" s="170"/>
      <c r="S105" s="213">
        <f t="shared" si="48"/>
        <v>1</v>
      </c>
      <c r="T105" s="195" t="str">
        <f t="shared" si="31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2"/>
        <v>https://d0f6bd738d7f1b3e5a7ca70fe4ff75f0.us-east-1.aws.found.io/app/kibana#/discover/Steve-Slow-Train-Analysis-(2080s-and-2083s)?_g=(refreshInterval:(display:Off,pause:!f,section:0,value:0),time:(from:'2017-07-02T13:43:58-0600',mode:absolute,to:'2017-07-02T16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5" s="197" t="str">
        <f>IF(AA105&lt;VLOOKUP(AG105,Variables!$AC$3:$AD$8,2,FALSE),"Y","N")</f>
        <v>N</v>
      </c>
      <c r="X105" s="197">
        <f t="shared" si="45"/>
        <v>1</v>
      </c>
      <c r="Y105" s="197">
        <f t="shared" si="33"/>
        <v>4.3499999999999997E-2</v>
      </c>
      <c r="Z105" s="197">
        <f t="shared" si="34"/>
        <v>23.3323</v>
      </c>
      <c r="AA105" s="197">
        <f t="shared" si="35"/>
        <v>23.288799999999998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6"/>
        <v>189</v>
      </c>
      <c r="AE105" s="77" t="str">
        <f t="shared" si="37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05" s="74" t="str">
        <f t="shared" si="38"/>
        <v>"C:\Program Files (x86)\AstroGrep\AstroGrep.exe" /e /r /s /spath="%USERPROFILE%\AppData\Local\Temp\OnboardLogs" /stypes="app*4044*20170702*" /stext=" 21:.+((SYSTEM_STATE.+slice.+state.+changed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40"/>
        <v>"%USERPROFILE%\Documents\GitHub\eaglep3\Utilities\RefineRTDCRunTimes.py" --tripid 189-02 --locoid 4044 --swversion DE.1.0.9.0 --startMP 204:435 --initTime 2017-07-02T14:43:58 --startdatetime 2017-07-02T14:46:45 --delay 1 --endMP 204:233323 --enddatetime 2017-07-02T15:25:37 --enforcementcount 0 &gt;&gt;C:\Users\stu\Documents\GitHub\eaglep3-reporting\EC\2017-07-02-refined-times.txt</v>
      </c>
      <c r="AI10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{"issue":{"subject":"","project_id":79,"tracker_id":40,"status_id":1,"priority_id":2,"assigned_to_id":23,"start_date":"2017-07-02","description":"","custom_fields":[{"id":1,"name":"Subdivision","value":"EC"},{"id":4,"name":"Milepost","value":"23.3323"},{"id":17,"name":"Train ID","value":"189-02"},{"id":16,"name":"Locomotive ID","value":"4044"},{"id":130,"name":"Impact","value":""},{"id":150,"name":"Time of Event (Mountain Time)","value":"15:25:37"},{"id":151,"name":"Denver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4044 --day 2017-07-02</v>
      </c>
      <c r="AN10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663</v>
      </c>
      <c r="B106" s="7">
        <v>4043</v>
      </c>
      <c r="C106" s="21" t="s">
        <v>202</v>
      </c>
      <c r="D106" s="21" t="s">
        <v>441</v>
      </c>
      <c r="E106" s="13">
        <v>42918.652303240742</v>
      </c>
      <c r="F106" s="13">
        <v>42918.654942129629</v>
      </c>
      <c r="G106" s="7">
        <v>2</v>
      </c>
      <c r="H106" s="21" t="s">
        <v>193</v>
      </c>
      <c r="I106" s="13">
        <v>42918.685520833336</v>
      </c>
      <c r="J106" s="7">
        <v>0</v>
      </c>
      <c r="K106" s="89" t="str">
        <f t="shared" si="29"/>
        <v>4043/4044</v>
      </c>
      <c r="L106" s="21" t="str">
        <f>VLOOKUP(A106,'Trips&amp;Operators'!$C$1:$G$99999,5,FALSE)</f>
        <v>DAVIS MICHAEL</v>
      </c>
      <c r="M106" s="6">
        <f t="shared" si="30"/>
        <v>3.0578703706851229E-2</v>
      </c>
      <c r="N106" s="7">
        <f t="shared" si="47"/>
        <v>44.03333333786577</v>
      </c>
      <c r="O106" s="7"/>
      <c r="P106" s="7"/>
      <c r="Q106" s="22"/>
      <c r="R106" s="170"/>
      <c r="S106" s="213">
        <f t="shared" si="48"/>
        <v>1</v>
      </c>
      <c r="T106" s="195" t="str">
        <f t="shared" si="31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2"/>
        <v>https://d0f6bd738d7f1b3e5a7ca70fe4ff75f0.us-east-1.aws.found.io/app/kibana#/discover/Steve-Slow-Train-Analysis-(2080s-and-2083s)?_g=(refreshInterval:(display:Off,pause:!f,section:0,value:0),time:(from:'2017-07-02T14:39:19-0600',mode:absolute,to:'2017-07-02T17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6" s="197" t="str">
        <f>IF(AA106&lt;VLOOKUP(AG106,Variables!$AC$3:$AD$8,2,FALSE),"Y","N")</f>
        <v>N</v>
      </c>
      <c r="X106" s="197">
        <f t="shared" si="45"/>
        <v>1</v>
      </c>
      <c r="Y106" s="197">
        <f t="shared" si="33"/>
        <v>23.299600000000002</v>
      </c>
      <c r="Z106" s="197">
        <f t="shared" si="34"/>
        <v>1.52E-2</v>
      </c>
      <c r="AA106" s="197">
        <f t="shared" si="35"/>
        <v>23.284400000000002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6"/>
        <v>190</v>
      </c>
      <c r="AE106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06" s="74" t="str">
        <f t="shared" si="38"/>
        <v>"C:\Program Files (x86)\AstroGrep\AstroGrep.exe" /e /r /s /spath="%USERPROFILE%\AppData\Local\Temp\OnboardLogs" /stypes="app*4043*20170702*" /stext=" 22:.+((SYSTEM_STATE.+slice.+state.+changed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40"/>
        <v>"%USERPROFILE%\Documents\GitHub\eaglep3\Utilities\RefineRTDCRunTimes.py" --tripid 190-02 --locoid 4043 --swversion DE.1.0.9.0 --startMP 204:232996 --initTime 2017-07-02T15:39:19 --startdatetime 2017-07-02T15:43:07 --delay 2 --endMP 204:152 --enddatetime 2017-07-02T16:27:09 --enforcementcount 0 &gt;&gt;C:\Users\stu\Documents\GitHub\eaglep3-reporting\EC\2017-07-02-refined-times.txt</v>
      </c>
      <c r="AI10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ID","value":"190-02"},{"id":16,"name":"Locomotive ID","value":"4043"},{"id":130,"name":"Impact","value":""},{"id":150,"name":"Time of Event (Mountain Time)","value":"16:27:09"},{"id":151,"name":"Denver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4043 --day 2017-07-02</v>
      </c>
      <c r="AN106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800</v>
      </c>
      <c r="B107" s="7">
        <v>4046</v>
      </c>
      <c r="C107" s="21" t="s">
        <v>202</v>
      </c>
      <c r="D107" s="21" t="s">
        <v>952</v>
      </c>
      <c r="E107" s="13">
        <v>42918.624097222222</v>
      </c>
      <c r="F107" s="13">
        <v>42918.625949074078</v>
      </c>
      <c r="G107" s="7">
        <v>1</v>
      </c>
      <c r="H107" s="21" t="s">
        <v>953</v>
      </c>
      <c r="I107" s="13">
        <v>42918.653379629628</v>
      </c>
      <c r="J107" s="7">
        <v>0</v>
      </c>
      <c r="K107" s="89" t="str">
        <f t="shared" si="29"/>
        <v>4045/4046</v>
      </c>
      <c r="L107" s="21" t="str">
        <f>VLOOKUP(A107,'Trips&amp;Operators'!$C$1:$G$99999,5,FALSE)</f>
        <v>BRANDNER MELINDA</v>
      </c>
      <c r="M107" s="6">
        <f t="shared" si="30"/>
        <v>2.7430555550381541E-2</v>
      </c>
      <c r="N107" s="7">
        <f t="shared" si="47"/>
        <v>39.499999992549419</v>
      </c>
      <c r="O107" s="7"/>
      <c r="P107" s="7"/>
      <c r="Q107" s="22"/>
      <c r="R107" s="170"/>
      <c r="S107" s="213">
        <f t="shared" si="48"/>
        <v>1</v>
      </c>
      <c r="T107" s="195" t="str">
        <f t="shared" si="31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2"/>
        <v>https://d0f6bd738d7f1b3e5a7ca70fe4ff75f0.us-east-1.aws.found.io/app/kibana#/discover/Steve-Slow-Train-Analysis-(2080s-and-2083s)?_g=(refreshInterval:(display:Off,pause:!f,section:0,value:0),time:(from:'2017-07-02T13:58:42-0600',mode:absolute,to:'2017-07-02T16:40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97" t="str">
        <f>IF(AA107&lt;VLOOKUP(AG107,Variables!$AC$3:$AD$8,2,FALSE),"Y","N")</f>
        <v>N</v>
      </c>
      <c r="X107" s="197">
        <f t="shared" si="45"/>
        <v>1</v>
      </c>
      <c r="Y107" s="197">
        <f t="shared" si="33"/>
        <v>5.2400000000000002E-2</v>
      </c>
      <c r="Z107" s="197">
        <f t="shared" si="34"/>
        <v>23.332999999999998</v>
      </c>
      <c r="AA107" s="197">
        <f t="shared" si="35"/>
        <v>23.2806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6"/>
        <v>191</v>
      </c>
      <c r="AE107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07" s="74" t="str">
        <f t="shared" si="38"/>
        <v>"C:\Program Files (x86)\AstroGrep\AstroGrep.exe" /e /r /s /spath="%USERPROFILE%\AppData\Local\Temp\OnboardLogs" /stypes="app*4046*20170702*" /stext=" 21:.+((SYSTEM_STATE.+slice.+state.+changed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40"/>
        <v>"%USERPROFILE%\Documents\GitHub\eaglep3\Utilities\RefineRTDCRunTimes.py" --tripid 191-02 --locoid 4046 --swversion DE.1.0.9.0 --startMP 204:524 --initTime 2017-07-02T14:58:42 --startdatetime 2017-07-02T15:01:22 --delay 1 --endMP 204:233330 --enddatetime 2017-07-02T15:40:52 --enforcementcount 0 &gt;&gt;C:\Users\stu\Documents\GitHub\eaglep3-reporting\EC\2017-07-02-refined-times.txt</v>
      </c>
      <c r="AI10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{"issue":{"subject":"","project_id":79,"tracker_id":40,"status_id":1,"priority_id":2,"assigned_to_id":23,"start_date":"2017-07-02","description":"","custom_fields":[{"id":1,"name":"Subdivision","value":"EC"},{"id":4,"name":"Milepost","value":"23.333"},{"id":17,"name":"Train ID","value":"191-02"},{"id":16,"name":"Locomotive ID","value":"4046"},{"id":130,"name":"Impact","value":""},{"id":150,"name":"Time of Event (Mountain Time)","value":"15:40:52"},{"id":151,"name":"Denver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4046 --day 2017-07-02</v>
      </c>
      <c r="AN107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21:40:52"},{"id":29,"name":"Sharepoint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665</v>
      </c>
      <c r="B108" s="7">
        <v>4045</v>
      </c>
      <c r="C108" s="21" t="s">
        <v>202</v>
      </c>
      <c r="D108" s="21" t="s">
        <v>545</v>
      </c>
      <c r="E108" s="13">
        <v>42918.660775462966</v>
      </c>
      <c r="F108" s="13">
        <v>42918.664768518516</v>
      </c>
      <c r="G108" s="7">
        <v>1</v>
      </c>
      <c r="H108" s="21" t="s">
        <v>394</v>
      </c>
      <c r="I108" s="13">
        <v>42918.694895833331</v>
      </c>
      <c r="J108" s="7">
        <v>0</v>
      </c>
      <c r="K108" s="89" t="str">
        <f t="shared" si="29"/>
        <v>4045/4046</v>
      </c>
      <c r="L108" s="21" t="str">
        <f>VLOOKUP(A108,'Trips&amp;Operators'!$C$1:$G$99999,5,FALSE)</f>
        <v>BRANDNER MELINDA</v>
      </c>
      <c r="M108" s="6">
        <f t="shared" si="30"/>
        <v>3.0127314814308193E-2</v>
      </c>
      <c r="N108" s="7">
        <f t="shared" si="47"/>
        <v>43.383333332603797</v>
      </c>
      <c r="O108" s="7"/>
      <c r="P108" s="7"/>
      <c r="Q108" s="22"/>
      <c r="R108" s="170"/>
      <c r="S108" s="213">
        <f t="shared" si="48"/>
        <v>1</v>
      </c>
      <c r="T108" s="195" t="str">
        <f t="shared" si="31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2"/>
        <v>https://d0f6bd738d7f1b3e5a7ca70fe4ff75f0.us-east-1.aws.found.io/app/kibana#/discover/Steve-Slow-Train-Analysis-(2080s-and-2083s)?_g=(refreshInterval:(display:Off,pause:!f,section:0,value:0),time:(from:'2017-07-02T14:51:31-0600',mode:absolute,to:'2017-07-02T17:40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97" t="str">
        <f>IF(AA108&lt;VLOOKUP(AG108,Variables!$AC$3:$AD$8,2,FALSE),"Y","N")</f>
        <v>N</v>
      </c>
      <c r="X108" s="197">
        <f t="shared" si="45"/>
        <v>1</v>
      </c>
      <c r="Y108" s="197">
        <f t="shared" si="33"/>
        <v>23.299199999999999</v>
      </c>
      <c r="Z108" s="197">
        <f t="shared" si="34"/>
        <v>1.54E-2</v>
      </c>
      <c r="AA108" s="197">
        <f t="shared" si="35"/>
        <v>23.283799999999999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6"/>
        <v>192</v>
      </c>
      <c r="AE108" s="77" t="str">
        <f t="shared" si="37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08" s="74" t="str">
        <f t="shared" si="38"/>
        <v>"C:\Program Files (x86)\AstroGrep\AstroGrep.exe" /e /r /s /spath="%USERPROFILE%\AppData\Local\Temp\OnboardLogs" /stypes="app*4045*20170702*" /stext=" 22:.+((SYSTEM_STATE.+slice.+state.+changed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40"/>
        <v>"%USERPROFILE%\Documents\GitHub\eaglep3\Utilities\RefineRTDCRunTimes.py" --tripid 192-02 --locoid 4045 --swversion DE.1.0.9.0 --startMP 204:232992 --initTime 2017-07-02T15:51:31 --startdatetime 2017-07-02T15:57:16 --delay 1 --endMP 204:154 --enddatetime 2017-07-02T16:40:39 --enforcementcount 0 &gt;&gt;C:\Users\stu\Documents\GitHub\eaglep3-reporting\EC\2017-07-02-refined-times.txt</v>
      </c>
      <c r="AI10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ID","value":"192-02"},{"id":16,"name":"Locomotive ID","value":"4045"},{"id":130,"name":"Impact","value":""},{"id":150,"name":"Time of Event (Mountain Time)","value":"16:40:39"},{"id":151,"name":"Denver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4045 --day 2017-07-02</v>
      </c>
      <c r="AN108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22:40:39"},{"id":29,"name":"Sharepoint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801</v>
      </c>
      <c r="B109" s="7">
        <v>4004</v>
      </c>
      <c r="C109" s="21" t="s">
        <v>202</v>
      </c>
      <c r="D109" s="21" t="s">
        <v>199</v>
      </c>
      <c r="E109" s="13">
        <v>42918.633877314816</v>
      </c>
      <c r="F109" s="13">
        <v>42918.635925925926</v>
      </c>
      <c r="G109" s="7">
        <v>0</v>
      </c>
      <c r="H109" s="21" t="s">
        <v>586</v>
      </c>
      <c r="I109" s="13">
        <v>42918.660729166666</v>
      </c>
      <c r="J109" s="7">
        <v>0</v>
      </c>
      <c r="K109" s="89" t="str">
        <f t="shared" si="29"/>
        <v>4003/4004</v>
      </c>
      <c r="L109" s="21" t="str">
        <f>VLOOKUP(A109,'Trips&amp;Operators'!$C$1:$G$99999,5,FALSE)</f>
        <v>BRUDER RICHARD</v>
      </c>
      <c r="M109" s="6">
        <f t="shared" si="30"/>
        <v>2.4803240739856847E-2</v>
      </c>
      <c r="N109" s="7">
        <f t="shared" si="47"/>
        <v>35.716666665393859</v>
      </c>
      <c r="O109" s="7"/>
      <c r="P109" s="7"/>
      <c r="Q109" s="22"/>
      <c r="R109" s="170"/>
      <c r="S109" s="213">
        <f t="shared" si="48"/>
        <v>1</v>
      </c>
      <c r="T109" s="195" t="str">
        <f t="shared" si="31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2"/>
        <v>https://d0f6bd738d7f1b3e5a7ca70fe4ff75f0.us-east-1.aws.found.io/app/kibana#/discover/Steve-Slow-Train-Analysis-(2080s-and-2083s)?_g=(refreshInterval:(display:Off,pause:!f,section:0,value:0),time:(from:'2017-07-02T14:12:47-0600',mode:absolute,to:'2017-07-02T16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197" t="str">
        <f>IF(AA109&lt;VLOOKUP(AG109,Variables!$AC$3:$AD$8,2,FALSE),"Y","N")</f>
        <v>N</v>
      </c>
      <c r="X109" s="197">
        <f t="shared" si="45"/>
        <v>1</v>
      </c>
      <c r="Y109" s="197">
        <f t="shared" ref="Y109:Y140" si="49">RIGHT(D109,LEN(D109)-4)/10000</f>
        <v>4.5999999999999999E-2</v>
      </c>
      <c r="Z109" s="197">
        <f t="shared" ref="Z109:Z140" si="50">RIGHT(H109,LEN(H109)-4)/10000</f>
        <v>23.329499999999999</v>
      </c>
      <c r="AA109" s="197">
        <f t="shared" si="35"/>
        <v>23.2835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6"/>
        <v>193</v>
      </c>
      <c r="AE109" s="77" t="str">
        <f t="shared" si="37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109" s="74" t="str">
        <f t="shared" si="38"/>
        <v>"C:\Program Files (x86)\AstroGrep\AstroGrep.exe" /e /r /s /spath="%USERPROFILE%\AppData\Local\Temp\OnboardLogs" /stypes="app*4004*20170702*" /stext=" 21:.+((SYSTEM_STATE.+slice.+state.+changed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40"/>
        <v>"%USERPROFILE%\Documents\GitHub\eaglep3\Utilities\RefineRTDCRunTimes.py" --tripid 193-02 --locoid 4004 --swversion DE.1.0.9.0 --startMP 204:460 --initTime 2017-07-02T15:12:47 --startdatetime 2017-07-02T15:15:44 --delay 0 --endMP 204:233295 --enddatetime 2017-07-02T15:51:27 --enforcementcount 0 &gt;&gt;C:\Users\stu\Documents\GitHub\eaglep3-reporting\EC\2017-07-02-refined-times.txt</v>
      </c>
      <c r="AI10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{"issue":{"subject":"","project_id":79,"tracker_id":40,"status_id":1,"priority_id":2,"assigned_to_id":23,"start_date":"2017-07-02","description":"","custom_fields":[{"id":1,"name":"Subdivision","value":"EC"},{"id":4,"name":"Milepost","value":"23.3295"},{"id":17,"name":"Train ID","value":"193-02"},{"id":16,"name":"Locomotive ID","value":"4004"},{"id":130,"name":"Impact","value":""},{"id":150,"name":"Time of Event (Mountain Time)","value":"15:51:27"},{"id":151,"name":"Denver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4004 --day 2017-07-02</v>
      </c>
      <c r="AN10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804</v>
      </c>
      <c r="B110" s="7">
        <v>4003</v>
      </c>
      <c r="C110" s="21" t="s">
        <v>202</v>
      </c>
      <c r="D110" s="21" t="s">
        <v>474</v>
      </c>
      <c r="E110" s="13">
        <v>42918.671087962961</v>
      </c>
      <c r="F110" s="13">
        <v>42918.675208333334</v>
      </c>
      <c r="G110" s="7">
        <v>2</v>
      </c>
      <c r="H110" s="21" t="s">
        <v>416</v>
      </c>
      <c r="I110" s="13">
        <v>42918.703414351854</v>
      </c>
      <c r="J110" s="7">
        <v>0</v>
      </c>
      <c r="K110" s="89" t="str">
        <f t="shared" si="29"/>
        <v>4003/4004</v>
      </c>
      <c r="L110" s="21" t="str">
        <f>VLOOKUP(A110,'Trips&amp;Operators'!$C$1:$G$99999,5,FALSE)</f>
        <v>BRUDER RICHARD</v>
      </c>
      <c r="M110" s="6">
        <f t="shared" si="30"/>
        <v>2.8206018519995268E-2</v>
      </c>
      <c r="N110" s="7">
        <f t="shared" si="47"/>
        <v>40.616666668793187</v>
      </c>
      <c r="O110" s="7"/>
      <c r="P110" s="7"/>
      <c r="Q110" s="22"/>
      <c r="R110" s="170"/>
      <c r="S110" s="213">
        <f t="shared" si="48"/>
        <v>1</v>
      </c>
      <c r="T110" s="195" t="str">
        <f t="shared" si="31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2"/>
        <v>https://d0f6bd738d7f1b3e5a7ca70fe4ff75f0.us-east-1.aws.found.io/app/kibana#/discover/Steve-Slow-Train-Analysis-(2080s-and-2083s)?_g=(refreshInterval:(display:Off,pause:!f,section:0,value:0),time:(from:'2017-07-02T15:06:22-0600',mode:absolute,to:'2017-07-02T17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49"/>
        <v>23.3</v>
      </c>
      <c r="Z110" s="197">
        <f t="shared" si="50"/>
        <v>1.4500000000000001E-2</v>
      </c>
      <c r="AA110" s="197">
        <f t="shared" si="35"/>
        <v>23.285499999999999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6"/>
        <v>194</v>
      </c>
      <c r="AE110" s="77" t="str">
        <f t="shared" si="37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110" s="74" t="str">
        <f t="shared" si="38"/>
        <v>"C:\Program Files (x86)\AstroGrep\AstroGrep.exe" /e /r /s /spath="%USERPROFILE%\AppData\Local\Temp\OnboardLogs" /stypes="app*4003*20170702*" /stext=" 22:.+((SYSTEM_STATE.+slice.+state.+changed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40"/>
        <v>"%USERPROFILE%\Documents\GitHub\eaglep3\Utilities\RefineRTDCRunTimes.py" --tripid 194-02 --locoid 4003 --swversion DE.1.0.9.0 --startMP 204:233000 --initTime 2017-07-02T16:06:22 --startdatetime 2017-07-02T16:12:18 --delay 2 --endMP 204:145 --enddatetime 2017-07-02T16:52:55 --enforcementcount 0 &gt;&gt;C:\Users\stu\Documents\GitHub\eaglep3-reporting\EC\2017-07-02-refined-times.txt</v>
      </c>
      <c r="AI11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ID","value":"194-02"},{"id":16,"name":"Locomotive ID","value":"4003"},{"id":130,"name":"Impact","value":""},{"id":150,"name":"Time of Event (Mountain Time)","value":"16:52:55"},{"id":151,"name":"Denver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4003 --day 2017-07-02</v>
      </c>
      <c r="AN110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803</v>
      </c>
      <c r="B111" s="7">
        <v>4042</v>
      </c>
      <c r="C111" s="21" t="s">
        <v>202</v>
      </c>
      <c r="D111" s="21" t="s">
        <v>351</v>
      </c>
      <c r="E111" s="13">
        <v>42918.642581018517</v>
      </c>
      <c r="F111" s="13">
        <v>42918.646365740744</v>
      </c>
      <c r="G111" s="7">
        <v>1</v>
      </c>
      <c r="H111" s="21" t="s">
        <v>954</v>
      </c>
      <c r="I111" s="13">
        <v>42918.672037037039</v>
      </c>
      <c r="J111" s="7">
        <v>0</v>
      </c>
      <c r="K111" s="89" t="str">
        <f t="shared" si="29"/>
        <v>4041/4042</v>
      </c>
      <c r="L111" s="21" t="str">
        <f>VLOOKUP(A111,'Trips&amp;Operators'!$C$1:$G$99999,5,FALSE)</f>
        <v>SULLIVAN BRANDON</v>
      </c>
      <c r="M111" s="6">
        <f t="shared" si="30"/>
        <v>2.5671296294603962E-2</v>
      </c>
      <c r="N111" s="7">
        <f t="shared" si="47"/>
        <v>36.966666664229706</v>
      </c>
      <c r="O111" s="7"/>
      <c r="P111" s="7"/>
      <c r="Q111" s="22"/>
      <c r="R111" s="170"/>
      <c r="S111" s="213">
        <f t="shared" si="48"/>
        <v>1</v>
      </c>
      <c r="T111" s="195" t="str">
        <f t="shared" si="31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2"/>
        <v>https://d0f6bd738d7f1b3e5a7ca70fe4ff75f0.us-east-1.aws.found.io/app/kibana#/discover/Steve-Slow-Train-Analysis-(2080s-and-2083s)?_g=(refreshInterval:(display:Off,pause:!f,section:0,value:0),time:(from:'2017-07-02T14:25:19-0600',mode:absolute,to:'2017-07-02T17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49"/>
        <v>4.6600000000000003E-2</v>
      </c>
      <c r="Z111" s="197">
        <f t="shared" si="50"/>
        <v>23.334700000000002</v>
      </c>
      <c r="AA111" s="197">
        <f t="shared" si="35"/>
        <v>23.2881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6"/>
        <v>195</v>
      </c>
      <c r="AE111" s="77" t="str">
        <f t="shared" si="37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11" s="74" t="str">
        <f t="shared" si="38"/>
        <v>"C:\Program Files (x86)\AstroGrep\AstroGrep.exe" /e /r /s /spath="%USERPROFILE%\AppData\Local\Temp\OnboardLogs" /stypes="app*4042*20170702*" /stext=" 22:.+((SYSTEM_STATE.+slice.+state.+changed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40"/>
        <v>"%USERPROFILE%\Documents\GitHub\eaglep3\Utilities\RefineRTDCRunTimes.py" --tripid 195-02 --locoid 4042 --swversion DE.1.0.9.0 --startMP 204:466 --initTime 2017-07-02T15:25:19 --startdatetime 2017-07-02T15:30:46 --delay 1 --endMP 204:233347 --enddatetime 2017-07-02T16:07:44 --enforcementcount 0 &gt;&gt;C:\Users\stu\Documents\GitHub\eaglep3-reporting\EC\2017-07-02-refined-times.txt</v>
      </c>
      <c r="AI11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{"issue":{"subject":"","project_id":79,"tracker_id":40,"status_id":1,"priority_id":2,"assigned_to_id":23,"start_date":"2017-07-02","description":"","custom_fields":[{"id":1,"name":"Subdivision","value":"EC"},{"id":4,"name":"Milepost","value":"23.3347"},{"id":17,"name":"Train ID","value":"195-02"},{"id":16,"name":"Locomotive ID","value":"4042"},{"id":130,"name":"Impact","value":""},{"id":150,"name":"Time of Event (Mountain Time)","value":"16:07:44"},{"id":151,"name":"Denver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4042 --day 2017-07-02</v>
      </c>
      <c r="AN11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806</v>
      </c>
      <c r="B112" s="7">
        <v>4041</v>
      </c>
      <c r="C112" s="21" t="s">
        <v>202</v>
      </c>
      <c r="D112" s="21" t="s">
        <v>955</v>
      </c>
      <c r="E112" s="13">
        <v>42918.697256944448</v>
      </c>
      <c r="F112" s="13">
        <v>42918.698923611111</v>
      </c>
      <c r="G112" s="7">
        <v>1</v>
      </c>
      <c r="H112" s="21" t="s">
        <v>436</v>
      </c>
      <c r="I112" s="13">
        <v>42918.717060185183</v>
      </c>
      <c r="J112" s="7">
        <v>0</v>
      </c>
      <c r="K112" s="89" t="str">
        <f t="shared" si="29"/>
        <v>4041/4042</v>
      </c>
      <c r="L112" s="21" t="str">
        <f>VLOOKUP(A112,'Trips&amp;Operators'!$C$1:$G$99999,5,FALSE)</f>
        <v>SULLIVAN BRANDON</v>
      </c>
      <c r="M112" s="6">
        <f t="shared" si="30"/>
        <v>1.8136574071832001E-2</v>
      </c>
      <c r="N112" s="7"/>
      <c r="O112" s="7"/>
      <c r="P112" s="7">
        <f>24*60*SUM($M112:$M112)</f>
        <v>26.116666663438082</v>
      </c>
      <c r="Q112" s="22"/>
      <c r="R112" s="170" t="s">
        <v>507</v>
      </c>
      <c r="S112" s="213">
        <f t="shared" si="48"/>
        <v>1</v>
      </c>
      <c r="T112" s="195" t="str">
        <f t="shared" si="31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2"/>
        <v>https://d0f6bd738d7f1b3e5a7ca70fe4ff75f0.us-east-1.aws.found.io/app/kibana#/discover/Steve-Slow-Train-Analysis-(2080s-and-2083s)?_g=(refreshInterval:(display:Off,pause:!f,section:0,value:0),time:(from:'2017-07-02T15:44:03-0600',mode:absolute,to:'2017-07-02T18:12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2" s="197" t="str">
        <f>IF(AA112&lt;VLOOKUP(AG112,Variables!$AC$3:$AD$8,2,FALSE),"Y","N")</f>
        <v>Y</v>
      </c>
      <c r="X112" s="197">
        <f t="shared" si="45"/>
        <v>1</v>
      </c>
      <c r="Y112" s="197">
        <f t="shared" si="49"/>
        <v>12.7858</v>
      </c>
      <c r="Z112" s="197">
        <f t="shared" si="50"/>
        <v>1.5599999999999999E-2</v>
      </c>
      <c r="AA112" s="197">
        <f t="shared" si="35"/>
        <v>12.770200000000001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6"/>
        <v>196</v>
      </c>
      <c r="AE112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12" s="74" t="str">
        <f t="shared" si="38"/>
        <v>"C:\Program Files (x86)\AstroGrep\AstroGrep.exe" /e /r /s /spath="%USERPROFILE%\AppData\Local\Temp\OnboardLogs" /stypes="app*4041*20170702*" /stext=" 23:.+((SYSTEM_STATE.+slice.+state.+changed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40"/>
        <v>"%USERPROFILE%\Documents\GitHub\eaglep3\Utilities\RefineRTDCRunTimes.py" --tripid 196-02 --locoid 4041 --swversion DE.1.0.9.0 --startMP 204:127858 --initTime 2017-07-02T16:44:03 --startdatetime 2017-07-02T16:46:27 --delay 1 --endMP 204:156 --enddatetime 2017-07-02T17:12:34 --enforcementcount 0 &gt;&gt;C:\Users\stu\Documents\GitHub\eaglep3-reporting\EC\2017-07-02-refined-times.txt</v>
      </c>
      <c r="AI112" s="96" t="str">
        <f t="shared" si="41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failure","project_id":79,"tracker_id":40,"status_id":1,"priority_id":2,"assigned_to_id":23,"start_date":"2017-07-02","description":"","custom_fields":[{"id":1,"name":"Subdivision","value":"EC"},{"id":4,"name":"Milepost","value":"0.0156"},{"id":17,"name":"Train ID","value":"196-02"},{"id":16,"name":"Locomotive ID","value":"4041"},{"id":130,"name":"Impact","value":""},{"id":150,"name":"Time of Event (Mountain Time)","value":"17:12:34"},{"id":151,"name":"Denver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4041 --day 2017-07-02</v>
      </c>
      <c r="AN112" s="151" t="str">
        <f t="shared" si="43"/>
        <v>echo {"issue":{"subject":"Onboard in-route failure","project_id":30,"tracker_id":4,"status_id":1,"priority_id":1,"assigned_to_id":10,"start_date":"2017-07-02","description":"","custom_fields":[{"id":30,"name":"Category","value":"Issue"},{"id":3,"name":"Functional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23:12:34"},{"id":29,"name":"Sharepoint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806</v>
      </c>
      <c r="B113" s="7">
        <v>4041</v>
      </c>
      <c r="C113" s="21" t="s">
        <v>202</v>
      </c>
      <c r="D113" s="21" t="s">
        <v>487</v>
      </c>
      <c r="E113" s="13">
        <v>42918.678541666668</v>
      </c>
      <c r="F113" s="13">
        <v>42918.698923611111</v>
      </c>
      <c r="G113" s="7">
        <v>3</v>
      </c>
      <c r="H113" s="21" t="s">
        <v>436</v>
      </c>
      <c r="I113" s="13">
        <v>42918.717060185183</v>
      </c>
      <c r="J113" s="7">
        <v>0</v>
      </c>
      <c r="K113" s="89" t="str">
        <f t="shared" si="29"/>
        <v>4041/4042</v>
      </c>
      <c r="L113" s="21" t="str">
        <f>VLOOKUP(A113,'Trips&amp;Operators'!$C$1:$G$99999,5,FALSE)</f>
        <v>SULLIVAN BRANDON</v>
      </c>
      <c r="M113" s="6">
        <f t="shared" si="30"/>
        <v>1.8136574071832001E-2</v>
      </c>
      <c r="N113" s="7"/>
      <c r="O113" s="7"/>
      <c r="P113" s="7"/>
      <c r="Q113" s="22"/>
      <c r="R113" s="170"/>
      <c r="S113" s="213"/>
      <c r="T113" s="195" t="str">
        <f t="shared" si="31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2"/>
        <v>https://d0f6bd738d7f1b3e5a7ca70fe4ff75f0.us-east-1.aws.found.io/app/kibana#/discover/Steve-Slow-Train-Analysis-(2080s-and-2083s)?_g=(refreshInterval:(display:Off,pause:!f,section:0,value:0),time:(from:'2017-07-02T15:17:06-0600',mode:absolute,to:'2017-07-02T18:12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197" t="str">
        <f>IF(AA113&lt;VLOOKUP(AG113,Variables!$AC$3:$AD$8,2,FALSE),"Y","N")</f>
        <v>N</v>
      </c>
      <c r="X113" s="197">
        <f t="shared" si="45"/>
        <v>0</v>
      </c>
      <c r="Y113" s="197">
        <f t="shared" si="49"/>
        <v>23.301500000000001</v>
      </c>
      <c r="Z113" s="197">
        <f t="shared" si="50"/>
        <v>1.5599999999999999E-2</v>
      </c>
      <c r="AA113" s="197">
        <f t="shared" si="35"/>
        <v>23.285900000000002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6"/>
        <v>196</v>
      </c>
      <c r="AE113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13" s="74" t="str">
        <f t="shared" si="38"/>
        <v>"C:\Program Files (x86)\AstroGrep\AstroGrep.exe" /e /r /s /spath="%USERPROFILE%\AppData\Local\Temp\OnboardLogs" /stypes="app*4041*20170702*" /stext=" 23:.+((SYSTEM_STATE.+slice.+state.+changed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40"/>
        <v>"%USERPROFILE%\Documents\GitHub\eaglep3\Utilities\RefineRTDCRunTimes.py" --tripid 196-02 --locoid 4041 --swversion DE.1.0.9.0 --startMP 204:233015 --initTime 2017-07-02T16:17:06 --startdatetime 2017-07-02T16:46:27 --delay 3 --endMP 204:156 --enddatetime 2017-07-02T17:12:34 --enforcementcount 0 &gt;&gt;C:\Users\stu\Documents\GitHub\eaglep3-reporting\EC\2017-07-02-refined-times.txt</v>
      </c>
      <c r="AI11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{"issue":{"subject":"","project_id":79,"tracker_id":40,"status_id":1,"priority_id":2,"assigned_to_id":23,"start_date":"2017-07-02","description":"","custom_fields":[{"id":1,"name":"Subdivision","value":"EC"},{"id":4,"name":"Milepost","value":"0.0156"},{"id":17,"name":"Train ID","value":"196-02"},{"id":16,"name":"Locomotive ID","value":"4041"},{"id":130,"name":"Impact","value":""},{"id":150,"name":"Time of Event (Mountain Time)","value":"17:12:34"},{"id":151,"name":"Denver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4041 --day 2017-07-02</v>
      </c>
      <c r="AN113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23:12:34"},{"id":29,"name":"Sharepoint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806</v>
      </c>
      <c r="B114" s="7">
        <v>4041</v>
      </c>
      <c r="C114" s="21" t="s">
        <v>202</v>
      </c>
      <c r="D114" s="21" t="s">
        <v>487</v>
      </c>
      <c r="E114" s="13">
        <v>42918.678541666668</v>
      </c>
      <c r="F114" s="13">
        <v>42918.698923611111</v>
      </c>
      <c r="G114" s="7">
        <v>5</v>
      </c>
      <c r="H114" s="21" t="s">
        <v>436</v>
      </c>
      <c r="I114" s="13">
        <v>42918.717060185183</v>
      </c>
      <c r="J114" s="7">
        <v>0</v>
      </c>
      <c r="K114" s="89" t="str">
        <f t="shared" si="29"/>
        <v>4041/4042</v>
      </c>
      <c r="L114" s="21" t="str">
        <f>VLOOKUP(A114,'Trips&amp;Operators'!$C$1:$G$99999,5,FALSE)</f>
        <v>SULLIVAN BRANDON</v>
      </c>
      <c r="M114" s="6">
        <f t="shared" si="30"/>
        <v>1.8136574071832001E-2</v>
      </c>
      <c r="N114" s="7"/>
      <c r="O114" s="7"/>
      <c r="P114" s="7"/>
      <c r="Q114" s="22"/>
      <c r="R114" s="170"/>
      <c r="S114" s="213"/>
      <c r="T114" s="195" t="str">
        <f t="shared" si="31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2"/>
        <v>https://d0f6bd738d7f1b3e5a7ca70fe4ff75f0.us-east-1.aws.found.io/app/kibana#/discover/Steve-Slow-Train-Analysis-(2080s-and-2083s)?_g=(refreshInterval:(display:Off,pause:!f,section:0,value:0),time:(from:'2017-07-02T15:17:06-0600',mode:absolute,to:'2017-07-02T18:12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97" t="str">
        <f>IF(AA114&lt;VLOOKUP(AG114,Variables!$AC$3:$AD$8,2,FALSE),"Y","N")</f>
        <v>N</v>
      </c>
      <c r="X114" s="197">
        <f t="shared" si="45"/>
        <v>0</v>
      </c>
      <c r="Y114" s="197">
        <f t="shared" si="49"/>
        <v>23.301500000000001</v>
      </c>
      <c r="Z114" s="197">
        <f t="shared" si="50"/>
        <v>1.5599999999999999E-2</v>
      </c>
      <c r="AA114" s="197">
        <f t="shared" si="35"/>
        <v>23.285900000000002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6"/>
        <v>196</v>
      </c>
      <c r="AE114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14" s="74" t="str">
        <f t="shared" si="38"/>
        <v>"C:\Program Files (x86)\AstroGrep\AstroGrep.exe" /e /r /s /spath="%USERPROFILE%\AppData\Local\Temp\OnboardLogs" /stypes="app*4041*20170702*" /stext=" 23:.+((SYSTEM_STATE.+slice.+state.+changed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40"/>
        <v>"%USERPROFILE%\Documents\GitHub\eaglep3\Utilities\RefineRTDCRunTimes.py" --tripid 196-02 --locoid 4041 --swversion DE.1.0.9.0 --startMP 204:233015 --initTime 2017-07-02T16:17:06 --startdatetime 2017-07-02T16:46:27 --delay 5 --endMP 204:156 --enddatetime 2017-07-02T17:12:34 --enforcementcount 0 &gt;&gt;C:\Users\stu\Documents\GitHub\eaglep3-reporting\EC\2017-07-02-refined-times.txt</v>
      </c>
      <c r="AI11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{"issue":{"subject":"","project_id":79,"tracker_id":40,"status_id":1,"priority_id":2,"assigned_to_id":23,"start_date":"2017-07-02","description":"","custom_fields":[{"id":1,"name":"Subdivision","value":"EC"},{"id":4,"name":"Milepost","value":"0.0156"},{"id":17,"name":"Train ID","value":"196-02"},{"id":16,"name":"Locomotive ID","value":"4041"},{"id":130,"name":"Impact","value":""},{"id":150,"name":"Time of Event (Mountain Time)","value":"17:12:34"},{"id":151,"name":"Denver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4041 --day 2017-07-02</v>
      </c>
      <c r="AN114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23:12:34"},{"id":29,"name":"Sharepoint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664</v>
      </c>
      <c r="B115" s="7">
        <v>4064</v>
      </c>
      <c r="C115" s="21" t="s">
        <v>202</v>
      </c>
      <c r="D115" s="21" t="s">
        <v>347</v>
      </c>
      <c r="E115" s="13">
        <v>42918.653726851851</v>
      </c>
      <c r="F115" s="13">
        <v>42918.656747685185</v>
      </c>
      <c r="G115" s="7">
        <v>2</v>
      </c>
      <c r="H115" s="21" t="s">
        <v>514</v>
      </c>
      <c r="I115" s="13">
        <v>42918.682962962965</v>
      </c>
      <c r="J115" s="7">
        <v>0</v>
      </c>
      <c r="K115" s="89" t="str">
        <f t="shared" si="29"/>
        <v>4063/4064</v>
      </c>
      <c r="L115" s="21" t="str">
        <f>VLOOKUP(A115,'Trips&amp;Operators'!$C$1:$G$99999,5,FALSE)</f>
        <v>DELGADO DIANAH</v>
      </c>
      <c r="M115" s="6">
        <f t="shared" si="30"/>
        <v>2.6215277779556345E-2</v>
      </c>
      <c r="N115" s="7">
        <f t="shared" ref="N115:N121" si="51">24*60*SUM($M115:$M115)</f>
        <v>37.750000002561137</v>
      </c>
      <c r="O115" s="7"/>
      <c r="P115" s="7"/>
      <c r="Q115" s="22"/>
      <c r="R115" s="170"/>
      <c r="S115" s="213">
        <f t="shared" ref="S115:S121" si="52">SUM(U115:U115)/IF(AG115="EC",12,1)</f>
        <v>1</v>
      </c>
      <c r="T115" s="195" t="str">
        <f t="shared" si="31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2"/>
        <v>https://d0f6bd738d7f1b3e5a7ca70fe4ff75f0.us-east-1.aws.found.io/app/kibana#/discover/Steve-Slow-Train-Analysis-(2080s-and-2083s)?_g=(refreshInterval:(display:Off,pause:!f,section:0,value:0),time:(from:'2017-07-02T14:41:22-0600',mode:absolute,to:'2017-07-02T17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5" s="197" t="str">
        <f>IF(AA115&lt;VLOOKUP(AG115,Variables!$AC$3:$AD$8,2,FALSE),"Y","N")</f>
        <v>N</v>
      </c>
      <c r="X115" s="197">
        <f t="shared" si="45"/>
        <v>1</v>
      </c>
      <c r="Y115" s="197">
        <f t="shared" si="49"/>
        <v>4.4600000000000001E-2</v>
      </c>
      <c r="Z115" s="197">
        <f t="shared" si="50"/>
        <v>23.331900000000001</v>
      </c>
      <c r="AA115" s="197">
        <f t="shared" si="35"/>
        <v>23.287300000000002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6"/>
        <v>197</v>
      </c>
      <c r="AE115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115" s="74" t="str">
        <f t="shared" si="38"/>
        <v>"C:\Program Files (x86)\AstroGrep\AstroGrep.exe" /e /r /s /spath="%USERPROFILE%\AppData\Local\Temp\OnboardLogs" /stypes="app*4064*20170702*" /stext=" 22:.+((SYSTEM_STATE.+slice.+state.+changed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40"/>
        <v>"%USERPROFILE%\Documents\GitHub\eaglep3\Utilities\RefineRTDCRunTimes.py" --tripid 197-02 --locoid 4064 --swversion DE.1.0.9.0 --startMP 204:446 --initTime 2017-07-02T15:41:22 --startdatetime 2017-07-02T15:45:43 --delay 2 --endMP 204:233319 --enddatetime 2017-07-02T16:23:28 --enforcementcount 0 &gt;&gt;C:\Users\stu\Documents\GitHub\eaglep3-reporting\EC\2017-07-02-refined-times.txt</v>
      </c>
      <c r="AI11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{"issue":{"subject":"","project_id":79,"tracker_id":40,"status_id":1,"priority_id":2,"assigned_to_id":23,"start_date":"2017-07-02","description":"","custom_fields":[{"id":1,"name":"Subdivision","value":"EC"},{"id":4,"name":"Milepost","value":"23.3319"},{"id":17,"name":"Train ID","value":"197-02"},{"id":16,"name":"Locomotive ID","value":"4064"},{"id":130,"name":"Impact","value":""},{"id":150,"name":"Time of Event (Mountain Time)","value":"16:23:28"},{"id":151,"name":"Denver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4064 --day 2017-07-02</v>
      </c>
      <c r="AN11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809</v>
      </c>
      <c r="B116" s="7">
        <v>4063</v>
      </c>
      <c r="C116" s="21" t="s">
        <v>202</v>
      </c>
      <c r="D116" s="21" t="s">
        <v>956</v>
      </c>
      <c r="E116" s="13">
        <v>42918.689710648148</v>
      </c>
      <c r="F116" s="13">
        <v>42918.696030092593</v>
      </c>
      <c r="G116" s="7">
        <v>2</v>
      </c>
      <c r="H116" s="21" t="s">
        <v>349</v>
      </c>
      <c r="I116" s="13">
        <v>42918.724606481483</v>
      </c>
      <c r="J116" s="7">
        <v>0</v>
      </c>
      <c r="K116" s="89" t="str">
        <f t="shared" si="29"/>
        <v>4063/4064</v>
      </c>
      <c r="L116" s="21" t="str">
        <f>VLOOKUP(A116,'Trips&amp;Operators'!$C$1:$G$99999,5,FALSE)</f>
        <v>DELGADO DIANAH</v>
      </c>
      <c r="M116" s="6">
        <f t="shared" si="30"/>
        <v>2.8576388889632653E-2</v>
      </c>
      <c r="N116" s="7">
        <f t="shared" si="51"/>
        <v>41.150000001071021</v>
      </c>
      <c r="O116" s="7"/>
      <c r="P116" s="7"/>
      <c r="Q116" s="22"/>
      <c r="R116" s="170"/>
      <c r="S116" s="213">
        <f t="shared" si="52"/>
        <v>1</v>
      </c>
      <c r="T116" s="195" t="str">
        <f t="shared" si="31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2"/>
        <v>https://d0f6bd738d7f1b3e5a7ca70fe4ff75f0.us-east-1.aws.found.io/app/kibana#/discover/Steve-Slow-Train-Analysis-(2080s-and-2083s)?_g=(refreshInterval:(display:Off,pause:!f,section:0,value:0),time:(from:'2017-07-02T15:33:11-0600',mode:absolute,to:'2017-07-02T18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49"/>
        <v>23.3002</v>
      </c>
      <c r="Z116" s="197">
        <f t="shared" si="50"/>
        <v>1.49E-2</v>
      </c>
      <c r="AA116" s="197">
        <f t="shared" si="35"/>
        <v>23.285299999999999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6"/>
        <v>198</v>
      </c>
      <c r="AE116" s="77" t="str">
        <f t="shared" si="37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116" s="74" t="str">
        <f t="shared" si="38"/>
        <v>"C:\Program Files (x86)\AstroGrep\AstroGrep.exe" /e /r /s /spath="%USERPROFILE%\AppData\Local\Temp\OnboardLogs" /stypes="app*4063*20170702*" /stext=" 23:.+((SYSTEM_STATE.+slice.+state.+changed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40"/>
        <v>"%USERPROFILE%\Documents\GitHub\eaglep3\Utilities\RefineRTDCRunTimes.py" --tripid 198-02 --locoid 4063 --swversion DE.1.0.9.0 --startMP 204:233002 --initTime 2017-07-02T16:33:11 --startdatetime 2017-07-02T16:42:17 --delay 2 --endMP 204:149 --enddatetime 2017-07-02T17:23:26 --enforcementcount 0 &gt;&gt;C:\Users\stu\Documents\GitHub\eaglep3-reporting\EC\2017-07-02-refined-times.txt</v>
      </c>
      <c r="AI11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ID","value":"198-02"},{"id":16,"name":"Locomotive ID","value":"4063"},{"id":130,"name":"Impact","value":""},{"id":150,"name":"Time of Event (Mountain Time)","value":"17:23:26"},{"id":151,"name":"Denver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4063 --day 2017-07-02</v>
      </c>
      <c r="AN116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662</v>
      </c>
      <c r="B117" s="7">
        <v>4054</v>
      </c>
      <c r="C117" s="21" t="s">
        <v>202</v>
      </c>
      <c r="D117" s="21" t="s">
        <v>444</v>
      </c>
      <c r="E117" s="13">
        <v>42918.662928240738</v>
      </c>
      <c r="F117" s="13">
        <v>42918.667187500003</v>
      </c>
      <c r="G117" s="7">
        <v>1</v>
      </c>
      <c r="H117" s="21" t="s">
        <v>551</v>
      </c>
      <c r="I117" s="13">
        <v>42918.692118055558</v>
      </c>
      <c r="J117" s="7">
        <v>0</v>
      </c>
      <c r="K117" s="89" t="str">
        <f t="shared" si="29"/>
        <v>4053/4054</v>
      </c>
      <c r="L117" s="21" t="str">
        <f>VLOOKUP(A117,'Trips&amp;Operators'!$C$1:$G$99999,5,FALSE)</f>
        <v>ROMERO CHAD</v>
      </c>
      <c r="M117" s="6">
        <f t="shared" si="30"/>
        <v>2.4930555555329192E-2</v>
      </c>
      <c r="N117" s="7">
        <f t="shared" si="51"/>
        <v>35.899999999674037</v>
      </c>
      <c r="O117" s="7"/>
      <c r="P117" s="7"/>
      <c r="Q117" s="22"/>
      <c r="R117" s="170"/>
      <c r="S117" s="213">
        <f t="shared" si="52"/>
        <v>1</v>
      </c>
      <c r="T117" s="195" t="str">
        <f t="shared" si="31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2"/>
        <v>https://d0f6bd738d7f1b3e5a7ca70fe4ff75f0.us-east-1.aws.found.io/app/kibana#/discover/Steve-Slow-Train-Analysis-(2080s-and-2083s)?_g=(refreshInterval:(display:Off,pause:!f,section:0,value:0),time:(from:'2017-07-02T14:54:37-0600',mode:absolute,to:'2017-07-02T17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49"/>
        <v>4.4200000000000003E-2</v>
      </c>
      <c r="Z117" s="197">
        <f t="shared" si="50"/>
        <v>23.331399999999999</v>
      </c>
      <c r="AA117" s="197">
        <f t="shared" si="35"/>
        <v>23.287199999999999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6"/>
        <v>199</v>
      </c>
      <c r="AE117" s="77" t="str">
        <f t="shared" si="37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117" s="74" t="str">
        <f t="shared" si="38"/>
        <v>"C:\Program Files (x86)\AstroGrep\AstroGrep.exe" /e /r /s /spath="%USERPROFILE%\AppData\Local\Temp\OnboardLogs" /stypes="app*4054*20170702*" /stext=" 22:.+((SYSTEM_STATE.+slice.+state.+changed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40"/>
        <v>"%USERPROFILE%\Documents\GitHub\eaglep3\Utilities\RefineRTDCRunTimes.py" --tripid 199-02 --locoid 4054 --swversion DE.1.0.9.0 --startMP 204:442 --initTime 2017-07-02T15:54:37 --startdatetime 2017-07-02T16:00:45 --delay 1 --endMP 204:233314 --enddatetime 2017-07-02T16:36:39 --enforcementcount 0 &gt;&gt;C:\Users\stu\Documents\GitHub\eaglep3-reporting\EC\2017-07-02-refined-times.txt</v>
      </c>
      <c r="AI11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{"issue":{"subject":"","project_id":79,"tracker_id":40,"status_id":1,"priority_id":2,"assigned_to_id":23,"start_date":"2017-07-02","description":"","custom_fields":[{"id":1,"name":"Subdivision","value":"EC"},{"id":4,"name":"Milepost","value":"23.3314"},{"id":17,"name":"Train ID","value":"199-02"},{"id":16,"name":"Locomotive ID","value":"4054"},{"id":130,"name":"Impact","value":""},{"id":150,"name":"Time of Event (Mountain Time)","value":"16:36:39"},{"id":151,"name":"Denver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4054 --day 2017-07-02</v>
      </c>
      <c r="AN117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667</v>
      </c>
      <c r="B118" s="7">
        <v>4053</v>
      </c>
      <c r="C118" s="21" t="s">
        <v>202</v>
      </c>
      <c r="D118" s="21" t="s">
        <v>582</v>
      </c>
      <c r="E118" s="13">
        <v>42918.696377314816</v>
      </c>
      <c r="F118" s="13">
        <v>42918.708078703705</v>
      </c>
      <c r="G118" s="7">
        <v>1</v>
      </c>
      <c r="H118" s="21" t="s">
        <v>957</v>
      </c>
      <c r="I118" s="13">
        <v>42918.736307870371</v>
      </c>
      <c r="J118" s="7">
        <v>0</v>
      </c>
      <c r="K118" s="89" t="str">
        <f t="shared" si="29"/>
        <v>4053/4054</v>
      </c>
      <c r="L118" s="21" t="str">
        <f>VLOOKUP(A118,'Trips&amp;Operators'!$C$1:$G$99999,5,FALSE)</f>
        <v>ROMERO CHAD</v>
      </c>
      <c r="M118" s="6">
        <f t="shared" si="30"/>
        <v>2.8229166666278616E-2</v>
      </c>
      <c r="N118" s="7">
        <f t="shared" si="51"/>
        <v>40.649999999441206</v>
      </c>
      <c r="O118" s="7"/>
      <c r="P118" s="7"/>
      <c r="Q118" s="22"/>
      <c r="R118" s="170"/>
      <c r="S118" s="213">
        <f t="shared" si="52"/>
        <v>1</v>
      </c>
      <c r="T118" s="195" t="str">
        <f t="shared" si="31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2"/>
        <v>https://d0f6bd738d7f1b3e5a7ca70fe4ff75f0.us-east-1.aws.found.io/app/kibana#/discover/Steve-Slow-Train-Analysis-(2080s-and-2083s)?_g=(refreshInterval:(display:Off,pause:!f,section:0,value:0),time:(from:'2017-07-02T15:42:47-0600',mode:absolute,to:'2017-07-02T18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97" t="str">
        <f>IF(AA118&lt;VLOOKUP(AG118,Variables!$AC$3:$AD$8,2,FALSE),"Y","N")</f>
        <v>N</v>
      </c>
      <c r="X118" s="197">
        <f t="shared" ref="X118:X149" si="53">VALUE(LEFT(AD118,4))-VALUE(LEFT(AD117,4))</f>
        <v>1</v>
      </c>
      <c r="Y118" s="197">
        <f t="shared" si="49"/>
        <v>23.301100000000002</v>
      </c>
      <c r="Z118" s="197">
        <f t="shared" si="50"/>
        <v>1.2200000000000001E-2</v>
      </c>
      <c r="AA118" s="197">
        <f t="shared" si="35"/>
        <v>23.288900000000002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6"/>
        <v>200</v>
      </c>
      <c r="AE118" s="77" t="str">
        <f t="shared" si="37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118" s="74" t="str">
        <f t="shared" si="38"/>
        <v>"C:\Program Files (x86)\AstroGrep\AstroGrep.exe" /e /r /s /spath="%USERPROFILE%\AppData\Local\Temp\OnboardLogs" /stypes="app*4053*20170702*" /stext=" 23:.+((SYSTEM_STATE.+slice.+state.+changed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40"/>
        <v>"%USERPROFILE%\Documents\GitHub\eaglep3\Utilities\RefineRTDCRunTimes.py" --tripid 200-02 --locoid 4053 --swversion DE.1.0.9.0 --startMP 204:233011 --initTime 2017-07-02T16:42:47 --startdatetime 2017-07-02T16:59:38 --delay 1 --endMP 204:122 --enddatetime 2017-07-02T17:40:17 --enforcementcount 0 &gt;&gt;C:\Users\stu\Documents\GitHub\eaglep3-reporting\EC\2017-07-02-refined-times.txt</v>
      </c>
      <c r="AI11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{"issue":{"subject":"","project_id":79,"tracker_id":40,"status_id":1,"priority_id":2,"assigned_to_id":23,"start_date":"2017-07-02","description":"","custom_fields":[{"id":1,"name":"Subdivision","value":"EC"},{"id":4,"name":"Milepost","value":"0.0122"},{"id":17,"name":"Train ID","value":"200-02"},{"id":16,"name":"Locomotive ID","value":"4053"},{"id":130,"name":"Impact","value":""},{"id":150,"name":"Time of Event (Mountain Time)","value":"17:40:17"},{"id":151,"name":"Denver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4053 --day 2017-07-02</v>
      </c>
      <c r="AN118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23:40:17"},{"id":29,"name":"Sharepoint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805</v>
      </c>
      <c r="B119" s="7">
        <v>4022</v>
      </c>
      <c r="C119" s="21" t="s">
        <v>202</v>
      </c>
      <c r="D119" s="21" t="s">
        <v>352</v>
      </c>
      <c r="E119" s="13">
        <v>42918.67659722222</v>
      </c>
      <c r="F119" s="13">
        <v>42918.678159722222</v>
      </c>
      <c r="G119" s="7">
        <v>1</v>
      </c>
      <c r="H119" s="21" t="s">
        <v>591</v>
      </c>
      <c r="I119" s="13">
        <v>42918.711087962962</v>
      </c>
      <c r="J119" s="7">
        <v>0</v>
      </c>
      <c r="K119" s="89" t="str">
        <f t="shared" si="29"/>
        <v>4021/4022</v>
      </c>
      <c r="L119" s="21" t="str">
        <f>VLOOKUP(A119,'Trips&amp;Operators'!$C$1:$G$99999,5,FALSE)</f>
        <v>NELSON ARIANE</v>
      </c>
      <c r="M119" s="6">
        <f t="shared" si="30"/>
        <v>3.2928240740147885E-2</v>
      </c>
      <c r="N119" s="7">
        <f t="shared" si="51"/>
        <v>47.416666665812954</v>
      </c>
      <c r="O119" s="7"/>
      <c r="P119" s="7"/>
      <c r="Q119" s="22"/>
      <c r="R119" s="170"/>
      <c r="S119" s="213">
        <f t="shared" si="52"/>
        <v>1</v>
      </c>
      <c r="T119" s="195" t="str">
        <f t="shared" si="31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2"/>
        <v>https://d0f6bd738d7f1b3e5a7ca70fe4ff75f0.us-east-1.aws.found.io/app/kibana#/discover/Steve-Slow-Train-Analysis-(2080s-and-2083s)?_g=(refreshInterval:(display:Off,pause:!f,section:0,value:0),time:(from:'2017-07-02T15:14:18-0600',mode:absolute,to:'2017-07-02T18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197" t="str">
        <f>IF(AA119&lt;VLOOKUP(AG119,Variables!$AC$3:$AD$8,2,FALSE),"Y","N")</f>
        <v>N</v>
      </c>
      <c r="X119" s="197">
        <f t="shared" si="53"/>
        <v>1</v>
      </c>
      <c r="Y119" s="197">
        <f t="shared" si="49"/>
        <v>4.5100000000000001E-2</v>
      </c>
      <c r="Z119" s="197">
        <f t="shared" si="50"/>
        <v>23.328499999999998</v>
      </c>
      <c r="AA119" s="197">
        <f t="shared" si="35"/>
        <v>23.283399999999997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6"/>
        <v>201</v>
      </c>
      <c r="AE119" s="77" t="str">
        <f t="shared" si="37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119" s="74" t="str">
        <f t="shared" si="38"/>
        <v>"C:\Program Files (x86)\AstroGrep\AstroGrep.exe" /e /r /s /spath="%USERPROFILE%\AppData\Local\Temp\OnboardLogs" /stypes="app*4022*20170702*" /stext=" 23:.+((SYSTEM_STATE.+slice.+state.+changed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40"/>
        <v>"%USERPROFILE%\Documents\GitHub\eaglep3\Utilities\RefineRTDCRunTimes.py" --tripid 201-02 --locoid 4022 --swversion DE.1.0.9.0 --startMP 204:451 --initTime 2017-07-02T16:14:18 --startdatetime 2017-07-02T16:16:33 --delay 1 --endMP 204:233285 --enddatetime 2017-07-02T17:03:58 --enforcementcount 0 &gt;&gt;C:\Users\stu\Documents\GitHub\eaglep3-reporting\EC\2017-07-02-refined-times.txt</v>
      </c>
      <c r="AI11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{"issue":{"subject":"","project_id":79,"tracker_id":40,"status_id":1,"priority_id":2,"assigned_to_id":23,"start_date":"2017-07-02","description":"","custom_fields":[{"id":1,"name":"Subdivision","value":"EC"},{"id":4,"name":"Milepost","value":"23.3285"},{"id":17,"name":"Train ID","value":"201-02"},{"id":16,"name":"Locomotive ID","value":"4022"},{"id":130,"name":"Impact","value":""},{"id":150,"name":"Time of Event (Mountain Time)","value":"17:03:58"},{"id":151,"name":"Denver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4022 --day 2017-07-02</v>
      </c>
      <c r="AN11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814</v>
      </c>
      <c r="B120" s="7">
        <v>4021</v>
      </c>
      <c r="C120" s="21" t="s">
        <v>202</v>
      </c>
      <c r="D120" s="21" t="s">
        <v>911</v>
      </c>
      <c r="E120" s="13">
        <v>42918.715196759258</v>
      </c>
      <c r="F120" s="13">
        <v>42918.71707175926</v>
      </c>
      <c r="G120" s="7">
        <v>2</v>
      </c>
      <c r="H120" s="21" t="s">
        <v>416</v>
      </c>
      <c r="I120" s="13">
        <v>42918.748333333337</v>
      </c>
      <c r="J120" s="7">
        <v>0</v>
      </c>
      <c r="K120" s="89" t="str">
        <f t="shared" si="29"/>
        <v>4021/4022</v>
      </c>
      <c r="L120" s="21" t="str">
        <f>VLOOKUP(A120,'Trips&amp;Operators'!$C$1:$G$99999,5,FALSE)</f>
        <v>NELSON ARIANE</v>
      </c>
      <c r="M120" s="6">
        <f t="shared" si="30"/>
        <v>3.1261574076779652E-2</v>
      </c>
      <c r="N120" s="7">
        <f t="shared" si="51"/>
        <v>45.016666670562699</v>
      </c>
      <c r="O120" s="7"/>
      <c r="P120" s="7"/>
      <c r="Q120" s="22"/>
      <c r="R120" s="170"/>
      <c r="S120" s="213">
        <f t="shared" si="52"/>
        <v>1</v>
      </c>
      <c r="T120" s="195" t="str">
        <f t="shared" si="31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2"/>
        <v>https://d0f6bd738d7f1b3e5a7ca70fe4ff75f0.us-east-1.aws.found.io/app/kibana#/discover/Steve-Slow-Train-Analysis-(2080s-and-2083s)?_g=(refreshInterval:(display:Off,pause:!f,section:0,value:0),time:(from:'2017-07-02T16:09:53-0600',mode:absolute,to:'2017-07-02T18:57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197" t="str">
        <f>IF(AA120&lt;VLOOKUP(AG120,Variables!$AC$3:$AD$8,2,FALSE),"Y","N")</f>
        <v>N</v>
      </c>
      <c r="X120" s="197">
        <f t="shared" si="53"/>
        <v>1</v>
      </c>
      <c r="Y120" s="197">
        <f t="shared" si="49"/>
        <v>23.296199999999999</v>
      </c>
      <c r="Z120" s="197">
        <f t="shared" si="50"/>
        <v>1.4500000000000001E-2</v>
      </c>
      <c r="AA120" s="197">
        <f t="shared" si="35"/>
        <v>23.281699999999997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6"/>
        <v>202</v>
      </c>
      <c r="AE120" s="77" t="str">
        <f t="shared" si="37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120" s="74" t="str">
        <f t="shared" si="38"/>
        <v>"C:\Program Files (x86)\AstroGrep\AstroGrep.exe" /e /r /s /spath="%USERPROFILE%\AppData\Local\Temp\OnboardLogs" /stypes="app*4021*20170702*" /stext=" 23:.+((SYSTEM_STATE.+slice.+state.+changed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si="40"/>
        <v>"%USERPROFILE%\Documents\GitHub\eaglep3\Utilities\RefineRTDCRunTimes.py" --tripid 202-02 --locoid 4021 --swversion DE.1.0.9.0 --startMP 204:232962 --initTime 2017-07-02T17:09:53 --startdatetime 2017-07-02T17:12:35 --delay 2 --endMP 204:145 --enddatetime 2017-07-02T17:57:36 --enforcementcount 0 &gt;&gt;C:\Users\stu\Documents\GitHub\eaglep3-reporting\EC\2017-07-02-refined-times.txt</v>
      </c>
      <c r="AI12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{"issue":{"subject":"","project_id":79,"tracker_id":40,"status_id":1,"priority_id":2,"assigned_to_id":23,"start_date":"2017-07-02","description":"","custom_fields":[{"id":1,"name":"Subdivision","value":"EC"},{"id":4,"name":"Milepost","value":"0.0145"},{"id":17,"name":"Train ID","value":"202-02"},{"id":16,"name":"Locomotive ID","value":"4021"},{"id":130,"name":"Impact","value":""},{"id":150,"name":"Time of Event (Mountain Time)","value":"17:57:36"},{"id":151,"name":"Denver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4021 --day 2017-07-02</v>
      </c>
      <c r="AN120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808</v>
      </c>
      <c r="B121" s="7">
        <v>4044</v>
      </c>
      <c r="C121" s="21" t="s">
        <v>202</v>
      </c>
      <c r="D121" s="21" t="s">
        <v>391</v>
      </c>
      <c r="E121" s="13">
        <v>42918.687384259261</v>
      </c>
      <c r="F121" s="13">
        <v>42918.688888888886</v>
      </c>
      <c r="G121" s="7">
        <v>1</v>
      </c>
      <c r="H121" s="21" t="s">
        <v>555</v>
      </c>
      <c r="I121" s="13">
        <v>42918.717141203706</v>
      </c>
      <c r="J121" s="7">
        <v>0</v>
      </c>
      <c r="K121" s="89" t="str">
        <f t="shared" si="29"/>
        <v>4043/4044</v>
      </c>
      <c r="L121" s="21" t="str">
        <f>VLOOKUP(A121,'Trips&amp;Operators'!$C$1:$G$99999,5,FALSE)</f>
        <v>DAVIS MICHAEL</v>
      </c>
      <c r="M121" s="6">
        <f t="shared" si="30"/>
        <v>2.825231481983792E-2</v>
      </c>
      <c r="N121" s="7">
        <f t="shared" si="51"/>
        <v>40.683333340566605</v>
      </c>
      <c r="O121" s="7"/>
      <c r="P121" s="7"/>
      <c r="Q121" s="22"/>
      <c r="R121" s="170"/>
      <c r="S121" s="213">
        <f t="shared" si="52"/>
        <v>1</v>
      </c>
      <c r="T121" s="195" t="str">
        <f t="shared" si="31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2"/>
        <v>https://d0f6bd738d7f1b3e5a7ca70fe4ff75f0.us-east-1.aws.found.io/app/kibana#/discover/Steve-Slow-Train-Analysis-(2080s-and-2083s)?_g=(refreshInterval:(display:Off,pause:!f,section:0,value:0),time:(from:'2017-07-02T15:29:50-0600',mode:absolute,to:'2017-07-02T18:12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97" t="str">
        <f>IF(AA121&lt;VLOOKUP(AG121,Variables!$AC$3:$AD$8,2,FALSE),"Y","N")</f>
        <v>N</v>
      </c>
      <c r="X121" s="197">
        <f t="shared" si="53"/>
        <v>1</v>
      </c>
      <c r="Y121" s="197">
        <f t="shared" si="49"/>
        <v>4.6199999999999998E-2</v>
      </c>
      <c r="Z121" s="197">
        <f t="shared" si="50"/>
        <v>23.334099999999999</v>
      </c>
      <c r="AA121" s="197">
        <f t="shared" si="35"/>
        <v>23.2879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6"/>
        <v>203</v>
      </c>
      <c r="AE121" s="77" t="str">
        <f t="shared" si="37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21" s="74" t="str">
        <f t="shared" si="38"/>
        <v>"C:\Program Files (x86)\AstroGrep\AstroGrep.exe" /e /r /s /spath="%USERPROFILE%\AppData\Local\Temp\OnboardLogs" /stypes="app*4044*20170702*" /stext=" 23:.+((SYSTEM_STATE.+slice.+state.+changed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40"/>
        <v>"%USERPROFILE%\Documents\GitHub\eaglep3\Utilities\RefineRTDCRunTimes.py" --tripid 203-02 --locoid 4044 --swversion DE.1.0.9.0 --startMP 204:462 --initTime 2017-07-02T16:29:50 --startdatetime 2017-07-02T16:32:00 --delay 1 --endMP 204:233341 --enddatetime 2017-07-02T17:12:41 --enforcementcount 0 &gt;&gt;C:\Users\stu\Documents\GitHub\eaglep3-reporting\EC\2017-07-02-refined-times.txt</v>
      </c>
      <c r="AI12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{"issue":{"subject":"","project_id":79,"tracker_id":40,"status_id":1,"priority_id":2,"assigned_to_id":23,"start_date":"2017-07-02","description":"","custom_fields":[{"id":1,"name":"Subdivision","value":"EC"},{"id":4,"name":"Milepost","value":"23.3341"},{"id":17,"name":"Train ID","value":"203-02"},{"id":16,"name":"Locomotive ID","value":"4044"},{"id":130,"name":"Impact","value":""},{"id":150,"name":"Time of Event (Mountain Time)","value":"17:12:41"},{"id":151,"name":"Denver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4044 --day 2017-07-02</v>
      </c>
      <c r="AN121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23:12:41"},{"id":29,"name":"Sharepoint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815</v>
      </c>
      <c r="B122" s="7">
        <v>4043</v>
      </c>
      <c r="C122" s="21" t="s">
        <v>202</v>
      </c>
      <c r="D122" s="21" t="s">
        <v>593</v>
      </c>
      <c r="E122" s="13">
        <v>42918.725451388891</v>
      </c>
      <c r="F122" s="13">
        <v>42918.7265625</v>
      </c>
      <c r="G122" s="7">
        <v>1</v>
      </c>
      <c r="H122" s="21" t="s">
        <v>958</v>
      </c>
      <c r="I122" s="13">
        <v>42918.74728009259</v>
      </c>
      <c r="J122" s="7">
        <v>0</v>
      </c>
      <c r="K122" s="89" t="str">
        <f t="shared" si="29"/>
        <v>4043/4044</v>
      </c>
      <c r="L122" s="21" t="str">
        <f>VLOOKUP(A122,'Trips&amp;Operators'!$C$1:$G$99999,5,FALSE)</f>
        <v>DAVIS MICHAEL</v>
      </c>
      <c r="M122" s="6">
        <f t="shared" si="30"/>
        <v>2.0717592589790002E-2</v>
      </c>
      <c r="N122" s="7"/>
      <c r="O122" s="7"/>
      <c r="P122" s="7">
        <f>24*60*SUM($M122:$M123)</f>
        <v>43.399999992689118</v>
      </c>
      <c r="Q122" s="22"/>
      <c r="R122" s="170" t="s">
        <v>1032</v>
      </c>
      <c r="S122" s="213">
        <f>SUM(U122:U123)/IF(AG122="EC",12,1)</f>
        <v>0.58333333333333337</v>
      </c>
      <c r="T122" s="195" t="str">
        <f t="shared" si="31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4</v>
      </c>
      <c r="V122" s="196" t="str">
        <f t="shared" si="32"/>
        <v>https://d0f6bd738d7f1b3e5a7ca70fe4ff75f0.us-east-1.aws.found.io/app/kibana#/discover/Steve-Slow-Train-Analysis-(2080s-and-2083s)?_g=(refreshInterval:(display:Off,pause:!f,section:0,value:0),time:(from:'2017-07-02T16:24:39-0600',mode:absolute,to:'2017-07-02T18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97" t="str">
        <f>IF(AA122&lt;VLOOKUP(AG122,Variables!$AC$3:$AD$8,2,FALSE),"Y","N")</f>
        <v>Y</v>
      </c>
      <c r="X122" s="197">
        <f t="shared" si="53"/>
        <v>1</v>
      </c>
      <c r="Y122" s="197">
        <f t="shared" si="49"/>
        <v>23.298999999999999</v>
      </c>
      <c r="Z122" s="197">
        <f t="shared" si="50"/>
        <v>6.1417999999999999</v>
      </c>
      <c r="AA122" s="197">
        <f t="shared" si="35"/>
        <v>17.1572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6"/>
        <v>204</v>
      </c>
      <c r="AE122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22" s="74" t="str">
        <f t="shared" si="38"/>
        <v>"C:\Program Files (x86)\AstroGrep\AstroGrep.exe" /e /r /s /spath="%USERPROFILE%\AppData\Local\Temp\OnboardLogs" /stypes="app*4043*20170702*" /stext=" 23:.+((SYSTEM_STATE.+slice.+state.+changed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40"/>
        <v>"%USERPROFILE%\Documents\GitHub\eaglep3\Utilities\RefineRTDCRunTimes.py" --tripid 204-02 --locoid 4043 --swversion DE.1.0.9.0 --startMP 204:232990 --initTime 2017-07-02T17:24:39 --startdatetime 2017-07-02T17:26:15 --delay 1 --endMP 204:61418 --enddatetime 2017-07-02T17:56:05 --enforcementcount 0 &gt;&gt;C:\Users\stu\Documents\GitHub\eaglep3-reporting\EC\2017-07-02-refined-times.txt</v>
      </c>
      <c r="AI122" s="96" t="str">
        <f t="shared" si="41"/>
        <v>echo {"issue":{"subject":"Cut out for Quebec crossing issue","project_id":79,"tracker_id":40,"status_id":1,"priority_id":2,"assigned_to_id":23,"start_date":"2017-07-02","description":"","custom_fields":[{"id":1,"name":"Subdivision","value":"EC"},{"id":4,"name":"Milepost","value":"6.1418"},{"id":17,"name":"Train ID","value":"204-02"},{"id":16,"name":"Locomotive ID","value":"4043"},{"id":130,"name":"Impact","value":""},{"id":150,"name":"Time of Event (Mountain Time)","value":"17:56:05"},{"id":151,"name":"Denver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4043 --day 2017-07-02</v>
      </c>
      <c r="AN122" s="151" t="str">
        <f t="shared" si="43"/>
        <v>echo {"issue":{"subject":"Cut out for Quebec crossing issue","project_id":30,"tracker_id":4,"status_id":1,"priority_id":1,"assigned_to_id":10,"start_date":"2017-07-02","description":"","custom_fields":[{"id":30,"name":"Category","value":"Issue"},{"id":3,"name":"Functional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815</v>
      </c>
      <c r="B123" s="7">
        <v>4043</v>
      </c>
      <c r="C123" s="21" t="s">
        <v>202</v>
      </c>
      <c r="D123" s="21" t="s">
        <v>959</v>
      </c>
      <c r="E123" s="13">
        <v>42918.752395833333</v>
      </c>
      <c r="F123" s="13">
        <v>42918.75309027778</v>
      </c>
      <c r="G123" s="7">
        <v>1</v>
      </c>
      <c r="H123" s="21" t="s">
        <v>596</v>
      </c>
      <c r="I123" s="13">
        <v>42918.762511574074</v>
      </c>
      <c r="J123" s="7">
        <v>0</v>
      </c>
      <c r="K123" s="89" t="str">
        <f t="shared" si="29"/>
        <v>4043/4044</v>
      </c>
      <c r="L123" s="21" t="str">
        <f>VLOOKUP(A123,'Trips&amp;Operators'!$C$1:$G$99999,5,FALSE)</f>
        <v>DAVIS MICHAEL</v>
      </c>
      <c r="M123" s="6">
        <f t="shared" si="30"/>
        <v>9.4212962940218858E-3</v>
      </c>
      <c r="N123" s="7"/>
      <c r="O123" s="7"/>
      <c r="P123" s="7"/>
      <c r="Q123" s="22"/>
      <c r="R123" s="170"/>
      <c r="S123" s="213"/>
      <c r="T123" s="195" t="str">
        <f t="shared" si="31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3</v>
      </c>
      <c r="V123" s="196" t="str">
        <f t="shared" si="32"/>
        <v>https://d0f6bd738d7f1b3e5a7ca70fe4ff75f0.us-east-1.aws.found.io/app/kibana#/discover/Steve-Slow-Train-Analysis-(2080s-and-2083s)?_g=(refreshInterval:(display:Off,pause:!f,section:0,value:0),time:(from:'2017-07-02T17:03:27-0600',mode:absolute,to:'2017-07-02T19:18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197" t="str">
        <f>IF(AA123&lt;VLOOKUP(AG123,Variables!$AC$3:$AD$8,2,FALSE),"Y","N")</f>
        <v>Y</v>
      </c>
      <c r="X123" s="197">
        <f t="shared" si="53"/>
        <v>0</v>
      </c>
      <c r="Y123" s="197">
        <f t="shared" si="49"/>
        <v>3.6808000000000001</v>
      </c>
      <c r="Z123" s="197">
        <f t="shared" si="50"/>
        <v>1.2699999999999999E-2</v>
      </c>
      <c r="AA123" s="197">
        <f t="shared" si="35"/>
        <v>3.6680999999999999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6"/>
        <v>204</v>
      </c>
      <c r="AE123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23" s="74" t="str">
        <f t="shared" si="38"/>
        <v>"C:\Program Files (x86)\AstroGrep\AstroGrep.exe" /e /r /s /spath="%USERPROFILE%\AppData\Local\Temp\OnboardLogs" /stypes="app*4043*20170703*"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40"/>
        <v>"%USERPROFILE%\Documents\GitHub\eaglep3\Utilities\RefineRTDCRunTimes.py" --tripid 204-02 --locoid 4043 --swversion DE.1.0.9.0 --startMP 204:36808 --initTime 2017-07-02T18:03:27 --startdatetime 2017-07-02T18:04:27 --delay 1 --endMP 204:127 --enddatetime 2017-07-02T18:18:01 --enforcementcount 0 &gt;&gt;C:\Users\stu\Documents\GitHub\eaglep3-reporting\EC\2017-07-02-refined-times.txt</v>
      </c>
      <c r="AI12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{"issue":{"subject":"","project_id":79,"tracker_id":40,"status_id":1,"priority_id":2,"assigned_to_id":23,"start_date":"2017-07-02","description":"","custom_fields":[{"id":1,"name":"Subdivision","value":"EC"},{"id":4,"name":"Milepost","value":"0.0127"},{"id":17,"name":"Train ID","value":"204-02"},{"id":16,"name":"Locomotive ID","value":"4043"},{"id":130,"name":"Impact","value":""},{"id":150,"name":"Time of Event (Mountain Time)","value":"18:18:01"},{"id":151,"name":"Denver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4043 --day 2017-07-02</v>
      </c>
      <c r="AN123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00:18:01"},{"id":29,"name":"Sharepoint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670</v>
      </c>
      <c r="B124" s="7">
        <v>4046</v>
      </c>
      <c r="C124" s="21" t="s">
        <v>202</v>
      </c>
      <c r="D124" s="21" t="s">
        <v>435</v>
      </c>
      <c r="E124" s="13">
        <v>42918.697372685187</v>
      </c>
      <c r="F124" s="13">
        <v>42918.698692129627</v>
      </c>
      <c r="G124" s="7">
        <v>1</v>
      </c>
      <c r="H124" s="21" t="s">
        <v>960</v>
      </c>
      <c r="I124" s="13">
        <v>42918.70239583333</v>
      </c>
      <c r="J124" s="7">
        <v>0</v>
      </c>
      <c r="K124" s="89" t="str">
        <f t="shared" si="29"/>
        <v>4045/4046</v>
      </c>
      <c r="L124" s="21" t="str">
        <f>VLOOKUP(A124,'Trips&amp;Operators'!$C$1:$G$99999,5,FALSE)</f>
        <v>BRANDNER MELINDA</v>
      </c>
      <c r="M124" s="6">
        <f t="shared" si="30"/>
        <v>3.7037037036498077E-3</v>
      </c>
      <c r="N124" s="7"/>
      <c r="O124" s="7"/>
      <c r="P124" s="7">
        <f>24*60*SUM($M124:$M125)</f>
        <v>33.483333333861083</v>
      </c>
      <c r="Q124" s="22"/>
      <c r="R124" s="170" t="s">
        <v>507</v>
      </c>
      <c r="S124" s="213">
        <f>SUM(U124:U125)/IF(AG124="EC",12,1)</f>
        <v>0.25</v>
      </c>
      <c r="T124" s="195" t="str">
        <f t="shared" si="31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0</v>
      </c>
      <c r="V124" s="196" t="str">
        <f t="shared" si="32"/>
        <v>https://d0f6bd738d7f1b3e5a7ca70fe4ff75f0.us-east-1.aws.found.io/app/kibana#/discover/Steve-Slow-Train-Analysis-(2080s-and-2083s)?_g=(refreshInterval:(display:Off,pause:!f,section:0,value:0),time:(from:'2017-07-02T15:44:13-0600',mode:absolute,to:'2017-07-02T17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4" s="197" t="str">
        <f>IF(AA124&lt;VLOOKUP(AG124,Variables!$AC$3:$AD$8,2,FALSE),"Y","N")</f>
        <v>Y</v>
      </c>
      <c r="X124" s="197">
        <f t="shared" si="53"/>
        <v>1</v>
      </c>
      <c r="Y124" s="197">
        <f t="shared" si="49"/>
        <v>4.6699999999999998E-2</v>
      </c>
      <c r="Z124" s="197">
        <f t="shared" si="50"/>
        <v>1.9139999999999999</v>
      </c>
      <c r="AA124" s="197">
        <f t="shared" si="35"/>
        <v>1.8673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6"/>
        <v>205</v>
      </c>
      <c r="AE124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24" s="74" t="str">
        <f t="shared" si="38"/>
        <v>"C:\Program Files (x86)\AstroGrep\AstroGrep.exe" /e /r /s /spath="%USERPROFILE%\AppData\Local\Temp\OnboardLogs" /stypes="app*4046*20170702*" /stext=" 22:.+((SYSTEM_STATE.+slice.+state.+changed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40"/>
        <v>"%USERPROFILE%\Documents\GitHub\eaglep3\Utilities\RefineRTDCRunTimes.py" --tripid 205-02 --locoid 4046 --swversion DE.1.0.9.0 --startMP 204:467 --initTime 2017-07-02T16:44:13 --startdatetime 2017-07-02T16:46:07 --delay 1 --endMP 204:19140 --enddatetime 2017-07-02T16:51:27 --enforcementcount 0 &gt;&gt;C:\Users\stu\Documents\GitHub\eaglep3-reporting\EC\2017-07-02-refined-times.txt</v>
      </c>
      <c r="AI124" s="96" t="str">
        <f t="shared" si="41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failure","project_id":79,"tracker_id":40,"status_id":1,"priority_id":2,"assigned_to_id":23,"start_date":"2017-07-02","description":"","custom_fields":[{"id":1,"name":"Subdivision","value":"EC"},{"id":4,"name":"Milepost","value":"1.914"},{"id":17,"name":"Train ID","value":"205-02"},{"id":16,"name":"Locomotive ID","value":"4046"},{"id":130,"name":"Impact","value":""},{"id":150,"name":"Time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4046 --day 2017-07-02</v>
      </c>
      <c r="AN124" s="151" t="str">
        <f t="shared" si="43"/>
        <v>echo {"issue":{"subject":"Onboard in-route failure","project_id":30,"tracker_id":4,"status_id":1,"priority_id":1,"assigned_to_id":10,"start_date":"2017-07-02","description":"","custom_fields":[{"id":30,"name":"Category","value":"Issue"},{"id":3,"name":"Functional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670</v>
      </c>
      <c r="B125" s="7">
        <v>4046</v>
      </c>
      <c r="C125" s="21" t="s">
        <v>202</v>
      </c>
      <c r="D125" s="21" t="s">
        <v>961</v>
      </c>
      <c r="E125" s="13">
        <v>42918.715081018519</v>
      </c>
      <c r="F125" s="13">
        <v>42918.715752314813</v>
      </c>
      <c r="G125" s="7">
        <v>0</v>
      </c>
      <c r="H125" s="21" t="s">
        <v>594</v>
      </c>
      <c r="I125" s="13">
        <v>42918.735300925924</v>
      </c>
      <c r="J125" s="7">
        <v>1</v>
      </c>
      <c r="K125" s="89" t="str">
        <f t="shared" si="29"/>
        <v>4045/4046</v>
      </c>
      <c r="L125" s="21" t="str">
        <f>VLOOKUP(A125,'Trips&amp;Operators'!$C$1:$G$99999,5,FALSE)</f>
        <v>BRANDNER MELINDA</v>
      </c>
      <c r="M125" s="6">
        <f t="shared" si="30"/>
        <v>1.95486111115315E-2</v>
      </c>
      <c r="N125" s="7"/>
      <c r="O125" s="7"/>
      <c r="P125" s="7"/>
      <c r="Q125" s="22"/>
      <c r="R125" s="170"/>
      <c r="S125" s="213"/>
      <c r="T125" s="195" t="str">
        <f t="shared" si="31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3</v>
      </c>
      <c r="V125" s="196" t="str">
        <f t="shared" si="32"/>
        <v>https://d0f6bd738d7f1b3e5a7ca70fe4ff75f0.us-east-1.aws.found.io/app/kibana#/discover/Steve-Slow-Train-Analysis-(2080s-and-2083s)?_g=(refreshInterval:(display:Off,pause:!f,section:0,value:0),time:(from:'2017-07-02T16:09:43-0600',mode:absolute,to:'2017-07-02T18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5" s="197" t="str">
        <f>IF(AA125&lt;VLOOKUP(AG125,Variables!$AC$3:$AD$8,2,FALSE),"Y","N")</f>
        <v>Y</v>
      </c>
      <c r="X125" s="197">
        <f t="shared" si="53"/>
        <v>0</v>
      </c>
      <c r="Y125" s="197">
        <f t="shared" si="49"/>
        <v>6.4711999999999996</v>
      </c>
      <c r="Z125" s="197">
        <f t="shared" si="50"/>
        <v>23.333200000000001</v>
      </c>
      <c r="AA125" s="197">
        <f t="shared" si="35"/>
        <v>16.862000000000002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6"/>
        <v>205</v>
      </c>
      <c r="AE125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25" s="74" t="str">
        <f t="shared" si="38"/>
        <v>"C:\Program Files (x86)\AstroGrep\AstroGrep.exe" /e /r /s /spath="%USERPROFILE%\AppData\Local\Temp\OnboardLogs" /stypes="app*4046*20170702*" /stext=" 23:.+((SYSTEM_STATE.+slice.+state.+changed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si="40"/>
        <v>"%USERPROFILE%\Documents\GitHub\eaglep3\Utilities\RefineRTDCRunTimes.py" --tripid 205-02 --locoid 4046 --swversion DE.1.0.9.0 --startMP 204:64712 --initTime 2017-07-02T17:09:43 --startdatetime 2017-07-02T17:10:41 --delay 0 --endMP 204:233332 --enddatetime 2017-07-02T17:38:50 --enforcementcount 1 &gt;&gt;C:\Users\stu\Documents\GitHub\eaglep3-reporting\EC\2017-07-02-refined-times.txt</v>
      </c>
      <c r="AI12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{"issue":{"subject":"","project_id":79,"tracker_id":40,"status_id":1,"priority_id":2,"assigned_to_id":23,"start_date":"2017-07-02","description":"","custom_fields":[{"id":1,"name":"Subdivision","value":"EC"},{"id":4,"name":"Milepost","value":"23.3332"},{"id":17,"name":"Train ID","value":"205-02"},{"id":16,"name":"Locomotive ID","value":"4046"},{"id":130,"name":"Impact","value":""},{"id":150,"name":"Time of Event (Mountain Time)","value":"17:38:50"},{"id":151,"name":"Denver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4046 --day 2017-07-02</v>
      </c>
      <c r="AN125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674</v>
      </c>
      <c r="B126" s="7">
        <v>4045</v>
      </c>
      <c r="C126" s="21" t="s">
        <v>202</v>
      </c>
      <c r="D126" s="21" t="s">
        <v>962</v>
      </c>
      <c r="E126" s="13">
        <v>42918.737523148149</v>
      </c>
      <c r="F126" s="13">
        <v>42918.739803240744</v>
      </c>
      <c r="G126" s="7">
        <v>1</v>
      </c>
      <c r="H126" s="21" t="s">
        <v>963</v>
      </c>
      <c r="I126" s="13">
        <v>42918.769687499997</v>
      </c>
      <c r="J126" s="7">
        <v>0</v>
      </c>
      <c r="K126" s="89" t="str">
        <f t="shared" si="29"/>
        <v>4045/4046</v>
      </c>
      <c r="L126" s="21" t="str">
        <f>VLOOKUP(A126,'Trips&amp;Operators'!$C$1:$G$99999,5,FALSE)</f>
        <v>BRANDNER MELINDA</v>
      </c>
      <c r="M126" s="6">
        <f t="shared" si="30"/>
        <v>2.9884259252867196E-2</v>
      </c>
      <c r="N126" s="7">
        <f t="shared" ref="N126:N138" si="54">24*60*SUM($M126:$M126)</f>
        <v>43.033333324128762</v>
      </c>
      <c r="O126" s="7"/>
      <c r="P126" s="7"/>
      <c r="Q126" s="22"/>
      <c r="R126" s="170"/>
      <c r="S126" s="213">
        <f t="shared" ref="S126:S138" si="55">SUM(U126:U126)/IF(AG126="EC",12,1)</f>
        <v>1</v>
      </c>
      <c r="T126" s="195" t="str">
        <f t="shared" si="31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2"/>
        <v>https://d0f6bd738d7f1b3e5a7ca70fe4ff75f0.us-east-1.aws.found.io/app/kibana#/discover/Steve-Slow-Train-Analysis-(2080s-and-2083s)?_g=(refreshInterval:(display:Off,pause:!f,section:0,value:0),time:(from:'2017-07-02T16:42:02-0600',mode:absolute,to:'2017-07-02T19:28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6" s="197" t="str">
        <f>IF(AA126&lt;VLOOKUP(AG126,Variables!$AC$3:$AD$8,2,FALSE),"Y","N")</f>
        <v>N</v>
      </c>
      <c r="X126" s="197">
        <f t="shared" si="53"/>
        <v>1</v>
      </c>
      <c r="Y126" s="197">
        <f t="shared" si="49"/>
        <v>23.302099999999999</v>
      </c>
      <c r="Z126" s="197">
        <f t="shared" si="50"/>
        <v>1.78E-2</v>
      </c>
      <c r="AA126" s="197">
        <f t="shared" si="35"/>
        <v>23.284299999999998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6"/>
        <v>206</v>
      </c>
      <c r="AE126" s="77" t="str">
        <f t="shared" si="37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26" s="74" t="str">
        <f t="shared" si="38"/>
        <v>"C:\Program Files (x86)\AstroGrep\AstroGrep.exe" /e /r /s /spath="%USERPROFILE%\AppData\Local\Temp\OnboardLogs" /stypes="app*4045*20170703*" /stext=" 00:.+((SYSTEM_STATE.+slice.+state.+changed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40"/>
        <v>"%USERPROFILE%\Documents\GitHub\eaglep3\Utilities\RefineRTDCRunTimes.py" --tripid 206-02 --locoid 4045 --swversion DE.1.0.9.0 --startMP 204:233021 --initTime 2017-07-02T17:42:02 --startdatetime 2017-07-02T17:45:19 --delay 1 --endMP 204:178 --enddatetime 2017-07-02T18:28:21 --enforcementcount 0 &gt;&gt;C:\Users\stu\Documents\GitHub\eaglep3-reporting\EC\2017-07-02-refined-times.txt</v>
      </c>
      <c r="AI12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{"issue":{"subject":"","project_id":79,"tracker_id":40,"status_id":1,"priority_id":2,"assigned_to_id":23,"start_date":"2017-07-02","description":"","custom_fields":[{"id":1,"name":"Subdivision","value":"EC"},{"id":4,"name":"Milepost","value":"0.0178"},{"id":17,"name":"Train ID","value":"206-02"},{"id":16,"name":"Locomotive ID","value":"4045"},{"id":130,"name":"Impact","value":""},{"id":150,"name":"Time of Event (Mountain Time)","value":"18:28:21"},{"id":151,"name":"Denver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4045 --day 2017-07-02</v>
      </c>
      <c r="AN126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00:28:21"},{"id":29,"name":"Sharepoint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668</v>
      </c>
      <c r="B127" s="7">
        <v>4004</v>
      </c>
      <c r="C127" s="21" t="s">
        <v>202</v>
      </c>
      <c r="D127" s="21" t="s">
        <v>198</v>
      </c>
      <c r="E127" s="13">
        <v>42918.705289351848</v>
      </c>
      <c r="F127" s="13">
        <v>42918.708854166667</v>
      </c>
      <c r="G127" s="7">
        <v>1</v>
      </c>
      <c r="H127" s="21" t="s">
        <v>502</v>
      </c>
      <c r="I127" s="13">
        <v>42918.73673611111</v>
      </c>
      <c r="J127" s="7">
        <v>0</v>
      </c>
      <c r="K127" s="89" t="str">
        <f t="shared" si="29"/>
        <v>4003/4004</v>
      </c>
      <c r="L127" s="21" t="str">
        <f>VLOOKUP(A127,'Trips&amp;Operators'!$C$1:$G$99999,5,FALSE)</f>
        <v>BRUDER RICHARD</v>
      </c>
      <c r="M127" s="6">
        <f t="shared" si="30"/>
        <v>2.7881944442924578E-2</v>
      </c>
      <c r="N127" s="7">
        <f t="shared" si="54"/>
        <v>40.149999997811392</v>
      </c>
      <c r="O127" s="7"/>
      <c r="P127" s="7"/>
      <c r="Q127" s="22"/>
      <c r="R127" s="170"/>
      <c r="S127" s="213">
        <f t="shared" si="55"/>
        <v>1</v>
      </c>
      <c r="T127" s="195" t="str">
        <f t="shared" si="31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2"/>
        <v>https://d0f6bd738d7f1b3e5a7ca70fe4ff75f0.us-east-1.aws.found.io/app/kibana#/discover/Steve-Slow-Train-Analysis-(2080s-and-2083s)?_g=(refreshInterval:(display:Off,pause:!f,section:0,value:0),time:(from:'2017-07-02T15:55:37-0600',mode:absolute,to:'2017-07-02T18:40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197" t="str">
        <f>IF(AA127&lt;VLOOKUP(AG127,Variables!$AC$3:$AD$8,2,FALSE),"Y","N")</f>
        <v>N</v>
      </c>
      <c r="X127" s="197">
        <f t="shared" si="53"/>
        <v>1</v>
      </c>
      <c r="Y127" s="197">
        <f t="shared" si="49"/>
        <v>4.5699999999999998E-2</v>
      </c>
      <c r="Z127" s="197">
        <f t="shared" si="50"/>
        <v>23.3293</v>
      </c>
      <c r="AA127" s="197">
        <f t="shared" si="35"/>
        <v>23.2836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6"/>
        <v>207</v>
      </c>
      <c r="AE127" s="77" t="str">
        <f t="shared" si="37"/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AF127" s="74" t="str">
        <f t="shared" si="38"/>
        <v>"C:\Program Files (x86)\AstroGrep\AstroGrep.exe" /e /r /s /spath="%USERPROFILE%\AppData\Local\Temp\OnboardLogs" /stypes="app*4004*20170702*" /stext=" 23:.+((SYSTEM_STATE.+slice.+state.+changed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40"/>
        <v>"%USERPROFILE%\Documents\GitHub\eaglep3\Utilities\RefineRTDCRunTimes.py" --tripid 207-02 --locoid 4004 --swversion DE.1.0.9.0 --startMP 204:457 --initTime 2017-07-02T16:55:37 --startdatetime 2017-07-02T17:00:45 --delay 1 --endMP 204:233293 --enddatetime 2017-07-02T17:40:54 --enforcementcount 0 &gt;&gt;C:\Users\stu\Documents\GitHub\eaglep3-reporting\EC\2017-07-02-refined-times.txt</v>
      </c>
      <c r="AI12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{"issue":{"subject":"","project_id":79,"tracker_id":40,"status_id":1,"priority_id":2,"assigned_to_id":23,"start_date":"2017-07-02","description":"","custom_fields":[{"id":1,"name":"Subdivision","value":"EC"},{"id":4,"name":"Milepost","value":"23.3293"},{"id":17,"name":"Train ID","value":"207-02"},{"id":16,"name":"Locomotive ID","value":"4004"},{"id":130,"name":"Impact","value":""},{"id":150,"name":"Time of Event (Mountain Time)","value":"17:40:54"},{"id":151,"name":"Denver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4004 --day 2017-07-02</v>
      </c>
      <c r="AN127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23:40:54"},{"id":29,"name":"Sharepoint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819</v>
      </c>
      <c r="B128" s="7">
        <v>4003</v>
      </c>
      <c r="C128" s="21" t="s">
        <v>202</v>
      </c>
      <c r="D128" s="21" t="s">
        <v>896</v>
      </c>
      <c r="E128" s="13">
        <v>42918.743993055556</v>
      </c>
      <c r="F128" s="13">
        <v>42918.748124999998</v>
      </c>
      <c r="G128" s="7">
        <v>0</v>
      </c>
      <c r="H128" s="21" t="s">
        <v>964</v>
      </c>
      <c r="I128" s="13">
        <v>42918.776956018519</v>
      </c>
      <c r="J128" s="7">
        <v>0</v>
      </c>
      <c r="K128" s="89" t="str">
        <f t="shared" si="29"/>
        <v>4003/4004</v>
      </c>
      <c r="L128" s="21" t="str">
        <f>VLOOKUP(A128,'Trips&amp;Operators'!$C$1:$G$99999,5,FALSE)</f>
        <v>BRUDER RICHARD</v>
      </c>
      <c r="M128" s="6">
        <f t="shared" si="30"/>
        <v>2.8831018520577345E-2</v>
      </c>
      <c r="N128" s="7">
        <f t="shared" si="54"/>
        <v>41.516666669631377</v>
      </c>
      <c r="O128" s="7"/>
      <c r="P128" s="7"/>
      <c r="Q128" s="22"/>
      <c r="R128" s="170"/>
      <c r="S128" s="213">
        <f t="shared" si="55"/>
        <v>1</v>
      </c>
      <c r="T128" s="195" t="str">
        <f t="shared" si="31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2"/>
        <v>https://d0f6bd738d7f1b3e5a7ca70fe4ff75f0.us-east-1.aws.found.io/app/kibana#/discover/Steve-Slow-Train-Analysis-(2080s-and-2083s)?_g=(refreshInterval:(display:Off,pause:!f,section:0,value:0),time:(from:'2017-07-02T16:51:21-0600',mode:absolute,to:'2017-07-02T19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8" s="197" t="str">
        <f>IF(AA128&lt;VLOOKUP(AG128,Variables!$AC$3:$AD$8,2,FALSE),"Y","N")</f>
        <v>N</v>
      </c>
      <c r="X128" s="197">
        <f t="shared" si="53"/>
        <v>1</v>
      </c>
      <c r="Y128" s="197">
        <f t="shared" si="49"/>
        <v>23.297499999999999</v>
      </c>
      <c r="Z128" s="197">
        <f t="shared" si="50"/>
        <v>1.0800000000000001E-2</v>
      </c>
      <c r="AA128" s="197">
        <f t="shared" si="35"/>
        <v>23.2867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6"/>
        <v>208</v>
      </c>
      <c r="AE128" s="77" t="str">
        <f t="shared" si="37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128" s="74" t="str">
        <f t="shared" si="38"/>
        <v>"C:\Program Files (x86)\AstroGrep\AstroGrep.exe" /e /r /s /spath="%USERPROFILE%\AppData\Local\Temp\OnboardLogs" /stypes="app*4003*20170703*" /stext=" 00:.+((SYSTEM_STATE.+slice.+state.+changed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40"/>
        <v>"%USERPROFILE%\Documents\GitHub\eaglep3\Utilities\RefineRTDCRunTimes.py" --tripid 208-02 --locoid 4003 --swversion DE.1.0.9.0 --startMP 204:232975 --initTime 2017-07-02T17:51:21 --startdatetime 2017-07-02T17:57:18 --delay 0 --endMP 204:108 --enddatetime 2017-07-02T18:38:49 --enforcementcount 0 &gt;&gt;C:\Users\stu\Documents\GitHub\eaglep3-reporting\EC\2017-07-02-refined-times.txt</v>
      </c>
      <c r="AI12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{"issue":{"subject":"","project_id":79,"tracker_id":40,"status_id":1,"priority_id":2,"assigned_to_id":23,"start_date":"2017-07-02","description":"","custom_fields":[{"id":1,"name":"Subdivision","value":"EC"},{"id":4,"name":"Milepost","value":"0.0108"},{"id":17,"name":"Train ID","value":"208-02"},{"id":16,"name":"Locomotive ID","value":"4003"},{"id":130,"name":"Impact","value":""},{"id":150,"name":"Time of Event (Mountain Time)","value":"18:38:49"},{"id":151,"name":"Denver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4003 --day 2017-07-02</v>
      </c>
      <c r="AN128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671</v>
      </c>
      <c r="B129" s="7">
        <v>4042</v>
      </c>
      <c r="C129" s="21" t="s">
        <v>202</v>
      </c>
      <c r="D129" s="21" t="s">
        <v>490</v>
      </c>
      <c r="E129" s="13">
        <v>42918.718599537038</v>
      </c>
      <c r="F129" s="13">
        <v>42918.721076388887</v>
      </c>
      <c r="G129" s="7">
        <v>3</v>
      </c>
      <c r="H129" s="21" t="s">
        <v>965</v>
      </c>
      <c r="I129" s="13">
        <v>42918.74690972222</v>
      </c>
      <c r="J129" s="7">
        <v>0</v>
      </c>
      <c r="K129" s="89" t="str">
        <f t="shared" si="29"/>
        <v>4041/4042</v>
      </c>
      <c r="L129" s="21" t="str">
        <f>VLOOKUP(A129,'Trips&amp;Operators'!$C$1:$G$99999,5,FALSE)</f>
        <v>STAMBAUGH JAMES</v>
      </c>
      <c r="M129" s="6">
        <f t="shared" si="30"/>
        <v>2.5833333333139308E-2</v>
      </c>
      <c r="N129" s="7">
        <f t="shared" si="54"/>
        <v>37.199999999720603</v>
      </c>
      <c r="O129" s="7"/>
      <c r="P129" s="7"/>
      <c r="Q129" s="22"/>
      <c r="R129" s="170"/>
      <c r="S129" s="213">
        <f t="shared" si="55"/>
        <v>1</v>
      </c>
      <c r="T129" s="195" t="str">
        <f t="shared" si="31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2"/>
        <v>https://d0f6bd738d7f1b3e5a7ca70fe4ff75f0.us-east-1.aws.found.io/app/kibana#/discover/Steve-Slow-Train-Analysis-(2080s-and-2083s)?_g=(refreshInterval:(display:Off,pause:!f,section:0,value:0),time:(from:'2017-07-02T16:14:47-0600',mode:absolute,to:'2017-07-02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197" t="str">
        <f>IF(AA129&lt;VLOOKUP(AG129,Variables!$AC$3:$AD$8,2,FALSE),"Y","N")</f>
        <v>N</v>
      </c>
      <c r="X129" s="197">
        <f t="shared" si="53"/>
        <v>1</v>
      </c>
      <c r="Y129" s="197">
        <f t="shared" si="49"/>
        <v>4.3700000000000003E-2</v>
      </c>
      <c r="Z129" s="197">
        <f t="shared" si="50"/>
        <v>23.332699999999999</v>
      </c>
      <c r="AA129" s="197">
        <f t="shared" si="35"/>
        <v>23.288999999999998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6"/>
        <v>209</v>
      </c>
      <c r="AE129" s="77" t="str">
        <f t="shared" si="37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29" s="74" t="str">
        <f t="shared" si="38"/>
        <v>"C:\Program Files (x86)\AstroGrep\AstroGrep.exe" /e /r /s /spath="%USERPROFILE%\AppData\Local\Temp\OnboardLogs" /stypes="app*4042*20170702*" /stext=" 23:.+((SYSTEM_STATE.+slice.+state.+changed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40"/>
        <v>"%USERPROFILE%\Documents\GitHub\eaglep3\Utilities\RefineRTDCRunTimes.py" --tripid 209-02 --locoid 4042 --swversion DE.1.0.9.0 --startMP 204:437 --initTime 2017-07-02T17:14:47 --startdatetime 2017-07-02T17:18:21 --delay 3 --endMP 204:233327 --enddatetime 2017-07-02T17:55:33 --enforcementcount 0 &gt;&gt;C:\Users\stu\Documents\GitHub\eaglep3-reporting\EC\2017-07-02-refined-times.txt</v>
      </c>
      <c r="AI12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{"issue":{"subject":"","project_id":79,"tracker_id":40,"status_id":1,"priority_id":2,"assigned_to_id":23,"start_date":"2017-07-02","description":"","custom_fields":[{"id":1,"name":"Subdivision","value":"EC"},{"id":4,"name":"Milepost","value":"23.3327"},{"id":17,"name":"Train ID","value":"209-02"},{"id":16,"name":"Locomotive ID","value":"4042"},{"id":130,"name":"Impact","value":""},{"id":150,"name":"Time of Event (Mountain Time)","value":"17:55:33"},{"id":151,"name":"Denver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4042 --day 2017-07-02</v>
      </c>
      <c r="AN129" s="151" t="str">
        <f t="shared" si="4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821</v>
      </c>
      <c r="B130" s="7">
        <v>4041</v>
      </c>
      <c r="C130" s="21" t="s">
        <v>202</v>
      </c>
      <c r="D130" s="21" t="s">
        <v>474</v>
      </c>
      <c r="E130" s="13">
        <v>42918.755393518521</v>
      </c>
      <c r="F130" s="13">
        <v>42918.758819444447</v>
      </c>
      <c r="G130" s="7">
        <v>2</v>
      </c>
      <c r="H130" s="21" t="s">
        <v>394</v>
      </c>
      <c r="I130" s="13">
        <v>42918.787476851852</v>
      </c>
      <c r="J130" s="7">
        <v>0</v>
      </c>
      <c r="K130" s="89" t="str">
        <f t="shared" si="29"/>
        <v>4041/4042</v>
      </c>
      <c r="L130" s="21" t="str">
        <f>VLOOKUP(A130,'Trips&amp;Operators'!$C$1:$G$99999,5,FALSE)</f>
        <v>STAMBAUGH JAMES</v>
      </c>
      <c r="M130" s="6">
        <f t="shared" si="30"/>
        <v>2.8657407405262347E-2</v>
      </c>
      <c r="N130" s="7">
        <f t="shared" si="54"/>
        <v>41.26666666357778</v>
      </c>
      <c r="O130" s="7"/>
      <c r="P130" s="7"/>
      <c r="Q130" s="22"/>
      <c r="R130" s="170"/>
      <c r="S130" s="213">
        <f t="shared" si="55"/>
        <v>1</v>
      </c>
      <c r="T130" s="195" t="str">
        <f t="shared" si="31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2"/>
        <v>https://d0f6bd738d7f1b3e5a7ca70fe4ff75f0.us-east-1.aws.found.io/app/kibana#/discover/Steve-Slow-Train-Analysis-(2080s-and-2083s)?_g=(refreshInterval:(display:Off,pause:!f,section:0,value:0),time:(from:'2017-07-02T17:07:46-0600',mode:absolute,to:'2017-07-02T19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197" t="str">
        <f>IF(AA130&lt;VLOOKUP(AG130,Variables!$AC$3:$AD$8,2,FALSE),"Y","N")</f>
        <v>N</v>
      </c>
      <c r="X130" s="197">
        <f t="shared" si="53"/>
        <v>1</v>
      </c>
      <c r="Y130" s="197">
        <f t="shared" si="49"/>
        <v>23.3</v>
      </c>
      <c r="Z130" s="197">
        <f t="shared" si="50"/>
        <v>1.54E-2</v>
      </c>
      <c r="AA130" s="197">
        <f t="shared" si="35"/>
        <v>23.284600000000001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6"/>
        <v>210</v>
      </c>
      <c r="AE130" s="77" t="str">
        <f t="shared" si="37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30" s="74" t="str">
        <f t="shared" si="38"/>
        <v>"C:\Program Files (x86)\AstroGrep\AstroGrep.exe" /e /r /s /spath="%USERPROFILE%\AppData\Local\Temp\OnboardLogs" /stypes="app*4041*20170703*" /stext=" 00:.+((SYSTEM_STATE.+slice.+state.+changed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40"/>
        <v>"%USERPROFILE%\Documents\GitHub\eaglep3\Utilities\RefineRTDCRunTimes.py" --tripid 210-02 --locoid 4041 --swversion DE.1.0.9.0 --startMP 204:233000 --initTime 2017-07-02T18:07:46 --startdatetime 2017-07-02T18:12:42 --delay 2 --endMP 204:154 --enddatetime 2017-07-02T18:53:58 --enforcementcount 0 &gt;&gt;C:\Users\stu\Documents\GitHub\eaglep3-reporting\EC\2017-07-02-refined-times.txt</v>
      </c>
      <c r="AI130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ID","value":"210-02"},{"id":16,"name":"Locomotive ID","value":"4041"},{"id":130,"name":"Impact","value":""},{"id":150,"name":"Time of Event (Mountain Time)","value":"18:53:58"},{"id":151,"name":"Denver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4041 --day 2017-07-02</v>
      </c>
      <c r="AN130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816</v>
      </c>
      <c r="B131" s="7">
        <v>4064</v>
      </c>
      <c r="C131" s="21" t="s">
        <v>202</v>
      </c>
      <c r="D131" s="21" t="s">
        <v>435</v>
      </c>
      <c r="E131" s="13">
        <v>42918.7265625</v>
      </c>
      <c r="F131" s="13">
        <v>42918.729594907411</v>
      </c>
      <c r="G131" s="7">
        <v>1</v>
      </c>
      <c r="H131" s="21" t="s">
        <v>966</v>
      </c>
      <c r="I131" s="13">
        <v>42918.755995370368</v>
      </c>
      <c r="J131" s="7">
        <v>0</v>
      </c>
      <c r="K131" s="89" t="str">
        <f t="shared" si="29"/>
        <v>4063/4064</v>
      </c>
      <c r="L131" s="21" t="str">
        <f>VLOOKUP(A131,'Trips&amp;Operators'!$C$1:$G$99999,5,FALSE)</f>
        <v>DELGADO DIANAH</v>
      </c>
      <c r="M131" s="6">
        <f t="shared" si="30"/>
        <v>2.640046295709908E-2</v>
      </c>
      <c r="N131" s="7">
        <f t="shared" si="54"/>
        <v>38.016666658222675</v>
      </c>
      <c r="O131" s="7"/>
      <c r="P131" s="7"/>
      <c r="Q131" s="22"/>
      <c r="R131" s="170"/>
      <c r="S131" s="213">
        <f t="shared" si="55"/>
        <v>1</v>
      </c>
      <c r="T131" s="195" t="str">
        <f t="shared" si="31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2"/>
        <v>https://d0f6bd738d7f1b3e5a7ca70fe4ff75f0.us-east-1.aws.found.io/app/kibana#/discover/Steve-Slow-Train-Analysis-(2080s-and-2083s)?_g=(refreshInterval:(display:Off,pause:!f,section:0,value:0),time:(from:'2017-07-02T16:26:15-0600',mode:absolute,to:'2017-07-02T19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1" s="197" t="str">
        <f>IF(AA131&lt;VLOOKUP(AG131,Variables!$AC$3:$AD$8,2,FALSE),"Y","N")</f>
        <v>N</v>
      </c>
      <c r="X131" s="197">
        <f t="shared" si="53"/>
        <v>1</v>
      </c>
      <c r="Y131" s="197">
        <f t="shared" si="49"/>
        <v>4.6699999999999998E-2</v>
      </c>
      <c r="Z131" s="197">
        <f t="shared" si="50"/>
        <v>23.335999999999999</v>
      </c>
      <c r="AA131" s="197">
        <f t="shared" si="35"/>
        <v>23.289299999999997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6"/>
        <v>211</v>
      </c>
      <c r="AE131" s="77" t="str">
        <f t="shared" si="37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131" s="74" t="str">
        <f t="shared" si="38"/>
        <v>"C:\Program Files (x86)\AstroGrep\AstroGrep.exe" /e /r /s /spath="%USERPROFILE%\AppData\Local\Temp\OnboardLogs" /stypes="app*4064*20170703*" /stext=" 00:.+((SYSTEM_STATE.+slice.+state.+changed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40"/>
        <v>"%USERPROFILE%\Documents\GitHub\eaglep3\Utilities\RefineRTDCRunTimes.py" --tripid 211-02 --locoid 4064 --swversion DE.1.0.9.0 --startMP 204:467 --initTime 2017-07-02T17:26:15 --startdatetime 2017-07-02T17:30:37 --delay 1 --endMP 204:233360 --enddatetime 2017-07-02T18:08:38 --enforcementcount 0 &gt;&gt;C:\Users\stu\Documents\GitHub\eaglep3-reporting\EC\2017-07-02-refined-times.txt</v>
      </c>
      <c r="AI131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{"issue":{"subject":"","project_id":79,"tracker_id":40,"status_id":1,"priority_id":2,"assigned_to_id":23,"start_date":"2017-07-02","description":"","custom_fields":[{"id":1,"name":"Subdivision","value":"EC"},{"id":4,"name":"Milepost","value":"23.336"},{"id":17,"name":"Train ID","value":"211-02"},{"id":16,"name":"Locomotive ID","value":"4064"},{"id":130,"name":"Impact","value":""},{"id":150,"name":"Time of Event (Mountain Time)","value":"18:08:38"},{"id":151,"name":"Denver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4064 --day 2017-07-02</v>
      </c>
      <c r="AN131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823</v>
      </c>
      <c r="B132" s="7">
        <v>4063</v>
      </c>
      <c r="C132" s="21" t="s">
        <v>202</v>
      </c>
      <c r="D132" s="21" t="s">
        <v>967</v>
      </c>
      <c r="E132" s="13">
        <v>42918.766215277778</v>
      </c>
      <c r="F132" s="13">
        <v>42918.768900462965</v>
      </c>
      <c r="G132" s="7">
        <v>2</v>
      </c>
      <c r="H132" s="21" t="s">
        <v>595</v>
      </c>
      <c r="I132" s="13">
        <v>42918.797534722224</v>
      </c>
      <c r="J132" s="7">
        <v>0</v>
      </c>
      <c r="K132" s="89" t="str">
        <f t="shared" si="29"/>
        <v>4063/4064</v>
      </c>
      <c r="L132" s="21" t="str">
        <f>VLOOKUP(A132,'Trips&amp;Operators'!$C$1:$G$99999,5,FALSE)</f>
        <v>DELGADO DIANAH</v>
      </c>
      <c r="M132" s="6">
        <f t="shared" si="30"/>
        <v>2.8634259258979E-2</v>
      </c>
      <c r="N132" s="7">
        <f t="shared" si="54"/>
        <v>41.23333333292976</v>
      </c>
      <c r="O132" s="7"/>
      <c r="P132" s="7"/>
      <c r="Q132" s="22"/>
      <c r="R132" s="170"/>
      <c r="S132" s="213">
        <f t="shared" si="55"/>
        <v>1</v>
      </c>
      <c r="T132" s="195" t="str">
        <f t="shared" si="31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2"/>
        <v>https://d0f6bd738d7f1b3e5a7ca70fe4ff75f0.us-east-1.aws.found.io/app/kibana#/discover/Steve-Slow-Train-Analysis-(2080s-and-2083s)?_g=(refreshInterval:(display:Off,pause:!f,section:0,value:0),time:(from:'2017-07-02T17:23:21-0600',mode:absolute,to:'2017-07-02T20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2" s="197" t="str">
        <f>IF(AA132&lt;VLOOKUP(AG132,Variables!$AC$3:$AD$8,2,FALSE),"Y","N")</f>
        <v>N</v>
      </c>
      <c r="X132" s="197">
        <f t="shared" si="53"/>
        <v>1</v>
      </c>
      <c r="Y132" s="197">
        <f t="shared" si="49"/>
        <v>23.300899999999999</v>
      </c>
      <c r="Z132" s="197">
        <f t="shared" si="50"/>
        <v>1.6E-2</v>
      </c>
      <c r="AA132" s="197">
        <f t="shared" si="35"/>
        <v>23.2849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6"/>
        <v>212</v>
      </c>
      <c r="AE132" s="77" t="str">
        <f t="shared" si="37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132" s="74" t="str">
        <f t="shared" si="38"/>
        <v>"C:\Program Files (x86)\AstroGrep\AstroGrep.exe" /e /r /s /spath="%USERPROFILE%\AppData\Local\Temp\OnboardLogs" /stypes="app*4063*20170703*" /stext=" 01:.+((SYSTEM_STATE.+slice.+state.+changed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40"/>
        <v>"%USERPROFILE%\Documents\GitHub\eaglep3\Utilities\RefineRTDCRunTimes.py" --tripid 212-02 --locoid 4063 --swversion DE.1.0.9.0 --startMP 204:233009 --initTime 2017-07-02T18:23:21 --startdatetime 2017-07-02T18:27:13 --delay 2 --endMP 204:160 --enddatetime 2017-07-02T19:08:27 --enforcementcount 0 &gt;&gt;C:\Users\stu\Documents\GitHub\eaglep3-reporting\EC\2017-07-02-refined-times.txt</v>
      </c>
      <c r="AI132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{"issue":{"subject":"","project_id":79,"tracker_id":40,"status_id":1,"priority_id":2,"assigned_to_id":23,"start_date":"2017-07-02","description":"","custom_fields":[{"id":1,"name":"Subdivision","value":"EC"},{"id":4,"name":"Milepost","value":"0.016"},{"id":17,"name":"Train ID","value":"212-02"},{"id":16,"name":"Locomotive ID","value":"4063"},{"id":130,"name":"Impact","value":""},{"id":150,"name":"Time of Event (Mountain Time)","value":"19:08:27"},{"id":151,"name":"Denver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4063 --day 2017-07-02</v>
      </c>
      <c r="AN132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817</v>
      </c>
      <c r="B133" s="7">
        <v>4016</v>
      </c>
      <c r="C133" s="21" t="s">
        <v>202</v>
      </c>
      <c r="D133" s="21" t="s">
        <v>391</v>
      </c>
      <c r="E133" s="13">
        <v>42918.733067129629</v>
      </c>
      <c r="F133" s="13">
        <v>42918.740115740744</v>
      </c>
      <c r="G133" s="7">
        <v>1</v>
      </c>
      <c r="H133" s="21" t="s">
        <v>583</v>
      </c>
      <c r="I133" s="13">
        <v>42918.767916666664</v>
      </c>
      <c r="J133" s="7">
        <v>0</v>
      </c>
      <c r="K133" s="89" t="str">
        <f t="shared" si="29"/>
        <v>4015/4016</v>
      </c>
      <c r="L133" s="21" t="str">
        <f>VLOOKUP(A133,'Trips&amp;Operators'!$C$1:$G$99999,5,FALSE)</f>
        <v>SMITH MICHAEL</v>
      </c>
      <c r="M133" s="6">
        <f t="shared" si="30"/>
        <v>2.7800925920018926E-2</v>
      </c>
      <c r="N133" s="7">
        <f t="shared" si="54"/>
        <v>40.033333324827254</v>
      </c>
      <c r="O133" s="7"/>
      <c r="P133" s="7"/>
      <c r="Q133" s="22"/>
      <c r="R133" s="170"/>
      <c r="S133" s="213">
        <f t="shared" si="55"/>
        <v>1</v>
      </c>
      <c r="T133" s="195" t="str">
        <f t="shared" si="31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2"/>
        <v>https://d0f6bd738d7f1b3e5a7ca70fe4ff75f0.us-east-1.aws.found.io/app/kibana#/discover/Steve-Slow-Train-Analysis-(2080s-and-2083s)?_g=(refreshInterval:(display:Off,pause:!f,section:0,value:0),time:(from:'2017-07-02T16:35:37-0600',mode:absolute,to:'2017-07-02T19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7" t="str">
        <f>IF(AA133&lt;VLOOKUP(AG133,Variables!$AC$3:$AD$8,2,FALSE),"Y","N")</f>
        <v>N</v>
      </c>
      <c r="X133" s="197">
        <f t="shared" si="53"/>
        <v>1</v>
      </c>
      <c r="Y133" s="197">
        <f t="shared" si="49"/>
        <v>4.6199999999999998E-2</v>
      </c>
      <c r="Z133" s="197">
        <f t="shared" si="50"/>
        <v>23.332100000000001</v>
      </c>
      <c r="AA133" s="197">
        <f t="shared" si="35"/>
        <v>23.285900000000002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6"/>
        <v>213</v>
      </c>
      <c r="AE133" s="77" t="str">
        <f t="shared" si="37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133" s="74" t="str">
        <f t="shared" si="38"/>
        <v>"C:\Program Files (x86)\AstroGrep\AstroGrep.exe" /e /r /s /spath="%USERPROFILE%\AppData\Local\Temp\OnboardLogs" /stypes="app*4016*20170703*" /stext=" 00:.+((SYSTEM_STATE.+slice.+state.+changed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40"/>
        <v>"%USERPROFILE%\Documents\GitHub\eaglep3\Utilities\RefineRTDCRunTimes.py" --tripid 213-02 --locoid 4016 --swversion DE.1.0.9.0 --startMP 204:462 --initTime 2017-07-02T17:35:37 --startdatetime 2017-07-02T17:45:46 --delay 1 --endMP 204:233321 --enddatetime 2017-07-02T18:25:48 --enforcementcount 0 &gt;&gt;C:\Users\stu\Documents\GitHub\eaglep3-reporting\EC\2017-07-02-refined-times.txt</v>
      </c>
      <c r="AI133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{"issue":{"subject":"","project_id":79,"tracker_id":40,"status_id":1,"priority_id":2,"assigned_to_id":23,"start_date":"2017-07-02","description":"","custom_fields":[{"id":1,"name":"Subdivision","value":"EC"},{"id":4,"name":"Milepost","value":"23.3321"},{"id":17,"name":"Train ID","value":"213-02"},{"id":16,"name":"Locomotive ID","value":"4016"},{"id":130,"name":"Impact","value":""},{"id":150,"name":"Time of Event (Mountain Time)","value":"18:25:48"},{"id":151,"name":"Denver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4016 --day 2017-07-02</v>
      </c>
      <c r="AN133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825</v>
      </c>
      <c r="B134" s="7">
        <v>4015</v>
      </c>
      <c r="C134" s="21" t="s">
        <v>202</v>
      </c>
      <c r="D134" s="21" t="s">
        <v>881</v>
      </c>
      <c r="E134" s="13">
        <v>42918.772430555553</v>
      </c>
      <c r="F134" s="13">
        <v>42918.779340277775</v>
      </c>
      <c r="G134" s="7">
        <v>1</v>
      </c>
      <c r="H134" s="21" t="s">
        <v>469</v>
      </c>
      <c r="I134" s="13">
        <v>42918.80877314815</v>
      </c>
      <c r="J134" s="7">
        <v>0</v>
      </c>
      <c r="K134" s="89" t="str">
        <f t="shared" si="29"/>
        <v>4015/4016</v>
      </c>
      <c r="L134" s="21" t="str">
        <f>VLOOKUP(A134,'Trips&amp;Operators'!$C$1:$G$99999,5,FALSE)</f>
        <v>SMITH MICHAEL</v>
      </c>
      <c r="M134" s="6">
        <f t="shared" si="30"/>
        <v>2.9432870374876074E-2</v>
      </c>
      <c r="N134" s="7">
        <f t="shared" si="54"/>
        <v>42.383333339821547</v>
      </c>
      <c r="O134" s="7"/>
      <c r="P134" s="7"/>
      <c r="Q134" s="22"/>
      <c r="R134" s="170"/>
      <c r="S134" s="213">
        <f t="shared" si="55"/>
        <v>1</v>
      </c>
      <c r="T134" s="195" t="str">
        <f t="shared" si="31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2"/>
        <v>https://d0f6bd738d7f1b3e5a7ca70fe4ff75f0.us-east-1.aws.found.io/app/kibana#/discover/Steve-Slow-Train-Analysis-(2080s-and-2083s)?_g=(refreshInterval:(display:Off,pause:!f,section:0,value:0),time:(from:'2017-07-02T17:32:18-0600',mode:absolute,to:'2017-07-02T20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7" t="str">
        <f>IF(AA134&lt;VLOOKUP(AG134,Variables!$AC$3:$AD$8,2,FALSE),"Y","N")</f>
        <v>N</v>
      </c>
      <c r="X134" s="197">
        <f t="shared" si="53"/>
        <v>1</v>
      </c>
      <c r="Y134" s="197">
        <f t="shared" si="49"/>
        <v>23.301300000000001</v>
      </c>
      <c r="Z134" s="197">
        <f t="shared" si="50"/>
        <v>1.61E-2</v>
      </c>
      <c r="AA134" s="197">
        <f t="shared" si="35"/>
        <v>23.2852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6"/>
        <v>214</v>
      </c>
      <c r="AE134" s="77" t="str">
        <f t="shared" si="37"/>
        <v>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 &amp; 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</v>
      </c>
      <c r="AF134" s="74" t="str">
        <f t="shared" si="38"/>
        <v>"C:\Program Files (x86)\AstroGrep\AstroGrep.exe" /e /r /s /spath="%USERPROFILE%\AppData\Local\Temp\OnboardLogs" /stypes="app*4015*20170703*" /stext=" 01:.+((SYSTEM_STATE.+slice.+state.+changed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40"/>
        <v>"%USERPROFILE%\Documents\GitHub\eaglep3\Utilities\RefineRTDCRunTimes.py" --tripid 214-02 --locoid 4015 --swversion DE.1.0.9.0 --startMP 204:233013 --initTime 2017-07-02T18:32:18 --startdatetime 2017-07-02T18:42:15 --delay 1 --endMP 204:161 --enddatetime 2017-07-02T19:24:38 --enforcementcount 0 &gt;&gt;C:\Users\stu\Documents\GitHub\eaglep3-reporting\EC\2017-07-02-refined-times.txt</v>
      </c>
      <c r="AI134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{"issue":{"subject":"","project_id":79,"tracker_id":40,"status_id":1,"priority_id":2,"assigned_to_id":23,"start_date":"2017-07-02","description":"","custom_fields":[{"id":1,"name":"Subdivision","value":"EC"},{"id":4,"name":"Milepost","value":"0.0161"},{"id":17,"name":"Train ID","value":"214-02"},{"id":16,"name":"Locomotive ID","value":"4015"},{"id":130,"name":"Impact","value":""},{"id":150,"name":"Time of Event (Mountain Time)","value":"19:24:38"},{"id":151,"name":"Denver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4015 --day 2017-07-02</v>
      </c>
      <c r="AN134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820</v>
      </c>
      <c r="B135" s="7">
        <v>4022</v>
      </c>
      <c r="C135" s="21" t="s">
        <v>202</v>
      </c>
      <c r="D135" s="21" t="s">
        <v>604</v>
      </c>
      <c r="E135" s="13">
        <v>42918.749756944446</v>
      </c>
      <c r="F135" s="13">
        <v>42918.750821759262</v>
      </c>
      <c r="G135" s="7">
        <v>1</v>
      </c>
      <c r="H135" s="21" t="s">
        <v>908</v>
      </c>
      <c r="I135" s="13">
        <v>42918.778854166667</v>
      </c>
      <c r="J135" s="7">
        <v>0</v>
      </c>
      <c r="K135" s="89" t="str">
        <f t="shared" si="29"/>
        <v>4021/4022</v>
      </c>
      <c r="L135" s="21" t="str">
        <f>VLOOKUP(A135,'Trips&amp;Operators'!$C$1:$G$99999,5,FALSE)</f>
        <v>NELSON ARIANE</v>
      </c>
      <c r="M135" s="6">
        <f t="shared" si="30"/>
        <v>2.8032407404680271E-2</v>
      </c>
      <c r="N135" s="7">
        <f t="shared" si="54"/>
        <v>40.36666666273959</v>
      </c>
      <c r="O135" s="7"/>
      <c r="P135" s="7"/>
      <c r="Q135" s="22"/>
      <c r="R135" s="170"/>
      <c r="S135" s="213">
        <f t="shared" si="55"/>
        <v>1</v>
      </c>
      <c r="T135" s="195" t="str">
        <f t="shared" si="31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2"/>
        <v>https://d0f6bd738d7f1b3e5a7ca70fe4ff75f0.us-east-1.aws.found.io/app/kibana#/discover/Steve-Slow-Train-Analysis-(2080s-and-2083s)?_g=(refreshInterval:(display:Off,pause:!f,section:0,value:0),time:(from:'2017-07-02T16:59:39-0600',mode:absolute,to:'2017-07-02T19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5" s="197" t="str">
        <f>IF(AA135&lt;VLOOKUP(AG135,Variables!$AC$3:$AD$8,2,FALSE),"Y","N")</f>
        <v>N</v>
      </c>
      <c r="X135" s="197">
        <f t="shared" si="53"/>
        <v>1</v>
      </c>
      <c r="Y135" s="197">
        <f t="shared" si="49"/>
        <v>4.7100000000000003E-2</v>
      </c>
      <c r="Z135" s="197">
        <f t="shared" si="50"/>
        <v>23.331099999999999</v>
      </c>
      <c r="AA135" s="197">
        <f t="shared" si="35"/>
        <v>23.283999999999999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6"/>
        <v>215</v>
      </c>
      <c r="AE135" s="77" t="str">
        <f t="shared" si="37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135" s="74" t="str">
        <f t="shared" si="38"/>
        <v>"C:\Program Files (x86)\AstroGrep\AstroGrep.exe" /e /r /s /spath="%USERPROFILE%\AppData\Local\Temp\OnboardLogs" /stypes="app*4022*20170703*" /stext=" 00:.+((SYSTEM_STATE.+slice.+state.+changed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40"/>
        <v>"%USERPROFILE%\Documents\GitHub\eaglep3\Utilities\RefineRTDCRunTimes.py" --tripid 215-02 --locoid 4022 --swversion DE.1.0.9.0 --startMP 204:471 --initTime 2017-07-02T17:59:39 --startdatetime 2017-07-02T18:01:11 --delay 1 --endMP 204:233311 --enddatetime 2017-07-02T18:41:33 --enforcementcount 0 &gt;&gt;C:\Users\stu\Documents\GitHub\eaglep3-reporting\EC\2017-07-02-refined-times.txt</v>
      </c>
      <c r="AI135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{"issue":{"subject":"","project_id":79,"tracker_id":40,"status_id":1,"priority_id":2,"assigned_to_id":23,"start_date":"2017-07-02","description":"","custom_fields":[{"id":1,"name":"Subdivision","value":"EC"},{"id":4,"name":"Milepost","value":"23.3311"},{"id":17,"name":"Train ID","value":"215-02"},{"id":16,"name":"Locomotive ID","value":"4022"},{"id":130,"name":"Impact","value":""},{"id":150,"name":"Time of Event (Mountain Time)","value":"18:41:33"},{"id":151,"name":"Denver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4022 --day 2017-07-02</v>
      </c>
      <c r="AN135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00:41:33"},{"id":29,"name":"Sharepoint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828</v>
      </c>
      <c r="B136" s="7">
        <v>4021</v>
      </c>
      <c r="C136" s="21" t="s">
        <v>202</v>
      </c>
      <c r="D136" s="21" t="s">
        <v>593</v>
      </c>
      <c r="E136" s="13">
        <v>42918.787037037036</v>
      </c>
      <c r="F136" s="13">
        <v>42918.790509259263</v>
      </c>
      <c r="G136" s="7">
        <v>4</v>
      </c>
      <c r="H136" s="21" t="s">
        <v>193</v>
      </c>
      <c r="I136" s="13">
        <v>42918.820219907408</v>
      </c>
      <c r="J136" s="7">
        <v>0</v>
      </c>
      <c r="K136" s="89" t="str">
        <f t="shared" si="29"/>
        <v>4021/4022</v>
      </c>
      <c r="L136" s="21" t="str">
        <f>VLOOKUP(A136,'Trips&amp;Operators'!$C$1:$G$99999,5,FALSE)</f>
        <v>NELSON ARIANE</v>
      </c>
      <c r="M136" s="6">
        <f t="shared" si="30"/>
        <v>2.9710648144828156E-2</v>
      </c>
      <c r="N136" s="7">
        <f t="shared" si="54"/>
        <v>42.783333328552544</v>
      </c>
      <c r="O136" s="7"/>
      <c r="P136" s="7"/>
      <c r="Q136" s="22"/>
      <c r="R136" s="170"/>
      <c r="S136" s="213">
        <f t="shared" si="55"/>
        <v>1</v>
      </c>
      <c r="T136" s="195" t="str">
        <f t="shared" si="31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2"/>
        <v>https://d0f6bd738d7f1b3e5a7ca70fe4ff75f0.us-east-1.aws.found.io/app/kibana#/discover/Steve-Slow-Train-Analysis-(2080s-and-2083s)?_g=(refreshInterval:(display:Off,pause:!f,section:0,value:0),time:(from:'2017-07-02T17:53:20-0600',mode:absolute,to:'2017-07-02T20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6" s="197" t="str">
        <f>IF(AA136&lt;VLOOKUP(AG136,Variables!$AC$3:$AD$8,2,FALSE),"Y","N")</f>
        <v>N</v>
      </c>
      <c r="X136" s="197">
        <f t="shared" si="53"/>
        <v>1</v>
      </c>
      <c r="Y136" s="197">
        <f t="shared" si="49"/>
        <v>23.298999999999999</v>
      </c>
      <c r="Z136" s="197">
        <f t="shared" si="50"/>
        <v>1.52E-2</v>
      </c>
      <c r="AA136" s="197">
        <f t="shared" si="35"/>
        <v>23.283799999999999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6"/>
        <v>216</v>
      </c>
      <c r="AE136" s="77" t="str">
        <f t="shared" si="37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136" s="74" t="str">
        <f t="shared" si="38"/>
        <v>"C:\Program Files (x86)\AstroGrep\AstroGrep.exe" /e /r /s /spath="%USERPROFILE%\AppData\Local\Temp\OnboardLogs" /stypes="app*4021*20170703*" /stext=" 01:.+((SYSTEM_STATE.+slice.+state.+changed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40"/>
        <v>"%USERPROFILE%\Documents\GitHub\eaglep3\Utilities\RefineRTDCRunTimes.py" --tripid 216-02 --locoid 4021 --swversion DE.1.0.9.0 --startMP 204:232990 --initTime 2017-07-02T18:53:20 --startdatetime 2017-07-02T18:58:20 --delay 4 --endMP 204:152 --enddatetime 2017-07-02T19:41:07 --enforcementcount 0 &gt;&gt;C:\Users\stu\Documents\GitHub\eaglep3-reporting\EC\2017-07-02-refined-times.txt</v>
      </c>
      <c r="AI136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{"issue":{"subject":"","project_id":79,"tracker_id":40,"status_id":1,"priority_id":2,"assigned_to_id":23,"start_date":"2017-07-02","description":"","custom_fields":[{"id":1,"name":"Subdivision","value":"EC"},{"id":4,"name":"Milepost","value":"0.0152"},{"id":17,"name":"Train ID","value":"216-02"},{"id":16,"name":"Locomotive ID","value":"4021"},{"id":130,"name":"Impact","value":""},{"id":150,"name":"Time of Event (Mountain Time)","value":"19:41:07"},{"id":151,"name":"Denver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4021 --day 2017-07-02</v>
      </c>
      <c r="AN136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675</v>
      </c>
      <c r="B137" s="7">
        <v>4044</v>
      </c>
      <c r="C137" s="21" t="s">
        <v>202</v>
      </c>
      <c r="D137" s="21" t="s">
        <v>351</v>
      </c>
      <c r="E137" s="13">
        <v>42918.764039351852</v>
      </c>
      <c r="F137" s="13">
        <v>42918.765914351854</v>
      </c>
      <c r="G137" s="7">
        <v>1</v>
      </c>
      <c r="H137" s="21" t="s">
        <v>549</v>
      </c>
      <c r="I137" s="13">
        <v>42918.795486111114</v>
      </c>
      <c r="J137" s="7">
        <v>0</v>
      </c>
      <c r="K137" s="89" t="str">
        <f t="shared" si="29"/>
        <v>4043/4044</v>
      </c>
      <c r="L137" s="21" t="str">
        <f>VLOOKUP(A137,'Trips&amp;Operators'!$C$1:$G$99999,5,FALSE)</f>
        <v>PERKINS DARREN</v>
      </c>
      <c r="M137" s="6">
        <f t="shared" si="30"/>
        <v>2.9571759259852115E-2</v>
      </c>
      <c r="N137" s="7">
        <f t="shared" si="54"/>
        <v>42.583333334187046</v>
      </c>
      <c r="O137" s="7"/>
      <c r="P137" s="7"/>
      <c r="Q137" s="22"/>
      <c r="R137" s="170"/>
      <c r="S137" s="213">
        <f t="shared" si="55"/>
        <v>1</v>
      </c>
      <c r="T137" s="195" t="str">
        <f t="shared" si="31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2"/>
        <v>https://d0f6bd738d7f1b3e5a7ca70fe4ff75f0.us-east-1.aws.found.io/app/kibana#/discover/Steve-Slow-Train-Analysis-(2080s-and-2083s)?_g=(refreshInterval:(display:Off,pause:!f,section:0,value:0),time:(from:'2017-07-02T17:20:13-0600',mode:absolute,to:'2017-07-02T20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197" t="str">
        <f>IF(AA137&lt;VLOOKUP(AG137,Variables!$AC$3:$AD$8,2,FALSE),"Y","N")</f>
        <v>N</v>
      </c>
      <c r="X137" s="197">
        <f t="shared" si="53"/>
        <v>1</v>
      </c>
      <c r="Y137" s="197">
        <f t="shared" si="49"/>
        <v>4.6600000000000003E-2</v>
      </c>
      <c r="Z137" s="197">
        <f t="shared" si="50"/>
        <v>23.3323</v>
      </c>
      <c r="AA137" s="197">
        <f t="shared" si="35"/>
        <v>23.285699999999999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6"/>
        <v>217</v>
      </c>
      <c r="AE137" s="77" t="str">
        <f t="shared" si="37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37" s="74" t="str">
        <f t="shared" si="38"/>
        <v>"C:\Program Files (x86)\AstroGrep\AstroGrep.exe" /e /r /s /spath="%USERPROFILE%\AppData\Local\Temp\OnboardLogs" /stypes="app*4044*20170703*" /stext=" 01:.+((SYSTEM_STATE.+slice.+state.+changed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40"/>
        <v>"%USERPROFILE%\Documents\GitHub\eaglep3\Utilities\RefineRTDCRunTimes.py" --tripid 217-02 --locoid 4044 --swversion DE.1.0.9.0 --startMP 204:466 --initTime 2017-07-02T18:20:13 --startdatetime 2017-07-02T18:22:55 --delay 1 --endMP 204:233323 --enddatetime 2017-07-02T19:05:30 --enforcementcount 0 &gt;&gt;C:\Users\stu\Documents\GitHub\eaglep3-reporting\EC\2017-07-02-refined-times.txt</v>
      </c>
      <c r="AI137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{"issue":{"subject":"","project_id":79,"tracker_id":40,"status_id":1,"priority_id":2,"assigned_to_id":23,"start_date":"2017-07-02","description":"","custom_fields":[{"id":1,"name":"Subdivision","value":"EC"},{"id":4,"name":"Milepost","value":"23.3323"},{"id":17,"name":"Train ID","value":"217-02"},{"id":16,"name":"Locomotive ID","value":"4044"},{"id":130,"name":"Impact","value":""},{"id":150,"name":"Time of Event (Mountain Time)","value":"19:05:30"},{"id":151,"name":"Denver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4044 --day 2017-07-02</v>
      </c>
      <c r="AN137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676</v>
      </c>
      <c r="B138" s="7">
        <v>4043</v>
      </c>
      <c r="C138" s="21" t="s">
        <v>202</v>
      </c>
      <c r="D138" s="21" t="s">
        <v>582</v>
      </c>
      <c r="E138" s="13">
        <v>42918.797696759262</v>
      </c>
      <c r="F138" s="13">
        <v>42918.800358796296</v>
      </c>
      <c r="G138" s="7">
        <v>1</v>
      </c>
      <c r="H138" s="21" t="s">
        <v>968</v>
      </c>
      <c r="I138" s="13">
        <v>42918.829895833333</v>
      </c>
      <c r="J138" s="7">
        <v>0</v>
      </c>
      <c r="K138" s="89" t="str">
        <f t="shared" si="29"/>
        <v>4043/4044</v>
      </c>
      <c r="L138" s="21" t="str">
        <f>VLOOKUP(A138,'Trips&amp;Operators'!$C$1:$G$99999,5,FALSE)</f>
        <v>PERKINS DARREN</v>
      </c>
      <c r="M138" s="6">
        <f t="shared" si="30"/>
        <v>2.9537037036789116E-2</v>
      </c>
      <c r="N138" s="7">
        <f t="shared" si="54"/>
        <v>42.533333332976326</v>
      </c>
      <c r="O138" s="7"/>
      <c r="P138" s="7"/>
      <c r="Q138" s="22"/>
      <c r="R138" s="170"/>
      <c r="S138" s="213">
        <f t="shared" si="55"/>
        <v>1</v>
      </c>
      <c r="T138" s="195" t="str">
        <f t="shared" si="31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2"/>
        <v>https://d0f6bd738d7f1b3e5a7ca70fe4ff75f0.us-east-1.aws.found.io/app/kibana#/discover/Steve-Slow-Train-Analysis-(2080s-and-2083s)?_g=(refreshInterval:(display:Off,pause:!f,section:0,value:0),time:(from:'2017-07-02T18:08:41-0600',mode:absolute,to:'2017-07-02T20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197" t="str">
        <f>IF(AA138&lt;VLOOKUP(AG138,Variables!$AC$3:$AD$8,2,FALSE),"Y","N")</f>
        <v>N</v>
      </c>
      <c r="X138" s="197">
        <f t="shared" si="53"/>
        <v>1</v>
      </c>
      <c r="Y138" s="197">
        <f t="shared" si="49"/>
        <v>23.301100000000002</v>
      </c>
      <c r="Z138" s="197">
        <f t="shared" si="50"/>
        <v>1.34E-2</v>
      </c>
      <c r="AA138" s="197">
        <f t="shared" si="35"/>
        <v>23.287700000000001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6"/>
        <v>218</v>
      </c>
      <c r="AE138" s="77" t="str">
        <f t="shared" si="37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38" s="74" t="str">
        <f t="shared" si="38"/>
        <v>"C:\Program Files (x86)\AstroGrep\AstroGrep.exe" /e /r /s /spath="%USERPROFILE%\AppData\Local\Temp\OnboardLogs" /stypes="app*4043*20170703*" /stext=" 01:.+((SYSTEM_STATE.+slice.+state.+changed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40"/>
        <v>"%USERPROFILE%\Documents\GitHub\eaglep3\Utilities\RefineRTDCRunTimes.py" --tripid 218-02 --locoid 4043 --swversion DE.1.0.9.0 --startMP 204:233011 --initTime 2017-07-02T19:08:41 --startdatetime 2017-07-02T19:12:31 --delay 1 --endMP 204:134 --enddatetime 2017-07-02T19:55:03 --enforcementcount 0 &gt;&gt;C:\Users\stu\Documents\GitHub\eaglep3-reporting\EC\2017-07-02-refined-times.txt</v>
      </c>
      <c r="AI138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{"issue":{"subject":"","project_id":79,"tracker_id":40,"status_id":1,"priority_id":2,"assigned_to_id":23,"start_date":"2017-07-02","description":"","custom_fields":[{"id":1,"name":"Subdivision","value":"EC"},{"id":4,"name":"Milepost","value":"0.0134"},{"id":17,"name":"Train ID","value":"218-02"},{"id":16,"name":"Locomotive ID","value":"4043"},{"id":130,"name":"Impact","value":""},{"id":150,"name":"Time of Event (Mountain Time)","value":"19:55:03"},{"id":151,"name":"Denver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4043 --day 2017-07-02</v>
      </c>
      <c r="AN138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824</v>
      </c>
      <c r="B139" s="7">
        <v>4046</v>
      </c>
      <c r="C139" s="21" t="s">
        <v>202</v>
      </c>
      <c r="D139" s="21" t="s">
        <v>969</v>
      </c>
      <c r="E139" s="13">
        <v>42918.771898148145</v>
      </c>
      <c r="F139" s="13">
        <v>42918.792071759257</v>
      </c>
      <c r="G139" s="7">
        <v>3</v>
      </c>
      <c r="H139" s="21" t="s">
        <v>886</v>
      </c>
      <c r="I139" s="13">
        <v>42918.808518518519</v>
      </c>
      <c r="J139" s="7">
        <v>0</v>
      </c>
      <c r="K139" s="89" t="str">
        <f t="shared" si="29"/>
        <v>4045/4046</v>
      </c>
      <c r="L139" s="21" t="str">
        <f>VLOOKUP(A139,'Trips&amp;Operators'!$C$1:$G$99999,5,FALSE)</f>
        <v>HAITHCOX MICHAEL</v>
      </c>
      <c r="M139" s="6">
        <f t="shared" si="30"/>
        <v>1.6446759262180422E-2</v>
      </c>
      <c r="N139" s="7"/>
      <c r="O139" s="7"/>
      <c r="P139" s="7"/>
      <c r="Q139" s="22"/>
      <c r="R139" s="170"/>
      <c r="S139" s="213"/>
      <c r="T139" s="195" t="str">
        <f t="shared" si="31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2"/>
        <v>https://d0f6bd738d7f1b3e5a7ca70fe4ff75f0.us-east-1.aws.found.io/app/kibana#/discover/Steve-Slow-Train-Analysis-(2080s-and-2083s)?_g=(refreshInterval:(display:Off,pause:!f,section:0,value:0),time:(from:'2017-07-02T17:31:32-0600',mode:absolute,to:'2017-07-02T20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9" s="197" t="str">
        <f>IF(AA139&lt;VLOOKUP(AG139,Variables!$AC$3:$AD$8,2,FALSE),"Y","N")</f>
        <v>N</v>
      </c>
      <c r="X139" s="197">
        <f t="shared" si="53"/>
        <v>1</v>
      </c>
      <c r="Y139" s="197">
        <f t="shared" si="49"/>
        <v>0.1147</v>
      </c>
      <c r="Z139" s="197">
        <f t="shared" si="50"/>
        <v>23.327999999999999</v>
      </c>
      <c r="AA139" s="197">
        <f t="shared" si="35"/>
        <v>23.2133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6"/>
        <v>219</v>
      </c>
      <c r="AE139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39" s="74" t="str">
        <f t="shared" si="38"/>
        <v>"C:\Program Files (x86)\AstroGrep\AstroGrep.exe" /e /r /s /spath="%USERPROFILE%\AppData\Local\Temp\OnboardLogs" /stypes="app*4046*20170703*" /stext=" 01:.+((SYSTEM_STATE.+slice.+state.+changed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40"/>
        <v>"%USERPROFILE%\Documents\GitHub\eaglep3\Utilities\RefineRTDCRunTimes.py" --tripid 219-02 --locoid 4046 --swversion DE.1.0.9.0 --startMP 204:1147 --initTime 2017-07-02T18:31:32 --startdatetime 2017-07-02T19:00:35 --delay 3 --endMP 204:233280 --enddatetime 2017-07-02T19:24:16 --enforcementcount 0 &gt;&gt;C:\Users\stu\Documents\GitHub\eaglep3-reporting\EC\2017-07-02-refined-times.txt</v>
      </c>
      <c r="AI139" s="96" t="str">
        <f t="shared" si="41"/>
        <v>echo {"issue":{"subject":"","project_id":79,"tracker_id":40,"status_id":1,"priority_id":2,"assigned_to_id":23,"start_date":"2017-07-02","description":"","custom_fields":[{"id":1,"name":"Subdivision","value":"EC"},{"id":4,"name":"Milepost","value":"23.328"},{"id":17,"name":"Train ID","value":"219-02"},{"id":16,"name":"Locomotive ID","value":"4046"},{"id":130,"name":"Impact","value":""},{"id":150,"name":"Time of Event (Mountain Time)","value":"19:24:16"},{"id":151,"name":"Denver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4046 --day 2017-07-02</v>
      </c>
      <c r="AN139" s="151" t="str">
        <f t="shared" si="43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824</v>
      </c>
      <c r="B140" s="7">
        <v>4046</v>
      </c>
      <c r="C140" s="21" t="s">
        <v>202</v>
      </c>
      <c r="D140" s="21" t="s">
        <v>970</v>
      </c>
      <c r="E140" s="13">
        <v>42918.789155092592</v>
      </c>
      <c r="F140" s="13">
        <v>42918.792071759257</v>
      </c>
      <c r="G140" s="7">
        <v>3</v>
      </c>
      <c r="H140" s="21" t="s">
        <v>886</v>
      </c>
      <c r="I140" s="13">
        <v>42918.808518518519</v>
      </c>
      <c r="J140" s="7">
        <v>0</v>
      </c>
      <c r="K140" s="89" t="str">
        <f t="shared" si="29"/>
        <v>4045/4046</v>
      </c>
      <c r="L140" s="21" t="str">
        <f>VLOOKUP(A140,'Trips&amp;Operators'!$C$1:$G$99999,5,FALSE)</f>
        <v>HAITHCOX MICHAEL</v>
      </c>
      <c r="M140" s="6">
        <f t="shared" si="30"/>
        <v>1.6446759262180422E-2</v>
      </c>
      <c r="N140" s="7"/>
      <c r="O140" s="7"/>
      <c r="P140" s="7">
        <f>24*60*SUM($M140:$M140)</f>
        <v>23.683333337539807</v>
      </c>
      <c r="Q140" s="22"/>
      <c r="R140" s="170" t="s">
        <v>507</v>
      </c>
      <c r="S140" s="213">
        <f t="shared" ref="S140:S171" si="56">SUM(U140:U140)/IF(AG140="EC",12,1)</f>
        <v>0.25</v>
      </c>
      <c r="T140" s="195" t="str">
        <f t="shared" si="31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3</v>
      </c>
      <c r="V140" s="196" t="str">
        <f t="shared" si="32"/>
        <v>https://d0f6bd738d7f1b3e5a7ca70fe4ff75f0.us-east-1.aws.found.io/app/kibana#/discover/Steve-Slow-Train-Analysis-(2080s-and-2083s)?_g=(refreshInterval:(display:Off,pause:!f,section:0,value:0),time:(from:'2017-07-02T17:56:23-0600',mode:absolute,to:'2017-07-02T20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97" t="str">
        <f>IF(AA140&lt;VLOOKUP(AG140,Variables!$AC$3:$AD$8,2,FALSE),"Y","N")</f>
        <v>Y</v>
      </c>
      <c r="X140" s="197">
        <f t="shared" si="53"/>
        <v>0</v>
      </c>
      <c r="Y140" s="197">
        <f t="shared" si="49"/>
        <v>6.4707999999999997</v>
      </c>
      <c r="Z140" s="197">
        <f t="shared" si="50"/>
        <v>23.327999999999999</v>
      </c>
      <c r="AA140" s="197">
        <f t="shared" si="35"/>
        <v>16.857199999999999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6"/>
        <v>219</v>
      </c>
      <c r="AE140" s="77" t="str">
        <f t="shared" si="37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40" s="74" t="str">
        <f t="shared" si="38"/>
        <v>"C:\Program Files (x86)\AstroGrep\AstroGrep.exe" /e /r /s /spath="%USERPROFILE%\AppData\Local\Temp\OnboardLogs" /stypes="app*4046*20170703*" /stext=" 01:.+((SYSTEM_STATE.+slice.+state.+changed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40"/>
        <v>"%USERPROFILE%\Documents\GitHub\eaglep3\Utilities\RefineRTDCRunTimes.py" --tripid 219-02 --locoid 4046 --swversion DE.1.0.9.0 --startMP 204:64708 --initTime 2017-07-02T18:56:23 --startdatetime 2017-07-02T19:00:35 --delay 3 --endMP 204:233280 --enddatetime 2017-07-02T19:24:16 --enforcementcount 0 &gt;&gt;C:\Users\stu\Documents\GitHub\eaglep3-reporting\EC\2017-07-02-refined-times.txt</v>
      </c>
      <c r="AI140" s="96" t="str">
        <f t="shared" si="41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failure","project_id":79,"tracker_id":40,"status_id":1,"priority_id":2,"assigned_to_id":23,"start_date":"2017-07-02","description":"","custom_fields":[{"id":1,"name":"Subdivision","value":"EC"},{"id":4,"name":"Milepost","value":"23.328"},{"id":17,"name":"Train ID","value":"219-02"},{"id":16,"name":"Locomotive ID","value":"4046"},{"id":130,"name":"Impact","value":""},{"id":150,"name":"Time of Event (Mountain Time)","value":"19:24:16"},{"id":151,"name":"Denver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4046 --day 2017-07-02</v>
      </c>
      <c r="AN140" s="151" t="str">
        <f t="shared" si="43"/>
        <v>echo {"issue":{"subject":"Onboard in-route failure","project_id":30,"tracker_id":4,"status_id":1,"priority_id":1,"assigned_to_id":10,"start_date":"2017-07-03","description":"","custom_fields":[{"id":30,"name":"Category","value":"Issue"},{"id":3,"name":"Functional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832</v>
      </c>
      <c r="B141" s="7">
        <v>4045</v>
      </c>
      <c r="C141" s="21" t="s">
        <v>202</v>
      </c>
      <c r="D141" s="21" t="s">
        <v>896</v>
      </c>
      <c r="E141" s="13">
        <v>42918.809791666667</v>
      </c>
      <c r="F141" s="13">
        <v>42918.811412037037</v>
      </c>
      <c r="G141" s="7">
        <v>1</v>
      </c>
      <c r="H141" s="21" t="s">
        <v>359</v>
      </c>
      <c r="I141" s="13">
        <v>42918.840856481482</v>
      </c>
      <c r="J141" s="7">
        <v>0</v>
      </c>
      <c r="K141" s="89" t="str">
        <f t="shared" ref="K141:K204" si="57">IF(ISEVEN(B141),(B141-1)&amp;"/"&amp;B141,B141&amp;"/"&amp;(B141+1))</f>
        <v>4045/4046</v>
      </c>
      <c r="L141" s="21" t="str">
        <f>VLOOKUP(A141,'Trips&amp;Operators'!$C$1:$G$99999,5,FALSE)</f>
        <v>HAITHCOX MICHAEL</v>
      </c>
      <c r="M141" s="6">
        <f t="shared" ref="M141:M204" si="58">I141-F141</f>
        <v>2.9444444444379769E-2</v>
      </c>
      <c r="N141" s="7">
        <f t="shared" ref="N141:N155" si="59">24*60*SUM($M141:$M141)</f>
        <v>42.399999999906868</v>
      </c>
      <c r="O141" s="7"/>
      <c r="P141" s="7"/>
      <c r="Q141" s="22"/>
      <c r="R141" s="170"/>
      <c r="S141" s="213">
        <f t="shared" si="56"/>
        <v>1</v>
      </c>
      <c r="T141" s="195" t="str">
        <f t="shared" ref="T141:T204" si="60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-02T18:26:06-0600',mode:absolute,to:'2017-07-02T21:10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97" t="str">
        <f>IF(AA141&lt;VLOOKUP(AG141,Variables!$AC$3:$AD$8,2,FALSE),"Y","N")</f>
        <v>N</v>
      </c>
      <c r="X141" s="197">
        <f t="shared" si="53"/>
        <v>1</v>
      </c>
      <c r="Y141" s="197">
        <f t="shared" ref="Y141:Y172" si="62">RIGHT(D141,LEN(D141)-4)/10000</f>
        <v>23.297499999999999</v>
      </c>
      <c r="Z141" s="197">
        <f t="shared" ref="Z141:Z172" si="63">RIGHT(H141,LEN(H141)-4)/10000</f>
        <v>1.47E-2</v>
      </c>
      <c r="AA141" s="197">
        <f t="shared" ref="AA141:AA204" si="64">ABS(Z141-Y141)</f>
        <v>23.282799999999998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5">VALUE(LEFT(A141,LEN(A141)-3))</f>
        <v>220</v>
      </c>
      <c r="AE141" s="77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41" s="74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/stypes="app*4045*20170703*" /stext=" 02:.+((SYSTEM_STATE.+slice.+state.+changed )|(ment ac)|(multiple cpu faults)|(system.+state.+changed )|(\[timeout)|(PRM\|1\|D)|(kpr)|(kdp)|(train st.+moving)|(\|lc)|(penalty))"</v>
      </c>
      <c r="AG141" s="209" t="str">
        <f t="shared" ref="AG141:AG204" si="68">DetSubdiv(A141)</f>
        <v>EC</v>
      </c>
      <c r="AH141" s="78" t="str">
        <f t="shared" ref="AH141:AH204" si="6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220-02 --locoid 4045 --swversion DE.1.0.9.0 --startMP 204:232975 --initTime 2017-07-02T19:26:06 --startdatetime 2017-07-02T19:28:26 --delay 1 --endMP 204:147 --enddatetime 2017-07-02T20:10:50 --enforcementcount 0 &gt;&gt;C:\Users\stu\Documents\GitHub\eaglep3-reporting\EC\2017-07-02-refined-times.txt</v>
      </c>
      <c r="AI141" s="96" t="str">
        <f t="shared" ref="AI141:AI204" si="7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{"issue":{"subject":"","project_id":79,"tracker_id":40,"status_id":1,"priority_id":2,"assigned_to_id":23,"start_date":"2017-07-02","description":"","custom_fields":[{"id":1,"name":"Subdivision","value":"EC"},{"id":4,"name":"Milepost","value":"0.0147"},{"id":17,"name":"Train ID","value":"220-02"},{"id":16,"name":"Locomotive ID","value":"4045"},{"id":130,"name":"Impact","value":""},{"id":150,"name":"Time of Event (Mountain Time)","value":"20:10:50"},{"id":151,"name":"Denver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71">"start /low /b "&amp;dls3logs&amp;" --loco "&amp;B141&amp;" --day "&amp;TEXT(F141,"YYYY-MM-DD")</f>
        <v>start /low /b %USERPROFILE%\Documents\GitHub\eaglep3\Utilities\DownloadLogsFromS3.py --loco 4045 --day 2017-07-02</v>
      </c>
      <c r="AN141" s="151" t="str">
        <f t="shared" ref="AN141:AN204" si="72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829</v>
      </c>
      <c r="B142" s="7">
        <v>4042</v>
      </c>
      <c r="C142" s="21" t="s">
        <v>202</v>
      </c>
      <c r="D142" s="21" t="s">
        <v>491</v>
      </c>
      <c r="E142" s="13">
        <v>42918.78875</v>
      </c>
      <c r="F142" s="13">
        <v>42918.792175925926</v>
      </c>
      <c r="G142" s="7">
        <v>1</v>
      </c>
      <c r="H142" s="21" t="s">
        <v>897</v>
      </c>
      <c r="I142" s="13">
        <v>42918.817650462966</v>
      </c>
      <c r="J142" s="7">
        <v>0</v>
      </c>
      <c r="K142" s="89" t="str">
        <f t="shared" si="57"/>
        <v>4041/4042</v>
      </c>
      <c r="L142" s="21" t="str">
        <f>VLOOKUP(A142,'Trips&amp;Operators'!$C$1:$G$99999,5,FALSE)</f>
        <v>BIRENBAUM THOMAS</v>
      </c>
      <c r="M142" s="6">
        <f t="shared" si="58"/>
        <v>2.5474537040281575E-2</v>
      </c>
      <c r="N142" s="7">
        <f t="shared" si="59"/>
        <v>36.683333338005468</v>
      </c>
      <c r="O142" s="7"/>
      <c r="P142" s="7"/>
      <c r="Q142" s="22"/>
      <c r="R142" s="170"/>
      <c r="S142" s="213">
        <f t="shared" si="56"/>
        <v>1</v>
      </c>
      <c r="T142" s="195" t="str">
        <f t="shared" si="60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1"/>
        <v>https://d0f6bd738d7f1b3e5a7ca70fe4ff75f0.us-east-1.aws.found.io/app/kibana#/discover/Steve-Slow-Train-Analysis-(2080s-and-2083s)?_g=(refreshInterval:(display:Off,pause:!f,section:0,value:0),time:(from:'2017-07-02T17:55:48-0600',mode:absolute,to:'2017-07-02T20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2" s="197" t="str">
        <f>IF(AA142&lt;VLOOKUP(AG142,Variables!$AC$3:$AD$8,2,FALSE),"Y","N")</f>
        <v>N</v>
      </c>
      <c r="X142" s="197">
        <f t="shared" si="53"/>
        <v>1</v>
      </c>
      <c r="Y142" s="197">
        <f t="shared" si="62"/>
        <v>4.7500000000000001E-2</v>
      </c>
      <c r="Z142" s="197">
        <f t="shared" si="63"/>
        <v>23.331499999999998</v>
      </c>
      <c r="AA142" s="197">
        <f t="shared" si="64"/>
        <v>23.283999999999999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5"/>
        <v>221</v>
      </c>
      <c r="AE142" s="77" t="str">
        <f t="shared" si="66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42" s="74" t="str">
        <f t="shared" si="67"/>
        <v>"C:\Program Files (x86)\AstroGrep\AstroGrep.exe" /e /r /s /spath="%USERPROFILE%\AppData\Local\Temp\OnboardLogs" /stypes="app*4042*20170703*" /stext=" 01:.+((SYSTEM_STATE.+slice.+state.+changed )|(ment ac)|(multiple cpu faults)|(system.+state.+changed )|(\[timeout)|(PRM\|1\|D)|(kpr)|(kdp)|(train st.+moving)|(\|lc)|(penalty))"</v>
      </c>
      <c r="AG142" s="209" t="str">
        <f t="shared" si="68"/>
        <v>EC</v>
      </c>
      <c r="AH142" s="78" t="str">
        <f t="shared" si="69"/>
        <v>"%USERPROFILE%\Documents\GitHub\eaglep3\Utilities\RefineRTDCRunTimes.py" --tripid 221-02 --locoid 4042 --swversion DE.1.0.9.0 --startMP 204:475 --initTime 2017-07-02T18:55:48 --startdatetime 2017-07-02T19:00:44 --delay 1 --endMP 204:233315 --enddatetime 2017-07-02T19:37:25 --enforcementcount 0 &gt;&gt;C:\Users\stu\Documents\GitHub\eaglep3-reporting\EC\2017-07-02-refined-times.txt</v>
      </c>
      <c r="AI142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{"issue":{"subject":"","project_id":79,"tracker_id":40,"status_id":1,"priority_id":2,"assigned_to_id":23,"start_date":"2017-07-02","description":"","custom_fields":[{"id":1,"name":"Subdivision","value":"EC"},{"id":4,"name":"Milepost","value":"23.3315"},{"id":17,"name":"Train ID","value":"221-02"},{"id":16,"name":"Locomotive ID","value":"4042"},{"id":130,"name":"Impact","value":""},{"id":150,"name":"Time of Event (Mountain Time)","value":"19:37:25"},{"id":151,"name":"Denver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1"/>
        <v>start /low /b %USERPROFILE%\Documents\GitHub\eaglep3\Utilities\DownloadLogsFromS3.py --loco 4042 --day 2017-07-02</v>
      </c>
      <c r="AN14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837</v>
      </c>
      <c r="B143" s="7">
        <v>4041</v>
      </c>
      <c r="C143" s="21" t="s">
        <v>202</v>
      </c>
      <c r="D143" s="21" t="s">
        <v>587</v>
      </c>
      <c r="E143" s="13">
        <v>42918.826365740744</v>
      </c>
      <c r="F143" s="13">
        <v>42918.831631944442</v>
      </c>
      <c r="G143" s="7">
        <v>1</v>
      </c>
      <c r="H143" s="21" t="s">
        <v>595</v>
      </c>
      <c r="I143" s="13">
        <v>42918.858993055554</v>
      </c>
      <c r="J143" s="7">
        <v>0</v>
      </c>
      <c r="K143" s="89" t="str">
        <f t="shared" si="57"/>
        <v>4041/4042</v>
      </c>
      <c r="L143" s="21" t="str">
        <f>VLOOKUP(A143,'Trips&amp;Operators'!$C$1:$G$99999,5,FALSE)</f>
        <v>BIRENBAUM THOMAS</v>
      </c>
      <c r="M143" s="6">
        <f t="shared" si="58"/>
        <v>2.73611111115315E-2</v>
      </c>
      <c r="N143" s="7">
        <f t="shared" si="59"/>
        <v>39.40000000060536</v>
      </c>
      <c r="O143" s="7"/>
      <c r="P143" s="7"/>
      <c r="Q143" s="22"/>
      <c r="R143" s="170"/>
      <c r="S143" s="213">
        <f t="shared" si="56"/>
        <v>1</v>
      </c>
      <c r="T143" s="195" t="str">
        <f t="shared" si="60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1"/>
        <v>https://d0f6bd738d7f1b3e5a7ca70fe4ff75f0.us-east-1.aws.found.io/app/kibana#/discover/Steve-Slow-Train-Analysis-(2080s-and-2083s)?_g=(refreshInterval:(display:Off,pause:!f,section:0,value:0),time:(from:'2017-07-02T18:49:58-0600',mode:absolute,to:'2017-07-02T21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3" s="197" t="str">
        <f>IF(AA143&lt;VLOOKUP(AG143,Variables!$AC$3:$AD$8,2,FALSE),"Y","N")</f>
        <v>N</v>
      </c>
      <c r="X143" s="197">
        <f t="shared" si="53"/>
        <v>1</v>
      </c>
      <c r="Y143" s="197">
        <f t="shared" si="62"/>
        <v>23.299399999999999</v>
      </c>
      <c r="Z143" s="197">
        <f t="shared" si="63"/>
        <v>1.6E-2</v>
      </c>
      <c r="AA143" s="197">
        <f t="shared" si="64"/>
        <v>23.2834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5"/>
        <v>222</v>
      </c>
      <c r="AE143" s="77" t="str">
        <f t="shared" si="66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43" s="74" t="str">
        <f t="shared" si="67"/>
        <v>"C:\Program Files (x86)\AstroGrep\AstroGrep.exe" /e /r /s /spath="%USERPROFILE%\AppData\Local\Temp\OnboardLogs" /stypes="app*4041*20170703*" /stext=" 02:.+((SYSTEM_STATE.+slice.+state.+changed )|(ment ac)|(multiple cpu faults)|(system.+state.+changed )|(\[timeout)|(PRM\|1\|D)|(kpr)|(kdp)|(train st.+moving)|(\|lc)|(penalty))"</v>
      </c>
      <c r="AG143" s="209" t="str">
        <f t="shared" si="68"/>
        <v>EC</v>
      </c>
      <c r="AH143" s="78" t="str">
        <f t="shared" si="69"/>
        <v>"%USERPROFILE%\Documents\GitHub\eaglep3\Utilities\RefineRTDCRunTimes.py" --tripid 222-02 --locoid 4041 --swversion DE.1.0.9.0 --startMP 204:232994 --initTime 2017-07-02T19:49:58 --startdatetime 2017-07-02T19:57:33 --delay 1 --endMP 204:160 --enddatetime 2017-07-02T20:36:57 --enforcementcount 0 &gt;&gt;C:\Users\stu\Documents\GitHub\eaglep3-reporting\EC\2017-07-02-refined-times.txt</v>
      </c>
      <c r="AI143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{"issue":{"subject":"","project_id":79,"tracker_id":40,"status_id":1,"priority_id":2,"assigned_to_id":23,"start_date":"2017-07-02","description":"","custom_fields":[{"id":1,"name":"Subdivision","value":"EC"},{"id":4,"name":"Milepost","value":"0.016"},{"id":17,"name":"Train ID","value":"222-02"},{"id":16,"name":"Locomotive ID","value":"4041"},{"id":130,"name":"Impact","value":""},{"id":150,"name":"Time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1"/>
        <v>start /low /b %USERPROFILE%\Documents\GitHub\eaglep3\Utilities\DownloadLogsFromS3.py --loco 4041 --day 2017-07-02</v>
      </c>
      <c r="AN143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833</v>
      </c>
      <c r="B144" s="7">
        <v>4016</v>
      </c>
      <c r="C144" s="21" t="s">
        <v>202</v>
      </c>
      <c r="D144" s="21" t="s">
        <v>351</v>
      </c>
      <c r="E144" s="13">
        <v>42918.810937499999</v>
      </c>
      <c r="F144" s="13">
        <v>42918.813645833332</v>
      </c>
      <c r="G144" s="7">
        <v>2</v>
      </c>
      <c r="H144" s="21" t="s">
        <v>863</v>
      </c>
      <c r="I144" s="13">
        <v>42918.845150462963</v>
      </c>
      <c r="J144" s="7">
        <v>0</v>
      </c>
      <c r="K144" s="89" t="str">
        <f t="shared" si="57"/>
        <v>4015/4016</v>
      </c>
      <c r="L144" s="21" t="str">
        <f>VLOOKUP(A144,'Trips&amp;Operators'!$C$1:$G$99999,5,FALSE)</f>
        <v>THOMPSON LESTER</v>
      </c>
      <c r="M144" s="6">
        <f t="shared" si="58"/>
        <v>3.1504629630944692E-2</v>
      </c>
      <c r="N144" s="7">
        <f t="shared" si="59"/>
        <v>45.366666668560356</v>
      </c>
      <c r="O144" s="7"/>
      <c r="P144" s="7"/>
      <c r="Q144" s="22"/>
      <c r="R144" s="170"/>
      <c r="S144" s="213">
        <f t="shared" si="56"/>
        <v>1</v>
      </c>
      <c r="T144" s="195" t="str">
        <f t="shared" si="60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1"/>
        <v>https://d0f6bd738d7f1b3e5a7ca70fe4ff75f0.us-east-1.aws.found.io/app/kibana#/discover/Steve-Slow-Train-Analysis-(2080s-and-2083s)?_g=(refreshInterval:(display:Off,pause:!f,section:0,value:0),time:(from:'2017-07-02T18:27:45-0600',mode:absolute,to:'2017-07-02T21:17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4" s="197" t="str">
        <f>IF(AA144&lt;VLOOKUP(AG144,Variables!$AC$3:$AD$8,2,FALSE),"Y","N")</f>
        <v>N</v>
      </c>
      <c r="X144" s="197">
        <f t="shared" si="53"/>
        <v>1</v>
      </c>
      <c r="Y144" s="197">
        <f t="shared" si="62"/>
        <v>4.6600000000000003E-2</v>
      </c>
      <c r="Z144" s="197">
        <f t="shared" si="63"/>
        <v>23.329899999999999</v>
      </c>
      <c r="AA144" s="197">
        <f t="shared" si="64"/>
        <v>23.283299999999997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5"/>
        <v>223</v>
      </c>
      <c r="AE144" s="77" t="str">
        <f t="shared" si="6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144" s="74" t="str">
        <f t="shared" si="67"/>
        <v>"C:\Program Files (x86)\AstroGrep\AstroGrep.exe" /e /r /s /spath="%USERPROFILE%\AppData\Local\Temp\OnboardLogs" /stypes="app*4016*20170703*" /stext=" 02:.+((SYSTEM_STATE.+slice.+state.+changed )|(ment ac)|(multiple cpu faults)|(system.+state.+changed )|(\[timeout)|(PRM\|1\|D)|(kpr)|(kdp)|(train st.+moving)|(\|lc)|(penalty))"</v>
      </c>
      <c r="AG144" s="209" t="str">
        <f t="shared" si="68"/>
        <v>EC</v>
      </c>
      <c r="AH144" s="78" t="str">
        <f t="shared" si="69"/>
        <v>"%USERPROFILE%\Documents\GitHub\eaglep3\Utilities\RefineRTDCRunTimes.py" --tripid 223-02 --locoid 4016 --swversion DE.1.0.9.0 --startMP 204:466 --initTime 2017-07-02T19:27:45 --startdatetime 2017-07-02T19:31:39 --delay 2 --endMP 204:233299 --enddatetime 2017-07-02T20:17:01 --enforcementcount 0 &gt;&gt;C:\Users\stu\Documents\GitHub\eaglep3-reporting\EC\2017-07-02-refined-times.txt</v>
      </c>
      <c r="AI144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ID","value":"223-02"},{"id":16,"name":"Locomotive ID","value":"4016"},{"id":130,"name":"Impact","value":""},{"id":150,"name":"Time of Event (Mountain Time)","value":"20:17:01"},{"id":151,"name":"Denver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1"/>
        <v>start /low /b %USERPROFILE%\Documents\GitHub\eaglep3\Utilities\DownloadLogsFromS3.py --loco 4016 --day 2017-07-02</v>
      </c>
      <c r="AN144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02:17:01"},{"id":29,"name":"Sharepoint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841</v>
      </c>
      <c r="B145" s="7">
        <v>4015</v>
      </c>
      <c r="C145" s="21" t="s">
        <v>202</v>
      </c>
      <c r="D145" s="21" t="s">
        <v>896</v>
      </c>
      <c r="E145" s="13">
        <v>42918.849247685182</v>
      </c>
      <c r="F145" s="13">
        <v>42918.852569444447</v>
      </c>
      <c r="G145" s="7">
        <v>1</v>
      </c>
      <c r="H145" s="21" t="s">
        <v>348</v>
      </c>
      <c r="I145" s="13">
        <v>42918.88480324074</v>
      </c>
      <c r="J145" s="7">
        <v>0</v>
      </c>
      <c r="K145" s="89" t="str">
        <f t="shared" si="57"/>
        <v>4015/4016</v>
      </c>
      <c r="L145" s="21" t="str">
        <f>VLOOKUP(A145,'Trips&amp;Operators'!$C$1:$G$99999,5,FALSE)</f>
        <v>THOMPSON LESTER</v>
      </c>
      <c r="M145" s="6">
        <f t="shared" si="58"/>
        <v>3.2233796293439809E-2</v>
      </c>
      <c r="N145" s="7">
        <f t="shared" si="59"/>
        <v>46.416666662553325</v>
      </c>
      <c r="O145" s="7"/>
      <c r="P145" s="7"/>
      <c r="Q145" s="22"/>
      <c r="R145" s="170"/>
      <c r="S145" s="213">
        <f t="shared" si="56"/>
        <v>1</v>
      </c>
      <c r="T145" s="195" t="str">
        <f t="shared" si="60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1"/>
        <v>https://d0f6bd738d7f1b3e5a7ca70fe4ff75f0.us-east-1.aws.found.io/app/kibana#/discover/Steve-Slow-Train-Analysis-(2080s-and-2083s)?_g=(refreshInterval:(display:Off,pause:!f,section:0,value:0),time:(from:'2017-07-02T19:22:55-0600',mode:absolute,to:'2017-07-02T22:14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5" s="197" t="str">
        <f>IF(AA145&lt;VLOOKUP(AG145,Variables!$AC$3:$AD$8,2,FALSE),"Y","N")</f>
        <v>N</v>
      </c>
      <c r="X145" s="197">
        <f t="shared" si="53"/>
        <v>1</v>
      </c>
      <c r="Y145" s="197">
        <f t="shared" si="62"/>
        <v>23.297499999999999</v>
      </c>
      <c r="Z145" s="197">
        <f t="shared" si="63"/>
        <v>1.4999999999999999E-2</v>
      </c>
      <c r="AA145" s="197">
        <f t="shared" si="64"/>
        <v>23.282499999999999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5"/>
        <v>224</v>
      </c>
      <c r="AE145" s="77" t="str">
        <f t="shared" si="66"/>
        <v>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 &amp; 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</v>
      </c>
      <c r="AF145" s="74" t="str">
        <f t="shared" si="67"/>
        <v>"C:\Program Files (x86)\AstroGrep\AstroGrep.exe" /e /r /s /spath="%USERPROFILE%\AppData\Local\Temp\OnboardLogs" /stypes="app*4015*20170703*" /stext=" 03:.+((SYSTEM_STATE.+slice.+state.+changed )|(ment ac)|(multiple cpu faults)|(system.+state.+changed )|(\[timeout)|(PRM\|1\|D)|(kpr)|(kdp)|(train st.+moving)|(\|lc)|(penalty))"</v>
      </c>
      <c r="AG145" s="209" t="str">
        <f t="shared" si="68"/>
        <v>EC</v>
      </c>
      <c r="AH145" s="78" t="str">
        <f t="shared" si="69"/>
        <v>"%USERPROFILE%\Documents\GitHub\eaglep3\Utilities\RefineRTDCRunTimes.py" --tripid 224-02 --locoid 4015 --swversion DE.1.0.9.0 --startMP 204:232975 --initTime 2017-07-02T20:22:55 --startdatetime 2017-07-02T20:27:42 --delay 1 --endMP 204:150 --enddatetime 2017-07-02T21:14:07 --enforcementcount 0 &gt;&gt;C:\Users\stu\Documents\GitHub\eaglep3-reporting\EC\2017-07-02-refined-times.txt</v>
      </c>
      <c r="AI145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{"issue":{"subject":"","project_id":79,"tracker_id":40,"status_id":1,"priority_id":2,"assigned_to_id":23,"start_date":"2017-07-02","description":"","custom_fields":[{"id":1,"name":"Subdivision","value":"EC"},{"id":4,"name":"Milepost","value":"0.015"},{"id":17,"name":"Train ID","value":"224-02"},{"id":16,"name":"Locomotive ID","value":"4015"},{"id":130,"name":"Impact","value":""},{"id":150,"name":"Time of Event (Mountain Time)","value":"21:14:07"},{"id":151,"name":"Denver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1"/>
        <v>start /low /b %USERPROFILE%\Documents\GitHub\eaglep3\Utilities\DownloadLogsFromS3.py --loco 4015 --day 2017-07-02</v>
      </c>
      <c r="AN145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03:14:07"},{"id":29,"name":"Sharepoint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838</v>
      </c>
      <c r="B146" s="7">
        <v>4044</v>
      </c>
      <c r="C146" s="21" t="s">
        <v>202</v>
      </c>
      <c r="D146" s="21" t="s">
        <v>490</v>
      </c>
      <c r="E146" s="13">
        <v>42918.831388888888</v>
      </c>
      <c r="F146" s="13">
        <v>42918.833877314813</v>
      </c>
      <c r="G146" s="7">
        <v>0</v>
      </c>
      <c r="H146" s="21" t="s">
        <v>586</v>
      </c>
      <c r="I146" s="13">
        <v>42918.861481481479</v>
      </c>
      <c r="J146" s="7">
        <v>0</v>
      </c>
      <c r="K146" s="89" t="str">
        <f t="shared" si="57"/>
        <v>4043/4044</v>
      </c>
      <c r="L146" s="21" t="str">
        <f>VLOOKUP(A146,'Trips&amp;Operators'!$C$1:$G$99999,5,FALSE)</f>
        <v>PERKINS DARREN</v>
      </c>
      <c r="M146" s="6">
        <f t="shared" si="58"/>
        <v>2.7604166665696539E-2</v>
      </c>
      <c r="N146" s="7">
        <f t="shared" si="59"/>
        <v>39.749999998603016</v>
      </c>
      <c r="O146" s="7"/>
      <c r="P146" s="7"/>
      <c r="Q146" s="22"/>
      <c r="R146" s="170"/>
      <c r="S146" s="213">
        <f t="shared" si="56"/>
        <v>1</v>
      </c>
      <c r="T146" s="195" t="str">
        <f t="shared" si="60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1"/>
        <v>https://d0f6bd738d7f1b3e5a7ca70fe4ff75f0.us-east-1.aws.found.io/app/kibana#/discover/Steve-Slow-Train-Analysis-(2080s-and-2083s)?_g=(refreshInterval:(display:Off,pause:!f,section:0,value:0),time:(from:'2017-07-02T18:57:12-0600',mode:absolute,to:'2017-07-02T21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197" t="str">
        <f>IF(AA146&lt;VLOOKUP(AG146,Variables!$AC$3:$AD$8,2,FALSE),"Y","N")</f>
        <v>N</v>
      </c>
      <c r="X146" s="197">
        <f t="shared" si="53"/>
        <v>1</v>
      </c>
      <c r="Y146" s="197">
        <f t="shared" si="62"/>
        <v>4.3700000000000003E-2</v>
      </c>
      <c r="Z146" s="197">
        <f t="shared" si="63"/>
        <v>23.329499999999999</v>
      </c>
      <c r="AA146" s="197">
        <f t="shared" si="64"/>
        <v>23.285799999999998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5"/>
        <v>225</v>
      </c>
      <c r="AE146" s="77" t="str">
        <f t="shared" si="66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46" s="74" t="str">
        <f t="shared" si="67"/>
        <v>"C:\Program Files (x86)\AstroGrep\AstroGrep.exe" /e /r /s /spath="%USERPROFILE%\AppData\Local\Temp\OnboardLogs" /stypes="app*4044*20170703*" /stext=" 02:.+((SYSTEM_STATE.+slice.+state.+changed )|(ment ac)|(multiple cpu faults)|(system.+state.+changed )|(\[timeout)|(PRM\|1\|D)|(kpr)|(kdp)|(train st.+moving)|(\|lc)|(penalty))"</v>
      </c>
      <c r="AG146" s="209" t="str">
        <f t="shared" si="68"/>
        <v>EC</v>
      </c>
      <c r="AH146" s="78" t="str">
        <f t="shared" si="69"/>
        <v>"%USERPROFILE%\Documents\GitHub\eaglep3\Utilities\RefineRTDCRunTimes.py" --tripid 225-02 --locoid 4044 --swversion DE.1.0.9.0 --startMP 204:437 --initTime 2017-07-02T19:57:12 --startdatetime 2017-07-02T20:00:47 --delay 0 --endMP 204:233295 --enddatetime 2017-07-02T20:40:32 --enforcementcount 0 &gt;&gt;C:\Users\stu\Documents\GitHub\eaglep3-reporting\EC\2017-07-02-refined-times.txt</v>
      </c>
      <c r="AI146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{"issue":{"subject":"","project_id":79,"tracker_id":40,"status_id":1,"priority_id":2,"assigned_to_id":23,"start_date":"2017-07-02","description":"","custom_fields":[{"id":1,"name":"Subdivision","value":"EC"},{"id":4,"name":"Milepost","value":"23.3295"},{"id":17,"name":"Train ID","value":"225-02"},{"id":16,"name":"Locomotive ID","value":"4044"},{"id":130,"name":"Impact","value":""},{"id":150,"name":"Time of Event (Mountain Time)","value":"20:40:32"},{"id":151,"name":"Denver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1"/>
        <v>start /low /b %USERPROFILE%\Documents\GitHub\eaglep3\Utilities\DownloadLogsFromS3.py --loco 4044 --day 2017-07-02</v>
      </c>
      <c r="AN146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680</v>
      </c>
      <c r="B147" s="7">
        <v>4043</v>
      </c>
      <c r="C147" s="21" t="s">
        <v>202</v>
      </c>
      <c r="D147" s="21" t="s">
        <v>515</v>
      </c>
      <c r="E147" s="13">
        <v>42918.868842592594</v>
      </c>
      <c r="F147" s="13">
        <v>42918.874826388892</v>
      </c>
      <c r="G147" s="7">
        <v>1</v>
      </c>
      <c r="H147" s="21" t="s">
        <v>971</v>
      </c>
      <c r="I147" s="13">
        <v>42918.904560185183</v>
      </c>
      <c r="J147" s="7">
        <v>0</v>
      </c>
      <c r="K147" s="89" t="str">
        <f t="shared" si="57"/>
        <v>4043/4044</v>
      </c>
      <c r="L147" s="21" t="str">
        <f>VLOOKUP(A147,'Trips&amp;Operators'!$C$1:$G$99999,5,FALSE)</f>
        <v>PERKINS DARREN</v>
      </c>
      <c r="M147" s="6">
        <f t="shared" si="58"/>
        <v>2.9733796291111503E-2</v>
      </c>
      <c r="N147" s="7">
        <f t="shared" si="59"/>
        <v>42.816666659200564</v>
      </c>
      <c r="O147" s="7"/>
      <c r="P147" s="7"/>
      <c r="Q147" s="22"/>
      <c r="R147" s="170"/>
      <c r="S147" s="213">
        <f t="shared" si="56"/>
        <v>1</v>
      </c>
      <c r="T147" s="195" t="str">
        <f t="shared" si="60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1"/>
        <v>https://d0f6bd738d7f1b3e5a7ca70fe4ff75f0.us-east-1.aws.found.io/app/kibana#/discover/Steve-Slow-Train-Analysis-(2080s-and-2083s)?_g=(refreshInterval:(display:Off,pause:!f,section:0,value:0),time:(from:'2017-07-02T19:51:08-0600',mode:absolute,to:'2017-07-02T22:42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197" t="str">
        <f>IF(AA147&lt;VLOOKUP(AG147,Variables!$AC$3:$AD$8,2,FALSE),"Y","N")</f>
        <v>N</v>
      </c>
      <c r="X147" s="197">
        <f t="shared" si="53"/>
        <v>1</v>
      </c>
      <c r="Y147" s="197">
        <f t="shared" si="62"/>
        <v>23.297999999999998</v>
      </c>
      <c r="Z147" s="197">
        <f t="shared" si="63"/>
        <v>2.2700000000000001E-2</v>
      </c>
      <c r="AA147" s="197">
        <f t="shared" si="64"/>
        <v>23.275299999999998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5"/>
        <v>226</v>
      </c>
      <c r="AE147" s="77" t="str">
        <f t="shared" si="66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47" s="74" t="str">
        <f t="shared" si="67"/>
        <v>"C:\Program Files (x86)\AstroGrep\AstroGrep.exe" /e /r /s /spath="%USERPROFILE%\AppData\Local\Temp\OnboardLogs" /stypes="app*4043*20170703*" /stext=" 03:.+((SYSTEM_STATE.+slice.+state.+changed )|(ment ac)|(multiple cpu faults)|(system.+state.+changed )|(\[timeout)|(PRM\|1\|D)|(kpr)|(kdp)|(train st.+moving)|(\|lc)|(penalty))"</v>
      </c>
      <c r="AG147" s="209" t="str">
        <f t="shared" si="68"/>
        <v>EC</v>
      </c>
      <c r="AH147" s="78" t="str">
        <f t="shared" si="69"/>
        <v>"%USERPROFILE%\Documents\GitHub\eaglep3\Utilities\RefineRTDCRunTimes.py" --tripid 226-02 --locoid 4043 --swversion DE.1.0.9.0 --startMP 204:232980 --initTime 2017-07-02T20:51:08 --startdatetime 2017-07-02T20:59:45 --delay 1 --endMP 204:227 --enddatetime 2017-07-02T21:42:34 --enforcementcount 0 &gt;&gt;C:\Users\stu\Documents\GitHub\eaglep3-reporting\EC\2017-07-02-refined-times.txt</v>
      </c>
      <c r="AI147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{"issue":{"subject":"","project_id":79,"tracker_id":40,"status_id":1,"priority_id":2,"assigned_to_id":23,"start_date":"2017-07-02","description":"","custom_fields":[{"id":1,"name":"Subdivision","value":"EC"},{"id":4,"name":"Milepost","value":"0.0227"},{"id":17,"name":"Train ID","value":"226-02"},{"id":16,"name":"Locomotive ID","value":"4043"},{"id":130,"name":"Impact","value":""},{"id":150,"name":"Time of Event (Mountain Time)","value":"21:42:34"},{"id":151,"name":"Denver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1"/>
        <v>start /low /b %USERPROFILE%\Documents\GitHub\eaglep3\Utilities\DownloadLogsFromS3.py --loco 4043 --day 2017-07-02</v>
      </c>
      <c r="AN147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03:42:34"},{"id":29,"name":"Sharepoint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839</v>
      </c>
      <c r="B148" s="7">
        <v>4046</v>
      </c>
      <c r="C148" s="21" t="s">
        <v>202</v>
      </c>
      <c r="D148" s="21" t="s">
        <v>885</v>
      </c>
      <c r="E148" s="13">
        <v>42918.842662037037</v>
      </c>
      <c r="F148" s="13">
        <v>42918.854687500003</v>
      </c>
      <c r="G148" s="7">
        <v>3</v>
      </c>
      <c r="H148" s="21" t="s">
        <v>546</v>
      </c>
      <c r="I148" s="13">
        <v>42918.883587962962</v>
      </c>
      <c r="J148" s="7">
        <v>0</v>
      </c>
      <c r="K148" s="89" t="str">
        <f t="shared" si="57"/>
        <v>4045/4046</v>
      </c>
      <c r="L148" s="21" t="str">
        <f>VLOOKUP(A148,'Trips&amp;Operators'!$C$1:$G$99999,5,FALSE)</f>
        <v>HAITHCOX MICHAEL</v>
      </c>
      <c r="M148" s="6">
        <f t="shared" si="58"/>
        <v>2.8900462959427387E-2</v>
      </c>
      <c r="N148" s="7">
        <f t="shared" si="59"/>
        <v>41.616666661575437</v>
      </c>
      <c r="O148" s="7"/>
      <c r="P148" s="7"/>
      <c r="Q148" s="22"/>
      <c r="R148" s="170"/>
      <c r="S148" s="213">
        <f t="shared" si="56"/>
        <v>1</v>
      </c>
      <c r="T148" s="195" t="str">
        <f t="shared" si="60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1"/>
        <v>https://d0f6bd738d7f1b3e5a7ca70fe4ff75f0.us-east-1.aws.found.io/app/kibana#/discover/Steve-Slow-Train-Analysis-(2080s-and-2083s)?_g=(refreshInterval:(display:Off,pause:!f,section:0,value:0),time:(from:'2017-07-02T19:13:26-0600',mode:absolute,to:'2017-07-02T22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97" t="str">
        <f>IF(AA148&lt;VLOOKUP(AG148,Variables!$AC$3:$AD$8,2,FALSE),"Y","N")</f>
        <v>N</v>
      </c>
      <c r="X148" s="197">
        <f t="shared" si="53"/>
        <v>1</v>
      </c>
      <c r="Y148" s="197">
        <f t="shared" si="62"/>
        <v>4.3099999999999999E-2</v>
      </c>
      <c r="Z148" s="197">
        <f t="shared" si="63"/>
        <v>23.329699999999999</v>
      </c>
      <c r="AA148" s="197">
        <f t="shared" si="64"/>
        <v>23.2866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5"/>
        <v>227</v>
      </c>
      <c r="AE148" s="77" t="str">
        <f t="shared" si="66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48" s="74" t="str">
        <f t="shared" si="67"/>
        <v>"C:\Program Files (x86)\AstroGrep\AstroGrep.exe" /e /r /s /spath="%USERPROFILE%\AppData\Local\Temp\OnboardLogs" /stypes="app*4046*20170703*" /stext=" 03:.+((SYSTEM_STATE.+slice.+state.+changed )|(ment ac)|(multiple cpu faults)|(system.+state.+changed )|(\[timeout)|(PRM\|1\|D)|(kpr)|(kdp)|(train st.+moving)|(\|lc)|(penalty))"</v>
      </c>
      <c r="AG148" s="209" t="str">
        <f t="shared" si="68"/>
        <v>EC</v>
      </c>
      <c r="AH148" s="78" t="str">
        <f t="shared" si="69"/>
        <v>"%USERPROFILE%\Documents\GitHub\eaglep3\Utilities\RefineRTDCRunTimes.py" --tripid 227-02 --locoid 4046 --swversion DE.1.0.9.0 --startMP 204:431 --initTime 2017-07-02T20:13:26 --startdatetime 2017-07-02T20:30:45 --delay 3 --endMP 204:233297 --enddatetime 2017-07-02T21:12:22 --enforcementcount 0 &gt;&gt;C:\Users\stu\Documents\GitHub\eaglep3-reporting\EC\2017-07-02-refined-times.txt</v>
      </c>
      <c r="AI148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{"issue":{"subject":"","project_id":79,"tracker_id":40,"status_id":1,"priority_id":2,"assigned_to_id":23,"start_date":"2017-07-02","description":"","custom_fields":[{"id":1,"name":"Subdivision","value":"EC"},{"id":4,"name":"Milepost","value":"23.3297"},{"id":17,"name":"Train ID","value":"227-02"},{"id":16,"name":"Locomotive ID","value":"4046"},{"id":130,"name":"Impact","value":""},{"id":150,"name":"Time of Event (Mountain Time)","value":"21:12:22"},{"id":151,"name":"Denver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1"/>
        <v>start /low /b %USERPROFILE%\Documents\GitHub\eaglep3\Utilities\DownloadLogsFromS3.py --loco 4046 --day 2017-07-02</v>
      </c>
      <c r="AN148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03:12:22"},{"id":29,"name":"Sharepoint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679</v>
      </c>
      <c r="B149" s="7">
        <v>4045</v>
      </c>
      <c r="C149" s="21" t="s">
        <v>202</v>
      </c>
      <c r="D149" s="21" t="s">
        <v>896</v>
      </c>
      <c r="E149" s="13">
        <v>42918.889537037037</v>
      </c>
      <c r="F149" s="13">
        <v>42918.894212962965</v>
      </c>
      <c r="G149" s="7">
        <v>0</v>
      </c>
      <c r="H149" s="21" t="s">
        <v>469</v>
      </c>
      <c r="I149" s="13">
        <v>42918.924050925925</v>
      </c>
      <c r="J149" s="7">
        <v>0</v>
      </c>
      <c r="K149" s="89" t="str">
        <f t="shared" si="57"/>
        <v>4045/4046</v>
      </c>
      <c r="L149" s="21" t="str">
        <f>VLOOKUP(A149,'Trips&amp;Operators'!$C$1:$G$99999,5,FALSE)</f>
        <v>HAITHCOX MICHAEL</v>
      </c>
      <c r="M149" s="6">
        <f t="shared" si="58"/>
        <v>2.9837962960300501E-2</v>
      </c>
      <c r="N149" s="7">
        <f t="shared" si="59"/>
        <v>42.966666662832722</v>
      </c>
      <c r="O149" s="7"/>
      <c r="P149" s="7"/>
      <c r="Q149" s="22"/>
      <c r="R149" s="170"/>
      <c r="S149" s="213">
        <f t="shared" si="56"/>
        <v>1</v>
      </c>
      <c r="T149" s="195" t="str">
        <f t="shared" si="60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1"/>
        <v>https://d0f6bd738d7f1b3e5a7ca70fe4ff75f0.us-east-1.aws.found.io/app/kibana#/discover/Steve-Slow-Train-Analysis-(2080s-and-2083s)?_g=(refreshInterval:(display:Off,pause:!f,section:0,value:0),time:(from:'2017-07-02T20:20:56-0600',mode:absolute,to:'2017-07-02T23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97" t="str">
        <f>IF(AA149&lt;VLOOKUP(AG149,Variables!$AC$3:$AD$8,2,FALSE),"Y","N")</f>
        <v>N</v>
      </c>
      <c r="X149" s="197">
        <f t="shared" si="53"/>
        <v>1</v>
      </c>
      <c r="Y149" s="197">
        <f t="shared" si="62"/>
        <v>23.297499999999999</v>
      </c>
      <c r="Z149" s="197">
        <f t="shared" si="63"/>
        <v>1.61E-2</v>
      </c>
      <c r="AA149" s="197">
        <f t="shared" si="64"/>
        <v>23.281399999999998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5"/>
        <v>228</v>
      </c>
      <c r="AE149" s="77" t="str">
        <f t="shared" si="66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49" s="74" t="str">
        <f t="shared" si="67"/>
        <v>"C:\Program Files (x86)\AstroGrep\AstroGrep.exe" /e /r /s /spath="%USERPROFILE%\AppData\Local\Temp\OnboardLogs" /stypes="app*4045*20170703*" /stext=" 04:.+((SYSTEM_STATE.+slice.+state.+changed )|(ment ac)|(multiple cpu faults)|(system.+state.+changed )|(\[timeout)|(PRM\|1\|D)|(kpr)|(kdp)|(train st.+moving)|(\|lc)|(penalty))"</v>
      </c>
      <c r="AG149" s="209" t="str">
        <f t="shared" si="68"/>
        <v>EC</v>
      </c>
      <c r="AH149" s="78" t="str">
        <f t="shared" si="69"/>
        <v>"%USERPROFILE%\Documents\GitHub\eaglep3\Utilities\RefineRTDCRunTimes.py" --tripid 228-02 --locoid 4045 --swversion DE.1.0.9.0 --startMP 204:232975 --initTime 2017-07-02T21:20:56 --startdatetime 2017-07-02T21:27:40 --delay 0 --endMP 204:161 --enddatetime 2017-07-02T22:10:38 --enforcementcount 0 &gt;&gt;C:\Users\stu\Documents\GitHub\eaglep3-reporting\EC\2017-07-02-refined-times.txt</v>
      </c>
      <c r="AI149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{"issue":{"subject":"","project_id":79,"tracker_id":40,"status_id":1,"priority_id":2,"assigned_to_id":23,"start_date":"2017-07-02","description":"","custom_fields":[{"id":1,"name":"Subdivision","value":"EC"},{"id":4,"name":"Milepost","value":"0.0161"},{"id":17,"name":"Train ID","value":"228-02"},{"id":16,"name":"Locomotive ID","value":"4045"},{"id":130,"name":"Impact","value":""},{"id":150,"name":"Time of Event (Mountain Time)","value":"22:10:38"},{"id":151,"name":"Denver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1"/>
        <v>start /low /b %USERPROFILE%\Documents\GitHub\eaglep3\Utilities\DownloadLogsFromS3.py --loco 4045 --day 2017-07-02</v>
      </c>
      <c r="AN149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04:10:38"},{"id":29,"name":"Sharepoint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678</v>
      </c>
      <c r="B150" s="7">
        <v>4042</v>
      </c>
      <c r="C150" s="21" t="s">
        <v>202</v>
      </c>
      <c r="D150" s="21" t="s">
        <v>972</v>
      </c>
      <c r="E150" s="13">
        <v>42918.860127314816</v>
      </c>
      <c r="F150" s="13">
        <v>42918.875717592593</v>
      </c>
      <c r="G150" s="7">
        <v>1</v>
      </c>
      <c r="H150" s="21" t="s">
        <v>973</v>
      </c>
      <c r="I150" s="13">
        <v>42918.901539351849</v>
      </c>
      <c r="J150" s="7">
        <v>0</v>
      </c>
      <c r="K150" s="89" t="str">
        <f t="shared" si="57"/>
        <v>4041/4042</v>
      </c>
      <c r="L150" s="21" t="str">
        <f>VLOOKUP(A150,'Trips&amp;Operators'!$C$1:$G$99999,5,FALSE)</f>
        <v>STAMBAUGH JAMES</v>
      </c>
      <c r="M150" s="6">
        <f t="shared" si="58"/>
        <v>2.5821759256359655E-2</v>
      </c>
      <c r="N150" s="7">
        <f t="shared" si="59"/>
        <v>37.183333329157904</v>
      </c>
      <c r="O150" s="7"/>
      <c r="P150" s="7"/>
      <c r="Q150" s="22"/>
      <c r="R150" s="170"/>
      <c r="S150" s="213">
        <f t="shared" si="56"/>
        <v>1</v>
      </c>
      <c r="T150" s="195" t="str">
        <f t="shared" si="60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1"/>
        <v>https://d0f6bd738d7f1b3e5a7ca70fe4ff75f0.us-east-1.aws.found.io/app/kibana#/discover/Steve-Slow-Train-Analysis-(2080s-and-2083s)?_g=(refreshInterval:(display:Off,pause:!f,section:0,value:0),time:(from:'2017-07-02T19:38:35-0600',mode:absolute,to:'2017-07-02T22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0" s="197" t="str">
        <f>IF(AA150&lt;VLOOKUP(AG150,Variables!$AC$3:$AD$8,2,FALSE),"Y","N")</f>
        <v>N</v>
      </c>
      <c r="X150" s="197">
        <f t="shared" ref="X150:X162" si="73">VALUE(LEFT(AD150,4))-VALUE(LEFT(AD149,4))</f>
        <v>1</v>
      </c>
      <c r="Y150" s="197">
        <f t="shared" si="62"/>
        <v>4.8800000000000003E-2</v>
      </c>
      <c r="Z150" s="197">
        <f t="shared" si="63"/>
        <v>23.342199999999998</v>
      </c>
      <c r="AA150" s="197">
        <f t="shared" si="64"/>
        <v>23.293399999999998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5"/>
        <v>229</v>
      </c>
      <c r="AE150" s="77" t="str">
        <f t="shared" si="66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50" s="74" t="str">
        <f t="shared" si="67"/>
        <v>"C:\Program Files (x86)\AstroGrep\AstroGrep.exe" /e /r /s /spath="%USERPROFILE%\AppData\Local\Temp\OnboardLogs" /stypes="app*4042*20170703*" /stext=" 03:.+((SYSTEM_STATE.+slice.+state.+changed )|(ment ac)|(multiple cpu faults)|(system.+state.+changed )|(\[timeout)|(PRM\|1\|D)|(kpr)|(kdp)|(train st.+moving)|(\|lc)|(penalty))"</v>
      </c>
      <c r="AG150" s="209" t="str">
        <f t="shared" si="68"/>
        <v>EC</v>
      </c>
      <c r="AH150" s="78" t="str">
        <f t="shared" si="69"/>
        <v>"%USERPROFILE%\Documents\GitHub\eaglep3\Utilities\RefineRTDCRunTimes.py" --tripid 229-02 --locoid 4042 --swversion DE.1.0.9.0 --startMP 204:488 --initTime 2017-07-02T20:38:35 --startdatetime 2017-07-02T21:01:02 --delay 1 --endMP 204:233422 --enddatetime 2017-07-02T21:38:13 --enforcementcount 0 &gt;&gt;C:\Users\stu\Documents\GitHub\eaglep3-reporting\EC\2017-07-02-refined-times.txt</v>
      </c>
      <c r="AI150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{"issue":{"subject":"","project_id":79,"tracker_id":40,"status_id":1,"priority_id":2,"assigned_to_id":23,"start_date":"2017-07-02","description":"","custom_fields":[{"id":1,"name":"Subdivision","value":"EC"},{"id":4,"name":"Milepost","value":"23.3422"},{"id":17,"name":"Train ID","value":"229-02"},{"id":16,"name":"Locomotive ID","value":"4042"},{"id":130,"name":"Impact","value":""},{"id":150,"name":"Time of Event (Mountain Time)","value":"21:38:13"},{"id":151,"name":"Denver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1"/>
        <v>start /low /b %USERPROFILE%\Documents\GitHub\eaglep3\Utilities\DownloadLogsFromS3.py --loco 4042 --day 2017-07-02</v>
      </c>
      <c r="AN150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846</v>
      </c>
      <c r="B151" s="7">
        <v>4041</v>
      </c>
      <c r="C151" s="21" t="s">
        <v>202</v>
      </c>
      <c r="D151" s="21" t="s">
        <v>974</v>
      </c>
      <c r="E151" s="13">
        <v>42918.910949074074</v>
      </c>
      <c r="F151" s="13">
        <v>42918.915023148147</v>
      </c>
      <c r="G151" s="7">
        <v>2</v>
      </c>
      <c r="H151" s="21" t="s">
        <v>356</v>
      </c>
      <c r="I151" s="13">
        <v>42918.943356481483</v>
      </c>
      <c r="J151" s="7">
        <v>0</v>
      </c>
      <c r="K151" s="89" t="str">
        <f t="shared" si="57"/>
        <v>4041/4042</v>
      </c>
      <c r="L151" s="21" t="str">
        <f>VLOOKUP(A151,'Trips&amp;Operators'!$C$1:$G$99999,5,FALSE)</f>
        <v>STAMBAUGH JAMES</v>
      </c>
      <c r="M151" s="6">
        <f t="shared" si="58"/>
        <v>2.8333333335467614E-2</v>
      </c>
      <c r="N151" s="7">
        <f t="shared" si="59"/>
        <v>40.800000003073364</v>
      </c>
      <c r="O151" s="7"/>
      <c r="P151" s="7"/>
      <c r="Q151" s="22"/>
      <c r="R151" s="170"/>
      <c r="S151" s="213">
        <f t="shared" si="56"/>
        <v>1</v>
      </c>
      <c r="T151" s="195" t="str">
        <f t="shared" si="60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1"/>
        <v>https://d0f6bd738d7f1b3e5a7ca70fe4ff75f0.us-east-1.aws.found.io/app/kibana#/discover/Steve-Slow-Train-Analysis-(2080s-and-2083s)?_g=(refreshInterval:(display:Off,pause:!f,section:0,value:0),time:(from:'2017-07-02T20:51:46-0600',mode:absolute,to:'2017-07-02T23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1" s="197" t="str">
        <f>IF(AA151&lt;VLOOKUP(AG151,Variables!$AC$3:$AD$8,2,FALSE),"Y","N")</f>
        <v>N</v>
      </c>
      <c r="X151" s="197">
        <f t="shared" si="73"/>
        <v>1</v>
      </c>
      <c r="Y151" s="197">
        <f t="shared" si="62"/>
        <v>23.312999999999999</v>
      </c>
      <c r="Z151" s="197">
        <f t="shared" si="63"/>
        <v>1.3899999999999999E-2</v>
      </c>
      <c r="AA151" s="197">
        <f t="shared" si="64"/>
        <v>23.299099999999999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5"/>
        <v>230</v>
      </c>
      <c r="AE151" s="77" t="str">
        <f t="shared" si="66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51" s="74" t="str">
        <f t="shared" si="67"/>
        <v>"C:\Program Files (x86)\AstroGrep\AstroGrep.exe" /e /r /s /spath="%USERPROFILE%\AppData\Local\Temp\OnboardLogs" /stypes="app*4041*20170703*" /stext=" 04:.+((SYSTEM_STATE.+slice.+state.+changed )|(ment ac)|(multiple cpu faults)|(system.+state.+changed )|(\[timeout)|(PRM\|1\|D)|(kpr)|(kdp)|(train st.+moving)|(\|lc)|(penalty))"</v>
      </c>
      <c r="AG151" s="209" t="str">
        <f t="shared" si="68"/>
        <v>EC</v>
      </c>
      <c r="AH151" s="78" t="str">
        <f t="shared" si="69"/>
        <v>"%USERPROFILE%\Documents\GitHub\eaglep3\Utilities\RefineRTDCRunTimes.py" --tripid 230-02 --locoid 4041 --swversion DE.1.0.9.0 --startMP 204:233130 --initTime 2017-07-02T21:51:46 --startdatetime 2017-07-02T21:57:38 --delay 2 --endMP 204:139 --enddatetime 2017-07-02T22:38:26 --enforcementcount 0 &gt;&gt;C:\Users\stu\Documents\GitHub\eaglep3-reporting\EC\2017-07-02-refined-times.txt</v>
      </c>
      <c r="AI151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{"issue":{"subject":"","project_id":79,"tracker_id":40,"status_id":1,"priority_id":2,"assigned_to_id":23,"start_date":"2017-07-02","description":"","custom_fields":[{"id":1,"name":"Subdivision","value":"EC"},{"id":4,"name":"Milepost","value":"0.0139"},{"id":17,"name":"Train ID","value":"230-02"},{"id":16,"name":"Locomotive ID","value":"4041"},{"id":130,"name":"Impact","value":""},{"id":150,"name":"Time of Event (Mountain Time)","value":"22:38:26"},{"id":151,"name":"Denver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1"/>
        <v>start /low /b %USERPROFILE%\Documents\GitHub\eaglep3\Utilities\DownloadLogsFromS3.py --loco 4041 --day 2017-07-02</v>
      </c>
      <c r="AN151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843</v>
      </c>
      <c r="B152" s="7">
        <v>4016</v>
      </c>
      <c r="C152" s="21" t="s">
        <v>202</v>
      </c>
      <c r="D152" s="21" t="s">
        <v>472</v>
      </c>
      <c r="E152" s="13">
        <v>42918.886736111112</v>
      </c>
      <c r="F152" s="13">
        <v>42918.896354166667</v>
      </c>
      <c r="G152" s="7">
        <v>1</v>
      </c>
      <c r="H152" s="21" t="s">
        <v>548</v>
      </c>
      <c r="I152" s="13">
        <v>42918.92396990741</v>
      </c>
      <c r="J152" s="7">
        <v>0</v>
      </c>
      <c r="K152" s="89" t="str">
        <f t="shared" si="57"/>
        <v>4015/4016</v>
      </c>
      <c r="L152" s="21" t="str">
        <f>VLOOKUP(A152,'Trips&amp;Operators'!$C$1:$G$99999,5,FALSE)</f>
        <v>SMITH MICHAEL</v>
      </c>
      <c r="M152" s="6">
        <f t="shared" si="58"/>
        <v>2.7615740742476191E-2</v>
      </c>
      <c r="N152" s="7">
        <f t="shared" si="59"/>
        <v>39.766666669165716</v>
      </c>
      <c r="O152" s="7"/>
      <c r="P152" s="7"/>
      <c r="Q152" s="22"/>
      <c r="R152" s="170"/>
      <c r="S152" s="213">
        <f t="shared" si="56"/>
        <v>1</v>
      </c>
      <c r="T152" s="195" t="str">
        <f t="shared" si="60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1"/>
        <v>https://d0f6bd738d7f1b3e5a7ca70fe4ff75f0.us-east-1.aws.found.io/app/kibana#/discover/Steve-Slow-Train-Analysis-(2080s-and-2083s)?_g=(refreshInterval:(display:Off,pause:!f,section:0,value:0),time:(from:'2017-07-02T20:16:54-0600',mode:absolute,to:'2017-07-02T23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2" s="197" t="str">
        <f>IF(AA152&lt;VLOOKUP(AG152,Variables!$AC$3:$AD$8,2,FALSE),"Y","N")</f>
        <v>N</v>
      </c>
      <c r="X152" s="197">
        <f t="shared" si="73"/>
        <v>1</v>
      </c>
      <c r="Y152" s="197">
        <f t="shared" si="62"/>
        <v>4.58E-2</v>
      </c>
      <c r="Z152" s="197">
        <f t="shared" si="63"/>
        <v>23.33</v>
      </c>
      <c r="AA152" s="197">
        <f t="shared" si="64"/>
        <v>23.284199999999998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5"/>
        <v>231</v>
      </c>
      <c r="AE152" s="77" t="str">
        <f t="shared" si="6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152" s="74" t="str">
        <f t="shared" si="67"/>
        <v>"C:\Program Files (x86)\AstroGrep\AstroGrep.exe" /e /r /s /spath="%USERPROFILE%\AppData\Local\Temp\OnboardLogs" /stypes="app*4016*20170703*" /stext=" 04:.+((SYSTEM_STATE.+slice.+state.+changed )|(ment ac)|(multiple cpu faults)|(system.+state.+changed )|(\[timeout)|(PRM\|1\|D)|(kpr)|(kdp)|(train st.+moving)|(\|lc)|(penalty))"</v>
      </c>
      <c r="AG152" s="209" t="str">
        <f t="shared" si="68"/>
        <v>EC</v>
      </c>
      <c r="AH152" s="78" t="str">
        <f t="shared" si="69"/>
        <v>"%USERPROFILE%\Documents\GitHub\eaglep3\Utilities\RefineRTDCRunTimes.py" --tripid 231-02 --locoid 4016 --swversion DE.1.0.9.0 --startMP 204:458 --initTime 2017-07-02T21:16:54 --startdatetime 2017-07-02T21:30:45 --delay 1 --endMP 204:233300 --enddatetime 2017-07-02T22:10:31 --enforcementcount 0 &gt;&gt;C:\Users\stu\Documents\GitHub\eaglep3-reporting\EC\2017-07-02-refined-times.txt</v>
      </c>
      <c r="AI152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{"issue":{"subject":"","project_id":79,"tracker_id":40,"status_id":1,"priority_id":2,"assigned_to_id":23,"start_date":"2017-07-02","description":"","custom_fields":[{"id":1,"name":"Subdivision","value":"EC"},{"id":4,"name":"Milepost","value":"23.33"},{"id":17,"name":"Train ID","value":"231-02"},{"id":16,"name":"Locomotive ID","value":"4016"},{"id":130,"name":"Impact","value":""},{"id":150,"name":"Time of Event (Mountain Time)","value":"22:10:31"},{"id":151,"name":"Denver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1"/>
        <v>start /low /b %USERPROFILE%\Documents\GitHub\eaglep3\Utilities\DownloadLogsFromS3.py --loco 4016 --day 2017-07-02</v>
      </c>
      <c r="AN15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849</v>
      </c>
      <c r="B153" s="7">
        <v>4015</v>
      </c>
      <c r="C153" s="21" t="s">
        <v>202</v>
      </c>
      <c r="D153" s="21" t="s">
        <v>975</v>
      </c>
      <c r="E153" s="13">
        <v>42918.929050925923</v>
      </c>
      <c r="F153" s="13">
        <v>42918.935601851852</v>
      </c>
      <c r="G153" s="7">
        <v>2</v>
      </c>
      <c r="H153" s="21" t="s">
        <v>348</v>
      </c>
      <c r="I153" s="13">
        <v>42918.966180555559</v>
      </c>
      <c r="J153" s="7">
        <v>0</v>
      </c>
      <c r="K153" s="89" t="str">
        <f t="shared" si="57"/>
        <v>4015/4016</v>
      </c>
      <c r="L153" s="21" t="str">
        <f>VLOOKUP(A153,'Trips&amp;Operators'!$C$1:$G$99999,5,FALSE)</f>
        <v>SMITH MICHAEL</v>
      </c>
      <c r="M153" s="6">
        <f t="shared" si="58"/>
        <v>3.0578703706851229E-2</v>
      </c>
      <c r="N153" s="7">
        <f t="shared" si="59"/>
        <v>44.03333333786577</v>
      </c>
      <c r="O153" s="7"/>
      <c r="P153" s="7"/>
      <c r="Q153" s="22"/>
      <c r="R153" s="170"/>
      <c r="S153" s="213">
        <f t="shared" si="56"/>
        <v>1</v>
      </c>
      <c r="T153" s="195" t="str">
        <f t="shared" si="60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1"/>
        <v>https://d0f6bd738d7f1b3e5a7ca70fe4ff75f0.us-east-1.aws.found.io/app/kibana#/discover/Steve-Slow-Train-Analysis-(2080s-and-2083s)?_g=(refreshInterval:(display:Off,pause:!f,section:0,value:0),time:(from:'2017-07-02T21:17:50-0600',mode:absolute,to:'2017-07-03T00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3" s="197" t="str">
        <f>IF(AA153&lt;VLOOKUP(AG153,Variables!$AC$3:$AD$8,2,FALSE),"Y","N")</f>
        <v>N</v>
      </c>
      <c r="X153" s="197">
        <f t="shared" si="73"/>
        <v>1</v>
      </c>
      <c r="Y153" s="197">
        <f t="shared" si="62"/>
        <v>23.299099999999999</v>
      </c>
      <c r="Z153" s="197">
        <f t="shared" si="63"/>
        <v>1.4999999999999999E-2</v>
      </c>
      <c r="AA153" s="197">
        <f t="shared" si="64"/>
        <v>23.284099999999999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5"/>
        <v>232</v>
      </c>
      <c r="AE153" s="77" t="str">
        <f t="shared" si="66"/>
        <v>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 &amp; 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</v>
      </c>
      <c r="AF153" s="74" t="str">
        <f t="shared" si="67"/>
        <v>"C:\Program Files (x86)\AstroGrep\AstroGrep.exe" /e /r /s /spath="%USERPROFILE%\AppData\Local\Temp\OnboardLogs" /stypes="app*4015*20170703*" /stext=" 05:.+((SYSTEM_STATE.+slice.+state.+changed )|(ment ac)|(multiple cpu faults)|(system.+state.+changed )|(\[timeout)|(PRM\|1\|D)|(kpr)|(kdp)|(train st.+moving)|(\|lc)|(penalty))"</v>
      </c>
      <c r="AG153" s="209" t="str">
        <f t="shared" si="68"/>
        <v>EC</v>
      </c>
      <c r="AH153" s="78" t="str">
        <f t="shared" si="69"/>
        <v>"%USERPROFILE%\Documents\GitHub\eaglep3\Utilities\RefineRTDCRunTimes.py" --tripid 232-02 --locoid 4015 --swversion DE.1.0.9.0 --startMP 204:232991 --initTime 2017-07-02T22:17:50 --startdatetime 2017-07-02T22:27:16 --delay 2 --endMP 204:150 --enddatetime 2017-07-02T23:11:18 --enforcementcount 0 &gt;&gt;C:\Users\stu\Documents\GitHub\eaglep3-reporting\EC\2017-07-02-refined-times.txt</v>
      </c>
      <c r="AI153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{"issue":{"subject":"","project_id":79,"tracker_id":40,"status_id":1,"priority_id":2,"assigned_to_id":23,"start_date":"2017-07-02","description":"","custom_fields":[{"id":1,"name":"Subdivision","value":"EC"},{"id":4,"name":"Milepost","value":"0.015"},{"id":17,"name":"Train ID","value":"232-02"},{"id":16,"name":"Locomotive ID","value":"4015"},{"id":130,"name":"Impact","value":""},{"id":150,"name":"Time of Event (Mountain Time)","value":"23:11:18"},{"id":151,"name":"Denver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1"/>
        <v>start /low /b %USERPROFILE%\Documents\GitHub\eaglep3\Utilities\DownloadLogsFromS3.py --loco 4015 --day 2017-07-02</v>
      </c>
      <c r="AN153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05:11:18"},{"id":29,"name":"Sharepoint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847</v>
      </c>
      <c r="B154" s="7">
        <v>4044</v>
      </c>
      <c r="C154" s="21" t="s">
        <v>202</v>
      </c>
      <c r="D154" s="21" t="s">
        <v>976</v>
      </c>
      <c r="E154" s="13">
        <v>42918.911550925928</v>
      </c>
      <c r="F154" s="13">
        <v>42918.916493055556</v>
      </c>
      <c r="G154" s="7">
        <v>4</v>
      </c>
      <c r="H154" s="21" t="s">
        <v>863</v>
      </c>
      <c r="I154" s="13">
        <v>42918.943391203706</v>
      </c>
      <c r="J154" s="7">
        <v>0</v>
      </c>
      <c r="K154" s="89" t="str">
        <f t="shared" si="57"/>
        <v>4043/4044</v>
      </c>
      <c r="L154" s="21" t="str">
        <f>VLOOKUP(A154,'Trips&amp;Operators'!$C$1:$G$99999,5,FALSE)</f>
        <v>PERKINS DARREN</v>
      </c>
      <c r="M154" s="6">
        <f t="shared" si="58"/>
        <v>2.6898148149484769E-2</v>
      </c>
      <c r="N154" s="7">
        <f t="shared" si="59"/>
        <v>38.733333335258067</v>
      </c>
      <c r="O154" s="7"/>
      <c r="P154" s="7"/>
      <c r="Q154" s="22"/>
      <c r="R154" s="170"/>
      <c r="S154" s="213">
        <f t="shared" si="56"/>
        <v>1</v>
      </c>
      <c r="T154" s="195" t="str">
        <f t="shared" si="60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1"/>
        <v>https://d0f6bd738d7f1b3e5a7ca70fe4ff75f0.us-east-1.aws.found.io/app/kibana#/discover/Steve-Slow-Train-Analysis-(2080s-and-2083s)?_g=(refreshInterval:(display:Off,pause:!f,section:0,value:0),time:(from:'2017-07-02T20:52:38-0600',mode:absolute,to:'2017-07-02T23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197" t="str">
        <f>IF(AA154&lt;VLOOKUP(AG154,Variables!$AC$3:$AD$8,2,FALSE),"Y","N")</f>
        <v>N</v>
      </c>
      <c r="X154" s="197">
        <f t="shared" si="73"/>
        <v>1</v>
      </c>
      <c r="Y154" s="197">
        <f t="shared" si="62"/>
        <v>5.3499999999999999E-2</v>
      </c>
      <c r="Z154" s="197">
        <f t="shared" si="63"/>
        <v>23.329899999999999</v>
      </c>
      <c r="AA154" s="197">
        <f t="shared" si="64"/>
        <v>23.276399999999999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5"/>
        <v>233</v>
      </c>
      <c r="AE154" s="77" t="str">
        <f t="shared" si="66"/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AF154" s="74" t="str">
        <f t="shared" si="67"/>
        <v>"C:\Program Files (x86)\AstroGrep\AstroGrep.exe" /e /r /s /spath="%USERPROFILE%\AppData\Local\Temp\OnboardLogs" /stypes="app*4044*20170703*" /stext=" 04:.+((SYSTEM_STATE.+slice.+state.+changed )|(ment ac)|(multiple cpu faults)|(system.+state.+changed )|(\[timeout)|(PRM\|1\|D)|(kpr)|(kdp)|(train st.+moving)|(\|lc)|(penalty))"</v>
      </c>
      <c r="AG154" s="209" t="str">
        <f t="shared" si="68"/>
        <v>EC</v>
      </c>
      <c r="AH154" s="78" t="str">
        <f t="shared" si="69"/>
        <v>"%USERPROFILE%\Documents\GitHub\eaglep3\Utilities\RefineRTDCRunTimes.py" --tripid 233-02 --locoid 4044 --swversion DE.1.0.9.0 --startMP 204:535 --initTime 2017-07-02T21:52:38 --startdatetime 2017-07-02T21:59:45 --delay 4 --endMP 204:233299 --enddatetime 2017-07-02T22:38:29 --enforcementcount 0 &gt;&gt;C:\Users\stu\Documents\GitHub\eaglep3-reporting\EC\2017-07-02-refined-times.txt</v>
      </c>
      <c r="AI154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{"issue":{"subject":"","project_id":79,"tracker_id":40,"status_id":1,"priority_id":2,"assigned_to_id":23,"start_date":"2017-07-02","description":"","custom_fields":[{"id":1,"name":"Subdivision","value":"EC"},{"id":4,"name":"Milepost","value":"23.3299"},{"id":17,"name":"Train ID","value":"233-02"},{"id":16,"name":"Locomotive ID","value":"4044"},{"id":130,"name":"Impact","value":""},{"id":150,"name":"Time of Event (Mountain Time)","value":"22:38:29"},{"id":151,"name":"Denver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1"/>
        <v>start /low /b %USERPROFILE%\Documents\GitHub\eaglep3\Utilities\DownloadLogsFromS3.py --loco 4044 --day 2017-07-02</v>
      </c>
      <c r="AN154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852</v>
      </c>
      <c r="B155" s="7">
        <v>4043</v>
      </c>
      <c r="C155" s="21" t="s">
        <v>202</v>
      </c>
      <c r="D155" s="21" t="s">
        <v>545</v>
      </c>
      <c r="E155" s="13">
        <v>42918.945706018516</v>
      </c>
      <c r="F155" s="13">
        <v>42918.956435185188</v>
      </c>
      <c r="G155" s="7">
        <v>1</v>
      </c>
      <c r="H155" s="21" t="s">
        <v>359</v>
      </c>
      <c r="I155" s="13">
        <v>42918.991319444445</v>
      </c>
      <c r="J155" s="7">
        <v>0</v>
      </c>
      <c r="K155" s="89" t="str">
        <f t="shared" si="57"/>
        <v>4043/4044</v>
      </c>
      <c r="L155" s="21" t="str">
        <f>VLOOKUP(A155,'Trips&amp;Operators'!$C$1:$G$99999,5,FALSE)</f>
        <v>PERKINS DARREN</v>
      </c>
      <c r="M155" s="6">
        <f t="shared" si="58"/>
        <v>3.4884259257523809E-2</v>
      </c>
      <c r="N155" s="7">
        <f t="shared" si="59"/>
        <v>50.233333330834284</v>
      </c>
      <c r="O155" s="7"/>
      <c r="P155" s="7"/>
      <c r="Q155" s="22"/>
      <c r="R155" s="170"/>
      <c r="S155" s="213">
        <f t="shared" si="56"/>
        <v>1</v>
      </c>
      <c r="T155" s="195" t="str">
        <f t="shared" si="60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1"/>
        <v>https://d0f6bd738d7f1b3e5a7ca70fe4ff75f0.us-east-1.aws.found.io/app/kibana#/discover/Steve-Slow-Train-Analysis-(2080s-and-2083s)?_g=(refreshInterval:(display:Off,pause:!f,section:0,value:0),time:(from:'2017-07-02T21:41:49-0600',mode:absolute,to:'2017-07-03T00:47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197" t="str">
        <f>IF(AA155&lt;VLOOKUP(AG155,Variables!$AC$3:$AD$8,2,FALSE),"Y","N")</f>
        <v>N</v>
      </c>
      <c r="X155" s="197">
        <f t="shared" si="73"/>
        <v>1</v>
      </c>
      <c r="Y155" s="197">
        <f t="shared" si="62"/>
        <v>23.299199999999999</v>
      </c>
      <c r="Z155" s="197">
        <f t="shared" si="63"/>
        <v>1.47E-2</v>
      </c>
      <c r="AA155" s="197">
        <f t="shared" si="64"/>
        <v>23.284499999999998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5"/>
        <v>234</v>
      </c>
      <c r="AE155" s="77" t="str">
        <f t="shared" si="66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155" s="74" t="str">
        <f t="shared" si="67"/>
        <v>"C:\Program Files (x86)\AstroGrep\AstroGrep.exe" /e /r /s /spath="%USERPROFILE%\AppData\Local\Temp\OnboardLogs" /stypes="app*4043*20170703*" /stext=" 05:.+((SYSTEM_STATE.+slice.+state.+changed )|(ment ac)|(multiple cpu faults)|(system.+state.+changed )|(\[timeout)|(PRM\|1\|D)|(kpr)|(kdp)|(train st.+moving)|(\|lc)|(penalty))"</v>
      </c>
      <c r="AG155" s="209" t="str">
        <f t="shared" si="68"/>
        <v>EC</v>
      </c>
      <c r="AH155" s="78" t="str">
        <f t="shared" si="69"/>
        <v>"%USERPROFILE%\Documents\GitHub\eaglep3\Utilities\RefineRTDCRunTimes.py" --tripid 234-02 --locoid 4043 --swversion DE.1.0.9.0 --startMP 204:232992 --initTime 2017-07-02T22:41:49 --startdatetime 2017-07-02T22:57:16 --delay 1 --endMP 204:147 --enddatetime 2017-07-02T23:47:30 --enforcementcount 0 &gt;&gt;C:\Users\stu\Documents\GitHub\eaglep3-reporting\EC\2017-07-02-refined-times.txt</v>
      </c>
      <c r="AI155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{"issue":{"subject":"","project_id":79,"tracker_id":40,"status_id":1,"priority_id":2,"assigned_to_id":23,"start_date":"2017-07-02","description":"","custom_fields":[{"id":1,"name":"Subdivision","value":"EC"},{"id":4,"name":"Milepost","value":"0.0147"},{"id":17,"name":"Train ID","value":"234-02"},{"id":16,"name":"Locomotive ID","value":"4043"},{"id":130,"name":"Impact","value":""},{"id":150,"name":"Time of Event (Mountain Time)","value":"23:47:30"},{"id":151,"name":"Denver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1"/>
        <v>start /low /b %USERPROFILE%\Documents\GitHub\eaglep3\Utilities\DownloadLogsFromS3.py --loco 4043 --day 2017-07-02</v>
      </c>
      <c r="AN155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05:47:30"},{"id":29,"name":"Sharepoint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848</v>
      </c>
      <c r="B156" s="7">
        <v>4046</v>
      </c>
      <c r="C156" s="21" t="s">
        <v>202</v>
      </c>
      <c r="D156" s="21" t="s">
        <v>592</v>
      </c>
      <c r="E156" s="13">
        <v>42918.927523148152</v>
      </c>
      <c r="F156" s="13">
        <v>42918.928414351853</v>
      </c>
      <c r="G156" s="7">
        <v>1</v>
      </c>
      <c r="H156" s="21" t="s">
        <v>977</v>
      </c>
      <c r="I156" s="13">
        <v>42918.946458333332</v>
      </c>
      <c r="J156" s="7">
        <v>0</v>
      </c>
      <c r="K156" s="89" t="str">
        <f t="shared" si="57"/>
        <v>4045/4046</v>
      </c>
      <c r="L156" s="21" t="str">
        <f>VLOOKUP(A156,'Trips&amp;Operators'!$C$1:$G$99999,5,FALSE)</f>
        <v>HAITHCOX MICHAEL</v>
      </c>
      <c r="M156" s="6">
        <f t="shared" si="58"/>
        <v>1.8043981479422655E-2</v>
      </c>
      <c r="N156" s="7"/>
      <c r="O156" s="7"/>
      <c r="P156" s="7">
        <f>24*60*SUM($M156:$M156)</f>
        <v>25.983333330368623</v>
      </c>
      <c r="Q156" s="22"/>
      <c r="R156" s="170" t="s">
        <v>507</v>
      </c>
      <c r="S156" s="213">
        <f t="shared" si="56"/>
        <v>0.25</v>
      </c>
      <c r="T156" s="195" t="str">
        <f t="shared" si="60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3</v>
      </c>
      <c r="V156" s="196" t="str">
        <f t="shared" si="61"/>
        <v>https://d0f6bd738d7f1b3e5a7ca70fe4ff75f0.us-east-1.aws.found.io/app/kibana#/discover/Steve-Slow-Train-Analysis-(2080s-and-2083s)?_g=(refreshInterval:(display:Off,pause:!f,section:0,value:0),time:(from:'2017-07-02T21:15:38-0600',mode:absolute,to:'2017-07-02T23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97" t="str">
        <f>IF(AA156&lt;VLOOKUP(AG156,Variables!$AC$3:$AD$8,2,FALSE),"Y","N")</f>
        <v>Y</v>
      </c>
      <c r="X156" s="197">
        <f t="shared" si="73"/>
        <v>1</v>
      </c>
      <c r="Y156" s="197">
        <f t="shared" si="62"/>
        <v>4.7800000000000002E-2</v>
      </c>
      <c r="Z156" s="197">
        <f t="shared" si="63"/>
        <v>4.1535000000000002</v>
      </c>
      <c r="AA156" s="197">
        <f t="shared" si="64"/>
        <v>4.1057000000000006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5"/>
        <v>235</v>
      </c>
      <c r="AE156" s="77" t="str">
        <f t="shared" si="66"/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AF156" s="74" t="str">
        <f t="shared" si="67"/>
        <v>"C:\Program Files (x86)\AstroGrep\AstroGrep.exe" /e /r /s /spath="%USERPROFILE%\AppData\Local\Temp\OnboardLogs" /stypes="app*4046*20170703*" /stext=" 04:.+((SYSTEM_STATE.+slice.+state.+changed )|(ment ac)|(multiple cpu faults)|(system.+state.+changed )|(\[timeout)|(PRM\|1\|D)|(kpr)|(kdp)|(train st.+moving)|(\|lc)|(penalty))"</v>
      </c>
      <c r="AG156" s="209" t="str">
        <f t="shared" si="68"/>
        <v>EC</v>
      </c>
      <c r="AH156" s="78" t="str">
        <f t="shared" si="69"/>
        <v>"%USERPROFILE%\Documents\GitHub\eaglep3\Utilities\RefineRTDCRunTimes.py" --tripid 235-02 --locoid 4046 --swversion DE.1.0.9.0 --startMP 204:478 --initTime 2017-07-02T22:15:38 --startdatetime 2017-07-02T22:16:55 --delay 1 --endMP 204:41535 --enddatetime 2017-07-02T22:42:54 --enforcementcount 0 &gt;&gt;C:\Users\stu\Documents\GitHub\eaglep3-reporting\EC\2017-07-02-refined-times.txt</v>
      </c>
      <c r="AI156" s="96" t="str">
        <f t="shared" si="70"/>
        <v>echo {"issue":{"subject":"Onboard in-route failure","project_id":79,"tracker_id":40,"status_id":1,"priority_id":2,"assigned_to_id":23,"start_date":"2017-07-02","description":"","custom_fields":[{"id":1,"name":"Subdivision","value":"EC"},{"id":4,"name":"Milepost","value":"4.1535"},{"id":17,"name":"Train ID","value":"235-02"},{"id":16,"name":"Locomotive ID","value":"4046"},{"id":130,"name":"Impact","value":""},{"id":150,"name":"Time of Event (Mountain Time)","value":"22:42:54"},{"id":151,"name":"Denver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1"/>
        <v>start /low /b %USERPROFILE%\Documents\GitHub\eaglep3\Utilities\DownloadLogsFromS3.py --loco 4046 --day 2017-07-02</v>
      </c>
      <c r="AN156" s="151" t="str">
        <f t="shared" si="72"/>
        <v>echo {"issue":{"subject":"Onboard in-route failure","project_id":30,"tracker_id":4,"status_id":1,"priority_id":1,"assigned_to_id":10,"start_date":"2017-07-03","description":"","custom_fields":[{"id":30,"name":"Category","value":"Issue"},{"id":3,"name":"Functional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854</v>
      </c>
      <c r="B157" s="7">
        <v>4045</v>
      </c>
      <c r="C157" s="21" t="s">
        <v>202</v>
      </c>
      <c r="D157" s="21" t="s">
        <v>501</v>
      </c>
      <c r="E157" s="13">
        <v>42918.973865740743</v>
      </c>
      <c r="F157" s="13">
        <v>42918.97760416667</v>
      </c>
      <c r="G157" s="7">
        <v>0</v>
      </c>
      <c r="H157" s="21" t="s">
        <v>436</v>
      </c>
      <c r="I157" s="13">
        <v>42919.008055555554</v>
      </c>
      <c r="J157" s="7">
        <v>0</v>
      </c>
      <c r="K157" s="89" t="str">
        <f t="shared" si="57"/>
        <v>4045/4046</v>
      </c>
      <c r="L157" s="21" t="str">
        <f>VLOOKUP(A157,'Trips&amp;Operators'!$C$1:$G$99999,5,FALSE)</f>
        <v>HAITHCOX MICHAEL</v>
      </c>
      <c r="M157" s="6">
        <f t="shared" si="58"/>
        <v>3.0451388884102926E-2</v>
      </c>
      <c r="N157" s="7">
        <f t="shared" ref="N157:N194" si="74">24*60*SUM($M157:$M157)</f>
        <v>43.849999993108213</v>
      </c>
      <c r="O157" s="7"/>
      <c r="P157" s="7"/>
      <c r="Q157" s="22"/>
      <c r="R157" s="170"/>
      <c r="S157" s="213">
        <f t="shared" si="56"/>
        <v>1</v>
      </c>
      <c r="T157" s="195" t="str">
        <f t="shared" si="60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1"/>
        <v>https://d0f6bd738d7f1b3e5a7ca70fe4ff75f0.us-east-1.aws.found.io/app/kibana#/discover/Steve-Slow-Train-Analysis-(2080s-and-2083s)?_g=(refreshInterval:(display:Off,pause:!f,section:0,value:0),time:(from:'2017-07-02T22:22:22-0600',mode:absolute,to:'2017-07-03T01:11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97" t="str">
        <f>IF(AA157&lt;VLOOKUP(AG157,Variables!$AC$3:$AD$8,2,FALSE),"Y","N")</f>
        <v>N</v>
      </c>
      <c r="X157" s="197">
        <f t="shared" si="73"/>
        <v>1</v>
      </c>
      <c r="Y157" s="197">
        <f t="shared" si="62"/>
        <v>23.2989</v>
      </c>
      <c r="Z157" s="197">
        <f t="shared" si="63"/>
        <v>1.5599999999999999E-2</v>
      </c>
      <c r="AA157" s="197">
        <f t="shared" si="64"/>
        <v>23.283300000000001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5"/>
        <v>236</v>
      </c>
      <c r="AE157" s="77" t="str">
        <f t="shared" si="66"/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157" s="74" t="str">
        <f t="shared" si="67"/>
        <v>"C:\Program Files (x86)\AstroGrep\AstroGrep.exe" /e /r /s /spath="%USERPROFILE%\AppData\Local\Temp\OnboardLogs" /stypes="app*4045*20170703*" /stext=" 06:.+((SYSTEM_STATE.+slice.+state.+changed )|(ment ac)|(multiple cpu faults)|(system.+state.+changed )|(\[timeout)|(PRM\|1\|D)|(kpr)|(kdp)|(train st.+moving)|(\|lc)|(penalty))"</v>
      </c>
      <c r="AG157" s="209" t="str">
        <f t="shared" si="68"/>
        <v>EC</v>
      </c>
      <c r="AH157" s="78" t="str">
        <f t="shared" si="69"/>
        <v>"%USERPROFILE%\Documents\GitHub\eaglep3\Utilities\RefineRTDCRunTimes.py" --tripid 236-02 --locoid 4045 --swversion DE.1.0.9.0 --startMP 204:232989 --initTime 2017-07-02T23:22:22 --startdatetime 2017-07-02T23:27:45 --delay 0 --endMP 204:156 --enddatetime 2017-07-03T00:11:36 --enforcementcount 0 &gt;&gt;C:\Users\stu\Documents\GitHub\eaglep3-reporting\EC\2017-07-02-refined-times.txt</v>
      </c>
      <c r="AI157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{"issue":{"subject":"","project_id":79,"tracker_id":40,"status_id":1,"priority_id":2,"assigned_to_id":23,"start_date":"2017-07-03","description":"","custom_fields":[{"id":1,"name":"Subdivision","value":"EC"},{"id":4,"name":"Milepost","value":"0.0156"},{"id":17,"name":"Train ID","value":"236-02"},{"id":16,"name":"Locomotive ID","value":"4045"},{"id":130,"name":"Impact","value":""},{"id":150,"name":"Time of Event (Mountain Time)","value":"00:11:36"},{"id":151,"name":"Denver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1"/>
        <v>start /low /b %USERPROFILE%\Documents\GitHub\eaglep3\Utilities\DownloadLogsFromS3.py --loco 4045 --day 2017-07-02</v>
      </c>
      <c r="AN157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06:11:36"},{"id":29,"name":"Sharepoint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681</v>
      </c>
      <c r="B158" s="7">
        <v>4042</v>
      </c>
      <c r="C158" s="21" t="s">
        <v>202</v>
      </c>
      <c r="D158" s="21" t="s">
        <v>451</v>
      </c>
      <c r="E158" s="13">
        <v>42918.955601851849</v>
      </c>
      <c r="F158" s="13">
        <v>42918.959340277775</v>
      </c>
      <c r="G158" s="7">
        <v>1</v>
      </c>
      <c r="H158" s="21" t="s">
        <v>966</v>
      </c>
      <c r="I158" s="13">
        <v>42918.985752314817</v>
      </c>
      <c r="J158" s="7">
        <v>0</v>
      </c>
      <c r="K158" s="89" t="str">
        <f t="shared" si="57"/>
        <v>4041/4042</v>
      </c>
      <c r="L158" s="21" t="str">
        <f>VLOOKUP(A158,'Trips&amp;Operators'!$C$1:$G$99999,5,FALSE)</f>
        <v>STAMBAUGH JAMES</v>
      </c>
      <c r="M158" s="6">
        <f t="shared" si="58"/>
        <v>2.641203704115469E-2</v>
      </c>
      <c r="N158" s="7">
        <f t="shared" si="74"/>
        <v>38.033333339262754</v>
      </c>
      <c r="O158" s="7"/>
      <c r="P158" s="7"/>
      <c r="Q158" s="22"/>
      <c r="R158" s="170"/>
      <c r="S158" s="213">
        <f t="shared" si="56"/>
        <v>1</v>
      </c>
      <c r="T158" s="195" t="str">
        <f t="shared" si="60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1"/>
        <v>https://d0f6bd738d7f1b3e5a7ca70fe4ff75f0.us-east-1.aws.found.io/app/kibana#/discover/Steve-Slow-Train-Analysis-(2080s-and-2083s)?_g=(refreshInterval:(display:Off,pause:!f,section:0,value:0),time:(from:'2017-07-02T21:56:04-0600',mode:absolute,to:'2017-07-03T00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8" s="197" t="str">
        <f>IF(AA158&lt;VLOOKUP(AG158,Variables!$AC$3:$AD$8,2,FALSE),"Y","N")</f>
        <v>N</v>
      </c>
      <c r="X158" s="197">
        <f t="shared" si="73"/>
        <v>1</v>
      </c>
      <c r="Y158" s="197">
        <f t="shared" si="62"/>
        <v>4.3799999999999999E-2</v>
      </c>
      <c r="Z158" s="197">
        <f t="shared" si="63"/>
        <v>23.335999999999999</v>
      </c>
      <c r="AA158" s="197">
        <f t="shared" si="64"/>
        <v>23.292199999999998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5"/>
        <v>237</v>
      </c>
      <c r="AE158" s="77" t="str">
        <f t="shared" si="66"/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AF158" s="74" t="str">
        <f t="shared" si="67"/>
        <v>"C:\Program Files (x86)\AstroGrep\AstroGrep.exe" /e /r /s /spath="%USERPROFILE%\AppData\Local\Temp\OnboardLogs" /stypes="app*4042*20170703*" /stext=" 05:.+((SYSTEM_STATE.+slice.+state.+changed )|(ment ac)|(multiple cpu faults)|(system.+state.+changed )|(\[timeout)|(PRM\|1\|D)|(kpr)|(kdp)|(train st.+moving)|(\|lc)|(penalty))"</v>
      </c>
      <c r="AG158" s="209" t="str">
        <f t="shared" si="68"/>
        <v>EC</v>
      </c>
      <c r="AH158" s="78" t="str">
        <f t="shared" si="69"/>
        <v>"%USERPROFILE%\Documents\GitHub\eaglep3\Utilities\RefineRTDCRunTimes.py" --tripid 237-02 --locoid 4042 --swversion DE.1.0.9.0 --startMP 204:438 --initTime 2017-07-02T22:56:04 --startdatetime 2017-07-02T23:01:27 --delay 1 --endMP 204:233360 --enddatetime 2017-07-02T23:39:29 --enforcementcount 0 &gt;&gt;C:\Users\stu\Documents\GitHub\eaglep3-reporting\EC\2017-07-02-refined-times.txt</v>
      </c>
      <c r="AI158" s="96" t="str">
        <f t="shared" si="70"/>
        <v>echo {"issue":{"subject":"","project_id":79,"tracker_id":40,"status_id":1,"priority_id":2,"assigned_to_id":23,"start_date":"2017-07-02","description":"","custom_fields":[{"id":1,"name":"Subdivision","value":"EC"},{"id":4,"name":"Milepost","value":"23.336"},{"id":17,"name":"Train ID","value":"237-02"},{"id":16,"name":"Locomotive ID","value":"4042"},{"id":130,"name":"Impact","value":""},{"id":150,"name":"Time of Event (Mountain Time)","value":"23:39:29"},{"id":151,"name":"Denver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71"/>
        <v>start /low /b %USERPROFILE%\Documents\GitHub\eaglep3\Utilities\DownloadLogsFromS3.py --loco 4042 --day 2017-07-02</v>
      </c>
      <c r="AN158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05:39:29"},{"id":29,"name":"Sharepoint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856</v>
      </c>
      <c r="B159" s="7">
        <v>4041</v>
      </c>
      <c r="C159" s="21" t="s">
        <v>202</v>
      </c>
      <c r="D159" s="21" t="s">
        <v>978</v>
      </c>
      <c r="E159" s="13">
        <v>42918.995324074072</v>
      </c>
      <c r="F159" s="13">
        <v>42918.998749999999</v>
      </c>
      <c r="G159" s="7">
        <v>1</v>
      </c>
      <c r="H159" s="21" t="s">
        <v>349</v>
      </c>
      <c r="I159" s="13">
        <v>42919.026041666664</v>
      </c>
      <c r="J159" s="7">
        <v>0</v>
      </c>
      <c r="K159" s="89" t="str">
        <f t="shared" si="57"/>
        <v>4041/4042</v>
      </c>
      <c r="L159" s="21" t="str">
        <f>VLOOKUP(A159,'Trips&amp;Operators'!$C$1:$G$99999,5,FALSE)</f>
        <v>STAMBAUGH JAMES</v>
      </c>
      <c r="M159" s="6">
        <f t="shared" si="58"/>
        <v>2.7291666665405501E-2</v>
      </c>
      <c r="N159" s="7">
        <f t="shared" si="74"/>
        <v>39.299999998183921</v>
      </c>
      <c r="O159" s="7"/>
      <c r="P159" s="7"/>
      <c r="Q159" s="22"/>
      <c r="R159" s="170"/>
      <c r="S159" s="213">
        <f t="shared" si="56"/>
        <v>1</v>
      </c>
      <c r="T159" s="195" t="str">
        <f t="shared" si="60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1"/>
        <v>https://d0f6bd738d7f1b3e5a7ca70fe4ff75f0.us-east-1.aws.found.io/app/kibana#/discover/Steve-Slow-Train-Analysis-(2080s-and-2083s)?_g=(refreshInterval:(display:Off,pause:!f,section:0,value:0),time:(from:'2017-07-02T22:53:16-0600',mode:absolute,to:'2017-07-03T01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197" t="str">
        <f>IF(AA159&lt;VLOOKUP(AG159,Variables!$AC$3:$AD$8,2,FALSE),"Y","N")</f>
        <v>N</v>
      </c>
      <c r="X159" s="197">
        <f t="shared" si="73"/>
        <v>1</v>
      </c>
      <c r="Y159" s="197">
        <f t="shared" si="62"/>
        <v>23.304200000000002</v>
      </c>
      <c r="Z159" s="197">
        <f t="shared" si="63"/>
        <v>1.49E-2</v>
      </c>
      <c r="AA159" s="197">
        <f t="shared" si="64"/>
        <v>23.289300000000001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5"/>
        <v>238</v>
      </c>
      <c r="AE159" s="77" t="str">
        <f t="shared" si="66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159" s="74" t="str">
        <f t="shared" si="67"/>
        <v>"C:\Program Files (x86)\AstroGrep\AstroGrep.exe" /e /r /s /spath="%USERPROFILE%\AppData\Local\Temp\OnboardLogs" /stypes="app*4041*20170703*" /stext=" 06:.+((SYSTEM_STATE.+slice.+state.+changed )|(ment ac)|(multiple cpu faults)|(system.+state.+changed )|(\[timeout)|(PRM\|1\|D)|(kpr)|(kdp)|(train st.+moving)|(\|lc)|(penalty))"</v>
      </c>
      <c r="AG159" s="209" t="str">
        <f t="shared" si="68"/>
        <v>EC</v>
      </c>
      <c r="AH159" s="78" t="str">
        <f t="shared" si="69"/>
        <v>"%USERPROFILE%\Documents\GitHub\eaglep3\Utilities\RefineRTDCRunTimes.py" --tripid 238-02 --locoid 4041 --swversion DE.1.0.9.0 --startMP 204:233042 --initTime 2017-07-02T23:53:16 --startdatetime 2017-07-02T23:58:12 --delay 1 --endMP 204:149 --enddatetime 2017-07-03T00:37:30 --enforcementcount 0 &gt;&gt;C:\Users\stu\Documents\GitHub\eaglep3-reporting\EC\2017-07-02-refined-times.txt</v>
      </c>
      <c r="AI159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{"issue":{"subject":"","project_id":79,"tracker_id":40,"status_id":1,"priority_id":2,"assigned_to_id":23,"start_date":"2017-07-03","description":"","custom_fields":[{"id":1,"name":"Subdivision","value":"EC"},{"id":4,"name":"Milepost","value":"0.0149"},{"id":17,"name":"Train ID","value":"238-02"},{"id":16,"name":"Locomotive ID","value":"4041"},{"id":130,"name":"Impact","value":""},{"id":150,"name":"Time of Event (Mountain Time)","value":"00:37:30"},{"id":151,"name":"Denver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71"/>
        <v>start /low /b %USERPROFILE%\Documents\GitHub\eaglep3\Utilities\DownloadLogsFromS3.py --loco 4041 --day 2017-07-02</v>
      </c>
      <c r="AN159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853</v>
      </c>
      <c r="B160" s="7">
        <v>4016</v>
      </c>
      <c r="C160" s="21" t="s">
        <v>202</v>
      </c>
      <c r="D160" s="21" t="s">
        <v>444</v>
      </c>
      <c r="E160" s="13">
        <v>42918.970717592594</v>
      </c>
      <c r="F160" s="13">
        <v>42918.979687500003</v>
      </c>
      <c r="G160" s="7">
        <v>1</v>
      </c>
      <c r="H160" s="21" t="s">
        <v>954</v>
      </c>
      <c r="I160" s="13">
        <v>42919.006932870368</v>
      </c>
      <c r="J160" s="7">
        <v>0</v>
      </c>
      <c r="K160" s="89" t="str">
        <f t="shared" si="57"/>
        <v>4015/4016</v>
      </c>
      <c r="L160" s="21" t="str">
        <f>VLOOKUP(A160,'Trips&amp;Operators'!$C$1:$G$99999,5,FALSE)</f>
        <v>SMITH MICHAEL</v>
      </c>
      <c r="M160" s="6">
        <f t="shared" si="58"/>
        <v>2.7245370365562849E-2</v>
      </c>
      <c r="N160" s="7">
        <f t="shared" si="74"/>
        <v>39.233333326410502</v>
      </c>
      <c r="O160" s="7"/>
      <c r="P160" s="7"/>
      <c r="Q160" s="22"/>
      <c r="R160" s="170"/>
      <c r="S160" s="213">
        <f t="shared" si="56"/>
        <v>1</v>
      </c>
      <c r="T160" s="195" t="str">
        <f t="shared" si="60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1"/>
        <v>https://d0f6bd738d7f1b3e5a7ca70fe4ff75f0.us-east-1.aws.found.io/app/kibana#/discover/Steve-Slow-Train-Analysis-(2080s-and-2083s)?_g=(refreshInterval:(display:Off,pause:!f,section:0,value:0),time:(from:'2017-07-02T22:17:50-0600',mode:absolute,to:'2017-07-03T01:09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197" t="str">
        <f>IF(AA160&lt;VLOOKUP(AG160,Variables!$AC$3:$AD$8,2,FALSE),"Y","N")</f>
        <v>N</v>
      </c>
      <c r="X160" s="197">
        <f t="shared" si="73"/>
        <v>1</v>
      </c>
      <c r="Y160" s="197">
        <f t="shared" si="62"/>
        <v>4.4200000000000003E-2</v>
      </c>
      <c r="Z160" s="197">
        <f t="shared" si="63"/>
        <v>23.334700000000002</v>
      </c>
      <c r="AA160" s="197">
        <f t="shared" si="64"/>
        <v>23.290500000000002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5"/>
        <v>239</v>
      </c>
      <c r="AE160" s="77" t="str">
        <f t="shared" si="6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160" s="74" t="str">
        <f t="shared" si="67"/>
        <v>"C:\Program Files (x86)\AstroGrep\AstroGrep.exe" /e /r /s /spath="%USERPROFILE%\AppData\Local\Temp\OnboardLogs" /stypes="app*4016*20170703*" /stext=" 06:.+((SYSTEM_STATE.+slice.+state.+changed )|(ment ac)|(multiple cpu faults)|(system.+state.+changed )|(\[timeout)|(PRM\|1\|D)|(kpr)|(kdp)|(train st.+moving)|(\|lc)|(penalty))"</v>
      </c>
      <c r="AG160" s="209" t="str">
        <f t="shared" si="68"/>
        <v>EC</v>
      </c>
      <c r="AH160" s="78" t="str">
        <f t="shared" si="69"/>
        <v>"%USERPROFILE%\Documents\GitHub\eaglep3\Utilities\RefineRTDCRunTimes.py" --tripid 239-02 --locoid 4016 --swversion DE.1.0.9.0 --startMP 204:442 --initTime 2017-07-02T23:17:50 --startdatetime 2017-07-02T23:30:45 --delay 1 --endMP 204:233347 --enddatetime 2017-07-03T00:09:59 --enforcementcount 0 &gt;&gt;C:\Users\stu\Documents\GitHub\eaglep3-reporting\EC\2017-07-02-refined-times.txt</v>
      </c>
      <c r="AI160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{"issue":{"subject":"","project_id":79,"tracker_id":40,"status_id":1,"priority_id":2,"assigned_to_id":23,"start_date":"2017-07-03","description":"","custom_fields":[{"id":1,"name":"Subdivision","value":"EC"},{"id":4,"name":"Milepost","value":"23.3347"},{"id":17,"name":"Train ID","value":"239-02"},{"id":16,"name":"Locomotive ID","value":"4016"},{"id":130,"name":"Impact","value":""},{"id":150,"name":"Time of Event (Mountain Time)","value":"00:09:59"},{"id":151,"name":"Denver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1"/>
        <v>start /low /b %USERPROFILE%\Documents\GitHub\eaglep3\Utilities\DownloadLogsFromS3.py --loco 4016 --day 2017-07-02</v>
      </c>
      <c r="AN160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06:09:59"},{"id":29,"name":"Sharepoint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684</v>
      </c>
      <c r="B161" s="7">
        <v>4015</v>
      </c>
      <c r="C161" s="21" t="s">
        <v>202</v>
      </c>
      <c r="D161" s="21" t="s">
        <v>948</v>
      </c>
      <c r="E161" s="13">
        <v>42919.011284722219</v>
      </c>
      <c r="F161" s="13">
        <v>42919.019050925926</v>
      </c>
      <c r="G161" s="7">
        <v>1</v>
      </c>
      <c r="H161" s="21" t="s">
        <v>350</v>
      </c>
      <c r="I161" s="13">
        <v>42919.049166666664</v>
      </c>
      <c r="J161" s="7">
        <v>0</v>
      </c>
      <c r="K161" s="89" t="str">
        <f t="shared" si="57"/>
        <v>4015/4016</v>
      </c>
      <c r="L161" s="21" t="str">
        <f>VLOOKUP(A161,'Trips&amp;Operators'!$C$1:$G$99999,5,FALSE)</f>
        <v>SMITH MICHAEL</v>
      </c>
      <c r="M161" s="6">
        <f t="shared" si="58"/>
        <v>3.011574073752854E-2</v>
      </c>
      <c r="N161" s="7">
        <f t="shared" si="74"/>
        <v>43.366666662041098</v>
      </c>
      <c r="O161" s="7"/>
      <c r="P161" s="7"/>
      <c r="Q161" s="22"/>
      <c r="R161" s="170"/>
      <c r="S161" s="213">
        <f t="shared" si="56"/>
        <v>1</v>
      </c>
      <c r="T161" s="195" t="str">
        <f t="shared" si="6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61"/>
        <v>https://d0f6bd738d7f1b3e5a7ca70fe4ff75f0.us-east-1.aws.found.io/app/kibana#/discover/Steve-Slow-Train-Analysis-(2080s-and-2083s)?_g=(refreshInterval:(display:Off,pause:!f,section:0,value:0),time:(from:'2017-07-02T23:16:15-0600',mode:absolute,to:'2017-07-03T02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197" t="str">
        <f>IF(AA161&lt;VLOOKUP(AG161,Variables!$AC$3:$AD$8,2,FALSE),"Y","N")</f>
        <v>N</v>
      </c>
      <c r="X161" s="197">
        <f t="shared" si="73"/>
        <v>1</v>
      </c>
      <c r="Y161" s="197">
        <f t="shared" si="62"/>
        <v>23.303599999999999</v>
      </c>
      <c r="Z161" s="197">
        <f t="shared" si="63"/>
        <v>1.43E-2</v>
      </c>
      <c r="AA161" s="197">
        <f t="shared" si="64"/>
        <v>23.289300000000001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5"/>
        <v>240</v>
      </c>
      <c r="AE161" s="77" t="str">
        <f t="shared" si="66"/>
        <v>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 &amp; aws s3 cp s3://rtdc.mdm.uploadarchive.raw/RTDC4015/ "%USERPROFILE%\AppData\Local\Temp\OnboardLogs"\RTDC4015\2017-07-04 --exclude "*" --recursive --include "*20170704*" &amp; "%USERPROFILE%\Documents\GitHub\mrs-test-scripts\Headless Mode &amp; Sideloading\WalkAndUnGZ.bat" "%USERPROFILE%\AppData\Local\Temp\OnboardLogs"\RTDC4015\2017-07-04</v>
      </c>
      <c r="AF161" s="74" t="str">
        <f t="shared" si="67"/>
        <v>"C:\Program Files (x86)\AstroGrep\AstroGrep.exe" /e /r /s /spath="%USERPROFILE%\AppData\Local\Temp\OnboardLogs" /stypes="app*4015*20170703*" /stext=" 07:.+((SYSTEM_STATE.+slice.+state.+changed )|(ment ac)|(multiple cpu faults)|(system.+state.+changed )|(\[timeout)|(PRM\|1\|D)|(kpr)|(kdp)|(train st.+moving)|(\|lc)|(penalty))"</v>
      </c>
      <c r="AG161" s="209" t="str">
        <f t="shared" si="68"/>
        <v>EC</v>
      </c>
      <c r="AH161" s="78" t="str">
        <f t="shared" si="69"/>
        <v>"%USERPROFILE%\Documents\GitHub\eaglep3\Utilities\RefineRTDCRunTimes.py" --tripid 240-02 --locoid 4015 --swversion DE.1.0.9.0 --startMP 204:233036 --initTime 2017-07-03T00:16:15 --startdatetime 2017-07-03T00:27:26 --delay 1 --endMP 204:143 --enddatetime 2017-07-03T01:10:48 --enforcementcount 0 &gt;&gt;C:\Users\stu\Documents\GitHub\eaglep3-reporting\EC\2017-07-02-refined-times.txt</v>
      </c>
      <c r="AI161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{"issue":{"subject":"","project_id":79,"tracker_id":40,"status_id":1,"priority_id":2,"assigned_to_id":23,"start_date":"2017-07-03","description":"","custom_fields":[{"id":1,"name":"Subdivision","value":"EC"},{"id":4,"name":"Milepost","value":"0.0143"},{"id":17,"name":"Train ID","value":"240-02"},{"id":16,"name":"Locomotive ID","value":"4015"},{"id":130,"name":"Impact","value":""},{"id":150,"name":"Time of Event (Mountain Time)","value":"01:10:48"},{"id":151,"name":"Denver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71"/>
        <v>start /low /b %USERPROFILE%\Documents\GitHub\eaglep3\Utilities\DownloadLogsFromS3.py --loco 4015 --day 2017-07-03</v>
      </c>
      <c r="AN161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07:10:48"},{"id":29,"name":"Sharepoint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855</v>
      </c>
      <c r="B162" s="7">
        <v>4044</v>
      </c>
      <c r="C162" s="21" t="s">
        <v>202</v>
      </c>
      <c r="D162" s="21" t="s">
        <v>481</v>
      </c>
      <c r="E162" s="13">
        <v>42918.993368055555</v>
      </c>
      <c r="F162" s="13">
        <v>42919.000509259262</v>
      </c>
      <c r="G162" s="7">
        <v>1</v>
      </c>
      <c r="H162" s="21" t="s">
        <v>546</v>
      </c>
      <c r="I162" s="13">
        <v>42919.027013888888</v>
      </c>
      <c r="J162" s="7">
        <v>0</v>
      </c>
      <c r="K162" s="89" t="str">
        <f t="shared" si="57"/>
        <v>4043/4044</v>
      </c>
      <c r="L162" s="21" t="str">
        <f>VLOOKUP(A162,'Trips&amp;Operators'!$C$1:$G$99999,5,FALSE)</f>
        <v>PERKINS DARREN</v>
      </c>
      <c r="M162" s="6">
        <f t="shared" si="58"/>
        <v>2.6504629626288079E-2</v>
      </c>
      <c r="N162" s="7">
        <f t="shared" si="74"/>
        <v>38.166666661854833</v>
      </c>
      <c r="O162" s="7"/>
      <c r="P162" s="7"/>
      <c r="Q162" s="22"/>
      <c r="R162" s="170"/>
      <c r="S162" s="213">
        <f t="shared" si="56"/>
        <v>1</v>
      </c>
      <c r="T162" s="195" t="str">
        <f t="shared" si="60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6" t="str">
        <f t="shared" si="61"/>
        <v>https://d0f6bd738d7f1b3e5a7ca70fe4ff75f0.us-east-1.aws.found.io/app/kibana#/discover/Steve-Slow-Train-Analysis-(2080s-and-2083s)?_g=(refreshInterval:(display:Off,pause:!f,section:0,value:0),time:(from:'2017-07-02T22:50:27-0600',mode:absolute,to:'2017-07-03T01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2" s="197" t="str">
        <f>IF(AA162&lt;VLOOKUP(AG162,Variables!$AC$3:$AD$8,2,FALSE),"Y","N")</f>
        <v>N</v>
      </c>
      <c r="X162" s="197">
        <f t="shared" si="73"/>
        <v>1</v>
      </c>
      <c r="Y162" s="197">
        <f t="shared" si="62"/>
        <v>4.4400000000000002E-2</v>
      </c>
      <c r="Z162" s="197">
        <f t="shared" si="63"/>
        <v>23.329699999999999</v>
      </c>
      <c r="AA162" s="197">
        <f t="shared" si="64"/>
        <v>23.285299999999999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5"/>
        <v>241</v>
      </c>
      <c r="AE162" s="77" t="str">
        <f t="shared" si="66"/>
        <v>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 &amp; 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</v>
      </c>
      <c r="AF162" s="74" t="str">
        <f t="shared" si="67"/>
        <v>"C:\Program Files (x86)\AstroGrep\AstroGrep.exe" /e /r /s /spath="%USERPROFILE%\AppData\Local\Temp\OnboardLogs" /stypes="app*4044*20170703*" /stext=" 06:.+((SYSTEM_STATE.+slice.+state.+changed )|(ment ac)|(multiple cpu faults)|(system.+state.+changed )|(\[timeout)|(PRM\|1\|D)|(kpr)|(kdp)|(train st.+moving)|(\|lc)|(penalty))"</v>
      </c>
      <c r="AG162" s="209" t="str">
        <f t="shared" si="68"/>
        <v>EC</v>
      </c>
      <c r="AH162" s="78" t="str">
        <f t="shared" si="69"/>
        <v>"%USERPROFILE%\Documents\GitHub\eaglep3\Utilities\RefineRTDCRunTimes.py" --tripid 241-02 --locoid 4044 --swversion DE.1.0.9.0 --startMP 204:444 --initTime 2017-07-02T23:50:27 --startdatetime 2017-07-03T00:00:44 --delay 1 --endMP 204:233297 --enddatetime 2017-07-03T00:38:54 --enforcementcount 0 &gt;&gt;C:\Users\stu\Documents\GitHub\eaglep3-reporting\EC\2017-07-02-refined-times.txt</v>
      </c>
      <c r="AI162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{"issue":{"subject":"","project_id":79,"tracker_id":40,"status_id":1,"priority_id":2,"assigned_to_id":23,"start_date":"2017-07-03","description":"","custom_fields":[{"id":1,"name":"Subdivision","value":"EC"},{"id":4,"name":"Milepost","value":"23.3297"},{"id":17,"name":"Train ID","value":"241-02"},{"id":16,"name":"Locomotive ID","value":"4044"},{"id":130,"name":"Impact","value":""},{"id":150,"name":"Time of Event (Mountain Time)","value":"00:38:54"},{"id":151,"name":"Denver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71"/>
        <v>start /low /b %USERPROFILE%\Documents\GitHub\eaglep3\Utilities\DownloadLogsFromS3.py --loco 4044 --day 2017-07-03</v>
      </c>
      <c r="AN16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685</v>
      </c>
      <c r="B163" s="7">
        <v>4043</v>
      </c>
      <c r="C163" s="21" t="s">
        <v>202</v>
      </c>
      <c r="D163" s="21" t="s">
        <v>474</v>
      </c>
      <c r="E163" s="13">
        <v>42919.034803240742</v>
      </c>
      <c r="F163" s="13">
        <v>42919.03979166667</v>
      </c>
      <c r="G163" s="7">
        <v>1</v>
      </c>
      <c r="H163" s="21" t="s">
        <v>512</v>
      </c>
      <c r="I163" s="13">
        <v>42919.070219907408</v>
      </c>
      <c r="J163" s="7">
        <v>0</v>
      </c>
      <c r="K163" s="89" t="str">
        <f t="shared" si="57"/>
        <v>4043/4044</v>
      </c>
      <c r="L163" s="21" t="str">
        <f>VLOOKUP(A163,'Trips&amp;Operators'!$C$1:$G$99999,5,FALSE)</f>
        <v>PERKINS DARREN</v>
      </c>
      <c r="M163" s="6">
        <f t="shared" si="58"/>
        <v>3.0428240737819578E-2</v>
      </c>
      <c r="N163" s="7">
        <f t="shared" si="74"/>
        <v>43.816666662460193</v>
      </c>
      <c r="O163" s="7"/>
      <c r="P163" s="7"/>
      <c r="Q163" s="22"/>
      <c r="R163" s="170"/>
      <c r="S163" s="213">
        <f t="shared" si="56"/>
        <v>1</v>
      </c>
      <c r="T163" s="195" t="str">
        <f t="shared" si="60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96" t="str">
        <f t="shared" si="61"/>
        <v>https://d0f6bd738d7f1b3e5a7ca70fe4ff75f0.us-east-1.aws.found.io/app/kibana#/discover/Steve-Slow-Train-Analysis-(2080s-and-2083s)?_g=(refreshInterval:(display:Off,pause:!f,section:0,value:0),time:(from:'2017-07-02T23:50:07-0600',mode:absolute,to:'2017-07-03T02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3" s="197" t="str">
        <f>IF(AA163&lt;VLOOKUP(AG163,Variables!$AC$3:$AD$8,2,FALSE),"Y","N")</f>
        <v>N</v>
      </c>
      <c r="X163" s="197">
        <f t="shared" ref="X163:X172" si="75">VALUE(LEFT(AD163,4))-VALUE(LEFT(AD162,4))</f>
        <v>1</v>
      </c>
      <c r="Y163" s="197">
        <f t="shared" si="62"/>
        <v>23.3</v>
      </c>
      <c r="Z163" s="197">
        <f t="shared" si="63"/>
        <v>1.3599999999999999E-2</v>
      </c>
      <c r="AA163" s="197">
        <f t="shared" si="64"/>
        <v>23.2864</v>
      </c>
      <c r="AB163" s="54" t="str">
        <f>VLOOKUP(A163,Enforcements!$C$7:$K$13,8,0)</f>
        <v>Bulletin (2)</v>
      </c>
      <c r="AC163" s="51" t="str">
        <f>VLOOKUP(A163,Enforcements!$C$7:$E$13,3,0)</f>
        <v>GRADE CROSSING</v>
      </c>
      <c r="AD163" s="206">
        <f t="shared" si="65"/>
        <v>242</v>
      </c>
      <c r="AE163" s="77" t="str">
        <f t="shared" si="66"/>
        <v>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 &amp; 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</v>
      </c>
      <c r="AF163" s="74" t="str">
        <f t="shared" si="67"/>
        <v>"C:\Program Files (x86)\AstroGrep\AstroGrep.exe" /e /r /s /spath="%USERPROFILE%\AppData\Local\Temp\OnboardLogs" /stypes="app*4043*20170703*" /stext=" 07:.+((SYSTEM_STATE.+slice.+state.+changed )|(ment ac)|(multiple cpu faults)|(system.+state.+changed )|(\[timeout)|(PRM\|1\|D)|(kpr)|(kdp)|(train st.+moving)|(\|lc)|(penalty))"</v>
      </c>
      <c r="AG163" s="209" t="str">
        <f t="shared" si="68"/>
        <v>EC</v>
      </c>
      <c r="AH163" s="78" t="str">
        <f t="shared" si="69"/>
        <v>"%USERPROFILE%\Documents\GitHub\eaglep3\Utilities\RefineRTDCRunTimes.py" --tripid 242-02 --locoid 4043 --swversion DE.1.0.9.0 --startMP 204:233000 --initTime 2017-07-03T00:50:07 --startdatetime 2017-07-03T00:57:18 --delay 1 --endMP 204:136 --enddatetime 2017-07-03T01:41:07 --enforcementcount 0 &gt;&gt;C:\Users\stu\Documents\GitHub\eaglep3-reporting\EC\2017-07-02-refined-times.txt</v>
      </c>
      <c r="AI163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{"issue":{"subject":"","project_id":79,"tracker_id":40,"status_id":1,"priority_id":2,"assigned_to_id":23,"start_date":"2017-07-03","description":"","custom_fields":[{"id":1,"name":"Subdivision","value":"EC"},{"id":4,"name":"Milepost","value":"0.0136"},{"id":17,"name":"Train ID","value":"242-02"},{"id":16,"name":"Locomotive ID","value":"4043"},{"id":130,"name":"Impact","value":""},{"id":150,"name":"Time of Event (Mountain Time)","value":"01:41:07"},{"id":151,"name":"Denver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1"/>
        <v>start /low /b %USERPROFILE%\Documents\GitHub\eaglep3\Utilities\DownloadLogsFromS3.py --loco 4043 --day 2017-07-03</v>
      </c>
      <c r="AN163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07:41:07"},{"id":29,"name":"Sharepoint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682</v>
      </c>
      <c r="B164" s="7">
        <v>4046</v>
      </c>
      <c r="C164" s="21" t="s">
        <v>202</v>
      </c>
      <c r="D164" s="21" t="s">
        <v>474</v>
      </c>
      <c r="E164" s="13">
        <v>42919.034803240742</v>
      </c>
      <c r="F164" s="13">
        <v>42919.021539351852</v>
      </c>
      <c r="G164" s="7">
        <v>1</v>
      </c>
      <c r="H164" s="21" t="s">
        <v>512</v>
      </c>
      <c r="I164" s="13">
        <v>42919.048946759256</v>
      </c>
      <c r="J164" s="7">
        <v>0</v>
      </c>
      <c r="K164" s="89" t="str">
        <f t="shared" si="57"/>
        <v>4045/4046</v>
      </c>
      <c r="L164" s="21" t="s">
        <v>1033</v>
      </c>
      <c r="M164" s="6">
        <f t="shared" si="58"/>
        <v>2.7407407404098194E-2</v>
      </c>
      <c r="N164" s="7">
        <f t="shared" si="74"/>
        <v>39.466666661901399</v>
      </c>
      <c r="O164" s="7"/>
      <c r="P164" s="7"/>
      <c r="Q164" s="22"/>
      <c r="R164" s="170"/>
      <c r="S164" s="213">
        <f t="shared" si="56"/>
        <v>0</v>
      </c>
      <c r="T164" s="195" t="str">
        <f t="shared" si="60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196" t="str">
        <f t="shared" si="61"/>
        <v>https://d0f6bd738d7f1b3e5a7ca70fe4ff75f0.us-east-1.aws.found.io/app/kibana#/discover/Steve-Slow-Train-Analysis-(2080s-and-2083s)?_g=(refreshInterval:(display:Off,pause:!f,section:0,value:0),time:(from:'2017-07-02T23:50:07-0600',mode:absolute,to:'2017-07-03T02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197" t="str">
        <f>IF(AA164&lt;VLOOKUP(AG164,Variables!$AC$3:$AD$8,2,FALSE),"Y","N")</f>
        <v>N</v>
      </c>
      <c r="X164" s="197">
        <f t="shared" ref="X164:X165" si="76">VALUE(LEFT(AD164,4))-VALUE(LEFT(AD163,4))</f>
        <v>1</v>
      </c>
      <c r="Y164" s="197">
        <f t="shared" si="62"/>
        <v>23.3</v>
      </c>
      <c r="Z164" s="197">
        <f t="shared" si="63"/>
        <v>1.3599999999999999E-2</v>
      </c>
      <c r="AA164" s="197">
        <f t="shared" si="64"/>
        <v>23.2864</v>
      </c>
      <c r="AB164" s="54" t="str">
        <f>VLOOKUP(A164,Enforcements!$C$7:$K$13,8,0)</f>
        <v>Bulletin (2)</v>
      </c>
      <c r="AC164" s="51" t="str">
        <f>VLOOKUP(A164,Enforcements!$C$7:$E$13,3,0)</f>
        <v>GRADE CROSSING</v>
      </c>
      <c r="AD164" s="206">
        <f t="shared" si="65"/>
        <v>243</v>
      </c>
      <c r="AE164" s="77" t="str">
        <f t="shared" si="66"/>
        <v>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 &amp; 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</v>
      </c>
      <c r="AF164" s="74" t="str">
        <f t="shared" si="67"/>
        <v>"C:\Program Files (x86)\AstroGrep\AstroGrep.exe" /e /r /s /spath="%USERPROFILE%\AppData\Local\Temp\OnboardLogs" /stypes="app*4046*20170703*" /stext=" 07:.+((SYSTEM_STATE.+slice.+state.+changed )|(ment ac)|(multiple cpu faults)|(system.+state.+changed )|(\[timeout)|(PRM\|1\|D)|(kpr)|(kdp)|(train st.+moving)|(\|lc)|(penalty))"</v>
      </c>
      <c r="AG164" s="209" t="str">
        <f t="shared" si="68"/>
        <v>EC</v>
      </c>
      <c r="AH164" s="78" t="str">
        <f t="shared" ref="AH164" si="77"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"&amp;J164&amp;IF(outputrefinedruntimes," &gt;&gt;"&amp;RefinedRTDCRunTimesOutputFile,"")</f>
        <v>"%USERPROFILE%\Documents\GitHub\eaglep3\Utilities\RefineRTDCRunTimes.py" --tripid 243-02 --locoid 4046 --swversion DE.1.0.9.0 --startMP 204:233000 --initTime 2017-07-03T00:50:07 --startdatetime 2017-07-03T00:31:01 --delay 1 --endMP 204:136 --enddatetime 2017-07-03T01:10:29 --enforcementcount 0 &gt;&gt;C:\Users\stu\Documents\GitHub\eaglep3-reporting\EC\2017-07-02-refined-times.txt</v>
      </c>
      <c r="AI164" s="96" t="str">
        <f t="shared" ref="AI164" si="78"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Z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{"issue":{"subject":"","project_id":79,"tracker_id":40,"status_id":1,"priority_id":2,"assigned_to_id":23,"start_date":"2017-07-03","description":"","custom_fields":[{"id":1,"name":"Subdivision","value":"EC"},{"id":4,"name":"Milepost","value":"0.0136"},{"id":17,"name":"Train ID","value":"243-02"},{"id":16,"name":"Locomotive ID","value":"4046"},{"id":130,"name":"Impact","value":""},{"id":150,"name":"Time of Event (Mountain Time)","value":"01:10:29"},{"id":151,"name":"Denver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ref="AM164" si="79">"start /low /b "&amp;dls3logs&amp;" --loco "&amp;B164&amp;" --day "&amp;TEXT(F164,"YYYY-MM-DD")</f>
        <v>start /low /b %USERPROFILE%\Documents\GitHub\eaglep3\Utilities\DownloadLogsFromS3.py --loco 4046 --day 2017-07-03</v>
      </c>
      <c r="AN164" s="151" t="str">
        <f t="shared" ref="AN164" si="80">"echo {""issue"":{""subject"":"""&amp;R164&amp;""",""project_id"":30,""tracker_id"":4,""status_id"":"&amp;redmine_status_wcr&amp;",""priority_id"":"&amp;redmine_priority_wcr&amp;",""assigned_to_id"":"&amp;redmine_assignee_wcr&amp;",""start_date"":"""&amp;TEXT(I164-utc_offset/24,"YYYY-mm-dd")&amp;""",""description"":"""&amp;AJ164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07:10:29"},{"id":29,"name":"Sharepoint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2" t="s">
        <v>858</v>
      </c>
      <c r="B165" s="7">
        <v>4045</v>
      </c>
      <c r="C165" s="21" t="s">
        <v>202</v>
      </c>
      <c r="D165" s="21" t="s">
        <v>975</v>
      </c>
      <c r="E165" s="13">
        <v>42919.049895833334</v>
      </c>
      <c r="F165" s="13">
        <v>42919.060613425929</v>
      </c>
      <c r="G165" s="7">
        <v>1</v>
      </c>
      <c r="H165" s="21" t="s">
        <v>599</v>
      </c>
      <c r="I165" s="13">
        <v>42919.089212962965</v>
      </c>
      <c r="J165" s="7">
        <v>0</v>
      </c>
      <c r="K165" s="89" t="str">
        <f t="shared" si="57"/>
        <v>4045/4046</v>
      </c>
      <c r="L165" s="21" t="str">
        <f>VLOOKUP(A165,'Trips&amp;Operators'!$C$1:$G$99999,5,FALSE)</f>
        <v>HAITHCOX MICHAEL</v>
      </c>
      <c r="M165" s="6">
        <f t="shared" si="58"/>
        <v>2.8599537035916001E-2</v>
      </c>
      <c r="N165" s="7">
        <f t="shared" si="74"/>
        <v>41.183333331719041</v>
      </c>
      <c r="O165" s="7"/>
      <c r="P165" s="7"/>
      <c r="Q165" s="22"/>
      <c r="R165" s="170"/>
      <c r="S165" s="213">
        <f t="shared" si="56"/>
        <v>1</v>
      </c>
      <c r="T165" s="195" t="str">
        <f t="shared" si="6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12</v>
      </c>
      <c r="V165" s="196" t="str">
        <f t="shared" si="61"/>
        <v>https://d0f6bd738d7f1b3e5a7ca70fe4ff75f0.us-east-1.aws.found.io/app/kibana#/discover/Steve-Slow-Train-Analysis-(2080s-and-2083s)?_g=(refreshInterval:(display:Off,pause:!f,section:0,value:0),time:(from:'2017-07-03T00:11:51-0600',mode:absolute,to:'2017-07-03T03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197" t="str">
        <f>IF(AA165&lt;VLOOKUP(AG165,Variables!$AC$3:$AD$8,2,FALSE),"Y","N")</f>
        <v>N</v>
      </c>
      <c r="X165" s="197">
        <f t="shared" si="76"/>
        <v>1</v>
      </c>
      <c r="Y165" s="197">
        <f t="shared" si="62"/>
        <v>23.299099999999999</v>
      </c>
      <c r="Z165" s="197">
        <f t="shared" si="63"/>
        <v>1.83E-2</v>
      </c>
      <c r="AA165" s="197">
        <f t="shared" si="64"/>
        <v>23.280799999999999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5"/>
        <v>244</v>
      </c>
      <c r="AE165" s="77" t="str">
        <f t="shared" si="66"/>
        <v>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 &amp; aws s3 cp s3://rtdc.mdm.uploadarchive.raw/RTDC4045/ "%USERPROFILE%\AppData\Local\Temp\OnboardLogs"\RTDC4045\2017-07-04 --exclude "*" --recursive --include "*20170704*" &amp; "%USERPROFILE%\Documents\GitHub\mrs-test-scripts\Headless Mode &amp; Sideloading\WalkAndUnGZ.bat" "%USERPROFILE%\AppData\Local\Temp\OnboardLogs"\RTDC4045\2017-07-04</v>
      </c>
      <c r="AF165" s="74" t="str">
        <f t="shared" si="67"/>
        <v>"C:\Program Files (x86)\AstroGrep\AstroGrep.exe" /e /r /s /spath="%USERPROFILE%\AppData\Local\Temp\OnboardLogs" /stypes="app*4045*20170703*" /stext=" 08:.+((SYSTEM_STATE.+slice.+state.+changed )|(ment ac)|(multiple cpu faults)|(system.+state.+changed )|(\[timeout)|(PRM\|1\|D)|(kpr)|(kdp)|(train st.+moving)|(\|lc)|(penalty))"</v>
      </c>
      <c r="AG165" s="209" t="str">
        <f t="shared" si="68"/>
        <v>EC</v>
      </c>
      <c r="AH165" s="78" t="str">
        <f t="shared" si="69"/>
        <v>"%USERPROFILE%\Documents\GitHub\eaglep3\Utilities\RefineRTDCRunTimes.py" --tripid 244-02 --locoid 4045 --swversion DE.1.0.9.0 --startMP 204:232991 --initTime 2017-07-03T01:11:51 --startdatetime 2017-07-03T01:27:17 --delay 1 --endMP 204:183 --enddatetime 2017-07-03T02:08:28 --enforcementcount 0 &gt;&gt;C:\Users\stu\Documents\GitHub\eaglep3-reporting\EC\2017-07-02-refined-times.txt</v>
      </c>
      <c r="AI165" s="96" t="str">
        <f t="shared" si="70"/>
        <v>echo {"issue":{"subject":"","project_id":79,"tracker_id":40,"status_id":1,"priority_id":2,"assigned_to_id":23,"start_date":"2017-07-03","description":"","custom_fields":[{"id":1,"name":"Subdivision","value":"EC"},{"id":4,"name":"Milepost","value":"0.0183"},{"id":17,"name":"Train ID","value":"244-02"},{"id":16,"name":"Locomotive ID","value":"4045"},{"id":130,"name":"Impact","value":""},{"id":150,"name":"Time of Event (Mountain Time)","value":"02:08:28"},{"id":151,"name":"Denver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71"/>
        <v>start /low /b %USERPROFILE%\Documents\GitHub\eaglep3\Utilities\DownloadLogsFromS3.py --loco 4045 --day 2017-07-03</v>
      </c>
      <c r="AN165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08:08:28"},{"id":29,"name":"Sharepoint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724</v>
      </c>
      <c r="B166" s="7">
        <v>4025</v>
      </c>
      <c r="C166" s="21" t="s">
        <v>202</v>
      </c>
      <c r="D166" s="21" t="s">
        <v>562</v>
      </c>
      <c r="E166" s="13">
        <v>42918.22792824074</v>
      </c>
      <c r="F166" s="13">
        <v>42918.230208333334</v>
      </c>
      <c r="G166" s="7">
        <v>1</v>
      </c>
      <c r="H166" s="21" t="s">
        <v>616</v>
      </c>
      <c r="I166" s="13">
        <v>42918.247002314813</v>
      </c>
      <c r="J166" s="7">
        <v>0</v>
      </c>
      <c r="K166" s="89" t="str">
        <f t="shared" si="57"/>
        <v>4025/4026</v>
      </c>
      <c r="L166" s="21" t="str">
        <f>VLOOKUP(A166,'Trips&amp;Operators'!$C$1:$G$99999,5,FALSE)</f>
        <v>DAVIDSON DAVID</v>
      </c>
      <c r="M166" s="6">
        <f t="shared" si="58"/>
        <v>1.6793981478258502E-2</v>
      </c>
      <c r="N166" s="7">
        <f t="shared" si="74"/>
        <v>24.183333328692243</v>
      </c>
      <c r="O166" s="7"/>
      <c r="P166" s="7"/>
      <c r="Q166" s="22"/>
      <c r="R166" s="170"/>
      <c r="S166" s="213">
        <f t="shared" si="56"/>
        <v>1</v>
      </c>
      <c r="T166" s="195" t="str">
        <f t="shared" si="60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1"/>
        <v>https://d0f6bd738d7f1b3e5a7ca70fe4ff75f0.us-east-1.aws.found.io/app/kibana#/discover/Steve-Slow-Train-Analysis-(2080s-and-2083s)?_g=(refreshInterval:(display:Off,pause:!f,section:0,value:0),time:(from:'2017-07-02T04:28:13-0600',mode:absolute,to:'2017-07-02T06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197" t="str">
        <f>IF(AA166&lt;VLOOKUP(AG166,Variables!$AC$3:$AD$8,2,FALSE),"Y","N")</f>
        <v>N</v>
      </c>
      <c r="X166" s="197">
        <f t="shared" si="75"/>
        <v>1556</v>
      </c>
      <c r="Y166" s="197">
        <f t="shared" si="62"/>
        <v>5.8639999999999999</v>
      </c>
      <c r="Z166" s="197">
        <f t="shared" si="63"/>
        <v>7.0499999999999993E-2</v>
      </c>
      <c r="AA166" s="197">
        <f t="shared" si="64"/>
        <v>5.7934999999999999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5"/>
        <v>1800</v>
      </c>
      <c r="AE166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66" s="74" t="str">
        <f t="shared" si="67"/>
        <v>"C:\Program Files (x86)\AstroGrep\AstroGrep.exe" /e /r /s /spath="%USERPROFILE%\AppData\Local\Temp\OnboardLogs" /stypes="app*4025*20170702*" /stext=" 11:.+((SYSTEM_STATE.+slice.+state.+changed )|(ment ac)|(multiple cpu faults)|(system.+state.+changed )|(\[timeout)|(PRM\|1\|D)|(kpr)|(kdp)|(train st.+moving)|(\|lc)|(penalty))"</v>
      </c>
      <c r="AG166" s="209" t="str">
        <f t="shared" si="68"/>
        <v>NW</v>
      </c>
      <c r="AH166" s="78" t="str">
        <f t="shared" si="69"/>
        <v>"%USERPROFILE%\Documents\GitHub\eaglep3\Utilities\RefineRTDCRunTimes.py" --tripid 1800-02 --locoid 4025 --swversion DE.1.0.9.0 --startMP 300:58640 --initTime 2017-07-02T05:28:13 --startdatetime 2017-07-02T05:31:30 --delay 1 --endMP 204:705 --enddatetime 2017-07-02T05:55:41 --enforcementcount 0 &gt;&gt;C:\Users\stu\Documents\GitHub\eaglep3-reporting\EC\2017-07-02-refined-times.txt</v>
      </c>
      <c r="AI166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{"issue":{"subject":"","project_id":79,"tracker_id":40,"status_id":1,"priority_id":2,"assigned_to_id":23,"start_date":"2017-07-02","description":"","custom_fields":[{"id":1,"name":"Subdivision","value":"NW"},{"id":4,"name":"Milepost","value":"0.0705"},{"id":17,"name":"Train ID","value":"1800-02"},{"id":16,"name":"Locomotive ID","value":"4025"},{"id":130,"name":"Impact","value":""},{"id":150,"name":"Time of Event (Mountain Time)","value":"05:55:41"},{"id":151,"name":"Denver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1"/>
        <v>start /low /b %USERPROFILE%\Documents\GitHub\eaglep3\Utilities\DownloadLogsFromS3.py --loco 4025 --day 2017-07-02</v>
      </c>
      <c r="AN166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730</v>
      </c>
      <c r="B167" s="7">
        <v>4026</v>
      </c>
      <c r="C167" s="21" t="s">
        <v>202</v>
      </c>
      <c r="D167" s="21" t="s">
        <v>918</v>
      </c>
      <c r="E167" s="13">
        <v>42918.248807870368</v>
      </c>
      <c r="F167" s="13">
        <v>42918.264768518522</v>
      </c>
      <c r="G167" s="7">
        <v>1</v>
      </c>
      <c r="H167" s="21" t="s">
        <v>503</v>
      </c>
      <c r="I167" s="13">
        <v>42918.274351851855</v>
      </c>
      <c r="J167" s="7">
        <v>0</v>
      </c>
      <c r="K167" s="89" t="str">
        <f t="shared" si="57"/>
        <v>4025/4026</v>
      </c>
      <c r="L167" s="21" t="str">
        <f>VLOOKUP(A167,'Trips&amp;Operators'!$C$1:$G$99999,5,FALSE)</f>
        <v>DAVIDSON DAVID</v>
      </c>
      <c r="M167" s="6">
        <f t="shared" si="58"/>
        <v>9.5833333325572312E-3</v>
      </c>
      <c r="N167" s="7">
        <f t="shared" si="74"/>
        <v>13.799999998882413</v>
      </c>
      <c r="O167" s="7"/>
      <c r="P167" s="7"/>
      <c r="Q167" s="22"/>
      <c r="R167" s="170"/>
      <c r="S167" s="213">
        <f t="shared" si="56"/>
        <v>1</v>
      </c>
      <c r="T167" s="195" t="str">
        <f t="shared" si="60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1"/>
        <v>https://d0f6bd738d7f1b3e5a7ca70fe4ff75f0.us-east-1.aws.found.io/app/kibana#/discover/Steve-Slow-Train-Analysis-(2080s-and-2083s)?_g=(refreshInterval:(display:Off,pause:!f,section:0,value:0),time:(from:'2017-07-02T04:58:17-0600',mode:absolute,to:'2017-07-02T07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7" s="197" t="str">
        <f>IF(AA167&lt;VLOOKUP(AG167,Variables!$AC$3:$AD$8,2,FALSE),"Y","N")</f>
        <v>N</v>
      </c>
      <c r="X167" s="197">
        <f t="shared" si="75"/>
        <v>1</v>
      </c>
      <c r="Y167" s="197">
        <f t="shared" si="62"/>
        <v>9.9699999999999997E-2</v>
      </c>
      <c r="Z167" s="197">
        <f t="shared" si="63"/>
        <v>5.8944000000000001</v>
      </c>
      <c r="AA167" s="197">
        <f t="shared" si="64"/>
        <v>5.7946999999999997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5"/>
        <v>1801</v>
      </c>
      <c r="AE167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67" s="74" t="str">
        <f t="shared" si="67"/>
        <v>"C:\Program Files (x86)\AstroGrep\AstroGrep.exe" /e /r /s /spath="%USERPROFILE%\AppData\Local\Temp\OnboardLogs" /stypes="app*4026*20170702*" /stext=" 12:.+((SYSTEM_STATE.+slice.+state.+changed )|(ment ac)|(multiple cpu faults)|(system.+state.+changed )|(\[timeout)|(PRM\|1\|D)|(kpr)|(kdp)|(train st.+moving)|(\|lc)|(penalty))"</v>
      </c>
      <c r="AG167" s="209" t="str">
        <f t="shared" si="68"/>
        <v>NW</v>
      </c>
      <c r="AH167" s="78" t="str">
        <f t="shared" si="69"/>
        <v>"%USERPROFILE%\Documents\GitHub\eaglep3\Utilities\RefineRTDCRunTimes.py" --tripid 1801-02 --locoid 4026 --swversion DE.1.0.9.0 --startMP 204:997 --initTime 2017-07-02T05:58:17 --startdatetime 2017-07-02T06:21:16 --delay 1 --endMP 300:58944 --enddatetime 2017-07-02T06:35:04 --enforcementcount 0 &gt;&gt;C:\Users\stu\Documents\GitHub\eaglep3-reporting\EC\2017-07-02-refined-times.txt</v>
      </c>
      <c r="AI167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{"issue":{"subject":"","project_id":79,"tracker_id":40,"status_id":1,"priority_id":2,"assigned_to_id":23,"start_date":"2017-07-02","description":"","custom_fields":[{"id":1,"name":"Subdivision","value":"NW"},{"id":4,"name":"Milepost","value":"5.8944"},{"id":17,"name":"Train ID","value":"1801-02"},{"id":16,"name":"Locomotive ID","value":"4026"},{"id":130,"name":"Impact","value":""},{"id":150,"name":"Time of Event (Mountain Time)","value":"06:35:04"},{"id":151,"name":"Denver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1"/>
        <v>start /low /b %USERPROFILE%\Documents\GitHub\eaglep3\Utilities\DownloadLogsFromS3.py --loco 4026 --day 2017-07-02</v>
      </c>
      <c r="AN167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633</v>
      </c>
      <c r="B168" s="7">
        <v>4025</v>
      </c>
      <c r="C168" s="21" t="s">
        <v>202</v>
      </c>
      <c r="D168" s="21" t="s">
        <v>619</v>
      </c>
      <c r="E168" s="13">
        <v>42918.275381944448</v>
      </c>
      <c r="F168" s="13">
        <v>42918.276817129627</v>
      </c>
      <c r="G168" s="7">
        <v>1</v>
      </c>
      <c r="H168" s="21" t="s">
        <v>919</v>
      </c>
      <c r="I168" s="13">
        <v>42918.288425925923</v>
      </c>
      <c r="J168" s="7">
        <v>0</v>
      </c>
      <c r="K168" s="89" t="str">
        <f t="shared" si="57"/>
        <v>4025/4026</v>
      </c>
      <c r="L168" s="21" t="str">
        <f>VLOOKUP(A168,'Trips&amp;Operators'!$C$1:$G$99999,5,FALSE)</f>
        <v>DAVIDSON DAVID</v>
      </c>
      <c r="M168" s="6">
        <f t="shared" si="58"/>
        <v>1.1608796296059154E-2</v>
      </c>
      <c r="N168" s="7">
        <f t="shared" si="74"/>
        <v>16.716666666325182</v>
      </c>
      <c r="O168" s="7"/>
      <c r="P168" s="7"/>
      <c r="Q168" s="22"/>
      <c r="R168" s="170"/>
      <c r="S168" s="213">
        <f t="shared" si="56"/>
        <v>1</v>
      </c>
      <c r="T168" s="195" t="str">
        <f t="shared" si="60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1"/>
        <v>https://d0f6bd738d7f1b3e5a7ca70fe4ff75f0.us-east-1.aws.found.io/app/kibana#/discover/Steve-Slow-Train-Analysis-(2080s-and-2083s)?_g=(refreshInterval:(display:Off,pause:!f,section:0,value:0),time:(from:'2017-07-02T05:36:33-0600',mode:absolute,to:'2017-07-02T07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8" s="197" t="str">
        <f>IF(AA168&lt;VLOOKUP(AG168,Variables!$AC$3:$AD$8,2,FALSE),"Y","N")</f>
        <v>N</v>
      </c>
      <c r="X168" s="197">
        <f t="shared" si="75"/>
        <v>1</v>
      </c>
      <c r="Y168" s="197">
        <f t="shared" si="62"/>
        <v>5.8613</v>
      </c>
      <c r="Z168" s="197">
        <f t="shared" si="63"/>
        <v>6.9800000000000001E-2</v>
      </c>
      <c r="AA168" s="197">
        <f t="shared" si="64"/>
        <v>5.7915000000000001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5"/>
        <v>1802</v>
      </c>
      <c r="AE168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68" s="74" t="str">
        <f t="shared" si="67"/>
        <v>"C:\Program Files (x86)\AstroGrep\AstroGrep.exe" /e /r /s /spath="%USERPROFILE%\AppData\Local\Temp\OnboardLogs" /stypes="app*4025*20170702*" /stext=" 12:.+((SYSTEM_STATE.+slice.+state.+changed )|(ment ac)|(multiple cpu faults)|(system.+state.+changed )|(\[timeout)|(PRM\|1\|D)|(kpr)|(kdp)|(train st.+moving)|(\|lc)|(penalty))"</v>
      </c>
      <c r="AG168" s="209" t="str">
        <f t="shared" si="68"/>
        <v>NW</v>
      </c>
      <c r="AH168" s="78" t="str">
        <f t="shared" si="69"/>
        <v>"%USERPROFILE%\Documents\GitHub\eaglep3\Utilities\RefineRTDCRunTimes.py" --tripid 1802-02 --locoid 4025 --swversion DE.1.0.9.0 --startMP 300:58613 --initTime 2017-07-02T06:36:33 --startdatetime 2017-07-02T06:38:37 --delay 1 --endMP 204:698 --enddatetime 2017-07-02T06:55:20 --enforcementcount 0 &gt;&gt;C:\Users\stu\Documents\GitHub\eaglep3-reporting\EC\2017-07-02-refined-times.txt</v>
      </c>
      <c r="AI168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{"issue":{"subject":"","project_id":79,"tracker_id":40,"status_id":1,"priority_id":2,"assigned_to_id":23,"start_date":"2017-07-02","description":"","custom_fields":[{"id":1,"name":"Subdivision","value":"NW"},{"id":4,"name":"Milepost","value":"0.0698"},{"id":17,"name":"Train ID","value":"1802-02"},{"id":16,"name":"Locomotive ID","value":"4025"},{"id":130,"name":"Impact","value":""},{"id":150,"name":"Time of Event (Mountain Time)","value":"06:55:20"},{"id":151,"name":"Denver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1"/>
        <v>start /low /b %USERPROFILE%\Documents\GitHub\eaglep3\Utilities\DownloadLogsFromS3.py --loco 4025 --day 2017-07-02</v>
      </c>
      <c r="AN168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737</v>
      </c>
      <c r="B169" s="7">
        <v>4026</v>
      </c>
      <c r="C169" s="21" t="s">
        <v>202</v>
      </c>
      <c r="D169" s="21" t="s">
        <v>558</v>
      </c>
      <c r="E169" s="13">
        <v>42918.289884259262</v>
      </c>
      <c r="F169" s="13">
        <v>42918.306446759256</v>
      </c>
      <c r="G169" s="7">
        <v>1</v>
      </c>
      <c r="H169" s="21" t="s">
        <v>519</v>
      </c>
      <c r="I169" s="13">
        <v>42918.316157407404</v>
      </c>
      <c r="J169" s="7">
        <v>0</v>
      </c>
      <c r="K169" s="89" t="str">
        <f t="shared" si="57"/>
        <v>4025/4026</v>
      </c>
      <c r="L169" s="21" t="str">
        <f>VLOOKUP(A169,'Trips&amp;Operators'!$C$1:$G$99999,5,FALSE)</f>
        <v>DAVIDSON DAVID</v>
      </c>
      <c r="M169" s="6">
        <f t="shared" si="58"/>
        <v>9.710648148029577E-3</v>
      </c>
      <c r="N169" s="7">
        <f t="shared" si="74"/>
        <v>13.983333333162591</v>
      </c>
      <c r="O169" s="7"/>
      <c r="P169" s="7"/>
      <c r="Q169" s="22"/>
      <c r="R169" s="170"/>
      <c r="S169" s="213">
        <f t="shared" si="56"/>
        <v>1</v>
      </c>
      <c r="T169" s="195" t="str">
        <f t="shared" si="60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1"/>
        <v>https://d0f6bd738d7f1b3e5a7ca70fe4ff75f0.us-east-1.aws.found.io/app/kibana#/discover/Steve-Slow-Train-Analysis-(2080s-and-2083s)?_g=(refreshInterval:(display:Off,pause:!f,section:0,value:0),time:(from:'2017-07-02T05:57:26-0600',mode:absolute,to:'2017-07-02T08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9" s="197" t="str">
        <f>IF(AA169&lt;VLOOKUP(AG169,Variables!$AC$3:$AD$8,2,FALSE),"Y","N")</f>
        <v>N</v>
      </c>
      <c r="X169" s="197">
        <f t="shared" si="75"/>
        <v>1</v>
      </c>
      <c r="Y169" s="197">
        <f t="shared" si="62"/>
        <v>9.9000000000000005E-2</v>
      </c>
      <c r="Z169" s="197">
        <f t="shared" si="63"/>
        <v>5.8945999999999996</v>
      </c>
      <c r="AA169" s="197">
        <f t="shared" si="64"/>
        <v>5.7955999999999994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5"/>
        <v>1803</v>
      </c>
      <c r="AE169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69" s="74" t="str">
        <f t="shared" si="67"/>
        <v>"C:\Program Files (x86)\AstroGrep\AstroGrep.exe" /e /r /s /spath="%USERPROFILE%\AppData\Local\Temp\OnboardLogs" /stypes="app*4026*20170702*" /stext=" 13:.+((SYSTEM_STATE.+slice.+state.+changed )|(ment ac)|(multiple cpu faults)|(system.+state.+changed )|(\[timeout)|(PRM\|1\|D)|(kpr)|(kdp)|(train st.+moving)|(\|lc)|(penalty))"</v>
      </c>
      <c r="AG169" s="209" t="str">
        <f t="shared" si="68"/>
        <v>NW</v>
      </c>
      <c r="AH169" s="78" t="str">
        <f t="shared" si="69"/>
        <v>"%USERPROFILE%\Documents\GitHub\eaglep3\Utilities\RefineRTDCRunTimes.py" --tripid 1803-02 --locoid 4026 --swversion DE.1.0.9.0 --startMP 204:990 --initTime 2017-07-02T06:57:26 --startdatetime 2017-07-02T07:21:17 --delay 1 --endMP 300:58946 --enddatetime 2017-07-02T07:35:16 --enforcementcount 0 &gt;&gt;C:\Users\stu\Documents\GitHub\eaglep3-reporting\EC\2017-07-02-refined-times.txt</v>
      </c>
      <c r="AI169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{"issue":{"subject":"","project_id":79,"tracker_id":40,"status_id":1,"priority_id":2,"assigned_to_id":23,"start_date":"2017-07-02","description":"","custom_fields":[{"id":1,"name":"Subdivision","value":"NW"},{"id":4,"name":"Milepost","value":"5.8946"},{"id":17,"name":"Train ID","value":"1803-02"},{"id":16,"name":"Locomotive ID","value":"4026"},{"id":130,"name":"Impact","value":""},{"id":150,"name":"Time of Event (Mountain Time)","value":"07:35:16"},{"id":151,"name":"Denver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1"/>
        <v>start /low /b %USERPROFILE%\Documents\GitHub\eaglep3\Utilities\DownloadLogsFromS3.py --loco 4026 --day 2017-07-02</v>
      </c>
      <c r="AN169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741</v>
      </c>
      <c r="B170" s="7">
        <v>4025</v>
      </c>
      <c r="C170" s="21" t="s">
        <v>202</v>
      </c>
      <c r="D170" s="21" t="s">
        <v>518</v>
      </c>
      <c r="E170" s="13">
        <v>42918.317083333335</v>
      </c>
      <c r="F170" s="13">
        <v>42918.318530092591</v>
      </c>
      <c r="G170" s="7">
        <v>1</v>
      </c>
      <c r="H170" s="21" t="s">
        <v>920</v>
      </c>
      <c r="I170" s="13">
        <v>42918.329988425925</v>
      </c>
      <c r="J170" s="7">
        <v>0</v>
      </c>
      <c r="K170" s="89" t="str">
        <f t="shared" si="57"/>
        <v>4025/4026</v>
      </c>
      <c r="L170" s="21" t="str">
        <f>VLOOKUP(A170,'Trips&amp;Operators'!$C$1:$G$99999,5,FALSE)</f>
        <v>DAVIDSON DAVID</v>
      </c>
      <c r="M170" s="6">
        <f t="shared" si="58"/>
        <v>1.1458333334303461E-2</v>
      </c>
      <c r="N170" s="7">
        <f t="shared" si="74"/>
        <v>16.500000001396984</v>
      </c>
      <c r="O170" s="7"/>
      <c r="P170" s="7"/>
      <c r="Q170" s="22"/>
      <c r="R170" s="170"/>
      <c r="S170" s="213">
        <f t="shared" si="56"/>
        <v>1</v>
      </c>
      <c r="T170" s="195" t="str">
        <f t="shared" si="60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1"/>
        <v>https://d0f6bd738d7f1b3e5a7ca70fe4ff75f0.us-east-1.aws.found.io/app/kibana#/discover/Steve-Slow-Train-Analysis-(2080s-and-2083s)?_g=(refreshInterval:(display:Off,pause:!f,section:0,value:0),time:(from:'2017-07-02T06:36:36-0600',mode:absolute,to:'2017-07-02T08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0" s="197" t="str">
        <f>IF(AA170&lt;VLOOKUP(AG170,Variables!$AC$3:$AD$8,2,FALSE),"Y","N")</f>
        <v>N</v>
      </c>
      <c r="X170" s="197">
        <f t="shared" si="75"/>
        <v>1</v>
      </c>
      <c r="Y170" s="197">
        <f t="shared" si="62"/>
        <v>5.8620999999999999</v>
      </c>
      <c r="Z170" s="197">
        <f t="shared" si="63"/>
        <v>7.2599999999999998E-2</v>
      </c>
      <c r="AA170" s="197">
        <f t="shared" si="64"/>
        <v>5.7895000000000003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5"/>
        <v>1804</v>
      </c>
      <c r="AE170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0" s="74" t="str">
        <f t="shared" si="67"/>
        <v>"C:\Program Files (x86)\AstroGrep\AstroGrep.exe" /e /r /s /spath="%USERPROFILE%\AppData\Local\Temp\OnboardLogs" /stypes="app*4025*20170702*" /stext=" 13:.+((SYSTEM_STATE.+slice.+state.+changed )|(ment ac)|(multiple cpu faults)|(system.+state.+changed )|(\[timeout)|(PRM\|1\|D)|(kpr)|(kdp)|(train st.+moving)|(\|lc)|(penalty))"</v>
      </c>
      <c r="AG170" s="209" t="str">
        <f t="shared" si="68"/>
        <v>NW</v>
      </c>
      <c r="AH170" s="78" t="str">
        <f t="shared" si="69"/>
        <v>"%USERPROFILE%\Documents\GitHub\eaglep3\Utilities\RefineRTDCRunTimes.py" --tripid 1804-02 --locoid 4025 --swversion DE.1.0.9.0 --startMP 300:58621 --initTime 2017-07-02T07:36:36 --startdatetime 2017-07-02T07:38:41 --delay 1 --endMP 204:726 --enddatetime 2017-07-02T07:55:11 --enforcementcount 0 &gt;&gt;C:\Users\stu\Documents\GitHub\eaglep3-reporting\EC\2017-07-02-refined-times.txt</v>
      </c>
      <c r="AI170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{"issue":{"subject":"","project_id":79,"tracker_id":40,"status_id":1,"priority_id":2,"assigned_to_id":23,"start_date":"2017-07-02","description":"","custom_fields":[{"id":1,"name":"Subdivision","value":"NW"},{"id":4,"name":"Milepost","value":"0.0726"},{"id":17,"name":"Train ID","value":"1804-02"},{"id":16,"name":"Locomotive ID","value":"4025"},{"id":130,"name":"Impact","value":""},{"id":150,"name":"Time of Event (Mountain Time)","value":"07:55:11"},{"id":151,"name":"Denver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1"/>
        <v>start /low /b %USERPROFILE%\Documents\GitHub\eaglep3\Utilities\DownloadLogsFromS3.py --loco 4025 --day 2017-07-02</v>
      </c>
      <c r="AN170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747</v>
      </c>
      <c r="B171" s="7">
        <v>4026</v>
      </c>
      <c r="C171" s="21" t="s">
        <v>202</v>
      </c>
      <c r="D171" s="21" t="s">
        <v>477</v>
      </c>
      <c r="E171" s="13">
        <v>42918.332604166666</v>
      </c>
      <c r="F171" s="13">
        <v>42918.348124999997</v>
      </c>
      <c r="G171" s="7">
        <v>1</v>
      </c>
      <c r="H171" s="21" t="s">
        <v>921</v>
      </c>
      <c r="I171" s="13">
        <v>42918.357488425929</v>
      </c>
      <c r="J171" s="7">
        <v>0</v>
      </c>
      <c r="K171" s="89" t="str">
        <f t="shared" si="57"/>
        <v>4025/4026</v>
      </c>
      <c r="L171" s="21" t="str">
        <f>VLOOKUP(A171,'Trips&amp;Operators'!$C$1:$G$99999,5,FALSE)</f>
        <v>DAVIDSON DAVID</v>
      </c>
      <c r="M171" s="6">
        <f t="shared" si="58"/>
        <v>9.3634259319514968E-3</v>
      </c>
      <c r="N171" s="7">
        <f t="shared" si="74"/>
        <v>13.483333342010155</v>
      </c>
      <c r="O171" s="7"/>
      <c r="P171" s="7"/>
      <c r="Q171" s="22"/>
      <c r="R171" s="170"/>
      <c r="S171" s="213">
        <f t="shared" si="56"/>
        <v>1</v>
      </c>
      <c r="T171" s="195" t="str">
        <f t="shared" si="60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1"/>
        <v>https://d0f6bd738d7f1b3e5a7ca70fe4ff75f0.us-east-1.aws.found.io/app/kibana#/discover/Steve-Slow-Train-Analysis-(2080s-and-2083s)?_g=(refreshInterval:(display:Off,pause:!f,section:0,value:0),time:(from:'2017-07-02T06:58:57-0600',mode:absolute,to:'2017-07-02T09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1" s="197" t="str">
        <f>IF(AA171&lt;VLOOKUP(AG171,Variables!$AC$3:$AD$8,2,FALSE),"Y","N")</f>
        <v>N</v>
      </c>
      <c r="X171" s="197">
        <f t="shared" si="75"/>
        <v>1</v>
      </c>
      <c r="Y171" s="197">
        <f t="shared" si="62"/>
        <v>9.74E-2</v>
      </c>
      <c r="Z171" s="197">
        <f t="shared" si="63"/>
        <v>5.8960999999999997</v>
      </c>
      <c r="AA171" s="197">
        <f t="shared" si="64"/>
        <v>5.7986999999999993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5"/>
        <v>1805</v>
      </c>
      <c r="AE171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1" s="74" t="str">
        <f t="shared" si="67"/>
        <v>"C:\Program Files (x86)\AstroGrep\AstroGrep.exe" /e /r /s /spath="%USERPROFILE%\AppData\Local\Temp\OnboardLogs" /stypes="app*4026*20170702*" /stext=" 14:.+((SYSTEM_STATE.+slice.+state.+changed )|(ment ac)|(multiple cpu faults)|(system.+state.+changed )|(\[timeout)|(PRM\|1\|D)|(kpr)|(kdp)|(train st.+moving)|(\|lc)|(penalty))"</v>
      </c>
      <c r="AG171" s="209" t="str">
        <f t="shared" si="68"/>
        <v>NW</v>
      </c>
      <c r="AH171" s="78" t="str">
        <f t="shared" si="69"/>
        <v>"%USERPROFILE%\Documents\GitHub\eaglep3\Utilities\RefineRTDCRunTimes.py" --tripid 1805-02 --locoid 4026 --swversion DE.1.0.9.0 --startMP 204:974 --initTime 2017-07-02T07:58:57 --startdatetime 2017-07-02T08:21:18 --delay 1 --endMP 300:58961 --enddatetime 2017-07-02T08:34:47 --enforcementcount 0 &gt;&gt;C:\Users\stu\Documents\GitHub\eaglep3-reporting\EC\2017-07-02-refined-times.txt</v>
      </c>
      <c r="AI171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{"issue":{"subject":"","project_id":79,"tracker_id":40,"status_id":1,"priority_id":2,"assigned_to_id":23,"start_date":"2017-07-02","description":"","custom_fields":[{"id":1,"name":"Subdivision","value":"NW"},{"id":4,"name":"Milepost","value":"5.8961"},{"id":17,"name":"Train ID","value":"1805-02"},{"id":16,"name":"Locomotive ID","value":"4026"},{"id":130,"name":"Impact","value":""},{"id":150,"name":"Time of Event (Mountain Time)","value":"08:34:47"},{"id":151,"name":"Denver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71"/>
        <v>start /low /b %USERPROFILE%\Documents\GitHub\eaglep3\Utilities\DownloadLogsFromS3.py --loco 4026 --day 2017-07-02</v>
      </c>
      <c r="AN171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750</v>
      </c>
      <c r="B172" s="7">
        <v>4025</v>
      </c>
      <c r="C172" s="21" t="s">
        <v>202</v>
      </c>
      <c r="D172" s="21" t="s">
        <v>922</v>
      </c>
      <c r="E172" s="13">
        <v>42918.358425925922</v>
      </c>
      <c r="F172" s="13">
        <v>42918.359895833331</v>
      </c>
      <c r="G172" s="7">
        <v>1</v>
      </c>
      <c r="H172" s="21" t="s">
        <v>923</v>
      </c>
      <c r="I172" s="13">
        <v>42918.371828703705</v>
      </c>
      <c r="J172" s="7">
        <v>0</v>
      </c>
      <c r="K172" s="89" t="str">
        <f t="shared" si="57"/>
        <v>4025/4026</v>
      </c>
      <c r="L172" s="21" t="str">
        <f>VLOOKUP(A172,'Trips&amp;Operators'!$C$1:$G$99999,5,FALSE)</f>
        <v>DAVIDSON DAVID</v>
      </c>
      <c r="M172" s="6">
        <f t="shared" si="58"/>
        <v>1.1932870373129845E-2</v>
      </c>
      <c r="N172" s="7">
        <f t="shared" si="74"/>
        <v>17.183333337306976</v>
      </c>
      <c r="O172" s="7"/>
      <c r="P172" s="7"/>
      <c r="Q172" s="22"/>
      <c r="R172" s="170"/>
      <c r="S172" s="213">
        <f t="shared" ref="S172:S203" si="81">SUM(U172:U172)/IF(AG172="EC",12,1)</f>
        <v>1</v>
      </c>
      <c r="T172" s="195" t="str">
        <f t="shared" si="60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1"/>
        <v>https://d0f6bd738d7f1b3e5a7ca70fe4ff75f0.us-east-1.aws.found.io/app/kibana#/discover/Steve-Slow-Train-Analysis-(2080s-and-2083s)?_g=(refreshInterval:(display:Off,pause:!f,section:0,value:0),time:(from:'2017-07-02T07:36:08-0600',mode:absolute,to:'2017-07-02T09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2" s="197" t="str">
        <f>IF(AA172&lt;VLOOKUP(AG172,Variables!$AC$3:$AD$8,2,FALSE),"Y","N")</f>
        <v>N</v>
      </c>
      <c r="X172" s="197">
        <f t="shared" si="75"/>
        <v>1</v>
      </c>
      <c r="Y172" s="197">
        <f t="shared" si="62"/>
        <v>5.8647</v>
      </c>
      <c r="Z172" s="197">
        <f t="shared" si="63"/>
        <v>7.0999999999999994E-2</v>
      </c>
      <c r="AA172" s="197">
        <f t="shared" si="64"/>
        <v>5.7937000000000003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5"/>
        <v>1806</v>
      </c>
      <c r="AE172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2" s="74" t="str">
        <f t="shared" si="67"/>
        <v>"C:\Program Files (x86)\AstroGrep\AstroGrep.exe" /e /r /s /spath="%USERPROFILE%\AppData\Local\Temp\OnboardLogs" /stypes="app*4025*20170702*" /stext=" 14:.+((SYSTEM_STATE.+slice.+state.+changed )|(ment ac)|(multiple cpu faults)|(system.+state.+changed )|(\[timeout)|(PRM\|1\|D)|(kpr)|(kdp)|(train st.+moving)|(\|lc)|(penalty))"</v>
      </c>
      <c r="AG172" s="209" t="str">
        <f t="shared" si="68"/>
        <v>NW</v>
      </c>
      <c r="AH172" s="78" t="str">
        <f t="shared" si="69"/>
        <v>"%USERPROFILE%\Documents\GitHub\eaglep3\Utilities\RefineRTDCRunTimes.py" --tripid 1806-02 --locoid 4025 --swversion DE.1.0.9.0 --startMP 300:58647 --initTime 2017-07-02T08:36:08 --startdatetime 2017-07-02T08:38:15 --delay 1 --endMP 204:710 --enddatetime 2017-07-02T08:55:26 --enforcementcount 0 &gt;&gt;C:\Users\stu\Documents\GitHub\eaglep3-reporting\EC\2017-07-02-refined-times.txt</v>
      </c>
      <c r="AI172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{"issue":{"subject":"","project_id":79,"tracker_id":40,"status_id":1,"priority_id":2,"assigned_to_id":23,"start_date":"2017-07-02","description":"","custom_fields":[{"id":1,"name":"Subdivision","value":"NW"},{"id":4,"name":"Milepost","value":"0.071"},{"id":17,"name":"Train ID","value":"1806-02"},{"id":16,"name":"Locomotive ID","value":"4025"},{"id":130,"name":"Impact","value":""},{"id":150,"name":"Time of Event (Mountain Time)","value":"08:55:26"},{"id":151,"name":"Denver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71"/>
        <v>start /low /b %USERPROFILE%\Documents\GitHub\eaglep3\Utilities\DownloadLogsFromS3.py --loco 4025 --day 2017-07-02</v>
      </c>
      <c r="AN172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14:55:26"},{"id":29,"name":"Sharepoint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754</v>
      </c>
      <c r="B173" s="7">
        <v>4026</v>
      </c>
      <c r="C173" s="21" t="s">
        <v>202</v>
      </c>
      <c r="D173" s="21" t="s">
        <v>614</v>
      </c>
      <c r="E173" s="13">
        <v>42918.380104166667</v>
      </c>
      <c r="F173" s="13">
        <v>42918.389780092592</v>
      </c>
      <c r="G173" s="7">
        <v>1</v>
      </c>
      <c r="H173" s="21" t="s">
        <v>505</v>
      </c>
      <c r="I173" s="13">
        <v>42918.399085648147</v>
      </c>
      <c r="J173" s="7">
        <v>0</v>
      </c>
      <c r="K173" s="89" t="str">
        <f t="shared" si="57"/>
        <v>4025/4026</v>
      </c>
      <c r="L173" s="21" t="str">
        <f>VLOOKUP(A173,'Trips&amp;Operators'!$C$1:$G$99999,5,FALSE)</f>
        <v>DAVIDSON DAVID</v>
      </c>
      <c r="M173" s="6">
        <f t="shared" si="58"/>
        <v>9.3055555553291924E-3</v>
      </c>
      <c r="N173" s="7">
        <f t="shared" si="74"/>
        <v>13.399999999674037</v>
      </c>
      <c r="O173" s="7"/>
      <c r="P173" s="7"/>
      <c r="Q173" s="22"/>
      <c r="R173" s="170"/>
      <c r="S173" s="213">
        <f t="shared" si="81"/>
        <v>1</v>
      </c>
      <c r="T173" s="195" t="str">
        <f t="shared" si="60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1"/>
        <v>https://d0f6bd738d7f1b3e5a7ca70fe4ff75f0.us-east-1.aws.found.io/app/kibana#/discover/Steve-Slow-Train-Analysis-(2080s-and-2083s)?_g=(refreshInterval:(display:Off,pause:!f,section:0,value:0),time:(from:'2017-07-02T08:07:21-0600',mode:absolute,to:'2017-07-02T10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3" s="197" t="str">
        <f>IF(AA173&lt;VLOOKUP(AG173,Variables!$AC$3:$AD$8,2,FALSE),"Y","N")</f>
        <v>N</v>
      </c>
      <c r="X173" s="197">
        <f t="shared" ref="X173:X204" si="82">VALUE(LEFT(AD173,4))-VALUE(LEFT(AD172,4))</f>
        <v>1</v>
      </c>
      <c r="Y173" s="197">
        <f t="shared" ref="Y173:Y194" si="83">RIGHT(D173,LEN(D173)-4)/10000</f>
        <v>9.8299999999999998E-2</v>
      </c>
      <c r="Z173" s="197">
        <f t="shared" ref="Z173:Z194" si="84">RIGHT(H173,LEN(H173)-4)/10000</f>
        <v>5.8939000000000004</v>
      </c>
      <c r="AA173" s="197">
        <f t="shared" si="64"/>
        <v>5.7956000000000003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5"/>
        <v>1807</v>
      </c>
      <c r="AE173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3" s="74" t="str">
        <f t="shared" si="67"/>
        <v>"C:\Program Files (x86)\AstroGrep\AstroGrep.exe" /e /r /s /spath="%USERPROFILE%\AppData\Local\Temp\OnboardLogs" /stypes="app*4026*20170702*" /stext=" 15:.+((SYSTEM_STATE.+slice.+state.+changed )|(ment ac)|(multiple cpu faults)|(system.+state.+changed )|(\[timeout)|(PRM\|1\|D)|(kpr)|(kdp)|(train st.+moving)|(\|lc)|(penalty))"</v>
      </c>
      <c r="AG173" s="209" t="str">
        <f t="shared" si="68"/>
        <v>NW</v>
      </c>
      <c r="AH173" s="78" t="str">
        <f t="shared" si="69"/>
        <v>"%USERPROFILE%\Documents\GitHub\eaglep3\Utilities\RefineRTDCRunTimes.py" --tripid 1807-02 --locoid 4026 --swversion DE.1.0.9.0 --startMP 204:983 --initTime 2017-07-02T09:07:21 --startdatetime 2017-07-02T09:21:17 --delay 1 --endMP 300:58939 --enddatetime 2017-07-02T09:34:41 --enforcementcount 0 &gt;&gt;C:\Users\stu\Documents\GitHub\eaglep3-reporting\EC\2017-07-02-refined-times.txt</v>
      </c>
      <c r="AI173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{"issue":{"subject":"","project_id":79,"tracker_id":40,"status_id":1,"priority_id":2,"assigned_to_id":23,"start_date":"2017-07-02","description":"","custom_fields":[{"id":1,"name":"Subdivision","value":"NW"},{"id":4,"name":"Milepost","value":"5.8939"},{"id":17,"name":"Train ID","value":"1807-02"},{"id":16,"name":"Locomotive ID","value":"4026"},{"id":130,"name":"Impact","value":""},{"id":150,"name":"Time of Event (Mountain Time)","value":"09:34:41"},{"id":151,"name":"Denver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71"/>
        <v>start /low /b %USERPROFILE%\Documents\GitHub\eaglep3\Utilities\DownloadLogsFromS3.py --loco 4026 --day 2017-07-02</v>
      </c>
      <c r="AN173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757</v>
      </c>
      <c r="B174" s="7">
        <v>4025</v>
      </c>
      <c r="C174" s="21" t="s">
        <v>202</v>
      </c>
      <c r="D174" s="21" t="s">
        <v>622</v>
      </c>
      <c r="E174" s="13">
        <v>42918.400300925925</v>
      </c>
      <c r="F174" s="13">
        <v>42918.401597222219</v>
      </c>
      <c r="G174" s="7">
        <v>0</v>
      </c>
      <c r="H174" s="21" t="s">
        <v>924</v>
      </c>
      <c r="I174" s="13">
        <v>42918.41333333333</v>
      </c>
      <c r="J174" s="7">
        <v>0</v>
      </c>
      <c r="K174" s="89" t="str">
        <f t="shared" si="57"/>
        <v>4025/4026</v>
      </c>
      <c r="L174" s="21" t="str">
        <f>VLOOKUP(A174,'Trips&amp;Operators'!$C$1:$G$99999,5,FALSE)</f>
        <v>DAVIDSON DAVID</v>
      </c>
      <c r="M174" s="6">
        <f t="shared" si="58"/>
        <v>1.17361111115315E-2</v>
      </c>
      <c r="N174" s="7">
        <f t="shared" si="74"/>
        <v>16.90000000060536</v>
      </c>
      <c r="O174" s="7"/>
      <c r="P174" s="7"/>
      <c r="Q174" s="22"/>
      <c r="R174" s="170"/>
      <c r="S174" s="213">
        <f t="shared" si="81"/>
        <v>1</v>
      </c>
      <c r="T174" s="195" t="str">
        <f t="shared" si="60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1"/>
        <v>https://d0f6bd738d7f1b3e5a7ca70fe4ff75f0.us-east-1.aws.found.io/app/kibana#/discover/Steve-Slow-Train-Analysis-(2080s-and-2083s)?_g=(refreshInterval:(display:Off,pause:!f,section:0,value:0),time:(from:'2017-07-02T08:36:26-0600',mode:absolute,to:'2017-07-02T10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4" s="197" t="str">
        <f>IF(AA174&lt;VLOOKUP(AG174,Variables!$AC$3:$AD$8,2,FALSE),"Y","N")</f>
        <v>N</v>
      </c>
      <c r="X174" s="197">
        <f t="shared" si="82"/>
        <v>1</v>
      </c>
      <c r="Y174" s="197">
        <f t="shared" si="83"/>
        <v>5.8628</v>
      </c>
      <c r="Z174" s="197">
        <f t="shared" si="84"/>
        <v>7.0099999999999996E-2</v>
      </c>
      <c r="AA174" s="197">
        <f t="shared" si="64"/>
        <v>5.7927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5"/>
        <v>1808</v>
      </c>
      <c r="AE174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4" s="74" t="str">
        <f t="shared" si="67"/>
        <v>"C:\Program Files (x86)\AstroGrep\AstroGrep.exe" /e /r /s /spath="%USERPROFILE%\AppData\Local\Temp\OnboardLogs" /stypes="app*4025*20170702*" /stext=" 15:.+((SYSTEM_STATE.+slice.+state.+changed )|(ment ac)|(multiple cpu faults)|(system.+state.+changed )|(\[timeout)|(PRM\|1\|D)|(kpr)|(kdp)|(train st.+moving)|(\|lc)|(penalty))"</v>
      </c>
      <c r="AG174" s="209" t="str">
        <f t="shared" si="68"/>
        <v>NW</v>
      </c>
      <c r="AH174" s="78" t="str">
        <f t="shared" si="69"/>
        <v>"%USERPROFILE%\Documents\GitHub\eaglep3\Utilities\RefineRTDCRunTimes.py" --tripid 1808-02 --locoid 4025 --swversion DE.1.0.9.0 --startMP 300:58628 --initTime 2017-07-02T09:36:26 --startdatetime 2017-07-02T09:38:18 --delay 0 --endMP 204:701 --enddatetime 2017-07-02T09:55:12 --enforcementcount 0 &gt;&gt;C:\Users\stu\Documents\GitHub\eaglep3-reporting\EC\2017-07-02-refined-times.txt</v>
      </c>
      <c r="AI174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{"issue":{"subject":"","project_id":79,"tracker_id":40,"status_id":1,"priority_id":2,"assigned_to_id":23,"start_date":"2017-07-02","description":"","custom_fields":[{"id":1,"name":"Subdivision","value":"NW"},{"id":4,"name":"Milepost","value":"0.0701"},{"id":17,"name":"Train ID","value":"1808-02"},{"id":16,"name":"Locomotive ID","value":"4025"},{"id":130,"name":"Impact","value":""},{"id":150,"name":"Time of Event (Mountain Time)","value":"09:55:12"},{"id":151,"name":"Denver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1"/>
        <v>start /low /b %USERPROFILE%\Documents\GitHub\eaglep3\Utilities\DownloadLogsFromS3.py --loco 4025 --day 2017-07-02</v>
      </c>
      <c r="AN174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15:55:12"},{"id":29,"name":"Sharepoint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760</v>
      </c>
      <c r="B175" s="7">
        <v>4026</v>
      </c>
      <c r="C175" s="21" t="s">
        <v>202</v>
      </c>
      <c r="D175" s="21" t="s">
        <v>561</v>
      </c>
      <c r="E175" s="13">
        <v>42918.416296296295</v>
      </c>
      <c r="F175" s="13">
        <v>42918.431446759256</v>
      </c>
      <c r="G175" s="7">
        <v>1</v>
      </c>
      <c r="H175" s="21" t="s">
        <v>503</v>
      </c>
      <c r="I175" s="13">
        <v>42918.441145833334</v>
      </c>
      <c r="J175" s="7">
        <v>0</v>
      </c>
      <c r="K175" s="89" t="str">
        <f t="shared" si="57"/>
        <v>4025/4026</v>
      </c>
      <c r="L175" s="21" t="str">
        <f>VLOOKUP(A175,'Trips&amp;Operators'!$C$1:$G$99999,5,FALSE)</f>
        <v>DAVIDSON DAVID</v>
      </c>
      <c r="M175" s="6">
        <f t="shared" si="58"/>
        <v>9.6990740785258822E-3</v>
      </c>
      <c r="N175" s="7">
        <f t="shared" si="74"/>
        <v>13.96666667307727</v>
      </c>
      <c r="O175" s="7"/>
      <c r="P175" s="7"/>
      <c r="Q175" s="22"/>
      <c r="R175" s="170"/>
      <c r="S175" s="213">
        <f t="shared" si="81"/>
        <v>1</v>
      </c>
      <c r="T175" s="195" t="str">
        <f t="shared" si="60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1"/>
        <v>https://d0f6bd738d7f1b3e5a7ca70fe4ff75f0.us-east-1.aws.found.io/app/kibana#/discover/Steve-Slow-Train-Analysis-(2080s-and-2083s)?_g=(refreshInterval:(display:Off,pause:!f,section:0,value:0),time:(from:'2017-07-02T08:59:28-0600',mode:absolute,to:'2017-07-02T11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5" s="197" t="str">
        <f>IF(AA175&lt;VLOOKUP(AG175,Variables!$AC$3:$AD$8,2,FALSE),"Y","N")</f>
        <v>N</v>
      </c>
      <c r="X175" s="197">
        <f t="shared" si="82"/>
        <v>1</v>
      </c>
      <c r="Y175" s="197">
        <f t="shared" si="83"/>
        <v>9.8799999999999999E-2</v>
      </c>
      <c r="Z175" s="197">
        <f t="shared" si="84"/>
        <v>5.8944000000000001</v>
      </c>
      <c r="AA175" s="197">
        <f t="shared" si="64"/>
        <v>5.7956000000000003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5"/>
        <v>1809</v>
      </c>
      <c r="AE175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5" s="74" t="str">
        <f t="shared" si="67"/>
        <v>"C:\Program Files (x86)\AstroGrep\AstroGrep.exe" /e /r /s /spath="%USERPROFILE%\AppData\Local\Temp\OnboardLogs" /stypes="app*4026*20170702*" /stext=" 16:.+((SYSTEM_STATE.+slice.+state.+changed )|(ment ac)|(multiple cpu faults)|(system.+state.+changed )|(\[timeout)|(PRM\|1\|D)|(kpr)|(kdp)|(train st.+moving)|(\|lc)|(penalty))"</v>
      </c>
      <c r="AG175" s="209" t="str">
        <f t="shared" si="68"/>
        <v>NW</v>
      </c>
      <c r="AH175" s="78" t="str">
        <f t="shared" si="69"/>
        <v>"%USERPROFILE%\Documents\GitHub\eaglep3\Utilities\RefineRTDCRunTimes.py" --tripid 1809-02 --locoid 4026 --swversion DE.1.0.9.0 --startMP 204:988 --initTime 2017-07-02T09:59:28 --startdatetime 2017-07-02T10:21:17 --delay 1 --endMP 300:58944 --enddatetime 2017-07-02T10:35:15 --enforcementcount 0 &gt;&gt;C:\Users\stu\Documents\GitHub\eaglep3-reporting\EC\2017-07-02-refined-times.txt</v>
      </c>
      <c r="AI175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{"issue":{"subject":"","project_id":79,"tracker_id":40,"status_id":1,"priority_id":2,"assigned_to_id":23,"start_date":"2017-07-02","description":"","custom_fields":[{"id":1,"name":"Subdivision","value":"NW"},{"id":4,"name":"Milepost","value":"5.8944"},{"id":17,"name":"Train ID","value":"1809-02"},{"id":16,"name":"Locomotive ID","value":"4026"},{"id":130,"name":"Impact","value":""},{"id":150,"name":"Time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1"/>
        <v>start /low /b %USERPROFILE%\Documents\GitHub\eaglep3\Utilities\DownloadLogsFromS3.py --loco 4026 --day 2017-07-02</v>
      </c>
      <c r="AN175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764</v>
      </c>
      <c r="B176" s="7">
        <v>4025</v>
      </c>
      <c r="C176" s="21" t="s">
        <v>202</v>
      </c>
      <c r="D176" s="21" t="s">
        <v>622</v>
      </c>
      <c r="E176" s="13">
        <v>42918.442118055558</v>
      </c>
      <c r="F176" s="13">
        <v>42918.443668981483</v>
      </c>
      <c r="G176" s="7">
        <v>1</v>
      </c>
      <c r="H176" s="21" t="s">
        <v>560</v>
      </c>
      <c r="I176" s="13">
        <v>42918.455185185187</v>
      </c>
      <c r="J176" s="7">
        <v>0</v>
      </c>
      <c r="K176" s="89" t="str">
        <f t="shared" si="57"/>
        <v>4025/4026</v>
      </c>
      <c r="L176" s="21" t="str">
        <f>VLOOKUP(A176,'Trips&amp;Operators'!$C$1:$G$99999,5,FALSE)</f>
        <v>DAVIDSON DAVID</v>
      </c>
      <c r="M176" s="6">
        <f t="shared" si="58"/>
        <v>1.1516203703649808E-2</v>
      </c>
      <c r="N176" s="7">
        <f t="shared" si="74"/>
        <v>16.583333333255723</v>
      </c>
      <c r="O176" s="7"/>
      <c r="P176" s="7"/>
      <c r="Q176" s="22"/>
      <c r="R176" s="170"/>
      <c r="S176" s="213">
        <f t="shared" si="81"/>
        <v>1</v>
      </c>
      <c r="T176" s="195" t="str">
        <f t="shared" si="60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1"/>
        <v>https://d0f6bd738d7f1b3e5a7ca70fe4ff75f0.us-east-1.aws.found.io/app/kibana#/discover/Steve-Slow-Train-Analysis-(2080s-and-2083s)?_g=(refreshInterval:(display:Off,pause:!f,section:0,value:0),time:(from:'2017-07-02T09:36:39-0600',mode:absolute,to:'2017-07-02T11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6" s="197" t="str">
        <f>IF(AA176&lt;VLOOKUP(AG176,Variables!$AC$3:$AD$8,2,FALSE),"Y","N")</f>
        <v>N</v>
      </c>
      <c r="X176" s="197">
        <f t="shared" si="82"/>
        <v>1</v>
      </c>
      <c r="Y176" s="197">
        <f t="shared" si="83"/>
        <v>5.8628</v>
      </c>
      <c r="Z176" s="197">
        <f t="shared" si="84"/>
        <v>6.9099999999999995E-2</v>
      </c>
      <c r="AA176" s="197">
        <f t="shared" si="64"/>
        <v>5.7937000000000003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5"/>
        <v>1810</v>
      </c>
      <c r="AE176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6" s="74" t="str">
        <f t="shared" si="67"/>
        <v>"C:\Program Files (x86)\AstroGrep\AstroGrep.exe" /e /r /s /spath="%USERPROFILE%\AppData\Local\Temp\OnboardLogs" /stypes="app*4025*20170702*" /stext=" 16:.+((SYSTEM_STATE.+slice.+state.+changed )|(ment ac)|(multiple cpu faults)|(system.+state.+changed )|(\[timeout)|(PRM\|1\|D)|(kpr)|(kdp)|(train st.+moving)|(\|lc)|(penalty))"</v>
      </c>
      <c r="AG176" s="209" t="str">
        <f t="shared" si="68"/>
        <v>NW</v>
      </c>
      <c r="AH176" s="78" t="str">
        <f t="shared" si="69"/>
        <v>"%USERPROFILE%\Documents\GitHub\eaglep3\Utilities\RefineRTDCRunTimes.py" --tripid 1810-02 --locoid 4025 --swversion DE.1.0.9.0 --startMP 300:58628 --initTime 2017-07-02T10:36:39 --startdatetime 2017-07-02T10:38:53 --delay 1 --endMP 204:691 --enddatetime 2017-07-02T10:55:28 --enforcementcount 0 &gt;&gt;C:\Users\stu\Documents\GitHub\eaglep3-reporting\EC\2017-07-02-refined-times.txt</v>
      </c>
      <c r="AI176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{"issue":{"subject":"","project_id":79,"tracker_id":40,"status_id":1,"priority_id":2,"assigned_to_id":23,"start_date":"2017-07-02","description":"","custom_fields":[{"id":1,"name":"Subdivision","value":"NW"},{"id":4,"name":"Milepost","value":"0.0691"},{"id":17,"name":"Train ID","value":"1810-02"},{"id":16,"name":"Locomotive ID","value":"4025"},{"id":130,"name":"Impact","value":""},{"id":150,"name":"Time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1"/>
        <v>start /low /b %USERPROFILE%\Documents\GitHub\eaglep3\Utilities\DownloadLogsFromS3.py --loco 4025 --day 2017-07-02</v>
      </c>
      <c r="AN176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16:55:28"},{"id":29,"name":"Sharepoint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767</v>
      </c>
      <c r="B177" s="7">
        <v>4026</v>
      </c>
      <c r="C177" s="21" t="s">
        <v>202</v>
      </c>
      <c r="D177" s="21" t="s">
        <v>925</v>
      </c>
      <c r="E177" s="13">
        <v>42918.458402777775</v>
      </c>
      <c r="F177" s="13">
        <v>42918.473113425927</v>
      </c>
      <c r="G177" s="7">
        <v>1</v>
      </c>
      <c r="H177" s="21" t="s">
        <v>504</v>
      </c>
      <c r="I177" s="13">
        <v>42918.482743055552</v>
      </c>
      <c r="J177" s="7">
        <v>0</v>
      </c>
      <c r="K177" s="89" t="str">
        <f t="shared" si="57"/>
        <v>4025/4026</v>
      </c>
      <c r="L177" s="21" t="str">
        <f>VLOOKUP(A177,'Trips&amp;Operators'!$C$1:$G$99999,5,FALSE)</f>
        <v>DAVIDSON DAVID</v>
      </c>
      <c r="M177" s="6">
        <f t="shared" si="58"/>
        <v>9.6296296251239255E-3</v>
      </c>
      <c r="N177" s="7">
        <f t="shared" si="74"/>
        <v>13.866666660178453</v>
      </c>
      <c r="O177" s="7"/>
      <c r="P177" s="7"/>
      <c r="Q177" s="22"/>
      <c r="R177" s="170"/>
      <c r="S177" s="213">
        <f t="shared" si="81"/>
        <v>1</v>
      </c>
      <c r="T177" s="195" t="str">
        <f t="shared" si="60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1"/>
        <v>https://d0f6bd738d7f1b3e5a7ca70fe4ff75f0.us-east-1.aws.found.io/app/kibana#/discover/Steve-Slow-Train-Analysis-(2080s-and-2083s)?_g=(refreshInterval:(display:Off,pause:!f,section:0,value:0),time:(from:'2017-07-02T10:00:06-0600',mode:absolute,to:'2017-07-02T12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7" s="197" t="str">
        <f>IF(AA177&lt;VLOOKUP(AG177,Variables!$AC$3:$AD$8,2,FALSE),"Y","N")</f>
        <v>N</v>
      </c>
      <c r="X177" s="197">
        <f t="shared" si="82"/>
        <v>1</v>
      </c>
      <c r="Y177" s="197">
        <f t="shared" si="83"/>
        <v>9.9199999999999997E-2</v>
      </c>
      <c r="Z177" s="197">
        <f t="shared" si="84"/>
        <v>5.8943000000000003</v>
      </c>
      <c r="AA177" s="197">
        <f t="shared" si="64"/>
        <v>5.7951000000000006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5"/>
        <v>1811</v>
      </c>
      <c r="AE177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7" s="74" t="str">
        <f t="shared" si="67"/>
        <v>"C:\Program Files (x86)\AstroGrep\AstroGrep.exe" /e /r /s /spath="%USERPROFILE%\AppData\Local\Temp\OnboardLogs" /stypes="app*4026*20170702*" /stext=" 17:.+((SYSTEM_STATE.+slice.+state.+changed )|(ment ac)|(multiple cpu faults)|(system.+state.+changed )|(\[timeout)|(PRM\|1\|D)|(kpr)|(kdp)|(train st.+moving)|(\|lc)|(penalty))"</v>
      </c>
      <c r="AG177" s="209" t="str">
        <f t="shared" si="68"/>
        <v>NW</v>
      </c>
      <c r="AH177" s="78" t="str">
        <f t="shared" si="69"/>
        <v>"%USERPROFILE%\Documents\GitHub\eaglep3\Utilities\RefineRTDCRunTimes.py" --tripid 1811-02 --locoid 4026 --swversion DE.1.0.9.0 --startMP 204:992 --initTime 2017-07-02T11:00:06 --startdatetime 2017-07-02T11:21:17 --delay 1 --endMP 300:58943 --enddatetime 2017-07-02T11:35:09 --enforcementcount 0 &gt;&gt;C:\Users\stu\Documents\GitHub\eaglep3-reporting\EC\2017-07-02-refined-times.txt</v>
      </c>
      <c r="AI177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{"issue":{"subject":"","project_id":79,"tracker_id":40,"status_id":1,"priority_id":2,"assigned_to_id":23,"start_date":"2017-07-02","description":"","custom_fields":[{"id":1,"name":"Subdivision","value":"NW"},{"id":4,"name":"Milepost","value":"5.8943"},{"id":17,"name":"Train ID","value":"1811-02"},{"id":16,"name":"Locomotive ID","value":"4026"},{"id":130,"name":"Impact","value":""},{"id":150,"name":"Time of Event (Mountain Time)","value":"11:35:09"},{"id":151,"name":"Denver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1"/>
        <v>start /low /b %USERPROFILE%\Documents\GitHub\eaglep3\Utilities\DownloadLogsFromS3.py --loco 4026 --day 2017-07-02</v>
      </c>
      <c r="AN177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773</v>
      </c>
      <c r="B178" s="7">
        <v>4025</v>
      </c>
      <c r="C178" s="21" t="s">
        <v>202</v>
      </c>
      <c r="D178" s="21" t="s">
        <v>483</v>
      </c>
      <c r="E178" s="13">
        <v>42918.48369212963</v>
      </c>
      <c r="F178" s="13">
        <v>42918.485046296293</v>
      </c>
      <c r="G178" s="7">
        <v>1</v>
      </c>
      <c r="H178" s="21" t="s">
        <v>620</v>
      </c>
      <c r="I178" s="13">
        <v>42918.496701388889</v>
      </c>
      <c r="J178" s="7">
        <v>0</v>
      </c>
      <c r="K178" s="89" t="str">
        <f t="shared" si="57"/>
        <v>4025/4026</v>
      </c>
      <c r="L178" s="21" t="str">
        <f>VLOOKUP(A178,'Trips&amp;Operators'!$C$1:$G$99999,5,FALSE)</f>
        <v>DAVIDSON DAVID</v>
      </c>
      <c r="M178" s="6">
        <f t="shared" si="58"/>
        <v>1.1655092595901806E-2</v>
      </c>
      <c r="N178" s="7">
        <f t="shared" si="74"/>
        <v>16.783333338098601</v>
      </c>
      <c r="O178" s="7"/>
      <c r="P178" s="7"/>
      <c r="Q178" s="22"/>
      <c r="R178" s="170"/>
      <c r="S178" s="213">
        <f t="shared" si="81"/>
        <v>1</v>
      </c>
      <c r="T178" s="195" t="str">
        <f t="shared" si="60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1"/>
        <v>https://d0f6bd738d7f1b3e5a7ca70fe4ff75f0.us-east-1.aws.found.io/app/kibana#/discover/Steve-Slow-Train-Analysis-(2080s-and-2083s)?_g=(refreshInterval:(display:Off,pause:!f,section:0,value:0),time:(from:'2017-07-02T10:36:31-0600',mode:absolute,to:'2017-07-02T12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8" s="197" t="str">
        <f>IF(AA178&lt;VLOOKUP(AG178,Variables!$AC$3:$AD$8,2,FALSE),"Y","N")</f>
        <v>N</v>
      </c>
      <c r="X178" s="197">
        <f t="shared" si="82"/>
        <v>1</v>
      </c>
      <c r="Y178" s="197">
        <f t="shared" si="83"/>
        <v>5.8634000000000004</v>
      </c>
      <c r="Z178" s="197">
        <f t="shared" si="84"/>
        <v>6.8000000000000005E-2</v>
      </c>
      <c r="AA178" s="197">
        <f t="shared" si="64"/>
        <v>5.7954000000000008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5"/>
        <v>1812</v>
      </c>
      <c r="AE178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78" s="74" t="str">
        <f t="shared" si="67"/>
        <v>"C:\Program Files (x86)\AstroGrep\AstroGrep.exe" /e /r /s /spath="%USERPROFILE%\AppData\Local\Temp\OnboardLogs" /stypes="app*4025*20170702*" /stext=" 17:.+((SYSTEM_STATE.+slice.+state.+changed )|(ment ac)|(multiple cpu faults)|(system.+state.+changed )|(\[timeout)|(PRM\|1\|D)|(kpr)|(kdp)|(train st.+moving)|(\|lc)|(penalty))"</v>
      </c>
      <c r="AG178" s="209" t="str">
        <f t="shared" si="68"/>
        <v>NW</v>
      </c>
      <c r="AH178" s="78" t="str">
        <f t="shared" si="69"/>
        <v>"%USERPROFILE%\Documents\GitHub\eaglep3\Utilities\RefineRTDCRunTimes.py" --tripid 1812-02 --locoid 4025 --swversion DE.1.0.9.0 --startMP 300:58634 --initTime 2017-07-02T11:36:31 --startdatetime 2017-07-02T11:38:28 --delay 1 --endMP 204:680 --enddatetime 2017-07-02T11:55:15 --enforcementcount 0 &gt;&gt;C:\Users\stu\Documents\GitHub\eaglep3-reporting\EC\2017-07-02-refined-times.txt</v>
      </c>
      <c r="AI178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{"issue":{"subject":"","project_id":79,"tracker_id":40,"status_id":1,"priority_id":2,"assigned_to_id":23,"start_date":"2017-07-02","description":"","custom_fields":[{"id":1,"name":"Subdivision","value":"NW"},{"id":4,"name":"Milepost","value":"0.068"},{"id":17,"name":"Train ID","value":"1812-02"},{"id":16,"name":"Locomotive ID","value":"4025"},{"id":130,"name":"Impact","value":""},{"id":150,"name":"Time of Event (Mountain Time)","value":"11:55:15"},{"id":151,"name":"Denver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1"/>
        <v>start /low /b %USERPROFILE%\Documents\GitHub\eaglep3\Utilities\DownloadLogsFromS3.py --loco 4025 --day 2017-07-02</v>
      </c>
      <c r="AN178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778</v>
      </c>
      <c r="B179" s="7">
        <v>4026</v>
      </c>
      <c r="C179" s="21" t="s">
        <v>202</v>
      </c>
      <c r="D179" s="21" t="s">
        <v>618</v>
      </c>
      <c r="E179" s="13">
        <v>42918.499537037038</v>
      </c>
      <c r="F179" s="13">
        <v>42918.514803240738</v>
      </c>
      <c r="G179" s="7">
        <v>1</v>
      </c>
      <c r="H179" s="21" t="s">
        <v>519</v>
      </c>
      <c r="I179" s="13">
        <v>42918.52484953704</v>
      </c>
      <c r="J179" s="7">
        <v>0</v>
      </c>
      <c r="K179" s="89" t="str">
        <f t="shared" si="57"/>
        <v>4025/4026</v>
      </c>
      <c r="L179" s="21" t="str">
        <f>VLOOKUP(A179,'Trips&amp;Operators'!$C$1:$G$99999,5,FALSE)</f>
        <v>DAVIDSON DAVID</v>
      </c>
      <c r="M179" s="6">
        <f t="shared" si="58"/>
        <v>1.004629630187992E-2</v>
      </c>
      <c r="N179" s="7">
        <f t="shared" si="74"/>
        <v>14.466666674707085</v>
      </c>
      <c r="O179" s="7"/>
      <c r="P179" s="7"/>
      <c r="Q179" s="22"/>
      <c r="R179" s="170"/>
      <c r="S179" s="213">
        <f t="shared" si="81"/>
        <v>1</v>
      </c>
      <c r="T179" s="195" t="str">
        <f t="shared" si="60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1"/>
        <v>https://d0f6bd738d7f1b3e5a7ca70fe4ff75f0.us-east-1.aws.found.io/app/kibana#/discover/Steve-Slow-Train-Analysis-(2080s-and-2083s)?_g=(refreshInterval:(display:Off,pause:!f,section:0,value:0),time:(from:'2017-07-02T10:59:20-0600',mode:absolute,to:'2017-07-02T13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9" s="197" t="str">
        <f>IF(AA179&lt;VLOOKUP(AG179,Variables!$AC$3:$AD$8,2,FALSE),"Y","N")</f>
        <v>N</v>
      </c>
      <c r="X179" s="197">
        <f t="shared" si="82"/>
        <v>1</v>
      </c>
      <c r="Y179" s="197">
        <f t="shared" si="83"/>
        <v>9.7900000000000001E-2</v>
      </c>
      <c r="Z179" s="197">
        <f t="shared" si="84"/>
        <v>5.8945999999999996</v>
      </c>
      <c r="AA179" s="197">
        <f t="shared" si="64"/>
        <v>5.7966999999999995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5"/>
        <v>1813</v>
      </c>
      <c r="AE179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79" s="74" t="str">
        <f t="shared" si="67"/>
        <v>"C:\Program Files (x86)\AstroGrep\AstroGrep.exe" /e /r /s /spath="%USERPROFILE%\AppData\Local\Temp\OnboardLogs" /stypes="app*4026*20170702*" /stext=" 18:.+((SYSTEM_STATE.+slice.+state.+changed )|(ment ac)|(multiple cpu faults)|(system.+state.+changed )|(\[timeout)|(PRM\|1\|D)|(kpr)|(kdp)|(train st.+moving)|(\|lc)|(penalty))"</v>
      </c>
      <c r="AG179" s="209" t="str">
        <f t="shared" si="68"/>
        <v>NW</v>
      </c>
      <c r="AH179" s="78" t="str">
        <f t="shared" si="69"/>
        <v>"%USERPROFILE%\Documents\GitHub\eaglep3\Utilities\RefineRTDCRunTimes.py" --tripid 1813-02 --locoid 4026 --swversion DE.1.0.9.0 --startMP 204:979 --initTime 2017-07-02T11:59:20 --startdatetime 2017-07-02T12:21:19 --delay 1 --endMP 300:58946 --enddatetime 2017-07-02T12:35:47 --enforcementcount 0 &gt;&gt;C:\Users\stu\Documents\GitHub\eaglep3-reporting\EC\2017-07-02-refined-times.txt</v>
      </c>
      <c r="AI179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{"issue":{"subject":"","project_id":79,"tracker_id":40,"status_id":1,"priority_id":2,"assigned_to_id":23,"start_date":"2017-07-02","description":"","custom_fields":[{"id":1,"name":"Subdivision","value":"NW"},{"id":4,"name":"Milepost","value":"5.8946"},{"id":17,"name":"Train ID","value":"1813-02"},{"id":16,"name":"Locomotive ID","value":"4026"},{"id":130,"name":"Impact","value":""},{"id":150,"name":"Time of Event (Mountain Time)","value":"12:35:47"},{"id":151,"name":"Denver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1"/>
        <v>start /low /b %USERPROFILE%\Documents\GitHub\eaglep3\Utilities\DownloadLogsFromS3.py --loco 4026 --day 2017-07-02</v>
      </c>
      <c r="AN179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783</v>
      </c>
      <c r="B180" s="7">
        <v>4025</v>
      </c>
      <c r="C180" s="21" t="s">
        <v>202</v>
      </c>
      <c r="D180" s="21" t="s">
        <v>522</v>
      </c>
      <c r="E180" s="13">
        <v>42918.525891203702</v>
      </c>
      <c r="F180" s="13">
        <v>42918.527418981481</v>
      </c>
      <c r="G180" s="7">
        <v>1</v>
      </c>
      <c r="H180" s="21" t="s">
        <v>610</v>
      </c>
      <c r="I180" s="13">
        <v>42918.538495370369</v>
      </c>
      <c r="J180" s="7">
        <v>0</v>
      </c>
      <c r="K180" s="89" t="str">
        <f t="shared" si="57"/>
        <v>4025/4026</v>
      </c>
      <c r="L180" s="21" t="str">
        <f>VLOOKUP(A180,'Trips&amp;Operators'!$C$1:$G$99999,5,FALSE)</f>
        <v>DAVIDSON DAVID</v>
      </c>
      <c r="M180" s="6">
        <f t="shared" si="58"/>
        <v>1.1076388887886424E-2</v>
      </c>
      <c r="N180" s="7">
        <f t="shared" si="74"/>
        <v>15.94999999855645</v>
      </c>
      <c r="O180" s="7"/>
      <c r="P180" s="7"/>
      <c r="Q180" s="22"/>
      <c r="R180" s="170"/>
      <c r="S180" s="213">
        <f t="shared" si="81"/>
        <v>1</v>
      </c>
      <c r="T180" s="195" t="str">
        <f t="shared" si="60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1"/>
        <v>https://d0f6bd738d7f1b3e5a7ca70fe4ff75f0.us-east-1.aws.found.io/app/kibana#/discover/Steve-Slow-Train-Analysis-(2080s-and-2083s)?_g=(refreshInterval:(display:Off,pause:!f,section:0,value:0),time:(from:'2017-07-02T11:37:17-0600',mode:absolute,to:'2017-07-02T13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0" s="197" t="str">
        <f>IF(AA180&lt;VLOOKUP(AG180,Variables!$AC$3:$AD$8,2,FALSE),"Y","N")</f>
        <v>N</v>
      </c>
      <c r="X180" s="197">
        <f t="shared" si="82"/>
        <v>1</v>
      </c>
      <c r="Y180" s="197">
        <f t="shared" si="83"/>
        <v>5.8632</v>
      </c>
      <c r="Z180" s="197">
        <f t="shared" si="84"/>
        <v>7.0300000000000001E-2</v>
      </c>
      <c r="AA180" s="197">
        <f t="shared" si="64"/>
        <v>5.7929000000000004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5"/>
        <v>1814</v>
      </c>
      <c r="AE180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0" s="74" t="str">
        <f t="shared" si="67"/>
        <v>"C:\Program Files (x86)\AstroGrep\AstroGrep.exe" /e /r /s /spath="%USERPROFILE%\AppData\Local\Temp\OnboardLogs" /stypes="app*4025*20170702*" /stext=" 18:.+((SYSTEM_STATE.+slice.+state.+changed )|(ment ac)|(multiple cpu faults)|(system.+state.+changed )|(\[timeout)|(PRM\|1\|D)|(kpr)|(kdp)|(train st.+moving)|(\|lc)|(penalty))"</v>
      </c>
      <c r="AG180" s="209" t="str">
        <f t="shared" si="68"/>
        <v>NW</v>
      </c>
      <c r="AH180" s="78" t="str">
        <f t="shared" si="69"/>
        <v>"%USERPROFILE%\Documents\GitHub\eaglep3\Utilities\RefineRTDCRunTimes.py" --tripid 1814-02 --locoid 4025 --swversion DE.1.0.9.0 --startMP 300:58632 --initTime 2017-07-02T12:37:17 --startdatetime 2017-07-02T12:39:29 --delay 1 --endMP 204:703 --enddatetime 2017-07-02T12:55:26 --enforcementcount 0 &gt;&gt;C:\Users\stu\Documents\GitHub\eaglep3-reporting\EC\2017-07-02-refined-times.txt</v>
      </c>
      <c r="AI180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{"issue":{"subject":"","project_id":79,"tracker_id":40,"status_id":1,"priority_id":2,"assigned_to_id":23,"start_date":"2017-07-02","description":"","custom_fields":[{"id":1,"name":"Subdivision","value":"NW"},{"id":4,"name":"Milepost","value":"0.0703"},{"id":17,"name":"Train ID","value":"1814-02"},{"id":16,"name":"Locomotive ID","value":"4025"},{"id":130,"name":"Impact","value":""},{"id":150,"name":"Time of Event (Mountain Time)","value":"12:55:26"},{"id":151,"name":"Denver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1"/>
        <v>start /low /b %USERPROFILE%\Documents\GitHub\eaglep3\Utilities\DownloadLogsFromS3.py --loco 4025 --day 2017-07-02</v>
      </c>
      <c r="AN180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786</v>
      </c>
      <c r="B181" s="7">
        <v>4026</v>
      </c>
      <c r="C181" s="21" t="s">
        <v>202</v>
      </c>
      <c r="D181" s="21" t="s">
        <v>506</v>
      </c>
      <c r="E181" s="13">
        <v>42918.541388888887</v>
      </c>
      <c r="F181" s="13">
        <v>42918.556446759256</v>
      </c>
      <c r="G181" s="7">
        <v>1</v>
      </c>
      <c r="H181" s="21" t="s">
        <v>926</v>
      </c>
      <c r="I181" s="13">
        <v>42918.566157407404</v>
      </c>
      <c r="J181" s="7">
        <v>0</v>
      </c>
      <c r="K181" s="89" t="str">
        <f t="shared" si="57"/>
        <v>4025/4026</v>
      </c>
      <c r="L181" s="21" t="str">
        <f>VLOOKUP(A181,'Trips&amp;Operators'!$C$1:$G$99999,5,FALSE)</f>
        <v>DAVIDSON DAVID</v>
      </c>
      <c r="M181" s="6">
        <f t="shared" si="58"/>
        <v>9.710648148029577E-3</v>
      </c>
      <c r="N181" s="7">
        <f t="shared" si="74"/>
        <v>13.983333333162591</v>
      </c>
      <c r="O181" s="7"/>
      <c r="P181" s="7"/>
      <c r="Q181" s="22"/>
      <c r="R181" s="170"/>
      <c r="S181" s="213">
        <f t="shared" si="81"/>
        <v>1</v>
      </c>
      <c r="T181" s="195" t="str">
        <f t="shared" si="60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1"/>
        <v>https://d0f6bd738d7f1b3e5a7ca70fe4ff75f0.us-east-1.aws.found.io/app/kibana#/discover/Steve-Slow-Train-Analysis-(2080s-and-2083s)?_g=(refreshInterval:(display:Off,pause:!f,section:0,value:0),time:(from:'2017-07-02T11:59:36-0600',mode:absolute,to:'2017-07-02T14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1" s="197" t="str">
        <f>IF(AA181&lt;VLOOKUP(AG181,Variables!$AC$3:$AD$8,2,FALSE),"Y","N")</f>
        <v>N</v>
      </c>
      <c r="X181" s="197">
        <f t="shared" si="82"/>
        <v>1</v>
      </c>
      <c r="Y181" s="197">
        <f t="shared" si="83"/>
        <v>9.7799999999999998E-2</v>
      </c>
      <c r="Z181" s="197">
        <f t="shared" si="84"/>
        <v>5.8936999999999999</v>
      </c>
      <c r="AA181" s="197">
        <f t="shared" si="64"/>
        <v>5.7958999999999996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5"/>
        <v>1815</v>
      </c>
      <c r="AE181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1" s="74" t="str">
        <f t="shared" si="67"/>
        <v>"C:\Program Files (x86)\AstroGrep\AstroGrep.exe" /e /r /s /spath="%USERPROFILE%\AppData\Local\Temp\OnboardLogs" /stypes="app*4026*20170702*" /stext=" 19:.+((SYSTEM_STATE.+slice.+state.+changed )|(ment ac)|(multiple cpu faults)|(system.+state.+changed )|(\[timeout)|(PRM\|1\|D)|(kpr)|(kdp)|(train st.+moving)|(\|lc)|(penalty))"</v>
      </c>
      <c r="AG181" s="209" t="str">
        <f t="shared" si="68"/>
        <v>NW</v>
      </c>
      <c r="AH181" s="78" t="str">
        <f t="shared" si="69"/>
        <v>"%USERPROFILE%\Documents\GitHub\eaglep3\Utilities\RefineRTDCRunTimes.py" --tripid 1815-02 --locoid 4026 --swversion DE.1.0.9.0 --startMP 204:978 --initTime 2017-07-02T12:59:36 --startdatetime 2017-07-02T13:21:17 --delay 1 --endMP 300:58937 --enddatetime 2017-07-02T13:35:16 --enforcementcount 0 &gt;&gt;C:\Users\stu\Documents\GitHub\eaglep3-reporting\EC\2017-07-02-refined-times.txt</v>
      </c>
      <c r="AI181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{"issue":{"subject":"","project_id":79,"tracker_id":40,"status_id":1,"priority_id":2,"assigned_to_id":23,"start_date":"2017-07-02","description":"","custom_fields":[{"id":1,"name":"Subdivision","value":"NW"},{"id":4,"name":"Milepost","value":"5.8937"},{"id":17,"name":"Train ID","value":"1815-02"},{"id":16,"name":"Locomotive ID","value":"4026"},{"id":130,"name":"Impact","value":""},{"id":150,"name":"Time of Event (Mountain Time)","value":"13:35:16"},{"id":151,"name":"Denver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71"/>
        <v>start /low /b %USERPROFILE%\Documents\GitHub\eaglep3\Utilities\DownloadLogsFromS3.py --loco 4026 --day 2017-07-02</v>
      </c>
      <c r="AN181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653</v>
      </c>
      <c r="B182" s="7">
        <v>4025</v>
      </c>
      <c r="C182" s="21" t="s">
        <v>202</v>
      </c>
      <c r="D182" s="21" t="s">
        <v>927</v>
      </c>
      <c r="E182" s="13">
        <v>42918.567199074074</v>
      </c>
      <c r="F182" s="13">
        <v>42918.574212962965</v>
      </c>
      <c r="G182" s="7">
        <v>1</v>
      </c>
      <c r="H182" s="21" t="s">
        <v>928</v>
      </c>
      <c r="I182" s="13">
        <v>42918.583287037036</v>
      </c>
      <c r="J182" s="7">
        <v>0</v>
      </c>
      <c r="K182" s="89" t="str">
        <f t="shared" si="57"/>
        <v>4025/4026</v>
      </c>
      <c r="L182" s="21" t="str">
        <f>VLOOKUP(A182,'Trips&amp;Operators'!$C$1:$G$99999,5,FALSE)</f>
        <v>DAVIDSON DAVID</v>
      </c>
      <c r="M182" s="6">
        <f t="shared" si="58"/>
        <v>9.074074070667848E-3</v>
      </c>
      <c r="N182" s="7">
        <f t="shared" si="74"/>
        <v>13.066666661761701</v>
      </c>
      <c r="O182" s="7"/>
      <c r="P182" s="7"/>
      <c r="Q182" s="22"/>
      <c r="R182" s="170"/>
      <c r="S182" s="213">
        <f t="shared" si="81"/>
        <v>1</v>
      </c>
      <c r="T182" s="195" t="str">
        <f t="shared" si="60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1"/>
        <v>https://d0f6bd738d7f1b3e5a7ca70fe4ff75f0.us-east-1.aws.found.io/app/kibana#/discover/Steve-Slow-Train-Analysis-(2080s-and-2083s)?_g=(refreshInterval:(display:Off,pause:!f,section:0,value:0),time:(from:'2017-07-02T12:36:46-0600',mode:absolute,to:'2017-07-02T14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2" s="197" t="str">
        <f>IF(AA182&lt;VLOOKUP(AG182,Variables!$AC$3:$AD$8,2,FALSE),"Y","N")</f>
        <v>N</v>
      </c>
      <c r="X182" s="197">
        <f t="shared" si="82"/>
        <v>1</v>
      </c>
      <c r="Y182" s="197">
        <f t="shared" si="83"/>
        <v>5.8615000000000004</v>
      </c>
      <c r="Z182" s="197">
        <f t="shared" si="84"/>
        <v>7.6899999999999996E-2</v>
      </c>
      <c r="AA182" s="197">
        <f t="shared" si="64"/>
        <v>5.7846000000000002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5"/>
        <v>1816</v>
      </c>
      <c r="AE182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2" s="74" t="str">
        <f t="shared" si="67"/>
        <v>"C:\Program Files (x86)\AstroGrep\AstroGrep.exe" /e /r /s /spath="%USERPROFILE%\AppData\Local\Temp\OnboardLogs" /stypes="app*4025*20170702*" /stext=" 19:.+((SYSTEM_STATE.+slice.+state.+changed )|(ment ac)|(multiple cpu faults)|(system.+state.+changed )|(\[timeout)|(PRM\|1\|D)|(kpr)|(kdp)|(train st.+moving)|(\|lc)|(penalty))"</v>
      </c>
      <c r="AG182" s="209" t="str">
        <f t="shared" si="68"/>
        <v>NW</v>
      </c>
      <c r="AH182" s="78" t="str">
        <f t="shared" si="69"/>
        <v>"%USERPROFILE%\Documents\GitHub\eaglep3\Utilities\RefineRTDCRunTimes.py" --tripid 1816-02 --locoid 4025 --swversion DE.1.0.9.0 --startMP 300:58615 --initTime 2017-07-02T13:36:46 --startdatetime 2017-07-02T13:46:52 --delay 1 --endMP 204:769 --enddatetime 2017-07-02T13:59:56 --enforcementcount 0 &gt;&gt;C:\Users\stu\Documents\GitHub\eaglep3-reporting\EC\2017-07-02-refined-times.txt</v>
      </c>
      <c r="AI182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{"issue":{"subject":"","project_id":79,"tracker_id":40,"status_id":1,"priority_id":2,"assigned_to_id":23,"start_date":"2017-07-02","description":"","custom_fields":[{"id":1,"name":"Subdivision","value":"NW"},{"id":4,"name":"Milepost","value":"0.0769"},{"id":17,"name":"Train ID","value":"1816-02"},{"id":16,"name":"Locomotive ID","value":"4025"},{"id":130,"name":"Impact","value":""},{"id":150,"name":"Time of Event (Mountain Time)","value":"13:59:56"},{"id":151,"name":"Denver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1"/>
        <v>start /low /b %USERPROFILE%\Documents\GitHub\eaglep3\Utilities\DownloadLogsFromS3.py --loco 4025 --day 2017-07-02</v>
      </c>
      <c r="AN182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19:59:56"},{"id":29,"name":"Sharepoint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794</v>
      </c>
      <c r="B183" s="7">
        <v>4026</v>
      </c>
      <c r="C183" s="21" t="s">
        <v>202</v>
      </c>
      <c r="D183" s="21" t="s">
        <v>929</v>
      </c>
      <c r="E183" s="13">
        <v>42918.597627314812</v>
      </c>
      <c r="F183" s="13">
        <v>42918.599074074074</v>
      </c>
      <c r="G183" s="7">
        <v>1</v>
      </c>
      <c r="H183" s="21" t="s">
        <v>563</v>
      </c>
      <c r="I183" s="13">
        <v>42918.608587962961</v>
      </c>
      <c r="J183" s="7">
        <v>0</v>
      </c>
      <c r="K183" s="89" t="str">
        <f t="shared" si="57"/>
        <v>4025/4026</v>
      </c>
      <c r="L183" s="21" t="str">
        <f>VLOOKUP(A183,'Trips&amp;Operators'!$C$1:$G$99999,5,FALSE)</f>
        <v>MAGEE KENYA</v>
      </c>
      <c r="M183" s="6">
        <f t="shared" si="58"/>
        <v>9.5138888864312321E-3</v>
      </c>
      <c r="N183" s="7">
        <f t="shared" si="74"/>
        <v>13.699999996460974</v>
      </c>
      <c r="O183" s="7"/>
      <c r="P183" s="7"/>
      <c r="Q183" s="22"/>
      <c r="R183" s="170"/>
      <c r="S183" s="213">
        <f t="shared" si="81"/>
        <v>1</v>
      </c>
      <c r="T183" s="195" t="str">
        <f t="shared" si="60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1"/>
        <v>https://d0f6bd738d7f1b3e5a7ca70fe4ff75f0.us-east-1.aws.found.io/app/kibana#/discover/Steve-Slow-Train-Analysis-(2080s-and-2083s)?_g=(refreshInterval:(display:Off,pause:!f,section:0,value:0),time:(from:'2017-07-02T13:20:35-0600',mode:absolute,to:'2017-07-02T15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3" s="197" t="str">
        <f>IF(AA183&lt;VLOOKUP(AG183,Variables!$AC$3:$AD$8,2,FALSE),"Y","N")</f>
        <v>N</v>
      </c>
      <c r="X183" s="197">
        <f t="shared" si="82"/>
        <v>1</v>
      </c>
      <c r="Y183" s="197">
        <f t="shared" si="83"/>
        <v>0.1203</v>
      </c>
      <c r="Z183" s="197">
        <f t="shared" si="84"/>
        <v>5.8954000000000004</v>
      </c>
      <c r="AA183" s="197">
        <f t="shared" si="64"/>
        <v>5.7751000000000001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5"/>
        <v>1817</v>
      </c>
      <c r="AE183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3" s="74" t="str">
        <f t="shared" si="67"/>
        <v>"C:\Program Files (x86)\AstroGrep\AstroGrep.exe" /e /r /s /spath="%USERPROFILE%\AppData\Local\Temp\OnboardLogs" /stypes="app*4026*20170702*" /stext=" 20:.+((SYSTEM_STATE.+slice.+state.+changed )|(ment ac)|(multiple cpu faults)|(system.+state.+changed )|(\[timeout)|(PRM\|1\|D)|(kpr)|(kdp)|(train st.+moving)|(\|lc)|(penalty))"</v>
      </c>
      <c r="AG183" s="209" t="str">
        <f t="shared" si="68"/>
        <v>NW</v>
      </c>
      <c r="AH183" s="78" t="str">
        <f t="shared" si="69"/>
        <v>"%USERPROFILE%\Documents\GitHub\eaglep3\Utilities\RefineRTDCRunTimes.py" --tripid 1817-02 --locoid 4026 --swversion DE.1.0.9.0 --startMP 204:1203 --initTime 2017-07-02T14:20:35 --startdatetime 2017-07-02T14:22:40 --delay 1 --endMP 300:58954 --enddatetime 2017-07-02T14:36:22 --enforcementcount 0 &gt;&gt;C:\Users\stu\Documents\GitHub\eaglep3-reporting\EC\2017-07-02-refined-times.txt</v>
      </c>
      <c r="AI183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{"issue":{"subject":"","project_id":79,"tracker_id":40,"status_id":1,"priority_id":2,"assigned_to_id":23,"start_date":"2017-07-02","description":"","custom_fields":[{"id":1,"name":"Subdivision","value":"NW"},{"id":4,"name":"Milepost","value":"5.8954"},{"id":17,"name":"Train ID","value":"1817-02"},{"id":16,"name":"Locomotive ID","value":"4026"},{"id":130,"name":"Impact","value":""},{"id":150,"name":"Time of Event (Mountain Time)","value":"14:36:22"},{"id":151,"name":"Denver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1"/>
        <v>start /low /b %USERPROFILE%\Documents\GitHub\eaglep3\Utilities\DownloadLogsFromS3.py --loco 4026 --day 2017-07-02</v>
      </c>
      <c r="AN183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796</v>
      </c>
      <c r="B184" s="7">
        <v>4025</v>
      </c>
      <c r="C184" s="21" t="s">
        <v>202</v>
      </c>
      <c r="D184" s="21" t="s">
        <v>520</v>
      </c>
      <c r="E184" s="13">
        <v>42918.609872685185</v>
      </c>
      <c r="F184" s="13">
        <v>42918.611377314817</v>
      </c>
      <c r="G184" s="7">
        <v>1</v>
      </c>
      <c r="H184" s="21" t="s">
        <v>613</v>
      </c>
      <c r="I184" s="13">
        <v>42918.622002314813</v>
      </c>
      <c r="J184" s="7">
        <v>0</v>
      </c>
      <c r="K184" s="89" t="str">
        <f t="shared" si="57"/>
        <v>4025/4026</v>
      </c>
      <c r="L184" s="21" t="str">
        <f>VLOOKUP(A184,'Trips&amp;Operators'!$C$1:$G$99999,5,FALSE)</f>
        <v>MAGEE KENYA</v>
      </c>
      <c r="M184" s="6">
        <f t="shared" si="58"/>
        <v>1.0624999995343387E-2</v>
      </c>
      <c r="N184" s="7">
        <f t="shared" si="74"/>
        <v>15.299999993294477</v>
      </c>
      <c r="O184" s="7"/>
      <c r="P184" s="7"/>
      <c r="Q184" s="22"/>
      <c r="R184" s="170"/>
      <c r="S184" s="213">
        <f t="shared" si="81"/>
        <v>1</v>
      </c>
      <c r="T184" s="195" t="str">
        <f t="shared" si="60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1"/>
        <v>https://d0f6bd738d7f1b3e5a7ca70fe4ff75f0.us-east-1.aws.found.io/app/kibana#/discover/Steve-Slow-Train-Analysis-(2080s-and-2083s)?_g=(refreshInterval:(display:Off,pause:!f,section:0,value:0),time:(from:'2017-07-02T13:38:13-0600',mode:absolute,to:'2017-07-02T15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4" s="197" t="str">
        <f>IF(AA184&lt;VLOOKUP(AG184,Variables!$AC$3:$AD$8,2,FALSE),"Y","N")</f>
        <v>N</v>
      </c>
      <c r="X184" s="197">
        <f t="shared" si="82"/>
        <v>1</v>
      </c>
      <c r="Y184" s="197">
        <f t="shared" si="83"/>
        <v>5.8643000000000001</v>
      </c>
      <c r="Z184" s="197">
        <f t="shared" si="84"/>
        <v>6.6799999999999998E-2</v>
      </c>
      <c r="AA184" s="197">
        <f t="shared" si="64"/>
        <v>5.7975000000000003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5"/>
        <v>1818</v>
      </c>
      <c r="AE184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4" s="74" t="str">
        <f t="shared" si="67"/>
        <v>"C:\Program Files (x86)\AstroGrep\AstroGrep.exe" /e /r /s /spath="%USERPROFILE%\AppData\Local\Temp\OnboardLogs" /stypes="app*4025*20170702*" /stext=" 20:.+((SYSTEM_STATE.+slice.+state.+changed )|(ment ac)|(multiple cpu faults)|(system.+state.+changed )|(\[timeout)|(PRM\|1\|D)|(kpr)|(kdp)|(train st.+moving)|(\|lc)|(penalty))"</v>
      </c>
      <c r="AG184" s="209" t="str">
        <f t="shared" si="68"/>
        <v>NW</v>
      </c>
      <c r="AH184" s="78" t="str">
        <f t="shared" si="69"/>
        <v>"%USERPROFILE%\Documents\GitHub\eaglep3\Utilities\RefineRTDCRunTimes.py" --tripid 1818-02 --locoid 4025 --swversion DE.1.0.9.0 --startMP 300:58643 --initTime 2017-07-02T14:38:13 --startdatetime 2017-07-02T14:40:23 --delay 1 --endMP 204:668 --enddatetime 2017-07-02T14:55:41 --enforcementcount 0 &gt;&gt;C:\Users\stu\Documents\GitHub\eaglep3-reporting\EC\2017-07-02-refined-times.txt</v>
      </c>
      <c r="AI184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{"issue":{"subject":"","project_id":79,"tracker_id":40,"status_id":1,"priority_id":2,"assigned_to_id":23,"start_date":"2017-07-02","description":"","custom_fields":[{"id":1,"name":"Subdivision","value":"NW"},{"id":4,"name":"Milepost","value":"0.0668"},{"id":17,"name":"Train ID","value":"1818-02"},{"id":16,"name":"Locomotive ID","value":"4025"},{"id":130,"name":"Impact","value":""},{"id":150,"name":"Time of Event (Mountain Time)","value":"14:55:41"},{"id":151,"name":"Denver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1"/>
        <v>start /low /b %USERPROFILE%\Documents\GitHub\eaglep3\Utilities\DownloadLogsFromS3.py --loco 4025 --day 2017-07-02</v>
      </c>
      <c r="AN184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20:55:41"},{"id":29,"name":"Sharepoint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660</v>
      </c>
      <c r="B185" s="7">
        <v>4026</v>
      </c>
      <c r="C185" s="21" t="s">
        <v>202</v>
      </c>
      <c r="D185" s="21" t="s">
        <v>621</v>
      </c>
      <c r="E185" s="13">
        <v>42918.638344907406</v>
      </c>
      <c r="F185" s="13">
        <v>42918.639837962961</v>
      </c>
      <c r="G185" s="7">
        <v>1</v>
      </c>
      <c r="H185" s="21" t="s">
        <v>921</v>
      </c>
      <c r="I185" s="13">
        <v>42918.649386574078</v>
      </c>
      <c r="J185" s="7">
        <v>0</v>
      </c>
      <c r="K185" s="89" t="str">
        <f t="shared" si="57"/>
        <v>4025/4026</v>
      </c>
      <c r="L185" s="21" t="str">
        <f>VLOOKUP(A185,'Trips&amp;Operators'!$C$1:$G$99999,5,FALSE)</f>
        <v>MAGEE KENYA</v>
      </c>
      <c r="M185" s="6">
        <f t="shared" si="58"/>
        <v>9.5486111167701893E-3</v>
      </c>
      <c r="N185" s="7">
        <f t="shared" si="74"/>
        <v>13.750000008149073</v>
      </c>
      <c r="O185" s="7"/>
      <c r="P185" s="7"/>
      <c r="Q185" s="22"/>
      <c r="R185" s="170"/>
      <c r="S185" s="213">
        <f t="shared" si="81"/>
        <v>1</v>
      </c>
      <c r="T185" s="195" t="str">
        <f t="shared" si="60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1"/>
        <v>https://d0f6bd738d7f1b3e5a7ca70fe4ff75f0.us-east-1.aws.found.io/app/kibana#/discover/Steve-Slow-Train-Analysis-(2080s-and-2083s)?_g=(refreshInterval:(display:Off,pause:!f,section:0,value:0),time:(from:'2017-07-02T14:19:13-0600',mode:absolute,to:'2017-07-02T16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5" s="197" t="str">
        <f>IF(AA185&lt;VLOOKUP(AG185,Variables!$AC$3:$AD$8,2,FALSE),"Y","N")</f>
        <v>N</v>
      </c>
      <c r="X185" s="197">
        <f t="shared" si="82"/>
        <v>1</v>
      </c>
      <c r="Y185" s="197">
        <f t="shared" si="83"/>
        <v>9.7199999999999995E-2</v>
      </c>
      <c r="Z185" s="197">
        <f t="shared" si="84"/>
        <v>5.8960999999999997</v>
      </c>
      <c r="AA185" s="197">
        <f t="shared" si="64"/>
        <v>5.7988999999999997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5"/>
        <v>1819</v>
      </c>
      <c r="AE185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5" s="74" t="str">
        <f t="shared" si="67"/>
        <v>"C:\Program Files (x86)\AstroGrep\AstroGrep.exe" /e /r /s /spath="%USERPROFILE%\AppData\Local\Temp\OnboardLogs" /stypes="app*4026*20170702*" /stext=" 21:.+((SYSTEM_STATE.+slice.+state.+changed )|(ment ac)|(multiple cpu faults)|(system.+state.+changed )|(\[timeout)|(PRM\|1\|D)|(kpr)|(kdp)|(train st.+moving)|(\|lc)|(penalty))"</v>
      </c>
      <c r="AG185" s="209" t="str">
        <f t="shared" si="68"/>
        <v>NW</v>
      </c>
      <c r="AH185" s="78" t="str">
        <f t="shared" si="69"/>
        <v>"%USERPROFILE%\Documents\GitHub\eaglep3\Utilities\RefineRTDCRunTimes.py" --tripid 1819-02 --locoid 4026 --swversion DE.1.0.9.0 --startMP 204:972 --initTime 2017-07-02T15:19:13 --startdatetime 2017-07-02T15:21:22 --delay 1 --endMP 300:58961 --enddatetime 2017-07-02T15:35:07 --enforcementcount 0 &gt;&gt;C:\Users\stu\Documents\GitHub\eaglep3-reporting\EC\2017-07-02-refined-times.txt</v>
      </c>
      <c r="AI185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{"issue":{"subject":"","project_id":79,"tracker_id":40,"status_id":1,"priority_id":2,"assigned_to_id":23,"start_date":"2017-07-02","description":"","custom_fields":[{"id":1,"name":"Subdivision","value":"NW"},{"id":4,"name":"Milepost","value":"5.8961"},{"id":17,"name":"Train ID","value":"1819-02"},{"id":16,"name":"Locomotive ID","value":"4026"},{"id":130,"name":"Impact","value":""},{"id":150,"name":"Time of Event (Mountain Time)","value":"15:35:07"},{"id":151,"name":"Denver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1"/>
        <v>start /low /b %USERPROFILE%\Documents\GitHub\eaglep3\Utilities\DownloadLogsFromS3.py --loco 4026 --day 2017-07-02</v>
      </c>
      <c r="AN185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21:35:07"},{"id":29,"name":"Sharepoint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661</v>
      </c>
      <c r="B186" s="7">
        <v>4025</v>
      </c>
      <c r="C186" s="21" t="s">
        <v>202</v>
      </c>
      <c r="D186" s="21" t="s">
        <v>922</v>
      </c>
      <c r="E186" s="13">
        <v>42918.650347222225</v>
      </c>
      <c r="F186" s="13">
        <v>42918.681446759256</v>
      </c>
      <c r="G186" s="7">
        <v>1</v>
      </c>
      <c r="H186" s="21" t="s">
        <v>930</v>
      </c>
      <c r="I186" s="13">
        <v>42918.691435185188</v>
      </c>
      <c r="J186" s="7">
        <v>0</v>
      </c>
      <c r="K186" s="89" t="str">
        <f t="shared" si="57"/>
        <v>4025/4026</v>
      </c>
      <c r="L186" s="21" t="str">
        <f>VLOOKUP(A186,'Trips&amp;Operators'!$C$1:$G$99999,5,FALSE)</f>
        <v>MAGEE KENYA</v>
      </c>
      <c r="M186" s="6">
        <f t="shared" si="58"/>
        <v>9.9884259325335734E-3</v>
      </c>
      <c r="N186" s="7">
        <f t="shared" si="74"/>
        <v>14.383333342848346</v>
      </c>
      <c r="O186" s="7"/>
      <c r="P186" s="7"/>
      <c r="Q186" s="22"/>
      <c r="R186" s="170"/>
      <c r="S186" s="213">
        <f t="shared" si="81"/>
        <v>1</v>
      </c>
      <c r="T186" s="195" t="str">
        <f t="shared" si="60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1"/>
        <v>https://d0f6bd738d7f1b3e5a7ca70fe4ff75f0.us-east-1.aws.found.io/app/kibana#/discover/Steve-Slow-Train-Analysis-(2080s-and-2083s)?_g=(refreshInterval:(display:Off,pause:!f,section:0,value:0),time:(from:'2017-07-02T14:36:30-0600',mode:absolute,to:'2017-07-02T17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6" s="197" t="str">
        <f>IF(AA186&lt;VLOOKUP(AG186,Variables!$AC$3:$AD$8,2,FALSE),"Y","N")</f>
        <v>N</v>
      </c>
      <c r="X186" s="197">
        <f t="shared" si="82"/>
        <v>1</v>
      </c>
      <c r="Y186" s="197">
        <f t="shared" si="83"/>
        <v>5.8647</v>
      </c>
      <c r="Z186" s="197">
        <f t="shared" si="84"/>
        <v>7.5200000000000003E-2</v>
      </c>
      <c r="AA186" s="197">
        <f t="shared" si="64"/>
        <v>5.7895000000000003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5"/>
        <v>1820</v>
      </c>
      <c r="AE186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6" s="74" t="str">
        <f t="shared" si="67"/>
        <v>"C:\Program Files (x86)\AstroGrep\AstroGrep.exe" /e /r /s /spath="%USERPROFILE%\AppData\Local\Temp\OnboardLogs" /stypes="app*4025*20170702*" /stext=" 22:.+((SYSTEM_STATE.+slice.+state.+changed )|(ment ac)|(multiple cpu faults)|(system.+state.+changed )|(\[timeout)|(PRM\|1\|D)|(kpr)|(kdp)|(train st.+moving)|(\|lc)|(penalty))"</v>
      </c>
      <c r="AG186" s="209" t="str">
        <f t="shared" si="68"/>
        <v>NW</v>
      </c>
      <c r="AH186" s="78" t="str">
        <f t="shared" si="69"/>
        <v>"%USERPROFILE%\Documents\GitHub\eaglep3\Utilities\RefineRTDCRunTimes.py" --tripid 1820-02 --locoid 4025 --swversion DE.1.0.9.0 --startMP 300:58647 --initTime 2017-07-02T15:36:30 --startdatetime 2017-07-02T16:21:17 --delay 1 --endMP 204:752 --enddatetime 2017-07-02T16:35:40 --enforcementcount 0 &gt;&gt;C:\Users\stu\Documents\GitHub\eaglep3-reporting\EC\2017-07-02-refined-times.txt</v>
      </c>
      <c r="AI186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{"issue":{"subject":"","project_id":79,"tracker_id":40,"status_id":1,"priority_id":2,"assigned_to_id":23,"start_date":"2017-07-02","description":"","custom_fields":[{"id":1,"name":"Subdivision","value":"NW"},{"id":4,"name":"Milepost","value":"0.0752"},{"id":17,"name":"Train ID","value":"1820-02"},{"id":16,"name":"Locomotive ID","value":"4025"},{"id":130,"name":"Impact","value":""},{"id":150,"name":"Time of Event (Mountain Time)","value":"16:35:40"},{"id":151,"name":"Denver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71"/>
        <v>start /low /b %USERPROFILE%\Documents\GitHub\eaglep3\Utilities\DownloadLogsFromS3.py --loco 4025 --day 2017-07-02</v>
      </c>
      <c r="AN186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807</v>
      </c>
      <c r="B187" s="7">
        <v>4026</v>
      </c>
      <c r="C187" s="21" t="s">
        <v>202</v>
      </c>
      <c r="D187" s="21" t="s">
        <v>918</v>
      </c>
      <c r="E187" s="13">
        <v>42918.679652777777</v>
      </c>
      <c r="F187" s="13">
        <v>42918.681446759256</v>
      </c>
      <c r="G187" s="7">
        <v>1</v>
      </c>
      <c r="H187" s="21" t="s">
        <v>931</v>
      </c>
      <c r="I187" s="13">
        <v>42918.691435185188</v>
      </c>
      <c r="J187" s="7">
        <v>0</v>
      </c>
      <c r="K187" s="89" t="str">
        <f t="shared" si="57"/>
        <v>4025/4026</v>
      </c>
      <c r="L187" s="21" t="str">
        <f>VLOOKUP(A187,'Trips&amp;Operators'!$C$1:$G$99999,5,FALSE)</f>
        <v>MAGEE KENYA</v>
      </c>
      <c r="M187" s="6">
        <f t="shared" si="58"/>
        <v>9.9884259325335734E-3</v>
      </c>
      <c r="N187" s="7">
        <f t="shared" si="74"/>
        <v>14.383333342848346</v>
      </c>
      <c r="O187" s="7"/>
      <c r="P187" s="7"/>
      <c r="Q187" s="22"/>
      <c r="R187" s="170"/>
      <c r="S187" s="213">
        <f t="shared" si="81"/>
        <v>1</v>
      </c>
      <c r="T187" s="195" t="str">
        <f t="shared" si="60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1"/>
        <v>https://d0f6bd738d7f1b3e5a7ca70fe4ff75f0.us-east-1.aws.found.io/app/kibana#/discover/Steve-Slow-Train-Analysis-(2080s-and-2083s)?_g=(refreshInterval:(display:Off,pause:!f,section:0,value:0),time:(from:'2017-07-02T15:18:42-0600',mode:absolute,to:'2017-07-02T17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7" s="197" t="str">
        <f>IF(AA187&lt;VLOOKUP(AG187,Variables!$AC$3:$AD$8,2,FALSE),"Y","N")</f>
        <v>N</v>
      </c>
      <c r="X187" s="197">
        <f t="shared" si="82"/>
        <v>1</v>
      </c>
      <c r="Y187" s="197">
        <f t="shared" si="83"/>
        <v>9.9699999999999997E-2</v>
      </c>
      <c r="Z187" s="197">
        <f t="shared" si="84"/>
        <v>5.8978000000000002</v>
      </c>
      <c r="AA187" s="197">
        <f t="shared" si="64"/>
        <v>5.7980999999999998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5"/>
        <v>1821</v>
      </c>
      <c r="AE187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7" s="74" t="str">
        <f t="shared" si="67"/>
        <v>"C:\Program Files (x86)\AstroGrep\AstroGrep.exe" /e /r /s /spath="%USERPROFILE%\AppData\Local\Temp\OnboardLogs" /stypes="app*4026*20170702*" /stext=" 22:.+((SYSTEM_STATE.+slice.+state.+changed )|(ment ac)|(multiple cpu faults)|(system.+state.+changed )|(\[timeout)|(PRM\|1\|D)|(kpr)|(kdp)|(train st.+moving)|(\|lc)|(penalty))"</v>
      </c>
      <c r="AG187" s="209" t="str">
        <f t="shared" si="68"/>
        <v>NW</v>
      </c>
      <c r="AH187" s="78" t="str">
        <f t="shared" si="69"/>
        <v>"%USERPROFILE%\Documents\GitHub\eaglep3\Utilities\RefineRTDCRunTimes.py" --tripid 1821-02 --locoid 4026 --swversion DE.1.0.9.0 --startMP 204:997 --initTime 2017-07-02T16:18:42 --startdatetime 2017-07-02T16:21:17 --delay 1 --endMP 300:58978 --enddatetime 2017-07-02T16:35:40 --enforcementcount 0 &gt;&gt;C:\Users\stu\Documents\GitHub\eaglep3-reporting\EC\2017-07-02-refined-times.txt</v>
      </c>
      <c r="AI187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{"issue":{"subject":"","project_id":79,"tracker_id":40,"status_id":1,"priority_id":2,"assigned_to_id":23,"start_date":"2017-07-02","description":"","custom_fields":[{"id":1,"name":"Subdivision","value":"NW"},{"id":4,"name":"Milepost","value":"5.8978"},{"id":17,"name":"Train ID","value":"1821-02"},{"id":16,"name":"Locomotive ID","value":"4026"},{"id":130,"name":"Impact","value":""},{"id":150,"name":"Time of Event (Mountain Time)","value":"16:35:40"},{"id":151,"name":"Denver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1"/>
        <v>start /low /b %USERPROFILE%\Documents\GitHub\eaglep3\Utilities\DownloadLogsFromS3.py --loco 4026 --day 2017-07-02</v>
      </c>
      <c r="AN187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666</v>
      </c>
      <c r="B188" s="7">
        <v>4025</v>
      </c>
      <c r="C188" s="21" t="s">
        <v>202</v>
      </c>
      <c r="D188" s="21" t="s">
        <v>609</v>
      </c>
      <c r="E188" s="13">
        <v>42918.692731481482</v>
      </c>
      <c r="F188" s="13">
        <v>42918.694456018522</v>
      </c>
      <c r="G188" s="7">
        <v>1</v>
      </c>
      <c r="H188" s="21" t="s">
        <v>920</v>
      </c>
      <c r="I188" s="13">
        <v>42918.704606481479</v>
      </c>
      <c r="J188" s="7">
        <v>0</v>
      </c>
      <c r="K188" s="89" t="str">
        <f t="shared" si="57"/>
        <v>4025/4026</v>
      </c>
      <c r="L188" s="21" t="str">
        <f>VLOOKUP(A188,'Trips&amp;Operators'!$C$1:$G$99999,5,FALSE)</f>
        <v>MAGEE KENYA</v>
      </c>
      <c r="M188" s="6">
        <f t="shared" si="58"/>
        <v>1.0150462956517003E-2</v>
      </c>
      <c r="N188" s="7">
        <f t="shared" si="74"/>
        <v>14.616666657384485</v>
      </c>
      <c r="O188" s="7"/>
      <c r="P188" s="7"/>
      <c r="Q188" s="22"/>
      <c r="R188" s="170"/>
      <c r="S188" s="213">
        <f t="shared" si="81"/>
        <v>1</v>
      </c>
      <c r="T188" s="195" t="str">
        <f t="shared" si="60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1"/>
        <v>https://d0f6bd738d7f1b3e5a7ca70fe4ff75f0.us-east-1.aws.found.io/app/kibana#/discover/Steve-Slow-Train-Analysis-(2080s-and-2083s)?_g=(refreshInterval:(display:Off,pause:!f,section:0,value:0),time:(from:'2017-07-02T15:37:32-0600',mode:absolute,to:'2017-07-02T17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8" s="197" t="str">
        <f>IF(AA188&lt;VLOOKUP(AG188,Variables!$AC$3:$AD$8,2,FALSE),"Y","N")</f>
        <v>N</v>
      </c>
      <c r="X188" s="197">
        <f t="shared" si="82"/>
        <v>1</v>
      </c>
      <c r="Y188" s="197">
        <f t="shared" si="83"/>
        <v>5.8651</v>
      </c>
      <c r="Z188" s="197">
        <f t="shared" si="84"/>
        <v>7.2599999999999998E-2</v>
      </c>
      <c r="AA188" s="197">
        <f t="shared" si="64"/>
        <v>5.7925000000000004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5"/>
        <v>1822</v>
      </c>
      <c r="AE188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88" s="74" t="str">
        <f t="shared" si="67"/>
        <v>"C:\Program Files (x86)\AstroGrep\AstroGrep.exe" /e /r /s /spath="%USERPROFILE%\AppData\Local\Temp\OnboardLogs" /stypes="app*4025*20170702*" /stext=" 22:.+((SYSTEM_STATE.+slice.+state.+changed )|(ment ac)|(multiple cpu faults)|(system.+state.+changed )|(\[timeout)|(PRM\|1\|D)|(kpr)|(kdp)|(train st.+moving)|(\|lc)|(penalty))"</v>
      </c>
      <c r="AG188" s="209" t="str">
        <f t="shared" si="68"/>
        <v>NW</v>
      </c>
      <c r="AH188" s="78" t="str">
        <f t="shared" si="69"/>
        <v>"%USERPROFILE%\Documents\GitHub\eaglep3\Utilities\RefineRTDCRunTimes.py" --tripid 1822-02 --locoid 4025 --swversion DE.1.0.9.0 --startMP 300:58651 --initTime 2017-07-02T16:37:32 --startdatetime 2017-07-02T16:40:01 --delay 1 --endMP 204:726 --enddatetime 2017-07-02T16:54:38 --enforcementcount 0 &gt;&gt;C:\Users\stu\Documents\GitHub\eaglep3-reporting\EC\2017-07-02-refined-times.txt</v>
      </c>
      <c r="AI188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{"issue":{"subject":"","project_id":79,"tracker_id":40,"status_id":1,"priority_id":2,"assigned_to_id":23,"start_date":"2017-07-02","description":"","custom_fields":[{"id":1,"name":"Subdivision","value":"NW"},{"id":4,"name":"Milepost","value":"0.0726"},{"id":17,"name":"Train ID","value":"1822-02"},{"id":16,"name":"Locomotive ID","value":"4025"},{"id":130,"name":"Impact","value":""},{"id":150,"name":"Time of Event (Mountain Time)","value":"16:54:38"},{"id":151,"name":"Denver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1"/>
        <v>start /low /b %USERPROFILE%\Documents\GitHub\eaglep3\Utilities\DownloadLogsFromS3.py --loco 4025 --day 2017-07-02</v>
      </c>
      <c r="AN188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669</v>
      </c>
      <c r="B189" s="7">
        <v>4026</v>
      </c>
      <c r="C189" s="21" t="s">
        <v>202</v>
      </c>
      <c r="D189" s="21" t="s">
        <v>932</v>
      </c>
      <c r="E189" s="13">
        <v>42918.71769675926</v>
      </c>
      <c r="F189" s="13">
        <v>42918.723425925928</v>
      </c>
      <c r="G189" s="7">
        <v>1</v>
      </c>
      <c r="H189" s="21" t="s">
        <v>611</v>
      </c>
      <c r="I189" s="13">
        <v>42918.733252314814</v>
      </c>
      <c r="J189" s="7">
        <v>0</v>
      </c>
      <c r="K189" s="89" t="str">
        <f t="shared" si="57"/>
        <v>4025/4026</v>
      </c>
      <c r="L189" s="21" t="str">
        <f>VLOOKUP(A189,'Trips&amp;Operators'!$C$1:$G$99999,5,FALSE)</f>
        <v>MAGEE KENYA</v>
      </c>
      <c r="M189" s="6">
        <f t="shared" si="58"/>
        <v>9.8263888867222704E-3</v>
      </c>
      <c r="N189" s="7">
        <f t="shared" si="74"/>
        <v>14.149999996880069</v>
      </c>
      <c r="O189" s="7"/>
      <c r="P189" s="7"/>
      <c r="Q189" s="22"/>
      <c r="R189" s="170"/>
      <c r="S189" s="213">
        <f t="shared" si="81"/>
        <v>1</v>
      </c>
      <c r="T189" s="195" t="str">
        <f t="shared" si="60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1"/>
        <v>https://d0f6bd738d7f1b3e5a7ca70fe4ff75f0.us-east-1.aws.found.io/app/kibana#/discover/Steve-Slow-Train-Analysis-(2080s-and-2083s)?_g=(refreshInterval:(display:Off,pause:!f,section:0,value:0),time:(from:'2017-07-02T16:13:29-0600',mode:absolute,to:'2017-07-02T18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9" s="197" t="str">
        <f>IF(AA189&lt;VLOOKUP(AG189,Variables!$AC$3:$AD$8,2,FALSE),"Y","N")</f>
        <v>N</v>
      </c>
      <c r="X189" s="197">
        <f t="shared" si="82"/>
        <v>1</v>
      </c>
      <c r="Y189" s="197">
        <f t="shared" si="83"/>
        <v>0.1051</v>
      </c>
      <c r="Z189" s="197">
        <f t="shared" si="84"/>
        <v>5.8987999999999996</v>
      </c>
      <c r="AA189" s="197">
        <f t="shared" si="64"/>
        <v>5.7936999999999994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5"/>
        <v>1823</v>
      </c>
      <c r="AE189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89" s="74" t="str">
        <f t="shared" si="67"/>
        <v>"C:\Program Files (x86)\AstroGrep\AstroGrep.exe" /e /r /s /spath="%USERPROFILE%\AppData\Local\Temp\OnboardLogs" /stypes="app*4026*20170702*" /stext=" 23:.+((SYSTEM_STATE.+slice.+state.+changed )|(ment ac)|(multiple cpu faults)|(system.+state.+changed )|(\[timeout)|(PRM\|1\|D)|(kpr)|(kdp)|(train st.+moving)|(\|lc)|(penalty))"</v>
      </c>
      <c r="AG189" s="209" t="str">
        <f t="shared" si="68"/>
        <v>NW</v>
      </c>
      <c r="AH189" s="78" t="str">
        <f t="shared" si="69"/>
        <v>"%USERPROFILE%\Documents\GitHub\eaglep3\Utilities\RefineRTDCRunTimes.py" --tripid 1823-02 --locoid 4026 --swversion DE.1.0.9.0 --startMP 204:1051 --initTime 2017-07-02T17:13:29 --startdatetime 2017-07-02T17:21:44 --delay 1 --endMP 300:58988 --enddatetime 2017-07-02T17:35:53 --enforcementcount 0 &gt;&gt;C:\Users\stu\Documents\GitHub\eaglep3-reporting\EC\2017-07-02-refined-times.txt</v>
      </c>
      <c r="AI189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{"issue":{"subject":"","project_id":79,"tracker_id":40,"status_id":1,"priority_id":2,"assigned_to_id":23,"start_date":"2017-07-02","description":"","custom_fields":[{"id":1,"name":"Subdivision","value":"NW"},{"id":4,"name":"Milepost","value":"5.8988"},{"id":17,"name":"Train ID","value":"1823-02"},{"id":16,"name":"Locomotive ID","value":"4026"},{"id":130,"name":"Impact","value":""},{"id":150,"name":"Time of Event (Mountain Time)","value":"17:35:53"},{"id":151,"name":"Denver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1"/>
        <v>start /low /b %USERPROFILE%\Documents\GitHub\eaglep3\Utilities\DownloadLogsFromS3.py --loco 4026 --day 2017-07-02</v>
      </c>
      <c r="AN189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818</v>
      </c>
      <c r="B190" s="7">
        <v>4025</v>
      </c>
      <c r="C190" s="21" t="s">
        <v>202</v>
      </c>
      <c r="D190" s="21" t="s">
        <v>933</v>
      </c>
      <c r="E190" s="13">
        <v>42918.734872685185</v>
      </c>
      <c r="F190" s="13">
        <v>42918.736307870371</v>
      </c>
      <c r="G190" s="7">
        <v>1</v>
      </c>
      <c r="H190" s="21" t="s">
        <v>934</v>
      </c>
      <c r="I190" s="13">
        <v>42918.747546296298</v>
      </c>
      <c r="J190" s="7">
        <v>0</v>
      </c>
      <c r="K190" s="89" t="str">
        <f t="shared" si="57"/>
        <v>4025/4026</v>
      </c>
      <c r="L190" s="21" t="str">
        <f>VLOOKUP(A190,'Trips&amp;Operators'!$C$1:$G$99999,5,FALSE)</f>
        <v>MAGEE KENYA</v>
      </c>
      <c r="M190" s="6">
        <f t="shared" si="58"/>
        <v>1.1238425926421769E-2</v>
      </c>
      <c r="N190" s="7">
        <f t="shared" si="74"/>
        <v>16.183333334047347</v>
      </c>
      <c r="O190" s="7"/>
      <c r="P190" s="7"/>
      <c r="Q190" s="22"/>
      <c r="R190" s="170"/>
      <c r="S190" s="213">
        <f t="shared" si="81"/>
        <v>1</v>
      </c>
      <c r="T190" s="195" t="str">
        <f t="shared" si="60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1"/>
        <v>https://d0f6bd738d7f1b3e5a7ca70fe4ff75f0.us-east-1.aws.found.io/app/kibana#/discover/Steve-Slow-Train-Analysis-(2080s-and-2083s)?_g=(refreshInterval:(display:Off,pause:!f,section:0,value:0),time:(from:'2017-07-02T16:38:13-0600',mode:absolute,to:'2017-07-02T18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0" s="197" t="str">
        <f>IF(AA190&lt;VLOOKUP(AG190,Variables!$AC$3:$AD$8,2,FALSE),"Y","N")</f>
        <v>N</v>
      </c>
      <c r="X190" s="197">
        <f t="shared" si="82"/>
        <v>1</v>
      </c>
      <c r="Y190" s="197">
        <f t="shared" si="83"/>
        <v>5.8673000000000002</v>
      </c>
      <c r="Z190" s="197">
        <f t="shared" si="84"/>
        <v>6.3500000000000001E-2</v>
      </c>
      <c r="AA190" s="197">
        <f t="shared" si="64"/>
        <v>5.8037999999999998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5"/>
        <v>1824</v>
      </c>
      <c r="AE190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0" s="74" t="str">
        <f t="shared" si="67"/>
        <v>"C:\Program Files (x86)\AstroGrep\AstroGrep.exe" /e /r /s /spath="%USERPROFILE%\AppData\Local\Temp\OnboardLogs" /stypes="app*4025*20170702*" /stext=" 23:.+((SYSTEM_STATE.+slice.+state.+changed )|(ment ac)|(multiple cpu faults)|(system.+state.+changed )|(\[timeout)|(PRM\|1\|D)|(kpr)|(kdp)|(train st.+moving)|(\|lc)|(penalty))"</v>
      </c>
      <c r="AG190" s="209" t="str">
        <f t="shared" si="68"/>
        <v>NW</v>
      </c>
      <c r="AH190" s="78" t="str">
        <f t="shared" si="69"/>
        <v>"%USERPROFILE%\Documents\GitHub\eaglep3\Utilities\RefineRTDCRunTimes.py" --tripid 1824-02 --locoid 4025 --swversion DE.1.0.9.0 --startMP 300:58673 --initTime 2017-07-02T17:38:13 --startdatetime 2017-07-02T17:40:17 --delay 1 --endMP 204:635 --enddatetime 2017-07-02T17:56:28 --enforcementcount 0 &gt;&gt;C:\Users\stu\Documents\GitHub\eaglep3-reporting\EC\2017-07-02-refined-times.txt</v>
      </c>
      <c r="AI190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{"issue":{"subject":"","project_id":79,"tracker_id":40,"status_id":1,"priority_id":2,"assigned_to_id":23,"start_date":"2017-07-02","description":"","custom_fields":[{"id":1,"name":"Subdivision","value":"NW"},{"id":4,"name":"Milepost","value":"0.0635"},{"id":17,"name":"Train ID","value":"1824-02"},{"id":16,"name":"Locomotive ID","value":"4025"},{"id":130,"name":"Impact","value":""},{"id":150,"name":"Time of Event (Mountain Time)","value":"17:56:28"},{"id":151,"name":"Denver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1"/>
        <v>start /low /b %USERPROFILE%\Documents\GitHub\eaglep3\Utilities\DownloadLogsFromS3.py --loco 4025 --day 2017-07-02</v>
      </c>
      <c r="AN190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822</v>
      </c>
      <c r="B191" s="7">
        <v>4026</v>
      </c>
      <c r="C191" s="21" t="s">
        <v>202</v>
      </c>
      <c r="D191" s="21" t="s">
        <v>935</v>
      </c>
      <c r="E191" s="13">
        <v>42918.759421296294</v>
      </c>
      <c r="F191" s="13">
        <v>42918.764953703707</v>
      </c>
      <c r="G191" s="7">
        <v>4</v>
      </c>
      <c r="H191" s="21" t="s">
        <v>521</v>
      </c>
      <c r="I191" s="13">
        <v>42918.774652777778</v>
      </c>
      <c r="J191" s="7">
        <v>0</v>
      </c>
      <c r="K191" s="89" t="str">
        <f t="shared" si="57"/>
        <v>4025/4026</v>
      </c>
      <c r="L191" s="21" t="str">
        <f>VLOOKUP(A191,'Trips&amp;Operators'!$C$1:$G$99999,5,FALSE)</f>
        <v>ZEWDU DEREJE</v>
      </c>
      <c r="M191" s="6">
        <f t="shared" si="58"/>
        <v>9.6990740712499246E-3</v>
      </c>
      <c r="N191" s="7">
        <f t="shared" si="74"/>
        <v>13.966666662599891</v>
      </c>
      <c r="O191" s="7"/>
      <c r="P191" s="7"/>
      <c r="Q191" s="22"/>
      <c r="R191" s="170"/>
      <c r="S191" s="213">
        <f t="shared" si="81"/>
        <v>1</v>
      </c>
      <c r="T191" s="195" t="str">
        <f t="shared" si="60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1"/>
        <v>https://d0f6bd738d7f1b3e5a7ca70fe4ff75f0.us-east-1.aws.found.io/app/kibana#/discover/Steve-Slow-Train-Analysis-(2080s-and-2083s)?_g=(refreshInterval:(display:Off,pause:!f,section:0,value:0),time:(from:'2017-07-02T17:13:34-0600',mode:absolute,to:'2017-07-02T19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1" s="197" t="str">
        <f>IF(AA191&lt;VLOOKUP(AG191,Variables!$AC$3:$AD$8,2,FALSE),"Y","N")</f>
        <v>N</v>
      </c>
      <c r="X191" s="197">
        <f t="shared" si="82"/>
        <v>1</v>
      </c>
      <c r="Y191" s="197">
        <f t="shared" si="83"/>
        <v>9.4799999999999995E-2</v>
      </c>
      <c r="Z191" s="197">
        <f t="shared" si="84"/>
        <v>5.8949999999999996</v>
      </c>
      <c r="AA191" s="197">
        <f t="shared" si="64"/>
        <v>5.8001999999999994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5"/>
        <v>1825</v>
      </c>
      <c r="AE191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1" s="74" t="str">
        <f t="shared" si="67"/>
        <v>"C:\Program Files (x86)\AstroGrep\AstroGrep.exe" /e /r /s /spath="%USERPROFILE%\AppData\Local\Temp\OnboardLogs" /stypes="app*4026*20170703*" /stext=" 00:.+((SYSTEM_STATE.+slice.+state.+changed )|(ment ac)|(multiple cpu faults)|(system.+state.+changed )|(\[timeout)|(PRM\|1\|D)|(kpr)|(kdp)|(train st.+moving)|(\|lc)|(penalty))"</v>
      </c>
      <c r="AG191" s="209" t="str">
        <f t="shared" si="68"/>
        <v>NW</v>
      </c>
      <c r="AH191" s="78" t="str">
        <f t="shared" si="69"/>
        <v>"%USERPROFILE%\Documents\GitHub\eaglep3\Utilities\RefineRTDCRunTimes.py" --tripid 1825-02 --locoid 4026 --swversion DE.1.0.9.0 --startMP 204:948 --initTime 2017-07-02T18:13:34 --startdatetime 2017-07-02T18:21:32 --delay 4 --endMP 300:58950 --enddatetime 2017-07-02T18:35:30 --enforcementcount 0 &gt;&gt;C:\Users\stu\Documents\GitHub\eaglep3-reporting\EC\2017-07-02-refined-times.txt</v>
      </c>
      <c r="AI191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{"issue":{"subject":"","project_id":79,"tracker_id":40,"status_id":1,"priority_id":2,"assigned_to_id":23,"start_date":"2017-07-02","description":"","custom_fields":[{"id":1,"name":"Subdivision","value":"NW"},{"id":4,"name":"Milepost","value":"5.895"},{"id":17,"name":"Train ID","value":"1825-02"},{"id":16,"name":"Locomotive ID","value":"4026"},{"id":130,"name":"Impact","value":""},{"id":150,"name":"Time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1"/>
        <v>start /low /b %USERPROFILE%\Documents\GitHub\eaglep3\Utilities\DownloadLogsFromS3.py --loco 4026 --day 2017-07-02</v>
      </c>
      <c r="AN191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826</v>
      </c>
      <c r="B192" s="7">
        <v>4025</v>
      </c>
      <c r="C192" s="21" t="s">
        <v>202</v>
      </c>
      <c r="D192" s="21" t="s">
        <v>608</v>
      </c>
      <c r="E192" s="13">
        <v>42918.776134259257</v>
      </c>
      <c r="F192" s="13">
        <v>42918.77783564815</v>
      </c>
      <c r="G192" s="7">
        <v>1</v>
      </c>
      <c r="H192" s="21" t="s">
        <v>616</v>
      </c>
      <c r="I192" s="13">
        <v>42918.790671296294</v>
      </c>
      <c r="J192" s="7">
        <v>0</v>
      </c>
      <c r="K192" s="89" t="str">
        <f t="shared" si="57"/>
        <v>4025/4026</v>
      </c>
      <c r="L192" s="21" t="str">
        <f>VLOOKUP(A192,'Trips&amp;Operators'!$C$1:$G$99999,5,FALSE)</f>
        <v>ZEWDU DEREJE</v>
      </c>
      <c r="M192" s="6">
        <f t="shared" si="58"/>
        <v>1.2835648143664002E-2</v>
      </c>
      <c r="N192" s="7">
        <f t="shared" si="74"/>
        <v>18.483333326876163</v>
      </c>
      <c r="O192" s="7"/>
      <c r="P192" s="7"/>
      <c r="Q192" s="22"/>
      <c r="R192" s="170"/>
      <c r="S192" s="213">
        <f t="shared" si="81"/>
        <v>1</v>
      </c>
      <c r="T192" s="195" t="str">
        <f t="shared" si="60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1"/>
        <v>https://d0f6bd738d7f1b3e5a7ca70fe4ff75f0.us-east-1.aws.found.io/app/kibana#/discover/Steve-Slow-Train-Analysis-(2080s-and-2083s)?_g=(refreshInterval:(display:Off,pause:!f,section:0,value:0),time:(from:'2017-07-02T17:37:38-0600',mode:absolute,to:'2017-07-02T19:58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2" s="197" t="str">
        <f>IF(AA192&lt;VLOOKUP(AG192,Variables!$AC$3:$AD$8,2,FALSE),"Y","N")</f>
        <v>N</v>
      </c>
      <c r="X192" s="197">
        <f t="shared" si="82"/>
        <v>1</v>
      </c>
      <c r="Y192" s="197">
        <f t="shared" si="83"/>
        <v>5.8630000000000004</v>
      </c>
      <c r="Z192" s="197">
        <f t="shared" si="84"/>
        <v>7.0499999999999993E-2</v>
      </c>
      <c r="AA192" s="197">
        <f t="shared" si="64"/>
        <v>5.7925000000000004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5"/>
        <v>1826</v>
      </c>
      <c r="AE192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2" s="74" t="str">
        <f t="shared" si="67"/>
        <v>"C:\Program Files (x86)\AstroGrep\AstroGrep.exe" /e /r /s /spath="%USERPROFILE%\AppData\Local\Temp\OnboardLogs" /stypes="app*4025*20170703*" /stext=" 00:.+((SYSTEM_STATE.+slice.+state.+changed )|(ment ac)|(multiple cpu faults)|(system.+state.+changed )|(\[timeout)|(PRM\|1\|D)|(kpr)|(kdp)|(train st.+moving)|(\|lc)|(penalty))"</v>
      </c>
      <c r="AG192" s="209" t="str">
        <f t="shared" si="68"/>
        <v>NW</v>
      </c>
      <c r="AH192" s="78" t="str">
        <f t="shared" si="69"/>
        <v>"%USERPROFILE%\Documents\GitHub\eaglep3\Utilities\RefineRTDCRunTimes.py" --tripid 1826-02 --locoid 4025 --swversion DE.1.0.9.0 --startMP 300:58630 --initTime 2017-07-02T18:37:38 --startdatetime 2017-07-02T18:40:05 --delay 1 --endMP 204:705 --enddatetime 2017-07-02T18:58:34 --enforcementcount 0 &gt;&gt;C:\Users\stu\Documents\GitHub\eaglep3-reporting\EC\2017-07-02-refined-times.txt</v>
      </c>
      <c r="AI192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{"issue":{"subject":"","project_id":79,"tracker_id":40,"status_id":1,"priority_id":2,"assigned_to_id":23,"start_date":"2017-07-02","description":"","custom_fields":[{"id":1,"name":"Subdivision","value":"NW"},{"id":4,"name":"Milepost","value":"0.0705"},{"id":17,"name":"Train ID","value":"1826-02"},{"id":16,"name":"Locomotive ID","value":"4025"},{"id":130,"name":"Impact","value":""},{"id":150,"name":"Time of Event (Mountain Time)","value":"18:58:34"},{"id":151,"name":"Denver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1"/>
        <v>start /low /b %USERPROFILE%\Documents\GitHub\eaglep3\Utilities\DownloadLogsFromS3.py --loco 4025 --day 2017-07-02</v>
      </c>
      <c r="AN19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00:58:34"},{"id":29,"name":"Sharepoint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831</v>
      </c>
      <c r="B193" s="7">
        <v>4026</v>
      </c>
      <c r="C193" s="21" t="s">
        <v>202</v>
      </c>
      <c r="D193" s="21" t="s">
        <v>936</v>
      </c>
      <c r="E193" s="13">
        <v>42918.804039351853</v>
      </c>
      <c r="F193" s="13">
        <v>42918.806435185186</v>
      </c>
      <c r="G193" s="7">
        <v>1</v>
      </c>
      <c r="H193" s="21" t="s">
        <v>484</v>
      </c>
      <c r="I193" s="13">
        <v>42918.815937500003</v>
      </c>
      <c r="J193" s="7">
        <v>0</v>
      </c>
      <c r="K193" s="89" t="str">
        <f t="shared" si="57"/>
        <v>4025/4026</v>
      </c>
      <c r="L193" s="21" t="str">
        <f>VLOOKUP(A193,'Trips&amp;Operators'!$C$1:$G$99999,5,FALSE)</f>
        <v>MAGEE KENYA</v>
      </c>
      <c r="M193" s="6">
        <f t="shared" si="58"/>
        <v>9.5023148169275373E-3</v>
      </c>
      <c r="N193" s="7">
        <f t="shared" si="74"/>
        <v>13.683333336375654</v>
      </c>
      <c r="O193" s="7"/>
      <c r="P193" s="7"/>
      <c r="Q193" s="22"/>
      <c r="R193" s="170"/>
      <c r="S193" s="213">
        <f t="shared" si="81"/>
        <v>1</v>
      </c>
      <c r="T193" s="195" t="str">
        <f t="shared" si="60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1"/>
        <v>https://d0f6bd738d7f1b3e5a7ca70fe4ff75f0.us-east-1.aws.found.io/app/kibana#/discover/Steve-Slow-Train-Analysis-(2080s-and-2083s)?_g=(refreshInterval:(display:Off,pause:!f,section:0,value:0),time:(from:'2017-07-02T18:17:49-0600',mode:absolute,to:'2017-07-02T20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197" t="str">
        <f>IF(AA193&lt;VLOOKUP(AG193,Variables!$AC$3:$AD$8,2,FALSE),"Y","N")</f>
        <v>N</v>
      </c>
      <c r="X193" s="197">
        <f t="shared" si="82"/>
        <v>1</v>
      </c>
      <c r="Y193" s="197">
        <f t="shared" si="83"/>
        <v>0.1002</v>
      </c>
      <c r="Z193" s="197">
        <f t="shared" si="84"/>
        <v>5.8948</v>
      </c>
      <c r="AA193" s="197">
        <f t="shared" si="64"/>
        <v>5.7946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5"/>
        <v>1827</v>
      </c>
      <c r="AE193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3" s="74" t="str">
        <f t="shared" si="67"/>
        <v>"C:\Program Files (x86)\AstroGrep\AstroGrep.exe" /e /r /s /spath="%USERPROFILE%\AppData\Local\Temp\OnboardLogs" /stypes="app*4026*20170703*" /stext=" 01:.+((SYSTEM_STATE.+slice.+state.+changed )|(ment ac)|(multiple cpu faults)|(system.+state.+changed )|(\[timeout)|(PRM\|1\|D)|(kpr)|(kdp)|(train st.+moving)|(\|lc)|(penalty))"</v>
      </c>
      <c r="AG193" s="209" t="str">
        <f t="shared" si="68"/>
        <v>NW</v>
      </c>
      <c r="AH193" s="78" t="str">
        <f t="shared" si="69"/>
        <v>"%USERPROFILE%\Documents\GitHub\eaglep3\Utilities\RefineRTDCRunTimes.py" --tripid 1827-02 --locoid 4026 --swversion DE.1.0.9.0 --startMP 204:1002 --initTime 2017-07-02T19:17:49 --startdatetime 2017-07-02T19:21:16 --delay 1 --endMP 300:58948 --enddatetime 2017-07-02T19:34:57 --enforcementcount 0 &gt;&gt;C:\Users\stu\Documents\GitHub\eaglep3-reporting\EC\2017-07-02-refined-times.txt</v>
      </c>
      <c r="AI193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{"issue":{"subject":"","project_id":79,"tracker_id":40,"status_id":1,"priority_id":2,"assigned_to_id":23,"start_date":"2017-07-02","description":"","custom_fields":[{"id":1,"name":"Subdivision","value":"NW"},{"id":4,"name":"Milepost","value":"5.8948"},{"id":17,"name":"Train ID","value":"1827-02"},{"id":16,"name":"Locomotive ID","value":"4026"},{"id":130,"name":"Impact","value":""},{"id":150,"name":"Time of Event (Mountain Time)","value":"19:34:57"},{"id":151,"name":"Denver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1"/>
        <v>start /low /b %USERPROFILE%\Documents\GitHub\eaglep3\Utilities\DownloadLogsFromS3.py --loco 4026 --day 2017-07-02</v>
      </c>
      <c r="AN193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677</v>
      </c>
      <c r="B194" s="7">
        <v>4025</v>
      </c>
      <c r="C194" s="21" t="s">
        <v>202</v>
      </c>
      <c r="D194" s="21" t="s">
        <v>937</v>
      </c>
      <c r="E194" s="13">
        <v>42918.818229166667</v>
      </c>
      <c r="F194" s="13">
        <v>42918.820706018516</v>
      </c>
      <c r="G194" s="7">
        <v>1</v>
      </c>
      <c r="H194" s="21" t="s">
        <v>938</v>
      </c>
      <c r="I194" s="13">
        <v>42918.831793981481</v>
      </c>
      <c r="J194" s="7">
        <v>0</v>
      </c>
      <c r="K194" s="89" t="str">
        <f t="shared" si="57"/>
        <v>4025/4026</v>
      </c>
      <c r="L194" s="21" t="str">
        <f>VLOOKUP(A194,'Trips&amp;Operators'!$C$1:$G$99999,5,FALSE)</f>
        <v>MAGEE KENYA</v>
      </c>
      <c r="M194" s="6">
        <f t="shared" si="58"/>
        <v>1.1087962964666076E-2</v>
      </c>
      <c r="N194" s="7">
        <f t="shared" si="74"/>
        <v>15.966666669119149</v>
      </c>
      <c r="O194" s="7"/>
      <c r="P194" s="7"/>
      <c r="Q194" s="22"/>
      <c r="R194" s="170"/>
      <c r="S194" s="213">
        <f t="shared" si="81"/>
        <v>1</v>
      </c>
      <c r="T194" s="195" t="str">
        <f t="shared" si="60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1"/>
        <v>https://d0f6bd738d7f1b3e5a7ca70fe4ff75f0.us-east-1.aws.found.io/app/kibana#/discover/Steve-Slow-Train-Analysis-(2080s-and-2083s)?_g=(refreshInterval:(display:Off,pause:!f,section:0,value:0),time:(from:'2017-07-02T18:38:15-0600',mode:absolute,to:'2017-07-02T20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4" s="197" t="str">
        <f>IF(AA194&lt;VLOOKUP(AG194,Variables!$AC$3:$AD$8,2,FALSE),"Y","N")</f>
        <v>N</v>
      </c>
      <c r="X194" s="197">
        <f t="shared" si="82"/>
        <v>1</v>
      </c>
      <c r="Y194" s="197">
        <f t="shared" si="83"/>
        <v>5.8640999999999996</v>
      </c>
      <c r="Z194" s="197">
        <f t="shared" si="84"/>
        <v>7.8200000000000006E-2</v>
      </c>
      <c r="AA194" s="197">
        <f t="shared" si="64"/>
        <v>5.7858999999999998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5"/>
        <v>1828</v>
      </c>
      <c r="AE194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4" s="74" t="str">
        <f t="shared" si="67"/>
        <v>"C:\Program Files (x86)\AstroGrep\AstroGrep.exe" /e /r /s /spath="%USERPROFILE%\AppData\Local\Temp\OnboardLogs" /stypes="app*4025*20170703*" /stext=" 01:.+((SYSTEM_STATE.+slice.+state.+changed )|(ment ac)|(multiple cpu faults)|(system.+state.+changed )|(\[timeout)|(PRM\|1\|D)|(kpr)|(kdp)|(train st.+moving)|(\|lc)|(penalty))"</v>
      </c>
      <c r="AG194" s="209" t="str">
        <f t="shared" si="68"/>
        <v>NW</v>
      </c>
      <c r="AH194" s="78" t="str">
        <f t="shared" si="69"/>
        <v>"%USERPROFILE%\Documents\GitHub\eaglep3\Utilities\RefineRTDCRunTimes.py" --tripid 1828-02 --locoid 4025 --swversion DE.1.0.9.0 --startMP 300:58641 --initTime 2017-07-02T19:38:15 --startdatetime 2017-07-02T19:41:49 --delay 1 --endMP 204:782 --enddatetime 2017-07-02T19:57:47 --enforcementcount 0 &gt;&gt;C:\Users\stu\Documents\GitHub\eaglep3-reporting\EC\2017-07-02-refined-times.txt</v>
      </c>
      <c r="AI194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{"issue":{"subject":"","project_id":79,"tracker_id":40,"status_id":1,"priority_id":2,"assigned_to_id":23,"start_date":"2017-07-02","description":"","custom_fields":[{"id":1,"name":"Subdivision","value":"NW"},{"id":4,"name":"Milepost","value":"0.0782"},{"id":17,"name":"Train ID","value":"1828-02"},{"id":16,"name":"Locomotive ID","value":"4025"},{"id":130,"name":"Impact","value":""},{"id":150,"name":"Time of Event (Mountain Time)","value":"19:57:47"},{"id":151,"name":"Denver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1"/>
        <v>start /low /b %USERPROFILE%\Documents\GitHub\eaglep3\Utilities\DownloadLogsFromS3.py --loco 4025 --day 2017-07-02</v>
      </c>
      <c r="AN194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840</v>
      </c>
      <c r="B195" s="7">
        <v>4026</v>
      </c>
      <c r="C195" s="21" t="s">
        <v>202</v>
      </c>
      <c r="D195" s="21" t="s">
        <v>939</v>
      </c>
      <c r="E195" s="13">
        <v>42918.845266203702</v>
      </c>
      <c r="F195" s="13">
        <v>42918.847581018519</v>
      </c>
      <c r="G195" s="7">
        <v>1</v>
      </c>
      <c r="H195" s="21" t="s">
        <v>617</v>
      </c>
      <c r="I195" s="13">
        <v>42918.848611111112</v>
      </c>
      <c r="J195" s="7">
        <v>0</v>
      </c>
      <c r="K195" s="89" t="str">
        <f t="shared" si="57"/>
        <v>4025/4026</v>
      </c>
      <c r="L195" s="21" t="str">
        <f>VLOOKUP(A195,'Trips&amp;Operators'!$C$1:$G$99999,5,FALSE)</f>
        <v>MAGEE KENYA</v>
      </c>
      <c r="M195" s="6">
        <f t="shared" si="58"/>
        <v>1.0300925932824612E-3</v>
      </c>
      <c r="N195" s="7"/>
      <c r="O195" s="7"/>
      <c r="P195" s="7">
        <f>24*60*SUM($M195:$M195)</f>
        <v>1.4833333343267441</v>
      </c>
      <c r="Q195" s="22"/>
      <c r="R195" s="170" t="s">
        <v>507</v>
      </c>
      <c r="S195" s="213">
        <f t="shared" si="81"/>
        <v>0</v>
      </c>
      <c r="T195" s="195" t="str">
        <f t="shared" si="60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96" t="str">
        <f t="shared" si="61"/>
        <v>https://d0f6bd738d7f1b3e5a7ca70fe4ff75f0.us-east-1.aws.found.io/app/kibana#/discover/Steve-Slow-Train-Analysis-(2080s-and-2083s)?_g=(refreshInterval:(display:Off,pause:!f,section:0,value:0),time:(from:'2017-07-02T19:17:11-0600',mode:absolute,to:'2017-07-02T21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197" t="str">
        <f>IF(AA195&lt;VLOOKUP(AG195,Variables!$AC$3:$AD$8,2,FALSE),"Y","N")</f>
        <v>Y</v>
      </c>
      <c r="X195" s="197">
        <f t="shared" si="82"/>
        <v>1</v>
      </c>
      <c r="Y195" s="197">
        <v>0</v>
      </c>
      <c r="Z195" s="197">
        <v>0</v>
      </c>
      <c r="AA195" s="197">
        <f t="shared" si="64"/>
        <v>0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5"/>
        <v>1829</v>
      </c>
      <c r="AE195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5" s="74" t="str">
        <f t="shared" si="67"/>
        <v>"C:\Program Files (x86)\AstroGrep\AstroGrep.exe" /e /r /s /spath="%USERPROFILE%\AppData\Local\Temp\OnboardLogs" /stypes="app*4026*20170703*" /stext=" 02:.+((SYSTEM_STATE.+slice.+state.+changed )|(ment ac)|(multiple cpu faults)|(system.+state.+changed )|(\[timeout)|(PRM\|1\|D)|(kpr)|(kdp)|(train st.+moving)|(\|lc)|(penalty))"</v>
      </c>
      <c r="AG195" s="209" t="str">
        <f t="shared" si="68"/>
        <v>NW</v>
      </c>
      <c r="AH195" s="78" t="str">
        <f t="shared" si="69"/>
        <v>"%USERPROFILE%\Documents\GitHub\eaglep3\Utilities\RefineRTDCRunTimes.py" --tripid 1829-02 --locoid 4026 --swversion DE.1.0.9.0 --startMP 204:1072 --initTime 2017-07-02T20:17:11 --startdatetime 2017-07-02T20:20:31 --delay 1 --endMP 300:58960 --enddatetime 2017-07-02T20:22:00 --enforcementcount 0 &gt;&gt;C:\Users\stu\Documents\GitHub\eaglep3-reporting\EC\2017-07-02-refined-times.txt</v>
      </c>
      <c r="AI195" s="96" t="str">
        <f t="shared" si="70"/>
        <v>echo {"issue":{"subject":"Onboard in-route failure","project_id":79,"tracker_id":40,"status_id":1,"priority_id":2,"assigned_to_id":23,"start_date":"2017-07-02","description":"","custom_fields":[{"id":1,"name":"Subdivision","value":"NW"},{"id":4,"name":"Milepost","value":"0"},{"id":17,"name":"Train ID","value":"1829-02"},{"id":16,"name":"Locomotive ID","value":"4026"},{"id":130,"name":"Impact","value":""},{"id":150,"name":"Time of Event (Mountain Time)","value":"20:22:00"},{"id":151,"name":"Denver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1"/>
        <v>start /low /b %USERPROFILE%\Documents\GitHub\eaglep3\Utilities\DownloadLogsFromS3.py --loco 4026 --day 2017-07-02</v>
      </c>
      <c r="AN195" s="151" t="str">
        <f t="shared" si="72"/>
        <v>echo {"issue":{"subject":"Onboard in-route failure","project_id":30,"tracker_id":4,"status_id":1,"priority_id":1,"assigned_to_id":10,"start_date":"2017-07-03","description":"","custom_fields":[{"id":30,"name":"Category","value":"Issue"},{"id":3,"name":"Functional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842</v>
      </c>
      <c r="B196" s="7">
        <v>4025</v>
      </c>
      <c r="C196" s="21" t="s">
        <v>202</v>
      </c>
      <c r="D196" s="21" t="s">
        <v>483</v>
      </c>
      <c r="E196" s="13">
        <v>42918.863923611112</v>
      </c>
      <c r="F196" s="13">
        <v>42918.865277777775</v>
      </c>
      <c r="G196" s="7">
        <v>1</v>
      </c>
      <c r="H196" s="21" t="s">
        <v>942</v>
      </c>
      <c r="I196" s="13">
        <v>42918.874166666668</v>
      </c>
      <c r="J196" s="7">
        <v>0</v>
      </c>
      <c r="K196" s="89" t="str">
        <f t="shared" si="57"/>
        <v>4025/4026</v>
      </c>
      <c r="L196" s="21" t="str">
        <f>VLOOKUP(A196,'Trips&amp;Operators'!$C$1:$G$99999,5,FALSE)</f>
        <v>MAGEE KENYA</v>
      </c>
      <c r="M196" s="6">
        <f t="shared" si="58"/>
        <v>8.8888888931251131E-3</v>
      </c>
      <c r="N196" s="7">
        <f t="shared" ref="N196:N229" si="85">24*60*SUM($M196:$M196)</f>
        <v>12.800000006100163</v>
      </c>
      <c r="O196" s="7"/>
      <c r="P196" s="7"/>
      <c r="Q196" s="22"/>
      <c r="R196" s="170"/>
      <c r="S196" s="213">
        <f t="shared" si="81"/>
        <v>1</v>
      </c>
      <c r="T196" s="195" t="str">
        <f t="shared" si="60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1"/>
        <v>https://d0f6bd738d7f1b3e5a7ca70fe4ff75f0.us-east-1.aws.found.io/app/kibana#/discover/Steve-Slow-Train-Analysis-(2080s-and-2083s)?_g=(refreshInterval:(display:Off,pause:!f,section:0,value:0),time:(from:'2017-07-02T19:44:03-0600',mode:absolute,to:'2017-07-02T21:58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97" t="str">
        <f>IF(AA196&lt;VLOOKUP(AG196,Variables!$AC$3:$AD$8,2,FALSE),"Y","N")</f>
        <v>N</v>
      </c>
      <c r="X196" s="197">
        <f t="shared" si="82"/>
        <v>1</v>
      </c>
      <c r="Y196" s="197">
        <f t="shared" ref="Y196:Y229" si="86">RIGHT(D196,LEN(D196)-4)/10000</f>
        <v>5.8634000000000004</v>
      </c>
      <c r="Z196" s="197">
        <f t="shared" ref="Z196:Z229" si="87">RIGHT(H196,LEN(H196)-4)/10000</f>
        <v>8.5300000000000001E-2</v>
      </c>
      <c r="AA196" s="197">
        <f t="shared" si="64"/>
        <v>5.7781000000000002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5"/>
        <v>1830</v>
      </c>
      <c r="AE196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6" s="74" t="str">
        <f t="shared" si="67"/>
        <v>"C:\Program Files (x86)\AstroGrep\AstroGrep.exe" /e /r /s /spath="%USERPROFILE%\AppData\Local\Temp\OnboardLogs" /stypes="app*4025*20170703*" /stext=" 02:.+((SYSTEM_STATE.+slice.+state.+changed )|(ment ac)|(multiple cpu faults)|(system.+state.+changed )|(\[timeout)|(PRM\|1\|D)|(kpr)|(kdp)|(train st.+moving)|(\|lc)|(penalty))"</v>
      </c>
      <c r="AG196" s="209" t="str">
        <f t="shared" si="68"/>
        <v>NW</v>
      </c>
      <c r="AH196" s="78" t="str">
        <f t="shared" si="69"/>
        <v>"%USERPROFILE%\Documents\GitHub\eaglep3\Utilities\RefineRTDCRunTimes.py" --tripid 1830-02 --locoid 4025 --swversion DE.1.0.9.0 --startMP 300:58634 --initTime 2017-07-02T20:44:03 --startdatetime 2017-07-02T20:46:00 --delay 1 --endMP 204:853 --enddatetime 2017-07-02T20:58:48 --enforcementcount 0 &gt;&gt;C:\Users\stu\Documents\GitHub\eaglep3-reporting\EC\2017-07-02-refined-times.txt</v>
      </c>
      <c r="AI196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{"issue":{"subject":"","project_id":79,"tracker_id":40,"status_id":1,"priority_id":2,"assigned_to_id":23,"start_date":"2017-07-02","description":"","custom_fields":[{"id":1,"name":"Subdivision","value":"NW"},{"id":4,"name":"Milepost","value":"0.0853"},{"id":17,"name":"Train ID","value":"1830-02"},{"id":16,"name":"Locomotive ID","value":"4025"},{"id":130,"name":"Impact","value":""},{"id":150,"name":"Time of Event (Mountain Time)","value":"20:58:48"},{"id":151,"name":"Denver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1"/>
        <v>start /low /b %USERPROFILE%\Documents\GitHub\eaglep3\Utilities\DownloadLogsFromS3.py --loco 4025 --day 2017-07-02</v>
      </c>
      <c r="AN196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02:58:48"},{"id":29,"name":"Sharepoint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844</v>
      </c>
      <c r="B197" s="7">
        <v>4026</v>
      </c>
      <c r="C197" s="21" t="s">
        <v>202</v>
      </c>
      <c r="D197" s="21" t="s">
        <v>943</v>
      </c>
      <c r="E197" s="13">
        <v>42918.887777777774</v>
      </c>
      <c r="F197" s="13">
        <v>42918.889918981484</v>
      </c>
      <c r="G197" s="7">
        <v>2</v>
      </c>
      <c r="H197" s="21" t="s">
        <v>617</v>
      </c>
      <c r="I197" s="13">
        <v>42918.899733796294</v>
      </c>
      <c r="J197" s="7">
        <v>0</v>
      </c>
      <c r="K197" s="89" t="str">
        <f t="shared" si="57"/>
        <v>4025/4026</v>
      </c>
      <c r="L197" s="21" t="str">
        <f>VLOOKUP(A197,'Trips&amp;Operators'!$C$1:$G$99999,5,FALSE)</f>
        <v>MAGEE KENYA</v>
      </c>
      <c r="M197" s="6">
        <f t="shared" si="58"/>
        <v>9.814814809942618E-3</v>
      </c>
      <c r="N197" s="7">
        <f t="shared" si="85"/>
        <v>14.13333332631737</v>
      </c>
      <c r="O197" s="7"/>
      <c r="P197" s="7"/>
      <c r="Q197" s="22"/>
      <c r="R197" s="170"/>
      <c r="S197" s="213">
        <f t="shared" si="81"/>
        <v>1</v>
      </c>
      <c r="T197" s="195" t="str">
        <f t="shared" si="60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1"/>
        <v>https://d0f6bd738d7f1b3e5a7ca70fe4ff75f0.us-east-1.aws.found.io/app/kibana#/discover/Steve-Slow-Train-Analysis-(2080s-and-2083s)?_g=(refreshInterval:(display:Off,pause:!f,section:0,value:0),time:(from:'2017-07-02T20:18:24-0600',mode:absolute,to:'2017-07-02T22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7" s="197" t="str">
        <f>IF(AA197&lt;VLOOKUP(AG197,Variables!$AC$3:$AD$8,2,FALSE),"Y","N")</f>
        <v>N</v>
      </c>
      <c r="X197" s="197">
        <f t="shared" si="82"/>
        <v>1</v>
      </c>
      <c r="Y197" s="197">
        <f t="shared" si="86"/>
        <v>0.1109</v>
      </c>
      <c r="Z197" s="197">
        <f t="shared" si="87"/>
        <v>5.8959999999999999</v>
      </c>
      <c r="AA197" s="197">
        <f t="shared" si="64"/>
        <v>5.7850999999999999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5"/>
        <v>1831</v>
      </c>
      <c r="AE197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7" s="74" t="str">
        <f t="shared" si="67"/>
        <v>"C:\Program Files (x86)\AstroGrep\AstroGrep.exe" /e /r /s /spath="%USERPROFILE%\AppData\Local\Temp\OnboardLogs" /stypes="app*4026*20170703*" /stext=" 03:.+((SYSTEM_STATE.+slice.+state.+changed )|(ment ac)|(multiple cpu faults)|(system.+state.+changed )|(\[timeout)|(PRM\|1\|D)|(kpr)|(kdp)|(train st.+moving)|(\|lc)|(penalty))"</v>
      </c>
      <c r="AG197" s="209" t="str">
        <f t="shared" si="68"/>
        <v>NW</v>
      </c>
      <c r="AH197" s="78" t="str">
        <f t="shared" si="69"/>
        <v>"%USERPROFILE%\Documents\GitHub\eaglep3\Utilities\RefineRTDCRunTimes.py" --tripid 1831-02 --locoid 4026 --swversion DE.1.0.9.0 --startMP 204:1109 --initTime 2017-07-02T21:18:24 --startdatetime 2017-07-02T21:21:29 --delay 2 --endMP 300:58960 --enddatetime 2017-07-02T21:35:37 --enforcementcount 0 &gt;&gt;C:\Users\stu\Documents\GitHub\eaglep3-reporting\EC\2017-07-02-refined-times.txt</v>
      </c>
      <c r="AI197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{"issue":{"subject":"","project_id":79,"tracker_id":40,"status_id":1,"priority_id":2,"assigned_to_id":23,"start_date":"2017-07-02","description":"","custom_fields":[{"id":1,"name":"Subdivision","value":"NW"},{"id":4,"name":"Milepost","value":"5.896"},{"id":17,"name":"Train ID","value":"1831-02"},{"id":16,"name":"Locomotive ID","value":"4026"},{"id":130,"name":"Impact","value":""},{"id":150,"name":"Time of Event (Mountain Time)","value":"21:35:37"},{"id":151,"name":"Denver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1"/>
        <v>start /low /b %USERPROFILE%\Documents\GitHub\eaglep3\Utilities\DownloadLogsFromS3.py --loco 4026 --day 2017-07-02</v>
      </c>
      <c r="AN197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845</v>
      </c>
      <c r="B198" s="7">
        <v>4025</v>
      </c>
      <c r="C198" s="21" t="s">
        <v>202</v>
      </c>
      <c r="D198" s="21" t="s">
        <v>615</v>
      </c>
      <c r="E198" s="13">
        <v>42918.900833333333</v>
      </c>
      <c r="F198" s="13">
        <v>42918.902442129627</v>
      </c>
      <c r="G198" s="7">
        <v>1</v>
      </c>
      <c r="H198" s="21" t="s">
        <v>944</v>
      </c>
      <c r="I198" s="13">
        <v>42918.913148148145</v>
      </c>
      <c r="J198" s="7">
        <v>0</v>
      </c>
      <c r="K198" s="89" t="str">
        <f t="shared" si="57"/>
        <v>4025/4026</v>
      </c>
      <c r="L198" s="21" t="str">
        <f>VLOOKUP(A198,'Trips&amp;Operators'!$C$1:$G$99999,5,FALSE)</f>
        <v>MAGEE KENYA</v>
      </c>
      <c r="M198" s="6">
        <f t="shared" si="58"/>
        <v>1.0706018518249039E-2</v>
      </c>
      <c r="N198" s="7">
        <f t="shared" si="85"/>
        <v>15.416666666278616</v>
      </c>
      <c r="O198" s="7"/>
      <c r="P198" s="7"/>
      <c r="Q198" s="22"/>
      <c r="R198" s="170"/>
      <c r="S198" s="213">
        <f t="shared" si="81"/>
        <v>1</v>
      </c>
      <c r="T198" s="195" t="str">
        <f t="shared" si="60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1"/>
        <v>https://d0f6bd738d7f1b3e5a7ca70fe4ff75f0.us-east-1.aws.found.io/app/kibana#/discover/Steve-Slow-Train-Analysis-(2080s-and-2083s)?_g=(refreshInterval:(display:Off,pause:!f,section:0,value:0),time:(from:'2017-07-02T20:37:12-0600',mode:absolute,to:'2017-07-02T22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8" s="197" t="str">
        <f>IF(AA198&lt;VLOOKUP(AG198,Variables!$AC$3:$AD$8,2,FALSE),"Y","N")</f>
        <v>N</v>
      </c>
      <c r="X198" s="197">
        <f t="shared" si="82"/>
        <v>1</v>
      </c>
      <c r="Y198" s="197">
        <f t="shared" si="86"/>
        <v>5.8658000000000001</v>
      </c>
      <c r="Z198" s="197">
        <f t="shared" si="87"/>
        <v>7.6100000000000001E-2</v>
      </c>
      <c r="AA198" s="197">
        <f t="shared" si="64"/>
        <v>5.7896999999999998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5"/>
        <v>1832</v>
      </c>
      <c r="AE198" s="77" t="str">
        <f t="shared" si="6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198" s="74" t="str">
        <f t="shared" si="67"/>
        <v>"C:\Program Files (x86)\AstroGrep\AstroGrep.exe" /e /r /s /spath="%USERPROFILE%\AppData\Local\Temp\OnboardLogs" /stypes="app*4025*20170703*" /stext=" 03:.+((SYSTEM_STATE.+slice.+state.+changed )|(ment ac)|(multiple cpu faults)|(system.+state.+changed )|(\[timeout)|(PRM\|1\|D)|(kpr)|(kdp)|(train st.+moving)|(\|lc)|(penalty))"</v>
      </c>
      <c r="AG198" s="209" t="str">
        <f t="shared" si="68"/>
        <v>NW</v>
      </c>
      <c r="AH198" s="78" t="str">
        <f t="shared" si="69"/>
        <v>"%USERPROFILE%\Documents\GitHub\eaglep3\Utilities\RefineRTDCRunTimes.py" --tripid 1832-02 --locoid 4025 --swversion DE.1.0.9.0 --startMP 300:58658 --initTime 2017-07-02T21:37:12 --startdatetime 2017-07-02T21:39:31 --delay 1 --endMP 204:761 --enddatetime 2017-07-02T21:54:56 --enforcementcount 0 &gt;&gt;C:\Users\stu\Documents\GitHub\eaglep3-reporting\EC\2017-07-02-refined-times.txt</v>
      </c>
      <c r="AI198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{"issue":{"subject":"","project_id":79,"tracker_id":40,"status_id":1,"priority_id":2,"assigned_to_id":23,"start_date":"2017-07-02","description":"","custom_fields":[{"id":1,"name":"Subdivision","value":"NW"},{"id":4,"name":"Milepost","value":"0.0761"},{"id":17,"name":"Train ID","value":"1832-02"},{"id":16,"name":"Locomotive ID","value":"4025"},{"id":130,"name":"Impact","value":""},{"id":150,"name":"Time of Event (Mountain Time)","value":"21:54:56"},{"id":151,"name":"Denver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1"/>
        <v>start /low /b %USERPROFILE%\Documents\GitHub\eaglep3\Utilities\DownloadLogsFromS3.py --loco 4025 --day 2017-07-02</v>
      </c>
      <c r="AN198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850</v>
      </c>
      <c r="B199" s="7">
        <v>4026</v>
      </c>
      <c r="C199" s="21" t="s">
        <v>202</v>
      </c>
      <c r="D199" s="21" t="s">
        <v>945</v>
      </c>
      <c r="E199" s="13">
        <v>42918.930219907408</v>
      </c>
      <c r="F199" s="13">
        <v>42918.931597222225</v>
      </c>
      <c r="G199" s="7">
        <v>1</v>
      </c>
      <c r="H199" s="21" t="s">
        <v>931</v>
      </c>
      <c r="I199" s="13">
        <v>42918.940833333334</v>
      </c>
      <c r="J199" s="7">
        <v>0</v>
      </c>
      <c r="K199" s="89" t="str">
        <f t="shared" si="57"/>
        <v>4025/4026</v>
      </c>
      <c r="L199" s="21" t="str">
        <f>VLOOKUP(A199,'Trips&amp;Operators'!$C$1:$G$99999,5,FALSE)</f>
        <v>MAGEE KENYA</v>
      </c>
      <c r="M199" s="6">
        <f t="shared" si="58"/>
        <v>9.2361111092031933E-3</v>
      </c>
      <c r="N199" s="7">
        <f t="shared" si="85"/>
        <v>13.299999997252598</v>
      </c>
      <c r="O199" s="7"/>
      <c r="P199" s="7"/>
      <c r="Q199" s="22"/>
      <c r="R199" s="170"/>
      <c r="S199" s="213">
        <f t="shared" si="81"/>
        <v>1</v>
      </c>
      <c r="T199" s="195" t="str">
        <f t="shared" si="60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1"/>
        <v>https://d0f6bd738d7f1b3e5a7ca70fe4ff75f0.us-east-1.aws.found.io/app/kibana#/discover/Steve-Slow-Train-Analysis-(2080s-and-2083s)?_g=(refreshInterval:(display:Off,pause:!f,section:0,value:0),time:(from:'2017-07-02T21:19:31-0600',mode:absolute,to:'2017-07-02T23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9" s="197" t="str">
        <f>IF(AA199&lt;VLOOKUP(AG199,Variables!$AC$3:$AD$8,2,FALSE),"Y","N")</f>
        <v>N</v>
      </c>
      <c r="X199" s="197">
        <f t="shared" si="82"/>
        <v>1</v>
      </c>
      <c r="Y199" s="197">
        <f t="shared" si="86"/>
        <v>0.1055</v>
      </c>
      <c r="Z199" s="197">
        <f t="shared" si="87"/>
        <v>5.8978000000000002</v>
      </c>
      <c r="AA199" s="197">
        <f t="shared" si="64"/>
        <v>5.7923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5"/>
        <v>1833</v>
      </c>
      <c r="AE199" s="77" t="str">
        <f t="shared" si="6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199" s="74" t="str">
        <f t="shared" si="67"/>
        <v>"C:\Program Files (x86)\AstroGrep\AstroGrep.exe" /e /r /s /spath="%USERPROFILE%\AppData\Local\Temp\OnboardLogs" /stypes="app*4026*20170703*" /stext=" 04:.+((SYSTEM_STATE.+slice.+state.+changed )|(ment ac)|(multiple cpu faults)|(system.+state.+changed )|(\[timeout)|(PRM\|1\|D)|(kpr)|(kdp)|(train st.+moving)|(\|lc)|(penalty))"</v>
      </c>
      <c r="AG199" s="209" t="str">
        <f t="shared" si="68"/>
        <v>NW</v>
      </c>
      <c r="AH199" s="78" t="str">
        <f t="shared" si="69"/>
        <v>"%USERPROFILE%\Documents\GitHub\eaglep3\Utilities\RefineRTDCRunTimes.py" --tripid 1833-02 --locoid 4026 --swversion DE.1.0.9.0 --startMP 204:1055 --initTime 2017-07-02T22:19:31 --startdatetime 2017-07-02T22:21:30 --delay 1 --endMP 300:58978 --enddatetime 2017-07-02T22:34:48 --enforcementcount 0 &gt;&gt;C:\Users\stu\Documents\GitHub\eaglep3-reporting\EC\2017-07-02-refined-times.txt</v>
      </c>
      <c r="AI199" s="96" t="str">
        <f t="shared" si="70"/>
        <v>echo {"issue":{"subject":"","project_id":79,"tracker_id":40,"status_id":1,"priority_id":2,"assigned_to_id":23,"start_date":"2017-07-02","description":"","custom_fields":[{"id":1,"name":"Subdivision","value":"NW"},{"id":4,"name":"Milepost","value":"5.8978"},{"id":17,"name":"Train ID","value":"1833-02"},{"id":16,"name":"Locomotive ID","value":"4026"},{"id":130,"name":"Impact","value":""},{"id":150,"name":"Time of Event (Mountain Time)","value":"22:34:48"},{"id":151,"name":"Denver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1"/>
        <v>start /low /b %USERPROFILE%\Documents\GitHub\eaglep3\Utilities\DownloadLogsFromS3.py --loco 4026 --day 2017-07-02</v>
      </c>
      <c r="AN199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699</v>
      </c>
      <c r="B200" s="7">
        <v>4053</v>
      </c>
      <c r="C200" s="21" t="s">
        <v>202</v>
      </c>
      <c r="D200" s="21" t="s">
        <v>979</v>
      </c>
      <c r="E200" s="13">
        <v>42918.120104166665</v>
      </c>
      <c r="F200" s="13">
        <v>42918.123379629629</v>
      </c>
      <c r="G200" s="7">
        <v>4</v>
      </c>
      <c r="H200" s="21" t="s">
        <v>350</v>
      </c>
      <c r="I200" s="13">
        <v>42918.128287037034</v>
      </c>
      <c r="J200" s="7">
        <v>0</v>
      </c>
      <c r="K200" s="89" t="str">
        <f t="shared" si="57"/>
        <v>4053/4054</v>
      </c>
      <c r="L200" s="21" t="str">
        <f>VLOOKUP(A200,'Trips&amp;Operators'!$C$1:$G$99999,5,FALSE)</f>
        <v>MAELZER KURT</v>
      </c>
      <c r="M200" s="6">
        <f t="shared" si="58"/>
        <v>4.907407404971309E-3</v>
      </c>
      <c r="N200" s="7">
        <f t="shared" si="85"/>
        <v>7.066666663158685</v>
      </c>
      <c r="O200" s="7"/>
      <c r="P200" s="7"/>
      <c r="Q200" s="22"/>
      <c r="R200" s="170"/>
      <c r="S200" s="213">
        <f t="shared" si="81"/>
        <v>1</v>
      </c>
      <c r="T200" s="195" t="str">
        <f t="shared" si="60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1"/>
        <v>https://d0f6bd738d7f1b3e5a7ca70fe4ff75f0.us-east-1.aws.found.io/app/kibana#/discover/Steve-Slow-Train-Analysis-(2080s-and-2083s)?_g=(refreshInterval:(display:Off,pause:!f,section:0,value:0),time:(from:'2017-07-02T01:52:57-0600',mode:absolute,to:'2017-07-02T04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0" s="197" t="str">
        <f>IF(AA200&lt;VLOOKUP(AG200,Variables!$AC$3:$AD$8,2,FALSE),"Y","N")</f>
        <v>Y</v>
      </c>
      <c r="X200" s="197">
        <f t="shared" si="82"/>
        <v>-1533</v>
      </c>
      <c r="Y200" s="197">
        <f t="shared" si="86"/>
        <v>2.0242</v>
      </c>
      <c r="Z200" s="197">
        <f t="shared" si="87"/>
        <v>1.43E-2</v>
      </c>
      <c r="AA200" s="197">
        <f t="shared" si="64"/>
        <v>2.0099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5"/>
        <v>300</v>
      </c>
      <c r="AE200" s="77" t="str">
        <f t="shared" si="66"/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AF200" s="74" t="str">
        <f t="shared" si="67"/>
        <v>"C:\Program Files (x86)\AstroGrep\AstroGrep.exe" /e /r /s /spath="%USERPROFILE%\AppData\Local\Temp\OnboardLogs" /stypes="app*4053*20170702*" /stext=" 09:.+((SYSTEM_STATE.+slice.+state.+changed )|(ment ac)|(multiple cpu faults)|(system.+state.+changed )|(\[timeout)|(PRM\|1\|D)|(kpr)|(kdp)|(train st.+moving)|(\|lc)|(penalty))"</v>
      </c>
      <c r="AG200" s="209" t="str">
        <f t="shared" si="68"/>
        <v>Other</v>
      </c>
      <c r="AH200" s="78" t="str">
        <f t="shared" si="69"/>
        <v>"%USERPROFILE%\Documents\GitHub\eaglep3\Utilities\RefineRTDCRunTimes.py" --tripid 300-02 --locoid 4053 --swversion DE.1.0.9.0 --startMP 300:20242 --initTime 2017-07-02T02:52:57 --startdatetime 2017-07-02T02:57:40 --delay 4 --endMP 204:143 --enddatetime 2017-07-02T03:04:44 --enforcementcount 0 &gt;&gt;C:\Users\stu\Documents\GitHub\eaglep3-reporting\EC\2017-07-02-refined-times.txt</v>
      </c>
      <c r="AI200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{"issue":{"subject":"","project_id":79,"tracker_id":40,"status_id":1,"priority_id":2,"assigned_to_id":23,"start_date":"2017-07-02","description":"","custom_fields":[{"id":1,"name":"Subdivision","value":"Other"},{"id":4,"name":"Milepost","value":"0.0143"},{"id":17,"name":"Train ID","value":"300-02"},{"id":16,"name":"Locomotive ID","value":"4053"},{"id":130,"name":"Impact","value":""},{"id":150,"name":"Time of Event (Mountain Time)","value":"03:04:44"},{"id":151,"name":"Denver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1"/>
        <v>start /low /b %USERPROFILE%\Documents\GitHub\eaglep3\Utilities\DownloadLogsFromS3.py --loco 4053 --day 2017-07-02</v>
      </c>
      <c r="AN200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09:04:44"},{"id":29,"name":"Sharepoint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703</v>
      </c>
      <c r="B201" s="7">
        <v>4041</v>
      </c>
      <c r="C201" s="21" t="s">
        <v>202</v>
      </c>
      <c r="D201" s="21" t="s">
        <v>980</v>
      </c>
      <c r="E201" s="13">
        <v>42918.151493055557</v>
      </c>
      <c r="F201" s="13">
        <v>42918.153981481482</v>
      </c>
      <c r="G201" s="7">
        <v>3</v>
      </c>
      <c r="H201" s="21" t="s">
        <v>981</v>
      </c>
      <c r="I201" s="13">
        <v>42918.161874999998</v>
      </c>
      <c r="J201" s="7">
        <v>0</v>
      </c>
      <c r="K201" s="89" t="str">
        <f t="shared" si="57"/>
        <v>4041/4042</v>
      </c>
      <c r="L201" s="21" t="str">
        <f>VLOOKUP(A201,'Trips&amp;Operators'!$C$1:$G$99999,5,FALSE)</f>
        <v>CHANDLER KELVIN</v>
      </c>
      <c r="M201" s="6">
        <f t="shared" si="58"/>
        <v>7.8935185156296939E-3</v>
      </c>
      <c r="N201" s="7">
        <f t="shared" si="85"/>
        <v>11.366666662506759</v>
      </c>
      <c r="O201" s="7"/>
      <c r="P201" s="7"/>
      <c r="Q201" s="22"/>
      <c r="R201" s="170"/>
      <c r="S201" s="213">
        <f t="shared" si="81"/>
        <v>1</v>
      </c>
      <c r="T201" s="195" t="str">
        <f t="shared" si="60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1"/>
        <v>https://d0f6bd738d7f1b3e5a7ca70fe4ff75f0.us-east-1.aws.found.io/app/kibana#/discover/Steve-Slow-Train-Analysis-(2080s-and-2083s)?_g=(refreshInterval:(display:Off,pause:!f,section:0,value:0),time:(from:'2017-07-02T02:38:09-0600',mode:absolute,to:'2017-07-02T04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197" t="str">
        <f>IF(AA201&lt;VLOOKUP(AG201,Variables!$AC$3:$AD$8,2,FALSE),"Y","N")</f>
        <v>Y</v>
      </c>
      <c r="X201" s="197">
        <f t="shared" si="82"/>
        <v>2</v>
      </c>
      <c r="Y201" s="197">
        <f t="shared" si="86"/>
        <v>2.3498999999999999</v>
      </c>
      <c r="Z201" s="197">
        <f t="shared" si="87"/>
        <v>0.11940000000000001</v>
      </c>
      <c r="AA201" s="197">
        <f t="shared" si="64"/>
        <v>2.2304999999999997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5"/>
        <v>302</v>
      </c>
      <c r="AE201" s="77" t="str">
        <f t="shared" si="66"/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AF201" s="74" t="str">
        <f t="shared" si="67"/>
        <v>"C:\Program Files (x86)\AstroGrep\AstroGrep.exe" /e /r /s /spath="%USERPROFILE%\AppData\Local\Temp\OnboardLogs" /stypes="app*4041*20170702*" /stext=" 09:.+((SYSTEM_STATE.+slice.+state.+changed )|(ment ac)|(multiple cpu faults)|(system.+state.+changed )|(\[timeout)|(PRM\|1\|D)|(kpr)|(kdp)|(train st.+moving)|(\|lc)|(penalty))"</v>
      </c>
      <c r="AG201" s="209" t="str">
        <f t="shared" si="68"/>
        <v>Other</v>
      </c>
      <c r="AH201" s="78" t="str">
        <f t="shared" si="69"/>
        <v>"%USERPROFILE%\Documents\GitHub\eaglep3\Utilities\RefineRTDCRunTimes.py" --tripid 302-02 --locoid 4041 --swversion DE.1.0.9.0 --startMP 300:23499 --initTime 2017-07-02T03:38:09 --startdatetime 2017-07-02T03:41:44 --delay 3 --endMP 204:1194 --enddatetime 2017-07-02T03:53:06 --enforcementcount 0 &gt;&gt;C:\Users\stu\Documents\GitHub\eaglep3-reporting\EC\2017-07-02-refined-times.txt</v>
      </c>
      <c r="AI201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{"issue":{"subject":"","project_id":79,"tracker_id":40,"status_id":1,"priority_id":2,"assigned_to_id":23,"start_date":"2017-07-02","description":"","custom_fields":[{"id":1,"name":"Subdivision","value":"Other"},{"id":4,"name":"Milepost","value":"0.1194"},{"id":17,"name":"Train ID","value":"302-02"},{"id":16,"name":"Locomotive ID","value":"4041"},{"id":130,"name":"Impact","value":""},{"id":150,"name":"Time of Event (Mountain Time)","value":"03:53:06"},{"id":151,"name":"Denver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1"/>
        <v>start /low /b %USERPROFILE%\Documents\GitHub\eaglep3\Utilities\DownloadLogsFromS3.py --loco 4041 --day 2017-07-02</v>
      </c>
      <c r="AN201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09:53:06"},{"id":29,"name":"Sharepoint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830</v>
      </c>
      <c r="B202" s="7">
        <v>4064</v>
      </c>
      <c r="C202" s="21" t="s">
        <v>202</v>
      </c>
      <c r="D202" s="21" t="s">
        <v>604</v>
      </c>
      <c r="E202" s="13">
        <v>42918.800729166665</v>
      </c>
      <c r="F202" s="13">
        <v>42918.803055555552</v>
      </c>
      <c r="G202" s="7">
        <v>1</v>
      </c>
      <c r="H202" s="21" t="s">
        <v>607</v>
      </c>
      <c r="I202" s="13">
        <v>42918.809988425928</v>
      </c>
      <c r="J202" s="7">
        <v>0</v>
      </c>
      <c r="K202" s="89" t="str">
        <f t="shared" si="57"/>
        <v>4063/4064</v>
      </c>
      <c r="L202" s="21" t="str">
        <f>VLOOKUP(A202,'Trips&amp;Operators'!$C$1:$G$99999,5,FALSE)</f>
        <v>DELGADO DIANAH</v>
      </c>
      <c r="M202" s="6">
        <f t="shared" si="58"/>
        <v>6.9328703757491894E-3</v>
      </c>
      <c r="N202" s="7">
        <f t="shared" si="85"/>
        <v>9.9833333410788327</v>
      </c>
      <c r="O202" s="7"/>
      <c r="P202" s="7"/>
      <c r="Q202" s="22"/>
      <c r="R202" s="170"/>
      <c r="S202" s="213">
        <f t="shared" si="81"/>
        <v>1</v>
      </c>
      <c r="T202" s="195" t="str">
        <f t="shared" si="60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1"/>
        <v>https://d0f6bd738d7f1b3e5a7ca70fe4ff75f0.us-east-1.aws.found.io/app/kibana#/discover/Steve-Slow-Train-Analysis-(2080s-and-2083s)?_g=(refreshInterval:(display:Off,pause:!f,section:0,value:0),time:(from:'2017-07-02T18:13:03-0600',mode:absolute,to:'2017-07-02T20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2" s="197" t="str">
        <f>IF(AA202&lt;VLOOKUP(AG202,Variables!$AC$3:$AD$8,2,FALSE),"Y","N")</f>
        <v>Y</v>
      </c>
      <c r="X202" s="197">
        <f t="shared" si="82"/>
        <v>1</v>
      </c>
      <c r="Y202" s="197">
        <f t="shared" si="86"/>
        <v>4.7100000000000003E-2</v>
      </c>
      <c r="Z202" s="197">
        <f t="shared" si="87"/>
        <v>2.3306</v>
      </c>
      <c r="AA202" s="197">
        <f t="shared" si="64"/>
        <v>2.2835000000000001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5"/>
        <v>303</v>
      </c>
      <c r="AE202" s="77" t="str">
        <f t="shared" si="66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202" s="74" t="str">
        <f t="shared" si="67"/>
        <v>"C:\Program Files (x86)\AstroGrep\AstroGrep.exe" /e /r /s /spath="%USERPROFILE%\AppData\Local\Temp\OnboardLogs" /stypes="app*4064*20170703*" /stext=" 01:.+((SYSTEM_STATE.+slice.+state.+changed )|(ment ac)|(multiple cpu faults)|(system.+state.+changed )|(\[timeout)|(PRM\|1\|D)|(kpr)|(kdp)|(train st.+moving)|(\|lc)|(penalty))"</v>
      </c>
      <c r="AG202" s="209" t="str">
        <f t="shared" si="68"/>
        <v>Other</v>
      </c>
      <c r="AH202" s="78" t="str">
        <f t="shared" si="69"/>
        <v>"%USERPROFILE%\Documents\GitHub\eaglep3\Utilities\RefineRTDCRunTimes.py" --tripid 303-02 --locoid 4064 --swversion DE.1.0.9.0 --startMP 204:471 --initTime 2017-07-02T19:13:03 --startdatetime 2017-07-02T19:16:24 --delay 1 --endMP 300:23306 --enddatetime 2017-07-02T19:26:23 --enforcementcount 0 &gt;&gt;C:\Users\stu\Documents\GitHub\eaglep3-reporting\EC\2017-07-02-refined-times.txt</v>
      </c>
      <c r="AI202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{"issue":{"subject":"","project_id":79,"tracker_id":40,"status_id":1,"priority_id":2,"assigned_to_id":23,"start_date":"2017-07-02","description":"","custom_fields":[{"id":1,"name":"Subdivision","value":"Other"},{"id":4,"name":"Milepost","value":"2.3306"},{"id":17,"name":"Train ID","value":"303-02"},{"id":16,"name":"Locomotive ID","value":"4064"},{"id":130,"name":"Impact","value":""},{"id":150,"name":"Time of Event (Mountain Time)","value":"19:26:23"},{"id":151,"name":"Denver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1"/>
        <v>start /low /b %USERPROFILE%\Documents\GitHub\eaglep3\Utilities\DownloadLogsFromS3.py --loco 4064 --day 2017-07-02</v>
      </c>
      <c r="AN202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623</v>
      </c>
      <c r="B203" s="7">
        <v>4043</v>
      </c>
      <c r="C203" s="21" t="s">
        <v>202</v>
      </c>
      <c r="D203" s="21" t="s">
        <v>982</v>
      </c>
      <c r="E203" s="13">
        <v>42918.158425925925</v>
      </c>
      <c r="F203" s="13">
        <v>42918.162754629629</v>
      </c>
      <c r="G203" s="7">
        <v>6</v>
      </c>
      <c r="H203" s="21" t="s">
        <v>983</v>
      </c>
      <c r="I203" s="13">
        <v>42918.162916666668</v>
      </c>
      <c r="J203" s="7">
        <v>0</v>
      </c>
      <c r="K203" s="89" t="str">
        <f t="shared" si="57"/>
        <v>4043/4044</v>
      </c>
      <c r="L203" s="21" t="str">
        <f>VLOOKUP(A203,'Trips&amp;Operators'!$C$1:$G$99999,5,FALSE)</f>
        <v>DAVIS WENDY</v>
      </c>
      <c r="M203" s="6">
        <f t="shared" si="58"/>
        <v>1.6203703853534535E-4</v>
      </c>
      <c r="N203" s="7">
        <f t="shared" si="85"/>
        <v>0.2333333354908973</v>
      </c>
      <c r="O203" s="7"/>
      <c r="P203" s="7"/>
      <c r="Q203" s="22"/>
      <c r="R203" s="170"/>
      <c r="S203" s="213">
        <f t="shared" si="81"/>
        <v>0</v>
      </c>
      <c r="T203" s="195" t="str">
        <f t="shared" si="60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96" t="str">
        <f t="shared" si="61"/>
        <v>https://d0f6bd738d7f1b3e5a7ca70fe4ff75f0.us-east-1.aws.found.io/app/kibana#/discover/Steve-Slow-Train-Analysis-(2080s-and-2083s)?_g=(refreshInterval:(display:Off,pause:!f,section:0,value:0),time:(from:'2017-07-02T02:48:08-0600',mode:absolute,to:'2017-07-02T04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97" t="str">
        <f>IF(AA203&lt;VLOOKUP(AG203,Variables!$AC$3:$AD$8,2,FALSE),"Y","N")</f>
        <v>Y</v>
      </c>
      <c r="X203" s="197">
        <f t="shared" si="82"/>
        <v>1</v>
      </c>
      <c r="Y203" s="197">
        <f t="shared" si="86"/>
        <v>2.2482000000000002</v>
      </c>
      <c r="Z203" s="197">
        <f t="shared" si="87"/>
        <v>2.1747999999999998</v>
      </c>
      <c r="AA203" s="197">
        <f t="shared" si="64"/>
        <v>7.3400000000000354E-2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5"/>
        <v>304</v>
      </c>
      <c r="AE203" s="77" t="str">
        <f t="shared" si="66"/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AF203" s="74" t="str">
        <f t="shared" si="67"/>
        <v>"C:\Program Files (x86)\AstroGrep\AstroGrep.exe" /e /r /s /spath="%USERPROFILE%\AppData\Local\Temp\OnboardLogs" /stypes="app*4043*20170702*" /stext=" 09:.+((SYSTEM_STATE.+slice.+state.+changed )|(ment ac)|(multiple cpu faults)|(system.+state.+changed )|(\[timeout)|(PRM\|1\|D)|(kpr)|(kdp)|(train st.+moving)|(\|lc)|(penalty))"</v>
      </c>
      <c r="AG203" s="209" t="str">
        <f t="shared" si="68"/>
        <v>Other</v>
      </c>
      <c r="AH203" s="78" t="str">
        <f t="shared" si="69"/>
        <v>"%USERPROFILE%\Documents\GitHub\eaglep3\Utilities\RefineRTDCRunTimes.py" --tripid 304-02 --locoid 4043 --swversion DE.1.0.9.0 --startMP 300:22482 --initTime 2017-07-02T03:48:08 --startdatetime 2017-07-02T03:54:22 --delay 6 --endMP 300:21748 --enddatetime 2017-07-02T03:54:36 --enforcementcount 0 &gt;&gt;C:\Users\stu\Documents\GitHub\eaglep3-reporting\EC\2017-07-02-refined-times.txt</v>
      </c>
      <c r="AI203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{"issue":{"subject":"","project_id":79,"tracker_id":40,"status_id":1,"priority_id":2,"assigned_to_id":23,"start_date":"2017-07-02","description":"","custom_fields":[{"id":1,"name":"Subdivision","value":"Other"},{"id":4,"name":"Milepost","value":"2.1748"},{"id":17,"name":"Train ID","value":"304-02"},{"id":16,"name":"Locomotive ID","value":"4043"},{"id":130,"name":"Impact","value":""},{"id":150,"name":"Time of Event (Mountain Time)","value":"03:54:36"},{"id":151,"name":"Denver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1"/>
        <v>start /low /b %USERPROFILE%\Documents\GitHub\eaglep3\Utilities\DownloadLogsFromS3.py --loco 4043 --day 2017-07-02</v>
      </c>
      <c r="AN203" s="151" t="str">
        <f t="shared" si="7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09:54:36"},{"id":29,"name":"Sharepoint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836</v>
      </c>
      <c r="B204" s="7">
        <v>4022</v>
      </c>
      <c r="C204" s="21" t="s">
        <v>202</v>
      </c>
      <c r="D204" s="21" t="s">
        <v>355</v>
      </c>
      <c r="E204" s="13">
        <v>42918.821863425925</v>
      </c>
      <c r="F204" s="13">
        <v>42918.823611111111</v>
      </c>
      <c r="G204" s="7">
        <v>2</v>
      </c>
      <c r="H204" s="21" t="s">
        <v>353</v>
      </c>
      <c r="I204" s="13">
        <v>42918.83121527778</v>
      </c>
      <c r="J204" s="7">
        <v>0</v>
      </c>
      <c r="K204" s="89" t="str">
        <f t="shared" si="57"/>
        <v>4021/4022</v>
      </c>
      <c r="L204" s="21" t="str">
        <f>VLOOKUP(A204,'Trips&amp;Operators'!$C$1:$G$99999,5,FALSE)</f>
        <v>NELSON ARIANE</v>
      </c>
      <c r="M204" s="6">
        <f t="shared" si="58"/>
        <v>7.6041666688979603E-3</v>
      </c>
      <c r="N204" s="7">
        <f t="shared" si="85"/>
        <v>10.950000003213063</v>
      </c>
      <c r="O204" s="7"/>
      <c r="P204" s="7"/>
      <c r="Q204" s="22"/>
      <c r="R204" s="170"/>
      <c r="S204" s="213">
        <f t="shared" ref="S204:S229" si="88">SUM(U204:U204)/IF(AG204="EC",12,1)</f>
        <v>1</v>
      </c>
      <c r="T204" s="195" t="str">
        <f t="shared" si="60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1"/>
        <v>https://d0f6bd738d7f1b3e5a7ca70fe4ff75f0.us-east-1.aws.found.io/app/kibana#/discover/Steve-Slow-Train-Analysis-(2080s-and-2083s)?_g=(refreshInterval:(display:Off,pause:!f,section:0,value:0),time:(from:'2017-07-02T18:43:29-0600',mode:absolute,to:'2017-07-02T20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197" t="str">
        <f>IF(AA204&lt;VLOOKUP(AG204,Variables!$AC$3:$AD$8,2,FALSE),"Y","N")</f>
        <v>Y</v>
      </c>
      <c r="X204" s="197">
        <f t="shared" si="82"/>
        <v>1</v>
      </c>
      <c r="Y204" s="197">
        <f t="shared" si="86"/>
        <v>4.4699999999999997E-2</v>
      </c>
      <c r="Z204" s="197">
        <f t="shared" si="87"/>
        <v>2.3346</v>
      </c>
      <c r="AA204" s="197">
        <f t="shared" si="64"/>
        <v>2.2898999999999998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5"/>
        <v>305</v>
      </c>
      <c r="AE204" s="77" t="str">
        <f t="shared" si="66"/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AF204" s="74" t="str">
        <f t="shared" si="67"/>
        <v>"C:\Program Files (x86)\AstroGrep\AstroGrep.exe" /e /r /s /spath="%USERPROFILE%\AppData\Local\Temp\OnboardLogs" /stypes="app*4022*20170703*" /stext=" 01:.+((SYSTEM_STATE.+slice.+state.+changed )|(ment ac)|(multiple cpu faults)|(system.+state.+changed )|(\[timeout)|(PRM\|1\|D)|(kpr)|(kdp)|(train st.+moving)|(\|lc)|(penalty))"</v>
      </c>
      <c r="AG204" s="209" t="str">
        <f t="shared" si="68"/>
        <v>Other</v>
      </c>
      <c r="AH204" s="78" t="str">
        <f t="shared" si="69"/>
        <v>"%USERPROFILE%\Documents\GitHub\eaglep3\Utilities\RefineRTDCRunTimes.py" --tripid 305-02 --locoid 4022 --swversion DE.1.0.9.0 --startMP 204:447 --initTime 2017-07-02T19:43:29 --startdatetime 2017-07-02T19:46:00 --delay 2 --endMP 300:23346 --enddatetime 2017-07-02T19:56:57 --enforcementcount 0 &gt;&gt;C:\Users\stu\Documents\GitHub\eaglep3-reporting\EC\2017-07-02-refined-times.txt</v>
      </c>
      <c r="AI204" s="96" t="str">
        <f t="shared" si="70"/>
        <v>echo {"issue":{"subject":"","project_id":79,"tracker_id":40,"status_id":1,"priority_id":2,"assigned_to_id":23,"start_date":"2017-07-02","description":"","custom_fields":[{"id":1,"name":"Subdivision","value":"Other"},{"id":4,"name":"Milepost","value":"2.3346"},{"id":17,"name":"Train ID","value":"305-02"},{"id":16,"name":"Locomotive ID","value":"4022"},{"id":130,"name":"Impact","value":""},{"id":150,"name":"Time of Event (Mountain Time)","value":"19:56:57"},{"id":151,"name":"Denver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1"/>
        <v>start /low /b %USERPROFILE%\Documents\GitHub\eaglep3\Utilities\DownloadLogsFromS3.py --loco 4022 --day 2017-07-02</v>
      </c>
      <c r="AN204" s="151" t="str">
        <f t="shared" si="7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01:56:57"},{"id":29,"name":"Sharepoint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706</v>
      </c>
      <c r="B205" s="7">
        <v>4045</v>
      </c>
      <c r="C205" s="21" t="s">
        <v>202</v>
      </c>
      <c r="D205" s="21" t="s">
        <v>984</v>
      </c>
      <c r="E205" s="13">
        <v>42918.176296296297</v>
      </c>
      <c r="F205" s="13">
        <v>42918.179513888892</v>
      </c>
      <c r="G205" s="7">
        <v>4</v>
      </c>
      <c r="H205" s="21" t="s">
        <v>359</v>
      </c>
      <c r="I205" s="13">
        <v>42918.184537037036</v>
      </c>
      <c r="J205" s="7">
        <v>0</v>
      </c>
      <c r="K205" s="89" t="str">
        <f t="shared" ref="K205:K229" si="89">IF(ISEVEN(B205),(B205-1)&amp;"/"&amp;B205,B205&amp;"/"&amp;(B205+1))</f>
        <v>4045/4046</v>
      </c>
      <c r="L205" s="21" t="str">
        <f>VLOOKUP(A205,'Trips&amp;Operators'!$C$1:$G$99999,5,FALSE)</f>
        <v>LALONDE GREGORY</v>
      </c>
      <c r="M205" s="6">
        <f t="shared" ref="M205:M229" si="90">I205-F205</f>
        <v>5.0231481436640024E-3</v>
      </c>
      <c r="N205" s="7">
        <f t="shared" si="85"/>
        <v>7.2333333268761635</v>
      </c>
      <c r="O205" s="7"/>
      <c r="P205" s="7"/>
      <c r="Q205" s="22"/>
      <c r="R205" s="170"/>
      <c r="S205" s="213">
        <f t="shared" si="88"/>
        <v>1</v>
      </c>
      <c r="T205" s="195" t="str">
        <f t="shared" ref="T205:T229" si="91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29" si="9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-02T03:13:52-0600',mode:absolute,to:'2017-07-02T05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5" s="197" t="str">
        <f>IF(AA205&lt;VLOOKUP(AG205,Variables!$AC$3:$AD$8,2,FALSE),"Y","N")</f>
        <v>Y</v>
      </c>
      <c r="X205" s="197">
        <f t="shared" ref="X205:X229" si="93">VALUE(LEFT(AD205,4))-VALUE(LEFT(AD204,4))</f>
        <v>1</v>
      </c>
      <c r="Y205" s="197">
        <f t="shared" si="86"/>
        <v>2.3468</v>
      </c>
      <c r="Z205" s="197">
        <f t="shared" si="87"/>
        <v>1.47E-2</v>
      </c>
      <c r="AA205" s="197">
        <f t="shared" ref="AA205:AA268" si="94">ABS(Z205-Y205)</f>
        <v>2.3321000000000001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29" si="95">VALUE(LEFT(A205,LEN(A205)-3))</f>
        <v>306</v>
      </c>
      <c r="AE205" s="77" t="str">
        <f t="shared" ref="AE205:AE229" si="9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AF205" s="74" t="str">
        <f t="shared" ref="AF205:AF229" si="9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/stypes="app*4045*20170702*" /stext=" 10:.+((SYSTEM_STATE.+slice.+state.+changed )|(ment ac)|(multiple cpu faults)|(system.+state.+changed )|(\[timeout)|(PRM\|1\|D)|(kpr)|(kdp)|(train st.+moving)|(\|lc)|(penalty))"</v>
      </c>
      <c r="AG205" s="209" t="str">
        <f t="shared" ref="AG205:AG229" si="98">DetSubdiv(A205)</f>
        <v>Other</v>
      </c>
      <c r="AH205" s="78" t="str">
        <f t="shared" ref="AH205:AH229" si="9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306-02 --locoid 4045 --swversion DE.1.0.9.0 --startMP 300:23468 --initTime 2017-07-02T04:13:52 --startdatetime 2017-07-02T04:18:30 --delay 4 --endMP 204:147 --enddatetime 2017-07-02T04:25:44 --enforcementcount 0 &gt;&gt;C:\Users\stu\Documents\GitHub\eaglep3-reporting\EC\2017-07-02-refined-times.txt</v>
      </c>
      <c r="AI205" s="96" t="str">
        <f t="shared" ref="AI205:AI229" si="10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{"issue":{"subject":"","project_id":79,"tracker_id":40,"status_id":1,"priority_id":2,"assigned_to_id":23,"start_date":"2017-07-02","description":"","custom_fields":[{"id":1,"name":"Subdivision","value":"Other"},{"id":4,"name":"Milepost","value":"0.0147"},{"id":17,"name":"Train ID","value":"306-02"},{"id":16,"name":"Locomotive ID","value":"4045"},{"id":130,"name":"Impact","value":""},{"id":150,"name":"Time of Event (Mountain Time)","value":"04:25:44"},{"id":151,"name":"Denver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29" si="101">"start /low /b "&amp;dls3logs&amp;" --loco "&amp;B205&amp;" --day "&amp;TEXT(F205,"YYYY-MM-DD")</f>
        <v>start /low /b %USERPROFILE%\Documents\GitHub\eaglep3\Utilities\DownloadLogsFromS3.py --loco 4045 --day 2017-07-02</v>
      </c>
      <c r="AN205" s="151" t="str">
        <f t="shared" ref="AN205:AN229" si="102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857</v>
      </c>
      <c r="B206" s="7">
        <v>4042</v>
      </c>
      <c r="C206" s="21" t="s">
        <v>202</v>
      </c>
      <c r="D206" s="21" t="s">
        <v>354</v>
      </c>
      <c r="E206" s="13">
        <v>42919.028009259258</v>
      </c>
      <c r="F206" s="13">
        <v>42919.029340277775</v>
      </c>
      <c r="G206" s="7">
        <v>1</v>
      </c>
      <c r="H206" s="21" t="s">
        <v>559</v>
      </c>
      <c r="I206" s="13">
        <v>42919.036261574074</v>
      </c>
      <c r="J206" s="7">
        <v>0</v>
      </c>
      <c r="K206" s="89" t="str">
        <f t="shared" si="89"/>
        <v>4041/4042</v>
      </c>
      <c r="L206" s="21" t="str">
        <f>VLOOKUP(A206,'Trips&amp;Operators'!$C$1:$G$99999,5,FALSE)</f>
        <v>STAMBAUGH JAMES</v>
      </c>
      <c r="M206" s="6">
        <f t="shared" si="90"/>
        <v>6.921296298969537E-3</v>
      </c>
      <c r="N206" s="7">
        <f t="shared" si="85"/>
        <v>9.9666666705161333</v>
      </c>
      <c r="O206" s="7"/>
      <c r="P206" s="7"/>
      <c r="Q206" s="22"/>
      <c r="R206" s="170"/>
      <c r="S206" s="213">
        <f t="shared" si="88"/>
        <v>1</v>
      </c>
      <c r="T206" s="195" t="str">
        <f t="shared" si="91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2"/>
        <v>https://d0f6bd738d7f1b3e5a7ca70fe4ff75f0.us-east-1.aws.found.io/app/kibana#/discover/Steve-Slow-Train-Analysis-(2080s-and-2083s)?_g=(refreshInterval:(display:Off,pause:!f,section:0,value:0),time:(from:'2017-07-02T23:40:20-0600',mode:absolute,to:'2017-07-03T01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6" s="197" t="str">
        <f>IF(AA206&lt;VLOOKUP(AG206,Variables!$AC$3:$AD$8,2,FALSE),"Y","N")</f>
        <v>Y</v>
      </c>
      <c r="X206" s="197">
        <f t="shared" si="93"/>
        <v>1</v>
      </c>
      <c r="Y206" s="197">
        <f t="shared" si="86"/>
        <v>4.53E-2</v>
      </c>
      <c r="Z206" s="197">
        <f t="shared" si="87"/>
        <v>2.3308</v>
      </c>
      <c r="AA206" s="197">
        <f t="shared" si="94"/>
        <v>2.2854999999999999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95"/>
        <v>307</v>
      </c>
      <c r="AE206" s="77" t="str">
        <f t="shared" si="96"/>
        <v>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 &amp; aws s3 cp s3://rtdc.mdm.uploadarchive.raw/RTDC4042/ "%USERPROFILE%\AppData\Local\Temp\OnboardLogs"\RTDC4042\2017-07-04 --exclude "*" --recursive --include "*20170704*" &amp; "%USERPROFILE%\Documents\GitHub\mrs-test-scripts\Headless Mode &amp; Sideloading\WalkAndUnGZ.bat" "%USERPROFILE%\AppData\Local\Temp\OnboardLogs"\RTDC4042\2017-07-04</v>
      </c>
      <c r="AF206" s="74" t="str">
        <f t="shared" si="97"/>
        <v>"C:\Program Files (x86)\AstroGrep\AstroGrep.exe" /e /r /s /spath="%USERPROFILE%\AppData\Local\Temp\OnboardLogs" /stypes="app*4042*20170703*" /stext=" 06:.+((SYSTEM_STATE.+slice.+state.+changed )|(ment ac)|(multiple cpu faults)|(system.+state.+changed )|(\[timeout)|(PRM\|1\|D)|(kpr)|(kdp)|(train st.+moving)|(\|lc)|(penalty))"</v>
      </c>
      <c r="AG206" s="209" t="str">
        <f t="shared" si="98"/>
        <v>Other</v>
      </c>
      <c r="AH206" s="78" t="str">
        <f t="shared" si="99"/>
        <v>"%USERPROFILE%\Documents\GitHub\eaglep3\Utilities\RefineRTDCRunTimes.py" --tripid 307-02 --locoid 4042 --swversion DE.1.0.9.0 --startMP 204:453 --initTime 2017-07-03T00:40:20 --startdatetime 2017-07-03T00:42:15 --delay 1 --endMP 300:23308 --enddatetime 2017-07-03T00:52:13 --enforcementcount 0 &gt;&gt;C:\Users\stu\Documents\GitHub\eaglep3-reporting\EC\2017-07-02-refined-times.txt</v>
      </c>
      <c r="AI206" s="96" t="str">
        <f t="shared" si="100"/>
        <v>echo {"issue":{"subject":"","project_id":79,"tracker_id":40,"status_id":1,"priority_id":2,"assigned_to_id":23,"start_date":"2017-07-03","description":"","custom_fields":[{"id":1,"name":"Subdivision","value":"Other"},{"id":4,"name":"Milepost","value":"2.3308"},{"id":17,"name":"Train ID","value":"307-02"},{"id":16,"name":"Locomotive ID","value":"4042"},{"id":130,"name":"Impact","value":""},{"id":150,"name":"Time of Event (Mountain Time)","value":"00:52:13"},{"id":151,"name":"Denver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101"/>
        <v>start /low /b %USERPROFILE%\Documents\GitHub\eaglep3\Utilities\DownloadLogsFromS3.py --loco 4042 --day 2017-07-03</v>
      </c>
      <c r="AN206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06:52:13"},{"id":29,"name":"Sharepoint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709</v>
      </c>
      <c r="B207" s="7">
        <v>4003</v>
      </c>
      <c r="C207" s="21" t="s">
        <v>202</v>
      </c>
      <c r="D207" s="21" t="s">
        <v>985</v>
      </c>
      <c r="E207" s="13">
        <v>42918.180868055555</v>
      </c>
      <c r="F207" s="13">
        <v>42918.185243055559</v>
      </c>
      <c r="G207" s="7">
        <v>6</v>
      </c>
      <c r="H207" s="21" t="s">
        <v>986</v>
      </c>
      <c r="I207" s="13">
        <v>42918.191307870373</v>
      </c>
      <c r="J207" s="7">
        <v>0</v>
      </c>
      <c r="K207" s="89" t="str">
        <f t="shared" si="89"/>
        <v>4003/4004</v>
      </c>
      <c r="L207" s="21" t="str">
        <f>VLOOKUP(A207,'Trips&amp;Operators'!$C$1:$G$99999,5,FALSE)</f>
        <v>GEBRETEKLE DAGNEW</v>
      </c>
      <c r="M207" s="6">
        <f t="shared" si="90"/>
        <v>6.064814813726116E-3</v>
      </c>
      <c r="N207" s="7">
        <f t="shared" si="85"/>
        <v>8.733333331765607</v>
      </c>
      <c r="O207" s="7"/>
      <c r="P207" s="7"/>
      <c r="Q207" s="22"/>
      <c r="R207" s="170"/>
      <c r="S207" s="213">
        <f t="shared" si="88"/>
        <v>1</v>
      </c>
      <c r="T207" s="195" t="str">
        <f t="shared" si="91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2"/>
        <v>https://d0f6bd738d7f1b3e5a7ca70fe4ff75f0.us-east-1.aws.found.io/app/kibana#/discover/Steve-Slow-Train-Analysis-(2080s-and-2083s)?_g=(refreshInterval:(display:Off,pause:!f,section:0,value:0),time:(from:'2017-07-02T03:20:27-0600',mode:absolute,to:'2017-07-02T05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7" s="197" t="str">
        <f>IF(AA207&lt;VLOOKUP(AG207,Variables!$AC$3:$AD$8,2,FALSE),"Y","N")</f>
        <v>Y</v>
      </c>
      <c r="X207" s="197">
        <f t="shared" si="93"/>
        <v>1</v>
      </c>
      <c r="Y207" s="197">
        <f t="shared" si="86"/>
        <v>2.3494999999999999</v>
      </c>
      <c r="Z207" s="197">
        <f t="shared" si="87"/>
        <v>1.7600000000000001E-2</v>
      </c>
      <c r="AA207" s="197">
        <f t="shared" si="94"/>
        <v>2.3319000000000001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95"/>
        <v>308</v>
      </c>
      <c r="AE207" s="77" t="str">
        <f t="shared" si="96"/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AF207" s="74" t="str">
        <f t="shared" si="97"/>
        <v>"C:\Program Files (x86)\AstroGrep\AstroGrep.exe" /e /r /s /spath="%USERPROFILE%\AppData\Local\Temp\OnboardLogs" /stypes="app*4003*20170702*" /stext=" 10:.+((SYSTEM_STATE.+slice.+state.+changed )|(ment ac)|(multiple cpu faults)|(system.+state.+changed )|(\[timeout)|(PRM\|1\|D)|(kpr)|(kdp)|(train st.+moving)|(\|lc)|(penalty))"</v>
      </c>
      <c r="AG207" s="209" t="str">
        <f t="shared" si="98"/>
        <v>Other</v>
      </c>
      <c r="AH207" s="78" t="str">
        <f t="shared" si="99"/>
        <v>"%USERPROFILE%\Documents\GitHub\eaglep3\Utilities\RefineRTDCRunTimes.py" --tripid 308-02 --locoid 4003 --swversion DE.1.0.9.0 --startMP 300:23495 --initTime 2017-07-02T04:20:27 --startdatetime 2017-07-02T04:26:45 --delay 6 --endMP 204:176 --enddatetime 2017-07-02T04:35:29 --enforcementcount 0 &gt;&gt;C:\Users\stu\Documents\GitHub\eaglep3-reporting\EC\2017-07-02-refined-times.txt</v>
      </c>
      <c r="AI207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{"issue":{"subject":"","project_id":79,"tracker_id":40,"status_id":1,"priority_id":2,"assigned_to_id":23,"start_date":"2017-07-02","description":"","custom_fields":[{"id":1,"name":"Subdivision","value":"Other"},{"id":4,"name":"Milepost","value":"0.0176"},{"id":17,"name":"Train ID","value":"308-02"},{"id":16,"name":"Locomotive ID","value":"4003"},{"id":130,"name":"Impact","value":""},{"id":150,"name":"Time of Event (Mountain Time)","value":"04:35:29"},{"id":151,"name":"Denver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01"/>
        <v>start /low /b %USERPROFILE%\Documents\GitHub\eaglep3\Utilities\DownloadLogsFromS3.py --loco 4003 --day 2017-07-02</v>
      </c>
      <c r="AN207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859</v>
      </c>
      <c r="B208" s="7">
        <v>4016</v>
      </c>
      <c r="C208" s="21" t="s">
        <v>202</v>
      </c>
      <c r="D208" s="21" t="s">
        <v>391</v>
      </c>
      <c r="E208" s="13">
        <v>42919.051620370374</v>
      </c>
      <c r="F208" s="13">
        <v>42919.056377314817</v>
      </c>
      <c r="G208" s="7">
        <v>2</v>
      </c>
      <c r="H208" s="21" t="s">
        <v>607</v>
      </c>
      <c r="I208" s="13">
        <v>42919.064837962964</v>
      </c>
      <c r="J208" s="7">
        <v>0</v>
      </c>
      <c r="K208" s="89" t="str">
        <f t="shared" si="89"/>
        <v>4015/4016</v>
      </c>
      <c r="L208" s="21" t="str">
        <f>VLOOKUP(A208,'Trips&amp;Operators'!$C$1:$G$99999,5,FALSE)</f>
        <v>SMITH MICHAEL</v>
      </c>
      <c r="M208" s="6">
        <f t="shared" si="90"/>
        <v>8.4606481468654238E-3</v>
      </c>
      <c r="N208" s="7">
        <f t="shared" si="85"/>
        <v>12.18333333148621</v>
      </c>
      <c r="O208" s="7"/>
      <c r="P208" s="7"/>
      <c r="Q208" s="22"/>
      <c r="R208" s="170"/>
      <c r="S208" s="213">
        <f t="shared" si="88"/>
        <v>1</v>
      </c>
      <c r="T208" s="195" t="str">
        <f t="shared" si="91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2"/>
        <v>https://d0f6bd738d7f1b3e5a7ca70fe4ff75f0.us-east-1.aws.found.io/app/kibana#/discover/Steve-Slow-Train-Analysis-(2080s-and-2083s)?_g=(refreshInterval:(display:Off,pause:!f,section:0,value:0),time:(from:'2017-07-03T00:14:20-0600',mode:absolute,to:'2017-07-03T02:33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197" t="str">
        <f>IF(AA208&lt;VLOOKUP(AG208,Variables!$AC$3:$AD$8,2,FALSE),"Y","N")</f>
        <v>Y</v>
      </c>
      <c r="X208" s="197">
        <f t="shared" si="93"/>
        <v>1</v>
      </c>
      <c r="Y208" s="197">
        <f t="shared" si="86"/>
        <v>4.6199999999999998E-2</v>
      </c>
      <c r="Z208" s="197">
        <f t="shared" si="87"/>
        <v>2.3306</v>
      </c>
      <c r="AA208" s="197">
        <f t="shared" si="94"/>
        <v>2.2844000000000002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95"/>
        <v>309</v>
      </c>
      <c r="AE208" s="77" t="str">
        <f t="shared" si="96"/>
        <v>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 &amp; aws s3 cp s3://rtdc.mdm.uploadarchive.raw/RTDC4016/ "%USERPROFILE%\AppData\Local\Temp\OnboardLogs"\RTDC4016\2017-07-04 --exclude "*" --recursive --include "*20170704*" &amp; "%USERPROFILE%\Documents\GitHub\mrs-test-scripts\Headless Mode &amp; Sideloading\WalkAndUnGZ.bat" "%USERPROFILE%\AppData\Local\Temp\OnboardLogs"\RTDC4016\2017-07-04</v>
      </c>
      <c r="AF208" s="74" t="str">
        <f t="shared" si="97"/>
        <v>"C:\Program Files (x86)\AstroGrep\AstroGrep.exe" /e /r /s /spath="%USERPROFILE%\AppData\Local\Temp\OnboardLogs" /stypes="app*4016*20170703*" /stext=" 07:.+((SYSTEM_STATE.+slice.+state.+changed )|(ment ac)|(multiple cpu faults)|(system.+state.+changed )|(\[timeout)|(PRM\|1\|D)|(kpr)|(kdp)|(train st.+moving)|(\|lc)|(penalty))"</v>
      </c>
      <c r="AG208" s="209" t="str">
        <f t="shared" si="98"/>
        <v>Other</v>
      </c>
      <c r="AH208" s="78" t="str">
        <f t="shared" si="99"/>
        <v>"%USERPROFILE%\Documents\GitHub\eaglep3\Utilities\RefineRTDCRunTimes.py" --tripid 309-02 --locoid 4016 --swversion DE.1.0.9.0 --startMP 204:462 --initTime 2017-07-03T01:14:20 --startdatetime 2017-07-03T01:21:11 --delay 2 --endMP 300:23306 --enddatetime 2017-07-03T01:33:22 --enforcementcount 0 &gt;&gt;C:\Users\stu\Documents\GitHub\eaglep3-reporting\EC\2017-07-02-refined-times.txt</v>
      </c>
      <c r="AI208" s="96" t="str">
        <f t="shared" si="100"/>
        <v>echo {"issue":{"subject":"","project_id":79,"tracker_id":40,"status_id":1,"priority_id":2,"assigned_to_id":23,"start_date":"2017-07-03","description":"","custom_fields":[{"id":1,"name":"Subdivision","value":"Other"},{"id":4,"name":"Milepost","value":"2.3306"},{"id":17,"name":"Train ID","value":"309-02"},{"id":16,"name":"Locomotive ID","value":"4016"},{"id":130,"name":"Impact","value":""},{"id":150,"name":"Time of Event (Mountain Time)","value":"01:33:22"},{"id":151,"name":"Denver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01"/>
        <v>start /low /b %USERPROFILE%\Documents\GitHub\eaglep3\Utilities\DownloadLogsFromS3.py --loco 4016 --day 2017-07-03</v>
      </c>
      <c r="AN208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07:33:22"},{"id":29,"name":"Sharepoint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712</v>
      </c>
      <c r="B209" s="7">
        <v>4057</v>
      </c>
      <c r="C209" s="21" t="s">
        <v>202</v>
      </c>
      <c r="D209" s="21" t="s">
        <v>987</v>
      </c>
      <c r="E209" s="13">
        <v>42918.195821759262</v>
      </c>
      <c r="F209" s="13">
        <v>42918.200474537036</v>
      </c>
      <c r="G209" s="7">
        <v>6</v>
      </c>
      <c r="H209" s="21" t="s">
        <v>348</v>
      </c>
      <c r="I209" s="13">
        <v>42918.215173611112</v>
      </c>
      <c r="J209" s="7">
        <v>0</v>
      </c>
      <c r="K209" s="89" t="str">
        <f t="shared" si="89"/>
        <v>4057/4058</v>
      </c>
      <c r="L209" s="21" t="str">
        <f>VLOOKUP(A209,'Trips&amp;Operators'!$C$1:$G$99999,5,FALSE)</f>
        <v>GUZMAN DANNY</v>
      </c>
      <c r="M209" s="6">
        <f t="shared" si="90"/>
        <v>1.4699074075906537E-2</v>
      </c>
      <c r="N209" s="7">
        <f t="shared" si="85"/>
        <v>21.166666669305414</v>
      </c>
      <c r="O209" s="7"/>
      <c r="P209" s="7"/>
      <c r="Q209" s="22"/>
      <c r="R209" s="170"/>
      <c r="S209" s="213">
        <f t="shared" si="88"/>
        <v>1</v>
      </c>
      <c r="T209" s="195" t="str">
        <f t="shared" si="91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2"/>
        <v>https://d0f6bd738d7f1b3e5a7ca70fe4ff75f0.us-east-1.aws.found.io/app/kibana#/discover/Steve-Slow-Train-Analysis-(2080s-and-2083s)?_g=(refreshInterval:(display:Off,pause:!f,section:0,value:0),time:(from:'2017-07-02T03:41:59-0600',mode:absolute,to:'2017-07-02T06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9" s="197" t="str">
        <f>IF(AA209&lt;VLOOKUP(AG209,Variables!$AC$3:$AD$8,2,FALSE),"Y","N")</f>
        <v>Y</v>
      </c>
      <c r="X209" s="197">
        <f t="shared" si="93"/>
        <v>1</v>
      </c>
      <c r="Y209" s="197">
        <f t="shared" si="86"/>
        <v>2.3487</v>
      </c>
      <c r="Z209" s="197">
        <f t="shared" si="87"/>
        <v>1.4999999999999999E-2</v>
      </c>
      <c r="AA209" s="197">
        <f t="shared" si="94"/>
        <v>2.3336999999999999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95"/>
        <v>310</v>
      </c>
      <c r="AE209" s="77" t="str">
        <f t="shared" si="96"/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AF209" s="74" t="str">
        <f t="shared" si="97"/>
        <v>"C:\Program Files (x86)\AstroGrep\AstroGrep.exe" /e /r /s /spath="%USERPROFILE%\AppData\Local\Temp\OnboardLogs" /stypes="app*4057*20170702*" /stext=" 11:.+((SYSTEM_STATE.+slice.+state.+changed )|(ment ac)|(multiple cpu faults)|(system.+state.+changed )|(\[timeout)|(PRM\|1\|D)|(kpr)|(kdp)|(train st.+moving)|(\|lc)|(penalty))"</v>
      </c>
      <c r="AG209" s="209" t="str">
        <f t="shared" si="98"/>
        <v>Other</v>
      </c>
      <c r="AH209" s="78" t="str">
        <f t="shared" si="99"/>
        <v>"%USERPROFILE%\Documents\GitHub\eaglep3\Utilities\RefineRTDCRunTimes.py" --tripid 310-02 --locoid 4057 --swversion DE.1.0.9.0 --startMP 300:23487 --initTime 2017-07-02T04:41:59 --startdatetime 2017-07-02T04:48:41 --delay 6 --endMP 204:150 --enddatetime 2017-07-02T05:09:51 --enforcementcount 0 &gt;&gt;C:\Users\stu\Documents\GitHub\eaglep3-reporting\EC\2017-07-02-refined-times.txt</v>
      </c>
      <c r="AI209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{"issue":{"subject":"","project_id":79,"tracker_id":40,"status_id":1,"priority_id":2,"assigned_to_id":23,"start_date":"2017-07-02","description":"","custom_fields":[{"id":1,"name":"Subdivision","value":"Other"},{"id":4,"name":"Milepost","value":"0.015"},{"id":17,"name":"Train ID","value":"310-02"},{"id":16,"name":"Locomotive ID","value":"4057"},{"id":130,"name":"Impact","value":""},{"id":150,"name":"Time of Event (Mountain Time)","value":"05:09:51"},{"id":151,"name":"Denver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01"/>
        <v>start /low /b %USERPROFILE%\Documents\GitHub\eaglep3\Utilities\DownloadLogsFromS3.py --loco 4057 --day 2017-07-02</v>
      </c>
      <c r="AN209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694</v>
      </c>
      <c r="B210" s="7">
        <v>4014</v>
      </c>
      <c r="C210" s="21" t="s">
        <v>202</v>
      </c>
      <c r="D210" s="21" t="s">
        <v>198</v>
      </c>
      <c r="E210" s="13">
        <v>42918.091168981482</v>
      </c>
      <c r="F210" s="13">
        <v>42918.092187499999</v>
      </c>
      <c r="G210" s="7">
        <v>1</v>
      </c>
      <c r="H210" s="21" t="s">
        <v>988</v>
      </c>
      <c r="I210" s="13">
        <v>42918.101446759261</v>
      </c>
      <c r="J210" s="7">
        <v>0</v>
      </c>
      <c r="K210" s="89" t="str">
        <f t="shared" si="89"/>
        <v>4013/4014</v>
      </c>
      <c r="L210" s="21" t="str">
        <f>VLOOKUP(A210,'Trips&amp;Operators'!$C$1:$G$99999,5,FALSE)</f>
        <v>FORTUNATO FRANK</v>
      </c>
      <c r="M210" s="6">
        <f t="shared" si="90"/>
        <v>9.2592592627624981E-3</v>
      </c>
      <c r="N210" s="7">
        <f t="shared" si="85"/>
        <v>13.333333338377997</v>
      </c>
      <c r="O210" s="7"/>
      <c r="P210" s="7"/>
      <c r="Q210" s="22"/>
      <c r="R210" s="170"/>
      <c r="S210" s="213">
        <f t="shared" si="88"/>
        <v>1</v>
      </c>
      <c r="T210" s="195" t="str">
        <f t="shared" si="91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2"/>
        <v>https://d0f6bd738d7f1b3e5a7ca70fe4ff75f0.us-east-1.aws.found.io/app/kibana#/discover/Steve-Slow-Train-Analysis-(2080s-and-2083s)?_g=(refreshInterval:(display:Off,pause:!f,section:0,value:0),time:(from:'2017-07-02T01:11:17-0600',mode:absolute,to:'2017-07-02T03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197" t="str">
        <f>IF(AA210&lt;VLOOKUP(AG210,Variables!$AC$3:$AD$8,2,FALSE),"Y","N")</f>
        <v>Y</v>
      </c>
      <c r="X210" s="197">
        <f t="shared" si="93"/>
        <v>1</v>
      </c>
      <c r="Y210" s="197">
        <f t="shared" si="86"/>
        <v>4.5699999999999998E-2</v>
      </c>
      <c r="Z210" s="197">
        <f t="shared" si="87"/>
        <v>2.3298999999999999</v>
      </c>
      <c r="AA210" s="197">
        <f t="shared" si="94"/>
        <v>2.2841999999999998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95"/>
        <v>311</v>
      </c>
      <c r="AE210" s="77" t="str">
        <f t="shared" si="96"/>
        <v>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 &amp; 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</v>
      </c>
      <c r="AF210" s="74" t="str">
        <f t="shared" si="97"/>
        <v>"C:\Program Files (x86)\AstroGrep\AstroGrep.exe" /e /r /s /spath="%USERPROFILE%\AppData\Local\Temp\OnboardLogs" /stypes="app*4014*20170702*" /stext=" 08:.+((SYSTEM_STATE.+slice.+state.+changed )|(ment ac)|(multiple cpu faults)|(system.+state.+changed )|(\[timeout)|(PRM\|1\|D)|(kpr)|(kdp)|(train st.+moving)|(\|lc)|(penalty))"</v>
      </c>
      <c r="AG210" s="209" t="str">
        <f t="shared" si="98"/>
        <v>Other</v>
      </c>
      <c r="AH210" s="78" t="str">
        <f t="shared" si="99"/>
        <v>"%USERPROFILE%\Documents\GitHub\eaglep3\Utilities\RefineRTDCRunTimes.py" --tripid 311-01 --locoid 4014 --swversion DE.1.0.9.0 --startMP 204:457 --initTime 2017-07-02T02:11:17 --startdatetime 2017-07-02T02:12:45 --delay 1 --endMP 300:23299 --enddatetime 2017-07-02T02:26:05 --enforcementcount 0 &gt;&gt;C:\Users\stu\Documents\GitHub\eaglep3-reporting\EC\2017-07-02-refined-times.txt</v>
      </c>
      <c r="AI210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{"issue":{"subject":"","project_id":79,"tracker_id":40,"status_id":1,"priority_id":2,"assigned_to_id":23,"start_date":"2017-07-02","description":"","custom_fields":[{"id":1,"name":"Subdivision","value":"Other"},{"id":4,"name":"Milepost","value":"2.3299"},{"id":17,"name":"Train ID","value":"311-01"},{"id":16,"name":"Locomotive ID","value":"4014"},{"id":130,"name":"Impact","value":""},{"id":150,"name":"Time of Event (Mountain Time)","value":"02:26:05"},{"id":151,"name":"Denver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01"/>
        <v>start /low /b %USERPROFILE%\Documents\GitHub\eaglep3\Utilities\DownloadLogsFromS3.py --loco 4014 --day 2017-07-02</v>
      </c>
      <c r="AN210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860</v>
      </c>
      <c r="B211" s="7">
        <v>4044</v>
      </c>
      <c r="C211" s="21" t="s">
        <v>202</v>
      </c>
      <c r="D211" s="21" t="s">
        <v>912</v>
      </c>
      <c r="E211" s="13">
        <v>42919.074131944442</v>
      </c>
      <c r="F211" s="13">
        <v>42919.075879629629</v>
      </c>
      <c r="G211" s="7">
        <v>1</v>
      </c>
      <c r="H211" s="21" t="s">
        <v>989</v>
      </c>
      <c r="I211" s="13">
        <v>42919.084641203706</v>
      </c>
      <c r="J211" s="7">
        <v>0</v>
      </c>
      <c r="K211" s="89" t="str">
        <f t="shared" si="89"/>
        <v>4043/4044</v>
      </c>
      <c r="L211" s="21" t="str">
        <f>VLOOKUP(A211,'Trips&amp;Operators'!$C$1:$G$99999,5,FALSE)</f>
        <v>PERKINS DARREN</v>
      </c>
      <c r="M211" s="6">
        <f t="shared" si="90"/>
        <v>8.7615740776527673E-3</v>
      </c>
      <c r="N211" s="7">
        <f t="shared" si="85"/>
        <v>12.616666671819985</v>
      </c>
      <c r="O211" s="7"/>
      <c r="P211" s="7"/>
      <c r="Q211" s="22"/>
      <c r="R211" s="170"/>
      <c r="S211" s="213">
        <f t="shared" si="88"/>
        <v>1</v>
      </c>
      <c r="T211" s="195" t="str">
        <f t="shared" si="91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2"/>
        <v>https://d0f6bd738d7f1b3e5a7ca70fe4ff75f0.us-east-1.aws.found.io/app/kibana#/discover/Steve-Slow-Train-Analysis-(2080s-and-2083s)?_g=(refreshInterval:(display:Off,pause:!f,section:0,value:0),time:(from:'2017-07-03T00:46:45-0600',mode:absolute,to:'2017-07-03T03:01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1" s="197" t="str">
        <f>IF(AA211&lt;VLOOKUP(AG211,Variables!$AC$3:$AD$8,2,FALSE),"Y","N")</f>
        <v>Y</v>
      </c>
      <c r="X211" s="197">
        <f t="shared" si="93"/>
        <v>0</v>
      </c>
      <c r="Y211" s="197">
        <f t="shared" si="86"/>
        <v>4.3299999999999998E-2</v>
      </c>
      <c r="Z211" s="197">
        <f t="shared" si="87"/>
        <v>2.3313999999999999</v>
      </c>
      <c r="AA211" s="197">
        <f t="shared" si="94"/>
        <v>2.2881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95"/>
        <v>311</v>
      </c>
      <c r="AE211" s="77" t="str">
        <f t="shared" si="96"/>
        <v>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 &amp; aws s3 cp s3://rtdc.mdm.uploadarchive.raw/RTDC4044/ "%USERPROFILE%\AppData\Local\Temp\OnboardLogs"\RTDC4044\2017-07-04 --exclude "*" --recursive --include "*20170704*" &amp; "%USERPROFILE%\Documents\GitHub\mrs-test-scripts\Headless Mode &amp; Sideloading\WalkAndUnGZ.bat" "%USERPROFILE%\AppData\Local\Temp\OnboardLogs"\RTDC4044\2017-07-04</v>
      </c>
      <c r="AF211" s="74" t="str">
        <f t="shared" si="97"/>
        <v>"C:\Program Files (x86)\AstroGrep\AstroGrep.exe" /e /r /s /spath="%USERPROFILE%\AppData\Local\Temp\OnboardLogs" /stypes="app*4044*20170703*" /stext=" 08:.+((SYSTEM_STATE.+slice.+state.+changed )|(ment ac)|(multiple cpu faults)|(system.+state.+changed )|(\[timeout)|(PRM\|1\|D)|(kpr)|(kdp)|(train st.+moving)|(\|lc)|(penalty))"</v>
      </c>
      <c r="AG211" s="209" t="str">
        <f t="shared" si="98"/>
        <v>Other</v>
      </c>
      <c r="AH211" s="78" t="str">
        <f t="shared" si="99"/>
        <v>"%USERPROFILE%\Documents\GitHub\eaglep3\Utilities\RefineRTDCRunTimes.py" --tripid 311-02 --locoid 4044 --swversion DE.1.0.9.0 --startMP 204:433 --initTime 2017-07-03T01:46:45 --startdatetime 2017-07-03T01:49:16 --delay 1 --endMP 300:23314 --enddatetime 2017-07-03T02:01:53 --enforcementcount 0 &gt;&gt;C:\Users\stu\Documents\GitHub\eaglep3-reporting\EC\2017-07-02-refined-times.txt</v>
      </c>
      <c r="AI211" s="96" t="str">
        <f t="shared" si="100"/>
        <v>echo {"issue":{"subject":"","project_id":79,"tracker_id":40,"status_id":1,"priority_id":2,"assigned_to_id":23,"start_date":"2017-07-03","description":"","custom_fields":[{"id":1,"name":"Subdivision","value":"Other"},{"id":4,"name":"Milepost","value":"2.3314"},{"id":17,"name":"Train ID","value":"311-02"},{"id":16,"name":"Locomotive ID","value":"4044"},{"id":130,"name":"Impact","value":""},{"id":150,"name":"Time of Event (Mountain Time)","value":"02:01:53"},{"id":151,"name":"Denver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01"/>
        <v>start /low /b %USERPROFILE%\Documents\GitHub\eaglep3\Utilities\DownloadLogsFromS3.py --loco 4044 --day 2017-07-03</v>
      </c>
      <c r="AN211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08:01:53"},{"id":29,"name":"Sharepoint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627</v>
      </c>
      <c r="B212" s="7">
        <v>4021</v>
      </c>
      <c r="C212" s="21" t="s">
        <v>202</v>
      </c>
      <c r="D212" s="21" t="s">
        <v>990</v>
      </c>
      <c r="E212" s="13">
        <v>42918.223877314813</v>
      </c>
      <c r="F212" s="13">
        <v>42918.228043981479</v>
      </c>
      <c r="G212" s="7">
        <v>6</v>
      </c>
      <c r="H212" s="21" t="s">
        <v>601</v>
      </c>
      <c r="I212" s="13">
        <v>42918.228229166663</v>
      </c>
      <c r="J212" s="7">
        <v>0</v>
      </c>
      <c r="K212" s="89" t="str">
        <f t="shared" si="89"/>
        <v>4021/4022</v>
      </c>
      <c r="L212" s="21" t="str">
        <f>VLOOKUP(A212,'Trips&amp;Operators'!$C$1:$G$99999,5,FALSE)</f>
        <v>MACDONALD THOMAS</v>
      </c>
      <c r="M212" s="6">
        <f t="shared" si="90"/>
        <v>1.8518518481869251E-4</v>
      </c>
      <c r="N212" s="7">
        <f t="shared" si="85"/>
        <v>0.26666666613891721</v>
      </c>
      <c r="O212" s="7"/>
      <c r="P212" s="7"/>
      <c r="Q212" s="22"/>
      <c r="R212" s="170"/>
      <c r="S212" s="213">
        <f t="shared" si="88"/>
        <v>1</v>
      </c>
      <c r="T212" s="195" t="str">
        <f t="shared" si="91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92"/>
        <v>https://d0f6bd738d7f1b3e5a7ca70fe4ff75f0.us-east-1.aws.found.io/app/kibana#/discover/Steve-Slow-Train-Analysis-(2080s-and-2083s)?_g=(refreshInterval:(display:Off,pause:!f,section:0,value:0),time:(from:'2017-07-02T04:22:23-0600',mode:absolute,to:'2017-07-02T06:28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2" s="197" t="str">
        <f>IF(AA212&lt;VLOOKUP(AG212,Variables!$AC$3:$AD$8,2,FALSE),"Y","N")</f>
        <v>Y</v>
      </c>
      <c r="X212" s="197">
        <f t="shared" si="93"/>
        <v>1</v>
      </c>
      <c r="Y212" s="197">
        <f t="shared" si="86"/>
        <v>2.3456999999999999</v>
      </c>
      <c r="Z212" s="197">
        <f t="shared" si="87"/>
        <v>1.6500000000000001E-2</v>
      </c>
      <c r="AA212" s="197">
        <f t="shared" si="94"/>
        <v>2.3291999999999997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95"/>
        <v>312</v>
      </c>
      <c r="AE212" s="77" t="str">
        <f t="shared" si="96"/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AF212" s="74" t="str">
        <f t="shared" si="97"/>
        <v>"C:\Program Files (x86)\AstroGrep\AstroGrep.exe" /e /r /s /spath="%USERPROFILE%\AppData\Local\Temp\OnboardLogs" /stypes="app*4021*20170702*" /stext=" 11:.+((SYSTEM_STATE.+slice.+state.+changed )|(ment ac)|(multiple cpu faults)|(system.+state.+changed )|(\[timeout)|(PRM\|1\|D)|(kpr)|(kdp)|(train st.+moving)|(\|lc)|(penalty))"</v>
      </c>
      <c r="AG212" s="209" t="str">
        <f t="shared" si="98"/>
        <v>Other</v>
      </c>
      <c r="AH212" s="78" t="str">
        <f t="shared" si="99"/>
        <v>"%USERPROFILE%\Documents\GitHub\eaglep3\Utilities\RefineRTDCRunTimes.py" --tripid 312-02 --locoid 4021 --swversion DE.1.0.9.0 --startMP 300:23457 --initTime 2017-07-02T05:22:23 --startdatetime 2017-07-02T05:28:23 --delay 6 --endMP 204:165 --enddatetime 2017-07-02T05:28:39 --enforcementcount 0 &gt;&gt;C:\Users\stu\Documents\GitHub\eaglep3-reporting\EC\2017-07-02-refined-times.txt</v>
      </c>
      <c r="AI212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{"issue":{"subject":"","project_id":79,"tracker_id":40,"status_id":1,"priority_id":2,"assigned_to_id":23,"start_date":"2017-07-02","description":"","custom_fields":[{"id":1,"name":"Subdivision","value":"Other"},{"id":4,"name":"Milepost","value":"0.0165"},{"id":17,"name":"Train ID","value":"312-02"},{"id":16,"name":"Locomotive ID","value":"4021"},{"id":130,"name":"Impact","value":""},{"id":150,"name":"Time of Event (Mountain Time)","value":"05:28:39"},{"id":151,"name":"Denver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01"/>
        <v>start /low /b %USERPROFILE%\Documents\GitHub\eaglep3\Utilities\DownloadLogsFromS3.py --loco 4021 --day 2017-07-02</v>
      </c>
      <c r="AN212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695</v>
      </c>
      <c r="B213" s="7">
        <v>4008</v>
      </c>
      <c r="C213" s="21" t="s">
        <v>202</v>
      </c>
      <c r="D213" s="21" t="s">
        <v>592</v>
      </c>
      <c r="E213" s="13">
        <v>42918.111840277779</v>
      </c>
      <c r="F213" s="13">
        <v>42918.114895833336</v>
      </c>
      <c r="G213" s="7">
        <v>1</v>
      </c>
      <c r="H213" s="21" t="s">
        <v>353</v>
      </c>
      <c r="I213" s="13">
        <v>42918.123090277775</v>
      </c>
      <c r="J213" s="7">
        <v>0</v>
      </c>
      <c r="K213" s="89" t="str">
        <f t="shared" si="89"/>
        <v>4007/4008</v>
      </c>
      <c r="L213" s="21" t="str">
        <f>VLOOKUP(A213,'Trips&amp;Operators'!$C$1:$G$99999,5,FALSE)</f>
        <v>LAMAR NEKESHA</v>
      </c>
      <c r="M213" s="6">
        <f t="shared" si="90"/>
        <v>8.1944444391410798E-3</v>
      </c>
      <c r="N213" s="7">
        <f t="shared" si="85"/>
        <v>11.799999992363155</v>
      </c>
      <c r="O213" s="7"/>
      <c r="P213" s="7"/>
      <c r="Q213" s="22"/>
      <c r="R213" s="170"/>
      <c r="S213" s="213">
        <f t="shared" si="88"/>
        <v>1</v>
      </c>
      <c r="T213" s="195" t="str">
        <f t="shared" si="91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92"/>
        <v>https://d0f6bd738d7f1b3e5a7ca70fe4ff75f0.us-east-1.aws.found.io/app/kibana#/discover/Steve-Slow-Train-Analysis-(2080s-and-2083s)?_g=(refreshInterval:(display:Off,pause:!f,section:0,value:0),time:(from:'2017-07-02T01:41:03-0600',mode:absolute,to:'2017-07-02T03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3" s="197" t="str">
        <f>IF(AA213&lt;VLOOKUP(AG213,Variables!$AC$3:$AD$8,2,FALSE),"Y","N")</f>
        <v>Y</v>
      </c>
      <c r="X213" s="197">
        <f t="shared" si="93"/>
        <v>1</v>
      </c>
      <c r="Y213" s="197">
        <f t="shared" si="86"/>
        <v>4.7800000000000002E-2</v>
      </c>
      <c r="Z213" s="197">
        <f t="shared" si="87"/>
        <v>2.3346</v>
      </c>
      <c r="AA213" s="197">
        <f t="shared" si="94"/>
        <v>2.2867999999999999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95"/>
        <v>313</v>
      </c>
      <c r="AE213" s="77" t="str">
        <f t="shared" si="96"/>
        <v>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 &amp; 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</v>
      </c>
      <c r="AF213" s="74" t="str">
        <f t="shared" si="97"/>
        <v>"C:\Program Files (x86)\AstroGrep\AstroGrep.exe" /e /r /s /spath="%USERPROFILE%\AppData\Local\Temp\OnboardLogs" /stypes="app*4008*20170702*" /stext=" 08:.+((SYSTEM_STATE.+slice.+state.+changed )|(ment ac)|(multiple cpu faults)|(system.+state.+changed )|(\[timeout)|(PRM\|1\|D)|(kpr)|(kdp)|(train st.+moving)|(\|lc)|(penalty))"</v>
      </c>
      <c r="AG213" s="209" t="str">
        <f t="shared" si="98"/>
        <v>Other</v>
      </c>
      <c r="AH213" s="78" t="str">
        <f t="shared" si="99"/>
        <v>"%USERPROFILE%\Documents\GitHub\eaglep3\Utilities\RefineRTDCRunTimes.py" --tripid 313-01 --locoid 4008 --swversion DE.1.0.9.0 --startMP 204:478 --initTime 2017-07-02T02:41:03 --startdatetime 2017-07-02T02:45:27 --delay 1 --endMP 300:23346 --enddatetime 2017-07-02T02:57:15 --enforcementcount 0 &gt;&gt;C:\Users\stu\Documents\GitHub\eaglep3-reporting\EC\2017-07-02-refined-times.txt</v>
      </c>
      <c r="AI213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{"issue":{"subject":"","project_id":79,"tracker_id":40,"status_id":1,"priority_id":2,"assigned_to_id":23,"start_date":"2017-07-02","description":"","custom_fields":[{"id":1,"name":"Subdivision","value":"Other"},{"id":4,"name":"Milepost","value":"2.3346"},{"id":17,"name":"Train ID","value":"313-01"},{"id":16,"name":"Locomotive ID","value":"4008"},{"id":130,"name":"Impact","value":""},{"id":150,"name":"Time of Event (Mountain Time)","value":"02:57:15"},{"id":151,"name":"Denver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01"/>
        <v>start /low /b %USERPROFILE%\Documents\GitHub\eaglep3\Utilities\DownloadLogsFromS3.py --loco 4008 --day 2017-07-02</v>
      </c>
      <c r="AN213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861</v>
      </c>
      <c r="B214" s="7">
        <v>4046</v>
      </c>
      <c r="C214" s="21" t="s">
        <v>202</v>
      </c>
      <c r="D214" s="21" t="s">
        <v>473</v>
      </c>
      <c r="E214" s="13">
        <v>42919.091435185182</v>
      </c>
      <c r="F214" s="13">
        <v>42919.092685185184</v>
      </c>
      <c r="G214" s="7">
        <v>1</v>
      </c>
      <c r="H214" s="21" t="s">
        <v>353</v>
      </c>
      <c r="I214" s="13">
        <v>42919.110659722224</v>
      </c>
      <c r="J214" s="7">
        <v>0</v>
      </c>
      <c r="K214" s="89" t="str">
        <f t="shared" si="89"/>
        <v>4045/4046</v>
      </c>
      <c r="L214" s="21" t="str">
        <f>VLOOKUP(A214,'Trips&amp;Operators'!$C$1:$G$99999,5,FALSE)</f>
        <v>HAITHCOX MICHAEL</v>
      </c>
      <c r="M214" s="6">
        <f t="shared" si="90"/>
        <v>1.7974537040572613E-2</v>
      </c>
      <c r="N214" s="7">
        <f t="shared" si="85"/>
        <v>25.883333338424563</v>
      </c>
      <c r="O214" s="7"/>
      <c r="P214" s="7"/>
      <c r="Q214" s="22"/>
      <c r="R214" s="170"/>
      <c r="S214" s="213">
        <f t="shared" si="88"/>
        <v>1</v>
      </c>
      <c r="T214" s="195" t="str">
        <f t="shared" si="91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2"/>
        <v>https://d0f6bd738d7f1b3e5a7ca70fe4ff75f0.us-east-1.aws.found.io/app/kibana#/discover/Steve-Slow-Train-Analysis-(2080s-and-2083s)?_g=(refreshInterval:(display:Off,pause:!f,section:0,value:0),time:(from:'2017-07-03T01:11:40-0600',mode:absolute,to:'2017-07-03T03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97" t="str">
        <f>IF(AA214&lt;VLOOKUP(AG214,Variables!$AC$3:$AD$8,2,FALSE),"Y","N")</f>
        <v>Y</v>
      </c>
      <c r="X214" s="197">
        <f t="shared" si="93"/>
        <v>0</v>
      </c>
      <c r="Y214" s="197">
        <f t="shared" si="86"/>
        <v>4.7300000000000002E-2</v>
      </c>
      <c r="Z214" s="197">
        <f t="shared" si="87"/>
        <v>2.3346</v>
      </c>
      <c r="AA214" s="197">
        <f t="shared" si="94"/>
        <v>2.2873000000000001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95"/>
        <v>313</v>
      </c>
      <c r="AE214" s="77" t="str">
        <f t="shared" si="96"/>
        <v>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 &amp; 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</v>
      </c>
      <c r="AF214" s="74" t="str">
        <f t="shared" si="97"/>
        <v>"C:\Program Files (x86)\AstroGrep\AstroGrep.exe" /e /r /s /spath="%USERPROFILE%\AppData\Local\Temp\OnboardLogs" /stypes="app*4046*20170703*" /stext=" 08:.+((SYSTEM_STATE.+slice.+state.+changed )|(ment ac)|(multiple cpu faults)|(system.+state.+changed )|(\[timeout)|(PRM\|1\|D)|(kpr)|(kdp)|(train st.+moving)|(\|lc)|(penalty))"</v>
      </c>
      <c r="AG214" s="209" t="str">
        <f t="shared" si="98"/>
        <v>Other</v>
      </c>
      <c r="AH214" s="78" t="str">
        <f t="shared" si="99"/>
        <v>"%USERPROFILE%\Documents\GitHub\eaglep3\Utilities\RefineRTDCRunTimes.py" --tripid 313-02 --locoid 4046 --swversion DE.1.0.9.0 --startMP 204:473 --initTime 2017-07-03T02:11:40 --startdatetime 2017-07-03T02:13:28 --delay 1 --endMP 300:23346 --enddatetime 2017-07-03T02:39:21 --enforcementcount 0 &gt;&gt;C:\Users\stu\Documents\GitHub\eaglep3-reporting\EC\2017-07-02-refined-times.txt</v>
      </c>
      <c r="AI214" s="96" t="str">
        <f t="shared" si="100"/>
        <v>echo {"issue":{"subject":"","project_id":79,"tracker_id":40,"status_id":1,"priority_id":2,"assigned_to_id":23,"start_date":"2017-07-03","description":"","custom_fields":[{"id":1,"name":"Subdivision","value":"Other"},{"id":4,"name":"Milepost","value":"2.3346"},{"id":17,"name":"Train ID","value":"313-02"},{"id":16,"name":"Locomotive ID","value":"4046"},{"id":130,"name":"Impact","value":""},{"id":150,"name":"Time of Event (Mountain Time)","value":"02:39:21"},{"id":151,"name":"Denver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1"/>
        <v>start /low /b %USERPROFILE%\Documents\GitHub\eaglep3\Utilities\DownloadLogsFromS3.py --loco 4046 --day 2017-07-03</v>
      </c>
      <c r="AN214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08:39:21"},{"id":29,"name":"Sharepoint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719</v>
      </c>
      <c r="B215" s="7">
        <v>4026</v>
      </c>
      <c r="C215" s="21" t="s">
        <v>202</v>
      </c>
      <c r="D215" s="21" t="s">
        <v>949</v>
      </c>
      <c r="E215" s="13">
        <v>42918.217233796298</v>
      </c>
      <c r="F215" s="13">
        <v>42918.221377314818</v>
      </c>
      <c r="G215" s="7">
        <v>5</v>
      </c>
      <c r="H215" s="21" t="s">
        <v>563</v>
      </c>
      <c r="I215" s="13">
        <v>42918.226944444446</v>
      </c>
      <c r="J215" s="7">
        <v>0</v>
      </c>
      <c r="K215" s="89" t="str">
        <f t="shared" si="89"/>
        <v>4025/4026</v>
      </c>
      <c r="L215" s="21" t="str">
        <f>VLOOKUP(A215,'Trips&amp;Operators'!$C$1:$G$99999,5,FALSE)</f>
        <v>DAVIDSON DAVID</v>
      </c>
      <c r="M215" s="6">
        <f t="shared" si="90"/>
        <v>5.5671296286163852E-3</v>
      </c>
      <c r="N215" s="7">
        <f t="shared" si="85"/>
        <v>8.0166666652075946</v>
      </c>
      <c r="O215" s="7"/>
      <c r="P215" s="7"/>
      <c r="Q215" s="22"/>
      <c r="R215" s="170"/>
      <c r="S215" s="213">
        <f t="shared" si="88"/>
        <v>0</v>
      </c>
      <c r="T215" s="195" t="str">
        <f t="shared" si="91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92"/>
        <v>https://d0f6bd738d7f1b3e5a7ca70fe4ff75f0.us-east-1.aws.found.io/app/kibana#/discover/Steve-Slow-Train-Analysis-(2080s-and-2083s)?_g=(refreshInterval:(display:Off,pause:!f,section:0,value:0),time:(from:'2017-07-02T04:12:49-0600',mode:absolute,to:'2017-07-02T06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5" s="197" t="str">
        <f>IF(AA215&lt;VLOOKUP(AG215,Variables!$AC$3:$AD$8,2,FALSE),"Y","N")</f>
        <v>Y</v>
      </c>
      <c r="X215" s="197">
        <f t="shared" si="93"/>
        <v>1588</v>
      </c>
      <c r="Y215" s="197">
        <f t="shared" si="86"/>
        <v>3.0177999999999998</v>
      </c>
      <c r="Z215" s="197">
        <f t="shared" si="87"/>
        <v>5.8954000000000004</v>
      </c>
      <c r="AA215" s="197">
        <f t="shared" si="94"/>
        <v>2.8776000000000006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95"/>
        <v>1901</v>
      </c>
      <c r="AE215" s="77" t="str">
        <f t="shared" si="96"/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AF215" s="74" t="str">
        <f t="shared" si="97"/>
        <v>"C:\Program Files (x86)\AstroGrep\AstroGrep.exe" /e /r /s /spath="%USERPROFILE%\AppData\Local\Temp\OnboardLogs" /stypes="app*4026*20170702*" /stext=" 11:.+((SYSTEM_STATE.+slice.+state.+changed )|(ment ac)|(multiple cpu faults)|(system.+state.+changed )|(\[timeout)|(PRM\|1\|D)|(kpr)|(kdp)|(train st.+moving)|(\|lc)|(penalty))"</v>
      </c>
      <c r="AG215" s="209" t="str">
        <f t="shared" si="98"/>
        <v>Other</v>
      </c>
      <c r="AH215" s="78" t="str">
        <f t="shared" si="99"/>
        <v>"%USERPROFILE%\Documents\GitHub\eaglep3\Utilities\RefineRTDCRunTimes.py" --tripid 1901-02 --locoid 4026 --swversion DE.1.0.9.0 --startMP 300:30178 --initTime 2017-07-02T05:12:49 --startdatetime 2017-07-02T05:18:47 --delay 5 --endMP 300:58954 --enddatetime 2017-07-02T05:26:48 --enforcementcount 0 &gt;&gt;C:\Users\stu\Documents\GitHub\eaglep3-reporting\EC\2017-07-02-refined-times.txt</v>
      </c>
      <c r="AI215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{"issue":{"subject":"","project_id":79,"tracker_id":40,"status_id":1,"priority_id":2,"assigned_to_id":23,"start_date":"2017-07-02","description":"","custom_fields":[{"id":1,"name":"Subdivision","value":"Other"},{"id":4,"name":"Milepost","value":"5.8954"},{"id":17,"name":"Train ID","value":"1901-02"},{"id":16,"name":"Locomotive ID","value":"4026"},{"id":130,"name":"Impact","value":""},{"id":150,"name":"Time of Event (Mountain Time)","value":"05:26:48"},{"id":151,"name":"Denver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01"/>
        <v>start /low /b %USERPROFILE%\Documents\GitHub\eaglep3\Utilities\DownloadLogsFromS3.py --loco 4026 --day 2017-07-02</v>
      </c>
      <c r="AN215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851</v>
      </c>
      <c r="B216" s="7">
        <v>4025</v>
      </c>
      <c r="C216" s="21" t="s">
        <v>202</v>
      </c>
      <c r="D216" s="21" t="s">
        <v>950</v>
      </c>
      <c r="E216" s="13">
        <v>42918.941851851851</v>
      </c>
      <c r="F216" s="13">
        <v>42918.943032407406</v>
      </c>
      <c r="G216" s="7">
        <v>1</v>
      </c>
      <c r="H216" s="21" t="s">
        <v>951</v>
      </c>
      <c r="I216" s="13">
        <v>42918.949421296296</v>
      </c>
      <c r="J216" s="7">
        <v>0</v>
      </c>
      <c r="K216" s="89" t="str">
        <f t="shared" si="89"/>
        <v>4025/4026</v>
      </c>
      <c r="L216" s="21" t="str">
        <f>VLOOKUP(A216,'Trips&amp;Operators'!$C$1:$G$99999,5,FALSE)</f>
        <v>MAGEE KENYA</v>
      </c>
      <c r="M216" s="6">
        <f t="shared" si="90"/>
        <v>6.3888888907968067E-3</v>
      </c>
      <c r="N216" s="7">
        <f t="shared" si="85"/>
        <v>9.2000000027474016</v>
      </c>
      <c r="O216" s="7"/>
      <c r="P216" s="7"/>
      <c r="Q216" s="22"/>
      <c r="R216" s="170"/>
      <c r="S216" s="213">
        <f t="shared" si="88"/>
        <v>0</v>
      </c>
      <c r="T216" s="195" t="str">
        <f t="shared" si="91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92"/>
        <v>https://d0f6bd738d7f1b3e5a7ca70fe4ff75f0.us-east-1.aws.found.io/app/kibana#/discover/Steve-Slow-Train-Analysis-(2080s-and-2083s)?_g=(refreshInterval:(display:Off,pause:!f,section:0,value:0),time:(from:'2017-07-02T21:36:16-0600',mode:absolute,to:'2017-07-02T23:47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197" t="str">
        <f>IF(AA216&lt;VLOOKUP(AG216,Variables!$AC$3:$AD$8,2,FALSE),"Y","N")</f>
        <v>Y</v>
      </c>
      <c r="X216" s="197">
        <f t="shared" si="93"/>
        <v>1</v>
      </c>
      <c r="Y216" s="197">
        <f t="shared" si="86"/>
        <v>5.8655999999999997</v>
      </c>
      <c r="Z216" s="197">
        <f t="shared" si="87"/>
        <v>2.8782000000000001</v>
      </c>
      <c r="AA216" s="197">
        <f t="shared" si="94"/>
        <v>2.9873999999999996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95"/>
        <v>1902</v>
      </c>
      <c r="AE216" s="77" t="str">
        <f t="shared" si="96"/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AF216" s="74" t="str">
        <f t="shared" si="97"/>
        <v>"C:\Program Files (x86)\AstroGrep\AstroGrep.exe" /e /r /s /spath="%USERPROFILE%\AppData\Local\Temp\OnboardLogs" /stypes="app*4025*20170703*" /stext=" 04:.+((SYSTEM_STATE.+slice.+state.+changed )|(ment ac)|(multiple cpu faults)|(system.+state.+changed )|(\[timeout)|(PRM\|1\|D)|(kpr)|(kdp)|(train st.+moving)|(\|lc)|(penalty))"</v>
      </c>
      <c r="AG216" s="209" t="str">
        <f t="shared" si="98"/>
        <v>Other</v>
      </c>
      <c r="AH216" s="78" t="str">
        <f t="shared" si="99"/>
        <v>"%USERPROFILE%\Documents\GitHub\eaglep3\Utilities\RefineRTDCRunTimes.py" --tripid 1902-02 --locoid 4025 --swversion DE.1.0.9.0 --startMP 300:58656 --initTime 2017-07-02T22:36:16 --startdatetime 2017-07-02T22:37:58 --delay 1 --endMP 300:28782 --enddatetime 2017-07-02T22:47:10 --enforcementcount 0 &gt;&gt;C:\Users\stu\Documents\GitHub\eaglep3-reporting\EC\2017-07-02-refined-times.txt</v>
      </c>
      <c r="AI216" s="96" t="str">
        <f t="shared" si="100"/>
        <v>echo {"issue":{"subject":"","project_id":79,"tracker_id":40,"status_id":1,"priority_id":2,"assigned_to_id":23,"start_date":"2017-07-02","description":"","custom_fields":[{"id":1,"name":"Subdivision","value":"Other"},{"id":4,"name":"Milepost","value":"2.8782"},{"id":17,"name":"Train ID","value":"1902-02"},{"id":16,"name":"Locomotive ID","value":"4025"},{"id":130,"name":"Impact","value":""},{"id":150,"name":"Time of Event (Mountain Time)","value":"22:47:10"},{"id":151,"name":"Denver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01"/>
        <v>start /low /b %USERPROFILE%\Documents\GitHub\eaglep3\Utilities\DownloadLogsFromS3.py --loco 4025 --day 2017-07-02</v>
      </c>
      <c r="AN216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04:47:10"},{"id":29,"name":"Sharepoint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672</v>
      </c>
      <c r="B217" s="7">
        <v>4049</v>
      </c>
      <c r="C217" s="21" t="s">
        <v>202</v>
      </c>
      <c r="D217" s="21" t="s">
        <v>991</v>
      </c>
      <c r="E217" s="13">
        <v>42918.738171296296</v>
      </c>
      <c r="F217" s="13">
        <v>42918.745324074072</v>
      </c>
      <c r="G217" s="7">
        <v>10</v>
      </c>
      <c r="H217" s="21" t="s">
        <v>992</v>
      </c>
      <c r="I217" s="13">
        <v>42918.747812499998</v>
      </c>
      <c r="J217" s="7">
        <v>0</v>
      </c>
      <c r="K217" s="89" t="str">
        <f t="shared" si="89"/>
        <v>4049/4050</v>
      </c>
      <c r="L217" s="21" t="str">
        <f>VLOOKUP(A217,'Trips&amp;Operators'!$C$1:$G$99999,5,FALSE)</f>
        <v>BIRENBAUM THOMAS</v>
      </c>
      <c r="M217" s="6">
        <f t="shared" si="90"/>
        <v>2.488425925548654E-3</v>
      </c>
      <c r="N217" s="7">
        <f t="shared" si="85"/>
        <v>3.5833333327900618</v>
      </c>
      <c r="O217" s="7"/>
      <c r="P217" s="7"/>
      <c r="Q217" s="22"/>
      <c r="R217" s="170"/>
      <c r="S217" s="213">
        <f t="shared" si="88"/>
        <v>0</v>
      </c>
      <c r="T217" s="195" t="str">
        <f t="shared" si="91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92"/>
        <v>https://d0f6bd738d7f1b3e5a7ca70fe4ff75f0.us-east-1.aws.found.io/app/kibana#/discover/Steve-Slow-Train-Analysis-(2080s-and-2083s)?_g=(refreshInterval:(display:Off,pause:!f,section:0,value:0),time:(from:'2017-07-02T16:42:58-0600',mode:absolute,to:'2017-07-02T18:56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7" s="197" t="str">
        <f>IF(AA217&lt;VLOOKUP(AG217,Variables!$AC$3:$AD$8,2,FALSE),"Y","N")</f>
        <v>Y</v>
      </c>
      <c r="X217" s="197">
        <f t="shared" si="93"/>
        <v>-1851</v>
      </c>
      <c r="Y217" s="197">
        <f t="shared" si="86"/>
        <v>2.2997000000000001</v>
      </c>
      <c r="Z217" s="197">
        <f t="shared" si="87"/>
        <v>1.9742</v>
      </c>
      <c r="AA217" s="197">
        <f t="shared" si="94"/>
        <v>0.32550000000000012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95"/>
        <v>51</v>
      </c>
      <c r="AE217" s="77" t="str">
        <f t="shared" si="96"/>
        <v>aws s3 cp s3://rtdc.mdm.uploadarchive.raw/RTDC4049/ "%USERPROFILE%\AppData\Local\Temp\OnboardLogs"\RTDC4049\2017-07-02 --exclude "*" --recursive --include "*20170702*" &amp; "%USERPROFILE%\Documents\GitHub\mrs-test-scripts\Headless Mode &amp; Sideloading\WalkAndUnGZ.bat" "%USERPROFILE%\AppData\Local\Temp\OnboardLogs"\RTDC4049\2017-07-02 &amp; aws s3 cp s3://rtdc.mdm.uploadarchive.raw/RTDC4049/ "%USERPROFILE%\AppData\Local\Temp\OnboardLogs"\RTDC4049\2017-07-03 --exclude "*" --recursive --include "*20170703*" &amp; "%USERPROFILE%\Documents\GitHub\mrs-test-scripts\Headless Mode &amp; Sideloading\WalkAndUnGZ.bat" "%USERPROFILE%\AppData\Local\Temp\OnboardLogs"\RTDC4049\2017-07-03</v>
      </c>
      <c r="AF217" s="74" t="str">
        <f t="shared" si="97"/>
        <v>"C:\Program Files (x86)\AstroGrep\AstroGrep.exe" /e /r /s /spath="%USERPROFILE%\AppData\Local\Temp\OnboardLogs" /stypes="app*4049*20170702*" /stext=" 23:.+((SYSTEM_STATE.+slice.+state.+changed )|(ment ac)|(multiple cpu faults)|(system.+state.+changed )|(\[timeout)|(PRM\|1\|D)|(kpr)|(kdp)|(train st.+moving)|(\|lc)|(penalty))"</v>
      </c>
      <c r="AG217" s="209" t="str">
        <f t="shared" si="98"/>
        <v>Shuttle/Test</v>
      </c>
      <c r="AH217" s="78" t="str">
        <f t="shared" si="99"/>
        <v>"%USERPROFILE%\Documents\GitHub\eaglep3\Utilities\RefineRTDCRunTimes.py" --tripid 51-02 --locoid 4049 --swversion DE.1.0.9.0 --startMP 300:22997 --initTime 2017-07-02T17:42:58 --startdatetime 2017-07-02T17:53:16 --delay 10 --endMP 300:19742 --enddatetime 2017-07-02T17:56:51 --enforcementcount 0 &gt;&gt;C:\Users\stu\Documents\GitHub\eaglep3-reporting\EC\2017-07-02-refined-times.txt</v>
      </c>
      <c r="AI217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1.9742"},{"id":17,"name":"Train ID","value":"51-02"},{"id":16,"name":"Locomotive ID","value":"4049"},{"id":130,"name":"Impact","value":""},{"id":150,"name":"Time of Event (Mountain Time)","value":"17:56:51"},{"id":151,"name":"Denver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01"/>
        <v>start /low /b %USERPROFILE%\Documents\GitHub\eaglep3\Utilities\DownloadLogsFromS3.py --loco 4049 --day 2017-07-02</v>
      </c>
      <c r="AN217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23:56:51"},{"id":29,"name":"Sharepoint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696</v>
      </c>
      <c r="B218" s="7">
        <v>4051</v>
      </c>
      <c r="C218" s="21" t="s">
        <v>202</v>
      </c>
      <c r="D218" s="21" t="s">
        <v>993</v>
      </c>
      <c r="E218" s="13">
        <v>42918.112210648149</v>
      </c>
      <c r="F218" s="13">
        <v>42918.115393518521</v>
      </c>
      <c r="G218" s="7">
        <v>4</v>
      </c>
      <c r="H218" s="21" t="s">
        <v>612</v>
      </c>
      <c r="I218" s="13">
        <v>42918.122824074075</v>
      </c>
      <c r="J218" s="7">
        <v>0</v>
      </c>
      <c r="K218" s="89" t="str">
        <f t="shared" si="89"/>
        <v>4051/4052</v>
      </c>
      <c r="L218" s="21" t="str">
        <f>VLOOKUP(A218,'Trips&amp;Operators'!$C$1:$G$99999,5,FALSE)</f>
        <v>MAYBERRY BILL</v>
      </c>
      <c r="M218" s="6">
        <f t="shared" si="90"/>
        <v>7.4305555535829626E-3</v>
      </c>
      <c r="N218" s="7">
        <f t="shared" si="85"/>
        <v>10.699999997159466</v>
      </c>
      <c r="O218" s="7"/>
      <c r="P218" s="7"/>
      <c r="Q218" s="22"/>
      <c r="R218" s="170"/>
      <c r="S218" s="213">
        <f t="shared" si="88"/>
        <v>0</v>
      </c>
      <c r="T218" s="195" t="str">
        <f t="shared" si="91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92"/>
        <v>https://d0f6bd738d7f1b3e5a7ca70fe4ff75f0.us-east-1.aws.found.io/app/kibana#/discover/Steve-Slow-Train-Analysis-(2080s-and-2083s)?_g=(refreshInterval:(display:Off,pause:!f,section:0,value:0),time:(from:'2017-07-02T01:41:35-0600',mode:absolute,to:'2017-07-02T03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8" s="197" t="str">
        <f>IF(AA218&lt;VLOOKUP(AG218,Variables!$AC$3:$AD$8,2,FALSE),"Y","N")</f>
        <v>Y</v>
      </c>
      <c r="X218" s="197">
        <f t="shared" si="93"/>
        <v>4</v>
      </c>
      <c r="Y218" s="197">
        <f t="shared" si="86"/>
        <v>2.2292000000000001</v>
      </c>
      <c r="Z218" s="197">
        <f t="shared" si="87"/>
        <v>0.11559999999999999</v>
      </c>
      <c r="AA218" s="197">
        <f t="shared" si="94"/>
        <v>2.1135999999999999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95"/>
        <v>55</v>
      </c>
      <c r="AE218" s="77" t="str">
        <f t="shared" si="96"/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AF218" s="74" t="str">
        <f t="shared" si="97"/>
        <v>"C:\Program Files (x86)\AstroGrep\AstroGrep.exe" /e /r /s /spath="%USERPROFILE%\AppData\Local\Temp\OnboardLogs" /stypes="app*4051*20170702*" /stext=" 08:.+((SYSTEM_STATE.+slice.+state.+changed )|(ment ac)|(multiple cpu faults)|(system.+state.+changed )|(\[timeout)|(PRM\|1\|D)|(kpr)|(kdp)|(train st.+moving)|(\|lc)|(penalty))"</v>
      </c>
      <c r="AG218" s="209" t="str">
        <f t="shared" si="98"/>
        <v>Shuttle/Test</v>
      </c>
      <c r="AH218" s="78" t="str">
        <f t="shared" si="99"/>
        <v>"%USERPROFILE%\Documents\GitHub\eaglep3\Utilities\RefineRTDCRunTimes.py" --tripid 55-02 --locoid 4051 --swversion DE.1.0.9.0 --startMP 300:22292 --initTime 2017-07-02T02:41:35 --startdatetime 2017-07-02T02:46:10 --delay 4 --endMP 204:1156 --enddatetime 2017-07-02T02:56:52 --enforcementcount 0 &gt;&gt;C:\Users\stu\Documents\GitHub\eaglep3-reporting\EC\2017-07-02-refined-times.txt</v>
      </c>
      <c r="AI218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0.1156"},{"id":17,"name":"Train ID","value":"55-02"},{"id":16,"name":"Locomotive ID","value":"4051"},{"id":130,"name":"Impact","value":""},{"id":150,"name":"Time of Event (Mountain Time)","value":"02:56:52"},{"id":151,"name":"Denver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01"/>
        <v>start /low /b %USERPROFILE%\Documents\GitHub\eaglep3\Utilities\DownloadLogsFromS3.py --loco 4051 --day 2017-07-02</v>
      </c>
      <c r="AN218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696</v>
      </c>
      <c r="B219" s="7">
        <v>4054</v>
      </c>
      <c r="C219" s="21" t="s">
        <v>202</v>
      </c>
      <c r="D219" s="21" t="s">
        <v>994</v>
      </c>
      <c r="E219" s="13">
        <v>42918.740798611114</v>
      </c>
      <c r="F219" s="13">
        <v>42918.747407407405</v>
      </c>
      <c r="G219" s="7">
        <v>1</v>
      </c>
      <c r="H219" s="21" t="s">
        <v>353</v>
      </c>
      <c r="I219" s="13">
        <v>42918.753923611112</v>
      </c>
      <c r="J219" s="7">
        <v>0</v>
      </c>
      <c r="K219" s="89" t="str">
        <f t="shared" si="89"/>
        <v>4053/4054</v>
      </c>
      <c r="L219" s="21" t="str">
        <f>VLOOKUP(A219,'Trips&amp;Operators'!$C$1:$G$99999,5,FALSE)</f>
        <v>MAYBERRY BILL</v>
      </c>
      <c r="M219" s="6">
        <f t="shared" si="90"/>
        <v>6.5162037062691525E-3</v>
      </c>
      <c r="N219" s="7">
        <f t="shared" si="85"/>
        <v>9.3833333370275795</v>
      </c>
      <c r="O219" s="7"/>
      <c r="P219" s="7"/>
      <c r="Q219" s="22"/>
      <c r="R219" s="170"/>
      <c r="S219" s="213">
        <f t="shared" si="88"/>
        <v>1</v>
      </c>
      <c r="T219" s="195" t="str">
        <f t="shared" si="91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2"/>
        <v>https://d0f6bd738d7f1b3e5a7ca70fe4ff75f0.us-east-1.aws.found.io/app/kibana#/discover/Steve-Slow-Train-Analysis-(2080s-and-2083s)?_g=(refreshInterval:(display:Off,pause:!f,section:0,value:0),time:(from:'2017-07-02T16:46:45-0600',mode:absolute,to:'2017-07-02T19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9" s="197" t="str">
        <f>IF(AA219&lt;VLOOKUP(AG219,Variables!$AC$3:$AD$8,2,FALSE),"Y","N")</f>
        <v>Y</v>
      </c>
      <c r="X219" s="197">
        <f t="shared" si="93"/>
        <v>0</v>
      </c>
      <c r="Y219" s="197">
        <f t="shared" si="86"/>
        <v>4.2999999999999997E-2</v>
      </c>
      <c r="Z219" s="197">
        <f t="shared" si="87"/>
        <v>2.3346</v>
      </c>
      <c r="AA219" s="197">
        <f t="shared" si="94"/>
        <v>2.2915999999999999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95"/>
        <v>55</v>
      </c>
      <c r="AE219" s="77" t="str">
        <f t="shared" si="96"/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AF219" s="74" t="str">
        <f t="shared" si="97"/>
        <v>"C:\Program Files (x86)\AstroGrep\AstroGrep.exe" /e /r /s /spath="%USERPROFILE%\AppData\Local\Temp\OnboardLogs" /stypes="app*4054*20170703*" /stext=" 00:.+((SYSTEM_STATE.+slice.+state.+changed )|(ment ac)|(multiple cpu faults)|(system.+state.+changed )|(\[timeout)|(PRM\|1\|D)|(kpr)|(kdp)|(train st.+moving)|(\|lc)|(penalty))"</v>
      </c>
      <c r="AG219" s="209" t="str">
        <f t="shared" si="98"/>
        <v>Shuttle/Test</v>
      </c>
      <c r="AH219" s="78" t="str">
        <f t="shared" si="99"/>
        <v>"%USERPROFILE%\Documents\GitHub\eaglep3\Utilities\RefineRTDCRunTimes.py" --tripid 55-02 --locoid 4054 --swversion DE.1.0.9.0 --startMP 204:430 --initTime 2017-07-02T17:46:45 --startdatetime 2017-07-02T17:56:16 --delay 1 --endMP 300:23346 --enddatetime 2017-07-02T18:05:39 --enforcementcount 0 &gt;&gt;C:\Users\stu\Documents\GitHub\eaglep3-reporting\EC\2017-07-02-refined-times.txt</v>
      </c>
      <c r="AI219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2.3346"},{"id":17,"name":"Train ID","value":"55-02"},{"id":16,"name":"Locomotive ID","value":"4054"},{"id":130,"name":"Impact","value":""},{"id":150,"name":"Time of Event (Mountain Time)","value":"18:05:39"},{"id":151,"name":"Denver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1"/>
        <v>start /low /b %USERPROFILE%\Documents\GitHub\eaglep3\Utilities\DownloadLogsFromS3.py --loco 4054 --day 2017-07-02</v>
      </c>
      <c r="AN219" s="151" t="str">
        <f t="shared" si="102"/>
        <v>echo {"issue":{"subject":"","project_id":30,"tracker_id":4,"status_id":1,"priority_id":1,"assigned_to_id":10,"start_date":"2017-07-03","description":"","custom_fields":[{"id":30,"name":"Category","value":"Issue"},{"id":3,"name":"Functional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UTC","value":"2017-07-03 00:05:39"},{"id":29,"name":"Sharepoint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715</v>
      </c>
      <c r="B220" s="7">
        <v>4063</v>
      </c>
      <c r="C220" s="21" t="s">
        <v>202</v>
      </c>
      <c r="D220" s="21" t="s">
        <v>995</v>
      </c>
      <c r="E220" s="13">
        <v>42918.213009259256</v>
      </c>
      <c r="F220" s="13">
        <v>42918.215682870374</v>
      </c>
      <c r="G220" s="7">
        <v>3</v>
      </c>
      <c r="H220" s="21" t="s">
        <v>996</v>
      </c>
      <c r="I220" s="13">
        <v>42918.22619212963</v>
      </c>
      <c r="J220" s="7">
        <v>0</v>
      </c>
      <c r="K220" s="89" t="str">
        <f t="shared" si="89"/>
        <v>4063/4064</v>
      </c>
      <c r="L220" s="21" t="str">
        <f>VLOOKUP(A220,'Trips&amp;Operators'!$C$1:$G$99999,5,FALSE)</f>
        <v>NEWELL JAMES</v>
      </c>
      <c r="M220" s="6">
        <f t="shared" si="90"/>
        <v>1.0509259256650694E-2</v>
      </c>
      <c r="N220" s="7">
        <f t="shared" si="85"/>
        <v>15.133333329576999</v>
      </c>
      <c r="O220" s="7"/>
      <c r="P220" s="7"/>
      <c r="Q220" s="22"/>
      <c r="R220" s="170"/>
      <c r="S220" s="213">
        <f t="shared" si="88"/>
        <v>1</v>
      </c>
      <c r="T220" s="195" t="str">
        <f t="shared" si="91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92"/>
        <v>https://d0f6bd738d7f1b3e5a7ca70fe4ff75f0.us-east-1.aws.found.io/app/kibana#/discover/Steve-Slow-Train-Analysis-(2080s-and-2083s)?_g=(refreshInterval:(display:Off,pause:!f,section:0,value:0),time:(from:'2017-07-02T04:06:44-0600',mode:absolute,to:'2017-07-02T06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197" t="str">
        <f>IF(AA220&lt;VLOOKUP(AG220,Variables!$AC$3:$AD$8,2,FALSE),"Y","N")</f>
        <v>Y</v>
      </c>
      <c r="X220" s="197">
        <f t="shared" si="93"/>
        <v>3</v>
      </c>
      <c r="Y220" s="197">
        <f t="shared" si="86"/>
        <v>2.2343999999999999</v>
      </c>
      <c r="Z220" s="197">
        <f t="shared" si="87"/>
        <v>0.1152</v>
      </c>
      <c r="AA220" s="197">
        <f t="shared" si="94"/>
        <v>2.1191999999999998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95"/>
        <v>58</v>
      </c>
      <c r="AE220" s="77" t="str">
        <f t="shared" si="96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220" s="74" t="str">
        <f t="shared" si="97"/>
        <v>"C:\Program Files (x86)\AstroGrep\AstroGrep.exe" /e /r /s /spath="%USERPROFILE%\AppData\Local\Temp\OnboardLogs" /stypes="app*4063*20170702*" /stext=" 11:.+((SYSTEM_STATE.+slice.+state.+changed )|(ment ac)|(multiple cpu faults)|(system.+state.+changed )|(\[timeout)|(PRM\|1\|D)|(kpr)|(kdp)|(train st.+moving)|(\|lc)|(penalty))"</v>
      </c>
      <c r="AG220" s="209" t="str">
        <f t="shared" si="98"/>
        <v>Shuttle/Test</v>
      </c>
      <c r="AH220" s="78" t="str">
        <f t="shared" si="99"/>
        <v>"%USERPROFILE%\Documents\GitHub\eaglep3\Utilities\RefineRTDCRunTimes.py" --tripid 58-02 --locoid 4063 --swversion DE.1.0.9.0 --startMP 300:22344 --initTime 2017-07-02T05:06:44 --startdatetime 2017-07-02T05:10:35 --delay 3 --endMP 204:1152 --enddatetime 2017-07-02T05:25:43 --enforcementcount 0 &gt;&gt;C:\Users\stu\Documents\GitHub\eaglep3-reporting\EC\2017-07-02-refined-times.txt</v>
      </c>
      <c r="AI220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0.1152"},{"id":17,"name":"Train ID","value":"58-02"},{"id":16,"name":"Locomotive ID","value":"4063"},{"id":130,"name":"Impact","value":""},{"id":150,"name":"Time of Event (Mountain Time)","value":"05:25:43"},{"id":151,"name":"Denver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01"/>
        <v>start /low /b %USERPROFILE%\Documents\GitHub\eaglep3\Utilities\DownloadLogsFromS3.py --loco 4063 --day 2017-07-02</v>
      </c>
      <c r="AN220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11:25:43"},{"id":29,"name":"Sharepoint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725</v>
      </c>
      <c r="B221" s="7">
        <v>4052</v>
      </c>
      <c r="C221" s="21" t="s">
        <v>202</v>
      </c>
      <c r="D221" s="21" t="s">
        <v>347</v>
      </c>
      <c r="E221" s="13">
        <v>42918.236631944441</v>
      </c>
      <c r="F221" s="13">
        <v>42918.23809027778</v>
      </c>
      <c r="G221" s="7">
        <v>1</v>
      </c>
      <c r="H221" s="21" t="s">
        <v>557</v>
      </c>
      <c r="I221" s="13">
        <v>42918.257800925923</v>
      </c>
      <c r="J221" s="7">
        <v>0</v>
      </c>
      <c r="K221" s="89" t="str">
        <f t="shared" si="89"/>
        <v>4051/4052</v>
      </c>
      <c r="L221" s="21" t="str">
        <f>VLOOKUP(A221,'Trips&amp;Operators'!$C$1:$G$99999,5,FALSE)</f>
        <v>NEWELL JAMES</v>
      </c>
      <c r="M221" s="6">
        <f t="shared" si="90"/>
        <v>1.9710648142790888E-2</v>
      </c>
      <c r="N221" s="7">
        <f t="shared" si="85"/>
        <v>28.383333325618878</v>
      </c>
      <c r="O221" s="7"/>
      <c r="P221" s="7"/>
      <c r="Q221" s="22"/>
      <c r="R221" s="170"/>
      <c r="S221" s="213">
        <f t="shared" si="88"/>
        <v>0</v>
      </c>
      <c r="T221" s="195" t="str">
        <f t="shared" si="91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92"/>
        <v>https://d0f6bd738d7f1b3e5a7ca70fe4ff75f0.us-east-1.aws.found.io/app/kibana#/discover/Steve-Slow-Train-Analysis-(2080s-and-2083s)?_g=(refreshInterval:(display:Off,pause:!f,section:0,value:0),time:(from:'2017-07-02T04:40:45-0600',mode:absolute,to:'2017-07-02T07:11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1" s="197" t="str">
        <f>IF(AA221&lt;VLOOKUP(AG221,Variables!$AC$3:$AD$8,2,FALSE),"Y","N")</f>
        <v>Y</v>
      </c>
      <c r="X221" s="197">
        <f t="shared" si="93"/>
        <v>2</v>
      </c>
      <c r="Y221" s="197">
        <f t="shared" si="86"/>
        <v>4.4600000000000001E-2</v>
      </c>
      <c r="Z221" s="197">
        <f t="shared" si="87"/>
        <v>2.3304</v>
      </c>
      <c r="AA221" s="197">
        <f t="shared" si="94"/>
        <v>2.2858000000000001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95"/>
        <v>60</v>
      </c>
      <c r="AE221" s="77" t="str">
        <f t="shared" si="96"/>
        <v>aws s3 cp s3://rtdc.mdm.uploadarchive.raw/RTDC4052/ "%USERPROFILE%\AppData\Local\Temp\OnboardLogs"\RTDC4052\2017-07-02 --exclude "*" --recursive --include "*20170702*" &amp; "%USERPROFILE%\Documents\GitHub\mrs-test-scripts\Headless Mode &amp; Sideloading\WalkAndUnGZ.bat" "%USERPROFILE%\AppData\Local\Temp\OnboardLogs"\RTDC4052\2017-07-02 &amp; aws s3 cp s3://rtdc.mdm.uploadarchive.raw/RTDC4052/ "%USERPROFILE%\AppData\Local\Temp\OnboardLogs"\RTDC4052\2017-07-03 --exclude "*" --recursive --include "*20170703*" &amp; "%USERPROFILE%\Documents\GitHub\mrs-test-scripts\Headless Mode &amp; Sideloading\WalkAndUnGZ.bat" "%USERPROFILE%\AppData\Local\Temp\OnboardLogs"\RTDC4052\2017-07-03</v>
      </c>
      <c r="AF221" s="74" t="str">
        <f t="shared" si="97"/>
        <v>"C:\Program Files (x86)\AstroGrep\AstroGrep.exe" /e /r /s /spath="%USERPROFILE%\AppData\Local\Temp\OnboardLogs" /stypes="app*4052*20170702*" /stext=" 12:.+((SYSTEM_STATE.+slice.+state.+changed )|(ment ac)|(multiple cpu faults)|(system.+state.+changed )|(\[timeout)|(PRM\|1\|D)|(kpr)|(kdp)|(train st.+moving)|(\|lc)|(penalty))"</v>
      </c>
      <c r="AG221" s="209" t="str">
        <f t="shared" si="98"/>
        <v>Shuttle/Test</v>
      </c>
      <c r="AH221" s="78" t="str">
        <f t="shared" si="99"/>
        <v>"%USERPROFILE%\Documents\GitHub\eaglep3\Utilities\RefineRTDCRunTimes.py" --tripid 60-02 --locoid 4052 --swversion DE.1.0.9.0 --startMP 204:446 --initTime 2017-07-02T05:40:45 --startdatetime 2017-07-02T05:42:51 --delay 1 --endMP 300:23304 --enddatetime 2017-07-02T06:11:14 --enforcementcount 0 &gt;&gt;C:\Users\stu\Documents\GitHub\eaglep3-reporting\EC\2017-07-02-refined-times.txt</v>
      </c>
      <c r="AI221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2.3304"},{"id":17,"name":"Train ID","value":"60-02"},{"id":16,"name":"Locomotive ID","value":"4052"},{"id":130,"name":"Impact","value":""},{"id":150,"name":"Time of Event (Mountain Time)","value":"06:11:14"},{"id":151,"name":"Denver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01"/>
        <v>start /low /b %USERPROFILE%\Documents\GitHub\eaglep3\Utilities\DownloadLogsFromS3.py --loco 4052 --day 2017-07-02</v>
      </c>
      <c r="AN221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12:11:14"},{"id":29,"name":"Sharepoint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645</v>
      </c>
      <c r="B222" s="7">
        <v>4063</v>
      </c>
      <c r="C222" s="21" t="s">
        <v>202</v>
      </c>
      <c r="D222" s="21" t="s">
        <v>997</v>
      </c>
      <c r="E222" s="13">
        <v>42918.501307870371</v>
      </c>
      <c r="F222" s="13">
        <v>42918.502569444441</v>
      </c>
      <c r="G222" s="7">
        <v>1</v>
      </c>
      <c r="H222" s="21" t="s">
        <v>416</v>
      </c>
      <c r="I222" s="13">
        <v>42918.503750000003</v>
      </c>
      <c r="J222" s="7">
        <v>0</v>
      </c>
      <c r="K222" s="89" t="str">
        <f t="shared" si="89"/>
        <v>4063/4064</v>
      </c>
      <c r="L222" s="21" t="str">
        <f>VLOOKUP(A222,'Trips&amp;Operators'!$C$1:$G$99999,5,FALSE)</f>
        <v>BROWN JACOB</v>
      </c>
      <c r="M222" s="6">
        <f t="shared" si="90"/>
        <v>1.1805555623141117E-3</v>
      </c>
      <c r="N222" s="7">
        <f t="shared" si="85"/>
        <v>1.7000000097323209</v>
      </c>
      <c r="O222" s="7"/>
      <c r="P222" s="7"/>
      <c r="Q222" s="22"/>
      <c r="R222" s="170"/>
      <c r="S222" s="213">
        <f t="shared" si="88"/>
        <v>0</v>
      </c>
      <c r="T222" s="195" t="str">
        <f t="shared" si="91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92"/>
        <v>https://d0f6bd738d7f1b3e5a7ca70fe4ff75f0.us-east-1.aws.found.io/app/kibana#/discover/Steve-Slow-Train-Analysis-(2080s-and-2083s)?_g=(refreshInterval:(display:Off,pause:!f,section:0,value:0),time:(from:'2017-07-02T11:01:53-0600',mode:absolute,to:'2017-07-02T13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2" s="197" t="str">
        <f>IF(AA222&lt;VLOOKUP(AG222,Variables!$AC$3:$AD$8,2,FALSE),"Y","N")</f>
        <v>Y</v>
      </c>
      <c r="X222" s="197">
        <f t="shared" si="93"/>
        <v>3</v>
      </c>
      <c r="Y222" s="197">
        <f t="shared" si="86"/>
        <v>0.33160000000000001</v>
      </c>
      <c r="Z222" s="197">
        <f t="shared" si="87"/>
        <v>1.4500000000000001E-2</v>
      </c>
      <c r="AA222" s="197">
        <f t="shared" si="94"/>
        <v>0.31709999999999999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95"/>
        <v>63</v>
      </c>
      <c r="AE222" s="77" t="str">
        <f t="shared" si="96"/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AF222" s="74" t="str">
        <f t="shared" si="97"/>
        <v>"C:\Program Files (x86)\AstroGrep\AstroGrep.exe" /e /r /s /spath="%USERPROFILE%\AppData\Local\Temp\OnboardLogs" /stypes="app*4063*20170702*" /stext=" 18:.+((SYSTEM_STATE.+slice.+state.+changed )|(ment ac)|(multiple cpu faults)|(system.+state.+changed )|(\[timeout)|(PRM\|1\|D)|(kpr)|(kdp)|(train st.+moving)|(\|lc)|(penalty))"</v>
      </c>
      <c r="AG222" s="209" t="str">
        <f t="shared" si="98"/>
        <v>Shuttle/Test</v>
      </c>
      <c r="AH222" s="78" t="str">
        <f t="shared" si="99"/>
        <v>"%USERPROFILE%\Documents\GitHub\eaglep3\Utilities\RefineRTDCRunTimes.py" --tripid 63-02 --locoid 4063 --swversion DE.1.0.9.0 --startMP 204:3316 --initTime 2017-07-02T12:01:53 --startdatetime 2017-07-02T12:03:42 --delay 1 --endMP 204:145 --enddatetime 2017-07-02T12:05:24 --enforcementcount 0 &gt;&gt;C:\Users\stu\Documents\GitHub\eaglep3-reporting\EC\2017-07-02-refined-times.txt</v>
      </c>
      <c r="AI222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0.0145"},{"id":17,"name":"Train ID","value":"63-02"},{"id":16,"name":"Locomotive ID","value":"4063"},{"id":130,"name":"Impact","value":""},{"id":150,"name":"Time of Event (Mountain Time)","value":"12:05:24"},{"id":151,"name":"Denver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01"/>
        <v>start /low /b %USERPROFILE%\Documents\GitHub\eaglep3\Utilities\DownloadLogsFromS3.py --loco 4063 --day 2017-07-02</v>
      </c>
      <c r="AN222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645</v>
      </c>
      <c r="B223" s="7">
        <v>4064</v>
      </c>
      <c r="C223" s="21" t="s">
        <v>202</v>
      </c>
      <c r="D223" s="21" t="s">
        <v>868</v>
      </c>
      <c r="E223" s="13">
        <v>42918.491782407407</v>
      </c>
      <c r="F223" s="13">
        <v>42918.502569444441</v>
      </c>
      <c r="G223" s="7">
        <v>1</v>
      </c>
      <c r="H223" s="21" t="s">
        <v>998</v>
      </c>
      <c r="I223" s="13">
        <v>42918.503750000003</v>
      </c>
      <c r="J223" s="7">
        <v>0</v>
      </c>
      <c r="K223" s="89" t="str">
        <f t="shared" si="89"/>
        <v>4063/4064</v>
      </c>
      <c r="L223" s="21" t="str">
        <f>VLOOKUP(A223,'Trips&amp;Operators'!$C$1:$G$99999,5,FALSE)</f>
        <v>BROWN JACOB</v>
      </c>
      <c r="M223" s="6">
        <f t="shared" si="90"/>
        <v>1.1805555623141117E-3</v>
      </c>
      <c r="N223" s="7">
        <f t="shared" si="85"/>
        <v>1.7000000097323209</v>
      </c>
      <c r="O223" s="7"/>
      <c r="P223" s="7"/>
      <c r="Q223" s="22"/>
      <c r="R223" s="170"/>
      <c r="S223" s="213">
        <f t="shared" si="88"/>
        <v>0</v>
      </c>
      <c r="T223" s="195" t="str">
        <f t="shared" si="91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92"/>
        <v>https://d0f6bd738d7f1b3e5a7ca70fe4ff75f0.us-east-1.aws.found.io/app/kibana#/discover/Steve-Slow-Train-Analysis-(2080s-and-2083s)?_g=(refreshInterval:(display:Off,pause:!f,section:0,value:0),time:(from:'2017-07-02T10:48:10-0600',mode:absolute,to:'2017-07-02T13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3" s="197" t="str">
        <f>IF(AA223&lt;VLOOKUP(AG223,Variables!$AC$3:$AD$8,2,FALSE),"Y","N")</f>
        <v>Y</v>
      </c>
      <c r="X223" s="197">
        <f t="shared" si="93"/>
        <v>0</v>
      </c>
      <c r="Y223" s="197">
        <f t="shared" si="86"/>
        <v>0.1477</v>
      </c>
      <c r="Z223" s="197">
        <f t="shared" si="87"/>
        <v>0.18229999999999999</v>
      </c>
      <c r="AA223" s="197">
        <f t="shared" si="94"/>
        <v>3.4599999999999992E-2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95"/>
        <v>63</v>
      </c>
      <c r="AE223" s="77" t="str">
        <f t="shared" si="96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223" s="74" t="str">
        <f t="shared" si="97"/>
        <v>"C:\Program Files (x86)\AstroGrep\AstroGrep.exe" /e /r /s /spath="%USERPROFILE%\AppData\Local\Temp\OnboardLogs" /stypes="app*4064*20170702*" /stext=" 18:.+((SYSTEM_STATE.+slice.+state.+changed )|(ment ac)|(multiple cpu faults)|(system.+state.+changed )|(\[timeout)|(PRM\|1\|D)|(kpr)|(kdp)|(train st.+moving)|(\|lc)|(penalty))"</v>
      </c>
      <c r="AG223" s="209" t="str">
        <f t="shared" si="98"/>
        <v>Shuttle/Test</v>
      </c>
      <c r="AH223" s="78" t="str">
        <f t="shared" si="99"/>
        <v>"%USERPROFILE%\Documents\GitHub\eaglep3\Utilities\RefineRTDCRunTimes.py" --tripid 63-02 --locoid 4064 --swversion DE.1.0.9.0 --startMP 204:1477 --initTime 2017-07-02T11:48:10 --startdatetime 2017-07-02T12:03:42 --delay 1 --endMP 204:1823 --enddatetime 2017-07-02T12:05:24 --enforcementcount 0 &gt;&gt;C:\Users\stu\Documents\GitHub\eaglep3-reporting\EC\2017-07-02-refined-times.txt</v>
      </c>
      <c r="AI223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0.1823"},{"id":17,"name":"Train ID","value":"63-02"},{"id":16,"name":"Locomotive ID","value":"4064"},{"id":130,"name":"Impact","value":""},{"id":150,"name":"Time of Event (Mountain Time)","value":"12:05:24"},{"id":151,"name":"Denver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01"/>
        <v>start /low /b %USERPROFILE%\Documents\GitHub\eaglep3\Utilities\DownloadLogsFromS3.py --loco 4064 --day 2017-07-02</v>
      </c>
      <c r="AN223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645</v>
      </c>
      <c r="B224" s="7">
        <v>4064</v>
      </c>
      <c r="C224" s="21" t="s">
        <v>202</v>
      </c>
      <c r="D224" s="21" t="s">
        <v>999</v>
      </c>
      <c r="E224" s="13">
        <v>42918.498136574075</v>
      </c>
      <c r="F224" s="13">
        <v>42918.502569444441</v>
      </c>
      <c r="G224" s="7">
        <v>0</v>
      </c>
      <c r="H224" s="21" t="s">
        <v>1000</v>
      </c>
      <c r="I224" s="13">
        <v>42918.503750000003</v>
      </c>
      <c r="J224" s="7">
        <v>0</v>
      </c>
      <c r="K224" s="89" t="str">
        <f t="shared" si="89"/>
        <v>4063/4064</v>
      </c>
      <c r="L224" s="21" t="str">
        <f>VLOOKUP(A224,'Trips&amp;Operators'!$C$1:$G$99999,5,FALSE)</f>
        <v>BROWN JACOB</v>
      </c>
      <c r="M224" s="6">
        <f t="shared" si="90"/>
        <v>1.1805555623141117E-3</v>
      </c>
      <c r="N224" s="7">
        <f t="shared" si="85"/>
        <v>1.7000000097323209</v>
      </c>
      <c r="O224" s="7"/>
      <c r="P224" s="7"/>
      <c r="Q224" s="22"/>
      <c r="R224" s="170"/>
      <c r="S224" s="213">
        <f t="shared" si="88"/>
        <v>0</v>
      </c>
      <c r="T224" s="195" t="str">
        <f t="shared" si="91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92"/>
        <v>https://d0f6bd738d7f1b3e5a7ca70fe4ff75f0.us-east-1.aws.found.io/app/kibana#/discover/Steve-Slow-Train-Analysis-(2080s-and-2083s)?_g=(refreshInterval:(display:Off,pause:!f,section:0,value:0),time:(from:'2017-07-02T10:57:19-0600',mode:absolute,to:'2017-07-02T13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4" s="197" t="str">
        <f>IF(AA224&lt;VLOOKUP(AG224,Variables!$AC$3:$AD$8,2,FALSE),"Y","N")</f>
        <v>Y</v>
      </c>
      <c r="X224" s="197">
        <f t="shared" si="93"/>
        <v>0</v>
      </c>
      <c r="Y224" s="197">
        <f t="shared" si="86"/>
        <v>0.18140000000000001</v>
      </c>
      <c r="Z224" s="197">
        <f t="shared" si="87"/>
        <v>0.36230000000000001</v>
      </c>
      <c r="AA224" s="197">
        <f t="shared" si="94"/>
        <v>0.18090000000000001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95"/>
        <v>63</v>
      </c>
      <c r="AE224" s="77" t="str">
        <f t="shared" si="96"/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AF224" s="74" t="str">
        <f t="shared" si="97"/>
        <v>"C:\Program Files (x86)\AstroGrep\AstroGrep.exe" /e /r /s /spath="%USERPROFILE%\AppData\Local\Temp\OnboardLogs" /stypes="app*4064*20170702*" /stext=" 18:.+((SYSTEM_STATE.+slice.+state.+changed )|(ment ac)|(multiple cpu faults)|(system.+state.+changed )|(\[timeout)|(PRM\|1\|D)|(kpr)|(kdp)|(train st.+moving)|(\|lc)|(penalty))"</v>
      </c>
      <c r="AG224" s="209" t="str">
        <f t="shared" si="98"/>
        <v>Shuttle/Test</v>
      </c>
      <c r="AH224" s="78" t="str">
        <f t="shared" si="99"/>
        <v>"%USERPROFILE%\Documents\GitHub\eaglep3\Utilities\RefineRTDCRunTimes.py" --tripid 63-02 --locoid 4064 --swversion DE.1.0.9.0 --startMP 204:1814 --initTime 2017-07-02T11:57:19 --startdatetime 2017-07-02T12:03:42 --delay 0 --endMP 204:3623 --enddatetime 2017-07-02T12:05:24 --enforcementcount 0 &gt;&gt;C:\Users\stu\Documents\GitHub\eaglep3-reporting\EC\2017-07-02-refined-times.txt</v>
      </c>
      <c r="AI224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0.3623"},{"id":17,"name":"Train ID","value":"63-02"},{"id":16,"name":"Locomotive ID","value":"4064"},{"id":130,"name":"Impact","value":""},{"id":150,"name":"Time of Event (Mountain Time)","value":"12:05:24"},{"id":151,"name":"Denver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01"/>
        <v>start /low /b %USERPROFILE%\Documents\GitHub\eaglep3\Utilities\DownloadLogsFromS3.py --loco 4064 --day 2017-07-02</v>
      </c>
      <c r="AN224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18:05:24"},{"id":29,"name":"Sharepoint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714</v>
      </c>
      <c r="B225" s="7">
        <v>4016</v>
      </c>
      <c r="C225" s="21" t="s">
        <v>202</v>
      </c>
      <c r="D225" s="21" t="s">
        <v>1001</v>
      </c>
      <c r="E225" s="13">
        <v>42918.211516203701</v>
      </c>
      <c r="F225" s="13">
        <v>25568.708333333332</v>
      </c>
      <c r="G225" s="7">
        <v>1</v>
      </c>
      <c r="H225" s="21" t="s">
        <v>612</v>
      </c>
      <c r="I225" s="13">
        <v>25568.708333333332</v>
      </c>
      <c r="J225" s="7">
        <v>0</v>
      </c>
      <c r="K225" s="89" t="str">
        <f t="shared" si="89"/>
        <v>4015/4016</v>
      </c>
      <c r="L225" s="21" t="str">
        <f>VLOOKUP(A225,'Trips&amp;Operators'!$C$1:$G$99999,5,FALSE)</f>
        <v>CHANDLER KELVIN</v>
      </c>
      <c r="M225" s="6">
        <f t="shared" si="90"/>
        <v>0</v>
      </c>
      <c r="N225" s="7">
        <f t="shared" si="85"/>
        <v>0</v>
      </c>
      <c r="O225" s="7"/>
      <c r="P225" s="7"/>
      <c r="Q225" s="22"/>
      <c r="R225" s="170"/>
      <c r="S225" s="213">
        <f t="shared" si="88"/>
        <v>0</v>
      </c>
      <c r="T225" s="195" t="str">
        <f t="shared" si="91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92"/>
        <v>https://d0f6bd738d7f1b3e5a7ca70fe4ff75f0.us-east-1.aws.found.io/app/kibana#/discover/Steve-Slow-Train-Analysis-(2080s-and-2083s)?_g=(refreshInterval:(display:Off,pause:!f,section:0,value:0),time:(from:'2017-07-02T04:04:35-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5" s="197" t="str">
        <f>IF(AA225&lt;VLOOKUP(AG225,Variables!$AC$3:$AD$8,2,FALSE),"Y","N")</f>
        <v>Y</v>
      </c>
      <c r="X225" s="197">
        <f t="shared" si="93"/>
        <v>4</v>
      </c>
      <c r="Y225" s="197">
        <f t="shared" si="86"/>
        <v>0.115</v>
      </c>
      <c r="Z225" s="197">
        <f t="shared" si="87"/>
        <v>0.11559999999999999</v>
      </c>
      <c r="AA225" s="197">
        <f t="shared" si="94"/>
        <v>5.9999999999998943E-4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95"/>
        <v>67</v>
      </c>
      <c r="AE225" s="77" t="str">
        <f t="shared" si="96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5" s="74" t="str">
        <f t="shared" si="97"/>
        <v>"C:\Program Files (x86)\AstroGrep\AstroGrep.exe" /e /r /s /spath="%USERPROFILE%\AppData\Local\Temp\OnboardLogs" /stypes="app*4016*19691231*" /stext=" 23:.+((SYSTEM_STATE.+slice.+state.+changed )|(ment ac)|(multiple cpu faults)|(system.+state.+changed )|(\[timeout)|(PRM\|1\|D)|(kpr)|(kdp)|(train st.+moving)|(\|lc)|(penalty))"</v>
      </c>
      <c r="AG225" s="209" t="str">
        <f t="shared" si="98"/>
        <v>Shuttle/Test</v>
      </c>
      <c r="AH225" s="78" t="str">
        <f t="shared" si="99"/>
        <v>"%USERPROFILE%\Documents\GitHub\eaglep3\Utilities\RefineRTDCRunTimes.py" --tripid 67-02 --locoid 4016 --swversion DE.1.0.9.0 --startMP 204:1150 --initTime 2017-07-02T05:04:35 --startdatetime 1969-12-31T17:00:00 --delay 1 --endMP 204:1156 --enddatetime 1969-12-31T17:00:00 --enforcementcount 0 &gt;&gt;C:\Users\stu\Documents\GitHub\eaglep3-reporting\EC\2017-07-02-refined-times.txt</v>
      </c>
      <c r="AI225" s="96" t="str">
        <f t="shared" si="100"/>
        <v>echo {"issue":{"subject":"","project_id":79,"tracker_id":40,"status_id":1,"priority_id":2,"assigned_to_id":23,"start_date":"1969-12-31","description":"","custom_fields":[{"id":1,"name":"Subdivision","value":"Shuttle/Test"},{"id":4,"name":"Milepost","value":"0.1156"},{"id":17,"name":"Train ID","value":"67-02"},{"id":16,"name":"Locomotive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01"/>
        <v>start /low /b %USERPROFILE%\Documents\GitHub\eaglep3\Utilities\DownloadLogsFromS3.py --loco 4016 --day 1969-12-31</v>
      </c>
      <c r="AN225" s="151" t="str">
        <f t="shared" si="10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810</v>
      </c>
      <c r="B226" s="7">
        <v>4058</v>
      </c>
      <c r="C226" s="21" t="s">
        <v>202</v>
      </c>
      <c r="D226" s="21" t="s">
        <v>1002</v>
      </c>
      <c r="E226" s="13">
        <v>42918.697048611109</v>
      </c>
      <c r="F226" s="13">
        <v>42918.70584490741</v>
      </c>
      <c r="G226" s="7">
        <v>2</v>
      </c>
      <c r="H226" s="21" t="s">
        <v>606</v>
      </c>
      <c r="I226" s="13">
        <v>42918.713310185187</v>
      </c>
      <c r="J226" s="7">
        <v>0</v>
      </c>
      <c r="K226" s="89" t="str">
        <f t="shared" si="89"/>
        <v>4057/4058</v>
      </c>
      <c r="L226" s="21" t="str">
        <f>VLOOKUP(A226,'Trips&amp;Operators'!$C$1:$G$99999,5,FALSE)</f>
        <v>ROBINSON KADDIBA</v>
      </c>
      <c r="M226" s="6">
        <f t="shared" si="90"/>
        <v>7.4652777766459621E-3</v>
      </c>
      <c r="N226" s="7">
        <f t="shared" si="85"/>
        <v>10.749999998370185</v>
      </c>
      <c r="O226" s="7"/>
      <c r="P226" s="7"/>
      <c r="Q226" s="22"/>
      <c r="R226" s="170"/>
      <c r="S226" s="213">
        <f t="shared" si="88"/>
        <v>1</v>
      </c>
      <c r="T226" s="195" t="str">
        <f t="shared" si="91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92"/>
        <v>https://d0f6bd738d7f1b3e5a7ca70fe4ff75f0.us-east-1.aws.found.io/app/kibana#/discover/Steve-Slow-Train-Analysis-(2080s-and-2083s)?_g=(refreshInterval:(display:Off,pause:!f,section:0,value:0),time:(from:'2017-07-02T15:43:45-0600',mode:absolute,to:'2017-07-02T18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6" s="197" t="str">
        <f>IF(AA226&lt;VLOOKUP(AG226,Variables!$AC$3:$AD$8,2,FALSE),"Y","N")</f>
        <v>Y</v>
      </c>
      <c r="X226" s="197">
        <f t="shared" si="93"/>
        <v>2</v>
      </c>
      <c r="Y226" s="197">
        <f t="shared" si="86"/>
        <v>0.14829999999999999</v>
      </c>
      <c r="Z226" s="197">
        <f t="shared" si="87"/>
        <v>2.331</v>
      </c>
      <c r="AA226" s="197">
        <f t="shared" si="94"/>
        <v>2.1827000000000001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95"/>
        <v>69</v>
      </c>
      <c r="AE226" s="77" t="str">
        <f t="shared" si="96"/>
        <v>aws s3 cp s3://rtdc.mdm.uploadarchive.raw/RTDC4058/ "%USERPROFILE%\AppData\Local\Temp\OnboardLogs"\RTDC4058\2017-07-02 --exclude "*" --recursive --include "*20170702*" &amp; "%USERPROFILE%\Documents\GitHub\mrs-test-scripts\Headless Mode &amp; Sideloading\WalkAndUnGZ.bat" "%USERPROFILE%\AppData\Local\Temp\OnboardLogs"\RTDC4058\2017-07-02 &amp; aws s3 cp s3://rtdc.mdm.uploadarchive.raw/RTDC4058/ "%USERPROFILE%\AppData\Local\Temp\OnboardLogs"\RTDC4058\2017-07-03 --exclude "*" --recursive --include "*20170703*" &amp; "%USERPROFILE%\Documents\GitHub\mrs-test-scripts\Headless Mode &amp; Sideloading\WalkAndUnGZ.bat" "%USERPROFILE%\AppData\Local\Temp\OnboardLogs"\RTDC4058\2017-07-03</v>
      </c>
      <c r="AF226" s="74" t="str">
        <f t="shared" si="97"/>
        <v>"C:\Program Files (x86)\AstroGrep\AstroGrep.exe" /e /r /s /spath="%USERPROFILE%\AppData\Local\Temp\OnboardLogs" /stypes="app*4058*20170702*" /stext=" 23:.+((SYSTEM_STATE.+slice.+state.+changed )|(ment ac)|(multiple cpu faults)|(system.+state.+changed )|(\[timeout)|(PRM\|1\|D)|(kpr)|(kdp)|(train st.+moving)|(\|lc)|(penalty))"</v>
      </c>
      <c r="AG226" s="209" t="str">
        <f t="shared" si="98"/>
        <v>Shuttle/Test</v>
      </c>
      <c r="AH226" s="78" t="str">
        <f t="shared" si="99"/>
        <v>"%USERPROFILE%\Documents\GitHub\eaglep3\Utilities\RefineRTDCRunTimes.py" --tripid 69-02 --locoid 4058 --swversion DE.1.0.9.0 --startMP 204:1483 --initTime 2017-07-02T16:43:45 --startdatetime 2017-07-02T16:56:25 --delay 2 --endMP 300:23310 --enddatetime 2017-07-02T17:07:10 --enforcementcount 0 &gt;&gt;C:\Users\stu\Documents\GitHub\eaglep3-reporting\EC\2017-07-02-refined-times.txt</v>
      </c>
      <c r="AI226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2.331"},{"id":17,"name":"Train ID","value":"69-02"},{"id":16,"name":"Locomotive ID","value":"4058"},{"id":130,"name":"Impact","value":""},{"id":150,"name":"Time of Event (Mountain Time)","value":"17:07:10"},{"id":151,"name":"Denver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01"/>
        <v>start /low /b %USERPROFILE%\Documents\GitHub\eaglep3\Utilities\DownloadLogsFromS3.py --loco 4058 --day 2017-07-02</v>
      </c>
      <c r="AN226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811</v>
      </c>
      <c r="B227" s="7">
        <v>4015</v>
      </c>
      <c r="C227" s="21" t="s">
        <v>202</v>
      </c>
      <c r="D227" s="21" t="s">
        <v>1003</v>
      </c>
      <c r="E227" s="13">
        <v>42918.726574074077</v>
      </c>
      <c r="F227" s="13">
        <v>42918.727858796294</v>
      </c>
      <c r="G227" s="7">
        <v>1</v>
      </c>
      <c r="H227" s="21" t="s">
        <v>358</v>
      </c>
      <c r="I227" s="13">
        <v>42918.729143518518</v>
      </c>
      <c r="J227" s="7">
        <v>0</v>
      </c>
      <c r="K227" s="89" t="str">
        <f t="shared" si="89"/>
        <v>4015/4016</v>
      </c>
      <c r="L227" s="21" t="str">
        <f>VLOOKUP(A227,'Trips&amp;Operators'!$C$1:$G$99999,5,FALSE)</f>
        <v>LOPES KIMBERLY</v>
      </c>
      <c r="M227" s="6">
        <f t="shared" si="90"/>
        <v>1.2847222242271528E-3</v>
      </c>
      <c r="N227" s="7">
        <f t="shared" si="85"/>
        <v>1.8500000028871</v>
      </c>
      <c r="O227" s="7"/>
      <c r="P227" s="7"/>
      <c r="Q227" s="22"/>
      <c r="R227" s="170"/>
      <c r="S227" s="213">
        <f t="shared" si="88"/>
        <v>0</v>
      </c>
      <c r="T227" s="195" t="str">
        <f t="shared" si="91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92"/>
        <v>https://d0f6bd738d7f1b3e5a7ca70fe4ff75f0.us-east-1.aws.found.io/app/kibana#/discover/Steve-Slow-Train-Analysis-(2080s-and-2083s)?_g=(refreshInterval:(display:Off,pause:!f,section:0,value:0),time:(from:'2017-07-02T16:26:16-0600',mode:absolute,to:'2017-07-02T18:29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197" t="str">
        <f>IF(AA227&lt;VLOOKUP(AG227,Variables!$AC$3:$AD$8,2,FALSE),"Y","N")</f>
        <v>Y</v>
      </c>
      <c r="X227" s="197">
        <f t="shared" si="93"/>
        <v>2</v>
      </c>
      <c r="Y227" s="197">
        <f t="shared" si="86"/>
        <v>0.32050000000000001</v>
      </c>
      <c r="Z227" s="197">
        <f t="shared" si="87"/>
        <v>1.41E-2</v>
      </c>
      <c r="AA227" s="197">
        <f t="shared" si="94"/>
        <v>0.30640000000000001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95"/>
        <v>71</v>
      </c>
      <c r="AE227" s="77" t="str">
        <f t="shared" si="96"/>
        <v>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 &amp; 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</v>
      </c>
      <c r="AF227" s="74" t="str">
        <f t="shared" si="97"/>
        <v>"C:\Program Files (x86)\AstroGrep\AstroGrep.exe" /e /r /s /spath="%USERPROFILE%\AppData\Local\Temp\OnboardLogs" /stypes="app*4015*20170702*" /stext=" 23:.+((SYSTEM_STATE.+slice.+state.+changed )|(ment ac)|(multiple cpu faults)|(system.+state.+changed )|(\[timeout)|(PRM\|1\|D)|(kpr)|(kdp)|(train st.+moving)|(\|lc)|(penalty))"</v>
      </c>
      <c r="AG227" s="209" t="str">
        <f t="shared" si="98"/>
        <v>Shuttle/Test</v>
      </c>
      <c r="AH227" s="78" t="str">
        <f t="shared" si="99"/>
        <v>"%USERPROFILE%\Documents\GitHub\eaglep3\Utilities\RefineRTDCRunTimes.py" --tripid 71-02 --locoid 4015 --swversion DE.1.0.9.0 --startMP 204:3205 --initTime 2017-07-02T17:26:16 --startdatetime 2017-07-02T17:28:07 --delay 1 --endMP 204:141 --enddatetime 2017-07-02T17:29:58 --enforcementcount 0 &gt;&gt;C:\Users\stu\Documents\GitHub\eaglep3-reporting\EC\2017-07-02-refined-times.txt</v>
      </c>
      <c r="AI227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0.0141"},{"id":17,"name":"Train ID","value":"71-02"},{"id":16,"name":"Locomotive ID","value":"4015"},{"id":130,"name":"Impact","value":""},{"id":150,"name":"Time of Event (Mountain Time)","value":"17:29:58"},{"id":151,"name":"Denver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01"/>
        <v>start /low /b %USERPROFILE%\Documents\GitHub\eaglep3\Utilities\DownloadLogsFromS3.py --loco 4015 --day 2017-07-02</v>
      </c>
      <c r="AN227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23:29:58"},{"id":29,"name":"Sharepoint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811</v>
      </c>
      <c r="B228" s="7">
        <v>4016</v>
      </c>
      <c r="C228" s="21" t="s">
        <v>202</v>
      </c>
      <c r="D228" s="21" t="s">
        <v>1004</v>
      </c>
      <c r="E228" s="13">
        <v>42918.697777777779</v>
      </c>
      <c r="F228" s="13">
        <v>42918.727858796294</v>
      </c>
      <c r="G228" s="7">
        <v>18</v>
      </c>
      <c r="H228" s="21" t="s">
        <v>1005</v>
      </c>
      <c r="I228" s="13">
        <v>42918.729143518518</v>
      </c>
      <c r="J228" s="7">
        <v>0</v>
      </c>
      <c r="K228" s="89" t="str">
        <f t="shared" si="89"/>
        <v>4015/4016</v>
      </c>
      <c r="L228" s="21" t="str">
        <f>VLOOKUP(A228,'Trips&amp;Operators'!$C$1:$G$99999,5,FALSE)</f>
        <v>LOPES KIMBERLY</v>
      </c>
      <c r="M228" s="6">
        <f t="shared" si="90"/>
        <v>1.2847222242271528E-3</v>
      </c>
      <c r="N228" s="7">
        <f t="shared" si="85"/>
        <v>1.8500000028871</v>
      </c>
      <c r="O228" s="7"/>
      <c r="P228" s="7"/>
      <c r="Q228" s="22"/>
      <c r="R228" s="170"/>
      <c r="S228" s="213">
        <f t="shared" si="88"/>
        <v>0</v>
      </c>
      <c r="T228" s="195" t="str">
        <f t="shared" si="91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92"/>
        <v>https://d0f6bd738d7f1b3e5a7ca70fe4ff75f0.us-east-1.aws.found.io/app/kibana#/discover/Steve-Slow-Train-Analysis-(2080s-and-2083s)?_g=(refreshInterval:(display:Off,pause:!f,section:0,value:0),time:(from:'2017-07-02T15:44:48-0600',mode:absolute,to:'2017-07-02T18:29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8" s="197" t="str">
        <f>IF(AA228&lt;VLOOKUP(AG228,Variables!$AC$3:$AD$8,2,FALSE),"Y","N")</f>
        <v>Y</v>
      </c>
      <c r="X228" s="197">
        <f t="shared" si="93"/>
        <v>0</v>
      </c>
      <c r="Y228" s="197">
        <f t="shared" si="86"/>
        <v>0.1148</v>
      </c>
      <c r="Z228" s="197">
        <f t="shared" si="87"/>
        <v>0.3528</v>
      </c>
      <c r="AA228" s="197">
        <f t="shared" si="94"/>
        <v>0.23799999999999999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95"/>
        <v>71</v>
      </c>
      <c r="AE228" s="77" t="str">
        <f t="shared" si="9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228" s="74" t="str">
        <f t="shared" si="97"/>
        <v>"C:\Program Files (x86)\AstroGrep\AstroGrep.exe" /e /r /s /spath="%USERPROFILE%\AppData\Local\Temp\OnboardLogs" /stypes="app*4016*20170702*" /stext=" 23:.+((SYSTEM_STATE.+slice.+state.+changed )|(ment ac)|(multiple cpu faults)|(system.+state.+changed )|(\[timeout)|(PRM\|1\|D)|(kpr)|(kdp)|(train st.+moving)|(\|lc)|(penalty))"</v>
      </c>
      <c r="AG228" s="209" t="str">
        <f t="shared" si="98"/>
        <v>Shuttle/Test</v>
      </c>
      <c r="AH228" s="78" t="str">
        <f t="shared" si="99"/>
        <v>"%USERPROFILE%\Documents\GitHub\eaglep3\Utilities\RefineRTDCRunTimes.py" --tripid 71-02 --locoid 4016 --swversion DE.1.0.9.0 --startMP 204:1148 --initTime 2017-07-02T16:44:48 --startdatetime 2017-07-02T17:28:07 --delay 18 --endMP 204:3528 --enddatetime 2017-07-02T17:29:58 --enforcementcount 0 &gt;&gt;C:\Users\stu\Documents\GitHub\eaglep3-reporting\EC\2017-07-02-refined-times.txt</v>
      </c>
      <c r="AI228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0.3528"},{"id":17,"name":"Train ID","value":"71-02"},{"id":16,"name":"Locomotive ID","value":"4016"},{"id":130,"name":"Impact","value":""},{"id":150,"name":"Time of Event (Mountain Time)","value":"17:29:58"},{"id":151,"name":"Denver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01"/>
        <v>start /low /b %USERPROFILE%\Documents\GitHub\eaglep3\Utilities\DownloadLogsFromS3.py --loco 4016 --day 2017-07-02</v>
      </c>
      <c r="AN228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23:29:58"},{"id":29,"name":"Sharepoint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811</v>
      </c>
      <c r="B229" s="7">
        <v>4016</v>
      </c>
      <c r="C229" s="21" t="s">
        <v>202</v>
      </c>
      <c r="D229" s="21" t="s">
        <v>1006</v>
      </c>
      <c r="E229" s="13">
        <v>42918.697777777779</v>
      </c>
      <c r="F229" s="13">
        <v>42918.727858796294</v>
      </c>
      <c r="G229" s="7">
        <v>16</v>
      </c>
      <c r="H229" s="21" t="s">
        <v>1005</v>
      </c>
      <c r="I229" s="13">
        <v>42918.729143518518</v>
      </c>
      <c r="J229" s="7">
        <v>0</v>
      </c>
      <c r="K229" s="89" t="str">
        <f t="shared" si="89"/>
        <v>4015/4016</v>
      </c>
      <c r="L229" s="21" t="str">
        <f>VLOOKUP(A229,'Trips&amp;Operators'!$C$1:$G$99999,5,FALSE)</f>
        <v>LOPES KIMBERLY</v>
      </c>
      <c r="M229" s="6">
        <f t="shared" si="90"/>
        <v>1.2847222242271528E-3</v>
      </c>
      <c r="N229" s="7">
        <f t="shared" si="85"/>
        <v>1.8500000028871</v>
      </c>
      <c r="O229" s="7"/>
      <c r="P229" s="7"/>
      <c r="Q229" s="22"/>
      <c r="R229" s="170"/>
      <c r="S229" s="213">
        <f t="shared" si="88"/>
        <v>0</v>
      </c>
      <c r="T229" s="195" t="str">
        <f t="shared" si="91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92"/>
        <v>https://d0f6bd738d7f1b3e5a7ca70fe4ff75f0.us-east-1.aws.found.io/app/kibana#/discover/Steve-Slow-Train-Analysis-(2080s-and-2083s)?_g=(refreshInterval:(display:Off,pause:!f,section:0,value:0),time:(from:'2017-07-02T15:44:48-0600',mode:absolute,to:'2017-07-02T18:29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197" t="str">
        <f>IF(AA229&lt;VLOOKUP(AG229,Variables!$AC$3:$AD$8,2,FALSE),"Y","N")</f>
        <v>Y</v>
      </c>
      <c r="X229" s="197">
        <f t="shared" si="93"/>
        <v>0</v>
      </c>
      <c r="Y229" s="197">
        <f t="shared" si="86"/>
        <v>0.1154</v>
      </c>
      <c r="Z229" s="197">
        <f t="shared" si="87"/>
        <v>0.3528</v>
      </c>
      <c r="AA229" s="197">
        <f t="shared" si="94"/>
        <v>0.2374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95"/>
        <v>71</v>
      </c>
      <c r="AE229" s="77" t="str">
        <f t="shared" si="96"/>
        <v>aws s3 cp s3://rtdc.mdm.uploadarchive.raw/RTDC4016/ "%USERPROFILE%\AppData\Local\Temp\OnboardLogs"\RTDC4016\2017-07-02 --exclude "*" --recursive --include "*20170702*" &amp; "%USERPROFILE%\Documents\GitHub\mrs-test-scripts\Headless Mode &amp; Sideloading\WalkAndUnGZ.bat" "%USERPROFILE%\AppData\Local\Temp\OnboardLogs"\RTDC4016\2017-07-02 &amp; aws s3 cp s3://rtdc.mdm.uploadarchive.raw/RTDC4016/ "%USERPROFILE%\AppData\Local\Temp\OnboardLogs"\RTDC4016\2017-07-03 --exclude "*" --recursive --include "*20170703*" &amp; "%USERPROFILE%\Documents\GitHub\mrs-test-scripts\Headless Mode &amp; Sideloading\WalkAndUnGZ.bat" "%USERPROFILE%\AppData\Local\Temp\OnboardLogs"\RTDC4016\2017-07-03</v>
      </c>
      <c r="AF229" s="74" t="str">
        <f t="shared" si="97"/>
        <v>"C:\Program Files (x86)\AstroGrep\AstroGrep.exe" /e /r /s /spath="%USERPROFILE%\AppData\Local\Temp\OnboardLogs" /stypes="app*4016*20170702*" /stext=" 23:.+((SYSTEM_STATE.+slice.+state.+changed )|(ment ac)|(multiple cpu faults)|(system.+state.+changed )|(\[timeout)|(PRM\|1\|D)|(kpr)|(kdp)|(train st.+moving)|(\|lc)|(penalty))"</v>
      </c>
      <c r="AG229" s="209" t="str">
        <f t="shared" si="98"/>
        <v>Shuttle/Test</v>
      </c>
      <c r="AH229" s="78" t="str">
        <f t="shared" si="99"/>
        <v>"%USERPROFILE%\Documents\GitHub\eaglep3\Utilities\RefineRTDCRunTimes.py" --tripid 71-02 --locoid 4016 --swversion DE.1.0.9.0 --startMP 204:1154 --initTime 2017-07-02T16:44:48 --startdatetime 2017-07-02T17:28:07 --delay 16 --endMP 204:3528 --enddatetime 2017-07-02T17:29:58 --enforcementcount 0 &gt;&gt;C:\Users\stu\Documents\GitHub\eaglep3-reporting\EC\2017-07-02-refined-times.txt</v>
      </c>
      <c r="AI229" s="96" t="str">
        <f t="shared" si="100"/>
        <v>echo {"issue":{"subject":"","project_id":79,"tracker_id":40,"status_id":1,"priority_id":2,"assigned_to_id":23,"start_date":"2017-07-02","description":"","custom_fields":[{"id":1,"name":"Subdivision","value":"Shuttle/Test"},{"id":4,"name":"Milepost","value":"0.3528"},{"id":17,"name":"Train ID","value":"71-02"},{"id":16,"name":"Locomotive ID","value":"4016"},{"id":130,"name":"Impact","value":""},{"id":150,"name":"Time of Event (Mountain Time)","value":"17:29:58"},{"id":151,"name":"Denver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01"/>
        <v>start /low /b %USERPROFILE%\Documents\GitHub\eaglep3\Utilities\DownloadLogsFromS3.py --loco 4016 --day 2017-07-02</v>
      </c>
      <c r="AN229" s="151" t="str">
        <f t="shared" si="10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23:29:58"},{"id":29,"name":"Sharepoint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</sheetData>
  <autoFilter ref="A12:AG271"/>
  <sortState ref="A13:AN233">
    <sortCondition ref="AG13:AG233"/>
    <sortCondition ref="AD13:AD233"/>
  </sortState>
  <mergeCells count="1">
    <mergeCell ref="A11:P11"/>
  </mergeCells>
  <conditionalFormatting sqref="W11:W12 W276:X1048576 W13:X229">
    <cfRule type="cellIs" dxfId="10" priority="415" operator="equal">
      <formula>"Y"</formula>
    </cfRule>
  </conditionalFormatting>
  <conditionalFormatting sqref="X276:X1048576 X13:X229">
    <cfRule type="cellIs" dxfId="9" priority="398" operator="greaterThan">
      <formula>1</formula>
    </cfRule>
  </conditionalFormatting>
  <conditionalFormatting sqref="X276:X1048576 X12:X229">
    <cfRule type="cellIs" dxfId="8" priority="395" operator="equal">
      <formula>0</formula>
    </cfRule>
  </conditionalFormatting>
  <conditionalFormatting sqref="A13:S229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AK13:AK229</xm:sqref>
        </x14:dataValidation>
        <x14:dataValidation type="list" allowBlank="1" showInputMessage="1" showErrorMessage="1">
          <x14:formula1>
            <xm:f>'Redmine List Values'!$C$2:$C$15</xm:f>
          </x14:formula1>
          <xm:sqref>AL13:AL229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61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- 2017-07-02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464</v>
      </c>
      <c r="X6" s="208" t="s">
        <v>457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42918.21802083333</v>
      </c>
      <c r="B7" s="30" t="s">
        <v>625</v>
      </c>
      <c r="C7" s="30" t="s">
        <v>626</v>
      </c>
      <c r="D7" s="30" t="s">
        <v>96</v>
      </c>
      <c r="E7" s="30" t="s">
        <v>187</v>
      </c>
      <c r="F7" s="42">
        <v>0</v>
      </c>
      <c r="G7" s="42">
        <v>56</v>
      </c>
      <c r="H7" s="42">
        <v>27342</v>
      </c>
      <c r="I7" s="42">
        <v>27207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-75.504000000000005</v>
      </c>
      <c r="N7" s="133" t="str">
        <f>VLOOKUP(C7,'Trips&amp;Operators'!$C$1:$G$99999,5,FALSE)</f>
        <v>MAYBERRY BILL</v>
      </c>
      <c r="O7" s="203" t="s">
        <v>180</v>
      </c>
      <c r="P7" s="134" t="s">
        <v>485</v>
      </c>
      <c r="Q7" s="30"/>
      <c r="R7" s="81" t="str">
        <f>VLOOKUP(C7,'Train Runs'!$A$13:$AE$9930,31,0)</f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S7" s="84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-07-02T03:39:38-0600',mode:absolute,to:'2017-07-02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/stypes="*4051*201707021*" /stext=" 11:.+((SYSTEM_STATE.+slice.+state.+changed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4051</v>
      </c>
      <c r="V7" s="31">
        <f t="shared" ref="V7:V38" si="3">A7-utc_offset/24</f>
        <v>42918.46802083333</v>
      </c>
      <c r="W7" s="45" t="str">
        <f t="shared" ref="W7:W38" si="4">DetSubdiv(C7)</f>
        <v>EC</v>
      </c>
      <c r="X7" s="22">
        <f t="shared" ref="X7:X38" si="5">VALUE(LEFT(C7,LEN(C7)-3))</f>
        <v>104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arrival","project_id":79,"tracker_id":40,"status_id":1,"priority_id":2,"assigned_to_id":23,"start_date":"2017-07-02","description":"","custom_fields":[{"id":1,"name":"Subdivision","value":"EC"},{"id":4,"name":"Milepost","value":"2.735"},{"id":17,"name":"Train ID","value":"104-02"},{"id":16,"name":"Locomotive ID","value":"4051"},{"id":130,"name":"Impact","value":""},{"id":150,"name":"Time of Event (Mountain Time)","value":"05:13:57"},{"id":151,"name":"Denver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/c/Users/stu/AppData/Local/Temp/OnboardLogs/RTDC4051 --include="*4051*201707021*"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"%USERPROFILE%\AppData\Local\Temp\OnboardLogs"\RTDC4051\*4051*201707021* &gt;&gt; 2017-07-02-SliceDisagreementCheck.txt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4051 --day 2017-07-02</v>
      </c>
    </row>
    <row r="8" spans="1:32" s="1" customFormat="1" x14ac:dyDescent="0.25">
      <c r="A8" s="31">
        <v>42919.064895833333</v>
      </c>
      <c r="B8" s="30" t="s">
        <v>417</v>
      </c>
      <c r="C8" s="30" t="s">
        <v>685</v>
      </c>
      <c r="D8" s="30" t="s">
        <v>96</v>
      </c>
      <c r="E8" s="30" t="s">
        <v>187</v>
      </c>
      <c r="F8" s="42">
        <v>0</v>
      </c>
      <c r="G8" s="42">
        <v>58</v>
      </c>
      <c r="H8" s="42">
        <v>27331</v>
      </c>
      <c r="I8" s="42">
        <v>27285</v>
      </c>
      <c r="J8" s="30" t="s">
        <v>188</v>
      </c>
      <c r="K8" s="42">
        <v>27350</v>
      </c>
      <c r="L8" s="131" t="s">
        <v>51</v>
      </c>
      <c r="M8" s="132">
        <f t="shared" si="0"/>
        <v>-34.32</v>
      </c>
      <c r="N8" s="133" t="str">
        <f>VLOOKUP(C8,'Trips&amp;Operators'!$C$1:$G$99999,5,FALSE)</f>
        <v>PERKINS DARREN</v>
      </c>
      <c r="O8" s="203" t="s">
        <v>180</v>
      </c>
      <c r="P8" s="134" t="s">
        <v>485</v>
      </c>
      <c r="Q8" s="30"/>
      <c r="R8" s="81" t="str">
        <f>VLOOKUP(C8,'Train Runs'!$A$13:$AE$9930,31,0)</f>
        <v>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 &amp; aws s3 cp s3://rtdc.mdm.uploadarchive.raw/RTDC4043/ "%USERPROFILE%\AppData\Local\Temp\OnboardLogs"\RTDC4043\2017-07-04 --exclude "*" --recursive --include "*20170704*" &amp; "%USERPROFILE%\Documents\GitHub\mrs-test-scripts\Headless Mode &amp; Sideloading\WalkAndUnGZ.bat" "%USERPROFILE%\AppData\Local\Temp\OnboardLogs"\RTDC4043\2017-07-04</v>
      </c>
      <c r="S8" s="84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-07-02T23:50:07-0600',mode:absolute,to:'2017-07-03T02:41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86" t="str">
        <f t="shared" si="1"/>
        <v>"C:\Program Files (x86)\AstroGrep\AstroGrep.exe" /e /r /s /spath="%USERPROFILE%\AppData\Local\Temp\OnboardLogs" /stypes="*4043*201707030*" /stext=" 07:.+((SYSTEM_STATE.+slice.+state.+changed )|(ment ac)|(multiple cpu faults)|(system.+state.+changed )|(\[timeout)|(PRM\|1\|D)|(kpr)|(kdp)|(train st.+moving)|(\|lc)|(penalty))"</v>
      </c>
      <c r="U8" s="9" t="str">
        <f t="shared" si="2"/>
        <v>4043</v>
      </c>
      <c r="V8" s="31">
        <f t="shared" si="3"/>
        <v>42919.314895833333</v>
      </c>
      <c r="W8" s="45" t="str">
        <f t="shared" si="4"/>
        <v>EC</v>
      </c>
      <c r="X8" s="22">
        <f t="shared" si="5"/>
        <v>242</v>
      </c>
      <c r="Y8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arrival","project_id":79,"tracker_id":40,"status_id":1,"priority_id":2,"assigned_to_id":23,"start_date":"2017-07-03","description":"","custom_fields":[{"id":1,"name":"Subdivision","value":"EC"},{"id":4,"name":"Milepost","value":"2.735"},{"id":17,"name":"Train ID","value":"242-02"},{"id":16,"name":"Locomotive ID","value":"4043"},{"id":130,"name":"Impact","value":""},{"id":150,"name":"Time of Event (Mountain Time)","value":"01:33:27"},{"id":151,"name":"Denver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/c/Users/stu/AppData/Local/Temp/OnboardLogs/RTDC4043 --include="*4043*201707030*"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"%USERPROFILE%\AppData\Local\Temp\OnboardLogs"\RTDC4043\*4043*201707030* &gt;&gt; 2017-07-02-SliceDisagreementCheck.txt</v>
      </c>
      <c r="AE8" s="145" t="str">
        <f t="shared" ref="AE8:AE68" si="9">"start /low /b "&amp;dls3logs&amp;" --loco "&amp;U8&amp;" --day "&amp;TEXT(V8,"YYYY-MM-DD")</f>
        <v>start /low /b %USERPROFILE%\Documents\GitHub\eaglep3\Utilities\DownloadLogsFromS3.py --loco 4043 --day 2017-07-03</v>
      </c>
    </row>
    <row r="9" spans="1:32" s="1" customFormat="1" x14ac:dyDescent="0.25">
      <c r="A9" s="31">
        <v>42918.217581018522</v>
      </c>
      <c r="B9" s="30" t="s">
        <v>625</v>
      </c>
      <c r="C9" s="30" t="s">
        <v>626</v>
      </c>
      <c r="D9" s="30" t="s">
        <v>49</v>
      </c>
      <c r="E9" s="30" t="s">
        <v>187</v>
      </c>
      <c r="F9" s="42">
        <v>110</v>
      </c>
      <c r="G9" s="42">
        <v>177</v>
      </c>
      <c r="H9" s="42">
        <v>27618</v>
      </c>
      <c r="I9" s="42">
        <v>27358</v>
      </c>
      <c r="J9" s="30" t="s">
        <v>188</v>
      </c>
      <c r="K9" s="42">
        <v>27350</v>
      </c>
      <c r="L9" s="131" t="s">
        <v>51</v>
      </c>
      <c r="M9" s="132">
        <f t="shared" si="0"/>
        <v>4.2240000000000002</v>
      </c>
      <c r="N9" s="133" t="str">
        <f>VLOOKUP(C9,'Trips&amp;Operators'!$C$1:$G$99999,5,FALSE)</f>
        <v>MAYBERRY BILL</v>
      </c>
      <c r="O9" s="203" t="s">
        <v>180</v>
      </c>
      <c r="P9" s="134" t="s">
        <v>485</v>
      </c>
      <c r="Q9" s="30"/>
      <c r="R9" s="81" t="str">
        <f>VLOOKUP(C9,'Train Runs'!$A$13:$AE$9930,31,0)</f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S9" s="84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-07-02T03:39:38-0600',mode:absolute,to:'2017-07-02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9" s="86" t="str">
        <f t="shared" si="1"/>
        <v>"C:\Program Files (x86)\AstroGrep\AstroGrep.exe" /e /r /s /spath="%USERPROFILE%\AppData\Local\Temp\OnboardLogs" /stypes="*4051*201707021*" /stext=" 11:.+((SYSTEM_STATE.+slice.+state.+changed )|(ment ac)|(multiple cpu faults)|(system.+state.+changed )|(\[timeout)|(PRM\|1\|D)|(kpr)|(kdp)|(train st.+moving)|(\|lc)|(penalty))"</v>
      </c>
      <c r="U9" s="9" t="str">
        <f t="shared" si="2"/>
        <v>4051</v>
      </c>
      <c r="V9" s="31">
        <f t="shared" si="3"/>
        <v>42918.467581018522</v>
      </c>
      <c r="W9" s="45" t="str">
        <f t="shared" si="4"/>
        <v>EC</v>
      </c>
      <c r="X9" s="22">
        <f t="shared" si="5"/>
        <v>104</v>
      </c>
      <c r="Y9" s="96" t="str">
        <f t="shared" si="6"/>
        <v>echo {"issue":{"subject":"Early arrival","project_id":79,"tracker_id":40,"status_id":1,"priority_id":2,"assigned_to_id":23,"start_date":"2017-07-02","description":"","custom_fields":[{"id":1,"name":"Subdivision","value":"EC"},{"id":4,"name":"Milepost","value":"2.735"},{"id":17,"name":"Train ID","value":"104-02"},{"id":16,"name":"Locomotive ID","value":"4051"},{"id":130,"name":"Impact","value":""},{"id":150,"name":"Time of Event (Mountain Time)","value":"05:13:19"},{"id":151,"name":"Denver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/c/Users/stu/AppData/Local/Temp/OnboardLogs/RTDC4051 --include="*4051*201707021*"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"%USERPROFILE%\AppData\Local\Temp\OnboardLogs"\RTDC4051\*4051*201707021* &gt;&gt; 2017-07-02-SliceDisagreementCheck.txt</v>
      </c>
      <c r="AE9" s="145" t="str">
        <f t="shared" si="9"/>
        <v>start /low /b %USERPROFILE%\Documents\GitHub\eaglep3\Utilities\DownloadLogsFromS3.py --loco 4051 --day 2017-07-02</v>
      </c>
    </row>
    <row r="10" spans="1:32" s="1" customFormat="1" x14ac:dyDescent="0.25">
      <c r="A10" s="31">
        <v>42919.027569444443</v>
      </c>
      <c r="B10" s="30" t="s">
        <v>439</v>
      </c>
      <c r="C10" s="30" t="s">
        <v>682</v>
      </c>
      <c r="D10" s="30" t="s">
        <v>96</v>
      </c>
      <c r="E10" s="30" t="s">
        <v>187</v>
      </c>
      <c r="F10" s="42">
        <v>220</v>
      </c>
      <c r="G10" s="42">
        <v>271</v>
      </c>
      <c r="H10" s="42">
        <v>30948</v>
      </c>
      <c r="I10" s="42">
        <v>31594</v>
      </c>
      <c r="J10" s="30" t="s">
        <v>188</v>
      </c>
      <c r="K10" s="42">
        <v>30830</v>
      </c>
      <c r="L10" s="131" t="s">
        <v>50</v>
      </c>
      <c r="M10" s="132">
        <f t="shared" si="0"/>
        <v>-403.392</v>
      </c>
      <c r="N10" s="133" t="str">
        <f>VLOOKUP(C10,'Trips&amp;Operators'!$C$1:$G$99999,5,FALSE)</f>
        <v>HAITHCOX MICHAEL</v>
      </c>
      <c r="O10" s="203" t="s">
        <v>180</v>
      </c>
      <c r="P10" s="134" t="s">
        <v>485</v>
      </c>
      <c r="Q10" s="30"/>
      <c r="R10" s="81" t="str">
        <f>VLOOKUP(C10,'Train Runs'!$A$13:$AE$9930,31,0)</f>
        <v>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 &amp; aws s3 cp s3://rtdc.mdm.uploadarchive.raw/RTDC4046/ "%USERPROFILE%\AppData\Local\Temp\OnboardLogs"\RTDC4046\2017-07-04 --exclude "*" --recursive --include "*20170704*" &amp; "%USERPROFILE%\Documents\GitHub\mrs-test-scripts\Headless Mode &amp; Sideloading\WalkAndUnGZ.bat" "%USERPROFILE%\AppData\Local\Temp\OnboardLogs"\RTDC4046\2017-07-04</v>
      </c>
      <c r="S10" s="84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-07-02T23:50:07-0600',mode:absolute,to:'2017-07-03T02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0" s="86" t="str">
        <f t="shared" si="1"/>
        <v>"C:\Program Files (x86)\AstroGrep\AstroGrep.exe" /e /r /s /spath="%USERPROFILE%\AppData\Local\Temp\OnboardLogs" /stypes="*4046*201707030*"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4046</v>
      </c>
      <c r="V10" s="31">
        <f t="shared" si="3"/>
        <v>42919.277569444443</v>
      </c>
      <c r="W10" s="45" t="str">
        <f t="shared" si="4"/>
        <v>EC</v>
      </c>
      <c r="X10" s="22">
        <f t="shared" si="5"/>
        <v>243</v>
      </c>
      <c r="Y10" s="96" t="str">
        <f t="shared" si="6"/>
        <v>echo {"issue":{"subject":"Early arrival","project_id":79,"tracker_id":40,"status_id":1,"priority_id":2,"assigned_to_id":23,"start_date":"2017-07-03","description":"","custom_fields":[{"id":1,"name":"Subdivision","value":"EC"},{"id":4,"name":"Milepost","value":"3.083"},{"id":17,"name":"Train ID","value":"243-02"},{"id":16,"name":"Locomotive ID","value":"4046"},{"id":130,"name":"Impact","value":""},{"id":150,"name":"Time of Event (Mountain Time)","value":"00:39:42"},{"id":151,"name":"Denver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/c/Users/stu/AppData/Local/Temp/OnboardLogs/RTDC4046 --include="*4046*201707030*"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"%USERPROFILE%\AppData\Local\Temp\OnboardLogs"\RTDC4046\*4046*201707030* &gt;&gt; 2017-07-02-SliceDisagreementCheck.txt</v>
      </c>
      <c r="AE10" s="145" t="str">
        <f t="shared" si="9"/>
        <v>start /low /b %USERPROFILE%\Documents\GitHub\eaglep3\Utilities\DownloadLogsFromS3.py --loco 4046 --day 2017-07-03</v>
      </c>
    </row>
    <row r="11" spans="1:32" s="1" customFormat="1" x14ac:dyDescent="0.25">
      <c r="A11" s="31">
        <v>42918.507974537039</v>
      </c>
      <c r="B11" s="30" t="s">
        <v>635</v>
      </c>
      <c r="C11" s="30" t="s">
        <v>647</v>
      </c>
      <c r="D11" s="30" t="s">
        <v>49</v>
      </c>
      <c r="E11" s="30" t="s">
        <v>187</v>
      </c>
      <c r="F11" s="42">
        <v>260</v>
      </c>
      <c r="G11" s="42">
        <v>323</v>
      </c>
      <c r="H11" s="42">
        <v>36057</v>
      </c>
      <c r="I11" s="42">
        <v>35281</v>
      </c>
      <c r="J11" s="30" t="s">
        <v>188</v>
      </c>
      <c r="K11" s="42">
        <v>33257</v>
      </c>
      <c r="L11" s="131" t="s">
        <v>51</v>
      </c>
      <c r="M11" s="132">
        <f t="shared" si="0"/>
        <v>1068.672</v>
      </c>
      <c r="N11" s="133" t="str">
        <f>VLOOKUP(C11,'Trips&amp;Operators'!$C$1:$G$99999,5,FALSE)</f>
        <v>ROMERO CHAD</v>
      </c>
      <c r="O11" s="203" t="s">
        <v>180</v>
      </c>
      <c r="P11" s="134" t="s">
        <v>485</v>
      </c>
      <c r="Q11" s="30"/>
      <c r="R11" s="81" t="str">
        <f>VLOOKUP(C11,'Train Runs'!$A$13:$AE$9930,31,0)</f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S11" s="84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-07-02T10:31:20-0600',mode:absolute,to:'2017-07-02T13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86" t="str">
        <f t="shared" si="1"/>
        <v>"C:\Program Files (x86)\AstroGrep\AstroGrep.exe" /e /r /s /spath="%USERPROFILE%\AppData\Local\Temp\OnboardLogs" /stypes="*4053*201707021*" /stext=" 18:.+((SYSTEM_STATE.+slice.+state.+changed )|(ment ac)|(multiple cpu faults)|(system.+state.+changed )|(\[timeout)|(PRM\|1\|D)|(kpr)|(kdp)|(train st.+moving)|(\|lc)|(penalty))"</v>
      </c>
      <c r="U11" s="9" t="str">
        <f t="shared" si="2"/>
        <v>4053</v>
      </c>
      <c r="V11" s="31">
        <f t="shared" si="3"/>
        <v>42918.757974537039</v>
      </c>
      <c r="W11" s="45" t="str">
        <f t="shared" si="4"/>
        <v>EC</v>
      </c>
      <c r="X11" s="22">
        <f t="shared" si="5"/>
        <v>158</v>
      </c>
      <c r="Y11" s="96" t="str">
        <f t="shared" si="6"/>
        <v>echo {"issue":{"subject":"Early arrival","project_id":79,"tracker_id":40,"status_id":1,"priority_id":2,"assigned_to_id":23,"start_date":"2017-07-02","description":"","custom_fields":[{"id":1,"name":"Subdivision","value":"EC"},{"id":4,"name":"Milepost","value":"3.3257"},{"id":17,"name":"Train ID","value":"158-02"},{"id":16,"name":"Locomotive ID","value":"4053"},{"id":130,"name":"Impact","value":""},{"id":150,"name":"Time of Event (Mountain Time)","value":"12:11:29"},{"id":151,"name":"Denver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/c/Users/stu/AppData/Local/Temp/OnboardLogs/RTDC4053 --include="*4053*201707021*"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"%USERPROFILE%\AppData\Local\Temp\OnboardLogs"\RTDC4053\*4053*201707021* &gt;&gt; 2017-07-02-SliceDisagreementCheck.txt</v>
      </c>
      <c r="AE11" s="145" t="str">
        <f t="shared" si="9"/>
        <v>start /low /b %USERPROFILE%\Documents\GitHub\eaglep3\Utilities\DownloadLogsFromS3.py --loco 4053 --day 2017-07-02</v>
      </c>
    </row>
    <row r="12" spans="1:32" s="1" customFormat="1" x14ac:dyDescent="0.25">
      <c r="A12" s="31">
        <v>42918.543067129627</v>
      </c>
      <c r="B12" s="30" t="s">
        <v>341</v>
      </c>
      <c r="C12" s="30" t="s">
        <v>650</v>
      </c>
      <c r="D12" s="30" t="s">
        <v>49</v>
      </c>
      <c r="E12" s="30" t="s">
        <v>187</v>
      </c>
      <c r="F12" s="42">
        <v>0</v>
      </c>
      <c r="G12" s="42">
        <v>89</v>
      </c>
      <c r="H12" s="42">
        <v>58224</v>
      </c>
      <c r="I12" s="42">
        <v>58307</v>
      </c>
      <c r="J12" s="30" t="s">
        <v>188</v>
      </c>
      <c r="K12" s="42">
        <v>58783</v>
      </c>
      <c r="L12" s="131" t="s">
        <v>50</v>
      </c>
      <c r="M12" s="132">
        <f t="shared" si="0"/>
        <v>251.328</v>
      </c>
      <c r="N12" s="133" t="str">
        <f>VLOOKUP(C12,'Trips&amp;Operators'!$C$1:$G$99999,5,FALSE)</f>
        <v>NELSON ARIANE</v>
      </c>
      <c r="O12" s="203" t="s">
        <v>180</v>
      </c>
      <c r="P12" s="134" t="s">
        <v>564</v>
      </c>
      <c r="Q12" s="30"/>
      <c r="R12" s="81" t="str">
        <f>VLOOKUP(C12,'Train Runs'!$A$13:$AE$9930,31,0)</f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S12" s="84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-07-02T11:42:07-0600',mode:absolute,to:'2017-07-02T14:32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2" s="86" t="str">
        <f t="shared" si="1"/>
        <v>"C:\Program Files (x86)\AstroGrep\AstroGrep.exe" /e /r /s /spath="%USERPROFILE%\AppData\Local\Temp\OnboardLogs" /stypes="*4022*201707021*"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4022</v>
      </c>
      <c r="V12" s="31">
        <f t="shared" si="3"/>
        <v>42918.793067129627</v>
      </c>
      <c r="W12" s="45" t="str">
        <f t="shared" si="4"/>
        <v>EC</v>
      </c>
      <c r="X12" s="22">
        <f t="shared" si="5"/>
        <v>173</v>
      </c>
      <c r="Y12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C","project_id":79,"tracker_id":40,"status_id":1,"priority_id":2,"assigned_to_id":23,"start_date":"2017-07-02","description":"","custom_fields":[{"id":1,"name":"Subdivision","value":"EC"},{"id":4,"name":"Milepost","value":"5.8783"},{"id":17,"name":"Train ID","value":"173-02"},{"id":16,"name":"Locomotive ID","value":"4022"},{"id":130,"name":"Impact","value":""},{"id":150,"name":"Time of Event (Mountain Time)","value":"13:02:01"},{"id":151,"name":"Denver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/c/Users/stu/AppData/Local/Temp/OnboardLogs/RTDC4022 --include="*4022*201707021*"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"%USERPROFILE%\AppData\Local\Temp\OnboardLogs"\RTDC4022\*4022*201707021* &gt;&gt; 2017-07-02-SliceDisagreementCheck.txt</v>
      </c>
      <c r="AE12" s="145" t="str">
        <f t="shared" si="9"/>
        <v>start /low /b %USERPROFILE%\Documents\GitHub\eaglep3\Utilities\DownloadLogsFromS3.py --loco 4022 --day 2017-07-02</v>
      </c>
    </row>
    <row r="13" spans="1:32" s="1" customFormat="1" x14ac:dyDescent="0.25">
      <c r="A13" s="31">
        <v>42918.59652777778</v>
      </c>
      <c r="B13" s="30" t="s">
        <v>566</v>
      </c>
      <c r="C13" s="30" t="s">
        <v>655</v>
      </c>
      <c r="D13" s="30" t="s">
        <v>49</v>
      </c>
      <c r="E13" s="30" t="s">
        <v>187</v>
      </c>
      <c r="F13" s="42">
        <v>0</v>
      </c>
      <c r="G13" s="42">
        <v>202</v>
      </c>
      <c r="H13" s="42">
        <v>57710</v>
      </c>
      <c r="I13" s="42">
        <v>58150</v>
      </c>
      <c r="J13" s="30" t="s">
        <v>188</v>
      </c>
      <c r="K13" s="42">
        <v>58783</v>
      </c>
      <c r="L13" s="131" t="s">
        <v>50</v>
      </c>
      <c r="M13" s="132">
        <f t="shared" si="0"/>
        <v>334.22399999999993</v>
      </c>
      <c r="N13" s="133" t="str">
        <f>VLOOKUP(C13,'Trips&amp;Operators'!$C$1:$G$99999,5,FALSE)</f>
        <v>DELGADO DIANAH</v>
      </c>
      <c r="O13" s="203" t="s">
        <v>180</v>
      </c>
      <c r="P13" s="134" t="s">
        <v>564</v>
      </c>
      <c r="Q13" s="30"/>
      <c r="R13" s="81" t="str">
        <f>VLOOKUP(C13,'Train Runs'!$A$13:$AE$9930,31,0)</f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S13" s="84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-07-02T12:55:09-0600',mode:absolute,to:'2017-07-02T15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3" s="86" t="str">
        <f t="shared" si="1"/>
        <v>"C:\Program Files (x86)\AstroGrep\AstroGrep.exe" /e /r /s /spath="%USERPROFILE%\AppData\Local\Temp\OnboardLogs" /stypes="*4064*201707022*"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4064</v>
      </c>
      <c r="V13" s="31">
        <f t="shared" si="3"/>
        <v>42918.84652777778</v>
      </c>
      <c r="W13" s="45" t="str">
        <f t="shared" si="4"/>
        <v>EC</v>
      </c>
      <c r="X13" s="22">
        <f t="shared" si="5"/>
        <v>183</v>
      </c>
      <c r="Y13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C","project_id":79,"tracker_id":40,"status_id":1,"priority_id":2,"assigned_to_id":23,"start_date":"2017-07-02","description":"","custom_fields":[{"id":1,"name":"Subdivision","value":"EC"},{"id":4,"name":"Milepost","value":"5.8783"},{"id":17,"name":"Train ID","value":"183-02"},{"id":16,"name":"Locomotive ID","value":"4064"},{"id":130,"name":"Impact","value":""},{"id":150,"name":"Time of Event (Mountain Time)","value":"14:19:00"},{"id":151,"name":"Denver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/c/Users/stu/AppData/Local/Temp/OnboardLogs/RTDC4064 --include="*4064*201707022*"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"%USERPROFILE%\AppData\Local\Temp\OnboardLogs"\RTDC4064\*4064*201707022* &gt;&gt; 2017-07-02-SliceDisagreementCheck.txt</v>
      </c>
      <c r="AE13" s="145" t="str">
        <f t="shared" si="9"/>
        <v>start /low /b %USERPROFILE%\Documents\GitHub\eaglep3\Utilities\DownloadLogsFromS3.py --loco 4064 --day 2017-07-02</v>
      </c>
    </row>
    <row r="14" spans="1:32" x14ac:dyDescent="0.25">
      <c r="A14" s="31">
        <v>42918.717800925922</v>
      </c>
      <c r="B14" s="30" t="s">
        <v>570</v>
      </c>
      <c r="C14" s="30" t="s">
        <v>668</v>
      </c>
      <c r="D14" s="30" t="s">
        <v>49</v>
      </c>
      <c r="E14" s="30" t="s">
        <v>187</v>
      </c>
      <c r="F14" s="42">
        <v>0</v>
      </c>
      <c r="G14" s="42">
        <v>164</v>
      </c>
      <c r="H14" s="42">
        <v>58175</v>
      </c>
      <c r="I14" s="42">
        <v>58297</v>
      </c>
      <c r="J14" s="30" t="s">
        <v>188</v>
      </c>
      <c r="K14" s="42">
        <v>58783</v>
      </c>
      <c r="L14" s="131" t="s">
        <v>50</v>
      </c>
      <c r="M14" s="132">
        <f t="shared" si="0"/>
        <v>256.608</v>
      </c>
      <c r="N14" s="133" t="str">
        <f>VLOOKUP(C14,'Trips&amp;Operators'!$C$1:$G$99999,5,FALSE)</f>
        <v>BRUDER RICHARD</v>
      </c>
      <c r="O14" s="203" t="s">
        <v>180</v>
      </c>
      <c r="P14" s="134" t="s">
        <v>564</v>
      </c>
      <c r="Q14" s="30"/>
      <c r="R14" s="81" t="str">
        <f>VLOOKUP(C14,'Train Runs'!$A$13:$AE$9930,31,0)</f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S14" s="84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-07-02T15:55:37-0600',mode:absolute,to:'2017-07-02T18:40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4" s="86" t="str">
        <f t="shared" si="1"/>
        <v>"C:\Program Files (x86)\AstroGrep\AstroGrep.exe" /e /r /s /spath="%USERPROFILE%\AppData\Local\Temp\OnboardLogs" /stypes="*4004*201707022*"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4004</v>
      </c>
      <c r="V14" s="31">
        <f t="shared" si="3"/>
        <v>42918.967800925922</v>
      </c>
      <c r="W14" s="45" t="str">
        <f t="shared" si="4"/>
        <v>EC</v>
      </c>
      <c r="X14" s="22">
        <f t="shared" si="5"/>
        <v>207</v>
      </c>
      <c r="Y14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C","project_id":79,"tracker_id":40,"status_id":1,"priority_id":2,"assigned_to_id":23,"start_date":"2017-07-02","description":"","custom_fields":[{"id":1,"name":"Subdivision","value":"EC"},{"id":4,"name":"Milepost","value":"5.8783"},{"id":17,"name":"Train ID","value":"207-02"},{"id":16,"name":"Locomotive ID","value":"4004"},{"id":130,"name":"Impact","value":""},{"id":150,"name":"Time of Event (Mountain Time)","value":"17:13:38"},{"id":151,"name":"Denver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/c/Users/stu/AppData/Local/Temp/OnboardLogs/RTDC4004 --include="*4004*201707022*"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"%USERPROFILE%\AppData\Local\Temp\OnboardLogs"\RTDC4004\*4004*201707022* &gt;&gt; 2017-07-02-SliceDisagreementCheck.txt</v>
      </c>
      <c r="AE14" s="145" t="str">
        <f t="shared" si="9"/>
        <v>start /low /b %USERPROFILE%\Documents\GitHub\eaglep3\Utilities\DownloadLogsFromS3.py --loco 4004 --day 2017-07-02</v>
      </c>
      <c r="AF14" s="1"/>
    </row>
    <row r="15" spans="1:32" x14ac:dyDescent="0.25">
      <c r="A15" s="31">
        <v>42918.884618055556</v>
      </c>
      <c r="B15" s="30" t="s">
        <v>357</v>
      </c>
      <c r="C15" s="30" t="s">
        <v>678</v>
      </c>
      <c r="D15" s="30" t="s">
        <v>49</v>
      </c>
      <c r="E15" s="30" t="s">
        <v>187</v>
      </c>
      <c r="F15" s="42">
        <v>0</v>
      </c>
      <c r="G15" s="42">
        <v>118</v>
      </c>
      <c r="H15" s="42">
        <v>58233</v>
      </c>
      <c r="I15" s="42">
        <v>58354</v>
      </c>
      <c r="J15" s="30" t="s">
        <v>188</v>
      </c>
      <c r="K15" s="42">
        <v>58783</v>
      </c>
      <c r="L15" s="131" t="s">
        <v>50</v>
      </c>
      <c r="M15" s="132">
        <f t="shared" si="0"/>
        <v>226.512</v>
      </c>
      <c r="N15" s="133" t="str">
        <f>VLOOKUP(C15,'Trips&amp;Operators'!$C$1:$G$99999,5,FALSE)</f>
        <v>STAMBAUGH JAMES</v>
      </c>
      <c r="O15" s="203" t="s">
        <v>180</v>
      </c>
      <c r="P15" s="134" t="s">
        <v>564</v>
      </c>
      <c r="Q15" s="30"/>
      <c r="R15" s="81" t="str">
        <f>VLOOKUP(C15,'Train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15" s="84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-07-02T19:38:35-0600',mode:absolute,to:'2017-07-02T22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5" s="86" t="str">
        <f t="shared" si="1"/>
        <v>"C:\Program Files (x86)\AstroGrep\AstroGrep.exe" /e /r /s /spath="%USERPROFILE%\AppData\Local\Temp\OnboardLogs" /stypes="*4042*201707030*" /stext=" 03:.+((SYSTEM_STATE.+slice.+state.+changed )|(ment ac)|(multiple cpu faults)|(system.+state.+changed )|(\[timeout)|(PRM\|1\|D)|(kpr)|(kdp)|(train st.+moving)|(\|lc)|(penalty))"</v>
      </c>
      <c r="U15" s="9" t="str">
        <f t="shared" si="2"/>
        <v>4042</v>
      </c>
      <c r="V15" s="31">
        <f t="shared" si="3"/>
        <v>42919.134618055556</v>
      </c>
      <c r="W15" s="45" t="str">
        <f t="shared" si="4"/>
        <v>EC</v>
      </c>
      <c r="X15" s="22">
        <f t="shared" si="5"/>
        <v>229</v>
      </c>
      <c r="Y15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C","project_id":79,"tracker_id":40,"status_id":1,"priority_id":2,"assigned_to_id":23,"start_date":"2017-07-02","description":"","custom_fields":[{"id":1,"name":"Subdivision","value":"EC"},{"id":4,"name":"Milepost","value":"5.8783"},{"id":17,"name":"Train ID","value":"229-02"},{"id":16,"name":"Locomotive ID","value":"4042"},{"id":130,"name":"Impact","value":""},{"id":150,"name":"Time of Event (Mountain Time)","value":"21:13:51"},{"id":151,"name":"Denver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/c/Users/stu/AppData/Local/Temp/OnboardLogs/RTDC4042 --include="*4042*201707030*"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"%USERPROFILE%\AppData\Local\Temp\OnboardLogs"\RTDC4042\*4042*201707030* &gt;&gt; 2017-07-02-SliceDisagreementCheck.txt</v>
      </c>
      <c r="AE15" s="145" t="str">
        <f t="shared" si="9"/>
        <v>start /low /b %USERPROFILE%\Documents\GitHub\eaglep3\Utilities\DownloadLogsFromS3.py --loco 4042 --day 2017-07-03</v>
      </c>
      <c r="AF15" s="1"/>
    </row>
    <row r="16" spans="1:32" x14ac:dyDescent="0.25">
      <c r="A16" s="31">
        <v>42918.384675925925</v>
      </c>
      <c r="B16" s="30" t="s">
        <v>398</v>
      </c>
      <c r="C16" s="30" t="s">
        <v>637</v>
      </c>
      <c r="D16" s="30" t="s">
        <v>49</v>
      </c>
      <c r="E16" s="30" t="s">
        <v>187</v>
      </c>
      <c r="F16" s="42">
        <v>450</v>
      </c>
      <c r="G16" s="42">
        <v>516</v>
      </c>
      <c r="H16" s="42">
        <v>57291</v>
      </c>
      <c r="I16" s="42">
        <v>59266</v>
      </c>
      <c r="J16" s="30" t="s">
        <v>188</v>
      </c>
      <c r="K16" s="42">
        <v>58783</v>
      </c>
      <c r="L16" s="131" t="s">
        <v>50</v>
      </c>
      <c r="M16" s="132">
        <f t="shared" si="0"/>
        <v>-255.024</v>
      </c>
      <c r="N16" s="133" t="str">
        <f>VLOOKUP(C16,'Trips&amp;Operators'!$C$1:$G$99999,5,FALSE)</f>
        <v>CHANDLER KELVIN</v>
      </c>
      <c r="O16" s="203" t="s">
        <v>180</v>
      </c>
      <c r="P16" s="134" t="s">
        <v>485</v>
      </c>
      <c r="Q16" s="30"/>
      <c r="R16" s="81" t="str">
        <f>VLOOKUP(C16,'Train Runs'!$A$13:$AE$9930,31,0)</f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S16" s="84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-07-02T07:59:13-0600',mode:absolute,to:'2017-07-02T10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6" s="86" t="str">
        <f t="shared" si="1"/>
        <v>"C:\Program Files (x86)\AstroGrep\AstroGrep.exe" /e /r /s /spath="%USERPROFILE%\AppData\Local\Temp\OnboardLogs" /stypes="*4054*201707021*"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4054</v>
      </c>
      <c r="V16" s="31">
        <f t="shared" si="3"/>
        <v>42918.634675925925</v>
      </c>
      <c r="W16" s="45" t="str">
        <f t="shared" si="4"/>
        <v>EC</v>
      </c>
      <c r="X16" s="22">
        <f t="shared" si="5"/>
        <v>143</v>
      </c>
      <c r="Y16" s="96" t="str">
        <f t="shared" si="6"/>
        <v>echo {"issue":{"subject":"Early arrival","project_id":79,"tracker_id":40,"status_id":1,"priority_id":2,"assigned_to_id":23,"start_date":"2017-07-02","description":"","custom_fields":[{"id":1,"name":"Subdivision","value":"EC"},{"id":4,"name":"Milepost","value":"5.8783"},{"id":17,"name":"Train ID","value":"143-02"},{"id":16,"name":"Locomotive ID","value":"4054"},{"id":130,"name":"Impact","value":""},{"id":150,"name":"Time of Event (Mountain Time)","value":"09:13:56"},{"id":151,"name":"Denver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/c/Users/stu/AppData/Local/Temp/OnboardLogs/RTDC4054 --include="*4054*201707021*"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"%USERPROFILE%\AppData\Local\Temp\OnboardLogs"\RTDC4054\*4054*201707021* &gt;&gt; 2017-07-02-SliceDisagreementCheck.txt</v>
      </c>
      <c r="AE16" s="145" t="str">
        <f t="shared" si="9"/>
        <v>start /low /b %USERPROFILE%\Documents\GitHub\eaglep3\Utilities\DownloadLogsFromS3.py --loco 4054 --day 2017-07-02</v>
      </c>
      <c r="AF16" s="1"/>
    </row>
    <row r="17" spans="1:32" x14ac:dyDescent="0.25">
      <c r="A17" s="31">
        <v>42918.425069444442</v>
      </c>
      <c r="B17" s="30" t="s">
        <v>494</v>
      </c>
      <c r="C17" s="30" t="s">
        <v>639</v>
      </c>
      <c r="D17" s="30" t="s">
        <v>49</v>
      </c>
      <c r="E17" s="30" t="s">
        <v>187</v>
      </c>
      <c r="F17" s="42">
        <v>0</v>
      </c>
      <c r="G17" s="42">
        <v>145</v>
      </c>
      <c r="H17" s="42">
        <v>59466</v>
      </c>
      <c r="I17" s="42">
        <v>59245</v>
      </c>
      <c r="J17" s="30" t="s">
        <v>188</v>
      </c>
      <c r="K17" s="42">
        <v>58904</v>
      </c>
      <c r="L17" s="131" t="s">
        <v>51</v>
      </c>
      <c r="M17" s="132">
        <f t="shared" si="0"/>
        <v>180.048</v>
      </c>
      <c r="N17" s="133" t="str">
        <f>VLOOKUP(C17,'Trips&amp;Operators'!$C$1:$G$99999,5,FALSE)</f>
        <v>GUZMAN DANNY</v>
      </c>
      <c r="O17" s="203" t="s">
        <v>180</v>
      </c>
      <c r="P17" s="134" t="s">
        <v>564</v>
      </c>
      <c r="Q17" s="30"/>
      <c r="R17" s="81" t="str">
        <f>VLOOKUP(C17,'Train Runs'!$A$13:$AE$9930,31,0)</f>
        <v>aws s3 cp s3://rtdc.mdm.uploadarchive.raw/RTDC4057/ "%USERPROFILE%\AppData\Local\Temp\OnboardLogs"\RTDC4057\2017-07-02 --exclude "*" --recursive --include "*20170702*" &amp; "%USERPROFILE%\Documents\GitHub\mrs-test-scripts\Headless Mode &amp; Sideloading\WalkAndUnGZ.bat" "%USERPROFILE%\AppData\Local\Temp\OnboardLogs"\RTDC4057\2017-07-02 &amp; aws s3 cp s3://rtdc.mdm.uploadarchive.raw/RTDC4057/ "%USERPROFILE%\AppData\Local\Temp\OnboardLogs"\RTDC4057\2017-07-03 --exclude "*" --recursive --include "*20170703*" &amp; "%USERPROFILE%\Documents\GitHub\mrs-test-scripts\Headless Mode &amp; Sideloading\WalkAndUnGZ.bat" "%USERPROFILE%\AppData\Local\Temp\OnboardLogs"\RTDC4057\2017-07-03</v>
      </c>
      <c r="S17" s="84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-07-02T08:26:44-0600',mode:absolute,to:'2017-07-02T11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7" s="86" t="str">
        <f t="shared" si="1"/>
        <v>"C:\Program Files (x86)\AstroGrep\AstroGrep.exe" /e /r /s /spath="%USERPROFILE%\AppData\Local\Temp\OnboardLogs" /stypes="*4057*201707021*"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4057</v>
      </c>
      <c r="V17" s="31">
        <f t="shared" si="3"/>
        <v>42918.675069444442</v>
      </c>
      <c r="W17" s="45" t="str">
        <f t="shared" si="4"/>
        <v>EC</v>
      </c>
      <c r="X17" s="22">
        <f t="shared" si="5"/>
        <v>142</v>
      </c>
      <c r="Y17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ID","value":"142-02"},{"id":16,"name":"Locomotive ID","value":"4057"},{"id":130,"name":"Impact","value":""},{"id":150,"name":"Time of Event (Mountain Time)","value":"10:12:06"},{"id":151,"name":"Denver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/c/Users/stu/AppData/Local/Temp/OnboardLogs/RTDC4057 --include="*4057*201707021*"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"%USERPROFILE%\AppData\Local\Temp\OnboardLogs"\RTDC4057\*4057*201707021* &gt;&gt; 2017-07-02-SliceDisagreementCheck.txt</v>
      </c>
      <c r="AE17" s="145" t="str">
        <f t="shared" si="9"/>
        <v>start /low /b %USERPROFILE%\Documents\GitHub\eaglep3\Utilities\DownloadLogsFromS3.py --loco 4057 --day 2017-07-02</v>
      </c>
      <c r="AF17" s="1"/>
    </row>
    <row r="18" spans="1:32" x14ac:dyDescent="0.25">
      <c r="A18" s="31">
        <v>42918.486516203702</v>
      </c>
      <c r="B18" s="30" t="s">
        <v>643</v>
      </c>
      <c r="C18" s="30" t="s">
        <v>644</v>
      </c>
      <c r="D18" s="30" t="s">
        <v>49</v>
      </c>
      <c r="E18" s="30" t="s">
        <v>187</v>
      </c>
      <c r="F18" s="42">
        <v>0</v>
      </c>
      <c r="G18" s="42">
        <v>176</v>
      </c>
      <c r="H18" s="42">
        <v>59616</v>
      </c>
      <c r="I18" s="42">
        <v>59293</v>
      </c>
      <c r="J18" s="30" t="s">
        <v>188</v>
      </c>
      <c r="K18" s="42">
        <v>58904</v>
      </c>
      <c r="L18" s="131" t="s">
        <v>51</v>
      </c>
      <c r="M18" s="132">
        <f t="shared" si="0"/>
        <v>205.392</v>
      </c>
      <c r="N18" s="133" t="str">
        <f>VLOOKUP(C18,'Trips&amp;Operators'!$C$1:$G$99999,5,FALSE)</f>
        <v>SULLIVAN BRANDON</v>
      </c>
      <c r="O18" s="203" t="s">
        <v>180</v>
      </c>
      <c r="P18" s="134" t="s">
        <v>564</v>
      </c>
      <c r="Q18" s="30"/>
      <c r="R18" s="81" t="str">
        <f>VLOOKUP(C18,'Train Runs'!$A$13:$AE$9930,31,0)</f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S18" s="84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-07-02T10:02:08-0600',mode:absolute,to:'2017-07-02T12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6" t="str">
        <f t="shared" si="1"/>
        <v>"C:\Program Files (x86)\AstroGrep\AstroGrep.exe" /e /r /s /spath="%USERPROFILE%\AppData\Local\Temp\OnboardLogs" /stypes="*4041*201707021*"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42918.736516203702</v>
      </c>
      <c r="W18" s="45" t="str">
        <f t="shared" si="4"/>
        <v>EC</v>
      </c>
      <c r="X18" s="22">
        <f t="shared" si="5"/>
        <v>154</v>
      </c>
      <c r="Y18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ID","value":"154-02"},{"id":16,"name":"Locomotive ID","value":"4041"},{"id":130,"name":"Impact","value":""},{"id":150,"name":"Time of Event (Mountain Time)","value":"11:40:35"},{"id":151,"name":"Denver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/c/Users/stu/AppData/Local/Temp/OnboardLogs/RTDC4041 --include="*4041*201707021*"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"%USERPROFILE%\AppData\Local\Temp\OnboardLogs"\RTDC4041\*4041*201707021* &gt;&gt; 2017-07-02-SliceDisagreementCheck.txt</v>
      </c>
      <c r="AE18" s="145" t="str">
        <f t="shared" si="9"/>
        <v>start /low /b %USERPROFILE%\Documents\GitHub\eaglep3\Utilities\DownloadLogsFromS3.py --loco 4041 --day 2017-07-02</v>
      </c>
      <c r="AF18" s="1"/>
    </row>
    <row r="19" spans="1:32" x14ac:dyDescent="0.25">
      <c r="A19" s="31">
        <v>42918.527418981481</v>
      </c>
      <c r="B19" s="30" t="s">
        <v>417</v>
      </c>
      <c r="C19" s="30" t="s">
        <v>649</v>
      </c>
      <c r="D19" s="30" t="s">
        <v>49</v>
      </c>
      <c r="E19" s="30" t="s">
        <v>187</v>
      </c>
      <c r="F19" s="42">
        <v>0</v>
      </c>
      <c r="G19" s="42">
        <v>180</v>
      </c>
      <c r="H19" s="42">
        <v>59618</v>
      </c>
      <c r="I19" s="42">
        <v>59302</v>
      </c>
      <c r="J19" s="30" t="s">
        <v>188</v>
      </c>
      <c r="K19" s="42">
        <v>58904</v>
      </c>
      <c r="L19" s="131" t="s">
        <v>51</v>
      </c>
      <c r="M19" s="132">
        <f t="shared" si="0"/>
        <v>210.14400000000001</v>
      </c>
      <c r="N19" s="133" t="str">
        <f>VLOOKUP(C19,'Trips&amp;Operators'!$C$1:$G$99999,5,FALSE)</f>
        <v>DAVIS MICHAEL</v>
      </c>
      <c r="O19" s="203" t="s">
        <v>180</v>
      </c>
      <c r="P19" s="134" t="s">
        <v>564</v>
      </c>
      <c r="Q19" s="30"/>
      <c r="R19" s="81" t="str">
        <f>VLOOKUP(C19,'Train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19" s="84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-07-02T11:07:29-0600',mode:absolute,to:'2017-07-02T13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 t="shared" si="1"/>
        <v>"C:\Program Files (x86)\AstroGrep\AstroGrep.exe" /e /r /s /spath="%USERPROFILE%\AppData\Local\Temp\OnboardLogs" /stypes="*4043*201707021*"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4043</v>
      </c>
      <c r="V19" s="31">
        <f t="shared" si="3"/>
        <v>42918.777418981481</v>
      </c>
      <c r="W19" s="45" t="str">
        <f t="shared" si="4"/>
        <v>EC</v>
      </c>
      <c r="X19" s="22">
        <f t="shared" si="5"/>
        <v>162</v>
      </c>
      <c r="Y19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ID","value":"162-02"},{"id":16,"name":"Locomotive ID","value":"4043"},{"id":130,"name":"Impact","value":""},{"id":150,"name":"Time of Event (Mountain Time)","value":"12:39:29"},{"id":151,"name":"Denver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/c/Users/stu/AppData/Local/Temp/OnboardLogs/RTDC4043 --include="*4043*201707021*"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"%USERPROFILE%\AppData\Local\Temp\OnboardLogs"\RTDC4043\*4043*201707021* &gt;&gt; 2017-07-02-SliceDisagreementCheck.txt</v>
      </c>
      <c r="AE19" s="145" t="str">
        <f t="shared" si="9"/>
        <v>start /low /b %USERPROFILE%\Documents\GitHub\eaglep3\Utilities\DownloadLogsFromS3.py --loco 4043 --day 2017-07-02</v>
      </c>
      <c r="AF19" s="1"/>
    </row>
    <row r="20" spans="1:32" x14ac:dyDescent="0.25">
      <c r="A20" s="31">
        <v>42918.600416666668</v>
      </c>
      <c r="B20" s="30" t="s">
        <v>417</v>
      </c>
      <c r="C20" s="30" t="s">
        <v>656</v>
      </c>
      <c r="D20" s="30" t="s">
        <v>49</v>
      </c>
      <c r="E20" s="30" t="s">
        <v>187</v>
      </c>
      <c r="F20" s="42">
        <v>0</v>
      </c>
      <c r="G20" s="42">
        <v>212</v>
      </c>
      <c r="H20" s="42">
        <v>59987</v>
      </c>
      <c r="I20" s="42">
        <v>59596</v>
      </c>
      <c r="J20" s="30" t="s">
        <v>188</v>
      </c>
      <c r="K20" s="42">
        <v>58904</v>
      </c>
      <c r="L20" s="131" t="s">
        <v>51</v>
      </c>
      <c r="M20" s="132">
        <f t="shared" si="0"/>
        <v>365.37599999999998</v>
      </c>
      <c r="N20" s="133" t="str">
        <f>VLOOKUP(C20,'Trips&amp;Operators'!$C$1:$G$99999,5,FALSE)</f>
        <v>DAVIS MICHAEL</v>
      </c>
      <c r="O20" s="203" t="s">
        <v>180</v>
      </c>
      <c r="P20" s="134" t="s">
        <v>564</v>
      </c>
      <c r="Q20" s="30"/>
      <c r="R20" s="81" t="str">
        <f>VLOOKUP(C20,'Train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20" s="84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-07-02T12:52:57-0600',mode:absolute,to:'2017-07-02T15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0" s="86" t="str">
        <f t="shared" si="1"/>
        <v>"C:\Program Files (x86)\AstroGrep\AstroGrep.exe" /e /r /s /spath="%USERPROFILE%\AppData\Local\Temp\OnboardLogs" /stypes="*4043*201707022*"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4043</v>
      </c>
      <c r="V20" s="31">
        <f t="shared" si="3"/>
        <v>42918.850416666668</v>
      </c>
      <c r="W20" s="45" t="str">
        <f t="shared" si="4"/>
        <v>EC</v>
      </c>
      <c r="X20" s="22">
        <f t="shared" si="5"/>
        <v>176</v>
      </c>
      <c r="Y20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ID","value":"176-02"},{"id":16,"name":"Locomotive ID","value":"4043"},{"id":130,"name":"Impact","value":""},{"id":150,"name":"Time of Event (Mountain Time)","value":"14:24:36"},{"id":151,"name":"Denver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/c/Users/stu/AppData/Local/Temp/OnboardLogs/RTDC4043 --include="*4043*201707022*"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"%USERPROFILE%\AppData\Local\Temp\OnboardLogs"\RTDC4043\*4043*201707022* &gt;&gt; 2017-07-02-SliceDisagreementCheck.txt</v>
      </c>
      <c r="AE20" s="145" t="str">
        <f t="shared" si="9"/>
        <v>start /low /b %USERPROFILE%\Documents\GitHub\eaglep3\Utilities\DownloadLogsFromS3.py --loco 4043 --day 2017-07-02</v>
      </c>
      <c r="AF20" s="1"/>
    </row>
    <row r="21" spans="1:32" x14ac:dyDescent="0.25">
      <c r="A21" s="31">
        <v>42918.611851851849</v>
      </c>
      <c r="B21" s="30" t="s">
        <v>440</v>
      </c>
      <c r="C21" s="30" t="s">
        <v>657</v>
      </c>
      <c r="D21" s="30" t="s">
        <v>49</v>
      </c>
      <c r="E21" s="30" t="s">
        <v>187</v>
      </c>
      <c r="F21" s="42">
        <v>0</v>
      </c>
      <c r="G21" s="42">
        <v>198</v>
      </c>
      <c r="H21" s="42">
        <v>59725</v>
      </c>
      <c r="I21" s="42">
        <v>59357</v>
      </c>
      <c r="J21" s="30" t="s">
        <v>188</v>
      </c>
      <c r="K21" s="42">
        <v>58904</v>
      </c>
      <c r="L21" s="131" t="s">
        <v>51</v>
      </c>
      <c r="M21" s="132">
        <f t="shared" si="0"/>
        <v>239.184</v>
      </c>
      <c r="N21" s="133" t="str">
        <f>VLOOKUP(C21,'Trips&amp;Operators'!$C$1:$G$99999,5,FALSE)</f>
        <v>BRANDNER MELINDA</v>
      </c>
      <c r="O21" s="203" t="s">
        <v>180</v>
      </c>
      <c r="P21" s="134" t="s">
        <v>564</v>
      </c>
      <c r="Q21" s="30"/>
      <c r="R21" s="81" t="str">
        <f>VLOOKUP(C21,'Train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21" s="84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-07-02T13:08:25-0600',mode:absolute,to:'2017-07-02T15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86" t="str">
        <f t="shared" si="1"/>
        <v>"C:\Program Files (x86)\AstroGrep\AstroGrep.exe" /e /r /s /spath="%USERPROFILE%\AppData\Local\Temp\OnboardLogs" /stypes="*4045*201707022*"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4045</v>
      </c>
      <c r="V21" s="31">
        <f t="shared" si="3"/>
        <v>42918.861851851849</v>
      </c>
      <c r="W21" s="45" t="str">
        <f t="shared" si="4"/>
        <v>EC</v>
      </c>
      <c r="X21" s="22">
        <f t="shared" si="5"/>
        <v>178</v>
      </c>
      <c r="Y21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ID","value":"178-02"},{"id":16,"name":"Locomotive ID","value":"4045"},{"id":130,"name":"Impact","value":""},{"id":150,"name":"Time of Event (Mountain Time)","value":"14:41:04"},{"id":151,"name":"Denver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/c/Users/stu/AppData/Local/Temp/OnboardLogs/RTDC4045 --include="*4045*201707022*"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"%USERPROFILE%\AppData\Local\Temp\OnboardLogs"\RTDC4045\*4045*201707022* &gt;&gt; 2017-07-02-SliceDisagreementCheck.txt</v>
      </c>
      <c r="AE21" s="145" t="str">
        <f t="shared" si="9"/>
        <v>start /low /b %USERPROFILE%\Documents\GitHub\eaglep3\Utilities\DownloadLogsFromS3.py --loco 4045 --day 2017-07-02</v>
      </c>
      <c r="AF21" s="1"/>
    </row>
    <row r="22" spans="1:32" x14ac:dyDescent="0.25">
      <c r="A22" s="31">
        <v>42918.672534722224</v>
      </c>
      <c r="B22" s="30" t="s">
        <v>417</v>
      </c>
      <c r="C22" s="30" t="s">
        <v>663</v>
      </c>
      <c r="D22" s="30" t="s">
        <v>49</v>
      </c>
      <c r="E22" s="30" t="s">
        <v>187</v>
      </c>
      <c r="F22" s="42">
        <v>0</v>
      </c>
      <c r="G22" s="42">
        <v>143</v>
      </c>
      <c r="H22" s="42">
        <v>59512</v>
      </c>
      <c r="I22" s="42">
        <v>59295</v>
      </c>
      <c r="J22" s="30" t="s">
        <v>188</v>
      </c>
      <c r="K22" s="42">
        <v>58904</v>
      </c>
      <c r="L22" s="131" t="s">
        <v>51</v>
      </c>
      <c r="M22" s="132">
        <f t="shared" si="0"/>
        <v>206.44800000000001</v>
      </c>
      <c r="N22" s="133" t="str">
        <f>VLOOKUP(C22,'Trips&amp;Operators'!$C$1:$G$99999,5,FALSE)</f>
        <v>DAVIS MICHAEL</v>
      </c>
      <c r="O22" s="203" t="s">
        <v>180</v>
      </c>
      <c r="P22" s="134" t="s">
        <v>564</v>
      </c>
      <c r="Q22" s="30"/>
      <c r="R22" s="81" t="str">
        <f>VLOOKUP(C22,'Train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22" s="84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-07-02T14:39:19-0600',mode:absolute,to:'2017-07-02T17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2" s="86" t="str">
        <f t="shared" si="1"/>
        <v>"C:\Program Files (x86)\AstroGrep\AstroGrep.exe" /e /r /s /spath="%USERPROFILE%\AppData\Local\Temp\OnboardLogs" /stypes="*4043*201707022*"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4043</v>
      </c>
      <c r="V22" s="31">
        <f t="shared" si="3"/>
        <v>42918.922534722224</v>
      </c>
      <c r="W22" s="45" t="str">
        <f t="shared" si="4"/>
        <v>EC</v>
      </c>
      <c r="X22" s="22">
        <f t="shared" si="5"/>
        <v>190</v>
      </c>
      <c r="Y22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ID","value":"190-02"},{"id":16,"name":"Locomotive ID","value":"4043"},{"id":130,"name":"Impact","value":""},{"id":150,"name":"Time of Event (Mountain Time)","value":"16:08:27"},{"id":151,"name":"Denver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/c/Users/stu/AppData/Local/Temp/OnboardLogs/RTDC4043 --include="*4043*201707022*"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"%USERPROFILE%\AppData\Local\Temp\OnboardLogs"\RTDC4043\*4043*201707022* &gt;&gt; 2017-07-02-SliceDisagreementCheck.txt</v>
      </c>
      <c r="AE22" s="145" t="str">
        <f t="shared" si="9"/>
        <v>start /low /b %USERPROFILE%\Documents\GitHub\eaglep3\Utilities\DownloadLogsFromS3.py --loco 4043 --day 2017-07-02</v>
      </c>
      <c r="AF22" s="1"/>
    </row>
    <row r="23" spans="1:32" x14ac:dyDescent="0.25">
      <c r="A23" s="31">
        <v>42918.758356481485</v>
      </c>
      <c r="B23" s="30" t="s">
        <v>440</v>
      </c>
      <c r="C23" s="30" t="s">
        <v>674</v>
      </c>
      <c r="D23" s="30" t="s">
        <v>49</v>
      </c>
      <c r="E23" s="30" t="s">
        <v>187</v>
      </c>
      <c r="F23" s="42">
        <v>0</v>
      </c>
      <c r="G23" s="42">
        <v>125</v>
      </c>
      <c r="H23" s="42">
        <v>59328</v>
      </c>
      <c r="I23" s="42">
        <v>59203</v>
      </c>
      <c r="J23" s="30" t="s">
        <v>188</v>
      </c>
      <c r="K23" s="42">
        <v>58904</v>
      </c>
      <c r="L23" s="131" t="s">
        <v>51</v>
      </c>
      <c r="M23" s="132">
        <f t="shared" si="0"/>
        <v>157.87200000000001</v>
      </c>
      <c r="N23" s="133" t="str">
        <f>VLOOKUP(C23,'Trips&amp;Operators'!$C$1:$G$99999,5,FALSE)</f>
        <v>BRANDNER MELINDA</v>
      </c>
      <c r="O23" s="203" t="s">
        <v>180</v>
      </c>
      <c r="P23" s="134" t="s">
        <v>564</v>
      </c>
      <c r="Q23" s="30"/>
      <c r="R23" s="81" t="str">
        <f>VLOOKUP(C23,'Train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23" s="84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-07-02T16:42:02-0600',mode:absolute,to:'2017-07-02T19:28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86" t="str">
        <f t="shared" si="1"/>
        <v>"C:\Program Files (x86)\AstroGrep\AstroGrep.exe" /e /r /s /spath="%USERPROFILE%\AppData\Local\Temp\OnboardLogs" /stypes="*4045*201707030*"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4045</v>
      </c>
      <c r="V23" s="31">
        <f t="shared" si="3"/>
        <v>42919.008356481485</v>
      </c>
      <c r="W23" s="45" t="str">
        <f t="shared" si="4"/>
        <v>EC</v>
      </c>
      <c r="X23" s="22">
        <f t="shared" si="5"/>
        <v>206</v>
      </c>
      <c r="Y23" s="96" t="str">
        <f t="shared" si="6"/>
        <v>echo {"issue":{"subject":"Form C","project_id":79,"tracker_id":40,"status_id":1,"priority_id":2,"assigned_to_id":23,"start_date":"2017-07-02","description":"","custom_fields":[{"id":1,"name":"Subdivision","value":"EC"},{"id":4,"name":"Milepost","value":"5.8904"},{"id":17,"name":"Train ID","value":"206-02"},{"id":16,"name":"Locomotive ID","value":"4045"},{"id":130,"name":"Impact","value":""},{"id":150,"name":"Time of Event (Mountain Time)","value":"18:12:02"},{"id":151,"name":"Denver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/c/Users/stu/AppData/Local/Temp/OnboardLogs/RTDC4045 --include="*4045*201707030*"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"%USERPROFILE%\AppData\Local\Temp\OnboardLogs"\RTDC4045\*4045*201707030* &gt;&gt; 2017-07-02-SliceDisagreementCheck.txt</v>
      </c>
      <c r="AE23" s="145" t="str">
        <f t="shared" si="9"/>
        <v>start /low /b %USERPROFILE%\Documents\GitHub\eaglep3\Utilities\DownloadLogsFromS3.py --loco 4045 --day 2017-07-03</v>
      </c>
      <c r="AF23" s="1"/>
    </row>
    <row r="24" spans="1:32" x14ac:dyDescent="0.25">
      <c r="A24" s="31">
        <v>42918.272847222222</v>
      </c>
      <c r="B24" s="30" t="s">
        <v>570</v>
      </c>
      <c r="C24" s="30" t="s">
        <v>630</v>
      </c>
      <c r="D24" s="30" t="s">
        <v>96</v>
      </c>
      <c r="E24" s="30" t="s">
        <v>200</v>
      </c>
      <c r="F24" s="42">
        <v>200</v>
      </c>
      <c r="G24" s="42">
        <v>262</v>
      </c>
      <c r="H24" s="42">
        <v>5296</v>
      </c>
      <c r="I24" s="42">
        <v>5751</v>
      </c>
      <c r="J24" s="30" t="s">
        <v>201</v>
      </c>
      <c r="K24" s="42">
        <v>4677</v>
      </c>
      <c r="L24" s="131" t="s">
        <v>50</v>
      </c>
      <c r="M24" s="132">
        <f t="shared" si="0"/>
        <v>-567.072</v>
      </c>
      <c r="N24" s="133" t="str">
        <f>VLOOKUP(C24,'Trips&amp;Operators'!$C$1:$G$99999,5,FALSE)</f>
        <v>GEBRETEKLE DAGNEW</v>
      </c>
      <c r="O24" s="203" t="s">
        <v>180</v>
      </c>
      <c r="P24" s="134"/>
      <c r="Q24" s="30"/>
      <c r="R24" s="81" t="str">
        <f>VLOOKUP(C24,'Train Runs'!$A$13:$AE$9930,31,0)</f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S24" s="84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-07-02T05:22:52-0600',mode:absolute,to:'2017-07-02T08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4" s="86" t="str">
        <f t="shared" si="1"/>
        <v>"C:\Program Files (x86)\AstroGrep\AstroGrep.exe" /e /r /s /spath="%USERPROFILE%\AppData\Local\Temp\OnboardLogs" /stypes="*4004*201707021*" /stext=" 12:.+((SYSTEM_STATE.+slice.+state.+changed )|(ment ac)|(multiple cpu faults)|(system.+state.+changed )|(\[timeout)|(PRM\|1\|D)|(kpr)|(kdp)|(train st.+moving)|(\|lc)|(penalty))"</v>
      </c>
      <c r="U24" s="9" t="str">
        <f t="shared" si="2"/>
        <v>4004</v>
      </c>
      <c r="V24" s="31">
        <f t="shared" si="3"/>
        <v>42918.522847222222</v>
      </c>
      <c r="W24" s="45" t="str">
        <f t="shared" si="4"/>
        <v>EC</v>
      </c>
      <c r="X24" s="22">
        <f t="shared" si="5"/>
        <v>123</v>
      </c>
      <c r="Y24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{"issue":{"subject":"","project_id":79,"tracker_id":40,"status_id":1,"priority_id":2,"assigned_to_id":23,"start_date":"2017-07-02","description":"","custom_fields":[{"id":1,"name":"Subdivision","value":"EC"},{"id":4,"name":"Milepost","value":"0.4677"},{"id":17,"name":"Train ID","value":"123-02"},{"id":16,"name":"Locomotive ID","value":"4004"},{"id":130,"name":"Impact","value":""},{"id":150,"name":"Time of Event (Mountain Time)","value":"06:32:54"},{"id":151,"name":"Denver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/c/Users/stu/AppData/Local/Temp/OnboardLogs/RTDC4004 --include="*4004*201707021*"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"%USERPROFILE%\AppData\Local\Temp\OnboardLogs"\RTDC4004\*4004*201707021* &gt;&gt; 2017-07-02-SliceDisagreementCheck.txt</v>
      </c>
      <c r="AE24" s="145" t="str">
        <f t="shared" si="9"/>
        <v>start /low /b %USERPROFILE%\Documents\GitHub\eaglep3\Utilities\DownloadLogsFromS3.py --loco 4004 --day 2017-07-02</v>
      </c>
      <c r="AF24" s="1"/>
    </row>
    <row r="25" spans="1:32" x14ac:dyDescent="0.25">
      <c r="A25" s="31">
        <v>42918.346898148149</v>
      </c>
      <c r="B25" s="30" t="s">
        <v>570</v>
      </c>
      <c r="C25" s="30" t="s">
        <v>634</v>
      </c>
      <c r="D25" s="30" t="s">
        <v>49</v>
      </c>
      <c r="E25" s="30" t="s">
        <v>200</v>
      </c>
      <c r="F25" s="42">
        <v>400</v>
      </c>
      <c r="G25" s="42">
        <v>454</v>
      </c>
      <c r="H25" s="42">
        <v>17326</v>
      </c>
      <c r="I25" s="42">
        <v>17973</v>
      </c>
      <c r="J25" s="30" t="s">
        <v>201</v>
      </c>
      <c r="K25" s="42">
        <v>17867</v>
      </c>
      <c r="L25" s="131" t="s">
        <v>50</v>
      </c>
      <c r="M25" s="132">
        <f t="shared" si="0"/>
        <v>-55.968000000000004</v>
      </c>
      <c r="N25" s="133" t="str">
        <f>VLOOKUP(C25,'Trips&amp;Operators'!$C$1:$G$99999,5,FALSE)</f>
        <v>GEBRETEKLE DAGNEW</v>
      </c>
      <c r="O25" s="203" t="s">
        <v>180</v>
      </c>
      <c r="P25" s="134"/>
      <c r="Q25" s="30"/>
      <c r="R25" s="81" t="str">
        <f>VLOOKUP(C25,'Train Runs'!$A$13:$AE$9930,31,0)</f>
        <v>aws s3 cp s3://rtdc.mdm.uploadarchive.raw/RTDC4004/ "%USERPROFILE%\AppData\Local\Temp\OnboardLogs"\RTDC4004\2017-07-02 --exclude "*" --recursive --include "*20170702*" &amp; "%USERPROFILE%\Documents\GitHub\mrs-test-scripts\Headless Mode &amp; Sideloading\WalkAndUnGZ.bat" "%USERPROFILE%\AppData\Local\Temp\OnboardLogs"\RTDC4004\2017-07-02 &amp; aws s3 cp s3://rtdc.mdm.uploadarchive.raw/RTDC4004/ "%USERPROFILE%\AppData\Local\Temp\OnboardLogs"\RTDC4004\2017-07-03 --exclude "*" --recursive --include "*20170703*" &amp; "%USERPROFILE%\Documents\GitHub\mrs-test-scripts\Headless Mode &amp; Sideloading\WalkAndUnGZ.bat" "%USERPROFILE%\AppData\Local\Temp\OnboardLogs"\RTDC4004\2017-07-03</v>
      </c>
      <c r="S25" s="84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-07-02T07:09:10-0600',mode:absolute,to:'2017-07-02T09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5" s="86" t="str">
        <f t="shared" si="1"/>
        <v>"C:\Program Files (x86)\AstroGrep\AstroGrep.exe" /e /r /s /spath="%USERPROFILE%\AppData\Local\Temp\OnboardLogs" /stypes="*4004*201707021*" /stext=" 14:.+((SYSTEM_STATE.+slice.+state.+changed )|(ment ac)|(multiple cpu faults)|(system.+state.+changed )|(\[timeout)|(PRM\|1\|D)|(kpr)|(kdp)|(train st.+moving)|(\|lc)|(penalty))"</v>
      </c>
      <c r="U25" s="9" t="str">
        <f t="shared" si="2"/>
        <v>4004</v>
      </c>
      <c r="V25" s="31">
        <f t="shared" si="3"/>
        <v>42918.596898148149</v>
      </c>
      <c r="W25" s="45" t="str">
        <f t="shared" si="4"/>
        <v>EC</v>
      </c>
      <c r="X25" s="22">
        <f t="shared" si="5"/>
        <v>137</v>
      </c>
      <c r="Y25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{"issue":{"subject":"","project_id":79,"tracker_id":40,"status_id":1,"priority_id":2,"assigned_to_id":23,"start_date":"2017-07-02","description":"","custom_fields":[{"id":1,"name":"Subdivision","value":"EC"},{"id":4,"name":"Milepost","value":"1.7867"},{"id":17,"name":"Train ID","value":"137-02"},{"id":16,"name":"Locomotive ID","value":"4004"},{"id":130,"name":"Impact","value":""},{"id":150,"name":"Time of Event (Mountain Time)","value":"08:19:32"},{"id":151,"name":"Denver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/c/Users/stu/AppData/Local/Temp/OnboardLogs/RTDC4004 --include="*4004*201707021*"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"%USERPROFILE%\AppData\Local\Temp\OnboardLogs"\RTDC4004\*4004*201707021* &gt;&gt; 2017-07-02-SliceDisagreementCheck.txt</v>
      </c>
      <c r="AE25" s="145" t="str">
        <f t="shared" si="9"/>
        <v>start /low /b %USERPROFILE%\Documents\GitHub\eaglep3\Utilities\DownloadLogsFromS3.py --loco 4004 --day 2017-07-02</v>
      </c>
      <c r="AF25" s="1"/>
    </row>
    <row r="26" spans="1:32" x14ac:dyDescent="0.25">
      <c r="A26" s="31">
        <v>42918.441874999997</v>
      </c>
      <c r="B26" s="30" t="s">
        <v>635</v>
      </c>
      <c r="C26" s="30" t="s">
        <v>640</v>
      </c>
      <c r="D26" s="30" t="s">
        <v>49</v>
      </c>
      <c r="E26" s="30" t="s">
        <v>200</v>
      </c>
      <c r="F26" s="42">
        <v>300</v>
      </c>
      <c r="G26" s="42">
        <v>422</v>
      </c>
      <c r="H26" s="42">
        <v>23371</v>
      </c>
      <c r="I26" s="42">
        <v>22274</v>
      </c>
      <c r="J26" s="30" t="s">
        <v>201</v>
      </c>
      <c r="K26" s="42">
        <v>21848</v>
      </c>
      <c r="L26" s="131" t="s">
        <v>51</v>
      </c>
      <c r="M26" s="132">
        <f t="shared" si="0"/>
        <v>224.928</v>
      </c>
      <c r="N26" s="133" t="str">
        <f>VLOOKUP(C26,'Trips&amp;Operators'!$C$1:$G$99999,5,FALSE)</f>
        <v>CHANDLER KELVIN</v>
      </c>
      <c r="O26" s="203" t="s">
        <v>180</v>
      </c>
      <c r="P26" s="134"/>
      <c r="Q26" s="30"/>
      <c r="R26" s="81" t="str">
        <f>VLOOKUP(C26,'Train Runs'!$A$13:$AE$9930,31,0)</f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S26" s="84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-07-02T08:48:40-0600',mode:absolute,to:'2017-07-02T11:43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6" s="86" t="str">
        <f t="shared" si="1"/>
        <v>"C:\Program Files (x86)\AstroGrep\AstroGrep.exe" /e /r /s /spath="%USERPROFILE%\AppData\Local\Temp\OnboardLogs" /stypes="*4053*201707021*" /stext=" 16:.+((SYSTEM_STATE.+slice.+state.+changed )|(ment ac)|(multiple cpu faults)|(system.+state.+changed )|(\[timeout)|(PRM\|1\|D)|(kpr)|(kdp)|(train st.+moving)|(\|lc)|(penalty))"</v>
      </c>
      <c r="U26" s="9" t="str">
        <f t="shared" si="2"/>
        <v>4053</v>
      </c>
      <c r="V26" s="31">
        <f t="shared" si="3"/>
        <v>42918.691874999997</v>
      </c>
      <c r="W26" s="45" t="str">
        <f t="shared" si="4"/>
        <v>EC</v>
      </c>
      <c r="X26" s="22">
        <f t="shared" si="5"/>
        <v>144</v>
      </c>
      <c r="Y26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{"issue":{"subject":"","project_id":79,"tracker_id":40,"status_id":1,"priority_id":2,"assigned_to_id":23,"start_date":"2017-07-02","description":"","custom_fields":[{"id":1,"name":"Subdivision","value":"EC"},{"id":4,"name":"Milepost","value":"2.1848"},{"id":17,"name":"Train ID","value":"144-02"},{"id":16,"name":"Locomotive ID","value":"4053"},{"id":130,"name":"Impact","value":""},{"id":150,"name":"Time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/c/Users/stu/AppData/Local/Temp/OnboardLogs/RTDC4053 --include="*4053*201707021*"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"%USERPROFILE%\AppData\Local\Temp\OnboardLogs"\RTDC4053\*4053*201707021* &gt;&gt; 2017-07-02-SliceDisagreementCheck.txt</v>
      </c>
      <c r="AE26" s="145" t="str">
        <f t="shared" si="9"/>
        <v>start /low /b %USERPROFILE%\Documents\GitHub\eaglep3\Utilities\DownloadLogsFromS3.py --loco 4053 --day 2017-07-02</v>
      </c>
      <c r="AF26" s="1"/>
    </row>
    <row r="27" spans="1:32" x14ac:dyDescent="0.25">
      <c r="A27" s="31">
        <v>42918.522615740738</v>
      </c>
      <c r="B27" s="30" t="s">
        <v>365</v>
      </c>
      <c r="C27" s="30" t="s">
        <v>648</v>
      </c>
      <c r="D27" s="30" t="s">
        <v>49</v>
      </c>
      <c r="E27" s="30" t="s">
        <v>200</v>
      </c>
      <c r="F27" s="42">
        <v>300</v>
      </c>
      <c r="G27" s="42">
        <v>490</v>
      </c>
      <c r="H27" s="42">
        <v>24777</v>
      </c>
      <c r="I27" s="42">
        <v>23346</v>
      </c>
      <c r="J27" s="30" t="s">
        <v>201</v>
      </c>
      <c r="K27" s="42">
        <v>21848</v>
      </c>
      <c r="L27" s="131" t="s">
        <v>51</v>
      </c>
      <c r="M27" s="132">
        <f t="shared" si="0"/>
        <v>790.94399999999996</v>
      </c>
      <c r="N27" s="133" t="str">
        <f>VLOOKUP(C27,'Trips&amp;Operators'!$C$1:$G$99999,5,FALSE)</f>
        <v>MACDONALD THOMAS</v>
      </c>
      <c r="O27" s="203" t="s">
        <v>180</v>
      </c>
      <c r="P27" s="134"/>
      <c r="Q27" s="30"/>
      <c r="R27" s="81" t="str">
        <f>VLOOKUP(C27,'Train Runs'!$A$13:$AE$9930,31,0)</f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S27" s="84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-07-02T10:54:41-0600',mode:absolute,to:'2017-07-02T13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86" t="str">
        <f t="shared" si="1"/>
        <v>"C:\Program Files (x86)\AstroGrep\AstroGrep.exe" /e /r /s /spath="%USERPROFILE%\AppData\Local\Temp\OnboardLogs" /stypes="*4021*201707021*" /stext=" 18:.+((SYSTEM_STATE.+slice.+state.+changed )|(ment ac)|(multiple cpu faults)|(system.+state.+changed )|(\[timeout)|(PRM\|1\|D)|(kpr)|(kdp)|(train st.+moving)|(\|lc)|(penalty))"</v>
      </c>
      <c r="U27" s="9" t="str">
        <f t="shared" si="2"/>
        <v>4021</v>
      </c>
      <c r="V27" s="31">
        <f t="shared" si="3"/>
        <v>42918.772615740738</v>
      </c>
      <c r="W27" s="45" t="str">
        <f t="shared" si="4"/>
        <v>EC</v>
      </c>
      <c r="X27" s="22">
        <f t="shared" si="5"/>
        <v>160</v>
      </c>
      <c r="Y27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{"issue":{"subject":"","project_id":79,"tracker_id":40,"status_id":1,"priority_id":2,"assigned_to_id":23,"start_date":"2017-07-02","description":"","custom_fields":[{"id":1,"name":"Subdivision","value":"EC"},{"id":4,"name":"Milepost","value":"2.1848"},{"id":17,"name":"Train ID","value":"160-02"},{"id":16,"name":"Locomotive ID","value":"4021"},{"id":130,"name":"Impact","value":""},{"id":150,"name":"Time of Event (Mountain Time)","value":"12:32:34"},{"id":151,"name":"Denver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/c/Users/stu/AppData/Local/Temp/OnboardLogs/RTDC4021 --include="*4021*201707021*"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"%USERPROFILE%\AppData\Local\Temp\OnboardLogs"\RTDC4021\*4021*201707021* &gt;&gt; 2017-07-02-SliceDisagreementCheck.txt</v>
      </c>
      <c r="AE27" s="145" t="str">
        <f t="shared" si="9"/>
        <v>start /low /b %USERPROFILE%\Documents\GitHub\eaglep3\Utilities\DownloadLogsFromS3.py --loco 4021 --day 2017-07-02</v>
      </c>
      <c r="AF27" s="1"/>
    </row>
    <row r="28" spans="1:32" x14ac:dyDescent="0.25">
      <c r="A28" s="31">
        <v>42918.671481481484</v>
      </c>
      <c r="B28" s="30" t="s">
        <v>398</v>
      </c>
      <c r="C28" s="30" t="s">
        <v>662</v>
      </c>
      <c r="D28" s="30" t="s">
        <v>96</v>
      </c>
      <c r="E28" s="30" t="s">
        <v>200</v>
      </c>
      <c r="F28" s="42">
        <v>200</v>
      </c>
      <c r="G28" s="42">
        <v>250</v>
      </c>
      <c r="H28" s="42">
        <v>27471</v>
      </c>
      <c r="I28" s="42">
        <v>27783</v>
      </c>
      <c r="J28" s="30" t="s">
        <v>201</v>
      </c>
      <c r="K28" s="42">
        <v>27333</v>
      </c>
      <c r="L28" s="131" t="s">
        <v>50</v>
      </c>
      <c r="M28" s="132">
        <f t="shared" si="0"/>
        <v>-237.6</v>
      </c>
      <c r="N28" s="133" t="str">
        <f>VLOOKUP(C28,'Trips&amp;Operators'!$C$1:$G$99999,5,FALSE)</f>
        <v>ROMERO CHAD</v>
      </c>
      <c r="O28" s="203" t="s">
        <v>180</v>
      </c>
      <c r="P28" s="134"/>
      <c r="Q28" s="30"/>
      <c r="R28" s="81" t="str">
        <f>VLOOKUP(C28,'Train Runs'!$A$13:$AE$9930,31,0)</f>
        <v>aws s3 cp s3://rtdc.mdm.uploadarchive.raw/RTDC4054/ "%USERPROFILE%\AppData\Local\Temp\OnboardLogs"\RTDC4054\2017-07-02 --exclude "*" --recursive --include "*20170702*" &amp; "%USERPROFILE%\Documents\GitHub\mrs-test-scripts\Headless Mode &amp; Sideloading\WalkAndUnGZ.bat" "%USERPROFILE%\AppData\Local\Temp\OnboardLogs"\RTDC4054\2017-07-02 &amp; aws s3 cp s3://rtdc.mdm.uploadarchive.raw/RTDC4054/ "%USERPROFILE%\AppData\Local\Temp\OnboardLogs"\RTDC4054\2017-07-03 --exclude "*" --recursive --include "*20170703*" &amp; "%USERPROFILE%\Documents\GitHub\mrs-test-scripts\Headless Mode &amp; Sideloading\WalkAndUnGZ.bat" "%USERPROFILE%\AppData\Local\Temp\OnboardLogs"\RTDC4054\2017-07-03</v>
      </c>
      <c r="S28" s="84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-07-02T14:54:37-0600',mode:absolute,to:'2017-07-02T17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86" t="str">
        <f t="shared" si="1"/>
        <v>"C:\Program Files (x86)\AstroGrep\AstroGrep.exe" /e /r /s /spath="%USERPROFILE%\AppData\Local\Temp\OnboardLogs" /stypes="*4054*201707022*" /stext=" 22:.+((SYSTEM_STATE.+slice.+state.+changed )|(ment ac)|(multiple cpu faults)|(system.+state.+changed )|(\[timeout)|(PRM\|1\|D)|(kpr)|(kdp)|(train st.+moving)|(\|lc)|(penalty))"</v>
      </c>
      <c r="U28" s="9" t="str">
        <f t="shared" si="2"/>
        <v>4054</v>
      </c>
      <c r="V28" s="31">
        <f t="shared" si="3"/>
        <v>42918.921481481484</v>
      </c>
      <c r="W28" s="45" t="str">
        <f t="shared" si="4"/>
        <v>EC</v>
      </c>
      <c r="X28" s="22">
        <f t="shared" si="5"/>
        <v>199</v>
      </c>
      <c r="Y28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{"issue":{"subject":"","project_id":79,"tracker_id":40,"status_id":1,"priority_id":2,"assigned_to_id":23,"start_date":"2017-07-02","description":"","custom_fields":[{"id":1,"name":"Subdivision","value":"EC"},{"id":4,"name":"Milepost","value":"2.7333"},{"id":17,"name":"Train ID","value":"199-02"},{"id":16,"name":"Locomotive ID","value":"4054"},{"id":130,"name":"Impact","value":""},{"id":150,"name":"Time of Event (Mountain Time)","value":"16:06:56"},{"id":151,"name":"Denver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/c/Users/stu/AppData/Local/Temp/OnboardLogs/RTDC4054 --include="*4054*201707022*"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"%USERPROFILE%\AppData\Local\Temp\OnboardLogs"\RTDC4054\*4054*201707022* &gt;&gt; 2017-07-02-SliceDisagreementCheck.txt</v>
      </c>
      <c r="AE28" s="145" t="str">
        <f t="shared" si="9"/>
        <v>start /low /b %USERPROFILE%\Documents\GitHub\eaglep3\Utilities\DownloadLogsFromS3.py --loco 4054 --day 2017-07-02</v>
      </c>
      <c r="AF28" s="1"/>
    </row>
    <row r="29" spans="1:32" x14ac:dyDescent="0.25">
      <c r="A29" s="31">
        <v>42918.402662037035</v>
      </c>
      <c r="B29" s="30" t="s">
        <v>341</v>
      </c>
      <c r="C29" s="30" t="s">
        <v>638</v>
      </c>
      <c r="D29" s="30" t="s">
        <v>49</v>
      </c>
      <c r="E29" s="30" t="s">
        <v>200</v>
      </c>
      <c r="F29" s="42">
        <v>400</v>
      </c>
      <c r="G29" s="42">
        <v>695</v>
      </c>
      <c r="H29" s="42">
        <v>113349</v>
      </c>
      <c r="I29" s="42">
        <v>116364</v>
      </c>
      <c r="J29" s="30" t="s">
        <v>201</v>
      </c>
      <c r="K29" s="42">
        <v>116838</v>
      </c>
      <c r="L29" s="131" t="s">
        <v>50</v>
      </c>
      <c r="M29" s="132">
        <f t="shared" si="0"/>
        <v>250.27199999999999</v>
      </c>
      <c r="N29" s="133" t="str">
        <f>VLOOKUP(C29,'Trips&amp;Operators'!$C$1:$G$99999,5,FALSE)</f>
        <v>MACDONALD THOMAS</v>
      </c>
      <c r="O29" s="203" t="s">
        <v>180</v>
      </c>
      <c r="P29" s="134"/>
      <c r="Q29" s="30"/>
      <c r="R29" s="81" t="str">
        <f>VLOOKUP(C29,'Train Runs'!$A$13:$AE$9930,31,0)</f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S29" s="84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-07-02T08:12:35-0600',mode:absolute,to:'2017-07-02T10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9" s="86" t="str">
        <f t="shared" si="1"/>
        <v>"C:\Program Files (x86)\AstroGrep\AstroGrep.exe" /e /r /s /spath="%USERPROFILE%\AppData\Local\Temp\OnboardLogs" /stypes="*4022*201707021*"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4022</v>
      </c>
      <c r="V29" s="31">
        <f t="shared" si="3"/>
        <v>42918.652662037035</v>
      </c>
      <c r="W29" s="45" t="str">
        <f t="shared" si="4"/>
        <v>EC</v>
      </c>
      <c r="X29" s="22">
        <f t="shared" si="5"/>
        <v>145</v>
      </c>
      <c r="Y29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{"issue":{"subject":"","project_id":79,"tracker_id":40,"status_id":1,"priority_id":2,"assigned_to_id":23,"start_date":"2017-07-02","description":"","custom_fields":[{"id":1,"name":"Subdivision","value":"EC"},{"id":4,"name":"Milepost","value":"11.6838"},{"id":17,"name":"Train ID","value":"145-02"},{"id":16,"name":"Locomotive ID","value":"4022"},{"id":130,"name":"Impact","value":""},{"id":150,"name":"Time of Event (Mountain Time)","value":"09:39:50"},{"id":151,"name":"Denver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/c/Users/stu/AppData/Local/Temp/OnboardLogs/RTDC4022 --include="*4022*201707021*"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"%USERPROFILE%\AppData\Local\Temp\OnboardLogs"\RTDC4022\*4022*201707021* &gt;&gt; 2017-07-02-SliceDisagreementCheck.txt</v>
      </c>
      <c r="AE29" s="145" t="str">
        <f t="shared" si="9"/>
        <v>start /low /b %USERPROFILE%\Documents\GitHub\eaglep3\Utilities\DownloadLogsFromS3.py --loco 4022 --day 2017-07-02</v>
      </c>
      <c r="AF29" s="1"/>
    </row>
    <row r="30" spans="1:32" x14ac:dyDescent="0.25">
      <c r="A30" s="31">
        <v>42918.501921296294</v>
      </c>
      <c r="B30" s="30" t="s">
        <v>439</v>
      </c>
      <c r="C30" s="30" t="s">
        <v>646</v>
      </c>
      <c r="D30" s="30" t="s">
        <v>96</v>
      </c>
      <c r="E30" s="30" t="s">
        <v>200</v>
      </c>
      <c r="F30" s="42">
        <v>400</v>
      </c>
      <c r="G30" s="42">
        <v>458</v>
      </c>
      <c r="H30" s="42">
        <v>119533</v>
      </c>
      <c r="I30" s="42">
        <v>120768</v>
      </c>
      <c r="J30" s="30" t="s">
        <v>201</v>
      </c>
      <c r="K30" s="42">
        <v>116838</v>
      </c>
      <c r="L30" s="131" t="s">
        <v>50</v>
      </c>
      <c r="M30" s="132">
        <f t="shared" si="0"/>
        <v>-2075.04</v>
      </c>
      <c r="N30" s="133" t="str">
        <f>VLOOKUP(C30,'Trips&amp;Operators'!$C$1:$G$99999,5,FALSE)</f>
        <v>BRANDNER MELINDA</v>
      </c>
      <c r="O30" s="203" t="s">
        <v>180</v>
      </c>
      <c r="P30" s="134"/>
      <c r="Q30" s="30"/>
      <c r="R30" s="81" t="str">
        <f>VLOOKUP(C30,'Train Runs'!$A$13:$AE$9930,31,0)</f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S30" s="84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-07-02T10:27:08-0600',mode:absolute,to:'2017-07-02T13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0" s="86" t="str">
        <f t="shared" si="1"/>
        <v>"C:\Program Files (x86)\AstroGrep\AstroGrep.exe" /e /r /s /spath="%USERPROFILE%\AppData\Local\Temp\OnboardLogs" /stypes="*4046*201707021*"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4046</v>
      </c>
      <c r="V30" s="31">
        <f t="shared" si="3"/>
        <v>42918.751921296294</v>
      </c>
      <c r="W30" s="45" t="str">
        <f t="shared" si="4"/>
        <v>EC</v>
      </c>
      <c r="X30" s="22">
        <f t="shared" si="5"/>
        <v>163</v>
      </c>
      <c r="Y30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{"issue":{"subject":"","project_id":79,"tracker_id":40,"status_id":1,"priority_id":2,"assigned_to_id":23,"start_date":"2017-07-02","description":"","custom_fields":[{"id":1,"name":"Subdivision","value":"EC"},{"id":4,"name":"Milepost","value":"11.6838"},{"id":17,"name":"Train ID","value":"163-02"},{"id":16,"name":"Locomotive ID","value":"4046"},{"id":130,"name":"Impact","value":""},{"id":150,"name":"Time of Event (Mountain Time)","value":"12:02:46"},{"id":151,"name":"Denver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/c/Users/stu/AppData/Local/Temp/OnboardLogs/RTDC4046 --include="*4046*201707021*"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"%USERPROFILE%\AppData\Local\Temp\OnboardLogs"\RTDC4046\*4046*201707021* &gt;&gt; 2017-07-02-SliceDisagreementCheck.txt</v>
      </c>
      <c r="AE30" s="145" t="str">
        <f t="shared" si="9"/>
        <v>start /low /b %USERPROFILE%\Documents\GitHub\eaglep3\Utilities\DownloadLogsFromS3.py --loco 4046 --day 2017-07-02</v>
      </c>
      <c r="AF30" s="1"/>
    </row>
    <row r="31" spans="1:32" s="20" customFormat="1" x14ac:dyDescent="0.25">
      <c r="A31" s="31">
        <v>42918.789918981478</v>
      </c>
      <c r="B31" s="30" t="s">
        <v>421</v>
      </c>
      <c r="C31" s="30" t="s">
        <v>675</v>
      </c>
      <c r="D31" s="30" t="s">
        <v>96</v>
      </c>
      <c r="E31" s="30" t="s">
        <v>200</v>
      </c>
      <c r="F31" s="42">
        <v>700</v>
      </c>
      <c r="G31" s="42">
        <v>751</v>
      </c>
      <c r="H31" s="42">
        <v>175105</v>
      </c>
      <c r="I31" s="42">
        <v>177961</v>
      </c>
      <c r="J31" s="30" t="s">
        <v>201</v>
      </c>
      <c r="K31" s="42">
        <v>161962</v>
      </c>
      <c r="L31" s="131" t="s">
        <v>50</v>
      </c>
      <c r="M31" s="132">
        <f t="shared" si="0"/>
        <v>-8447.4719999999998</v>
      </c>
      <c r="N31" s="133" t="str">
        <f>VLOOKUP(C31,'Trips&amp;Operators'!$C$1:$G$99999,5,FALSE)</f>
        <v>PERKINS DARREN</v>
      </c>
      <c r="O31" s="203" t="s">
        <v>180</v>
      </c>
      <c r="P31" s="134"/>
      <c r="Q31" s="30"/>
      <c r="R31" s="81" t="str">
        <f>VLOOKUP(C31,'Train Runs'!$A$13:$AE$9930,31,0)</f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S31" s="84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-07-02T17:20:13-0600',mode:absolute,to:'2017-07-02T20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86" t="str">
        <f t="shared" si="1"/>
        <v>"C:\Program Files (x86)\AstroGrep\AstroGrep.exe" /e /r /s /spath="%USERPROFILE%\AppData\Local\Temp\OnboardLogs" /stypes="*4044*201707030*"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4044</v>
      </c>
      <c r="V31" s="31">
        <f t="shared" si="3"/>
        <v>42919.039918981478</v>
      </c>
      <c r="W31" s="45" t="str">
        <f t="shared" si="4"/>
        <v>EC</v>
      </c>
      <c r="X31" s="22">
        <f t="shared" si="5"/>
        <v>217</v>
      </c>
      <c r="Y31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{"issue":{"subject":"","project_id":79,"tracker_id":40,"status_id":1,"priority_id":2,"assigned_to_id":23,"start_date":"2017-07-02","description":"","custom_fields":[{"id":1,"name":"Subdivision","value":"EC"},{"id":4,"name":"Milepost","value":"16.1962"},{"id":17,"name":"Train ID","value":"217-02"},{"id":16,"name":"Locomotive ID","value":"4044"},{"id":130,"name":"Impact","value":""},{"id":150,"name":"Time of Event (Mountain Time)","value":"18:57:29"},{"id":151,"name":"Denver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/c/Users/stu/AppData/Local/Temp/OnboardLogs/RTDC4044 --include="*4044*201707030*"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"%USERPROFILE%\AppData\Local\Temp\OnboardLogs"\RTDC4044\*4044*201707030* &gt;&gt; 2017-07-02-SliceDisagreementCheck.txt</v>
      </c>
      <c r="AE31" s="145" t="str">
        <f t="shared" si="9"/>
        <v>start /low /b %USERPROFILE%\Documents\GitHub\eaglep3\Utilities\DownloadLogsFromS3.py --loco 4044 --day 2017-07-03</v>
      </c>
      <c r="AF31" s="1"/>
    </row>
    <row r="32" spans="1:32" x14ac:dyDescent="0.25">
      <c r="A32" s="31">
        <v>42918.56931712963</v>
      </c>
      <c r="B32" s="30" t="s">
        <v>421</v>
      </c>
      <c r="C32" s="30" t="s">
        <v>651</v>
      </c>
      <c r="D32" s="30" t="s">
        <v>49</v>
      </c>
      <c r="E32" s="30" t="s">
        <v>200</v>
      </c>
      <c r="F32" s="42">
        <v>600</v>
      </c>
      <c r="G32" s="42">
        <v>697</v>
      </c>
      <c r="H32" s="42">
        <v>181646</v>
      </c>
      <c r="I32" s="42">
        <v>184567</v>
      </c>
      <c r="J32" s="30" t="s">
        <v>201</v>
      </c>
      <c r="K32" s="42">
        <v>183829</v>
      </c>
      <c r="L32" s="131" t="s">
        <v>50</v>
      </c>
      <c r="M32" s="132">
        <f t="shared" si="0"/>
        <v>-389.66399999999999</v>
      </c>
      <c r="N32" s="133" t="str">
        <f>VLOOKUP(C32,'Trips&amp;Operators'!$C$1:$G$99999,5,FALSE)</f>
        <v>DAVIS MICHAEL</v>
      </c>
      <c r="O32" s="203" t="s">
        <v>180</v>
      </c>
      <c r="P32" s="134"/>
      <c r="Q32" s="30"/>
      <c r="R32" s="81" t="str">
        <f>VLOOKUP(C32,'Train Runs'!$A$13:$AE$9930,31,0)</f>
        <v>aws s3 cp s3://rtdc.mdm.uploadarchive.raw/RTDC4044/ "%USERPROFILE%\AppData\Local\Temp\OnboardLogs"\RTDC4044\2017-07-02 --exclude "*" --recursive --include "*20170702*" &amp; "%USERPROFILE%\Documents\GitHub\mrs-test-scripts\Headless Mode &amp; Sideloading\WalkAndUnGZ.bat" "%USERPROFILE%\AppData\Local\Temp\OnboardLogs"\RTDC4044\2017-07-02 &amp; aws s3 cp s3://rtdc.mdm.uploadarchive.raw/RTDC4044/ "%USERPROFILE%\AppData\Local\Temp\OnboardLogs"\RTDC4044\2017-07-03 --exclude "*" --recursive --include "*20170703*" &amp; "%USERPROFILE%\Documents\GitHub\mrs-test-scripts\Headless Mode &amp; Sideloading\WalkAndUnGZ.bat" "%USERPROFILE%\AppData\Local\Temp\OnboardLogs"\RTDC4044\2017-07-03</v>
      </c>
      <c r="S32" s="84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-07-02T12:00:20-0600',mode:absolute,to:'2017-07-02T14:47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86" t="str">
        <f t="shared" si="1"/>
        <v>"C:\Program Files (x86)\AstroGrep\AstroGrep.exe" /e /r /s /spath="%USERPROFILE%\AppData\Local\Temp\OnboardLogs" /stypes="*4044*201707021*" /stext=" 19:.+((SYSTEM_STATE.+slice.+state.+changed )|(ment ac)|(multiple cpu faults)|(system.+state.+changed )|(\[timeout)|(PRM\|1\|D)|(kpr)|(kdp)|(train st.+moving)|(\|lc)|(penalty))"</v>
      </c>
      <c r="U32" s="9" t="str">
        <f t="shared" si="2"/>
        <v>4044</v>
      </c>
      <c r="V32" s="31">
        <f t="shared" si="3"/>
        <v>42918.81931712963</v>
      </c>
      <c r="W32" s="45" t="str">
        <f t="shared" si="4"/>
        <v>EC</v>
      </c>
      <c r="X32" s="22">
        <f t="shared" si="5"/>
        <v>175</v>
      </c>
      <c r="Y32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{"issue":{"subject":"","project_id":79,"tracker_id":40,"status_id":1,"priority_id":2,"assigned_to_id":23,"start_date":"2017-07-02","description":"","custom_fields":[{"id":1,"name":"Subdivision","value":"EC"},{"id":4,"name":"Milepost","value":"18.3829"},{"id":17,"name":"Train ID","value":"175-02"},{"id":16,"name":"Locomotive ID","value":"4044"},{"id":130,"name":"Impact","value":""},{"id":150,"name":"Time of Event (Mountain Time)","value":"13:39:49"},{"id":151,"name":"Denver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/c/Users/stu/AppData/Local/Temp/OnboardLogs/RTDC4044 --include="*4044*201707021*"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"%USERPROFILE%\AppData\Local\Temp\OnboardLogs"\RTDC4044\*4044*201707021* &gt;&gt; 2017-07-02-SliceDisagreementCheck.txt</v>
      </c>
      <c r="AE32" s="145" t="str">
        <f t="shared" si="9"/>
        <v>start /low /b %USERPROFILE%\Documents\GitHub\eaglep3\Utilities\DownloadLogsFromS3.py --loco 4044 --day 2017-07-02</v>
      </c>
      <c r="AF32" s="1"/>
    </row>
    <row r="33" spans="1:32" x14ac:dyDescent="0.25">
      <c r="A33" s="31">
        <v>42918.714467592596</v>
      </c>
      <c r="B33" s="30" t="s">
        <v>635</v>
      </c>
      <c r="C33" s="30" t="s">
        <v>667</v>
      </c>
      <c r="D33" s="30" t="s">
        <v>96</v>
      </c>
      <c r="E33" s="30" t="s">
        <v>200</v>
      </c>
      <c r="F33" s="42">
        <v>700</v>
      </c>
      <c r="G33" s="42">
        <v>750</v>
      </c>
      <c r="H33" s="42">
        <v>180271</v>
      </c>
      <c r="I33" s="42">
        <v>176724</v>
      </c>
      <c r="J33" s="30" t="s">
        <v>201</v>
      </c>
      <c r="K33" s="42">
        <v>183829</v>
      </c>
      <c r="L33" s="131" t="s">
        <v>51</v>
      </c>
      <c r="M33" s="132">
        <f t="shared" si="0"/>
        <v>-3751.44</v>
      </c>
      <c r="N33" s="133" t="str">
        <f>VLOOKUP(C33,'Trips&amp;Operators'!$C$1:$G$99999,5,FALSE)</f>
        <v>ROMERO CHAD</v>
      </c>
      <c r="O33" s="203" t="s">
        <v>180</v>
      </c>
      <c r="P33" s="134"/>
      <c r="Q33" s="30"/>
      <c r="R33" s="81" t="str">
        <f>VLOOKUP(C33,'Train Runs'!$A$13:$AE$9930,31,0)</f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S33" s="84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-07-02T15:42:47-0600',mode:absolute,to:'2017-07-02T18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3" s="86" t="str">
        <f t="shared" si="1"/>
        <v>"C:\Program Files (x86)\AstroGrep\AstroGrep.exe" /e /r /s /spath="%USERPROFILE%\AppData\Local\Temp\OnboardLogs" /stypes="*4053*201707022*"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4053</v>
      </c>
      <c r="V33" s="31">
        <f t="shared" si="3"/>
        <v>42918.964467592596</v>
      </c>
      <c r="W33" s="45" t="str">
        <f t="shared" si="4"/>
        <v>EC</v>
      </c>
      <c r="X33" s="22">
        <f t="shared" si="5"/>
        <v>200</v>
      </c>
      <c r="Y33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{"issue":{"subject":"","project_id":79,"tracker_id":40,"status_id":1,"priority_id":2,"assigned_to_id":23,"start_date":"2017-07-02","description":"","custom_fields":[{"id":1,"name":"Subdivision","value":"EC"},{"id":4,"name":"Milepost","value":"18.3829"},{"id":17,"name":"Train ID","value":"200-02"},{"id":16,"name":"Locomotive ID","value":"4053"},{"id":130,"name":"Impact","value":""},{"id":150,"name":"Time of Event (Mountain Time)","value":"17:08:50"},{"id":151,"name":"Denver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/c/Users/stu/AppData/Local/Temp/OnboardLogs/RTDC4053 --include="*4053*201707022*"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"%USERPROFILE%\AppData\Local\Temp\OnboardLogs"\RTDC4053\*4053*201707022* &gt;&gt; 2017-07-02-SliceDisagreementCheck.txt</v>
      </c>
      <c r="AE33" s="145" t="str">
        <f t="shared" si="9"/>
        <v>start /low /b %USERPROFILE%\Documents\GitHub\eaglep3\Utilities\DownloadLogsFromS3.py --loco 4053 --day 2017-07-02</v>
      </c>
      <c r="AF33" s="1"/>
    </row>
    <row r="34" spans="1:32" x14ac:dyDescent="0.25">
      <c r="A34" s="31">
        <v>42918.806018518517</v>
      </c>
      <c r="B34" s="30" t="s">
        <v>417</v>
      </c>
      <c r="C34" s="30" t="s">
        <v>676</v>
      </c>
      <c r="D34" s="30" t="s">
        <v>96</v>
      </c>
      <c r="E34" s="30" t="s">
        <v>200</v>
      </c>
      <c r="F34" s="42">
        <v>600</v>
      </c>
      <c r="G34" s="42">
        <v>651</v>
      </c>
      <c r="H34" s="42">
        <v>184513</v>
      </c>
      <c r="I34" s="42">
        <v>181181</v>
      </c>
      <c r="J34" s="30" t="s">
        <v>201</v>
      </c>
      <c r="K34" s="42">
        <v>190834</v>
      </c>
      <c r="L34" s="131" t="s">
        <v>51</v>
      </c>
      <c r="M34" s="132">
        <f t="shared" si="0"/>
        <v>-5096.7839999999997</v>
      </c>
      <c r="N34" s="133" t="str">
        <f>VLOOKUP(C34,'Trips&amp;Operators'!$C$1:$G$99999,5,FALSE)</f>
        <v>PERKINS DARREN</v>
      </c>
      <c r="O34" s="203" t="s">
        <v>180</v>
      </c>
      <c r="P34" s="134"/>
      <c r="Q34" s="30"/>
      <c r="R34" s="81" t="str">
        <f>VLOOKUP(C34,'Train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34" s="84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-07-02T18:08:41-0600',mode:absolute,to:'2017-07-02T20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4" s="86" t="str">
        <f t="shared" si="1"/>
        <v>"C:\Program Files (x86)\AstroGrep\AstroGrep.exe" /e /r /s /spath="%USERPROFILE%\AppData\Local\Temp\OnboardLogs" /stypes="*4043*201707030*"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4043</v>
      </c>
      <c r="V34" s="31">
        <f t="shared" si="3"/>
        <v>42919.056018518517</v>
      </c>
      <c r="W34" s="45" t="str">
        <f t="shared" si="4"/>
        <v>EC</v>
      </c>
      <c r="X34" s="22">
        <f t="shared" si="5"/>
        <v>218</v>
      </c>
      <c r="Y34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{"issue":{"subject":"","project_id":79,"tracker_id":40,"status_id":1,"priority_id":2,"assigned_to_id":23,"start_date":"2017-07-02","description":"","custom_fields":[{"id":1,"name":"Subdivision","value":"EC"},{"id":4,"name":"Milepost","value":"19.0834"},{"id":17,"name":"Train ID","value":"218-02"},{"id":16,"name":"Locomotive ID","value":"4043"},{"id":130,"name":"Impact","value":""},{"id":150,"name":"Time of Event (Mountain Time)","value":"19:20:40"},{"id":151,"name":"Denver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/c/Users/stu/AppData/Local/Temp/OnboardLogs/RTDC4043 --include="*4043*201707030*"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"%USERPROFILE%\AppData\Local\Temp\OnboardLogs"\RTDC4043\*4043*201707030* &gt;&gt; 2017-07-02-SliceDisagreementCheck.txt</v>
      </c>
      <c r="AE34" s="145" t="str">
        <f t="shared" si="9"/>
        <v>start /low /b %USERPROFILE%\Documents\GitHub\eaglep3\Utilities\DownloadLogsFromS3.py --loco 4043 --day 2017-07-03</v>
      </c>
      <c r="AF34" s="1"/>
    </row>
    <row r="35" spans="1:32" x14ac:dyDescent="0.25">
      <c r="A35" s="31">
        <v>42918.284363425926</v>
      </c>
      <c r="B35" s="30" t="s">
        <v>365</v>
      </c>
      <c r="C35" s="30" t="s">
        <v>631</v>
      </c>
      <c r="D35" s="30" t="s">
        <v>49</v>
      </c>
      <c r="E35" s="30" t="s">
        <v>200</v>
      </c>
      <c r="F35" s="42">
        <v>600</v>
      </c>
      <c r="G35" s="42">
        <v>651</v>
      </c>
      <c r="H35" s="42">
        <v>192070</v>
      </c>
      <c r="I35" s="42">
        <v>189850</v>
      </c>
      <c r="J35" s="30" t="s">
        <v>201</v>
      </c>
      <c r="K35" s="42">
        <v>191104</v>
      </c>
      <c r="L35" s="131" t="s">
        <v>51</v>
      </c>
      <c r="M35" s="132">
        <f t="shared" si="0"/>
        <v>-662.11200000000008</v>
      </c>
      <c r="N35" s="133" t="str">
        <f>VLOOKUP(C35,'Trips&amp;Operators'!$C$1:$G$99999,5,FALSE)</f>
        <v>MACDONALD THOMAS</v>
      </c>
      <c r="O35" s="203" t="s">
        <v>180</v>
      </c>
      <c r="P35" s="134"/>
      <c r="Q35" s="30"/>
      <c r="R35" s="81" t="str">
        <f>VLOOKUP(C35,'Train Runs'!$A$13:$AE$9930,31,0)</f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S35" s="84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-07-02T05:22:25-0600',mode:absolute,to:'2017-07-02T08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5" s="86" t="str">
        <f t="shared" si="1"/>
        <v>"C:\Program Files (x86)\AstroGrep\AstroGrep.exe" /e /r /s /spath="%USERPROFILE%\AppData\Local\Temp\OnboardLogs" /stypes="*4021*201707021*" /stext=" 12:.+((SYSTEM_STATE.+slice.+state.+changed )|(ment ac)|(multiple cpu faults)|(system.+state.+changed )|(\[timeout)|(PRM\|1\|D)|(kpr)|(kdp)|(train st.+moving)|(\|lc)|(penalty))"</v>
      </c>
      <c r="U35" s="9" t="str">
        <f t="shared" si="2"/>
        <v>4021</v>
      </c>
      <c r="V35" s="31">
        <f t="shared" si="3"/>
        <v>42918.534363425926</v>
      </c>
      <c r="W35" s="45" t="str">
        <f t="shared" si="4"/>
        <v>EC</v>
      </c>
      <c r="X35" s="22">
        <f t="shared" si="5"/>
        <v>118</v>
      </c>
      <c r="Y35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{"issue":{"subject":"","project_id":79,"tracker_id":40,"status_id":1,"priority_id":2,"assigned_to_id":23,"start_date":"2017-07-02","description":"","custom_fields":[{"id":1,"name":"Subdivision","value":"EC"},{"id":4,"name":"Milepost","value":"19.1104"},{"id":17,"name":"Train ID","value":"118-02"},{"id":16,"name":"Locomotive ID","value":"4021"},{"id":130,"name":"Impact","value":""},{"id":150,"name":"Time of Event (Mountain Time)","value":"06:49:29"},{"id":151,"name":"Denver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/c/Users/stu/AppData/Local/Temp/OnboardLogs/RTDC4021 --include="*4021*201707021*"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"%USERPROFILE%\AppData\Local\Temp\OnboardLogs"\RTDC4021\*4021*201707021* &gt;&gt; 2017-07-02-SliceDisagreementCheck.txt</v>
      </c>
      <c r="AE35" s="145" t="str">
        <f t="shared" si="9"/>
        <v>start /low /b %USERPROFILE%\Documents\GitHub\eaglep3\Utilities\DownloadLogsFromS3.py --loco 4021 --day 2017-07-02</v>
      </c>
      <c r="AF35" s="1"/>
    </row>
    <row r="36" spans="1:32" x14ac:dyDescent="0.25">
      <c r="A36" s="31">
        <v>42918.283136574071</v>
      </c>
      <c r="B36" s="30" t="s">
        <v>365</v>
      </c>
      <c r="C36" s="30" t="s">
        <v>631</v>
      </c>
      <c r="D36" s="30" t="s">
        <v>49</v>
      </c>
      <c r="E36" s="30" t="s">
        <v>200</v>
      </c>
      <c r="F36" s="42">
        <v>750</v>
      </c>
      <c r="G36" s="42">
        <v>805</v>
      </c>
      <c r="H36" s="42">
        <v>203002</v>
      </c>
      <c r="I36" s="42">
        <v>198891</v>
      </c>
      <c r="J36" s="30" t="s">
        <v>201</v>
      </c>
      <c r="K36" s="42">
        <v>200463</v>
      </c>
      <c r="L36" s="131" t="s">
        <v>51</v>
      </c>
      <c r="M36" s="132">
        <f t="shared" si="0"/>
        <v>-830.01599999999996</v>
      </c>
      <c r="N36" s="133" t="str">
        <f>VLOOKUP(C36,'Trips&amp;Operators'!$C$1:$G$99999,5,FALSE)</f>
        <v>MACDONALD THOMAS</v>
      </c>
      <c r="O36" s="203" t="s">
        <v>180</v>
      </c>
      <c r="P36" s="134"/>
      <c r="Q36" s="30"/>
      <c r="R36" s="81" t="str">
        <f>VLOOKUP(C36,'Train Runs'!$A$13:$AE$9930,31,0)</f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S36" s="84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-07-02T05:22:25-0600',mode:absolute,to:'2017-07-02T08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6" s="86" t="str">
        <f t="shared" si="1"/>
        <v>"C:\Program Files (x86)\AstroGrep\AstroGrep.exe" /e /r /s /spath="%USERPROFILE%\AppData\Local\Temp\OnboardLogs" /stypes="*4021*201707021*" /stext=" 12:.+((SYSTEM_STATE.+slice.+state.+changed )|(ment ac)|(multiple cpu faults)|(system.+state.+changed )|(\[timeout)|(PRM\|1\|D)|(kpr)|(kdp)|(train st.+moving)|(\|lc)|(penalty))"</v>
      </c>
      <c r="U36" s="9" t="str">
        <f t="shared" si="2"/>
        <v>4021</v>
      </c>
      <c r="V36" s="31">
        <f t="shared" si="3"/>
        <v>42918.533136574071</v>
      </c>
      <c r="W36" s="45" t="str">
        <f t="shared" si="4"/>
        <v>EC</v>
      </c>
      <c r="X36" s="22">
        <f t="shared" si="5"/>
        <v>118</v>
      </c>
      <c r="Y36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{"issue":{"subject":"","project_id":79,"tracker_id":40,"status_id":1,"priority_id":2,"assigned_to_id":23,"start_date":"2017-07-02","description":"","custom_fields":[{"id":1,"name":"Subdivision","value":"EC"},{"id":4,"name":"Milepost","value":"20.0463"},{"id":17,"name":"Train ID","value":"118-02"},{"id":16,"name":"Locomotive ID","value":"4021"},{"id":130,"name":"Impact","value":""},{"id":150,"name":"Time of Event (Mountain Time)","value":"06:47:43"},{"id":151,"name":"Denver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/c/Users/stu/AppData/Local/Temp/OnboardLogs/RTDC4021 --include="*4021*201707021*"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"%USERPROFILE%\AppData\Local\Temp\OnboardLogs"\RTDC4021\*4021*201707021* &gt;&gt; 2017-07-02-SliceDisagreementCheck.txt</v>
      </c>
      <c r="AE36" s="145" t="str">
        <f t="shared" si="9"/>
        <v>start /low /b %USERPROFILE%\Documents\GitHub\eaglep3\Utilities\DownloadLogsFromS3.py --loco 4021 --day 2017-07-02</v>
      </c>
      <c r="AF36" s="1"/>
    </row>
    <row r="37" spans="1:32" x14ac:dyDescent="0.25">
      <c r="A37" s="31">
        <v>42918.680092592593</v>
      </c>
      <c r="B37" s="30" t="s">
        <v>566</v>
      </c>
      <c r="C37" s="30" t="s">
        <v>664</v>
      </c>
      <c r="D37" s="30" t="s">
        <v>49</v>
      </c>
      <c r="E37" s="30" t="s">
        <v>200</v>
      </c>
      <c r="F37" s="42">
        <v>550</v>
      </c>
      <c r="G37" s="42">
        <v>789</v>
      </c>
      <c r="H37" s="42">
        <v>218368</v>
      </c>
      <c r="I37" s="42">
        <v>222109</v>
      </c>
      <c r="J37" s="30" t="s">
        <v>201</v>
      </c>
      <c r="K37" s="42">
        <v>222091</v>
      </c>
      <c r="L37" s="131" t="s">
        <v>50</v>
      </c>
      <c r="M37" s="132">
        <f t="shared" si="0"/>
        <v>-9.5039999999999996</v>
      </c>
      <c r="N37" s="133" t="str">
        <f>VLOOKUP(C37,'Trips&amp;Operators'!$C$1:$G$99999,5,FALSE)</f>
        <v>DELGADO DIANAH</v>
      </c>
      <c r="O37" s="203" t="s">
        <v>180</v>
      </c>
      <c r="P37" s="134"/>
      <c r="Q37" s="30"/>
      <c r="R37" s="81" t="str">
        <f>VLOOKUP(C37,'Train Runs'!$A$13:$AE$9930,31,0)</f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S37" s="84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-07-02T14:41:22-0600',mode:absolute,to:'2017-07-02T17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7" s="86" t="str">
        <f t="shared" si="1"/>
        <v>"C:\Program Files (x86)\AstroGrep\AstroGrep.exe" /e /r /s /spath="%USERPROFILE%\AppData\Local\Temp\OnboardLogs" /stypes="*4064*201707022*" /stext=" 22:.+((SYSTEM_STATE.+slice.+state.+changed )|(ment ac)|(multiple cpu faults)|(system.+state.+changed )|(\[timeout)|(PRM\|1\|D)|(kpr)|(kdp)|(train st.+moving)|(\|lc)|(penalty))"</v>
      </c>
      <c r="U37" s="9" t="str">
        <f t="shared" si="2"/>
        <v>4064</v>
      </c>
      <c r="V37" s="31">
        <f t="shared" si="3"/>
        <v>42918.930092592593</v>
      </c>
      <c r="W37" s="45" t="str">
        <f t="shared" si="4"/>
        <v>EC</v>
      </c>
      <c r="X37" s="22">
        <f t="shared" si="5"/>
        <v>197</v>
      </c>
      <c r="Y37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{"issue":{"subject":"","project_id":79,"tracker_id":40,"status_id":1,"priority_id":2,"assigned_to_id":23,"start_date":"2017-07-02","description":"","custom_fields":[{"id":1,"name":"Subdivision","value":"EC"},{"id":4,"name":"Milepost","value":"22.2091"},{"id":17,"name":"Train ID","value":"197-02"},{"id":16,"name":"Locomotive ID","value":"4064"},{"id":130,"name":"Impact","value":""},{"id":150,"name":"Time of Event (Mountain Time)","value":"16:19:20"},{"id":151,"name":"Denver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/c/Users/stu/AppData/Local/Temp/OnboardLogs/RTDC4064 --include="*4064*201707022*"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"%USERPROFILE%\AppData\Local\Temp\OnboardLogs"\RTDC4064\*4064*201707022* &gt;&gt; 2017-07-02-SliceDisagreementCheck.txt</v>
      </c>
      <c r="AE37" s="145" t="str">
        <f t="shared" si="9"/>
        <v>start /low /b %USERPROFILE%\Documents\GitHub\eaglep3\Utilities\DownloadLogsFromS3.py --loco 4064 --day 2017-07-02</v>
      </c>
      <c r="AF37" s="1"/>
    </row>
    <row r="38" spans="1:32" x14ac:dyDescent="0.25">
      <c r="A38" s="31">
        <v>42918.744432870371</v>
      </c>
      <c r="B38" s="30" t="s">
        <v>357</v>
      </c>
      <c r="C38" s="30" t="s">
        <v>671</v>
      </c>
      <c r="D38" s="30" t="s">
        <v>49</v>
      </c>
      <c r="E38" s="30" t="s">
        <v>200</v>
      </c>
      <c r="F38" s="42">
        <v>550</v>
      </c>
      <c r="G38" s="42">
        <v>797</v>
      </c>
      <c r="H38" s="42">
        <v>217817</v>
      </c>
      <c r="I38" s="42">
        <v>221808</v>
      </c>
      <c r="J38" s="30" t="s">
        <v>201</v>
      </c>
      <c r="K38" s="42">
        <v>222091</v>
      </c>
      <c r="L38" s="131" t="s">
        <v>50</v>
      </c>
      <c r="M38" s="132">
        <f t="shared" si="0"/>
        <v>149.42400000000001</v>
      </c>
      <c r="N38" s="133" t="str">
        <f>VLOOKUP(C38,'Trips&amp;Operators'!$C$1:$G$99999,5,FALSE)</f>
        <v>STAMBAUGH JAMES</v>
      </c>
      <c r="O38" s="203" t="s">
        <v>180</v>
      </c>
      <c r="P38" s="134"/>
      <c r="Q38" s="30"/>
      <c r="R38" s="81" t="str">
        <f>VLOOKUP(C38,'Train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38" s="84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-07-02T16:14:47-0600',mode:absolute,to:'2017-07-02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8" s="86" t="str">
        <f t="shared" si="1"/>
        <v>"C:\Program Files (x86)\AstroGrep\AstroGrep.exe" /e /r /s /spath="%USERPROFILE%\AppData\Local\Temp\OnboardLogs" /stypes="*4042*201707022*"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4042</v>
      </c>
      <c r="V38" s="31">
        <f t="shared" si="3"/>
        <v>42918.994432870371</v>
      </c>
      <c r="W38" s="45" t="str">
        <f t="shared" si="4"/>
        <v>EC</v>
      </c>
      <c r="X38" s="22">
        <f t="shared" si="5"/>
        <v>209</v>
      </c>
      <c r="Y38" s="96" t="str">
        <f t="shared" si="6"/>
        <v>echo {"issue":{"subject":"","project_id":79,"tracker_id":40,"status_id":1,"priority_id":2,"assigned_to_id":23,"start_date":"2017-07-02","description":"","custom_fields":[{"id":1,"name":"Subdivision","value":"EC"},{"id":4,"name":"Milepost","value":"22.2091"},{"id":17,"name":"Train ID","value":"209-02"},{"id":16,"name":"Locomotive ID","value":"4042"},{"id":130,"name":"Impact","value":""},{"id":150,"name":"Time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/c/Users/stu/AppData/Local/Temp/OnboardLogs/RTDC4042 --include="*4042*201707022*"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"%USERPROFILE%\AppData\Local\Temp\OnboardLogs"\RTDC4042\*4042*201707022* &gt;&gt; 2017-07-02-SliceDisagreementCheck.txt</v>
      </c>
      <c r="AE38" s="145" t="str">
        <f t="shared" si="9"/>
        <v>start /low /b %USERPROFILE%\Documents\GitHub\eaglep3\Utilities\DownloadLogsFromS3.py --loco 4042 --day 2017-07-02</v>
      </c>
      <c r="AF38" s="1"/>
    </row>
    <row r="39" spans="1:32" x14ac:dyDescent="0.25">
      <c r="A39" s="31">
        <v>42918.681608796294</v>
      </c>
      <c r="B39" s="30" t="s">
        <v>566</v>
      </c>
      <c r="C39" s="30" t="s">
        <v>664</v>
      </c>
      <c r="D39" s="30" t="s">
        <v>96</v>
      </c>
      <c r="E39" s="30" t="s">
        <v>200</v>
      </c>
      <c r="F39" s="42">
        <v>350</v>
      </c>
      <c r="G39" s="42">
        <v>401</v>
      </c>
      <c r="H39" s="42">
        <v>229321</v>
      </c>
      <c r="I39" s="42">
        <v>230206</v>
      </c>
      <c r="J39" s="30" t="s">
        <v>201</v>
      </c>
      <c r="K39" s="42">
        <v>224581</v>
      </c>
      <c r="L39" s="131" t="s">
        <v>50</v>
      </c>
      <c r="M39" s="132">
        <f t="shared" ref="M39:M70" si="10">CONVERT((I39-K39)/10000,"mi","ft")*IF(L39="Increasing Mileposts (1)",-1,1)</f>
        <v>-2970</v>
      </c>
      <c r="N39" s="133" t="str">
        <f>VLOOKUP(C39,'Trips&amp;Operators'!$C$1:$G$99999,5,FALSE)</f>
        <v>DELGADO DIANAH</v>
      </c>
      <c r="O39" s="203" t="s">
        <v>180</v>
      </c>
      <c r="P39" s="134"/>
      <c r="Q39" s="30"/>
      <c r="R39" s="81" t="str">
        <f>VLOOKUP(C39,'Train Runs'!$A$13:$AE$9930,31,0)</f>
        <v>aws s3 cp s3://rtdc.mdm.uploadarchive.raw/RTDC4064/ "%USERPROFILE%\AppData\Local\Temp\OnboardLogs"\RTDC4064\2017-07-02 --exclude "*" --recursive --include "*20170702*" &amp; "%USERPROFILE%\Documents\GitHub\mrs-test-scripts\Headless Mode &amp; Sideloading\WalkAndUnGZ.bat" "%USERPROFILE%\AppData\Local\Temp\OnboardLogs"\RTDC4064\2017-07-02 &amp; aws s3 cp s3://rtdc.mdm.uploadarchive.raw/RTDC4064/ "%USERPROFILE%\AppData\Local\Temp\OnboardLogs"\RTDC4064\2017-07-03 --exclude "*" --recursive --include "*20170703*" &amp; "%USERPROFILE%\Documents\GitHub\mrs-test-scripts\Headless Mode &amp; Sideloading\WalkAndUnGZ.bat" "%USERPROFILE%\AppData\Local\Temp\OnboardLogs"\RTDC4064\2017-07-03</v>
      </c>
      <c r="S39" s="84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-07-02T14:41:22-0600',mode:absolute,to:'2017-07-02T17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/stypes="*4064*201707022*" /stext=" 22:.+((SYSTEM_STATE.+slice.+state.+changed )|(ment ac)|(multiple cpu faults)|(system.+state.+changed )|(\[timeout)|(PRM\|1\|D)|(kpr)|(kdp)|(train st.+moving)|(\|lc)|(penalty))"</v>
      </c>
      <c r="U39" s="9" t="str">
        <f t="shared" ref="U39:U68" si="12">MID(B39,13,4)</f>
        <v>4064</v>
      </c>
      <c r="V39" s="31">
        <f t="shared" ref="V39:V68" si="13">A39-utc_offset/24</f>
        <v>42918.931608796294</v>
      </c>
      <c r="W39" s="45" t="str">
        <f t="shared" ref="W39:W68" si="14">DetSubdiv(C39)</f>
        <v>EC</v>
      </c>
      <c r="X39" s="22">
        <f t="shared" ref="X39:X68" si="15">VALUE(LEFT(C39,LEN(C39)-3))</f>
        <v>197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{"issue":{"subject":"","project_id":79,"tracker_id":40,"status_id":1,"priority_id":2,"assigned_to_id":23,"start_date":"2017-07-02","description":"","custom_fields":[{"id":1,"name":"Subdivision","value":"EC"},{"id":4,"name":"Milepost","value":"22.4581"},{"id":17,"name":"Train ID","value":"197-02"},{"id":16,"name":"Locomotive ID","value":"4064"},{"id":130,"name":"Impact","value":""},{"id":150,"name":"Time of Event (Mountain Time)","value":"16:21:31"},{"id":151,"name":"Denver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68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/c/Users/stu/AppData/Local/Temp/OnboardLogs/RTDC4064 --include="*4064*201707022*"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"%USERPROFILE%\AppData\Local\Temp\OnboardLogs"\RTDC4064\*4064*201707022* &gt;&gt; 2017-07-02-SliceDisagreementCheck.txt</v>
      </c>
      <c r="AE39" s="145" t="str">
        <f t="shared" si="9"/>
        <v>start /low /b %USERPROFILE%\Documents\GitHub\eaglep3\Utilities\DownloadLogsFromS3.py --loco 4064 --day 2017-07-02</v>
      </c>
      <c r="AF39" s="1"/>
    </row>
    <row r="40" spans="1:32" x14ac:dyDescent="0.25">
      <c r="A40" s="31">
        <v>42918.895162037035</v>
      </c>
      <c r="B40" s="30" t="s">
        <v>440</v>
      </c>
      <c r="C40" s="30" t="s">
        <v>679</v>
      </c>
      <c r="D40" s="30" t="s">
        <v>96</v>
      </c>
      <c r="E40" s="30" t="s">
        <v>200</v>
      </c>
      <c r="F40" s="42">
        <v>350</v>
      </c>
      <c r="G40" s="42">
        <v>403</v>
      </c>
      <c r="H40" s="42">
        <v>228997</v>
      </c>
      <c r="I40" s="42">
        <v>228147</v>
      </c>
      <c r="J40" s="30" t="s">
        <v>201</v>
      </c>
      <c r="K40" s="42">
        <v>232080</v>
      </c>
      <c r="L40" s="131" t="s">
        <v>51</v>
      </c>
      <c r="M40" s="132">
        <f t="shared" si="10"/>
        <v>-2076.6239999999998</v>
      </c>
      <c r="N40" s="133" t="str">
        <f>VLOOKUP(C40,'Trips&amp;Operators'!$C$1:$G$99999,5,FALSE)</f>
        <v>HAITHCOX MICHAEL</v>
      </c>
      <c r="O40" s="203" t="s">
        <v>180</v>
      </c>
      <c r="P40" s="134"/>
      <c r="Q40" s="30"/>
      <c r="R40" s="81" t="str">
        <f>VLOOKUP(C40,'Train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40" s="84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-07-02T20:20:56-0600',mode:absolute,to:'2017-07-02T23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0" s="86" t="str">
        <f t="shared" si="11"/>
        <v>"C:\Program Files (x86)\AstroGrep\AstroGrep.exe" /e /r /s /spath="%USERPROFILE%\AppData\Local\Temp\OnboardLogs" /stypes="*4045*201707030*" /stext=" 03:.+((SYSTEM_STATE.+slice.+state.+changed )|(ment ac)|(multiple cpu faults)|(system.+state.+changed )|(\[timeout)|(PRM\|1\|D)|(kpr)|(kdp)|(train st.+moving)|(\|lc)|(penalty))"</v>
      </c>
      <c r="U40" s="9" t="str">
        <f t="shared" si="12"/>
        <v>4045</v>
      </c>
      <c r="V40" s="31">
        <f t="shared" si="13"/>
        <v>42919.145162037035</v>
      </c>
      <c r="W40" s="45" t="str">
        <f t="shared" si="14"/>
        <v>EC</v>
      </c>
      <c r="X40" s="22">
        <f t="shared" si="15"/>
        <v>228</v>
      </c>
      <c r="Y40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{"issue":{"subject":"","project_id":79,"tracker_id":40,"status_id":1,"priority_id":2,"assigned_to_id":23,"start_date":"2017-07-02","description":"","custom_fields":[{"id":1,"name":"Subdivision","value":"EC"},{"id":4,"name":"Milepost","value":"23.208"},{"id":17,"name":"Train ID","value":"228-02"},{"id":16,"name":"Locomotive ID","value":"4045"},{"id":130,"name":"Impact","value":""},{"id":150,"name":"Time of Event (Mountain Time)","value":"21:29:02"},{"id":151,"name":"Denver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/c/Users/stu/AppData/Local/Temp/OnboardLogs/RTDC4045 --include="*4045*201707030*"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"%USERPROFILE%\AppData\Local\Temp\OnboardLogs"\RTDC4045\*4045*201707030* &gt;&gt; 2017-07-02-SliceDisagreementCheck.txt</v>
      </c>
      <c r="AE40" s="145" t="str">
        <f t="shared" si="9"/>
        <v>start /low /b %USERPROFILE%\Documents\GitHub\eaglep3\Utilities\DownloadLogsFromS3.py --loco 4045 --day 2017-07-03</v>
      </c>
      <c r="AF40" s="1"/>
    </row>
    <row r="41" spans="1:32" x14ac:dyDescent="0.25">
      <c r="A41" s="31">
        <v>42918.209039351852</v>
      </c>
      <c r="B41" s="30" t="s">
        <v>357</v>
      </c>
      <c r="C41" s="30" t="s">
        <v>624</v>
      </c>
      <c r="D41" s="30" t="s">
        <v>96</v>
      </c>
      <c r="E41" s="30" t="s">
        <v>361</v>
      </c>
      <c r="F41" s="42">
        <v>0</v>
      </c>
      <c r="G41" s="42">
        <v>65</v>
      </c>
      <c r="H41" s="42">
        <v>1768</v>
      </c>
      <c r="I41" s="42">
        <v>1847</v>
      </c>
      <c r="J41" s="30" t="s">
        <v>362</v>
      </c>
      <c r="K41" s="42">
        <v>1692</v>
      </c>
      <c r="L41" s="131" t="s">
        <v>50</v>
      </c>
      <c r="M41" s="132">
        <f t="shared" si="10"/>
        <v>-81.84</v>
      </c>
      <c r="N41" s="133" t="str">
        <f>VLOOKUP(C41,'Trips&amp;Operators'!$C$1:$G$99999,5,FALSE)</f>
        <v>STORY SAMANTHA</v>
      </c>
      <c r="O41" s="203" t="s">
        <v>180</v>
      </c>
      <c r="P41" s="134" t="s">
        <v>1031</v>
      </c>
      <c r="Q41" s="30"/>
      <c r="R41" s="81" t="str">
        <f>VLOOKUP(C41,'Train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41" s="84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-07-02T03:51:18-0600',mode:absolute,to:'2017-07-02T06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1" s="86" t="str">
        <f t="shared" si="11"/>
        <v>"C:\Program Files (x86)\AstroGrep\AstroGrep.exe" /e /r /s /spath="%USERPROFILE%\AppData\Local\Temp\OnboardLogs" /stypes="*4042*201707021*" /stext=" 11:.+((SYSTEM_STATE.+slice.+state.+changed )|(ment ac)|(multiple cpu faults)|(system.+state.+changed )|(\[timeout)|(PRM\|1\|D)|(kpr)|(kdp)|(train st.+moving)|(\|lc)|(penalty))"</v>
      </c>
      <c r="U41" s="9" t="str">
        <f t="shared" si="12"/>
        <v>4042</v>
      </c>
      <c r="V41" s="31">
        <f t="shared" si="13"/>
        <v>42918.459039351852</v>
      </c>
      <c r="W41" s="45" t="str">
        <f t="shared" si="14"/>
        <v>EC</v>
      </c>
      <c r="X41" s="22">
        <f t="shared" si="15"/>
        <v>111</v>
      </c>
      <c r="Y41" s="96" t="str">
        <f t="shared" si="16"/>
        <v>echo {"issue":{"subject":"Main 3 departure","project_id":79,"tracker_id":40,"status_id":1,"priority_id":2,"assigned_to_id":23,"start_date":"2017-07-02","description":"","custom_fields":[{"id":1,"name":"Subdivision","value":"EC"},{"id":4,"name":"Milepost","value":"0.1692"},{"id":17,"name":"Train ID","value":"111-02"},{"id":16,"name":"Locomotive ID","value":"4042"},{"id":130,"name":"Impact","value":""},{"id":150,"name":"Time of Event (Mountain Time)","value":"05:01:01"},{"id":151,"name":"Denver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/c/Users/stu/AppData/Local/Temp/OnboardLogs/RTDC4042 --include="*4042*201707021*"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"%USERPROFILE%\AppData\Local\Temp\OnboardLogs"\RTDC4042\*4042*201707021* &gt;&gt; 2017-07-02-SliceDisagreementCheck.txt</v>
      </c>
      <c r="AE41" s="145" t="str">
        <f t="shared" si="9"/>
        <v>start /low /b %USERPROFILE%\Documents\GitHub\eaglep3\Utilities\DownloadLogsFromS3.py --loco 4042 --day 2017-07-02</v>
      </c>
      <c r="AF41" s="1"/>
    </row>
    <row r="42" spans="1:32" x14ac:dyDescent="0.25">
      <c r="A42" s="31">
        <v>42918.21974537037</v>
      </c>
      <c r="B42" s="30" t="s">
        <v>357</v>
      </c>
      <c r="C42" s="30" t="s">
        <v>624</v>
      </c>
      <c r="D42" s="30" t="s">
        <v>96</v>
      </c>
      <c r="E42" s="30" t="s">
        <v>361</v>
      </c>
      <c r="F42" s="42">
        <v>0</v>
      </c>
      <c r="G42" s="42">
        <v>193</v>
      </c>
      <c r="H42" s="42">
        <v>68962</v>
      </c>
      <c r="I42" s="42">
        <v>69291</v>
      </c>
      <c r="J42" s="30" t="s">
        <v>362</v>
      </c>
      <c r="K42" s="42">
        <v>68372</v>
      </c>
      <c r="L42" s="131" t="s">
        <v>50</v>
      </c>
      <c r="M42" s="132">
        <f t="shared" si="10"/>
        <v>-485.23200000000003</v>
      </c>
      <c r="N42" s="133" t="str">
        <f>VLOOKUP(C42,'Trips&amp;Operators'!$C$1:$G$99999,5,FALSE)</f>
        <v>STORY SAMANTHA</v>
      </c>
      <c r="O42" s="203" t="s">
        <v>408</v>
      </c>
      <c r="P42" s="134" t="s">
        <v>492</v>
      </c>
      <c r="Q42" s="30"/>
      <c r="R42" s="81" t="str">
        <f>VLOOKUP(C42,'Train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42" s="84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-07-02T03:51:18-0600',mode:absolute,to:'2017-07-02T06:01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2" s="86" t="str">
        <f t="shared" si="11"/>
        <v>"C:\Program Files (x86)\AstroGrep\AstroGrep.exe" /e /r /s /spath="%USERPROFILE%\AppData\Local\Temp\OnboardLogs" /stypes="*4042*201707021*" /stext=" 11:.+((SYSTEM_STATE.+slice.+state.+changed )|(ment ac)|(multiple cpu faults)|(system.+state.+changed )|(\[timeout)|(PRM\|1\|D)|(kpr)|(kdp)|(train st.+moving)|(\|lc)|(penalty))"</v>
      </c>
      <c r="U42" s="9" t="str">
        <f t="shared" si="12"/>
        <v>4042</v>
      </c>
      <c r="V42" s="31">
        <f t="shared" si="13"/>
        <v>42918.46974537037</v>
      </c>
      <c r="W42" s="45" t="str">
        <f t="shared" si="14"/>
        <v>EC</v>
      </c>
      <c r="X42" s="22">
        <f t="shared" si="15"/>
        <v>111</v>
      </c>
      <c r="Y42" s="96" t="str">
        <f t="shared" si="16"/>
        <v>echo {"issue":{"subject":"Wi-MAX data drop","project_id":79,"tracker_id":40,"status_id":1,"priority_id":2,"assigned_to_id":23,"start_date":"2017-07-02","description":"","custom_fields":[{"id":1,"name":"Subdivision","value":"EC"},{"id":4,"name":"Milepost","value":"6.8372"},{"id":17,"name":"Train ID","value":"111-02"},{"id":16,"name":"Locomotive ID","value":"4042"},{"id":130,"name":"Impact","value":""},{"id":150,"name":"Time of Event (Mountain Time)","value":"05:16:26"},{"id":151,"name":"Denver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/c/Users/stu/AppData/Local/Temp/OnboardLogs/RTDC4042 --include="*4042*201707021*"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"%USERPROFILE%\AppData\Local\Temp\OnboardLogs"\RTDC4042\*4042*201707021* &gt;&gt; 2017-07-02-SliceDisagreementCheck.txt</v>
      </c>
      <c r="AE42" s="145" t="str">
        <f t="shared" si="9"/>
        <v>start /low /b %USERPROFILE%\Documents\GitHub\eaglep3\Utilities\DownloadLogsFromS3.py --loco 4042 --day 2017-07-02</v>
      </c>
      <c r="AF42" s="1"/>
    </row>
    <row r="43" spans="1:32" x14ac:dyDescent="0.25">
      <c r="A43" s="31">
        <v>42918.224097222221</v>
      </c>
      <c r="B43" s="30" t="s">
        <v>625</v>
      </c>
      <c r="C43" s="30" t="s">
        <v>626</v>
      </c>
      <c r="D43" s="30" t="s">
        <v>49</v>
      </c>
      <c r="E43" s="30" t="s">
        <v>181</v>
      </c>
      <c r="F43" s="42">
        <v>0</v>
      </c>
      <c r="G43" s="42">
        <v>45</v>
      </c>
      <c r="H43" s="42">
        <v>142</v>
      </c>
      <c r="I43" s="42">
        <v>111</v>
      </c>
      <c r="J43" s="30" t="s">
        <v>182</v>
      </c>
      <c r="K43" s="42">
        <v>1</v>
      </c>
      <c r="L43" s="131" t="s">
        <v>51</v>
      </c>
      <c r="M43" s="132">
        <f t="shared" si="10"/>
        <v>58.08</v>
      </c>
      <c r="N43" s="133" t="str">
        <f>VLOOKUP(C43,'Trips&amp;Operators'!$C$1:$G$99999,5,FALSE)</f>
        <v>MAYBERRY BILL</v>
      </c>
      <c r="O43" s="203" t="s">
        <v>180</v>
      </c>
      <c r="P43" s="134"/>
      <c r="Q43" s="30"/>
      <c r="R43" s="81" t="str">
        <f>VLOOKUP(C43,'Train Runs'!$A$13:$AE$9930,31,0)</f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S43" s="84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-07-02T03:39:38-0600',mode:absolute,to:'2017-07-02T06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3" s="86" t="str">
        <f t="shared" si="11"/>
        <v>"C:\Program Files (x86)\AstroGrep\AstroGrep.exe" /e /r /s /spath="%USERPROFILE%\AppData\Local\Temp\OnboardLogs" /stypes="*4051*201707021*" /stext=" 11:.+((SYSTEM_STATE.+slice.+state.+changed )|(ment ac)|(multiple cpu faults)|(system.+state.+changed )|(\[timeout)|(PRM\|1\|D)|(kpr)|(kdp)|(train st.+moving)|(\|lc)|(penalty))"</v>
      </c>
      <c r="U43" s="9" t="str">
        <f t="shared" si="12"/>
        <v>4051</v>
      </c>
      <c r="V43" s="31">
        <f t="shared" si="13"/>
        <v>42918.474097222221</v>
      </c>
      <c r="W43" s="45" t="str">
        <f t="shared" si="14"/>
        <v>EC</v>
      </c>
      <c r="X43" s="22">
        <f t="shared" si="15"/>
        <v>104</v>
      </c>
      <c r="Y43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ID","value":"104-02"},{"id":16,"name":"Locomotive ID","value":"4051"},{"id":130,"name":"Impact","value":""},{"id":150,"name":"Time of Event (Mountain Time)","value":"05:22:42"},{"id":151,"name":"Denver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/c/Users/stu/AppData/Local/Temp/OnboardLogs/RTDC4051 --include="*4051*201707021*"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"%USERPROFILE%\AppData\Local\Temp\OnboardLogs"\RTDC4051\*4051*201707021* &gt;&gt; 2017-07-02-SliceDisagreementCheck.txt</v>
      </c>
      <c r="AE43" s="145" t="str">
        <f t="shared" si="9"/>
        <v>start /low /b %USERPROFILE%\Documents\GitHub\eaglep3\Utilities\DownloadLogsFromS3.py --loco 4051 --day 2017-07-02</v>
      </c>
      <c r="AF43" s="1"/>
    </row>
    <row r="44" spans="1:32" x14ac:dyDescent="0.25">
      <c r="A44" s="31">
        <v>42918.370347222219</v>
      </c>
      <c r="B44" s="30" t="s">
        <v>635</v>
      </c>
      <c r="C44" s="30" t="s">
        <v>636</v>
      </c>
      <c r="D44" s="30" t="s">
        <v>49</v>
      </c>
      <c r="E44" s="30" t="s">
        <v>181</v>
      </c>
      <c r="F44" s="42">
        <v>0</v>
      </c>
      <c r="G44" s="42">
        <v>42</v>
      </c>
      <c r="H44" s="42">
        <v>149</v>
      </c>
      <c r="I44" s="42">
        <v>125</v>
      </c>
      <c r="J44" s="30" t="s">
        <v>182</v>
      </c>
      <c r="K44" s="42">
        <v>1</v>
      </c>
      <c r="L44" s="131" t="s">
        <v>51</v>
      </c>
      <c r="M44" s="132">
        <f t="shared" si="10"/>
        <v>65.471999999999994</v>
      </c>
      <c r="N44" s="133" t="str">
        <f>VLOOKUP(C44,'Trips&amp;Operators'!$C$1:$G$99999,5,FALSE)</f>
        <v>CHANDLER KELVIN</v>
      </c>
      <c r="O44" s="203" t="s">
        <v>180</v>
      </c>
      <c r="P44" s="134"/>
      <c r="Q44" s="30"/>
      <c r="R44" s="81" t="str">
        <f>VLOOKUP(C44,'Train Runs'!$A$13:$AE$9930,31,0)</f>
        <v>aws s3 cp s3://rtdc.mdm.uploadarchive.raw/RTDC4053/ "%USERPROFILE%\AppData\Local\Temp\OnboardLogs"\RTDC4053\2017-07-02 --exclude "*" --recursive --include "*20170702*" &amp; "%USERPROFILE%\Documents\GitHub\mrs-test-scripts\Headless Mode &amp; Sideloading\WalkAndUnGZ.bat" "%USERPROFILE%\AppData\Local\Temp\OnboardLogs"\RTDC4053\2017-07-02 &amp; aws s3 cp s3://rtdc.mdm.uploadarchive.raw/RTDC4053/ "%USERPROFILE%\AppData\Local\Temp\OnboardLogs"\RTDC4053\2017-07-03 --exclude "*" --recursive --include "*20170703*" &amp; "%USERPROFILE%\Documents\GitHub\mrs-test-scripts\Headless Mode &amp; Sideloading\WalkAndUnGZ.bat" "%USERPROFILE%\AppData\Local\Temp\OnboardLogs"\RTDC4053\2017-07-03</v>
      </c>
      <c r="S44" s="84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-07-02T07:06:51-0600',mode:absolute,to:'2017-07-02T09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4" s="86" t="str">
        <f t="shared" si="11"/>
        <v>"C:\Program Files (x86)\AstroGrep\AstroGrep.exe" /e /r /s /spath="%USERPROFILE%\AppData\Local\Temp\OnboardLogs" /stypes="*4053*201707021*" /stext=" 14:.+((SYSTEM_STATE.+slice.+state.+changed )|(ment ac)|(multiple cpu faults)|(system.+state.+changed )|(\[timeout)|(PRM\|1\|D)|(kpr)|(kdp)|(train st.+moving)|(\|lc)|(penalty))"</v>
      </c>
      <c r="U44" s="9" t="str">
        <f t="shared" si="12"/>
        <v>4053</v>
      </c>
      <c r="V44" s="31">
        <f t="shared" si="13"/>
        <v>42918.620347222219</v>
      </c>
      <c r="W44" s="45" t="str">
        <f t="shared" si="14"/>
        <v>EC</v>
      </c>
      <c r="X44" s="22">
        <f t="shared" si="15"/>
        <v>130</v>
      </c>
      <c r="Y44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ID","value":"130-02"},{"id":16,"name":"Locomotive ID","value":"4053"},{"id":130,"name":"Impact","value":""},{"id":150,"name":"Time of Event (Mountain Time)","value":"08:53:18"},{"id":151,"name":"Denver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/c/Users/stu/AppData/Local/Temp/OnboardLogs/RTDC4053 --include="*4053*201707021*"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"%USERPROFILE%\AppData\Local\Temp\OnboardLogs"\RTDC4053\*4053*201707021* &gt;&gt; 2017-07-02-SliceDisagreementCheck.txt</v>
      </c>
      <c r="AE44" s="145" t="str">
        <f t="shared" si="9"/>
        <v>start /low /b %USERPROFILE%\Documents\GitHub\eaglep3\Utilities\DownloadLogsFromS3.py --loco 4053 --day 2017-07-02</v>
      </c>
      <c r="AF44" s="1"/>
    </row>
    <row r="45" spans="1:32" x14ac:dyDescent="0.25">
      <c r="A45" s="31">
        <v>42918.484513888892</v>
      </c>
      <c r="B45" s="30" t="s">
        <v>568</v>
      </c>
      <c r="C45" s="30" t="s">
        <v>642</v>
      </c>
      <c r="D45" s="30" t="s">
        <v>49</v>
      </c>
      <c r="E45" s="30" t="s">
        <v>181</v>
      </c>
      <c r="F45" s="42">
        <v>0</v>
      </c>
      <c r="G45" s="42">
        <v>63</v>
      </c>
      <c r="H45" s="42">
        <v>221</v>
      </c>
      <c r="I45" s="42">
        <v>139</v>
      </c>
      <c r="J45" s="30" t="s">
        <v>182</v>
      </c>
      <c r="K45" s="42">
        <v>1</v>
      </c>
      <c r="L45" s="131" t="s">
        <v>51</v>
      </c>
      <c r="M45" s="132">
        <f t="shared" si="10"/>
        <v>72.864000000000004</v>
      </c>
      <c r="N45" s="133" t="str">
        <f>VLOOKUP(C45,'Trips&amp;Operators'!$C$1:$G$99999,5,FALSE)</f>
        <v>GEBRETEKLE DAGNEW</v>
      </c>
      <c r="O45" s="203" t="s">
        <v>180</v>
      </c>
      <c r="P45" s="134"/>
      <c r="Q45" s="30"/>
      <c r="R45" s="81" t="str">
        <f>VLOOKUP(C45,'Train Runs'!$A$13:$AE$9930,31,0)</f>
        <v>aws s3 cp s3://rtdc.mdm.uploadarchive.raw/RTDC4003/ "%USERPROFILE%\AppData\Local\Temp\OnboardLogs"\RTDC4003\2017-07-02 --exclude "*" --recursive --include "*20170702*" &amp; "%USERPROFILE%\Documents\GitHub\mrs-test-scripts\Headless Mode &amp; Sideloading\WalkAndUnGZ.bat" "%USERPROFILE%\AppData\Local\Temp\OnboardLogs"\RTDC4003\2017-07-02 &amp; aws s3 cp s3://rtdc.mdm.uploadarchive.raw/RTDC4003/ "%USERPROFILE%\AppData\Local\Temp\OnboardLogs"\RTDC4003\2017-07-03 --exclude "*" --recursive --include "*20170703*" &amp; "%USERPROFILE%\Documents\GitHub\mrs-test-scripts\Headless Mode &amp; Sideloading\WalkAndUnGZ.bat" "%USERPROFILE%\AppData\Local\Temp\OnboardLogs"\RTDC4003\2017-07-03</v>
      </c>
      <c r="S45" s="84" t="str">
        <f>VLOOKUP(C45,'Train Runs'!$A$13:$AE$9930,22,0)</f>
        <v>https://d0f6bd738d7f1b3e5a7ca70fe4ff75f0.us-east-1.aws.found.io/app/kibana#/discover/Steve-Slow-Train-Analysis-(2080s-and-2083s)?_g=(refreshInterval:(display:Off,pause:!f,section:0,value:0),time:(from:'2017-07-02T09:39:58-0600',mode:absolute,to:'2017-07-02T12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5" s="86" t="str">
        <f t="shared" si="11"/>
        <v>"C:\Program Files (x86)\AstroGrep\AstroGrep.exe" /e /r /s /spath="%USERPROFILE%\AppData\Local\Temp\OnboardLogs" /stypes="*4003*201707021*" /stext=" 17:.+((SYSTEM_STATE.+slice.+state.+changed )|(ment ac)|(multiple cpu faults)|(system.+state.+changed )|(\[timeout)|(PRM\|1\|D)|(kpr)|(kdp)|(train st.+moving)|(\|lc)|(penalty))"</v>
      </c>
      <c r="U45" s="9" t="str">
        <f t="shared" si="12"/>
        <v>4003</v>
      </c>
      <c r="V45" s="31">
        <f t="shared" si="13"/>
        <v>42918.734513888892</v>
      </c>
      <c r="W45" s="45" t="str">
        <f t="shared" si="14"/>
        <v>EC</v>
      </c>
      <c r="X45" s="22">
        <f t="shared" si="15"/>
        <v>152</v>
      </c>
      <c r="Y45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ID","value":"152-02"},{"id":16,"name":"Locomotive ID","value":"4003"},{"id":130,"name":"Impact","value":""},{"id":150,"name":"Time of Event (Mountain Time)","value":"11:37:42"},{"id":151,"name":"Denver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/c/Users/stu/AppData/Local/Temp/OnboardLogs/RTDC4003 --include="*4003*201707021*"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"%USERPROFILE%\AppData\Local\Temp\OnboardLogs"\RTDC4003\*4003*201707021* &gt;&gt; 2017-07-02-SliceDisagreementCheck.txt</v>
      </c>
      <c r="AE45" s="145" t="str">
        <f t="shared" si="9"/>
        <v>start /low /b %USERPROFILE%\Documents\GitHub\eaglep3\Utilities\DownloadLogsFromS3.py --loco 4003 --day 2017-07-02</v>
      </c>
      <c r="AF45" s="1"/>
    </row>
    <row r="46" spans="1:32" x14ac:dyDescent="0.25">
      <c r="A46" s="31">
        <v>42918.571261574078</v>
      </c>
      <c r="B46" s="30" t="s">
        <v>643</v>
      </c>
      <c r="C46" s="30" t="s">
        <v>652</v>
      </c>
      <c r="D46" s="30" t="s">
        <v>49</v>
      </c>
      <c r="E46" s="30" t="s">
        <v>181</v>
      </c>
      <c r="F46" s="42">
        <v>0</v>
      </c>
      <c r="G46" s="42">
        <v>42</v>
      </c>
      <c r="H46" s="42">
        <v>143</v>
      </c>
      <c r="I46" s="42">
        <v>118</v>
      </c>
      <c r="J46" s="30" t="s">
        <v>182</v>
      </c>
      <c r="K46" s="42">
        <v>1</v>
      </c>
      <c r="L46" s="131" t="s">
        <v>51</v>
      </c>
      <c r="M46" s="132">
        <f t="shared" si="10"/>
        <v>61.776000000000003</v>
      </c>
      <c r="N46" s="133" t="str">
        <f>VLOOKUP(C46,'Trips&amp;Operators'!$C$1:$G$99999,5,FALSE)</f>
        <v>SULLIVAN BRANDON</v>
      </c>
      <c r="O46" s="203" t="s">
        <v>180</v>
      </c>
      <c r="P46" s="134"/>
      <c r="Q46" s="30"/>
      <c r="R46" s="81" t="str">
        <f>VLOOKUP(C46,'Train Runs'!$A$13:$AE$9930,31,0)</f>
        <v>aws s3 cp s3://rtdc.mdm.uploadarchive.raw/RTDC4041/ "%USERPROFILE%\AppData\Local\Temp\OnboardLogs"\RTDC4041\2017-07-02 --exclude "*" --recursive --include "*20170702*" &amp; "%USERPROFILE%\Documents\GitHub\mrs-test-scripts\Headless Mode &amp; Sideloading\WalkAndUnGZ.bat" "%USERPROFILE%\AppData\Local\Temp\OnboardLogs"\RTDC4041\2017-07-02 &amp; aws s3 cp s3://rtdc.mdm.uploadarchive.raw/RTDC4041/ "%USERPROFILE%\AppData\Local\Temp\OnboardLogs"\RTDC4041\2017-07-03 --exclude "*" --recursive --include "*20170703*" &amp; "%USERPROFILE%\Documents\GitHub\mrs-test-scripts\Headless Mode &amp; Sideloading\WalkAndUnGZ.bat" "%USERPROFILE%\AppData\Local\Temp\OnboardLogs"\RTDC4041\2017-07-03</v>
      </c>
      <c r="S46" s="84" t="str">
        <f>VLOOKUP(C46,'Train Runs'!$A$13:$AE$9930,22,0)</f>
        <v>https://d0f6bd738d7f1b3e5a7ca70fe4ff75f0.us-east-1.aws.found.io/app/kibana#/discover/Steve-Slow-Train-Analysis-(2080s-and-2083s)?_g=(refreshInterval:(display:Off,pause:!f,section:0,value:0),time:(from:'2017-07-02T11:48:46-0600',mode:absolute,to:'2017-07-02T14:42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86" t="str">
        <f t="shared" si="11"/>
        <v>"C:\Program Files (x86)\AstroGrep\AstroGrep.exe" /e /r /s /spath="%USERPROFILE%\AppData\Local\Temp\OnboardLogs" /stypes="*4041*201707021*" /stext=" 19:.+((SYSTEM_STATE.+slice.+state.+changed )|(ment ac)|(multiple cpu faults)|(system.+state.+changed )|(\[timeout)|(PRM\|1\|D)|(kpr)|(kdp)|(train st.+moving)|(\|lc)|(penalty))"</v>
      </c>
      <c r="U46" s="9" t="str">
        <f t="shared" si="12"/>
        <v>4041</v>
      </c>
      <c r="V46" s="31">
        <f t="shared" si="13"/>
        <v>42918.821261574078</v>
      </c>
      <c r="W46" s="45" t="str">
        <f t="shared" si="14"/>
        <v>EC</v>
      </c>
      <c r="X46" s="22">
        <f t="shared" si="15"/>
        <v>168</v>
      </c>
      <c r="Y46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ID","value":"168-02"},{"id":16,"name":"Locomotive ID","value":"4041"},{"id":130,"name":"Impact","value":""},{"id":150,"name":"Time of Event (Mountain Time)","value":"13:42:37"},{"id":151,"name":"Denver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/c/Users/stu/AppData/Local/Temp/OnboardLogs/RTDC4041 --include="*4041*201707021*"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"%USERPROFILE%\AppData\Local\Temp\OnboardLogs"\RTDC4041\*4041*201707021* &gt;&gt; 2017-07-02-SliceDisagreementCheck.txt</v>
      </c>
      <c r="AE46" s="145" t="str">
        <f t="shared" si="9"/>
        <v>start /low /b %USERPROFILE%\Documents\GitHub\eaglep3\Utilities\DownloadLogsFromS3.py --loco 4041 --day 2017-07-02</v>
      </c>
      <c r="AF46" s="1"/>
    </row>
    <row r="47" spans="1:32" x14ac:dyDescent="0.25">
      <c r="A47" s="31">
        <v>42918.622013888889</v>
      </c>
      <c r="B47" s="30" t="s">
        <v>440</v>
      </c>
      <c r="C47" s="30" t="s">
        <v>657</v>
      </c>
      <c r="D47" s="30" t="s">
        <v>49</v>
      </c>
      <c r="E47" s="30" t="s">
        <v>181</v>
      </c>
      <c r="F47" s="42">
        <v>0</v>
      </c>
      <c r="G47" s="42">
        <v>76</v>
      </c>
      <c r="H47" s="42">
        <v>274</v>
      </c>
      <c r="I47" s="42">
        <v>180</v>
      </c>
      <c r="J47" s="30" t="s">
        <v>182</v>
      </c>
      <c r="K47" s="42">
        <v>1</v>
      </c>
      <c r="L47" s="131" t="s">
        <v>51</v>
      </c>
      <c r="M47" s="132">
        <f t="shared" si="10"/>
        <v>94.512</v>
      </c>
      <c r="N47" s="133" t="str">
        <f>VLOOKUP(C47,'Trips&amp;Operators'!$C$1:$G$99999,5,FALSE)</f>
        <v>BRANDNER MELINDA</v>
      </c>
      <c r="O47" s="203" t="s">
        <v>180</v>
      </c>
      <c r="P47" s="134"/>
      <c r="Q47" s="30"/>
      <c r="R47" s="81" t="str">
        <f>VLOOKUP(C47,'Train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47" s="84" t="str">
        <f>VLOOKUP(C47,'Train Runs'!$A$13:$AE$9930,22,0)</f>
        <v>https://d0f6bd738d7f1b3e5a7ca70fe4ff75f0.us-east-1.aws.found.io/app/kibana#/discover/Steve-Slow-Train-Analysis-(2080s-and-2083s)?_g=(refreshInterval:(display:Off,pause:!f,section:0,value:0),time:(from:'2017-07-02T13:08:25-0600',mode:absolute,to:'2017-07-02T15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7" s="86" t="str">
        <f t="shared" si="11"/>
        <v>"C:\Program Files (x86)\AstroGrep\AstroGrep.exe" /e /r /s /spath="%USERPROFILE%\AppData\Local\Temp\OnboardLogs" /stypes="*4045*201707022*" /stext=" 20:.+((SYSTEM_STATE.+slice.+state.+changed )|(ment ac)|(multiple cpu faults)|(system.+state.+changed )|(\[timeout)|(PRM\|1\|D)|(kpr)|(kdp)|(train st.+moving)|(\|lc)|(penalty))"</v>
      </c>
      <c r="U47" s="9" t="str">
        <f t="shared" si="12"/>
        <v>4045</v>
      </c>
      <c r="V47" s="31">
        <f t="shared" si="13"/>
        <v>42918.872013888889</v>
      </c>
      <c r="W47" s="45" t="str">
        <f t="shared" si="14"/>
        <v>EC</v>
      </c>
      <c r="X47" s="22">
        <f t="shared" si="15"/>
        <v>178</v>
      </c>
      <c r="Y47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ID","value":"178-02"},{"id":16,"name":"Locomotive ID","value":"4045"},{"id":130,"name":"Impact","value":""},{"id":150,"name":"Time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/c/Users/stu/AppData/Local/Temp/OnboardLogs/RTDC4045 --include="*4045*201707022*"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"%USERPROFILE%\AppData\Local\Temp\OnboardLogs"\RTDC4045\*4045*201707022* &gt;&gt; 2017-07-02-SliceDisagreementCheck.txt</v>
      </c>
      <c r="AE47" s="145" t="str">
        <f t="shared" si="9"/>
        <v>start /low /b %USERPROFILE%\Documents\GitHub\eaglep3\Utilities\DownloadLogsFromS3.py --loco 4045 --day 2017-07-02</v>
      </c>
      <c r="AF47" s="1"/>
    </row>
    <row r="48" spans="1:32" x14ac:dyDescent="0.25">
      <c r="A48" s="31">
        <v>42918.694895833331</v>
      </c>
      <c r="B48" s="30" t="s">
        <v>440</v>
      </c>
      <c r="C48" s="30" t="s">
        <v>665</v>
      </c>
      <c r="D48" s="30" t="s">
        <v>49</v>
      </c>
      <c r="E48" s="30" t="s">
        <v>181</v>
      </c>
      <c r="F48" s="42">
        <v>0</v>
      </c>
      <c r="G48" s="42">
        <v>56</v>
      </c>
      <c r="H48" s="42">
        <v>192</v>
      </c>
      <c r="I48" s="42">
        <v>123</v>
      </c>
      <c r="J48" s="30" t="s">
        <v>182</v>
      </c>
      <c r="K48" s="42">
        <v>1</v>
      </c>
      <c r="L48" s="131" t="s">
        <v>51</v>
      </c>
      <c r="M48" s="132">
        <f t="shared" si="10"/>
        <v>64.415999999999997</v>
      </c>
      <c r="N48" s="133" t="str">
        <f>VLOOKUP(C48,'Trips&amp;Operators'!$C$1:$G$99999,5,FALSE)</f>
        <v>BRANDNER MELINDA</v>
      </c>
      <c r="O48" s="203" t="s">
        <v>180</v>
      </c>
      <c r="P48" s="134"/>
      <c r="Q48" s="30"/>
      <c r="R48" s="81" t="str">
        <f>VLOOKUP(C48,'Train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48" s="84" t="str">
        <f>VLOOKUP(C48,'Train Runs'!$A$13:$AE$9930,22,0)</f>
        <v>https://d0f6bd738d7f1b3e5a7ca70fe4ff75f0.us-east-1.aws.found.io/app/kibana#/discover/Steve-Slow-Train-Analysis-(2080s-and-2083s)?_g=(refreshInterval:(display:Off,pause:!f,section:0,value:0),time:(from:'2017-07-02T14:51:31-0600',mode:absolute,to:'2017-07-02T17:40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8" s="86" t="str">
        <f t="shared" si="11"/>
        <v>"C:\Program Files (x86)\AstroGrep\AstroGrep.exe" /e /r /s /spath="%USERPROFILE%\AppData\Local\Temp\OnboardLogs" /stypes="*4045*201707022*" /stext=" 22:.+((SYSTEM_STATE.+slice.+state.+changed )|(ment ac)|(multiple cpu faults)|(system.+state.+changed )|(\[timeout)|(PRM\|1\|D)|(kpr)|(kdp)|(train st.+moving)|(\|lc)|(penalty))"</v>
      </c>
      <c r="U48" s="9" t="str">
        <f t="shared" si="12"/>
        <v>4045</v>
      </c>
      <c r="V48" s="31">
        <f t="shared" si="13"/>
        <v>42918.944895833331</v>
      </c>
      <c r="W48" s="45" t="str">
        <f t="shared" si="14"/>
        <v>EC</v>
      </c>
      <c r="X48" s="22">
        <f t="shared" si="15"/>
        <v>192</v>
      </c>
      <c r="Y48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ID","value":"192-02"},{"id":16,"name":"Locomotive ID","value":"4045"},{"id":130,"name":"Impact","value":""},{"id":150,"name":"Time of Event (Mountain Time)","value":"16:40:39"},{"id":151,"name":"Denver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/c/Users/stu/AppData/Local/Temp/OnboardLogs/RTDC4045 --include="*4045*201707022*"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"%USERPROFILE%\AppData\Local\Temp\OnboardLogs"\RTDC4045\*4045*201707022* &gt;&gt; 2017-07-02-SliceDisagreementCheck.txt</v>
      </c>
      <c r="AE48" s="145" t="str">
        <f t="shared" si="9"/>
        <v>start /low /b %USERPROFILE%\Documents\GitHub\eaglep3\Utilities\DownloadLogsFromS3.py --loco 4045 --day 2017-07-02</v>
      </c>
      <c r="AF48" s="1"/>
    </row>
    <row r="49" spans="1:32" x14ac:dyDescent="0.25">
      <c r="A49" s="31">
        <v>42918.769687499997</v>
      </c>
      <c r="B49" s="30" t="s">
        <v>440</v>
      </c>
      <c r="C49" s="30" t="s">
        <v>674</v>
      </c>
      <c r="D49" s="30" t="s">
        <v>49</v>
      </c>
      <c r="E49" s="30" t="s">
        <v>181</v>
      </c>
      <c r="F49" s="42">
        <v>0</v>
      </c>
      <c r="G49" s="42">
        <v>62</v>
      </c>
      <c r="H49" s="42">
        <v>220</v>
      </c>
      <c r="I49" s="42">
        <v>149</v>
      </c>
      <c r="J49" s="30" t="s">
        <v>182</v>
      </c>
      <c r="K49" s="42">
        <v>1</v>
      </c>
      <c r="L49" s="131" t="s">
        <v>51</v>
      </c>
      <c r="M49" s="132">
        <f t="shared" si="10"/>
        <v>78.144000000000005</v>
      </c>
      <c r="N49" s="133" t="str">
        <f>VLOOKUP(C49,'Trips&amp;Operators'!$C$1:$G$99999,5,FALSE)</f>
        <v>BRANDNER MELINDA</v>
      </c>
      <c r="O49" s="203" t="s">
        <v>180</v>
      </c>
      <c r="P49" s="134"/>
      <c r="Q49" s="30"/>
      <c r="R49" s="81" t="str">
        <f>VLOOKUP(C49,'Train Runs'!$A$13:$AE$9930,31,0)</f>
        <v>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 &amp; aws s3 cp s3://rtdc.mdm.uploadarchive.raw/RTDC4045/ "%USERPROFILE%\AppData\Local\Temp\OnboardLogs"\RTDC4045\2017-07-03 --exclude "*" --recursive --include "*20170703*" &amp; "%USERPROFILE%\Documents\GitHub\mrs-test-scripts\Headless Mode &amp; Sideloading\WalkAndUnGZ.bat" "%USERPROFILE%\AppData\Local\Temp\OnboardLogs"\RTDC4045\2017-07-03</v>
      </c>
      <c r="S49" s="84" t="str">
        <f>VLOOKUP(C49,'Train Runs'!$A$13:$AE$9930,22,0)</f>
        <v>https://d0f6bd738d7f1b3e5a7ca70fe4ff75f0.us-east-1.aws.found.io/app/kibana#/discover/Steve-Slow-Train-Analysis-(2080s-and-2083s)?_g=(refreshInterval:(display:Off,pause:!f,section:0,value:0),time:(from:'2017-07-02T16:42:02-0600',mode:absolute,to:'2017-07-02T19:28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9" s="86" t="str">
        <f t="shared" si="11"/>
        <v>"C:\Program Files (x86)\AstroGrep\AstroGrep.exe" /e /r /s /spath="%USERPROFILE%\AppData\Local\Temp\OnboardLogs" /stypes="*4045*201707030*" /stext=" 00:.+((SYSTEM_STATE.+slice.+state.+changed )|(ment ac)|(multiple cpu faults)|(system.+state.+changed )|(\[timeout)|(PRM\|1\|D)|(kpr)|(kdp)|(train st.+moving)|(\|lc)|(penalty))"</v>
      </c>
      <c r="U49" s="9" t="str">
        <f t="shared" si="12"/>
        <v>4045</v>
      </c>
      <c r="V49" s="31">
        <f t="shared" si="13"/>
        <v>42919.019687499997</v>
      </c>
      <c r="W49" s="45" t="str">
        <f t="shared" si="14"/>
        <v>EC</v>
      </c>
      <c r="X49" s="22">
        <f t="shared" si="15"/>
        <v>206</v>
      </c>
      <c r="Y49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ID","value":"206-02"},{"id":16,"name":"Locomotive ID","value":"4045"},{"id":130,"name":"Impact","value":""},{"id":150,"name":"Time of Event (Mountain Time)","value":"18:28:21"},{"id":151,"name":"Denver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/c/Users/stu/AppData/Local/Temp/OnboardLogs/RTDC4045 --include="*4045*201707030*"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"%USERPROFILE%\AppData\Local\Temp\OnboardLogs"\RTDC4045\*4045*201707030* &gt;&gt; 2017-07-02-SliceDisagreementCheck.txt</v>
      </c>
      <c r="AE49" s="145" t="str">
        <f t="shared" si="9"/>
        <v>start /low /b %USERPROFILE%\Documents\GitHub\eaglep3\Utilities\DownloadLogsFromS3.py --loco 4045 --day 2017-07-03</v>
      </c>
      <c r="AF49" s="1"/>
    </row>
    <row r="50" spans="1:32" x14ac:dyDescent="0.25">
      <c r="A50" s="31">
        <v>42918.904560185183</v>
      </c>
      <c r="B50" s="30" t="s">
        <v>417</v>
      </c>
      <c r="C50" s="30" t="s">
        <v>680</v>
      </c>
      <c r="D50" s="30" t="s">
        <v>49</v>
      </c>
      <c r="E50" s="30" t="s">
        <v>181</v>
      </c>
      <c r="F50" s="42">
        <v>0</v>
      </c>
      <c r="G50" s="42">
        <v>86</v>
      </c>
      <c r="H50" s="42">
        <v>289</v>
      </c>
      <c r="I50" s="42">
        <v>203</v>
      </c>
      <c r="J50" s="30" t="s">
        <v>182</v>
      </c>
      <c r="K50" s="42">
        <v>1</v>
      </c>
      <c r="L50" s="131" t="s">
        <v>51</v>
      </c>
      <c r="M50" s="132">
        <f t="shared" si="10"/>
        <v>106.65600000000001</v>
      </c>
      <c r="N50" s="133" t="str">
        <f>VLOOKUP(C50,'Trips&amp;Operators'!$C$1:$G$99999,5,FALSE)</f>
        <v>PERKINS DARREN</v>
      </c>
      <c r="O50" s="203" t="s">
        <v>180</v>
      </c>
      <c r="P50" s="134"/>
      <c r="Q50" s="30"/>
      <c r="R50" s="81" t="str">
        <f>VLOOKUP(C50,'Train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50" s="84" t="str">
        <f>VLOOKUP(C50,'Train Runs'!$A$13:$AE$9930,22,0)</f>
        <v>https://d0f6bd738d7f1b3e5a7ca70fe4ff75f0.us-east-1.aws.found.io/app/kibana#/discover/Steve-Slow-Train-Analysis-(2080s-and-2083s)?_g=(refreshInterval:(display:Off,pause:!f,section:0,value:0),time:(from:'2017-07-02T19:51:08-0600',mode:absolute,to:'2017-07-02T22:42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50" s="86" t="str">
        <f t="shared" si="11"/>
        <v>"C:\Program Files (x86)\AstroGrep\AstroGrep.exe" /e /r /s /spath="%USERPROFILE%\AppData\Local\Temp\OnboardLogs" /stypes="*4043*201707030*" /stext=" 03:.+((SYSTEM_STATE.+slice.+state.+changed )|(ment ac)|(multiple cpu faults)|(system.+state.+changed )|(\[timeout)|(PRM\|1\|D)|(kpr)|(kdp)|(train st.+moving)|(\|lc)|(penalty))"</v>
      </c>
      <c r="U50" s="9" t="str">
        <f t="shared" si="12"/>
        <v>4043</v>
      </c>
      <c r="V50" s="31">
        <f t="shared" si="13"/>
        <v>42919.154560185183</v>
      </c>
      <c r="W50" s="45" t="str">
        <f t="shared" si="14"/>
        <v>EC</v>
      </c>
      <c r="X50" s="22">
        <f t="shared" si="15"/>
        <v>226</v>
      </c>
      <c r="Y50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{"issue":{"subject":"","project_id":79,"tracker_id":40,"status_id":1,"priority_id":2,"assigned_to_id":23,"start_date":"2017-07-02","description":"","custom_fields":[{"id":1,"name":"Subdivision","value":"EC"},{"id":4,"name":"Milepost","value":"0.0001"},{"id":17,"name":"Train ID","value":"226-02"},{"id":16,"name":"Locomotive ID","value":"4043"},{"id":130,"name":"Impact","value":""},{"id":150,"name":"Time of Event (Mountain Time)","value":"21:42:34"},{"id":151,"name":"Denver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/c/Users/stu/AppData/Local/Temp/OnboardLogs/RTDC4043 --include="*4043*201707030*"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"%USERPROFILE%\AppData\Local\Temp\OnboardLogs"\RTDC4043\*4043*201707030* &gt;&gt; 2017-07-02-SliceDisagreementCheck.txt</v>
      </c>
      <c r="AE50" s="145" t="str">
        <f t="shared" si="9"/>
        <v>start /low /b %USERPROFILE%\Documents\GitHub\eaglep3\Utilities\DownloadLogsFromS3.py --loco 4043 --day 2017-07-03</v>
      </c>
      <c r="AF50" s="1"/>
    </row>
    <row r="51" spans="1:32" x14ac:dyDescent="0.25">
      <c r="A51" s="31">
        <v>42919.049166666664</v>
      </c>
      <c r="B51" s="30" t="s">
        <v>683</v>
      </c>
      <c r="C51" s="30" t="s">
        <v>684</v>
      </c>
      <c r="D51" s="30" t="s">
        <v>49</v>
      </c>
      <c r="E51" s="30" t="s">
        <v>181</v>
      </c>
      <c r="F51" s="42">
        <v>0</v>
      </c>
      <c r="G51" s="42">
        <v>42</v>
      </c>
      <c r="H51" s="42">
        <v>160</v>
      </c>
      <c r="I51" s="42">
        <v>127</v>
      </c>
      <c r="J51" s="30" t="s">
        <v>182</v>
      </c>
      <c r="K51" s="42">
        <v>1</v>
      </c>
      <c r="L51" s="131" t="s">
        <v>51</v>
      </c>
      <c r="M51" s="132">
        <f t="shared" si="10"/>
        <v>66.528000000000006</v>
      </c>
      <c r="N51" s="133" t="str">
        <f>VLOOKUP(C51,'Trips&amp;Operators'!$C$1:$G$99999,5,FALSE)</f>
        <v>SMITH MICHAEL</v>
      </c>
      <c r="O51" s="203" t="s">
        <v>180</v>
      </c>
      <c r="P51" s="134"/>
      <c r="Q51" s="30"/>
      <c r="R51" s="81" t="str">
        <f>VLOOKUP(C51,'Train Runs'!$A$13:$AE$9930,31,0)</f>
        <v>aws s3 cp s3://rtdc.mdm.uploadarchive.raw/RTDC4015/ "%USERPROFILE%\AppData\Local\Temp\OnboardLogs"\RTDC4015\2017-07-03 --exclude "*" --recursive --include "*20170703*" &amp; "%USERPROFILE%\Documents\GitHub\mrs-test-scripts\Headless Mode &amp; Sideloading\WalkAndUnGZ.bat" "%USERPROFILE%\AppData\Local\Temp\OnboardLogs"\RTDC4015\2017-07-03 &amp; aws s3 cp s3://rtdc.mdm.uploadarchive.raw/RTDC4015/ "%USERPROFILE%\AppData\Local\Temp\OnboardLogs"\RTDC4015\2017-07-04 --exclude "*" --recursive --include "*20170704*" &amp; "%USERPROFILE%\Documents\GitHub\mrs-test-scripts\Headless Mode &amp; Sideloading\WalkAndUnGZ.bat" "%USERPROFILE%\AppData\Local\Temp\OnboardLogs"\RTDC4015\2017-07-04</v>
      </c>
      <c r="S51" s="84" t="str">
        <f>VLOOKUP(C51,'Train Runs'!$A$13:$AE$9930,22,0)</f>
        <v>https://d0f6bd738d7f1b3e5a7ca70fe4ff75f0.us-east-1.aws.found.io/app/kibana#/discover/Steve-Slow-Train-Analysis-(2080s-and-2083s)?_g=(refreshInterval:(display:Off,pause:!f,section:0,value:0),time:(from:'2017-07-02T23:16:15-0600',mode:absolute,to:'2017-07-03T02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1" s="86" t="str">
        <f t="shared" si="11"/>
        <v>"C:\Program Files (x86)\AstroGrep\AstroGrep.exe" /e /r /s /spath="%USERPROFILE%\AppData\Local\Temp\OnboardLogs" /stypes="*4015*201707030*" /stext=" 07:.+((SYSTEM_STATE.+slice.+state.+changed )|(ment ac)|(multiple cpu faults)|(system.+state.+changed )|(\[timeout)|(PRM\|1\|D)|(kpr)|(kdp)|(train st.+moving)|(\|lc)|(penalty))"</v>
      </c>
      <c r="U51" s="9" t="str">
        <f t="shared" si="12"/>
        <v>4015</v>
      </c>
      <c r="V51" s="31">
        <f t="shared" si="13"/>
        <v>42919.299166666664</v>
      </c>
      <c r="W51" s="45" t="str">
        <f t="shared" si="14"/>
        <v>EC</v>
      </c>
      <c r="X51" s="22">
        <f t="shared" si="15"/>
        <v>240</v>
      </c>
      <c r="Y51" s="96" t="str">
        <f t="shared" si="16"/>
        <v>echo {"issue":{"subject":"","project_id":79,"tracker_id":40,"status_id":1,"priority_id":2,"assigned_to_id":23,"start_date":"2017-07-03","description":"","custom_fields":[{"id":1,"name":"Subdivision","value":"EC"},{"id":4,"name":"Milepost","value":"0.0001"},{"id":17,"name":"Train ID","value":"240-02"},{"id":16,"name":"Locomotive ID","value":"4015"},{"id":130,"name":"Impact","value":""},{"id":150,"name":"Time of Event (Mountain Time)","value":"01:10:48"},{"id":151,"name":"Denver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/c/Users/stu/AppData/Local/Temp/OnboardLogs/RTDC4015 --include="*4015*201707030*"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"%USERPROFILE%\AppData\Local\Temp\OnboardLogs"\RTDC4015\*4015*201707030* &gt;&gt; 2017-07-02-SliceDisagreementCheck.txt</v>
      </c>
      <c r="AE51" s="145" t="str">
        <f t="shared" si="9"/>
        <v>start /low /b %USERPROFILE%\Documents\GitHub\eaglep3\Utilities\DownloadLogsFromS3.py --loco 4015 --day 2017-07-03</v>
      </c>
      <c r="AF51" s="1"/>
    </row>
    <row r="52" spans="1:32" x14ac:dyDescent="0.25">
      <c r="A52" s="31">
        <v>42918.454259259262</v>
      </c>
      <c r="B52" s="30" t="s">
        <v>357</v>
      </c>
      <c r="C52" s="30" t="s">
        <v>641</v>
      </c>
      <c r="D52" s="30" t="s">
        <v>49</v>
      </c>
      <c r="E52" s="30" t="s">
        <v>181</v>
      </c>
      <c r="F52" s="42">
        <v>0</v>
      </c>
      <c r="G52" s="42">
        <v>61</v>
      </c>
      <c r="H52" s="42">
        <v>233274</v>
      </c>
      <c r="I52" s="42">
        <v>233344</v>
      </c>
      <c r="J52" s="30" t="s">
        <v>182</v>
      </c>
      <c r="K52" s="42">
        <v>233491</v>
      </c>
      <c r="L52" s="131" t="s">
        <v>50</v>
      </c>
      <c r="M52" s="132">
        <f t="shared" si="10"/>
        <v>77.616</v>
      </c>
      <c r="N52" s="133" t="str">
        <f>VLOOKUP(C52,'Trips&amp;Operators'!$C$1:$G$99999,5,FALSE)</f>
        <v>SULLIVAN BRANDON</v>
      </c>
      <c r="O52" s="203" t="s">
        <v>180</v>
      </c>
      <c r="P52" s="134"/>
      <c r="Q52" s="30"/>
      <c r="R52" s="81" t="str">
        <f>VLOOKUP(C52,'Train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52" s="84" t="str">
        <f>VLOOKUP(C52,'Train Runs'!$A$13:$AE$9930,22,0)</f>
        <v>https://d0f6bd738d7f1b3e5a7ca70fe4ff75f0.us-east-1.aws.found.io/app/kibana#/discover/Steve-Slow-Train-Analysis-(2080s-and-2083s)?_g=(refreshInterval:(display:Off,pause:!f,section:0,value:0),time:(from:'2017-07-02T09:13:46-0600',mode:absolute,to:'2017-07-02T11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2" s="86" t="str">
        <f t="shared" si="11"/>
        <v>"C:\Program Files (x86)\AstroGrep\AstroGrep.exe" /e /r /s /spath="%USERPROFILE%\AppData\Local\Temp\OnboardLogs" /stypes="*4042*201707021*" /stext=" 16:.+((SYSTEM_STATE.+slice.+state.+changed )|(ment ac)|(multiple cpu faults)|(system.+state.+changed )|(\[timeout)|(PRM\|1\|D)|(kpr)|(kdp)|(train st.+moving)|(\|lc)|(penalty))"</v>
      </c>
      <c r="U52" s="9" t="str">
        <f t="shared" si="12"/>
        <v>4042</v>
      </c>
      <c r="V52" s="31">
        <f t="shared" si="13"/>
        <v>42918.704259259262</v>
      </c>
      <c r="W52" s="45" t="str">
        <f t="shared" si="14"/>
        <v>EC</v>
      </c>
      <c r="X52" s="22">
        <f t="shared" si="15"/>
        <v>153</v>
      </c>
      <c r="Y52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ID","value":"153-02"},{"id":16,"name":"Locomotive ID","value":"4042"},{"id":130,"name":"Impact","value":""},{"id":150,"name":"Time of Event (Mountain Time)","value":"10:54:08"},{"id":151,"name":"Denver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/c/Users/stu/AppData/Local/Temp/OnboardLogs/RTDC4042 --include="*4042*201707021*"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"%USERPROFILE%\AppData\Local\Temp\OnboardLogs"\RTDC4042\*4042*201707021* &gt;&gt; 2017-07-02-SliceDisagreementCheck.txt</v>
      </c>
      <c r="AE52" s="145" t="str">
        <f t="shared" si="9"/>
        <v>start /low /b %USERPROFILE%\Documents\GitHub\eaglep3\Utilities\DownloadLogsFromS3.py --loco 4042 --day 2017-07-02</v>
      </c>
      <c r="AF52" s="1"/>
    </row>
    <row r="53" spans="1:32" x14ac:dyDescent="0.25">
      <c r="A53" s="31">
        <v>42918.586273148147</v>
      </c>
      <c r="B53" s="30" t="s">
        <v>439</v>
      </c>
      <c r="C53" s="30" t="s">
        <v>654</v>
      </c>
      <c r="D53" s="30" t="s">
        <v>49</v>
      </c>
      <c r="E53" s="30" t="s">
        <v>181</v>
      </c>
      <c r="F53" s="42">
        <v>0</v>
      </c>
      <c r="G53" s="42">
        <v>81</v>
      </c>
      <c r="H53" s="42">
        <v>233178</v>
      </c>
      <c r="I53" s="42">
        <v>233295</v>
      </c>
      <c r="J53" s="30" t="s">
        <v>182</v>
      </c>
      <c r="K53" s="42">
        <v>233491</v>
      </c>
      <c r="L53" s="131" t="s">
        <v>50</v>
      </c>
      <c r="M53" s="132">
        <f t="shared" si="10"/>
        <v>103.488</v>
      </c>
      <c r="N53" s="133" t="str">
        <f>VLOOKUP(C53,'Trips&amp;Operators'!$C$1:$G$99999,5,FALSE)</f>
        <v>BRANDNER MELINDA</v>
      </c>
      <c r="O53" s="203" t="s">
        <v>180</v>
      </c>
      <c r="P53" s="134"/>
      <c r="Q53" s="30"/>
      <c r="R53" s="81" t="str">
        <f>VLOOKUP(C53,'Train Runs'!$A$13:$AE$9930,31,0)</f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S53" s="84" t="str">
        <f>VLOOKUP(C53,'Train Runs'!$A$13:$AE$9930,22,0)</f>
        <v>https://d0f6bd738d7f1b3e5a7ca70fe4ff75f0.us-east-1.aws.found.io/app/kibana#/discover/Steve-Slow-Train-Analysis-(2080s-and-2083s)?_g=(refreshInterval:(display:Off,pause:!f,section:0,value:0),time:(from:'2017-07-02T12:14:48-0600',mode:absolute,to:'2017-07-02T15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3" s="86" t="str">
        <f t="shared" si="11"/>
        <v>"C:\Program Files (x86)\AstroGrep\AstroGrep.exe" /e /r /s /spath="%USERPROFILE%\AppData\Local\Temp\OnboardLogs" /stypes="*4046*201707022*" /stext=" 20:.+((SYSTEM_STATE.+slice.+state.+changed )|(ment ac)|(multiple cpu faults)|(system.+state.+changed )|(\[timeout)|(PRM\|1\|D)|(kpr)|(kdp)|(train st.+moving)|(\|lc)|(penalty))"</v>
      </c>
      <c r="U53" s="9" t="str">
        <f t="shared" si="12"/>
        <v>4046</v>
      </c>
      <c r="V53" s="31">
        <f t="shared" si="13"/>
        <v>42918.836273148147</v>
      </c>
      <c r="W53" s="45" t="str">
        <f t="shared" si="14"/>
        <v>EC</v>
      </c>
      <c r="X53" s="22">
        <f t="shared" si="15"/>
        <v>177</v>
      </c>
      <c r="Y53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ID","value":"177-02"},{"id":16,"name":"Locomotive ID","value":"4046"},{"id":130,"name":"Impact","value":""},{"id":150,"name":"Time of Event (Mountain Time)","value":"14:04:14"},{"id":151,"name":"Denver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/c/Users/stu/AppData/Local/Temp/OnboardLogs/RTDC4046 --include="*4046*201707022*"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"%USERPROFILE%\AppData\Local\Temp\OnboardLogs"\RTDC4046\*4046*201707022* &gt;&gt; 2017-07-02-SliceDisagreementCheck.txt</v>
      </c>
      <c r="AE53" s="145" t="str">
        <f t="shared" si="9"/>
        <v>start /low /b %USERPROFILE%\Documents\GitHub\eaglep3\Utilities\DownloadLogsFromS3.py --loco 4046 --day 2017-07-02</v>
      </c>
      <c r="AF53" s="1"/>
    </row>
    <row r="54" spans="1:32" x14ac:dyDescent="0.25">
      <c r="A54" s="31">
        <v>42918.632592592592</v>
      </c>
      <c r="B54" s="30" t="s">
        <v>341</v>
      </c>
      <c r="C54" s="30" t="s">
        <v>658</v>
      </c>
      <c r="D54" s="30" t="s">
        <v>49</v>
      </c>
      <c r="E54" s="30" t="s">
        <v>181</v>
      </c>
      <c r="F54" s="42">
        <v>0</v>
      </c>
      <c r="G54" s="42">
        <v>56</v>
      </c>
      <c r="H54" s="42">
        <v>233284</v>
      </c>
      <c r="I54" s="42">
        <v>233328</v>
      </c>
      <c r="J54" s="30" t="s">
        <v>182</v>
      </c>
      <c r="K54" s="42">
        <v>233491</v>
      </c>
      <c r="L54" s="131" t="s">
        <v>50</v>
      </c>
      <c r="M54" s="132">
        <f t="shared" si="10"/>
        <v>86.063999999999993</v>
      </c>
      <c r="N54" s="133" t="str">
        <f>VLOOKUP(C54,'Trips&amp;Operators'!$C$1:$G$99999,5,FALSE)</f>
        <v>NELSON ARIANE</v>
      </c>
      <c r="O54" s="203" t="s">
        <v>180</v>
      </c>
      <c r="P54" s="134"/>
      <c r="Q54" s="30"/>
      <c r="R54" s="81" t="str">
        <f>VLOOKUP(C54,'Train Runs'!$A$13:$AE$9930,31,0)</f>
        <v>aws s3 cp s3://rtdc.mdm.uploadarchive.raw/RTDC4022/ "%USERPROFILE%\AppData\Local\Temp\OnboardLogs"\RTDC4022\2017-07-02 --exclude "*" --recursive --include "*20170702*" &amp; "%USERPROFILE%\Documents\GitHub\mrs-test-scripts\Headless Mode &amp; Sideloading\WalkAndUnGZ.bat" "%USERPROFILE%\AppData\Local\Temp\OnboardLogs"\RTDC4022\2017-07-02 &amp; aws s3 cp s3://rtdc.mdm.uploadarchive.raw/RTDC4022/ "%USERPROFILE%\AppData\Local\Temp\OnboardLogs"\RTDC4022\2017-07-03 --exclude "*" --recursive --include "*20170703*" &amp; "%USERPROFILE%\Documents\GitHub\mrs-test-scripts\Headless Mode &amp; Sideloading\WalkAndUnGZ.bat" "%USERPROFILE%\AppData\Local\Temp\OnboardLogs"\RTDC4022\2017-07-03</v>
      </c>
      <c r="S54" s="84" t="str">
        <f>VLOOKUP(C54,'Train Runs'!$A$13:$AE$9930,22,0)</f>
        <v>https://d0f6bd738d7f1b3e5a7ca70fe4ff75f0.us-east-1.aws.found.io/app/kibana#/discover/Steve-Slow-Train-Analysis-(2080s-and-2083s)?_g=(refreshInterval:(display:Off,pause:!f,section:0,value:0),time:(from:'2017-07-02T13:29:24-0600',mode:absolute,to:'2017-07-02T16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4" s="86" t="str">
        <f t="shared" si="11"/>
        <v>"C:\Program Files (x86)\AstroGrep\AstroGrep.exe" /e /r /s /spath="%USERPROFILE%\AppData\Local\Temp\OnboardLogs" /stypes="*4022*201707022*" /stext=" 21:.+((SYSTEM_STATE.+slice.+state.+changed )|(ment ac)|(multiple cpu faults)|(system.+state.+changed )|(\[timeout)|(PRM\|1\|D)|(kpr)|(kdp)|(train st.+moving)|(\|lc)|(penalty))"</v>
      </c>
      <c r="U54" s="9" t="str">
        <f t="shared" si="12"/>
        <v>4022</v>
      </c>
      <c r="V54" s="31">
        <f t="shared" si="13"/>
        <v>42918.882592592592</v>
      </c>
      <c r="W54" s="45" t="str">
        <f t="shared" si="14"/>
        <v>EC</v>
      </c>
      <c r="X54" s="22">
        <f t="shared" si="15"/>
        <v>187</v>
      </c>
      <c r="Y54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ID","value":"187-02"},{"id":16,"name":"Locomotive ID","value":"4022"},{"id":130,"name":"Impact","value":""},{"id":150,"name":"Time of Event (Mountain Time)","value":"15:10:56"},{"id":151,"name":"Denver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/c/Users/stu/AppData/Local/Temp/OnboardLogs/RTDC4022 --include="*4022*201707022*"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"%USERPROFILE%\AppData\Local\Temp\OnboardLogs"\RTDC4022\*4022*201707022* &gt;&gt; 2017-07-02-SliceDisagreementCheck.txt</v>
      </c>
      <c r="AE54" s="145" t="str">
        <f t="shared" si="9"/>
        <v>start /low /b %USERPROFILE%\Documents\GitHub\eaglep3\Utilities\DownloadLogsFromS3.py --loco 4022 --day 2017-07-02</v>
      </c>
      <c r="AF54" s="1"/>
    </row>
    <row r="55" spans="1:32" x14ac:dyDescent="0.25">
      <c r="A55" s="31">
        <v>42918.735196759262</v>
      </c>
      <c r="B55" s="30" t="s">
        <v>439</v>
      </c>
      <c r="C55" s="30" t="s">
        <v>670</v>
      </c>
      <c r="D55" s="30" t="s">
        <v>49</v>
      </c>
      <c r="E55" s="30" t="s">
        <v>181</v>
      </c>
      <c r="F55" s="42">
        <v>0</v>
      </c>
      <c r="G55" s="42">
        <v>52</v>
      </c>
      <c r="H55" s="42">
        <v>233291</v>
      </c>
      <c r="I55" s="42">
        <v>233361</v>
      </c>
      <c r="J55" s="30" t="s">
        <v>182</v>
      </c>
      <c r="K55" s="42">
        <v>233491</v>
      </c>
      <c r="L55" s="131" t="s">
        <v>50</v>
      </c>
      <c r="M55" s="132">
        <f t="shared" si="10"/>
        <v>68.64</v>
      </c>
      <c r="N55" s="133" t="str">
        <f>VLOOKUP(C55,'Trips&amp;Operators'!$C$1:$G$99999,5,FALSE)</f>
        <v>BRANDNER MELINDA</v>
      </c>
      <c r="O55" s="203" t="s">
        <v>180</v>
      </c>
      <c r="P55" s="134"/>
      <c r="Q55" s="30"/>
      <c r="R55" s="81" t="str">
        <f>VLOOKUP(C55,'Train Runs'!$A$13:$AE$9930,31,0)</f>
        <v>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 &amp; aws s3 cp s3://rtdc.mdm.uploadarchive.raw/RTDC4046/ "%USERPROFILE%\AppData\Local\Temp\OnboardLogs"\RTDC4046\2017-07-03 --exclude "*" --recursive --include "*20170703*" &amp; "%USERPROFILE%\Documents\GitHub\mrs-test-scripts\Headless Mode &amp; Sideloading\WalkAndUnGZ.bat" "%USERPROFILE%\AppData\Local\Temp\OnboardLogs"\RTDC4046\2017-07-03</v>
      </c>
      <c r="S55" s="84" t="str">
        <f>VLOOKUP(C55,'Train Runs'!$A$13:$AE$9930,22,0)</f>
        <v>https://d0f6bd738d7f1b3e5a7ca70fe4ff75f0.us-east-1.aws.found.io/app/kibana#/discover/Steve-Slow-Train-Analysis-(2080s-and-2083s)?_g=(refreshInterval:(display:Off,pause:!f,section:0,value:0),time:(from:'2017-07-02T15:44:13-0600',mode:absolute,to:'2017-07-02T17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5" s="86" t="str">
        <f t="shared" si="11"/>
        <v>"C:\Program Files (x86)\AstroGrep\AstroGrep.exe" /e /r /s /spath="%USERPROFILE%\AppData\Local\Temp\OnboardLogs" /stypes="*4046*201707022*" /stext=" 23:.+((SYSTEM_STATE.+slice.+state.+changed )|(ment ac)|(multiple cpu faults)|(system.+state.+changed )|(\[timeout)|(PRM\|1\|D)|(kpr)|(kdp)|(train st.+moving)|(\|lc)|(penalty))"</v>
      </c>
      <c r="U55" s="9" t="str">
        <f t="shared" si="12"/>
        <v>4046</v>
      </c>
      <c r="V55" s="31">
        <f t="shared" si="13"/>
        <v>42918.985196759262</v>
      </c>
      <c r="W55" s="45" t="str">
        <f t="shared" si="14"/>
        <v>EC</v>
      </c>
      <c r="X55" s="22">
        <f t="shared" si="15"/>
        <v>205</v>
      </c>
      <c r="Y55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ID","value":"205-02"},{"id":16,"name":"Locomotive ID","value":"4046"},{"id":130,"name":"Impact","value":""},{"id":150,"name":"Time of Event (Mountain Time)","value":"17:38:41"},{"id":151,"name":"Denver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/c/Users/stu/AppData/Local/Temp/OnboardLogs/RTDC4046 --include="*4046*201707022*"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"%USERPROFILE%\AppData\Local\Temp\OnboardLogs"\RTDC4046\*4046*201707022* &gt;&gt; 2017-07-02-SliceDisagreementCheck.txt</v>
      </c>
      <c r="AE55" s="145" t="str">
        <f t="shared" si="9"/>
        <v>start /low /b %USERPROFILE%\Documents\GitHub\eaglep3\Utilities\DownloadLogsFromS3.py --loco 4046 --day 2017-07-02</v>
      </c>
      <c r="AF55" s="1"/>
    </row>
    <row r="56" spans="1:32" x14ac:dyDescent="0.25">
      <c r="A56" s="31">
        <v>42918.74690972222</v>
      </c>
      <c r="B56" s="30" t="s">
        <v>357</v>
      </c>
      <c r="C56" s="30" t="s">
        <v>671</v>
      </c>
      <c r="D56" s="30" t="s">
        <v>49</v>
      </c>
      <c r="E56" s="30" t="s">
        <v>181</v>
      </c>
      <c r="F56" s="42">
        <v>0</v>
      </c>
      <c r="G56" s="42">
        <v>64</v>
      </c>
      <c r="H56" s="42">
        <v>233297</v>
      </c>
      <c r="I56" s="42">
        <v>233353</v>
      </c>
      <c r="J56" s="30" t="s">
        <v>182</v>
      </c>
      <c r="K56" s="42">
        <v>233491</v>
      </c>
      <c r="L56" s="131" t="s">
        <v>50</v>
      </c>
      <c r="M56" s="132">
        <f t="shared" si="10"/>
        <v>72.864000000000004</v>
      </c>
      <c r="N56" s="133" t="str">
        <f>VLOOKUP(C56,'Trips&amp;Operators'!$C$1:$G$99999,5,FALSE)</f>
        <v>STAMBAUGH JAMES</v>
      </c>
      <c r="O56" s="203" t="s">
        <v>180</v>
      </c>
      <c r="P56" s="134"/>
      <c r="Q56" s="30"/>
      <c r="R56" s="81" t="str">
        <f>VLOOKUP(C56,'Train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56" s="84" t="str">
        <f>VLOOKUP(C56,'Train Runs'!$A$13:$AE$9930,22,0)</f>
        <v>https://d0f6bd738d7f1b3e5a7ca70fe4ff75f0.us-east-1.aws.found.io/app/kibana#/discover/Steve-Slow-Train-Analysis-(2080s-and-2083s)?_g=(refreshInterval:(display:Off,pause:!f,section:0,value:0),time:(from:'2017-07-02T16:14:47-0600',mode:absolute,to:'2017-07-02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6" s="86" t="str">
        <f t="shared" si="11"/>
        <v>"C:\Program Files (x86)\AstroGrep\AstroGrep.exe" /e /r /s /spath="%USERPROFILE%\AppData\Local\Temp\OnboardLogs" /stypes="*4042*201707022*" /stext=" 23:.+((SYSTEM_STATE.+slice.+state.+changed )|(ment ac)|(multiple cpu faults)|(system.+state.+changed )|(\[timeout)|(PRM\|1\|D)|(kpr)|(kdp)|(train st.+moving)|(\|lc)|(penalty))"</v>
      </c>
      <c r="U56" s="9" t="str">
        <f t="shared" si="12"/>
        <v>4042</v>
      </c>
      <c r="V56" s="31">
        <f t="shared" si="13"/>
        <v>42918.99690972222</v>
      </c>
      <c r="W56" s="45" t="str">
        <f t="shared" si="14"/>
        <v>EC</v>
      </c>
      <c r="X56" s="22">
        <f t="shared" si="15"/>
        <v>209</v>
      </c>
      <c r="Y56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ID","value":"209-02"},{"id":16,"name":"Locomotive ID","value":"4042"},{"id":130,"name":"Impact","value":""},{"id":150,"name":"Time of Event (Mountain Time)","value":"17:55:33"},{"id":151,"name":"Denver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/c/Users/stu/AppData/Local/Temp/OnboardLogs/RTDC4042 --include="*4042*201707022*"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"%USERPROFILE%\AppData\Local\Temp\OnboardLogs"\RTDC4042\*4042*201707022* &gt;&gt; 2017-07-02-SliceDisagreementCheck.txt</v>
      </c>
      <c r="AE56" s="145" t="str">
        <f t="shared" si="9"/>
        <v>start /low /b %USERPROFILE%\Documents\GitHub\eaglep3\Utilities\DownloadLogsFromS3.py --loco 4042 --day 2017-07-02</v>
      </c>
      <c r="AF56" s="1"/>
    </row>
    <row r="57" spans="1:32" x14ac:dyDescent="0.25">
      <c r="A57" s="31">
        <v>42918.985752314817</v>
      </c>
      <c r="B57" s="30" t="s">
        <v>357</v>
      </c>
      <c r="C57" s="30" t="s">
        <v>681</v>
      </c>
      <c r="D57" s="30" t="s">
        <v>49</v>
      </c>
      <c r="E57" s="30" t="s">
        <v>181</v>
      </c>
      <c r="F57" s="42">
        <v>0</v>
      </c>
      <c r="G57" s="42">
        <v>46</v>
      </c>
      <c r="H57" s="42">
        <v>233339</v>
      </c>
      <c r="I57" s="42">
        <v>233387</v>
      </c>
      <c r="J57" s="30" t="s">
        <v>182</v>
      </c>
      <c r="K57" s="42">
        <v>233491</v>
      </c>
      <c r="L57" s="131" t="s">
        <v>50</v>
      </c>
      <c r="M57" s="132">
        <f t="shared" si="10"/>
        <v>54.911999999999999</v>
      </c>
      <c r="N57" s="133" t="str">
        <f>VLOOKUP(C57,'Trips&amp;Operators'!$C$1:$G$99999,5,FALSE)</f>
        <v>STAMBAUGH JAMES</v>
      </c>
      <c r="O57" s="203" t="s">
        <v>180</v>
      </c>
      <c r="P57" s="134"/>
      <c r="Q57" s="30"/>
      <c r="R57" s="81" t="str">
        <f>VLOOKUP(C57,'Train Runs'!$A$13:$AE$9930,31,0)</f>
        <v>aws s3 cp s3://rtdc.mdm.uploadarchive.raw/RTDC4042/ "%USERPROFILE%\AppData\Local\Temp\OnboardLogs"\RTDC4042\2017-07-02 --exclude "*" --recursive --include "*20170702*" &amp; "%USERPROFILE%\Documents\GitHub\mrs-test-scripts\Headless Mode &amp; Sideloading\WalkAndUnGZ.bat" "%USERPROFILE%\AppData\Local\Temp\OnboardLogs"\RTDC4042\2017-07-02 &amp; aws s3 cp s3://rtdc.mdm.uploadarchive.raw/RTDC4042/ "%USERPROFILE%\AppData\Local\Temp\OnboardLogs"\RTDC4042\2017-07-03 --exclude "*" --recursive --include "*20170703*" &amp; "%USERPROFILE%\Documents\GitHub\mrs-test-scripts\Headless Mode &amp; Sideloading\WalkAndUnGZ.bat" "%USERPROFILE%\AppData\Local\Temp\OnboardLogs"\RTDC4042\2017-07-03</v>
      </c>
      <c r="S57" s="84" t="str">
        <f>VLOOKUP(C57,'Train Runs'!$A$13:$AE$9930,22,0)</f>
        <v>https://d0f6bd738d7f1b3e5a7ca70fe4ff75f0.us-east-1.aws.found.io/app/kibana#/discover/Steve-Slow-Train-Analysis-(2080s-and-2083s)?_g=(refreshInterval:(display:Off,pause:!f,section:0,value:0),time:(from:'2017-07-02T21:56:04-0600',mode:absolute,to:'2017-07-03T00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57" s="86" t="str">
        <f t="shared" si="11"/>
        <v>"C:\Program Files (x86)\AstroGrep\AstroGrep.exe" /e /r /s /spath="%USERPROFILE%\AppData\Local\Temp\OnboardLogs" /stypes="*4042*201707030*" /stext=" 05:.+((SYSTEM_STATE.+slice.+state.+changed )|(ment ac)|(multiple cpu faults)|(system.+state.+changed )|(\[timeout)|(PRM\|1\|D)|(kpr)|(kdp)|(train st.+moving)|(\|lc)|(penalty))"</v>
      </c>
      <c r="U57" s="9" t="str">
        <f t="shared" si="12"/>
        <v>4042</v>
      </c>
      <c r="V57" s="31">
        <f t="shared" si="13"/>
        <v>42919.235752314817</v>
      </c>
      <c r="W57" s="45" t="str">
        <f t="shared" si="14"/>
        <v>EC</v>
      </c>
      <c r="X57" s="22">
        <f t="shared" si="15"/>
        <v>237</v>
      </c>
      <c r="Y57" s="96" t="str">
        <f t="shared" si="16"/>
        <v>echo {"issue":{"subject":"","project_id":79,"tracker_id":40,"status_id":1,"priority_id":2,"assigned_to_id":23,"start_date":"2017-07-02","description":"","custom_fields":[{"id":1,"name":"Subdivision","value":"EC"},{"id":4,"name":"Milepost","value":"23.3491"},{"id":17,"name":"Train ID","value":"237-02"},{"id":16,"name":"Locomotive ID","value":"4042"},{"id":130,"name":"Impact","value":""},{"id":150,"name":"Time of Event (Mountain Time)","value":"23:39:29"},{"id":151,"name":"Denver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/c/Users/stu/AppData/Local/Temp/OnboardLogs/RTDC4042 --include="*4042*201707030*"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"%USERPROFILE%\AppData\Local\Temp\OnboardLogs"\RTDC4042\*4042*201707030* &gt;&gt; 2017-07-02-SliceDisagreementCheck.txt</v>
      </c>
      <c r="AE57" s="145" t="str">
        <f t="shared" si="9"/>
        <v>start /low /b %USERPROFILE%\Documents\GitHub\eaglep3\Utilities\DownloadLogsFromS3.py --loco 4042 --day 2017-07-03</v>
      </c>
      <c r="AF57" s="1"/>
    </row>
    <row r="58" spans="1:32" x14ac:dyDescent="0.25">
      <c r="A58" s="31">
        <v>42918.647314814814</v>
      </c>
      <c r="B58" s="30" t="s">
        <v>659</v>
      </c>
      <c r="C58" s="30" t="s">
        <v>660</v>
      </c>
      <c r="D58" s="30" t="s">
        <v>49</v>
      </c>
      <c r="E58" s="30" t="s">
        <v>200</v>
      </c>
      <c r="F58" s="42">
        <v>150</v>
      </c>
      <c r="G58" s="42">
        <v>317</v>
      </c>
      <c r="H58" s="42">
        <v>55752</v>
      </c>
      <c r="I58" s="42">
        <v>56414</v>
      </c>
      <c r="J58" s="30" t="s">
        <v>201</v>
      </c>
      <c r="K58" s="42">
        <v>57008</v>
      </c>
      <c r="L58" s="131" t="s">
        <v>50</v>
      </c>
      <c r="M58" s="132">
        <f t="shared" si="10"/>
        <v>313.63200000000001</v>
      </c>
      <c r="N58" s="133" t="str">
        <f>VLOOKUP(C58,'Trips&amp;Operators'!$C$1:$G$99999,5,FALSE)</f>
        <v>MAGEE KENYA</v>
      </c>
      <c r="O58" s="203" t="s">
        <v>180</v>
      </c>
      <c r="P58" s="134"/>
      <c r="Q58" s="30"/>
      <c r="R58" s="81" t="str">
        <f>VLOOKUP(C58,'Train Runs'!$A$13:$AE$9930,31,0)</f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S58" s="84" t="str">
        <f>VLOOKUP(C58,'Train Runs'!$A$13:$AE$9930,22,0)</f>
        <v>https://d0f6bd738d7f1b3e5a7ca70fe4ff75f0.us-east-1.aws.found.io/app/kibana#/discover/Steve-Slow-Train-Analysis-(2080s-and-2083s)?_g=(refreshInterval:(display:Off,pause:!f,section:0,value:0),time:(from:'2017-07-02T14:19:13-0600',mode:absolute,to:'2017-07-02T16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8" s="86" t="str">
        <f t="shared" si="11"/>
        <v>"C:\Program Files (x86)\AstroGrep\AstroGrep.exe" /e /r /s /spath="%USERPROFILE%\AppData\Local\Temp\OnboardLogs" /stypes="*4026*201707022*" /stext=" 21:.+((SYSTEM_STATE.+slice.+state.+changed )|(ment ac)|(multiple cpu faults)|(system.+state.+changed )|(\[timeout)|(PRM\|1\|D)|(kpr)|(kdp)|(train st.+moving)|(\|lc)|(penalty))"</v>
      </c>
      <c r="U58" s="9" t="str">
        <f t="shared" si="12"/>
        <v>4026</v>
      </c>
      <c r="V58" s="31">
        <f t="shared" si="13"/>
        <v>42918.897314814814</v>
      </c>
      <c r="W58" s="45" t="str">
        <f t="shared" si="14"/>
        <v>NW</v>
      </c>
      <c r="X58" s="22">
        <f t="shared" si="15"/>
        <v>1819</v>
      </c>
      <c r="Y58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{"issue":{"subject":"","project_id":79,"tracker_id":40,"status_id":1,"priority_id":2,"assigned_to_id":23,"start_date":"2017-07-02","description":"","custom_fields":[{"id":1,"name":"Subdivision","value":"NW"},{"id":4,"name":"Milepost","value":"5.7008"},{"id":17,"name":"Train ID","value":"1819-02"},{"id":16,"name":"Locomotive ID","value":"4026"},{"id":130,"name":"Impact","value":""},{"id":150,"name":"Time of Event (Mountain Time)","value":"15:32:08"},{"id":151,"name":"Denver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/c/Users/stu/AppData/Local/Temp/OnboardLogs/RTDC4026 --include="*4026*201707022*"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"%USERPROFILE%\AppData\Local\Temp\OnboardLogs"\RTDC4026\*4026*201707022* &gt;&gt; 2017-07-02-SliceDisagreementCheck.txt</v>
      </c>
      <c r="AE58" s="145" t="str">
        <f t="shared" si="9"/>
        <v>start /low /b %USERPROFILE%\Documents\GitHub\eaglep3\Utilities\DownloadLogsFromS3.py --loco 4026 --day 2017-07-02</v>
      </c>
      <c r="AF58" s="1"/>
    </row>
    <row r="59" spans="1:32" x14ac:dyDescent="0.25">
      <c r="A59" s="31">
        <v>42918.730844907404</v>
      </c>
      <c r="B59" s="30" t="s">
        <v>659</v>
      </c>
      <c r="C59" s="30" t="s">
        <v>669</v>
      </c>
      <c r="D59" s="30" t="s">
        <v>49</v>
      </c>
      <c r="E59" s="30" t="s">
        <v>200</v>
      </c>
      <c r="F59" s="42">
        <v>150</v>
      </c>
      <c r="G59" s="42">
        <v>325</v>
      </c>
      <c r="H59" s="42">
        <v>55607</v>
      </c>
      <c r="I59" s="42">
        <v>56221</v>
      </c>
      <c r="J59" s="30" t="s">
        <v>201</v>
      </c>
      <c r="K59" s="42">
        <v>57008</v>
      </c>
      <c r="L59" s="131" t="s">
        <v>50</v>
      </c>
      <c r="M59" s="132">
        <f t="shared" si="10"/>
        <v>415.536</v>
      </c>
      <c r="N59" s="133" t="str">
        <f>VLOOKUP(C59,'Trips&amp;Operators'!$C$1:$G$99999,5,FALSE)</f>
        <v>MAGEE KENYA</v>
      </c>
      <c r="O59" s="203" t="s">
        <v>180</v>
      </c>
      <c r="P59" s="134"/>
      <c r="Q59" s="30"/>
      <c r="R59" s="81" t="str">
        <f>VLOOKUP(C59,'Train Runs'!$A$13:$AE$9930,31,0)</f>
        <v>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 &amp; aws s3 cp s3://rtdc.mdm.uploadarchive.raw/RTDC4026/ "%USERPROFILE%\AppData\Local\Temp\OnboardLogs"\RTDC4026\2017-07-03 --exclude "*" --recursive --include "*20170703*" &amp; "%USERPROFILE%\Documents\GitHub\mrs-test-scripts\Headless Mode &amp; Sideloading\WalkAndUnGZ.bat" "%USERPROFILE%\AppData\Local\Temp\OnboardLogs"\RTDC4026\2017-07-03</v>
      </c>
      <c r="S59" s="84" t="str">
        <f>VLOOKUP(C59,'Train Runs'!$A$13:$AE$9930,22,0)</f>
        <v>https://d0f6bd738d7f1b3e5a7ca70fe4ff75f0.us-east-1.aws.found.io/app/kibana#/discover/Steve-Slow-Train-Analysis-(2080s-and-2083s)?_g=(refreshInterval:(display:Off,pause:!f,section:0,value:0),time:(from:'2017-07-02T16:13:29-0600',mode:absolute,to:'2017-07-02T18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9" s="86" t="str">
        <f t="shared" si="11"/>
        <v>"C:\Program Files (x86)\AstroGrep\AstroGrep.exe" /e /r /s /spath="%USERPROFILE%\AppData\Local\Temp\OnboardLogs" /stypes="*4026*201707022*" /stext=" 23:.+((SYSTEM_STATE.+slice.+state.+changed )|(ment ac)|(multiple cpu faults)|(system.+state.+changed )|(\[timeout)|(PRM\|1\|D)|(kpr)|(kdp)|(train st.+moving)|(\|lc)|(penalty))"</v>
      </c>
      <c r="U59" s="9" t="str">
        <f t="shared" si="12"/>
        <v>4026</v>
      </c>
      <c r="V59" s="31">
        <f t="shared" si="13"/>
        <v>42918.980844907404</v>
      </c>
      <c r="W59" s="45" t="str">
        <f t="shared" si="14"/>
        <v>NW</v>
      </c>
      <c r="X59" s="22">
        <f t="shared" si="15"/>
        <v>1823</v>
      </c>
      <c r="Y59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{"issue":{"subject":"","project_id":79,"tracker_id":40,"status_id":1,"priority_id":2,"assigned_to_id":23,"start_date":"2017-07-02","description":"","custom_fields":[{"id":1,"name":"Subdivision","value":"NW"},{"id":4,"name":"Milepost","value":"5.7008"},{"id":17,"name":"Train ID","value":"1823-02"},{"id":16,"name":"Locomotive ID","value":"4026"},{"id":130,"name":"Impact","value":""},{"id":150,"name":"Time of Event (Mountain Time)","value":"17:32:25"},{"id":151,"name":"Denver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/c/Users/stu/AppData/Local/Temp/OnboardLogs/RTDC4026 --include="*4026*201707022*"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"%USERPROFILE%\AppData\Local\Temp\OnboardLogs"\RTDC4026\*4026*201707022* &gt;&gt; 2017-07-02-SliceDisagreementCheck.txt</v>
      </c>
      <c r="AE59" s="145" t="str">
        <f t="shared" si="9"/>
        <v>start /low /b %USERPROFILE%\Documents\GitHub\eaglep3\Utilities\DownloadLogsFromS3.py --loco 4026 --day 2017-07-02</v>
      </c>
      <c r="AF59" s="1"/>
    </row>
    <row r="60" spans="1:32" x14ac:dyDescent="0.25">
      <c r="A60" s="31">
        <v>42918.288425925923</v>
      </c>
      <c r="B60" s="30" t="s">
        <v>632</v>
      </c>
      <c r="C60" s="30" t="s">
        <v>633</v>
      </c>
      <c r="D60" s="30" t="s">
        <v>49</v>
      </c>
      <c r="E60" s="30" t="s">
        <v>181</v>
      </c>
      <c r="F60" s="42">
        <v>0</v>
      </c>
      <c r="G60" s="42">
        <v>36</v>
      </c>
      <c r="H60" s="42">
        <v>705</v>
      </c>
      <c r="I60" s="42">
        <v>671</v>
      </c>
      <c r="J60" s="30" t="s">
        <v>182</v>
      </c>
      <c r="K60" s="42">
        <v>575</v>
      </c>
      <c r="L60" s="131" t="s">
        <v>51</v>
      </c>
      <c r="M60" s="132">
        <f t="shared" si="10"/>
        <v>50.688000000000002</v>
      </c>
      <c r="N60" s="133" t="str">
        <f>VLOOKUP(C60,'Trips&amp;Operators'!$C$1:$G$99999,5,FALSE)</f>
        <v>DAVIDSON DAVID</v>
      </c>
      <c r="O60" s="203" t="s">
        <v>180</v>
      </c>
      <c r="P60" s="134"/>
      <c r="Q60" s="30"/>
      <c r="R60" s="81" t="str">
        <f>VLOOKUP(C60,'Train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0" s="84" t="str">
        <f>VLOOKUP(C60,'Train Runs'!$A$13:$AE$9930,22,0)</f>
        <v>https://d0f6bd738d7f1b3e5a7ca70fe4ff75f0.us-east-1.aws.found.io/app/kibana#/discover/Steve-Slow-Train-Analysis-(2080s-and-2083s)?_g=(refreshInterval:(display:Off,pause:!f,section:0,value:0),time:(from:'2017-07-02T05:36:33-0600',mode:absolute,to:'2017-07-02T07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0" s="86" t="str">
        <f t="shared" si="11"/>
        <v>"C:\Program Files (x86)\AstroGrep\AstroGrep.exe" /e /r /s /spath="%USERPROFILE%\AppData\Local\Temp\OnboardLogs" /stypes="*4025*201707021*" /stext=" 12:.+((SYSTEM_STATE.+slice.+state.+changed )|(ment ac)|(multiple cpu faults)|(system.+state.+changed )|(\[timeout)|(PRM\|1\|D)|(kpr)|(kdp)|(train st.+moving)|(\|lc)|(penalty))"</v>
      </c>
      <c r="U60" s="9" t="str">
        <f t="shared" si="12"/>
        <v>4025</v>
      </c>
      <c r="V60" s="31">
        <f t="shared" si="13"/>
        <v>42918.538425925923</v>
      </c>
      <c r="W60" s="45" t="str">
        <f t="shared" si="14"/>
        <v>NW</v>
      </c>
      <c r="X60" s="22">
        <f t="shared" si="15"/>
        <v>1802</v>
      </c>
      <c r="Y60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ID","value":"1802-02"},{"id":16,"name":"Locomotive ID","value":"4025"},{"id":130,"name":"Impact","value":""},{"id":150,"name":"Time of Event (Mountain Time)","value":"06:55:20"},{"id":151,"name":"Denver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/c/Users/stu/AppData/Local/Temp/OnboardLogs/RTDC4025 --include="*4025*201707021*"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"%USERPROFILE%\AppData\Local\Temp\OnboardLogs"\RTDC4025\*4025*201707021* &gt;&gt; 2017-07-02-SliceDisagreementCheck.txt</v>
      </c>
      <c r="AE60" s="145" t="str">
        <f t="shared" si="9"/>
        <v>start /low /b %USERPROFILE%\Documents\GitHub\eaglep3\Utilities\DownloadLogsFromS3.py --loco 4025 --day 2017-07-02</v>
      </c>
      <c r="AF60" s="1"/>
    </row>
    <row r="61" spans="1:32" x14ac:dyDescent="0.25">
      <c r="A61" s="31">
        <v>42918.583287037036</v>
      </c>
      <c r="B61" s="30" t="s">
        <v>632</v>
      </c>
      <c r="C61" s="30" t="s">
        <v>653</v>
      </c>
      <c r="D61" s="30" t="s">
        <v>49</v>
      </c>
      <c r="E61" s="30" t="s">
        <v>181</v>
      </c>
      <c r="F61" s="42">
        <v>0</v>
      </c>
      <c r="G61" s="42">
        <v>57</v>
      </c>
      <c r="H61" s="42">
        <v>780</v>
      </c>
      <c r="I61" s="42">
        <v>731</v>
      </c>
      <c r="J61" s="30" t="s">
        <v>182</v>
      </c>
      <c r="K61" s="42">
        <v>575</v>
      </c>
      <c r="L61" s="131" t="s">
        <v>51</v>
      </c>
      <c r="M61" s="132">
        <f t="shared" si="10"/>
        <v>82.367999999999995</v>
      </c>
      <c r="N61" s="133" t="str">
        <f>VLOOKUP(C61,'Trips&amp;Operators'!$C$1:$G$99999,5,FALSE)</f>
        <v>DAVIDSON DAVID</v>
      </c>
      <c r="O61" s="203" t="s">
        <v>180</v>
      </c>
      <c r="P61" s="134"/>
      <c r="Q61" s="30"/>
      <c r="R61" s="81" t="str">
        <f>VLOOKUP(C61,'Train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1" s="84" t="str">
        <f>VLOOKUP(C61,'Train Runs'!$A$13:$AE$9930,22,0)</f>
        <v>https://d0f6bd738d7f1b3e5a7ca70fe4ff75f0.us-east-1.aws.found.io/app/kibana#/discover/Steve-Slow-Train-Analysis-(2080s-and-2083s)?_g=(refreshInterval:(display:Off,pause:!f,section:0,value:0),time:(from:'2017-07-02T12:36:46-0600',mode:absolute,to:'2017-07-02T14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1" s="86" t="str">
        <f t="shared" si="11"/>
        <v>"C:\Program Files (x86)\AstroGrep\AstroGrep.exe" /e /r /s /spath="%USERPROFILE%\AppData\Local\Temp\OnboardLogs" /stypes="*4025*201707021*" /stext=" 19:.+((SYSTEM_STATE.+slice.+state.+changed )|(ment ac)|(multiple cpu faults)|(system.+state.+changed )|(\[timeout)|(PRM\|1\|D)|(kpr)|(kdp)|(train st.+moving)|(\|lc)|(penalty))"</v>
      </c>
      <c r="U61" s="9" t="str">
        <f t="shared" si="12"/>
        <v>4025</v>
      </c>
      <c r="V61" s="31">
        <f t="shared" si="13"/>
        <v>42918.833287037036</v>
      </c>
      <c r="W61" s="45" t="str">
        <f t="shared" si="14"/>
        <v>NW</v>
      </c>
      <c r="X61" s="22">
        <f t="shared" si="15"/>
        <v>1816</v>
      </c>
      <c r="Y61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ID","value":"1816-02"},{"id":16,"name":"Locomotive ID","value":"4025"},{"id":130,"name":"Impact","value":""},{"id":150,"name":"Time of Event (Mountain Time)","value":"13:59:56"},{"id":151,"name":"Denver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/c/Users/stu/AppData/Local/Temp/OnboardLogs/RTDC4025 --include="*4025*201707021*"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"%USERPROFILE%\AppData\Local\Temp\OnboardLogs"\RTDC4025\*4025*201707021* &gt;&gt; 2017-07-02-SliceDisagreementCheck.txt</v>
      </c>
      <c r="AE61" s="145" t="str">
        <f t="shared" si="9"/>
        <v>start /low /b %USERPROFILE%\Documents\GitHub\eaglep3\Utilities\DownloadLogsFromS3.py --loco 4025 --day 2017-07-02</v>
      </c>
      <c r="AF61" s="1"/>
    </row>
    <row r="62" spans="1:32" x14ac:dyDescent="0.25">
      <c r="A62" s="31">
        <v>42918.662858796299</v>
      </c>
      <c r="B62" s="30" t="s">
        <v>632</v>
      </c>
      <c r="C62" s="30" t="s">
        <v>661</v>
      </c>
      <c r="D62" s="30" t="s">
        <v>49</v>
      </c>
      <c r="E62" s="30" t="s">
        <v>181</v>
      </c>
      <c r="F62" s="42">
        <v>0</v>
      </c>
      <c r="G62" s="42">
        <v>46</v>
      </c>
      <c r="H62" s="42">
        <v>729</v>
      </c>
      <c r="I62" s="42">
        <v>694</v>
      </c>
      <c r="J62" s="30" t="s">
        <v>182</v>
      </c>
      <c r="K62" s="42">
        <v>575</v>
      </c>
      <c r="L62" s="131" t="s">
        <v>51</v>
      </c>
      <c r="M62" s="132">
        <f t="shared" si="10"/>
        <v>62.832000000000001</v>
      </c>
      <c r="N62" s="133" t="str">
        <f>VLOOKUP(C62,'Trips&amp;Operators'!$C$1:$G$99999,5,FALSE)</f>
        <v>MAGEE KENYA</v>
      </c>
      <c r="O62" s="203" t="s">
        <v>180</v>
      </c>
      <c r="P62" s="134"/>
      <c r="Q62" s="30"/>
      <c r="R62" s="81" t="str">
        <f>VLOOKUP(C62,'Train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2" s="84" t="str">
        <f>VLOOKUP(C62,'Train Runs'!$A$13:$AE$9930,22,0)</f>
        <v>https://d0f6bd738d7f1b3e5a7ca70fe4ff75f0.us-east-1.aws.found.io/app/kibana#/discover/Steve-Slow-Train-Analysis-(2080s-and-2083s)?_g=(refreshInterval:(display:Off,pause:!f,section:0,value:0),time:(from:'2017-07-02T14:36:30-0600',mode:absolute,to:'2017-07-02T17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2" s="86" t="str">
        <f t="shared" si="11"/>
        <v>"C:\Program Files (x86)\AstroGrep\AstroGrep.exe" /e /r /s /spath="%USERPROFILE%\AppData\Local\Temp\OnboardLogs" /stypes="*4025*201707022*" /stext=" 21:.+((SYSTEM_STATE.+slice.+state.+changed )|(ment ac)|(multiple cpu faults)|(system.+state.+changed )|(\[timeout)|(PRM\|1\|D)|(kpr)|(kdp)|(train st.+moving)|(\|lc)|(penalty))"</v>
      </c>
      <c r="U62" s="9" t="str">
        <f t="shared" si="12"/>
        <v>4025</v>
      </c>
      <c r="V62" s="31">
        <f t="shared" si="13"/>
        <v>42918.912858796299</v>
      </c>
      <c r="W62" s="45" t="str">
        <f t="shared" si="14"/>
        <v>NW</v>
      </c>
      <c r="X62" s="22">
        <f t="shared" si="15"/>
        <v>1820</v>
      </c>
      <c r="Y62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ID","value":"1820-02"},{"id":16,"name":"Locomotive ID","value":"4025"},{"id":130,"name":"Impact","value":""},{"id":150,"name":"Time of Event (Mountain Time)","value":"15:54:31"},{"id":151,"name":"Denver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59"/>
      <c r="AA62" s="47"/>
      <c r="AB62" s="47"/>
      <c r="AC62" s="115" t="str">
        <f t="shared" si="17"/>
        <v>grep -hrE -A400 "Enforcement Action" /c/Users/stu/AppData/Local/Temp/OnboardLogs/RTDC4025 --include="*4025*201707022*"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"%USERPROFILE%\AppData\Local\Temp\OnboardLogs"\RTDC4025\*4025*201707022* &gt;&gt; 2017-07-02-SliceDisagreementCheck.txt</v>
      </c>
      <c r="AE62" s="145" t="str">
        <f t="shared" si="9"/>
        <v>start /low /b %USERPROFILE%\Documents\GitHub\eaglep3\Utilities\DownloadLogsFromS3.py --loco 4025 --day 2017-07-02</v>
      </c>
      <c r="AF62" s="1"/>
    </row>
    <row r="63" spans="1:32" x14ac:dyDescent="0.25">
      <c r="A63" s="31">
        <v>42918.704606481479</v>
      </c>
      <c r="B63" s="30" t="s">
        <v>632</v>
      </c>
      <c r="C63" s="30" t="s">
        <v>666</v>
      </c>
      <c r="D63" s="30" t="s">
        <v>49</v>
      </c>
      <c r="E63" s="30" t="s">
        <v>181</v>
      </c>
      <c r="F63" s="42">
        <v>0</v>
      </c>
      <c r="G63" s="42">
        <v>58</v>
      </c>
      <c r="H63" s="42">
        <v>771</v>
      </c>
      <c r="I63" s="42">
        <v>727</v>
      </c>
      <c r="J63" s="30" t="s">
        <v>182</v>
      </c>
      <c r="K63" s="42">
        <v>575</v>
      </c>
      <c r="L63" s="131" t="s">
        <v>51</v>
      </c>
      <c r="M63" s="132">
        <f t="shared" si="10"/>
        <v>80.256</v>
      </c>
      <c r="N63" s="133" t="str">
        <f>VLOOKUP(C63,'Trips&amp;Operators'!$C$1:$G$99999,5,FALSE)</f>
        <v>MAGEE KENYA</v>
      </c>
      <c r="O63" s="203" t="s">
        <v>180</v>
      </c>
      <c r="P63" s="134"/>
      <c r="Q63" s="30"/>
      <c r="R63" s="81" t="str">
        <f>VLOOKUP(C63,'Train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3" s="84" t="str">
        <f>VLOOKUP(C63,'Train Runs'!$A$13:$AE$9930,22,0)</f>
        <v>https://d0f6bd738d7f1b3e5a7ca70fe4ff75f0.us-east-1.aws.found.io/app/kibana#/discover/Steve-Slow-Train-Analysis-(2080s-and-2083s)?_g=(refreshInterval:(display:Off,pause:!f,section:0,value:0),time:(from:'2017-07-02T15:37:32-0600',mode:absolute,to:'2017-07-02T17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3" s="86" t="str">
        <f t="shared" si="11"/>
        <v>"C:\Program Files (x86)\AstroGrep\AstroGrep.exe" /e /r /s /spath="%USERPROFILE%\AppData\Local\Temp\OnboardLogs" /stypes="*4025*201707022*" /stext=" 22:.+((SYSTEM_STATE.+slice.+state.+changed )|(ment ac)|(multiple cpu faults)|(system.+state.+changed )|(\[timeout)|(PRM\|1\|D)|(kpr)|(kdp)|(train st.+moving)|(\|lc)|(penalty))"</v>
      </c>
      <c r="U63" s="9" t="str">
        <f t="shared" si="12"/>
        <v>4025</v>
      </c>
      <c r="V63" s="31">
        <f t="shared" si="13"/>
        <v>42918.954606481479</v>
      </c>
      <c r="W63" s="45" t="str">
        <f t="shared" si="14"/>
        <v>NW</v>
      </c>
      <c r="X63" s="22">
        <f t="shared" si="15"/>
        <v>1822</v>
      </c>
      <c r="Y63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ID","value":"1822-02"},{"id":16,"name":"Locomotive ID","value":"4025"},{"id":130,"name":"Impact","value":""},{"id":150,"name":"Time of Event (Mountain Time)","value":"16:54:38"},{"id":151,"name":"Denver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59"/>
      <c r="AA63" s="47"/>
      <c r="AB63" s="47"/>
      <c r="AC63" s="115" t="str">
        <f t="shared" si="17"/>
        <v>grep -hrE -A400 "Enforcement Action" /c/Users/stu/AppData/Local/Temp/OnboardLogs/RTDC4025 --include="*4025*201707022*"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"%USERPROFILE%\AppData\Local\Temp\OnboardLogs"\RTDC4025\*4025*201707022* &gt;&gt; 2017-07-02-SliceDisagreementCheck.txt</v>
      </c>
      <c r="AE63" s="145" t="str">
        <f t="shared" si="9"/>
        <v>start /low /b %USERPROFILE%\Documents\GitHub\eaglep3\Utilities\DownloadLogsFromS3.py --loco 4025 --day 2017-07-02</v>
      </c>
      <c r="AF63" s="1"/>
    </row>
    <row r="64" spans="1:32" x14ac:dyDescent="0.25">
      <c r="A64" s="31">
        <v>42918.831793981481</v>
      </c>
      <c r="B64" s="30" t="s">
        <v>632</v>
      </c>
      <c r="C64" s="30" t="s">
        <v>677</v>
      </c>
      <c r="D64" s="30" t="s">
        <v>49</v>
      </c>
      <c r="E64" s="30" t="s">
        <v>181</v>
      </c>
      <c r="F64" s="42">
        <v>0</v>
      </c>
      <c r="G64" s="42">
        <v>50</v>
      </c>
      <c r="H64" s="42">
        <v>771</v>
      </c>
      <c r="I64" s="42">
        <v>747</v>
      </c>
      <c r="J64" s="30" t="s">
        <v>182</v>
      </c>
      <c r="K64" s="42">
        <v>575</v>
      </c>
      <c r="L64" s="131" t="s">
        <v>51</v>
      </c>
      <c r="M64" s="132">
        <f t="shared" si="10"/>
        <v>90.816000000000003</v>
      </c>
      <c r="N64" s="133" t="str">
        <f>VLOOKUP(C64,'Trips&amp;Operators'!$C$1:$G$99999,5,FALSE)</f>
        <v>MAGEE KENYA</v>
      </c>
      <c r="O64" s="203" t="s">
        <v>180</v>
      </c>
      <c r="P64" s="134"/>
      <c r="Q64" s="30"/>
      <c r="R64" s="81" t="str">
        <f>VLOOKUP(C64,'Train Runs'!$A$13:$AE$9930,31,0)</f>
        <v>aws s3 cp s3://rtdc.mdm.uploadarchive.raw/RTDC4025/ "%USERPROFILE%\AppData\Local\Temp\OnboardLogs"\RTDC4025\2017-07-02 --exclude "*" --recursive --include "*20170702*" &amp; "%USERPROFILE%\Documents\GitHub\mrs-test-scripts\Headless Mode &amp; Sideloading\WalkAndUnGZ.bat" "%USERPROFILE%\AppData\Local\Temp\OnboardLogs"\RTDC4025\2017-07-02 &amp; aws s3 cp s3://rtdc.mdm.uploadarchive.raw/RTDC4025/ "%USERPROFILE%\AppData\Local\Temp\OnboardLogs"\RTDC4025\2017-07-03 --exclude "*" --recursive --include "*20170703*" &amp; "%USERPROFILE%\Documents\GitHub\mrs-test-scripts\Headless Mode &amp; Sideloading\WalkAndUnGZ.bat" "%USERPROFILE%\AppData\Local\Temp\OnboardLogs"\RTDC4025\2017-07-03</v>
      </c>
      <c r="S64" s="84" t="str">
        <f>VLOOKUP(C64,'Train Runs'!$A$13:$AE$9930,22,0)</f>
        <v>https://d0f6bd738d7f1b3e5a7ca70fe4ff75f0.us-east-1.aws.found.io/app/kibana#/discover/Steve-Slow-Train-Analysis-(2080s-and-2083s)?_g=(refreshInterval:(display:Off,pause:!f,section:0,value:0),time:(from:'2017-07-02T18:38:15-0600',mode:absolute,to:'2017-07-02T20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4" s="86" t="str">
        <f t="shared" si="11"/>
        <v>"C:\Program Files (x86)\AstroGrep\AstroGrep.exe" /e /r /s /spath="%USERPROFILE%\AppData\Local\Temp\OnboardLogs" /stypes="*4025*201707030*" /stext=" 01:.+((SYSTEM_STATE.+slice.+state.+changed )|(ment ac)|(multiple cpu faults)|(system.+state.+changed )|(\[timeout)|(PRM\|1\|D)|(kpr)|(kdp)|(train st.+moving)|(\|lc)|(penalty))"</v>
      </c>
      <c r="U64" s="9" t="str">
        <f t="shared" si="12"/>
        <v>4025</v>
      </c>
      <c r="V64" s="31">
        <f t="shared" si="13"/>
        <v>42919.081793981481</v>
      </c>
      <c r="W64" s="45" t="str">
        <f t="shared" si="14"/>
        <v>NW</v>
      </c>
      <c r="X64" s="22">
        <f t="shared" si="15"/>
        <v>1828</v>
      </c>
      <c r="Y64" s="96" t="str">
        <f t="shared" si="16"/>
        <v>echo {"issue":{"subject":"","project_id":79,"tracker_id":40,"status_id":1,"priority_id":2,"assigned_to_id":23,"start_date":"2017-07-02","description":"","custom_fields":[{"id":1,"name":"Subdivision","value":"NW"},{"id":4,"name":"Milepost","value":"0.0575"},{"id":17,"name":"Train ID","value":"1828-02"},{"id":16,"name":"Locomotive ID","value":"4025"},{"id":130,"name":"Impact","value":""},{"id":150,"name":"Time of Event (Mountain Time)","value":"19:57:47"},{"id":151,"name":"Denver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59"/>
      <c r="AA64" s="47"/>
      <c r="AB64" s="47"/>
      <c r="AC64" s="115" t="str">
        <f t="shared" si="17"/>
        <v>grep -hrE -A400 "Enforcement Action" /c/Users/stu/AppData/Local/Temp/OnboardLogs/RTDC4025 --include="*4025*201707030*"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"%USERPROFILE%\AppData\Local\Temp\OnboardLogs"\RTDC4025\*4025*201707030* &gt;&gt; 2017-07-02-SliceDisagreementCheck.txt</v>
      </c>
      <c r="AE64" s="145" t="str">
        <f t="shared" si="9"/>
        <v>start /low /b %USERPROFILE%\Documents\GitHub\eaglep3\Utilities\DownloadLogsFromS3.py --loco 4025 --day 2017-07-03</v>
      </c>
      <c r="AF64" s="1"/>
    </row>
    <row r="65" spans="1:32" x14ac:dyDescent="0.25">
      <c r="A65" s="31">
        <v>42918.162916666668</v>
      </c>
      <c r="B65" s="30" t="s">
        <v>417</v>
      </c>
      <c r="C65" s="30" t="s">
        <v>623</v>
      </c>
      <c r="D65" s="30" t="s">
        <v>96</v>
      </c>
      <c r="E65" s="30" t="s">
        <v>361</v>
      </c>
      <c r="F65" s="42">
        <v>0</v>
      </c>
      <c r="G65" s="42">
        <v>144</v>
      </c>
      <c r="H65" s="42">
        <v>21844</v>
      </c>
      <c r="I65" s="42">
        <v>21634</v>
      </c>
      <c r="J65" s="30" t="s">
        <v>362</v>
      </c>
      <c r="K65" s="42">
        <v>24161</v>
      </c>
      <c r="L65" s="131" t="s">
        <v>51</v>
      </c>
      <c r="M65" s="132">
        <f t="shared" si="10"/>
        <v>-1334.2559999999999</v>
      </c>
      <c r="N65" s="133" t="str">
        <f>VLOOKUP(C65,'Trips&amp;Operators'!$C$1:$G$99999,5,FALSE)</f>
        <v>DAVIS WENDY</v>
      </c>
      <c r="O65" s="203" t="s">
        <v>180</v>
      </c>
      <c r="P65" s="134"/>
      <c r="Q65" s="30"/>
      <c r="R65" s="81" t="str">
        <f>VLOOKUP(C65,'Train Runs'!$A$13:$AE$9930,31,0)</f>
        <v>aws s3 cp s3://rtdc.mdm.uploadarchive.raw/RTDC4043/ "%USERPROFILE%\AppData\Local\Temp\OnboardLogs"\RTDC4043\2017-07-02 --exclude "*" --recursive --include "*20170702*" &amp; "%USERPROFILE%\Documents\GitHub\mrs-test-scripts\Headless Mode &amp; Sideloading\WalkAndUnGZ.bat" "%USERPROFILE%\AppData\Local\Temp\OnboardLogs"\RTDC4043\2017-07-02 &amp; aws s3 cp s3://rtdc.mdm.uploadarchive.raw/RTDC4043/ "%USERPROFILE%\AppData\Local\Temp\OnboardLogs"\RTDC4043\2017-07-03 --exclude "*" --recursive --include "*20170703*" &amp; "%USERPROFILE%\Documents\GitHub\mrs-test-scripts\Headless Mode &amp; Sideloading\WalkAndUnGZ.bat" "%USERPROFILE%\AppData\Local\Temp\OnboardLogs"\RTDC4043\2017-07-03</v>
      </c>
      <c r="S65" s="84" t="str">
        <f>VLOOKUP(C65,'Train Runs'!$A$13:$AE$9930,22,0)</f>
        <v>https://d0f6bd738d7f1b3e5a7ca70fe4ff75f0.us-east-1.aws.found.io/app/kibana#/discover/Steve-Slow-Train-Analysis-(2080s-and-2083s)?_g=(refreshInterval:(display:Off,pause:!f,section:0,value:0),time:(from:'2017-07-02T02:48:08-0600',mode:absolute,to:'2017-07-02T04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65" s="86" t="str">
        <f t="shared" si="11"/>
        <v>"C:\Program Files (x86)\AstroGrep\AstroGrep.exe" /e /r /s /spath="%USERPROFILE%\AppData\Local\Temp\OnboardLogs" /stypes="*4043*201707020*" /stext=" 09:.+((SYSTEM_STATE.+slice.+state.+changed )|(ment ac)|(multiple cpu faults)|(system.+state.+changed )|(\[timeout)|(PRM\|1\|D)|(kpr)|(kdp)|(train st.+moving)|(\|lc)|(penalty))"</v>
      </c>
      <c r="U65" s="9" t="str">
        <f t="shared" si="12"/>
        <v>4043</v>
      </c>
      <c r="V65" s="31">
        <f t="shared" si="13"/>
        <v>42918.412916666668</v>
      </c>
      <c r="W65" s="45" t="str">
        <f t="shared" si="14"/>
        <v>Other</v>
      </c>
      <c r="X65" s="22">
        <f t="shared" si="15"/>
        <v>304</v>
      </c>
      <c r="Y65" s="96" t="str">
        <f t="shared" si="16"/>
        <v>echo {"issue":{"subject":"","project_id":79,"tracker_id":40,"status_id":1,"priority_id":2,"assigned_to_id":23,"start_date":"2017-07-02","description":"","custom_fields":[{"id":1,"name":"Subdivision","value":"Other"},{"id":4,"name":"Milepost","value":"2.4161"},{"id":17,"name":"Train ID","value":"304-02"},{"id":16,"name":"Locomotive ID","value":"4043"},{"id":130,"name":"Impact","value":""},{"id":150,"name":"Time of Event (Mountain Time)","value":"03:54:36"},{"id":151,"name":"Denver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59"/>
      <c r="AA65" s="47"/>
      <c r="AB65" s="47"/>
      <c r="AC65" s="115" t="str">
        <f t="shared" si="17"/>
        <v>grep -hrE -A400 "Enforcement Action" /c/Users/stu/AppData/Local/Temp/OnboardLogs/RTDC4043 --include="*4043*201707020*"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"%USERPROFILE%\AppData\Local\Temp\OnboardLogs"\RTDC4043\*4043*201707020* &gt;&gt; 2017-07-02-SliceDisagreementCheck.txt</v>
      </c>
      <c r="AE65" s="145" t="str">
        <f t="shared" si="9"/>
        <v>start /low /b %USERPROFILE%\Documents\GitHub\eaglep3\Utilities\DownloadLogsFromS3.py --loco 4043 --day 2017-07-02</v>
      </c>
      <c r="AF65" s="1"/>
    </row>
    <row r="66" spans="1:32" x14ac:dyDescent="0.25">
      <c r="A66" s="31">
        <v>42918.228229166663</v>
      </c>
      <c r="B66" s="30" t="s">
        <v>365</v>
      </c>
      <c r="C66" s="30" t="s">
        <v>627</v>
      </c>
      <c r="D66" s="30" t="s">
        <v>96</v>
      </c>
      <c r="E66" s="30" t="s">
        <v>628</v>
      </c>
      <c r="F66" s="42">
        <v>0</v>
      </c>
      <c r="G66" s="42">
        <v>126</v>
      </c>
      <c r="H66" s="42">
        <v>22985</v>
      </c>
      <c r="I66" s="42">
        <v>0</v>
      </c>
      <c r="J66" s="30" t="s">
        <v>629</v>
      </c>
      <c r="K66" s="42">
        <v>24235</v>
      </c>
      <c r="L66" s="131" t="s">
        <v>51</v>
      </c>
      <c r="M66" s="132">
        <f t="shared" si="10"/>
        <v>-12796.08</v>
      </c>
      <c r="N66" s="133" t="str">
        <f>VLOOKUP(C66,'Trips&amp;Operators'!$C$1:$G$99999,5,FALSE)</f>
        <v>MACDONALD THOMAS</v>
      </c>
      <c r="O66" s="203" t="s">
        <v>180</v>
      </c>
      <c r="P66" s="134"/>
      <c r="Q66" s="30"/>
      <c r="R66" s="81" t="str">
        <f>VLOOKUP(C66,'Train Runs'!$A$13:$AE$9930,31,0)</f>
        <v>aws s3 cp s3://rtdc.mdm.uploadarchive.raw/RTDC4021/ "%USERPROFILE%\AppData\Local\Temp\OnboardLogs"\RTDC4021\2017-07-02 --exclude "*" --recursive --include "*20170702*" &amp; "%USERPROFILE%\Documents\GitHub\mrs-test-scripts\Headless Mode &amp; Sideloading\WalkAndUnGZ.bat" "%USERPROFILE%\AppData\Local\Temp\OnboardLogs"\RTDC4021\2017-07-02 &amp; aws s3 cp s3://rtdc.mdm.uploadarchive.raw/RTDC4021/ "%USERPROFILE%\AppData\Local\Temp\OnboardLogs"\RTDC4021\2017-07-03 --exclude "*" --recursive --include "*20170703*" &amp; "%USERPROFILE%\Documents\GitHub\mrs-test-scripts\Headless Mode &amp; Sideloading\WalkAndUnGZ.bat" "%USERPROFILE%\AppData\Local\Temp\OnboardLogs"\RTDC4021\2017-07-03</v>
      </c>
      <c r="S66" s="84" t="str">
        <f>VLOOKUP(C66,'Train Runs'!$A$13:$AE$9930,22,0)</f>
        <v>https://d0f6bd738d7f1b3e5a7ca70fe4ff75f0.us-east-1.aws.found.io/app/kibana#/discover/Steve-Slow-Train-Analysis-(2080s-and-2083s)?_g=(refreshInterval:(display:Off,pause:!f,section:0,value:0),time:(from:'2017-07-02T04:22:23-0600',mode:absolute,to:'2017-07-02T06:28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66" s="86" t="str">
        <f t="shared" si="11"/>
        <v>"C:\Program Files (x86)\AstroGrep\AstroGrep.exe" /e /r /s /spath="%USERPROFILE%\AppData\Local\Temp\OnboardLogs" /stypes="*4021*201707021*" /stext=" 11:.+((SYSTEM_STATE.+slice.+state.+changed )|(ment ac)|(multiple cpu faults)|(system.+state.+changed )|(\[timeout)|(PRM\|1\|D)|(kpr)|(kdp)|(train st.+moving)|(\|lc)|(penalty))"</v>
      </c>
      <c r="U66" s="9" t="str">
        <f t="shared" si="12"/>
        <v>4021</v>
      </c>
      <c r="V66" s="31">
        <f t="shared" si="13"/>
        <v>42918.478229166663</v>
      </c>
      <c r="W66" s="45" t="str">
        <f t="shared" si="14"/>
        <v>Other</v>
      </c>
      <c r="X66" s="22">
        <f t="shared" si="15"/>
        <v>312</v>
      </c>
      <c r="Y66" s="96" t="str">
        <f t="shared" si="16"/>
        <v>echo {"issue":{"subject":"","project_id":79,"tracker_id":40,"status_id":1,"priority_id":2,"assigned_to_id":23,"start_date":"2017-07-02","description":"","custom_fields":[{"id":1,"name":"Subdivision","value":"Other"},{"id":4,"name":"Milepost","value":"2.4235"},{"id":17,"name":"Train ID","value":"312-02"},{"id":16,"name":"Locomotive ID","value":"4021"},{"id":130,"name":"Impact","value":""},{"id":150,"name":"Time of Event (Mountain Time)","value":"05:28:39"},{"id":151,"name":"Denver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59"/>
      <c r="AA66" s="47"/>
      <c r="AB66" s="47"/>
      <c r="AC66" s="115" t="str">
        <f t="shared" si="17"/>
        <v>grep -hrE -A400 "Enforcement Action" /c/Users/stu/AppData/Local/Temp/OnboardLogs/RTDC4021 --include="*4021*201707021*"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"%USERPROFILE%\AppData\Local\Temp\OnboardLogs"\RTDC4021\*4021*201707021* &gt;&gt; 2017-07-02-SliceDisagreementCheck.txt</v>
      </c>
      <c r="AE66" s="145" t="str">
        <f t="shared" si="9"/>
        <v>start /low /b %USERPROFILE%\Documents\GitHub\eaglep3\Utilities\DownloadLogsFromS3.py --loco 4021 --day 2017-07-02</v>
      </c>
      <c r="AF66" s="1"/>
    </row>
    <row r="67" spans="1:32" x14ac:dyDescent="0.25">
      <c r="A67" s="31">
        <v>42918.497233796297</v>
      </c>
      <c r="B67" s="30" t="s">
        <v>566</v>
      </c>
      <c r="C67" s="30" t="s">
        <v>645</v>
      </c>
      <c r="D67" s="30" t="s">
        <v>96</v>
      </c>
      <c r="E67" s="30" t="s">
        <v>361</v>
      </c>
      <c r="F67" s="42">
        <v>0</v>
      </c>
      <c r="G67" s="42">
        <v>61</v>
      </c>
      <c r="H67" s="42">
        <v>1788</v>
      </c>
      <c r="I67" s="42">
        <v>1840</v>
      </c>
      <c r="J67" s="30" t="s">
        <v>362</v>
      </c>
      <c r="K67" s="42">
        <v>1692</v>
      </c>
      <c r="L67" s="131" t="s">
        <v>50</v>
      </c>
      <c r="M67" s="132">
        <f t="shared" si="10"/>
        <v>-78.144000000000005</v>
      </c>
      <c r="N67" s="133" t="str">
        <f>VLOOKUP(C67,'Trips&amp;Operators'!$C$1:$G$99999,5,FALSE)</f>
        <v>BROWN JACOB</v>
      </c>
      <c r="O67" s="203" t="s">
        <v>180</v>
      </c>
      <c r="P67" s="134"/>
      <c r="Q67" s="30"/>
      <c r="R67" s="81" t="str">
        <f>VLOOKUP(C67,'Train Runs'!$A$13:$AE$9930,31,0)</f>
        <v>aws s3 cp s3://rtdc.mdm.uploadarchive.raw/RTDC4063/ "%USERPROFILE%\AppData\Local\Temp\OnboardLogs"\RTDC4063\2017-07-02 --exclude "*" --recursive --include "*20170702*" &amp; "%USERPROFILE%\Documents\GitHub\mrs-test-scripts\Headless Mode &amp; Sideloading\WalkAndUnGZ.bat" "%USERPROFILE%\AppData\Local\Temp\OnboardLogs"\RTDC4063\2017-07-02 &amp; aws s3 cp s3://rtdc.mdm.uploadarchive.raw/RTDC4063/ "%USERPROFILE%\AppData\Local\Temp\OnboardLogs"\RTDC4063\2017-07-03 --exclude "*" --recursive --include "*20170703*" &amp; "%USERPROFILE%\Documents\GitHub\mrs-test-scripts\Headless Mode &amp; Sideloading\WalkAndUnGZ.bat" "%USERPROFILE%\AppData\Local\Temp\OnboardLogs"\RTDC4063\2017-07-03</v>
      </c>
      <c r="S67" s="84" t="str">
        <f>VLOOKUP(C67,'Train Runs'!$A$13:$AE$9930,22,0)</f>
        <v>https://d0f6bd738d7f1b3e5a7ca70fe4ff75f0.us-east-1.aws.found.io/app/kibana#/discover/Steve-Slow-Train-Analysis-(2080s-and-2083s)?_g=(refreshInterval:(display:Off,pause:!f,section:0,value:0),time:(from:'2017-07-02T11:01:53-0600',mode:absolute,to:'2017-07-02T13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67" s="86" t="str">
        <f t="shared" si="11"/>
        <v>"C:\Program Files (x86)\AstroGrep\AstroGrep.exe" /e /r /s /spath="%USERPROFILE%\AppData\Local\Temp\OnboardLogs" /stypes="*4064*201707021*" /stext=" 17:.+((SYSTEM_STATE.+slice.+state.+changed )|(ment ac)|(multiple cpu faults)|(system.+state.+changed )|(\[timeout)|(PRM\|1\|D)|(kpr)|(kdp)|(train st.+moving)|(\|lc)|(penalty))"</v>
      </c>
      <c r="U67" s="9" t="str">
        <f t="shared" si="12"/>
        <v>4064</v>
      </c>
      <c r="V67" s="31">
        <f t="shared" si="13"/>
        <v>42918.747233796297</v>
      </c>
      <c r="W67" s="45" t="str">
        <f t="shared" si="14"/>
        <v>Shuttle/Test</v>
      </c>
      <c r="X67" s="22">
        <f t="shared" si="15"/>
        <v>63</v>
      </c>
      <c r="Y67" s="96" t="str">
        <f t="shared" si="16"/>
        <v>echo {"issue":{"subject":"","project_id":79,"tracker_id":40,"status_id":1,"priority_id":2,"assigned_to_id":23,"start_date":"2017-07-02","description":"","custom_fields":[{"id":1,"name":"Subdivision","value":"Shuttle/Test"},{"id":4,"name":"Milepost","value":"0.1692"},{"id":17,"name":"Train ID","value":"63-02"},{"id":16,"name":"Locomotive ID","value":"4064"},{"id":130,"name":"Impact","value":""},{"id":150,"name":"Time of Event (Mountain Time)","value":"11:56:01"},{"id":151,"name":"Denver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59"/>
      <c r="AA67" s="47"/>
      <c r="AB67" s="47"/>
      <c r="AC67" s="115" t="str">
        <f t="shared" si="17"/>
        <v>grep -hrE -A400 "Enforcement Action" /c/Users/stu/AppData/Local/Temp/OnboardLogs/RTDC4064 --include="*4064*201707021*"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"%USERPROFILE%\AppData\Local\Temp\OnboardLogs"\RTDC4064\*4064*201707021* &gt;&gt; 2017-07-02-SliceDisagreementCheck.txt</v>
      </c>
      <c r="AE67" s="145" t="str">
        <f t="shared" si="9"/>
        <v>start /low /b %USERPROFILE%\Documents\GitHub\eaglep3\Utilities\DownloadLogsFromS3.py --loco 4064 --day 2017-07-02</v>
      </c>
      <c r="AF67" s="1"/>
    </row>
    <row r="68" spans="1:32" x14ac:dyDescent="0.25">
      <c r="A68" s="31">
        <v>42918.745474537034</v>
      </c>
      <c r="B68" s="30" t="s">
        <v>395</v>
      </c>
      <c r="C68" s="30" t="s">
        <v>672</v>
      </c>
      <c r="D68" s="30" t="s">
        <v>96</v>
      </c>
      <c r="E68" s="30" t="s">
        <v>673</v>
      </c>
      <c r="F68" s="42">
        <v>0</v>
      </c>
      <c r="G68" s="42">
        <v>149</v>
      </c>
      <c r="H68" s="42">
        <v>22357</v>
      </c>
      <c r="I68" s="42">
        <v>22183</v>
      </c>
      <c r="J68" s="30" t="s">
        <v>629</v>
      </c>
      <c r="K68" s="42">
        <v>24193</v>
      </c>
      <c r="L68" s="131" t="s">
        <v>51</v>
      </c>
      <c r="M68" s="132">
        <f t="shared" si="10"/>
        <v>-1061.28</v>
      </c>
      <c r="N68" s="133" t="str">
        <f>VLOOKUP(C68,'Trips&amp;Operators'!$C$1:$G$99999,5,FALSE)</f>
        <v>BIRENBAUM THOMAS</v>
      </c>
      <c r="O68" s="203" t="s">
        <v>180</v>
      </c>
      <c r="P68" s="134"/>
      <c r="Q68" s="30"/>
      <c r="R68" s="81" t="str">
        <f>VLOOKUP(C68,'Train Runs'!$A$13:$AE$9930,31,0)</f>
        <v>aws s3 cp s3://rtdc.mdm.uploadarchive.raw/RTDC4049/ "%USERPROFILE%\AppData\Local\Temp\OnboardLogs"\RTDC4049\2017-07-02 --exclude "*" --recursive --include "*20170702*" &amp; "%USERPROFILE%\Documents\GitHub\mrs-test-scripts\Headless Mode &amp; Sideloading\WalkAndUnGZ.bat" "%USERPROFILE%\AppData\Local\Temp\OnboardLogs"\RTDC4049\2017-07-02 &amp; aws s3 cp s3://rtdc.mdm.uploadarchive.raw/RTDC4049/ "%USERPROFILE%\AppData\Local\Temp\OnboardLogs"\RTDC4049\2017-07-03 --exclude "*" --recursive --include "*20170703*" &amp; "%USERPROFILE%\Documents\GitHub\mrs-test-scripts\Headless Mode &amp; Sideloading\WalkAndUnGZ.bat" "%USERPROFILE%\AppData\Local\Temp\OnboardLogs"\RTDC4049\2017-07-03</v>
      </c>
      <c r="S68" s="84" t="str">
        <f>VLOOKUP(C68,'Train Runs'!$A$13:$AE$9930,22,0)</f>
        <v>https://d0f6bd738d7f1b3e5a7ca70fe4ff75f0.us-east-1.aws.found.io/app/kibana#/discover/Steve-Slow-Train-Analysis-(2080s-and-2083s)?_g=(refreshInterval:(display:Off,pause:!f,section:0,value:0),time:(from:'2017-07-02T16:42:58-0600',mode:absolute,to:'2017-07-02T18:56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68" s="86" t="str">
        <f t="shared" si="11"/>
        <v>"C:\Program Files (x86)\AstroGrep\AstroGrep.exe" /e /r /s /spath="%USERPROFILE%\AppData\Local\Temp\OnboardLogs" /stypes="*4049*201707022*" /stext=" 23:.+((SYSTEM_STATE.+slice.+state.+changed )|(ment ac)|(multiple cpu faults)|(system.+state.+changed )|(\[timeout)|(PRM\|1\|D)|(kpr)|(kdp)|(train st.+moving)|(\|lc)|(penalty))"</v>
      </c>
      <c r="U68" s="9" t="str">
        <f t="shared" si="12"/>
        <v>4049</v>
      </c>
      <c r="V68" s="31">
        <f t="shared" si="13"/>
        <v>42918.995474537034</v>
      </c>
      <c r="W68" s="45" t="str">
        <f t="shared" si="14"/>
        <v>Shuttle/Test</v>
      </c>
      <c r="X68" s="22">
        <f t="shared" si="15"/>
        <v>51</v>
      </c>
      <c r="Y68" s="96" t="str">
        <f t="shared" si="16"/>
        <v>echo {"issue":{"subject":"","project_id":79,"tracker_id":40,"status_id":1,"priority_id":2,"assigned_to_id":23,"start_date":"2017-07-02","description":"","custom_fields":[{"id":1,"name":"Subdivision","value":"Shuttle/Test"},{"id":4,"name":"Milepost","value":"2.4193"},{"id":17,"name":"Train ID","value":"51-02"},{"id":16,"name":"Locomotive ID","value":"4049"},{"id":130,"name":"Impact","value":""},{"id":150,"name":"Time of Event (Mountain Time)","value":"17:53:29"},{"id":151,"name":"Denver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159"/>
      <c r="AA68" s="47"/>
      <c r="AB68" s="47"/>
      <c r="AC68" s="115" t="str">
        <f t="shared" si="17"/>
        <v>grep -hrE -A400 "Enforcement Action" /c/Users/stu/AppData/Local/Temp/OnboardLogs/RTDC4049 --include="*4049*201707022*" | grep -E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"%USERPROFILE%\AppData\Local\Temp\OnboardLogs"\RTDC4049\*4049*201707022* &gt;&gt; 2017-07-02-SliceDisagreementCheck.txt</v>
      </c>
      <c r="AE68" s="145" t="str">
        <f t="shared" si="9"/>
        <v>start /low /b %USERPROFILE%\Documents\GitHub\eaglep3\Utilities\DownloadLogsFromS3.py --loco 4049 --day 2017-07-02</v>
      </c>
      <c r="AF68" s="1"/>
    </row>
    <row r="69" spans="1:32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2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2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2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2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2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4">
    <sortState ref="A7:AC74">
      <sortCondition ref="W7:W68"/>
      <sortCondition ref="E7:E68"/>
      <sortCondition ref="K7:K68"/>
      <sortCondition ref="F7:F68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5:O1048576 O7:O6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AA7:AA68</xm:sqref>
        </x14:dataValidation>
        <x14:dataValidation type="list" allowBlank="1" showInputMessage="1" showErrorMessage="1">
          <x14:formula1>
            <xm:f>'Redmine List Values'!$C$2:$C$15</xm:f>
          </x14:formula1>
          <xm:sqref>AB7:AB68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9"/>
  <sheetViews>
    <sheetView zoomScaleNormal="100"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2017-07-02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-02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" s="30" t="e">
        <f>VLOOKUP(B3,'Train Runs'!$A$13:$A$99927,1,FALSE)</f>
        <v>#N/A</v>
      </c>
    </row>
    <row r="4" spans="1:10" x14ac:dyDescent="0.25">
      <c r="A4" s="195"/>
      <c r="B4" s="42" t="str">
        <f>A4&amp;"-"&amp;IF(DAY(Variables!$A$2)&lt;10,0,"")&amp;DAY(Variables!$A$2)</f>
        <v>-02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Runs'!$A$13:$A$99927,1,FALSE)</f>
        <v>#N/A</v>
      </c>
    </row>
    <row r="5" spans="1:10" x14ac:dyDescent="0.25">
      <c r="A5" s="195"/>
      <c r="B5" s="42" t="str">
        <f>A5&amp;"-"&amp;IF(DAY(Variables!$A$2)&lt;10,0,"")&amp;DAY(Variables!$A$2)</f>
        <v>-02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Runs'!$A$13:$A$99927,1,FALSE)</f>
        <v>#N/A</v>
      </c>
    </row>
    <row r="6" spans="1:10" x14ac:dyDescent="0.25">
      <c r="A6" s="195"/>
      <c r="B6" s="42" t="str">
        <f>A6&amp;"-"&amp;IF(DAY(Variables!$A$2)&lt;10,0,"")&amp;DAY(Variables!$A$2)</f>
        <v>-02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Runs'!$A$13:$A$99927,1,FALSE)</f>
        <v>#N/A</v>
      </c>
    </row>
    <row r="7" spans="1:10" x14ac:dyDescent="0.25">
      <c r="A7" s="195"/>
      <c r="B7" s="42" t="str">
        <f>A7&amp;"-"&amp;IF(DAY(Variables!$A$2)&lt;10,0,"")&amp;DAY(Variables!$A$2)</f>
        <v>-02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Runs'!$A$13:$A$99927,1,FALSE)</f>
        <v>#N/A</v>
      </c>
    </row>
    <row r="8" spans="1:10" x14ac:dyDescent="0.25">
      <c r="A8" s="195"/>
      <c r="B8" s="42" t="str">
        <f>A8&amp;"-"&amp;IF(DAY(Variables!$A$2)&lt;10,0,"")&amp;DAY(Variables!$A$2)</f>
        <v>-02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Runs'!$A$13:$A$99927,1,FALSE)</f>
        <v>#N/A</v>
      </c>
    </row>
    <row r="9" spans="1:10" x14ac:dyDescent="0.25">
      <c r="A9" s="195"/>
      <c r="B9" s="42" t="str">
        <f>A9&amp;"-"&amp;IF(DAY(Variables!$A$2)&lt;10,0,"")&amp;DAY(Variables!$A$2)</f>
        <v>-02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Runs'!$A$13:$A$99927,1,FALSE)</f>
        <v>#N/A</v>
      </c>
    </row>
    <row r="10" spans="1:10" x14ac:dyDescent="0.25">
      <c r="A10" s="195"/>
      <c r="B10" s="42" t="str">
        <f>A10&amp;"-"&amp;IF(DAY(Variables!$A$2)&lt;10,0,"")&amp;DAY(Variables!$A$2)</f>
        <v>-02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Runs'!$A$13:$A$99927,1,FALSE)</f>
        <v>#N/A</v>
      </c>
    </row>
    <row r="11" spans="1:10" x14ac:dyDescent="0.25">
      <c r="A11" s="195"/>
      <c r="B11" s="42" t="str">
        <f>A11&amp;"-"&amp;IF(DAY(Variables!$A$2)&lt;10,0,"")&amp;DAY(Variables!$A$2)</f>
        <v>-02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Runs'!$A$13:$A$99927,1,FALSE)</f>
        <v>#N/A</v>
      </c>
    </row>
    <row r="12" spans="1:10" x14ac:dyDescent="0.25">
      <c r="A12" s="195"/>
      <c r="B12" s="42" t="str">
        <f>A12&amp;"-"&amp;IF(DAY(Variables!$A$2)&lt;10,0,"")&amp;DAY(Variables!$A$2)</f>
        <v>-02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Runs'!$A$13:$A$99927,1,FALSE)</f>
        <v>#N/A</v>
      </c>
    </row>
    <row r="13" spans="1:10" x14ac:dyDescent="0.25">
      <c r="A13" s="195"/>
      <c r="B13" s="42" t="str">
        <f>A13&amp;"-"&amp;IF(DAY(Variables!$A$2)&lt;10,0,"")&amp;DAY(Variables!$A$2)</f>
        <v>-02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Runs'!$A$13:$A$99927,1,FALSE)</f>
        <v>#N/A</v>
      </c>
    </row>
    <row r="14" spans="1:10" x14ac:dyDescent="0.25">
      <c r="A14" s="195"/>
      <c r="B14" s="42" t="str">
        <f>A14&amp;"-"&amp;IF(DAY(Variables!$A$2)&lt;10,0,"")&amp;DAY(Variables!$A$2)</f>
        <v>-02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Runs'!$A$13:$A$99927,1,FALSE)</f>
        <v>#N/A</v>
      </c>
    </row>
    <row r="15" spans="1:10" x14ac:dyDescent="0.25">
      <c r="A15" s="195"/>
      <c r="B15" s="42" t="str">
        <f>A15&amp;"-"&amp;IF(DAY(Variables!$A$2)&lt;10,0,"")&amp;DAY(Variables!$A$2)</f>
        <v>-02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Runs'!$A$13:$A$99927,1,FALSE)</f>
        <v>#N/A</v>
      </c>
    </row>
    <row r="16" spans="1:10" x14ac:dyDescent="0.25">
      <c r="A16" s="195"/>
      <c r="B16" s="42" t="str">
        <f>A16&amp;"-"&amp;IF(DAY(Variables!$A$2)&lt;10,0,"")&amp;DAY(Variables!$A$2)</f>
        <v>-02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Runs'!$A$13:$A$99927,1,FALSE)</f>
        <v>#N/A</v>
      </c>
    </row>
    <row r="17" spans="1:10" x14ac:dyDescent="0.25">
      <c r="A17" s="195"/>
      <c r="B17" s="42" t="str">
        <f>A17&amp;"-"&amp;IF(DAY(Variables!$A$2)&lt;10,0,"")&amp;DAY(Variables!$A$2)</f>
        <v>-02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Runs'!$A$13:$A$99927,1,FALSE)</f>
        <v>#N/A</v>
      </c>
    </row>
    <row r="18" spans="1:10" x14ac:dyDescent="0.25">
      <c r="A18" s="195"/>
      <c r="B18" s="42" t="str">
        <f>A18&amp;"-"&amp;IF(DAY(Variables!$A$2)&lt;10,0,"")&amp;DAY(Variables!$A$2)</f>
        <v>-02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Runs'!$A$13:$A$99927,1,FALSE)</f>
        <v>#N/A</v>
      </c>
    </row>
    <row r="19" spans="1:10" x14ac:dyDescent="0.25">
      <c r="A19" s="195"/>
      <c r="B19" s="42" t="str">
        <f>A19&amp;"-"&amp;IF(DAY(Variables!$A$2)&lt;10,0,"")&amp;DAY(Variables!$A$2)</f>
        <v>-02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9" s="30" t="e">
        <f>VLOOKUP(B19,'Train Runs'!$A$13:$A$99927,1,FALSE)</f>
        <v>#N/A</v>
      </c>
    </row>
    <row r="20" spans="1:10" x14ac:dyDescent="0.25">
      <c r="A20" s="195"/>
      <c r="B20" s="42" t="str">
        <f>A20&amp;"-"&amp;IF(DAY(Variables!$A$2)&lt;10,0,"")&amp;DAY(Variables!$A$2)</f>
        <v>-02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0" s="30" t="e">
        <f>VLOOKUP(B20,'Train Runs'!$A$13:$A$99927,1,FALSE)</f>
        <v>#N/A</v>
      </c>
    </row>
    <row r="21" spans="1:10" x14ac:dyDescent="0.25">
      <c r="A21" s="195"/>
      <c r="B21" s="42" t="str">
        <f>A21&amp;"-"&amp;IF(DAY(Variables!$A$2)&lt;10,0,"")&amp;DAY(Variables!$A$2)</f>
        <v>-02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1" s="30" t="e">
        <f>VLOOKUP(B21,'Train Runs'!$A$13:$A$99927,1,FALSE)</f>
        <v>#N/A</v>
      </c>
    </row>
    <row r="22" spans="1:10" x14ac:dyDescent="0.25">
      <c r="A22" s="195"/>
      <c r="B22" s="42" t="str">
        <f>A22&amp;"-"&amp;IF(DAY(Variables!$A$2)&lt;10,0,"")&amp;DAY(Variables!$A$2)</f>
        <v>-02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2" s="30" t="e">
        <f>VLOOKUP(B22,'Train Runs'!$A$13:$A$99927,1,FALSE)</f>
        <v>#N/A</v>
      </c>
    </row>
    <row r="23" spans="1:10" x14ac:dyDescent="0.25">
      <c r="A23" s="195"/>
      <c r="B23" s="42" t="str">
        <f>A23&amp;"-"&amp;IF(DAY(Variables!$A$2)&lt;10,0,"")&amp;DAY(Variables!$A$2)</f>
        <v>-02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ref="I23:I4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3" s="30" t="e">
        <f>VLOOKUP(B23,'Train Runs'!$A$13:$A$99927,1,FALSE)</f>
        <v>#N/A</v>
      </c>
    </row>
    <row r="24" spans="1:10" x14ac:dyDescent="0.25">
      <c r="A24" s="195"/>
      <c r="B24" s="42" t="str">
        <f>A24&amp;"-"&amp;IF(DAY(Variables!$A$2)&lt;10,0,"")&amp;DAY(Variables!$A$2)</f>
        <v>-02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4" s="30" t="e">
        <f>VLOOKUP(B24,'Train Runs'!$A$13:$A$99927,1,FALSE)</f>
        <v>#N/A</v>
      </c>
    </row>
    <row r="25" spans="1:10" x14ac:dyDescent="0.25">
      <c r="A25" s="195"/>
      <c r="B25" s="42" t="str">
        <f>A25&amp;"-"&amp;IF(DAY(Variables!$A$2)&lt;10,0,"")&amp;DAY(Variables!$A$2)</f>
        <v>-02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5" s="30" t="e">
        <f>VLOOKUP(B25,'Train Runs'!$A$13:$A$99927,1,FALSE)</f>
        <v>#N/A</v>
      </c>
    </row>
    <row r="26" spans="1:10" x14ac:dyDescent="0.25">
      <c r="A26" s="195"/>
      <c r="B26" s="42" t="str">
        <f>A26&amp;"-"&amp;IF(DAY(Variables!$A$2)&lt;10,0,"")&amp;DAY(Variables!$A$2)</f>
        <v>-02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6" s="30" t="e">
        <f>VLOOKUP(B26,'Train Runs'!$A$13:$A$99927,1,FALSE)</f>
        <v>#N/A</v>
      </c>
    </row>
    <row r="27" spans="1:10" x14ac:dyDescent="0.25">
      <c r="A27" s="195"/>
      <c r="B27" s="42" t="str">
        <f>A27&amp;"-"&amp;IF(DAY(Variables!$A$2)&lt;10,0,"")&amp;DAY(Variables!$A$2)</f>
        <v>-02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7" s="30" t="e">
        <f>VLOOKUP(B27,'Train Runs'!$A$13:$A$99927,1,FALSE)</f>
        <v>#N/A</v>
      </c>
    </row>
    <row r="28" spans="1:10" x14ac:dyDescent="0.25">
      <c r="A28" s="195"/>
      <c r="B28" s="42" t="str">
        <f>A28&amp;"-"&amp;IF(DAY(Variables!$A$2)&lt;10,0,"")&amp;DAY(Variables!$A$2)</f>
        <v>-02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8" s="30" t="e">
        <f>VLOOKUP(B28,'Train Runs'!$A$13:$A$99927,1,FALSE)</f>
        <v>#N/A</v>
      </c>
    </row>
    <row r="29" spans="1:10" x14ac:dyDescent="0.25">
      <c r="A29" s="195"/>
      <c r="B29" s="42" t="str">
        <f>A29&amp;"-"&amp;IF(DAY(Variables!$A$2)&lt;10,0,"")&amp;DAY(Variables!$A$2)</f>
        <v>-02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9" s="30" t="e">
        <f>VLOOKUP(B29,'Train Runs'!$A$13:$A$99927,1,FALSE)</f>
        <v>#N/A</v>
      </c>
    </row>
    <row r="30" spans="1:10" x14ac:dyDescent="0.25">
      <c r="A30" s="195"/>
      <c r="B30" s="42" t="str">
        <f>A30&amp;"-"&amp;IF(DAY(Variables!$A$2)&lt;10,0,"")&amp;DAY(Variables!$A$2)</f>
        <v>-02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0" s="30" t="e">
        <f>VLOOKUP(B30,'Train Runs'!$A$13:$A$99927,1,FALSE)</f>
        <v>#N/A</v>
      </c>
    </row>
    <row r="31" spans="1:10" x14ac:dyDescent="0.25">
      <c r="A31" s="195"/>
      <c r="B31" s="42" t="str">
        <f>A31&amp;"-"&amp;IF(DAY(Variables!$A$2)&lt;10,0,"")&amp;DAY(Variables!$A$2)</f>
        <v>-02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1" s="30" t="e">
        <f>VLOOKUP(B31,'Train Runs'!$A$13:$A$99927,1,FALSE)</f>
        <v>#N/A</v>
      </c>
    </row>
    <row r="32" spans="1:10" x14ac:dyDescent="0.25">
      <c r="A32" s="195"/>
      <c r="B32" s="42" t="str">
        <f>A32&amp;"-"&amp;IF(DAY(Variables!$A$2)&lt;10,0,"")&amp;DAY(Variables!$A$2)</f>
        <v>-02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2" s="30" t="e">
        <f>VLOOKUP(B32,'Train Runs'!$A$13:$A$99927,1,FALSE)</f>
        <v>#N/A</v>
      </c>
    </row>
    <row r="33" spans="1:10" x14ac:dyDescent="0.25">
      <c r="A33" s="195"/>
      <c r="B33" s="42" t="str">
        <f>A33&amp;"-"&amp;IF(DAY(Variables!$A$2)&lt;10,0,"")&amp;DAY(Variables!$A$2)</f>
        <v>-02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3" s="30" t="e">
        <f>VLOOKUP(B33,'Train Runs'!$A$13:$A$99927,1,FALSE)</f>
        <v>#N/A</v>
      </c>
    </row>
    <row r="34" spans="1:10" x14ac:dyDescent="0.25">
      <c r="A34" s="195"/>
      <c r="B34" s="42" t="str">
        <f>A34&amp;"-"&amp;IF(DAY(Variables!$A$2)&lt;10,0,"")&amp;DAY(Variables!$A$2)</f>
        <v>-02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4" s="30" t="e">
        <f>VLOOKUP(B34,'Train Runs'!$A$13:$A$99927,1,FALSE)</f>
        <v>#N/A</v>
      </c>
    </row>
    <row r="35" spans="1:10" x14ac:dyDescent="0.25">
      <c r="A35" s="195"/>
      <c r="B35" s="42" t="str">
        <f>A35&amp;"-"&amp;IF(DAY(Variables!$A$2)&lt;10,0,"")&amp;DAY(Variables!$A$2)</f>
        <v>-02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5" s="30" t="e">
        <f>VLOOKUP(B35,'Train Runs'!$A$13:$A$99927,1,FALSE)</f>
        <v>#N/A</v>
      </c>
    </row>
    <row r="36" spans="1:10" x14ac:dyDescent="0.25">
      <c r="A36" s="195"/>
      <c r="B36" s="42" t="str">
        <f>A36&amp;"-"&amp;IF(DAY(Variables!$A$2)&lt;10,0,"")&amp;DAY(Variables!$A$2)</f>
        <v>-02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6" s="30" t="e">
        <f>VLOOKUP(B36,'Train Runs'!$A$13:$A$99927,1,FALSE)</f>
        <v>#N/A</v>
      </c>
    </row>
    <row r="37" spans="1:10" x14ac:dyDescent="0.25">
      <c r="A37" s="195"/>
      <c r="B37" s="42" t="str">
        <f>A37&amp;"-"&amp;IF(DAY(Variables!$A$2)&lt;10,0,"")&amp;DAY(Variables!$A$2)</f>
        <v>-02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7" s="30" t="e">
        <f>VLOOKUP(B37,'Train Runs'!$A$13:$A$99927,1,FALSE)</f>
        <v>#N/A</v>
      </c>
    </row>
    <row r="38" spans="1:10" x14ac:dyDescent="0.25">
      <c r="A38" s="195"/>
      <c r="B38" s="42" t="str">
        <f>A38&amp;"-"&amp;IF(DAY(Variables!$A$2)&lt;10,0,"")&amp;DAY(Variables!$A$2)</f>
        <v>-02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8" s="30" t="e">
        <f>VLOOKUP(B38,'Train Runs'!$A$13:$A$99927,1,FALSE)</f>
        <v>#N/A</v>
      </c>
    </row>
    <row r="39" spans="1:10" x14ac:dyDescent="0.25">
      <c r="A39" s="195"/>
      <c r="B39" s="42" t="str">
        <f>A39&amp;"-"&amp;IF(DAY(Variables!$A$2)&lt;10,0,"")&amp;DAY(Variables!$A$2)</f>
        <v>-02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9" s="30" t="e">
        <f>VLOOKUP(B39,'Train Runs'!$A$13:$A$99927,1,FALSE)</f>
        <v>#N/A</v>
      </c>
    </row>
    <row r="40" spans="1:10" x14ac:dyDescent="0.25">
      <c r="A40" s="195"/>
      <c r="B40" s="42" t="str">
        <f>A40&amp;"-"&amp;IF(DAY(Variables!$A$2)&lt;10,0,"")&amp;DAY(Variables!$A$2)</f>
        <v>-02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0" s="30" t="e">
        <f>VLOOKUP(B40,'Train Runs'!$A$13:$A$99927,1,FALSE)</f>
        <v>#N/A</v>
      </c>
    </row>
    <row r="41" spans="1:10" x14ac:dyDescent="0.25">
      <c r="A41" s="195"/>
      <c r="B41" s="42" t="str">
        <f>A41&amp;"-"&amp;IF(DAY(Variables!$A$2)&lt;10,0,"")&amp;DAY(Variables!$A$2)</f>
        <v>-02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1" s="30" t="e">
        <f>VLOOKUP(B41,'Train Runs'!$A$13:$A$99927,1,FALSE)</f>
        <v>#N/A</v>
      </c>
    </row>
    <row r="42" spans="1:10" x14ac:dyDescent="0.25">
      <c r="A42" s="195"/>
      <c r="B42" s="42" t="str">
        <f>A42&amp;"-"&amp;IF(DAY(Variables!$A$2)&lt;10,0,"")&amp;DAY(Variables!$A$2)</f>
        <v>-02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2" s="30" t="e">
        <f>VLOOKUP(B42,'Train Runs'!$A$13:$A$99927,1,FALSE)</f>
        <v>#N/A</v>
      </c>
    </row>
    <row r="43" spans="1:10" x14ac:dyDescent="0.25">
      <c r="A43" s="195"/>
      <c r="B43" s="42" t="str">
        <f>A43&amp;"-"&amp;IF(DAY(Variables!$A$2)&lt;10,0,"")&amp;DAY(Variables!$A$2)</f>
        <v>-02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3" s="30" t="e">
        <f>VLOOKUP(B43,'Train Runs'!$A$13:$A$99927,1,FALSE)</f>
        <v>#N/A</v>
      </c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</sheetData>
  <autoFilter ref="A2:J5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42918.034016203703</v>
      </c>
      <c r="B2" s="20" t="s">
        <v>340</v>
      </c>
      <c r="C2" s="20" t="s">
        <v>686</v>
      </c>
      <c r="D2" s="138">
        <v>2620000</v>
      </c>
      <c r="E2" s="20" t="s">
        <v>687</v>
      </c>
      <c r="F2" s="20" t="s">
        <v>688</v>
      </c>
      <c r="G2" s="8" t="str">
        <f>E2&amp;" "&amp;F2</f>
        <v>PERKINS DARREN</v>
      </c>
    </row>
    <row r="3" spans="1:7" x14ac:dyDescent="0.25">
      <c r="A3" s="8">
        <v>42918.037743055553</v>
      </c>
      <c r="B3" s="20" t="s">
        <v>397</v>
      </c>
      <c r="C3" s="20" t="s">
        <v>689</v>
      </c>
      <c r="D3" s="138">
        <v>3090000</v>
      </c>
      <c r="E3" s="20" t="s">
        <v>375</v>
      </c>
      <c r="F3" s="20" t="s">
        <v>376</v>
      </c>
      <c r="G3" s="8" t="str">
        <f t="shared" ref="G3:G66" si="0">E3&amp;" "&amp;F3</f>
        <v>LAMAR NEKESHA</v>
      </c>
    </row>
    <row r="4" spans="1:7" x14ac:dyDescent="0.25">
      <c r="A4" s="8">
        <v>42918.048634259256</v>
      </c>
      <c r="B4" s="20" t="s">
        <v>471</v>
      </c>
      <c r="C4" s="20" t="s">
        <v>690</v>
      </c>
      <c r="D4" s="138">
        <v>2730000</v>
      </c>
      <c r="E4" s="20" t="s">
        <v>526</v>
      </c>
      <c r="F4" s="20" t="s">
        <v>527</v>
      </c>
      <c r="G4" s="8" t="str">
        <f t="shared" si="0"/>
        <v>YANG JAN</v>
      </c>
    </row>
    <row r="5" spans="1:7" x14ac:dyDescent="0.25">
      <c r="A5" s="8">
        <v>42918.048842592594</v>
      </c>
      <c r="B5" s="20" t="s">
        <v>368</v>
      </c>
      <c r="C5" s="20" t="s">
        <v>691</v>
      </c>
      <c r="D5" s="138">
        <v>3000000</v>
      </c>
      <c r="E5" s="20" t="s">
        <v>422</v>
      </c>
      <c r="F5" s="20" t="s">
        <v>423</v>
      </c>
      <c r="G5" s="8" t="str">
        <f t="shared" si="0"/>
        <v>FORTUNATO FRANK</v>
      </c>
    </row>
    <row r="6" spans="1:7" x14ac:dyDescent="0.25">
      <c r="A6" s="8">
        <v>42918.069918981484</v>
      </c>
      <c r="B6" s="20" t="s">
        <v>339</v>
      </c>
      <c r="C6" s="20" t="s">
        <v>692</v>
      </c>
      <c r="D6" s="138">
        <v>2620000</v>
      </c>
      <c r="E6" s="20" t="s">
        <v>687</v>
      </c>
      <c r="F6" s="20" t="s">
        <v>688</v>
      </c>
      <c r="G6" s="8" t="str">
        <f t="shared" si="0"/>
        <v>PERKINS DARREN</v>
      </c>
    </row>
    <row r="7" spans="1:7" x14ac:dyDescent="0.25">
      <c r="A7" s="8">
        <v>42918.074942129628</v>
      </c>
      <c r="B7" s="20" t="s">
        <v>486</v>
      </c>
      <c r="C7" s="20" t="s">
        <v>693</v>
      </c>
      <c r="D7" s="138">
        <v>3090000</v>
      </c>
      <c r="E7" s="20" t="s">
        <v>375</v>
      </c>
      <c r="F7" s="20" t="s">
        <v>376</v>
      </c>
      <c r="G7" s="8" t="str">
        <f t="shared" si="0"/>
        <v>LAMAR NEKESHA</v>
      </c>
    </row>
    <row r="8" spans="1:7" x14ac:dyDescent="0.25">
      <c r="A8" s="8">
        <v>42918.091435185182</v>
      </c>
      <c r="B8" s="20" t="s">
        <v>374</v>
      </c>
      <c r="C8" s="20" t="s">
        <v>694</v>
      </c>
      <c r="D8" s="138">
        <v>3000000</v>
      </c>
      <c r="E8" s="20" t="s">
        <v>422</v>
      </c>
      <c r="F8" s="20" t="s">
        <v>423</v>
      </c>
      <c r="G8" s="8" t="str">
        <f t="shared" si="0"/>
        <v>FORTUNATO FRANK</v>
      </c>
    </row>
    <row r="9" spans="1:7" ht="15.75" thickBot="1" x14ac:dyDescent="0.3">
      <c r="A9" s="24">
        <v>42918.112118055556</v>
      </c>
      <c r="B9" s="20" t="s">
        <v>397</v>
      </c>
      <c r="C9" s="20" t="s">
        <v>695</v>
      </c>
      <c r="D9" s="138">
        <v>3090000</v>
      </c>
      <c r="E9" s="20" t="s">
        <v>375</v>
      </c>
      <c r="F9" s="20" t="s">
        <v>376</v>
      </c>
      <c r="G9" s="8" t="str">
        <f t="shared" si="0"/>
        <v>LAMAR NEKESHA</v>
      </c>
    </row>
    <row r="10" spans="1:7" x14ac:dyDescent="0.25">
      <c r="A10" s="8">
        <v>42918.112893518519</v>
      </c>
      <c r="B10" s="20" t="s">
        <v>625</v>
      </c>
      <c r="C10" s="20" t="s">
        <v>696</v>
      </c>
      <c r="D10" s="138">
        <v>1520000</v>
      </c>
      <c r="E10" s="20" t="s">
        <v>697</v>
      </c>
      <c r="F10" s="20" t="s">
        <v>698</v>
      </c>
      <c r="G10" s="8" t="str">
        <f t="shared" si="0"/>
        <v>MAYBERRY BILL</v>
      </c>
    </row>
    <row r="11" spans="1:7" x14ac:dyDescent="0.25">
      <c r="A11" s="8">
        <v>42918.120509259257</v>
      </c>
      <c r="B11" s="20" t="s">
        <v>635</v>
      </c>
      <c r="C11" s="20" t="s">
        <v>699</v>
      </c>
      <c r="D11" s="138">
        <v>2010000</v>
      </c>
      <c r="E11" s="20" t="s">
        <v>496</v>
      </c>
      <c r="F11" s="20" t="s">
        <v>497</v>
      </c>
      <c r="G11" s="8" t="str">
        <f t="shared" si="0"/>
        <v>MAELZER KURT</v>
      </c>
    </row>
    <row r="12" spans="1:7" x14ac:dyDescent="0.25">
      <c r="A12" s="8">
        <v>42918.130428240744</v>
      </c>
      <c r="B12" s="20" t="s">
        <v>398</v>
      </c>
      <c r="C12" s="20" t="s">
        <v>700</v>
      </c>
      <c r="D12" s="138">
        <v>2010000</v>
      </c>
      <c r="E12" s="20" t="s">
        <v>496</v>
      </c>
      <c r="F12" s="20" t="s">
        <v>497</v>
      </c>
      <c r="G12" s="8" t="str">
        <f t="shared" si="0"/>
        <v>MAELZER KURT</v>
      </c>
    </row>
    <row r="13" spans="1:7" x14ac:dyDescent="0.25">
      <c r="A13" s="8">
        <v>42918.150439814817</v>
      </c>
      <c r="B13" s="20" t="s">
        <v>701</v>
      </c>
      <c r="C13" s="20" t="s">
        <v>702</v>
      </c>
      <c r="D13" s="138">
        <v>1520000</v>
      </c>
      <c r="E13" s="20" t="s">
        <v>697</v>
      </c>
      <c r="F13" s="20" t="s">
        <v>698</v>
      </c>
      <c r="G13" s="8" t="str">
        <f t="shared" si="0"/>
        <v>MAYBERRY BILL</v>
      </c>
    </row>
    <row r="14" spans="1:7" x14ac:dyDescent="0.25">
      <c r="A14" s="8">
        <v>42918.152025462965</v>
      </c>
      <c r="B14" s="20" t="s">
        <v>643</v>
      </c>
      <c r="C14" s="20" t="s">
        <v>703</v>
      </c>
      <c r="D14" s="138">
        <v>1800000</v>
      </c>
      <c r="E14" s="20" t="s">
        <v>377</v>
      </c>
      <c r="F14" s="20" t="s">
        <v>378</v>
      </c>
      <c r="G14" s="8" t="str">
        <f t="shared" si="0"/>
        <v>CHANDLER KELVIN</v>
      </c>
    </row>
    <row r="15" spans="1:7" x14ac:dyDescent="0.25">
      <c r="A15" s="8">
        <v>42918.159328703703</v>
      </c>
      <c r="B15" s="20" t="s">
        <v>417</v>
      </c>
      <c r="C15" s="20" t="s">
        <v>623</v>
      </c>
      <c r="D15" s="138">
        <v>1990000</v>
      </c>
      <c r="E15" s="20" t="s">
        <v>411</v>
      </c>
      <c r="F15" s="20" t="s">
        <v>569</v>
      </c>
      <c r="G15" s="8" t="str">
        <f t="shared" si="0"/>
        <v>DAVIS WENDY</v>
      </c>
    </row>
    <row r="16" spans="1:7" x14ac:dyDescent="0.25">
      <c r="A16" s="8">
        <v>42918.169687499998</v>
      </c>
      <c r="B16" s="20" t="s">
        <v>635</v>
      </c>
      <c r="C16" s="20" t="s">
        <v>704</v>
      </c>
      <c r="D16" s="138">
        <v>2010000</v>
      </c>
      <c r="E16" s="20" t="s">
        <v>496</v>
      </c>
      <c r="F16" s="20" t="s">
        <v>497</v>
      </c>
      <c r="G16" s="8" t="str">
        <f t="shared" si="0"/>
        <v>MAELZER KURT</v>
      </c>
    </row>
    <row r="17" spans="1:7" x14ac:dyDescent="0.25">
      <c r="A17" s="8">
        <v>42918.171412037038</v>
      </c>
      <c r="B17" s="20" t="s">
        <v>421</v>
      </c>
      <c r="C17" s="20" t="s">
        <v>705</v>
      </c>
      <c r="D17" s="138">
        <v>1990000</v>
      </c>
      <c r="E17" s="20" t="s">
        <v>411</v>
      </c>
      <c r="F17" s="20" t="s">
        <v>569</v>
      </c>
      <c r="G17" s="8" t="str">
        <f t="shared" si="0"/>
        <v>DAVIS WENDY</v>
      </c>
    </row>
    <row r="18" spans="1:7" x14ac:dyDescent="0.25">
      <c r="A18" s="8">
        <v>42918.176782407405</v>
      </c>
      <c r="B18" s="20" t="s">
        <v>440</v>
      </c>
      <c r="C18" s="20" t="s">
        <v>706</v>
      </c>
      <c r="D18" s="138">
        <v>2530000</v>
      </c>
      <c r="E18" s="20" t="s">
        <v>707</v>
      </c>
      <c r="F18" s="20" t="s">
        <v>708</v>
      </c>
      <c r="G18" s="8" t="str">
        <f t="shared" si="0"/>
        <v>LALONDE GREGORY</v>
      </c>
    </row>
    <row r="19" spans="1:7" x14ac:dyDescent="0.25">
      <c r="A19" s="8">
        <v>42918.18172453704</v>
      </c>
      <c r="B19" s="20" t="s">
        <v>568</v>
      </c>
      <c r="C19" s="20" t="s">
        <v>709</v>
      </c>
      <c r="D19" s="138">
        <v>1100000</v>
      </c>
      <c r="E19" s="20" t="s">
        <v>571</v>
      </c>
      <c r="F19" s="20" t="s">
        <v>572</v>
      </c>
      <c r="G19" s="8" t="str">
        <f t="shared" si="0"/>
        <v>GEBRETEKLE DAGNEW</v>
      </c>
    </row>
    <row r="20" spans="1:7" x14ac:dyDescent="0.25">
      <c r="A20" s="8">
        <v>42918.18645833333</v>
      </c>
      <c r="B20" s="20" t="s">
        <v>439</v>
      </c>
      <c r="C20" s="20" t="s">
        <v>710</v>
      </c>
      <c r="D20" s="138">
        <v>2530000</v>
      </c>
      <c r="E20" s="20" t="s">
        <v>707</v>
      </c>
      <c r="F20" s="20" t="s">
        <v>708</v>
      </c>
      <c r="G20" s="8" t="str">
        <f t="shared" si="0"/>
        <v>LALONDE GREGORY</v>
      </c>
    </row>
    <row r="21" spans="1:7" x14ac:dyDescent="0.25">
      <c r="A21" s="8">
        <v>42918.191446759258</v>
      </c>
      <c r="B21" s="20" t="s">
        <v>625</v>
      </c>
      <c r="C21" s="20" t="s">
        <v>626</v>
      </c>
      <c r="D21" s="138">
        <v>1520000</v>
      </c>
      <c r="E21" s="20" t="s">
        <v>697</v>
      </c>
      <c r="F21" s="20" t="s">
        <v>698</v>
      </c>
      <c r="G21" s="8" t="str">
        <f t="shared" si="0"/>
        <v>MAYBERRY BILL</v>
      </c>
    </row>
    <row r="22" spans="1:7" x14ac:dyDescent="0.25">
      <c r="A22" s="26">
        <v>42918.192812499998</v>
      </c>
      <c r="B22" s="20" t="s">
        <v>625</v>
      </c>
      <c r="C22" s="20" t="s">
        <v>626</v>
      </c>
      <c r="D22" s="138">
        <v>1520000</v>
      </c>
      <c r="E22" s="20" t="s">
        <v>697</v>
      </c>
      <c r="F22" s="20" t="s">
        <v>698</v>
      </c>
      <c r="G22" s="8" t="str">
        <f t="shared" si="0"/>
        <v>MAYBERRY BILL</v>
      </c>
    </row>
    <row r="23" spans="1:7" x14ac:dyDescent="0.25">
      <c r="A23" s="8">
        <v>42918.194571759261</v>
      </c>
      <c r="B23" s="20" t="s">
        <v>625</v>
      </c>
      <c r="C23" s="20" t="s">
        <v>626</v>
      </c>
      <c r="D23" s="138">
        <v>1520000</v>
      </c>
      <c r="E23" s="20" t="s">
        <v>697</v>
      </c>
      <c r="F23" s="20" t="s">
        <v>698</v>
      </c>
      <c r="G23" s="8" t="str">
        <f t="shared" si="0"/>
        <v>MAYBERRY BILL</v>
      </c>
    </row>
    <row r="24" spans="1:7" x14ac:dyDescent="0.25">
      <c r="A24" s="8">
        <v>42918.194907407407</v>
      </c>
      <c r="B24" s="20" t="s">
        <v>570</v>
      </c>
      <c r="C24" s="20" t="s">
        <v>711</v>
      </c>
      <c r="D24" s="138">
        <v>1100000</v>
      </c>
      <c r="E24" s="20" t="s">
        <v>571</v>
      </c>
      <c r="F24" s="20" t="s">
        <v>572</v>
      </c>
      <c r="G24" s="8" t="str">
        <f t="shared" si="0"/>
        <v>GEBRETEKLE DAGNEW</v>
      </c>
    </row>
    <row r="25" spans="1:7" x14ac:dyDescent="0.25">
      <c r="A25" s="8">
        <v>42918.196898148148</v>
      </c>
      <c r="B25" s="20" t="s">
        <v>494</v>
      </c>
      <c r="C25" s="20" t="s">
        <v>712</v>
      </c>
      <c r="D25" s="138">
        <v>2970000</v>
      </c>
      <c r="E25" s="20" t="s">
        <v>379</v>
      </c>
      <c r="F25" s="20" t="s">
        <v>380</v>
      </c>
      <c r="G25" s="8" t="str">
        <f t="shared" si="0"/>
        <v>GUZMAN DANNY</v>
      </c>
    </row>
    <row r="26" spans="1:7" x14ac:dyDescent="0.25">
      <c r="A26" s="8">
        <v>42918.197581018518</v>
      </c>
      <c r="B26" s="20" t="s">
        <v>494</v>
      </c>
      <c r="C26" s="20" t="s">
        <v>712</v>
      </c>
      <c r="D26" s="138">
        <v>2970000</v>
      </c>
      <c r="E26" s="20" t="s">
        <v>379</v>
      </c>
      <c r="F26" s="20" t="s">
        <v>380</v>
      </c>
      <c r="G26" s="8" t="str">
        <f t="shared" si="0"/>
        <v>GUZMAN DANNY</v>
      </c>
    </row>
    <row r="27" spans="1:7" x14ac:dyDescent="0.25">
      <c r="A27" s="8">
        <v>42918.202962962961</v>
      </c>
      <c r="B27" s="20" t="s">
        <v>357</v>
      </c>
      <c r="C27" s="20" t="s">
        <v>624</v>
      </c>
      <c r="D27" s="138">
        <v>1740000</v>
      </c>
      <c r="E27" s="20" t="s">
        <v>510</v>
      </c>
      <c r="F27" s="20" t="s">
        <v>511</v>
      </c>
      <c r="G27" s="8" t="str">
        <f t="shared" si="0"/>
        <v>STORY SAMANTHA</v>
      </c>
    </row>
    <row r="28" spans="1:7" x14ac:dyDescent="0.25">
      <c r="A28" s="8">
        <v>42918.21197916667</v>
      </c>
      <c r="B28" s="20" t="s">
        <v>713</v>
      </c>
      <c r="C28" s="20" t="s">
        <v>714</v>
      </c>
      <c r="D28" s="138">
        <v>1800000</v>
      </c>
      <c r="E28" s="20" t="s">
        <v>377</v>
      </c>
      <c r="F28" s="20" t="s">
        <v>378</v>
      </c>
      <c r="G28" s="8" t="str">
        <f t="shared" si="0"/>
        <v>CHANDLER KELVIN</v>
      </c>
    </row>
    <row r="29" spans="1:7" x14ac:dyDescent="0.25">
      <c r="A29" s="8">
        <v>42918.213506944441</v>
      </c>
      <c r="B29" s="20" t="s">
        <v>565</v>
      </c>
      <c r="C29" s="20" t="s">
        <v>715</v>
      </c>
      <c r="D29" s="138">
        <v>1810000</v>
      </c>
      <c r="E29" s="20" t="s">
        <v>367</v>
      </c>
      <c r="F29" s="20" t="s">
        <v>189</v>
      </c>
      <c r="G29" s="8" t="str">
        <f t="shared" si="0"/>
        <v>NEWELL JAMES</v>
      </c>
    </row>
    <row r="30" spans="1:7" x14ac:dyDescent="0.25">
      <c r="A30" s="8">
        <v>42918.214571759258</v>
      </c>
      <c r="B30" s="20" t="s">
        <v>417</v>
      </c>
      <c r="C30" s="20" t="s">
        <v>716</v>
      </c>
      <c r="D30" s="138">
        <v>1990000</v>
      </c>
      <c r="E30" s="20" t="s">
        <v>411</v>
      </c>
      <c r="F30" s="20" t="s">
        <v>569</v>
      </c>
      <c r="G30" s="8" t="str">
        <f t="shared" si="0"/>
        <v>DAVIS WENDY</v>
      </c>
    </row>
    <row r="31" spans="1:7" x14ac:dyDescent="0.25">
      <c r="A31" s="8">
        <v>42918.214641203704</v>
      </c>
      <c r="B31" s="20" t="s">
        <v>440</v>
      </c>
      <c r="C31" s="20" t="s">
        <v>717</v>
      </c>
      <c r="D31" s="138">
        <v>2530000</v>
      </c>
      <c r="E31" s="20" t="s">
        <v>707</v>
      </c>
      <c r="F31" s="20" t="s">
        <v>708</v>
      </c>
      <c r="G31" s="8" t="str">
        <f t="shared" si="0"/>
        <v>LALONDE GREGORY</v>
      </c>
    </row>
    <row r="32" spans="1:7" x14ac:dyDescent="0.25">
      <c r="A32" s="8">
        <v>42918.217060185183</v>
      </c>
      <c r="B32" s="20" t="s">
        <v>495</v>
      </c>
      <c r="C32" s="20" t="s">
        <v>718</v>
      </c>
      <c r="D32" s="138">
        <v>2970000</v>
      </c>
      <c r="E32" s="20" t="s">
        <v>379</v>
      </c>
      <c r="F32" s="20" t="s">
        <v>380</v>
      </c>
      <c r="G32" s="8" t="str">
        <f t="shared" si="0"/>
        <v>GUZMAN DANNY</v>
      </c>
    </row>
    <row r="33" spans="1:7" x14ac:dyDescent="0.25">
      <c r="A33" s="8">
        <v>42918.218090277776</v>
      </c>
      <c r="B33" s="20" t="s">
        <v>659</v>
      </c>
      <c r="C33" s="20" t="s">
        <v>719</v>
      </c>
      <c r="D33" s="138">
        <v>2600000</v>
      </c>
      <c r="E33" s="20" t="s">
        <v>720</v>
      </c>
      <c r="F33" s="20" t="s">
        <v>721</v>
      </c>
      <c r="G33" s="8" t="str">
        <f t="shared" si="0"/>
        <v>DAVIDSON DAVID</v>
      </c>
    </row>
    <row r="34" spans="1:7" x14ac:dyDescent="0.25">
      <c r="A34" s="8">
        <v>42918.218287037038</v>
      </c>
      <c r="B34" s="20" t="s">
        <v>357</v>
      </c>
      <c r="C34" s="20" t="s">
        <v>624</v>
      </c>
      <c r="D34" s="138">
        <v>1740000</v>
      </c>
      <c r="E34" s="20" t="s">
        <v>510</v>
      </c>
      <c r="F34" s="20" t="s">
        <v>511</v>
      </c>
      <c r="G34" s="8" t="str">
        <f t="shared" si="0"/>
        <v>STORY SAMANTHA</v>
      </c>
    </row>
    <row r="35" spans="1:7" x14ac:dyDescent="0.25">
      <c r="A35" s="8">
        <v>42918.222303240742</v>
      </c>
      <c r="B35" s="20" t="s">
        <v>398</v>
      </c>
      <c r="C35" s="20" t="s">
        <v>722</v>
      </c>
      <c r="D35" s="138">
        <v>1800000</v>
      </c>
      <c r="E35" s="20" t="s">
        <v>377</v>
      </c>
      <c r="F35" s="20" t="s">
        <v>378</v>
      </c>
      <c r="G35" s="8" t="str">
        <f t="shared" si="0"/>
        <v>CHANDLER KELVIN</v>
      </c>
    </row>
    <row r="36" spans="1:7" x14ac:dyDescent="0.25">
      <c r="A36" s="8">
        <v>42918.224999999999</v>
      </c>
      <c r="B36" s="20" t="s">
        <v>568</v>
      </c>
      <c r="C36" s="20" t="s">
        <v>723</v>
      </c>
      <c r="D36" s="138">
        <v>1100000</v>
      </c>
      <c r="E36" s="20" t="s">
        <v>571</v>
      </c>
      <c r="F36" s="20" t="s">
        <v>572</v>
      </c>
      <c r="G36" s="8" t="str">
        <f t="shared" si="0"/>
        <v>GEBRETEKLE DAGNEW</v>
      </c>
    </row>
    <row r="37" spans="1:7" x14ac:dyDescent="0.25">
      <c r="A37" s="8">
        <v>42918.225543981483</v>
      </c>
      <c r="B37" s="20" t="s">
        <v>365</v>
      </c>
      <c r="C37" s="20" t="s">
        <v>627</v>
      </c>
      <c r="D37" s="138">
        <v>2560000</v>
      </c>
      <c r="E37" s="20" t="s">
        <v>498</v>
      </c>
      <c r="F37" s="20" t="s">
        <v>366</v>
      </c>
      <c r="G37" s="8" t="str">
        <f t="shared" si="0"/>
        <v>MACDONALD THOMAS</v>
      </c>
    </row>
    <row r="38" spans="1:7" x14ac:dyDescent="0.25">
      <c r="A38" s="8">
        <v>42918.228460648148</v>
      </c>
      <c r="B38" s="20" t="s">
        <v>632</v>
      </c>
      <c r="C38" s="20" t="s">
        <v>724</v>
      </c>
      <c r="D38" s="138">
        <v>2600000</v>
      </c>
      <c r="E38" s="20" t="s">
        <v>720</v>
      </c>
      <c r="F38" s="20" t="s">
        <v>721</v>
      </c>
      <c r="G38" s="8" t="str">
        <f t="shared" si="0"/>
        <v>DAVIDSON DAVID</v>
      </c>
    </row>
    <row r="39" spans="1:7" x14ac:dyDescent="0.25">
      <c r="A39" s="8">
        <v>42918.235381944447</v>
      </c>
      <c r="B39" s="20" t="s">
        <v>701</v>
      </c>
      <c r="C39" s="20" t="s">
        <v>725</v>
      </c>
      <c r="D39" s="138">
        <v>1810000</v>
      </c>
      <c r="E39" s="20" t="s">
        <v>367</v>
      </c>
      <c r="F39" s="20" t="s">
        <v>189</v>
      </c>
      <c r="G39" s="8" t="str">
        <f t="shared" si="0"/>
        <v>NEWELL JAMES</v>
      </c>
    </row>
    <row r="40" spans="1:7" x14ac:dyDescent="0.25">
      <c r="A40" s="8">
        <v>42918.235879629632</v>
      </c>
      <c r="B40" s="25" t="s">
        <v>701</v>
      </c>
      <c r="C40" s="20" t="s">
        <v>725</v>
      </c>
      <c r="D40" s="138">
        <v>1810000</v>
      </c>
      <c r="E40" s="20" t="s">
        <v>367</v>
      </c>
      <c r="F40" s="20" t="s">
        <v>189</v>
      </c>
      <c r="G40" s="8" t="str">
        <f t="shared" si="0"/>
        <v>NEWELL JAMES</v>
      </c>
    </row>
    <row r="41" spans="1:7" x14ac:dyDescent="0.25">
      <c r="A41" s="8">
        <v>42918.236909722225</v>
      </c>
      <c r="B41" s="20" t="s">
        <v>701</v>
      </c>
      <c r="C41" s="20" t="s">
        <v>725</v>
      </c>
      <c r="D41" s="138">
        <v>1810000</v>
      </c>
      <c r="E41" s="20" t="s">
        <v>367</v>
      </c>
      <c r="F41" s="20" t="s">
        <v>189</v>
      </c>
      <c r="G41" s="8" t="str">
        <f t="shared" si="0"/>
        <v>NEWELL JAMES</v>
      </c>
    </row>
    <row r="42" spans="1:7" x14ac:dyDescent="0.25">
      <c r="A42" s="8">
        <v>42918.237962962965</v>
      </c>
      <c r="B42" s="20" t="s">
        <v>341</v>
      </c>
      <c r="C42" s="20" t="s">
        <v>726</v>
      </c>
      <c r="D42" s="138">
        <v>2560000</v>
      </c>
      <c r="E42" s="20" t="s">
        <v>498</v>
      </c>
      <c r="F42" s="20" t="s">
        <v>366</v>
      </c>
      <c r="G42" s="8" t="str">
        <f t="shared" si="0"/>
        <v>MACDONALD THOMAS</v>
      </c>
    </row>
    <row r="43" spans="1:7" x14ac:dyDescent="0.25">
      <c r="A43" s="8">
        <v>42918.242106481484</v>
      </c>
      <c r="B43" s="20" t="s">
        <v>643</v>
      </c>
      <c r="C43" s="20" t="s">
        <v>727</v>
      </c>
      <c r="D43" s="138">
        <v>1740000</v>
      </c>
      <c r="E43" s="20" t="s">
        <v>510</v>
      </c>
      <c r="F43" s="20" t="s">
        <v>511</v>
      </c>
      <c r="G43" s="8" t="str">
        <f t="shared" si="0"/>
        <v>STORY SAMANTHA</v>
      </c>
    </row>
    <row r="44" spans="1:7" x14ac:dyDescent="0.25">
      <c r="A44" s="8">
        <v>42918.246145833335</v>
      </c>
      <c r="B44" s="20" t="s">
        <v>421</v>
      </c>
      <c r="C44" s="20" t="s">
        <v>728</v>
      </c>
      <c r="D44" s="138">
        <v>1990000</v>
      </c>
      <c r="E44" s="20" t="s">
        <v>411</v>
      </c>
      <c r="F44" s="20" t="s">
        <v>569</v>
      </c>
      <c r="G44" s="8" t="str">
        <f t="shared" si="0"/>
        <v>DAVIS WENDY</v>
      </c>
    </row>
    <row r="45" spans="1:7" x14ac:dyDescent="0.25">
      <c r="A45" s="8">
        <v>42918.246631944443</v>
      </c>
      <c r="B45" s="20" t="s">
        <v>494</v>
      </c>
      <c r="C45" s="20" t="s">
        <v>729</v>
      </c>
      <c r="D45" s="138">
        <v>2970000</v>
      </c>
      <c r="E45" s="20" t="s">
        <v>379</v>
      </c>
      <c r="F45" s="20" t="s">
        <v>380</v>
      </c>
      <c r="G45" s="8" t="str">
        <f t="shared" si="0"/>
        <v>GUZMAN DANNY</v>
      </c>
    </row>
    <row r="46" spans="1:7" x14ac:dyDescent="0.25">
      <c r="A46" s="8">
        <v>42918.249155092592</v>
      </c>
      <c r="B46" s="20" t="s">
        <v>659</v>
      </c>
      <c r="C46" s="20" t="s">
        <v>730</v>
      </c>
      <c r="D46" s="138">
        <v>2600000</v>
      </c>
      <c r="E46" s="20" t="s">
        <v>720</v>
      </c>
      <c r="F46" s="20" t="s">
        <v>721</v>
      </c>
      <c r="G46" s="8" t="str">
        <f t="shared" si="0"/>
        <v>DAVIDSON DAVID</v>
      </c>
    </row>
    <row r="47" spans="1:7" x14ac:dyDescent="0.25">
      <c r="A47" s="8">
        <v>42918.256840277776</v>
      </c>
      <c r="B47" s="20" t="s">
        <v>439</v>
      </c>
      <c r="C47" s="20" t="s">
        <v>731</v>
      </c>
      <c r="D47" s="138">
        <v>2530000</v>
      </c>
      <c r="E47" s="20" t="s">
        <v>707</v>
      </c>
      <c r="F47" s="20" t="s">
        <v>708</v>
      </c>
      <c r="G47" s="8" t="str">
        <f t="shared" si="0"/>
        <v>LALONDE GREGORY</v>
      </c>
    </row>
    <row r="48" spans="1:7" x14ac:dyDescent="0.25">
      <c r="A48" s="8">
        <v>42918.265844907408</v>
      </c>
      <c r="B48" s="20" t="s">
        <v>365</v>
      </c>
      <c r="C48" s="20" t="s">
        <v>631</v>
      </c>
      <c r="D48" s="138">
        <v>2560000</v>
      </c>
      <c r="E48" s="20" t="s">
        <v>498</v>
      </c>
      <c r="F48" s="20" t="s">
        <v>366</v>
      </c>
      <c r="G48" s="8" t="str">
        <f t="shared" si="0"/>
        <v>MACDONALD THOMAS</v>
      </c>
    </row>
    <row r="49" spans="1:7" x14ac:dyDescent="0.25">
      <c r="A49" s="8">
        <v>42918.266261574077</v>
      </c>
      <c r="B49" s="20" t="s">
        <v>570</v>
      </c>
      <c r="C49" s="20" t="s">
        <v>630</v>
      </c>
      <c r="D49" s="138">
        <v>1100000</v>
      </c>
      <c r="E49" s="20" t="s">
        <v>571</v>
      </c>
      <c r="F49" s="20" t="s">
        <v>572</v>
      </c>
      <c r="G49" s="8" t="str">
        <f t="shared" si="0"/>
        <v>GEBRETEKLE DAGNEW</v>
      </c>
    </row>
    <row r="50" spans="1:7" x14ac:dyDescent="0.25">
      <c r="A50" s="8">
        <v>42918.268877314818</v>
      </c>
      <c r="B50" s="20" t="s">
        <v>635</v>
      </c>
      <c r="C50" s="20" t="s">
        <v>732</v>
      </c>
      <c r="D50" s="138">
        <v>1800000</v>
      </c>
      <c r="E50" s="20" t="s">
        <v>377</v>
      </c>
      <c r="F50" s="20" t="s">
        <v>378</v>
      </c>
      <c r="G50" s="8" t="str">
        <f t="shared" si="0"/>
        <v>CHANDLER KELVIN</v>
      </c>
    </row>
    <row r="51" spans="1:7" x14ac:dyDescent="0.25">
      <c r="A51" s="8">
        <v>42918.275729166664</v>
      </c>
      <c r="B51" s="20" t="s">
        <v>632</v>
      </c>
      <c r="C51" s="20" t="s">
        <v>633</v>
      </c>
      <c r="D51" s="138">
        <v>2600000</v>
      </c>
      <c r="E51" s="20" t="s">
        <v>720</v>
      </c>
      <c r="F51" s="20" t="s">
        <v>721</v>
      </c>
      <c r="G51" s="8" t="str">
        <f t="shared" si="0"/>
        <v>DAVIDSON DAVID</v>
      </c>
    </row>
    <row r="52" spans="1:7" x14ac:dyDescent="0.25">
      <c r="A52" s="8">
        <v>42918.277303240742</v>
      </c>
      <c r="B52" s="20" t="s">
        <v>357</v>
      </c>
      <c r="C52" s="20" t="s">
        <v>733</v>
      </c>
      <c r="D52" s="138">
        <v>2010000</v>
      </c>
      <c r="E52" s="20" t="s">
        <v>496</v>
      </c>
      <c r="F52" s="20" t="s">
        <v>497</v>
      </c>
      <c r="G52" s="8" t="str">
        <f t="shared" si="0"/>
        <v>MAELZER KURT</v>
      </c>
    </row>
    <row r="53" spans="1:7" x14ac:dyDescent="0.25">
      <c r="A53" s="8">
        <v>42918.278796296298</v>
      </c>
      <c r="B53" s="20" t="s">
        <v>357</v>
      </c>
      <c r="C53" s="20" t="s">
        <v>733</v>
      </c>
      <c r="D53" s="138">
        <v>2010000</v>
      </c>
      <c r="E53" s="20" t="s">
        <v>496</v>
      </c>
      <c r="F53" s="20" t="s">
        <v>497</v>
      </c>
      <c r="G53" s="8" t="str">
        <f t="shared" si="0"/>
        <v>MAELZER KURT</v>
      </c>
    </row>
    <row r="54" spans="1:7" x14ac:dyDescent="0.25">
      <c r="A54" s="8">
        <v>42918.287604166668</v>
      </c>
      <c r="B54" s="20" t="s">
        <v>495</v>
      </c>
      <c r="C54" s="20" t="s">
        <v>734</v>
      </c>
      <c r="D54" s="138">
        <v>2970000</v>
      </c>
      <c r="E54" s="20" t="s">
        <v>379</v>
      </c>
      <c r="F54" s="20" t="s">
        <v>380</v>
      </c>
      <c r="G54" s="8" t="str">
        <f t="shared" si="0"/>
        <v>GUZMAN DANNY</v>
      </c>
    </row>
    <row r="55" spans="1:7" x14ac:dyDescent="0.25">
      <c r="A55" s="8">
        <v>42918.28769675926</v>
      </c>
      <c r="B55" s="20" t="s">
        <v>417</v>
      </c>
      <c r="C55" s="20" t="s">
        <v>735</v>
      </c>
      <c r="D55" s="138">
        <v>1990000</v>
      </c>
      <c r="E55" s="20" t="s">
        <v>411</v>
      </c>
      <c r="F55" s="20" t="s">
        <v>569</v>
      </c>
      <c r="G55" s="8" t="str">
        <f t="shared" si="0"/>
        <v>DAVIS WENDY</v>
      </c>
    </row>
    <row r="56" spans="1:7" x14ac:dyDescent="0.25">
      <c r="A56" s="8">
        <v>42918.287835648145</v>
      </c>
      <c r="B56" s="20" t="s">
        <v>440</v>
      </c>
      <c r="C56" s="20" t="s">
        <v>736</v>
      </c>
      <c r="D56" s="138">
        <v>2530000</v>
      </c>
      <c r="E56" s="20" t="s">
        <v>707</v>
      </c>
      <c r="F56" s="20" t="s">
        <v>708</v>
      </c>
      <c r="G56" s="8" t="str">
        <f t="shared" si="0"/>
        <v>LALONDE GREGORY</v>
      </c>
    </row>
    <row r="57" spans="1:7" x14ac:dyDescent="0.25">
      <c r="A57" s="8">
        <v>42918.290347222224</v>
      </c>
      <c r="B57" s="20" t="s">
        <v>659</v>
      </c>
      <c r="C57" s="20" t="s">
        <v>737</v>
      </c>
      <c r="D57" s="138">
        <v>2600000</v>
      </c>
      <c r="E57" s="20" t="s">
        <v>720</v>
      </c>
      <c r="F57" s="20" t="s">
        <v>721</v>
      </c>
      <c r="G57" s="8" t="str">
        <f t="shared" si="0"/>
        <v>DAVIDSON DAVID</v>
      </c>
    </row>
    <row r="58" spans="1:7" x14ac:dyDescent="0.25">
      <c r="A58" s="8">
        <v>42918.298402777778</v>
      </c>
      <c r="B58" s="20" t="s">
        <v>568</v>
      </c>
      <c r="C58" s="20" t="s">
        <v>738</v>
      </c>
      <c r="D58" s="138">
        <v>1100000</v>
      </c>
      <c r="E58" s="20" t="s">
        <v>571</v>
      </c>
      <c r="F58" s="20" t="s">
        <v>572</v>
      </c>
      <c r="G58" s="8" t="str">
        <f t="shared" si="0"/>
        <v>GEBRETEKLE DAGNEW</v>
      </c>
    </row>
    <row r="59" spans="1:7" x14ac:dyDescent="0.25">
      <c r="A59" s="8">
        <v>42918.300844907404</v>
      </c>
      <c r="B59" s="20" t="s">
        <v>398</v>
      </c>
      <c r="C59" s="20" t="s">
        <v>739</v>
      </c>
      <c r="D59" s="138">
        <v>1800000</v>
      </c>
      <c r="E59" s="20" t="s">
        <v>377</v>
      </c>
      <c r="F59" s="20" t="s">
        <v>378</v>
      </c>
      <c r="G59" s="8" t="str">
        <f t="shared" si="0"/>
        <v>CHANDLER KELVIN</v>
      </c>
    </row>
    <row r="60" spans="1:7" x14ac:dyDescent="0.25">
      <c r="A60" s="8">
        <v>42918.308761574073</v>
      </c>
      <c r="B60" s="20" t="s">
        <v>341</v>
      </c>
      <c r="C60" s="20" t="s">
        <v>740</v>
      </c>
      <c r="D60" s="138">
        <v>2560000</v>
      </c>
      <c r="E60" s="20" t="s">
        <v>498</v>
      </c>
      <c r="F60" s="20" t="s">
        <v>366</v>
      </c>
      <c r="G60" s="8" t="str">
        <f t="shared" si="0"/>
        <v>MACDONALD THOMAS</v>
      </c>
    </row>
    <row r="61" spans="1:7" x14ac:dyDescent="0.25">
      <c r="A61" s="8">
        <v>42918.317430555559</v>
      </c>
      <c r="B61" s="20" t="s">
        <v>632</v>
      </c>
      <c r="C61" s="20" t="s">
        <v>741</v>
      </c>
      <c r="D61" s="138">
        <v>2600000</v>
      </c>
      <c r="E61" s="20" t="s">
        <v>720</v>
      </c>
      <c r="F61" s="20" t="s">
        <v>721</v>
      </c>
      <c r="G61" s="8" t="str">
        <f t="shared" si="0"/>
        <v>DAVIDSON DAVID</v>
      </c>
    </row>
    <row r="62" spans="1:7" x14ac:dyDescent="0.25">
      <c r="A62" s="8">
        <v>42918.31759259259</v>
      </c>
      <c r="B62" s="20" t="s">
        <v>643</v>
      </c>
      <c r="C62" s="20" t="s">
        <v>742</v>
      </c>
      <c r="D62" s="138">
        <v>2010000</v>
      </c>
      <c r="E62" s="20" t="s">
        <v>496</v>
      </c>
      <c r="F62" s="20" t="s">
        <v>497</v>
      </c>
      <c r="G62" s="8" t="str">
        <f t="shared" si="0"/>
        <v>MAELZER KURT</v>
      </c>
    </row>
    <row r="63" spans="1:7" x14ac:dyDescent="0.25">
      <c r="A63" s="8">
        <v>42918.319803240738</v>
      </c>
      <c r="B63" s="20" t="s">
        <v>494</v>
      </c>
      <c r="C63" s="20" t="s">
        <v>743</v>
      </c>
      <c r="D63" s="138">
        <v>2970000</v>
      </c>
      <c r="E63" s="20" t="s">
        <v>379</v>
      </c>
      <c r="F63" s="20" t="s">
        <v>380</v>
      </c>
      <c r="G63" s="8" t="str">
        <f t="shared" si="0"/>
        <v>GUZMAN DANNY</v>
      </c>
    </row>
    <row r="64" spans="1:7" x14ac:dyDescent="0.25">
      <c r="A64" s="26">
        <v>42918.320439814815</v>
      </c>
      <c r="B64" s="20" t="s">
        <v>494</v>
      </c>
      <c r="C64" s="20" t="s">
        <v>743</v>
      </c>
      <c r="D64" s="138">
        <v>2970000</v>
      </c>
      <c r="E64" s="20" t="s">
        <v>379</v>
      </c>
      <c r="F64" s="20" t="s">
        <v>380</v>
      </c>
      <c r="G64" s="8" t="str">
        <f t="shared" si="0"/>
        <v>GUZMAN DANNY</v>
      </c>
    </row>
    <row r="65" spans="1:7" x14ac:dyDescent="0.25">
      <c r="A65" s="8">
        <v>42918.320555555554</v>
      </c>
      <c r="B65" s="20" t="s">
        <v>421</v>
      </c>
      <c r="C65" s="20" t="s">
        <v>744</v>
      </c>
      <c r="D65" s="138">
        <v>1990000</v>
      </c>
      <c r="E65" s="20" t="s">
        <v>411</v>
      </c>
      <c r="F65" s="20" t="s">
        <v>569</v>
      </c>
      <c r="G65" s="8" t="str">
        <f t="shared" si="0"/>
        <v>DAVIS WENDY</v>
      </c>
    </row>
    <row r="66" spans="1:7" x14ac:dyDescent="0.25">
      <c r="A66" s="8">
        <v>42918.324201388888</v>
      </c>
      <c r="B66" s="20" t="s">
        <v>494</v>
      </c>
      <c r="C66" s="20" t="s">
        <v>745</v>
      </c>
      <c r="D66" s="138">
        <v>2970000</v>
      </c>
      <c r="E66" s="20" t="s">
        <v>379</v>
      </c>
      <c r="F66" s="20" t="s">
        <v>380</v>
      </c>
      <c r="G66" s="8" t="str">
        <f t="shared" si="0"/>
        <v>GUZMAN DANNY</v>
      </c>
    </row>
    <row r="67" spans="1:7" x14ac:dyDescent="0.25">
      <c r="A67" s="8">
        <v>42918.330138888887</v>
      </c>
      <c r="B67" s="20" t="s">
        <v>439</v>
      </c>
      <c r="C67" s="20" t="s">
        <v>746</v>
      </c>
      <c r="D67" s="138">
        <v>2530000</v>
      </c>
      <c r="E67" s="20" t="s">
        <v>707</v>
      </c>
      <c r="F67" s="20" t="s">
        <v>708</v>
      </c>
      <c r="G67" s="8" t="str">
        <f t="shared" ref="G67:G130" si="1">E67&amp;" "&amp;F67</f>
        <v>LALONDE GREGORY</v>
      </c>
    </row>
    <row r="68" spans="1:7" x14ac:dyDescent="0.25">
      <c r="A68" s="8">
        <v>42918.332974537036</v>
      </c>
      <c r="B68" s="20" t="s">
        <v>659</v>
      </c>
      <c r="C68" s="20" t="s">
        <v>747</v>
      </c>
      <c r="D68" s="138">
        <v>2600000</v>
      </c>
      <c r="E68" s="20" t="s">
        <v>720</v>
      </c>
      <c r="F68" s="20" t="s">
        <v>721</v>
      </c>
      <c r="G68" s="8" t="str">
        <f t="shared" si="1"/>
        <v>DAVIDSON DAVID</v>
      </c>
    </row>
    <row r="69" spans="1:7" x14ac:dyDescent="0.25">
      <c r="A69" s="8">
        <v>42918.338877314818</v>
      </c>
      <c r="B69" s="20" t="s">
        <v>635</v>
      </c>
      <c r="C69" s="20" t="s">
        <v>636</v>
      </c>
      <c r="D69" s="138">
        <v>1800000</v>
      </c>
      <c r="E69" s="20" t="s">
        <v>377</v>
      </c>
      <c r="F69" s="20" t="s">
        <v>378</v>
      </c>
      <c r="G69" s="8" t="str">
        <f t="shared" si="1"/>
        <v>CHANDLER KELVIN</v>
      </c>
    </row>
    <row r="70" spans="1:7" x14ac:dyDescent="0.25">
      <c r="A70" s="8">
        <v>42918.34002314815</v>
      </c>
      <c r="B70" s="20" t="s">
        <v>570</v>
      </c>
      <c r="C70" s="20" t="s">
        <v>634</v>
      </c>
      <c r="D70" s="138">
        <v>1100000</v>
      </c>
      <c r="E70" s="20" t="s">
        <v>571</v>
      </c>
      <c r="F70" s="20" t="s">
        <v>572</v>
      </c>
      <c r="G70" s="8" t="str">
        <f t="shared" si="1"/>
        <v>GEBRETEKLE DAGNEW</v>
      </c>
    </row>
    <row r="71" spans="1:7" x14ac:dyDescent="0.25">
      <c r="A71" s="8">
        <v>42918.352453703701</v>
      </c>
      <c r="B71" s="20" t="s">
        <v>365</v>
      </c>
      <c r="C71" s="20" t="s">
        <v>748</v>
      </c>
      <c r="D71" s="138">
        <v>2560000</v>
      </c>
      <c r="E71" s="20" t="s">
        <v>498</v>
      </c>
      <c r="F71" s="20" t="s">
        <v>366</v>
      </c>
      <c r="G71" s="8" t="str">
        <f t="shared" si="1"/>
        <v>MACDONALD THOMAS</v>
      </c>
    </row>
    <row r="72" spans="1:7" x14ac:dyDescent="0.25">
      <c r="A72" s="8">
        <v>42918.35255787037</v>
      </c>
      <c r="B72" s="20" t="s">
        <v>357</v>
      </c>
      <c r="C72" s="20" t="s">
        <v>749</v>
      </c>
      <c r="D72" s="138">
        <v>2010000</v>
      </c>
      <c r="E72" s="20" t="s">
        <v>496</v>
      </c>
      <c r="F72" s="20" t="s">
        <v>497</v>
      </c>
      <c r="G72" s="8" t="str">
        <f t="shared" si="1"/>
        <v>MAELZER KURT</v>
      </c>
    </row>
    <row r="73" spans="1:7" x14ac:dyDescent="0.25">
      <c r="A73" s="8">
        <v>42918.358854166669</v>
      </c>
      <c r="B73" s="20" t="s">
        <v>632</v>
      </c>
      <c r="C73" s="20" t="s">
        <v>750</v>
      </c>
      <c r="D73" s="138">
        <v>2600000</v>
      </c>
      <c r="E73" s="20" t="s">
        <v>720</v>
      </c>
      <c r="F73" s="20" t="s">
        <v>721</v>
      </c>
      <c r="G73" s="8" t="str">
        <f t="shared" si="1"/>
        <v>DAVIDSON DAVID</v>
      </c>
    </row>
    <row r="74" spans="1:7" x14ac:dyDescent="0.25">
      <c r="A74" s="8">
        <v>42918.359826388885</v>
      </c>
      <c r="B74" s="20" t="s">
        <v>417</v>
      </c>
      <c r="C74" s="20" t="s">
        <v>751</v>
      </c>
      <c r="D74" s="138">
        <v>1990000</v>
      </c>
      <c r="E74" s="20" t="s">
        <v>411</v>
      </c>
      <c r="F74" s="20" t="s">
        <v>569</v>
      </c>
      <c r="G74" s="8" t="str">
        <f t="shared" si="1"/>
        <v>DAVIS WENDY</v>
      </c>
    </row>
    <row r="75" spans="1:7" x14ac:dyDescent="0.25">
      <c r="A75" s="8">
        <v>42918.360243055555</v>
      </c>
      <c r="B75" s="20" t="s">
        <v>440</v>
      </c>
      <c r="C75" s="20" t="s">
        <v>752</v>
      </c>
      <c r="D75" s="138">
        <v>2530000</v>
      </c>
      <c r="E75" s="20" t="s">
        <v>707</v>
      </c>
      <c r="F75" s="20" t="s">
        <v>708</v>
      </c>
      <c r="G75" s="8" t="str">
        <f t="shared" si="1"/>
        <v>LALONDE GREGORY</v>
      </c>
    </row>
    <row r="76" spans="1:7" x14ac:dyDescent="0.25">
      <c r="A76" s="8">
        <v>42918.360682870371</v>
      </c>
      <c r="B76" s="20" t="s">
        <v>495</v>
      </c>
      <c r="C76" s="20" t="s">
        <v>743</v>
      </c>
      <c r="D76" s="138">
        <v>2970000</v>
      </c>
      <c r="E76" s="20" t="s">
        <v>379</v>
      </c>
      <c r="F76" s="20" t="s">
        <v>380</v>
      </c>
      <c r="G76" s="8" t="str">
        <f t="shared" si="1"/>
        <v>GUZMAN DANNY</v>
      </c>
    </row>
    <row r="77" spans="1:7" x14ac:dyDescent="0.25">
      <c r="A77" s="8">
        <v>42918.371030092596</v>
      </c>
      <c r="B77" s="20" t="s">
        <v>568</v>
      </c>
      <c r="C77" s="20" t="s">
        <v>753</v>
      </c>
      <c r="D77" s="138">
        <v>1100000</v>
      </c>
      <c r="E77" s="20" t="s">
        <v>571</v>
      </c>
      <c r="F77" s="20" t="s">
        <v>572</v>
      </c>
      <c r="G77" s="8" t="str">
        <f t="shared" si="1"/>
        <v>GEBRETEKLE DAGNEW</v>
      </c>
    </row>
    <row r="78" spans="1:7" x14ac:dyDescent="0.25">
      <c r="A78" s="8">
        <v>42918.374791666669</v>
      </c>
      <c r="B78" s="20" t="s">
        <v>398</v>
      </c>
      <c r="C78" s="20" t="s">
        <v>637</v>
      </c>
      <c r="D78" s="138">
        <v>1800000</v>
      </c>
      <c r="E78" s="20" t="s">
        <v>377</v>
      </c>
      <c r="F78" s="20" t="s">
        <v>378</v>
      </c>
      <c r="G78" s="8" t="str">
        <f t="shared" si="1"/>
        <v>CHANDLER KELVIN</v>
      </c>
    </row>
    <row r="79" spans="1:7" x14ac:dyDescent="0.25">
      <c r="A79" s="8">
        <v>42918.380590277775</v>
      </c>
      <c r="B79" s="20" t="s">
        <v>659</v>
      </c>
      <c r="C79" s="20" t="s">
        <v>754</v>
      </c>
      <c r="D79" s="138">
        <v>2600000</v>
      </c>
      <c r="E79" s="20" t="s">
        <v>720</v>
      </c>
      <c r="F79" s="20" t="s">
        <v>721</v>
      </c>
      <c r="G79" s="8" t="str">
        <f t="shared" si="1"/>
        <v>DAVIDSON DAVID</v>
      </c>
    </row>
    <row r="80" spans="1:7" x14ac:dyDescent="0.25">
      <c r="A80" s="8">
        <v>42918.384016203701</v>
      </c>
      <c r="B80" s="20" t="s">
        <v>341</v>
      </c>
      <c r="C80" s="20" t="s">
        <v>638</v>
      </c>
      <c r="D80" s="138">
        <v>2560000</v>
      </c>
      <c r="E80" s="20" t="s">
        <v>498</v>
      </c>
      <c r="F80" s="20" t="s">
        <v>366</v>
      </c>
      <c r="G80" s="8" t="str">
        <f t="shared" si="1"/>
        <v>MACDONALD THOMAS</v>
      </c>
    </row>
    <row r="81" spans="1:7" x14ac:dyDescent="0.25">
      <c r="A81" s="8">
        <v>42918.38658564815</v>
      </c>
      <c r="B81" s="20" t="s">
        <v>643</v>
      </c>
      <c r="C81" s="20" t="s">
        <v>755</v>
      </c>
      <c r="D81" s="138">
        <v>2010000</v>
      </c>
      <c r="E81" s="20" t="s">
        <v>496</v>
      </c>
      <c r="F81" s="20" t="s">
        <v>497</v>
      </c>
      <c r="G81" s="8" t="str">
        <f t="shared" si="1"/>
        <v>MAELZER KURT</v>
      </c>
    </row>
    <row r="82" spans="1:7" x14ac:dyDescent="0.25">
      <c r="A82" s="8">
        <v>42918.39234953704</v>
      </c>
      <c r="B82" s="20" t="s">
        <v>421</v>
      </c>
      <c r="C82" s="20" t="s">
        <v>756</v>
      </c>
      <c r="D82" s="138">
        <v>1990000</v>
      </c>
      <c r="E82" s="20" t="s">
        <v>411</v>
      </c>
      <c r="F82" s="20" t="s">
        <v>569</v>
      </c>
      <c r="G82" s="8" t="str">
        <f t="shared" si="1"/>
        <v>DAVIS WENDY</v>
      </c>
    </row>
    <row r="83" spans="1:7" x14ac:dyDescent="0.25">
      <c r="A83" s="8">
        <v>42918.394594907404</v>
      </c>
      <c r="B83" s="20" t="s">
        <v>494</v>
      </c>
      <c r="C83" s="20" t="s">
        <v>639</v>
      </c>
      <c r="D83" s="138">
        <v>2970000</v>
      </c>
      <c r="E83" s="20" t="s">
        <v>379</v>
      </c>
      <c r="F83" s="20" t="s">
        <v>380</v>
      </c>
      <c r="G83" s="8" t="str">
        <f t="shared" si="1"/>
        <v>GUZMAN DANNY</v>
      </c>
    </row>
    <row r="84" spans="1:7" x14ac:dyDescent="0.25">
      <c r="A84" s="8">
        <v>42918.400613425925</v>
      </c>
      <c r="B84" s="20" t="s">
        <v>632</v>
      </c>
      <c r="C84" s="20" t="s">
        <v>757</v>
      </c>
      <c r="D84" s="138">
        <v>2600000</v>
      </c>
      <c r="E84" s="20" t="s">
        <v>720</v>
      </c>
      <c r="F84" s="20" t="s">
        <v>721</v>
      </c>
      <c r="G84" s="8" t="str">
        <f t="shared" si="1"/>
        <v>DAVIDSON DAVID</v>
      </c>
    </row>
    <row r="85" spans="1:7" x14ac:dyDescent="0.25">
      <c r="A85" s="8">
        <v>42918.404247685183</v>
      </c>
      <c r="B85" s="20" t="s">
        <v>439</v>
      </c>
      <c r="C85" s="20" t="s">
        <v>758</v>
      </c>
      <c r="D85" s="138">
        <v>2530000</v>
      </c>
      <c r="E85" s="20" t="s">
        <v>707</v>
      </c>
      <c r="F85" s="20" t="s">
        <v>708</v>
      </c>
      <c r="G85" s="8" t="str">
        <f t="shared" si="1"/>
        <v>LALONDE GREGORY</v>
      </c>
    </row>
    <row r="86" spans="1:7" x14ac:dyDescent="0.25">
      <c r="A86" s="8">
        <v>42918.409166666665</v>
      </c>
      <c r="B86" s="20" t="s">
        <v>635</v>
      </c>
      <c r="C86" s="20" t="s">
        <v>640</v>
      </c>
      <c r="D86" s="138">
        <v>1800000</v>
      </c>
      <c r="E86" s="20" t="s">
        <v>377</v>
      </c>
      <c r="F86" s="20" t="s">
        <v>378</v>
      </c>
      <c r="G86" s="8" t="str">
        <f t="shared" si="1"/>
        <v>CHANDLER KELVIN</v>
      </c>
    </row>
    <row r="87" spans="1:7" x14ac:dyDescent="0.25">
      <c r="A87" s="8">
        <v>42918.413935185185</v>
      </c>
      <c r="B87" s="20" t="s">
        <v>570</v>
      </c>
      <c r="C87" s="20" t="s">
        <v>759</v>
      </c>
      <c r="D87" s="138">
        <v>1100000</v>
      </c>
      <c r="E87" s="20" t="s">
        <v>571</v>
      </c>
      <c r="F87" s="20" t="s">
        <v>572</v>
      </c>
      <c r="G87" s="8" t="str">
        <f t="shared" si="1"/>
        <v>GEBRETEKLE DAGNEW</v>
      </c>
    </row>
    <row r="88" spans="1:7" x14ac:dyDescent="0.25">
      <c r="A88" s="8">
        <v>42918.416770833333</v>
      </c>
      <c r="B88" s="20" t="s">
        <v>659</v>
      </c>
      <c r="C88" s="20" t="s">
        <v>760</v>
      </c>
      <c r="D88" s="138">
        <v>2600000</v>
      </c>
      <c r="E88" s="20" t="s">
        <v>720</v>
      </c>
      <c r="F88" s="20" t="s">
        <v>721</v>
      </c>
      <c r="G88" s="8" t="str">
        <f t="shared" si="1"/>
        <v>DAVIDSON DAVID</v>
      </c>
    </row>
    <row r="89" spans="1:7" x14ac:dyDescent="0.25">
      <c r="A89" s="8">
        <v>42918.423449074071</v>
      </c>
      <c r="B89" s="20" t="s">
        <v>365</v>
      </c>
      <c r="C89" s="20" t="s">
        <v>761</v>
      </c>
      <c r="D89" s="138">
        <v>2560000</v>
      </c>
      <c r="E89" s="20" t="s">
        <v>498</v>
      </c>
      <c r="F89" s="20" t="s">
        <v>366</v>
      </c>
      <c r="G89" s="8" t="str">
        <f t="shared" si="1"/>
        <v>MACDONALD THOMAS</v>
      </c>
    </row>
    <row r="90" spans="1:7" x14ac:dyDescent="0.25">
      <c r="A90" s="8">
        <v>42918.426631944443</v>
      </c>
      <c r="B90" s="20" t="s">
        <v>357</v>
      </c>
      <c r="C90" s="20" t="s">
        <v>641</v>
      </c>
      <c r="D90" s="138">
        <v>3010000</v>
      </c>
      <c r="E90" s="20" t="s">
        <v>392</v>
      </c>
      <c r="F90" s="20" t="s">
        <v>393</v>
      </c>
      <c r="G90" s="8" t="str">
        <f t="shared" si="1"/>
        <v>SULLIVAN BRANDON</v>
      </c>
    </row>
    <row r="91" spans="1:7" x14ac:dyDescent="0.25">
      <c r="A91" s="8">
        <v>42918.434236111112</v>
      </c>
      <c r="B91" s="20" t="s">
        <v>417</v>
      </c>
      <c r="C91" s="20" t="s">
        <v>762</v>
      </c>
      <c r="D91" s="138">
        <v>1990000</v>
      </c>
      <c r="E91" s="20" t="s">
        <v>411</v>
      </c>
      <c r="F91" s="20" t="s">
        <v>569</v>
      </c>
      <c r="G91" s="8" t="str">
        <f t="shared" si="1"/>
        <v>DAVIS WENDY</v>
      </c>
    </row>
    <row r="92" spans="1:7" x14ac:dyDescent="0.25">
      <c r="A92" s="8">
        <v>42918.436284722222</v>
      </c>
      <c r="B92" s="20" t="s">
        <v>495</v>
      </c>
      <c r="C92" s="20" t="s">
        <v>763</v>
      </c>
      <c r="D92" s="138">
        <v>2970000</v>
      </c>
      <c r="E92" s="20" t="s">
        <v>379</v>
      </c>
      <c r="F92" s="20" t="s">
        <v>380</v>
      </c>
      <c r="G92" s="8" t="str">
        <f t="shared" si="1"/>
        <v>GUZMAN DANNY</v>
      </c>
    </row>
    <row r="93" spans="1:7" x14ac:dyDescent="0.25">
      <c r="A93" s="8">
        <v>42918.442777777775</v>
      </c>
      <c r="B93" s="20" t="s">
        <v>632</v>
      </c>
      <c r="C93" s="20" t="s">
        <v>764</v>
      </c>
      <c r="D93" s="138">
        <v>2600000</v>
      </c>
      <c r="E93" s="20" t="s">
        <v>720</v>
      </c>
      <c r="F93" s="20" t="s">
        <v>721</v>
      </c>
      <c r="G93" s="8" t="str">
        <f t="shared" si="1"/>
        <v>DAVIDSON DAVID</v>
      </c>
    </row>
    <row r="94" spans="1:7" x14ac:dyDescent="0.25">
      <c r="A94" s="8">
        <v>42918.44290509259</v>
      </c>
      <c r="B94" s="20" t="s">
        <v>440</v>
      </c>
      <c r="C94" s="20" t="s">
        <v>765</v>
      </c>
      <c r="D94" s="138">
        <v>2530000</v>
      </c>
      <c r="E94" s="20" t="s">
        <v>707</v>
      </c>
      <c r="F94" s="20" t="s">
        <v>708</v>
      </c>
      <c r="G94" s="8" t="str">
        <f t="shared" si="1"/>
        <v>LALONDE GREGORY</v>
      </c>
    </row>
    <row r="95" spans="1:7" x14ac:dyDescent="0.25">
      <c r="A95" s="8">
        <v>42918.444733796299</v>
      </c>
      <c r="B95" s="20" t="s">
        <v>568</v>
      </c>
      <c r="C95" s="20" t="s">
        <v>642</v>
      </c>
      <c r="D95" s="138">
        <v>1100000</v>
      </c>
      <c r="E95" s="20" t="s">
        <v>571</v>
      </c>
      <c r="F95" s="20" t="s">
        <v>572</v>
      </c>
      <c r="G95" s="8" t="str">
        <f t="shared" si="1"/>
        <v>GEBRETEKLE DAGNEW</v>
      </c>
    </row>
    <row r="96" spans="1:7" x14ac:dyDescent="0.25">
      <c r="A96" s="8">
        <v>42918.44908564815</v>
      </c>
      <c r="B96" s="20" t="s">
        <v>398</v>
      </c>
      <c r="C96" s="20" t="s">
        <v>766</v>
      </c>
      <c r="D96" s="138">
        <v>2470000</v>
      </c>
      <c r="E96" s="20" t="s">
        <v>467</v>
      </c>
      <c r="F96" s="20" t="s">
        <v>468</v>
      </c>
      <c r="G96" s="8" t="str">
        <f t="shared" si="1"/>
        <v>ROMERO CHAD</v>
      </c>
    </row>
    <row r="97" spans="1:7" x14ac:dyDescent="0.25">
      <c r="A97" s="8">
        <v>42918.458784722221</v>
      </c>
      <c r="B97" s="20" t="s">
        <v>659</v>
      </c>
      <c r="C97" s="20" t="s">
        <v>767</v>
      </c>
      <c r="D97" s="138">
        <v>2600000</v>
      </c>
      <c r="E97" s="20" t="s">
        <v>720</v>
      </c>
      <c r="F97" s="20" t="s">
        <v>721</v>
      </c>
      <c r="G97" s="8" t="str">
        <f t="shared" si="1"/>
        <v>DAVIDSON DAVID</v>
      </c>
    </row>
    <row r="98" spans="1:7" x14ac:dyDescent="0.25">
      <c r="A98" s="8">
        <v>42918.458865740744</v>
      </c>
      <c r="B98" s="20" t="s">
        <v>341</v>
      </c>
      <c r="C98" s="20" t="s">
        <v>768</v>
      </c>
      <c r="D98" s="138">
        <v>2560000</v>
      </c>
      <c r="E98" s="20" t="s">
        <v>498</v>
      </c>
      <c r="F98" s="20" t="s">
        <v>366</v>
      </c>
      <c r="G98" s="8" t="str">
        <f t="shared" si="1"/>
        <v>MACDONALD THOMAS</v>
      </c>
    </row>
    <row r="99" spans="1:7" x14ac:dyDescent="0.25">
      <c r="A99" s="8">
        <v>42918.460358796299</v>
      </c>
      <c r="B99" s="20" t="s">
        <v>643</v>
      </c>
      <c r="C99" s="20" t="s">
        <v>644</v>
      </c>
      <c r="D99" s="138">
        <v>3010000</v>
      </c>
      <c r="E99" s="20" t="s">
        <v>392</v>
      </c>
      <c r="F99" s="20" t="s">
        <v>393</v>
      </c>
      <c r="G99" s="8" t="str">
        <f t="shared" si="1"/>
        <v>SULLIVAN BRANDON</v>
      </c>
    </row>
    <row r="100" spans="1:7" x14ac:dyDescent="0.25">
      <c r="A100" s="8">
        <v>42918.466979166667</v>
      </c>
      <c r="B100" s="20" t="s">
        <v>494</v>
      </c>
      <c r="C100" s="20" t="s">
        <v>769</v>
      </c>
      <c r="D100" s="138">
        <v>2970000</v>
      </c>
      <c r="E100" s="20" t="s">
        <v>379</v>
      </c>
      <c r="F100" s="20" t="s">
        <v>380</v>
      </c>
      <c r="G100" s="8" t="str">
        <f t="shared" si="1"/>
        <v>GUZMAN DANNY</v>
      </c>
    </row>
    <row r="101" spans="1:7" x14ac:dyDescent="0.25">
      <c r="A101" s="8">
        <v>42918.469444444447</v>
      </c>
      <c r="B101" s="20" t="s">
        <v>421</v>
      </c>
      <c r="C101" s="20" t="s">
        <v>770</v>
      </c>
      <c r="D101" s="138">
        <v>920000</v>
      </c>
      <c r="E101" s="20" t="s">
        <v>411</v>
      </c>
      <c r="F101" s="20" t="s">
        <v>192</v>
      </c>
      <c r="G101" s="8" t="str">
        <f t="shared" si="1"/>
        <v>DAVIS MICHAEL</v>
      </c>
    </row>
    <row r="102" spans="1:7" x14ac:dyDescent="0.25">
      <c r="A102" s="8">
        <v>42918.478101851855</v>
      </c>
      <c r="B102" s="20" t="s">
        <v>439</v>
      </c>
      <c r="C102" s="20" t="s">
        <v>646</v>
      </c>
      <c r="D102" s="138">
        <v>2360000</v>
      </c>
      <c r="E102" s="20" t="s">
        <v>771</v>
      </c>
      <c r="F102" s="20" t="s">
        <v>772</v>
      </c>
      <c r="G102" s="8" t="str">
        <f t="shared" si="1"/>
        <v>BRANDNER MELINDA</v>
      </c>
    </row>
    <row r="103" spans="1:7" x14ac:dyDescent="0.25">
      <c r="A103" s="8">
        <v>42918.480706018519</v>
      </c>
      <c r="B103" s="20" t="s">
        <v>635</v>
      </c>
      <c r="C103" s="20" t="s">
        <v>647</v>
      </c>
      <c r="D103" s="138">
        <v>2470000</v>
      </c>
      <c r="E103" s="20" t="s">
        <v>467</v>
      </c>
      <c r="F103" s="20" t="s">
        <v>468</v>
      </c>
      <c r="G103" s="8" t="str">
        <f t="shared" si="1"/>
        <v>ROMERO CHAD</v>
      </c>
    </row>
    <row r="104" spans="1:7" x14ac:dyDescent="0.25">
      <c r="A104" s="8">
        <v>42918.484050925923</v>
      </c>
      <c r="B104" s="20" t="s">
        <v>632</v>
      </c>
      <c r="C104" s="20" t="s">
        <v>773</v>
      </c>
      <c r="D104" s="138">
        <v>2600000</v>
      </c>
      <c r="E104" s="20" t="s">
        <v>720</v>
      </c>
      <c r="F104" s="20" t="s">
        <v>721</v>
      </c>
      <c r="G104" s="8" t="str">
        <f t="shared" si="1"/>
        <v>DAVIDSON DAVID</v>
      </c>
    </row>
    <row r="105" spans="1:7" x14ac:dyDescent="0.25">
      <c r="A105" s="8">
        <v>42918.488009259258</v>
      </c>
      <c r="B105" s="20" t="s">
        <v>570</v>
      </c>
      <c r="C105" s="20" t="s">
        <v>774</v>
      </c>
      <c r="D105" s="138">
        <v>1770000</v>
      </c>
      <c r="E105" s="20" t="s">
        <v>499</v>
      </c>
      <c r="F105" s="20" t="s">
        <v>500</v>
      </c>
      <c r="G105" s="8" t="str">
        <f t="shared" si="1"/>
        <v>BRUDER RICHARD</v>
      </c>
    </row>
    <row r="106" spans="1:7" x14ac:dyDescent="0.25">
      <c r="A106" s="8">
        <v>42918.492465277777</v>
      </c>
      <c r="B106" s="20" t="s">
        <v>566</v>
      </c>
      <c r="C106" s="20" t="s">
        <v>645</v>
      </c>
      <c r="D106" s="138">
        <v>2270000</v>
      </c>
      <c r="E106" s="20" t="s">
        <v>775</v>
      </c>
      <c r="F106" s="20" t="s">
        <v>776</v>
      </c>
      <c r="G106" s="8" t="str">
        <f t="shared" si="1"/>
        <v>BROWN JACOB</v>
      </c>
    </row>
    <row r="107" spans="1:7" x14ac:dyDescent="0.25">
      <c r="A107" s="8">
        <v>42918.496840277781</v>
      </c>
      <c r="B107" s="20" t="s">
        <v>365</v>
      </c>
      <c r="C107" s="20" t="s">
        <v>648</v>
      </c>
      <c r="D107" s="138">
        <v>2560000</v>
      </c>
      <c r="E107" s="20" t="s">
        <v>498</v>
      </c>
      <c r="F107" s="20" t="s">
        <v>366</v>
      </c>
      <c r="G107" s="8" t="str">
        <f t="shared" si="1"/>
        <v>MACDONALD THOMAS</v>
      </c>
    </row>
    <row r="108" spans="1:7" x14ac:dyDescent="0.25">
      <c r="A108" s="8">
        <v>42918.49832175926</v>
      </c>
      <c r="B108" s="20" t="s">
        <v>566</v>
      </c>
      <c r="C108" s="20" t="s">
        <v>645</v>
      </c>
      <c r="D108" s="138">
        <v>2270000</v>
      </c>
      <c r="E108" s="20" t="s">
        <v>775</v>
      </c>
      <c r="F108" s="20" t="s">
        <v>776</v>
      </c>
      <c r="G108" s="8" t="str">
        <f t="shared" si="1"/>
        <v>BROWN JACOB</v>
      </c>
    </row>
    <row r="109" spans="1:7" x14ac:dyDescent="0.25">
      <c r="A109" s="8">
        <v>42918.498680555553</v>
      </c>
      <c r="B109" s="20" t="s">
        <v>357</v>
      </c>
      <c r="C109" s="20" t="s">
        <v>777</v>
      </c>
      <c r="D109" s="138">
        <v>3010000</v>
      </c>
      <c r="E109" s="20" t="s">
        <v>392</v>
      </c>
      <c r="F109" s="20" t="s">
        <v>393</v>
      </c>
      <c r="G109" s="8" t="str">
        <f t="shared" si="1"/>
        <v>SULLIVAN BRANDON</v>
      </c>
    </row>
    <row r="110" spans="1:7" x14ac:dyDescent="0.25">
      <c r="A110" s="8">
        <v>42918.4999537037</v>
      </c>
      <c r="B110" s="20" t="s">
        <v>659</v>
      </c>
      <c r="C110" s="20" t="s">
        <v>778</v>
      </c>
      <c r="D110" s="138">
        <v>2600000</v>
      </c>
      <c r="E110" s="20" t="s">
        <v>720</v>
      </c>
      <c r="F110" s="20" t="s">
        <v>721</v>
      </c>
      <c r="G110" s="8" t="str">
        <f t="shared" si="1"/>
        <v>DAVIDSON DAVID</v>
      </c>
    </row>
    <row r="111" spans="1:7" x14ac:dyDescent="0.25">
      <c r="A111" s="8">
        <v>42918.501828703702</v>
      </c>
      <c r="B111" s="20" t="s">
        <v>565</v>
      </c>
      <c r="C111" s="20" t="s">
        <v>645</v>
      </c>
      <c r="D111" s="138">
        <v>2270000</v>
      </c>
      <c r="E111" s="20" t="s">
        <v>775</v>
      </c>
      <c r="F111" s="20" t="s">
        <v>776</v>
      </c>
      <c r="G111" s="8" t="str">
        <f t="shared" si="1"/>
        <v>BROWN JACOB</v>
      </c>
    </row>
    <row r="112" spans="1:7" x14ac:dyDescent="0.25">
      <c r="A112" s="8">
        <v>42918.506076388891</v>
      </c>
      <c r="B112" s="20" t="s">
        <v>417</v>
      </c>
      <c r="C112" s="20" t="s">
        <v>649</v>
      </c>
      <c r="D112" s="138">
        <v>920000</v>
      </c>
      <c r="E112" s="20" t="s">
        <v>411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42918.506435185183</v>
      </c>
      <c r="B113" s="20" t="s">
        <v>566</v>
      </c>
      <c r="C113" s="20" t="s">
        <v>779</v>
      </c>
      <c r="D113" s="138">
        <v>2370000</v>
      </c>
      <c r="E113" s="20" t="s">
        <v>573</v>
      </c>
      <c r="F113" s="20" t="s">
        <v>574</v>
      </c>
      <c r="G113" s="8" t="str">
        <f t="shared" si="1"/>
        <v>DELGADO DIANAH</v>
      </c>
    </row>
    <row r="114" spans="1:7" x14ac:dyDescent="0.25">
      <c r="A114" s="8">
        <v>42918.518321759257</v>
      </c>
      <c r="B114" s="20" t="s">
        <v>398</v>
      </c>
      <c r="C114" s="20" t="s">
        <v>780</v>
      </c>
      <c r="D114" s="138">
        <v>2470000</v>
      </c>
      <c r="E114" s="20" t="s">
        <v>467</v>
      </c>
      <c r="F114" s="20" t="s">
        <v>468</v>
      </c>
      <c r="G114" s="8" t="str">
        <f t="shared" si="1"/>
        <v>ROMERO CHAD</v>
      </c>
    </row>
    <row r="115" spans="1:7" x14ac:dyDescent="0.25">
      <c r="A115" s="8">
        <v>42918.518576388888</v>
      </c>
      <c r="B115" s="20" t="s">
        <v>440</v>
      </c>
      <c r="C115" s="20" t="s">
        <v>781</v>
      </c>
      <c r="D115" s="138">
        <v>2360000</v>
      </c>
      <c r="E115" s="20" t="s">
        <v>771</v>
      </c>
      <c r="F115" s="20" t="s">
        <v>772</v>
      </c>
      <c r="G115" s="8" t="str">
        <f t="shared" si="1"/>
        <v>BRANDNER MELINDA</v>
      </c>
    </row>
    <row r="116" spans="1:7" x14ac:dyDescent="0.25">
      <c r="A116" s="8">
        <v>42918.525636574072</v>
      </c>
      <c r="B116" s="20" t="s">
        <v>568</v>
      </c>
      <c r="C116" s="20" t="s">
        <v>782</v>
      </c>
      <c r="D116" s="138">
        <v>1770000</v>
      </c>
      <c r="E116" s="20" t="s">
        <v>499</v>
      </c>
      <c r="F116" s="20" t="s">
        <v>500</v>
      </c>
      <c r="G116" s="8" t="str">
        <f t="shared" si="1"/>
        <v>BRUDER RICHARD</v>
      </c>
    </row>
    <row r="117" spans="1:7" x14ac:dyDescent="0.25">
      <c r="A117" s="8">
        <v>42918.526342592595</v>
      </c>
      <c r="B117" s="20" t="s">
        <v>632</v>
      </c>
      <c r="C117" s="20" t="s">
        <v>783</v>
      </c>
      <c r="D117" s="138">
        <v>2600000</v>
      </c>
      <c r="E117" s="20" t="s">
        <v>720</v>
      </c>
      <c r="F117" s="20" t="s">
        <v>721</v>
      </c>
      <c r="G117" s="8" t="str">
        <f t="shared" si="1"/>
        <v>DAVIDSON DAVID</v>
      </c>
    </row>
    <row r="118" spans="1:7" x14ac:dyDescent="0.25">
      <c r="A118" s="8">
        <v>42918.529780092591</v>
      </c>
      <c r="B118" s="20" t="s">
        <v>341</v>
      </c>
      <c r="C118" s="20" t="s">
        <v>650</v>
      </c>
      <c r="D118" s="138">
        <v>2450000</v>
      </c>
      <c r="E118" s="20" t="s">
        <v>784</v>
      </c>
      <c r="F118" s="20" t="s">
        <v>785</v>
      </c>
      <c r="G118" s="8" t="str">
        <f t="shared" si="1"/>
        <v>NELSON ARIANE</v>
      </c>
    </row>
    <row r="119" spans="1:7" x14ac:dyDescent="0.25">
      <c r="A119" s="8">
        <v>42918.534212962964</v>
      </c>
      <c r="B119" s="20" t="s">
        <v>643</v>
      </c>
      <c r="C119" s="20" t="s">
        <v>652</v>
      </c>
      <c r="D119" s="138">
        <v>3010000</v>
      </c>
      <c r="E119" s="20" t="s">
        <v>392</v>
      </c>
      <c r="F119" s="20" t="s">
        <v>393</v>
      </c>
      <c r="G119" s="8" t="str">
        <f t="shared" si="1"/>
        <v>SULLIVAN BRANDON</v>
      </c>
    </row>
    <row r="120" spans="1:7" x14ac:dyDescent="0.25">
      <c r="A120" s="8">
        <v>42918.541805555556</v>
      </c>
      <c r="B120" s="20" t="s">
        <v>659</v>
      </c>
      <c r="C120" s="20" t="s">
        <v>786</v>
      </c>
      <c r="D120" s="138">
        <v>2600000</v>
      </c>
      <c r="E120" s="20" t="s">
        <v>720</v>
      </c>
      <c r="F120" s="20" t="s">
        <v>721</v>
      </c>
      <c r="G120" s="8" t="str">
        <f t="shared" si="1"/>
        <v>DAVIDSON DAVID</v>
      </c>
    </row>
    <row r="121" spans="1:7" x14ac:dyDescent="0.25">
      <c r="A121" s="8">
        <v>42918.542268518519</v>
      </c>
      <c r="B121" s="20" t="s">
        <v>421</v>
      </c>
      <c r="C121" s="20" t="s">
        <v>651</v>
      </c>
      <c r="D121" s="138">
        <v>920000</v>
      </c>
      <c r="E121" s="20" t="s">
        <v>411</v>
      </c>
      <c r="F121" s="20" t="s">
        <v>192</v>
      </c>
      <c r="G121" s="8" t="str">
        <f t="shared" si="1"/>
        <v>DAVIS MICHAEL</v>
      </c>
    </row>
    <row r="122" spans="1:7" x14ac:dyDescent="0.25">
      <c r="A122" s="8">
        <v>42918.545891203707</v>
      </c>
      <c r="B122" s="25" t="s">
        <v>565</v>
      </c>
      <c r="C122" s="20" t="s">
        <v>787</v>
      </c>
      <c r="D122" s="138">
        <v>2370000</v>
      </c>
      <c r="E122" s="20" t="s">
        <v>573</v>
      </c>
      <c r="F122" s="20" t="s">
        <v>574</v>
      </c>
      <c r="G122" s="8" t="str">
        <f t="shared" si="1"/>
        <v>DELGADO DIANAH</v>
      </c>
    </row>
    <row r="123" spans="1:7" x14ac:dyDescent="0.25">
      <c r="A123" s="8">
        <v>42918.552557870367</v>
      </c>
      <c r="B123" s="20" t="s">
        <v>439</v>
      </c>
      <c r="C123" s="20" t="s">
        <v>654</v>
      </c>
      <c r="D123" s="138">
        <v>2360000</v>
      </c>
      <c r="E123" s="20" t="s">
        <v>771</v>
      </c>
      <c r="F123" s="20" t="s">
        <v>772</v>
      </c>
      <c r="G123" s="8" t="str">
        <f t="shared" si="1"/>
        <v>BRANDNER MELINDA</v>
      </c>
    </row>
    <row r="124" spans="1:7" x14ac:dyDescent="0.25">
      <c r="A124" s="8">
        <v>42918.558275462965</v>
      </c>
      <c r="B124" s="20" t="s">
        <v>635</v>
      </c>
      <c r="C124" s="20" t="s">
        <v>788</v>
      </c>
      <c r="D124" s="138">
        <v>2470000</v>
      </c>
      <c r="E124" s="20" t="s">
        <v>467</v>
      </c>
      <c r="F124" s="20" t="s">
        <v>468</v>
      </c>
      <c r="G124" s="8" t="str">
        <f t="shared" si="1"/>
        <v>ROMERO CHAD</v>
      </c>
    </row>
    <row r="125" spans="1:7" x14ac:dyDescent="0.25">
      <c r="A125" s="8">
        <v>42918.560057870367</v>
      </c>
      <c r="B125" s="20" t="s">
        <v>439</v>
      </c>
      <c r="C125" s="20" t="s">
        <v>654</v>
      </c>
      <c r="D125" s="138">
        <v>2360000</v>
      </c>
      <c r="E125" s="20" t="s">
        <v>771</v>
      </c>
      <c r="F125" s="20" t="s">
        <v>772</v>
      </c>
      <c r="G125" s="8" t="str">
        <f t="shared" si="1"/>
        <v>BRANDNER MELINDA</v>
      </c>
    </row>
    <row r="126" spans="1:7" x14ac:dyDescent="0.25">
      <c r="A126" s="8">
        <v>42918.560578703706</v>
      </c>
      <c r="B126" s="20" t="s">
        <v>570</v>
      </c>
      <c r="C126" s="20" t="s">
        <v>789</v>
      </c>
      <c r="D126" s="138">
        <v>1770000</v>
      </c>
      <c r="E126" s="20" t="s">
        <v>499</v>
      </c>
      <c r="F126" s="20" t="s">
        <v>500</v>
      </c>
      <c r="G126" s="8" t="str">
        <f t="shared" si="1"/>
        <v>BRUDER RICHARD</v>
      </c>
    </row>
    <row r="127" spans="1:7" x14ac:dyDescent="0.25">
      <c r="A127" s="8">
        <v>42918.567858796298</v>
      </c>
      <c r="B127" s="20" t="s">
        <v>632</v>
      </c>
      <c r="C127" s="20" t="s">
        <v>653</v>
      </c>
      <c r="D127" s="138">
        <v>2600000</v>
      </c>
      <c r="E127" s="20" t="s">
        <v>720</v>
      </c>
      <c r="F127" s="20" t="s">
        <v>721</v>
      </c>
      <c r="G127" s="8" t="str">
        <f t="shared" si="1"/>
        <v>DAVIDSON DAVID</v>
      </c>
    </row>
    <row r="128" spans="1:7" x14ac:dyDescent="0.25">
      <c r="A128" s="8">
        <v>42918.569386574076</v>
      </c>
      <c r="B128" s="20" t="s">
        <v>365</v>
      </c>
      <c r="C128" s="20" t="s">
        <v>790</v>
      </c>
      <c r="D128" s="138">
        <v>2450000</v>
      </c>
      <c r="E128" s="20" t="s">
        <v>784</v>
      </c>
      <c r="F128" s="20" t="s">
        <v>785</v>
      </c>
      <c r="G128" s="8" t="str">
        <f t="shared" si="1"/>
        <v>NELSON ARIANE</v>
      </c>
    </row>
    <row r="129" spans="1:7" x14ac:dyDescent="0.25">
      <c r="A129" s="8">
        <v>42918.572592592594</v>
      </c>
      <c r="B129" s="20" t="s">
        <v>357</v>
      </c>
      <c r="C129" s="20" t="s">
        <v>791</v>
      </c>
      <c r="D129" s="138">
        <v>3010000</v>
      </c>
      <c r="E129" s="20" t="s">
        <v>392</v>
      </c>
      <c r="F129" s="20" t="s">
        <v>393</v>
      </c>
      <c r="G129" s="8" t="str">
        <f t="shared" si="1"/>
        <v>SULLIVAN BRANDON</v>
      </c>
    </row>
    <row r="130" spans="1:7" x14ac:dyDescent="0.25">
      <c r="A130" s="8">
        <v>42918.578877314816</v>
      </c>
      <c r="B130" s="20" t="s">
        <v>417</v>
      </c>
      <c r="C130" s="20" t="s">
        <v>656</v>
      </c>
      <c r="D130" s="138">
        <v>920000</v>
      </c>
      <c r="E130" s="20" t="s">
        <v>411</v>
      </c>
      <c r="F130" s="20" t="s">
        <v>192</v>
      </c>
      <c r="G130" s="8" t="str">
        <f t="shared" si="1"/>
        <v>DAVIS MICHAEL</v>
      </c>
    </row>
    <row r="131" spans="1:7" x14ac:dyDescent="0.25">
      <c r="A131" s="8">
        <v>42918.580266203702</v>
      </c>
      <c r="B131" s="20" t="s">
        <v>566</v>
      </c>
      <c r="C131" s="20" t="s">
        <v>655</v>
      </c>
      <c r="D131" s="138">
        <v>2370000</v>
      </c>
      <c r="E131" s="20" t="s">
        <v>573</v>
      </c>
      <c r="F131" s="20" t="s">
        <v>574</v>
      </c>
      <c r="G131" s="8" t="str">
        <f t="shared" ref="G131:G194" si="2">E131&amp;" "&amp;F131</f>
        <v>DELGADO DIANAH</v>
      </c>
    </row>
    <row r="132" spans="1:7" x14ac:dyDescent="0.25">
      <c r="A132" s="8">
        <v>42918.589097222219</v>
      </c>
      <c r="B132" s="20" t="s">
        <v>566</v>
      </c>
      <c r="C132" s="20" t="s">
        <v>655</v>
      </c>
      <c r="D132" s="138">
        <v>2370000</v>
      </c>
      <c r="E132" s="20" t="s">
        <v>573</v>
      </c>
      <c r="F132" s="20" t="s">
        <v>574</v>
      </c>
      <c r="G132" s="8" t="str">
        <f t="shared" si="2"/>
        <v>DELGADO DIANAH</v>
      </c>
    </row>
    <row r="133" spans="1:7" x14ac:dyDescent="0.25">
      <c r="A133" s="8">
        <v>42918.589259259257</v>
      </c>
      <c r="B133" s="20" t="s">
        <v>398</v>
      </c>
      <c r="C133" s="20" t="s">
        <v>792</v>
      </c>
      <c r="D133" s="138">
        <v>2470000</v>
      </c>
      <c r="E133" s="20" t="s">
        <v>467</v>
      </c>
      <c r="F133" s="20" t="s">
        <v>468</v>
      </c>
      <c r="G133" s="8" t="str">
        <f t="shared" si="2"/>
        <v>ROMERO CHAD</v>
      </c>
    </row>
    <row r="134" spans="1:7" x14ac:dyDescent="0.25">
      <c r="A134" s="8">
        <v>42918.58965277778</v>
      </c>
      <c r="B134" s="20" t="s">
        <v>440</v>
      </c>
      <c r="C134" s="20" t="s">
        <v>657</v>
      </c>
      <c r="D134" s="138">
        <v>2360000</v>
      </c>
      <c r="E134" s="20" t="s">
        <v>771</v>
      </c>
      <c r="F134" s="20" t="s">
        <v>772</v>
      </c>
      <c r="G134" s="8" t="str">
        <f t="shared" si="2"/>
        <v>BRANDNER MELINDA</v>
      </c>
    </row>
    <row r="135" spans="1:7" x14ac:dyDescent="0.25">
      <c r="A135" s="8">
        <v>42918.597453703704</v>
      </c>
      <c r="B135" s="20" t="s">
        <v>568</v>
      </c>
      <c r="C135" s="20" t="s">
        <v>793</v>
      </c>
      <c r="D135" s="138">
        <v>1770000</v>
      </c>
      <c r="E135" s="20" t="s">
        <v>499</v>
      </c>
      <c r="F135" s="20" t="s">
        <v>500</v>
      </c>
      <c r="G135" s="8" t="str">
        <f t="shared" si="2"/>
        <v>BRUDER RICHARD</v>
      </c>
    </row>
    <row r="136" spans="1:7" x14ac:dyDescent="0.25">
      <c r="A136" s="8">
        <v>42918.598090277781</v>
      </c>
      <c r="B136" s="20" t="s">
        <v>659</v>
      </c>
      <c r="C136" s="20" t="s">
        <v>794</v>
      </c>
      <c r="D136" s="138">
        <v>2610000</v>
      </c>
      <c r="E136" s="20" t="s">
        <v>414</v>
      </c>
      <c r="F136" s="20" t="s">
        <v>415</v>
      </c>
      <c r="G136" s="8" t="str">
        <f t="shared" si="2"/>
        <v>MAGEE KENYA</v>
      </c>
    </row>
    <row r="137" spans="1:7" x14ac:dyDescent="0.25">
      <c r="A137" s="8">
        <v>42918.604085648149</v>
      </c>
      <c r="B137" s="20" t="s">
        <v>341</v>
      </c>
      <c r="C137" s="20" t="s">
        <v>658</v>
      </c>
      <c r="D137" s="138">
        <v>2450000</v>
      </c>
      <c r="E137" s="20" t="s">
        <v>784</v>
      </c>
      <c r="F137" s="20" t="s">
        <v>785</v>
      </c>
      <c r="G137" s="8" t="str">
        <f t="shared" si="2"/>
        <v>NELSON ARIANE</v>
      </c>
    </row>
    <row r="138" spans="1:7" x14ac:dyDescent="0.25">
      <c r="A138" s="8">
        <v>42918.60665509259</v>
      </c>
      <c r="B138" s="20" t="s">
        <v>643</v>
      </c>
      <c r="C138" s="20" t="s">
        <v>795</v>
      </c>
      <c r="D138" s="138">
        <v>3010000</v>
      </c>
      <c r="E138" s="20" t="s">
        <v>392</v>
      </c>
      <c r="F138" s="20" t="s">
        <v>393</v>
      </c>
      <c r="G138" s="8" t="str">
        <f t="shared" si="2"/>
        <v>SULLIVAN BRANDON</v>
      </c>
    </row>
    <row r="139" spans="1:7" x14ac:dyDescent="0.25">
      <c r="A139" s="8">
        <v>42918.610381944447</v>
      </c>
      <c r="B139" s="20" t="s">
        <v>632</v>
      </c>
      <c r="C139" s="20" t="s">
        <v>796</v>
      </c>
      <c r="D139" s="138">
        <v>2610000</v>
      </c>
      <c r="E139" s="20" t="s">
        <v>414</v>
      </c>
      <c r="F139" s="20" t="s">
        <v>415</v>
      </c>
      <c r="G139" s="8" t="str">
        <f t="shared" si="2"/>
        <v>MAGEE KENYA</v>
      </c>
    </row>
    <row r="140" spans="1:7" x14ac:dyDescent="0.25">
      <c r="A140" s="8">
        <v>42918.614293981482</v>
      </c>
      <c r="B140" s="20" t="s">
        <v>421</v>
      </c>
      <c r="C140" s="20" t="s">
        <v>797</v>
      </c>
      <c r="D140" s="138">
        <v>920000</v>
      </c>
      <c r="E140" s="20" t="s">
        <v>411</v>
      </c>
      <c r="F140" s="20" t="s">
        <v>192</v>
      </c>
      <c r="G140" s="8" t="str">
        <f t="shared" si="2"/>
        <v>DAVIS MICHAEL</v>
      </c>
    </row>
    <row r="141" spans="1:7" x14ac:dyDescent="0.25">
      <c r="A141" s="8">
        <v>42918.616319444445</v>
      </c>
      <c r="B141" s="20" t="s">
        <v>565</v>
      </c>
      <c r="C141" s="20" t="s">
        <v>798</v>
      </c>
      <c r="D141" s="138">
        <v>2370000</v>
      </c>
      <c r="E141" s="20" t="s">
        <v>573</v>
      </c>
      <c r="F141" s="20" t="s">
        <v>574</v>
      </c>
      <c r="G141" s="8" t="str">
        <f t="shared" si="2"/>
        <v>DELGADO DIANAH</v>
      </c>
    </row>
    <row r="142" spans="1:7" x14ac:dyDescent="0.25">
      <c r="A142" s="8">
        <v>42918.621631944443</v>
      </c>
      <c r="B142" s="20" t="s">
        <v>635</v>
      </c>
      <c r="C142" s="20" t="s">
        <v>799</v>
      </c>
      <c r="D142" s="138">
        <v>2470000</v>
      </c>
      <c r="E142" s="20" t="s">
        <v>467</v>
      </c>
      <c r="F142" s="20" t="s">
        <v>468</v>
      </c>
      <c r="G142" s="8" t="str">
        <f t="shared" si="2"/>
        <v>ROMERO CHAD</v>
      </c>
    </row>
    <row r="143" spans="1:7" x14ac:dyDescent="0.25">
      <c r="A143" s="8">
        <v>42918.624884259261</v>
      </c>
      <c r="B143" s="20" t="s">
        <v>439</v>
      </c>
      <c r="C143" s="20" t="s">
        <v>800</v>
      </c>
      <c r="D143" s="138">
        <v>2360000</v>
      </c>
      <c r="E143" s="20" t="s">
        <v>771</v>
      </c>
      <c r="F143" s="20" t="s">
        <v>772</v>
      </c>
      <c r="G143" s="8" t="str">
        <f t="shared" si="2"/>
        <v>BRANDNER MELINDA</v>
      </c>
    </row>
    <row r="144" spans="1:7" x14ac:dyDescent="0.25">
      <c r="A144" s="8">
        <v>42918.634189814817</v>
      </c>
      <c r="B144" s="20" t="s">
        <v>570</v>
      </c>
      <c r="C144" s="20" t="s">
        <v>801</v>
      </c>
      <c r="D144" s="138">
        <v>1770000</v>
      </c>
      <c r="E144" s="20" t="s">
        <v>499</v>
      </c>
      <c r="F144" s="20" t="s">
        <v>500</v>
      </c>
      <c r="G144" s="8" t="str">
        <f t="shared" si="2"/>
        <v>BRUDER RICHARD</v>
      </c>
    </row>
    <row r="145" spans="1:7" x14ac:dyDescent="0.25">
      <c r="A145" s="8">
        <v>42918.638865740744</v>
      </c>
      <c r="B145" s="20" t="s">
        <v>659</v>
      </c>
      <c r="C145" s="20" t="s">
        <v>660</v>
      </c>
      <c r="D145" s="138">
        <v>2610000</v>
      </c>
      <c r="E145" s="20" t="s">
        <v>414</v>
      </c>
      <c r="F145" s="20" t="s">
        <v>415</v>
      </c>
      <c r="G145" s="8" t="str">
        <f t="shared" si="2"/>
        <v>MAGEE KENYA</v>
      </c>
    </row>
    <row r="146" spans="1:7" x14ac:dyDescent="0.25">
      <c r="A146" s="8">
        <v>42918.641747685186</v>
      </c>
      <c r="B146" s="20" t="s">
        <v>365</v>
      </c>
      <c r="C146" s="20" t="s">
        <v>802</v>
      </c>
      <c r="D146" s="138">
        <v>2450000</v>
      </c>
      <c r="E146" s="20" t="s">
        <v>784</v>
      </c>
      <c r="F146" s="20" t="s">
        <v>785</v>
      </c>
      <c r="G146" s="8" t="str">
        <f t="shared" si="2"/>
        <v>NELSON ARIANE</v>
      </c>
    </row>
    <row r="147" spans="1:7" x14ac:dyDescent="0.25">
      <c r="A147" s="8">
        <v>42918.642881944441</v>
      </c>
      <c r="B147" s="20" t="s">
        <v>357</v>
      </c>
      <c r="C147" s="20" t="s">
        <v>803</v>
      </c>
      <c r="D147" s="138">
        <v>3010000</v>
      </c>
      <c r="E147" s="20" t="s">
        <v>392</v>
      </c>
      <c r="F147" s="20" t="s">
        <v>393</v>
      </c>
      <c r="G147" s="8" t="str">
        <f t="shared" si="2"/>
        <v>SULLIVAN BRANDON</v>
      </c>
    </row>
    <row r="148" spans="1:7" x14ac:dyDescent="0.25">
      <c r="A148" s="8">
        <v>42918.650891203702</v>
      </c>
      <c r="B148" s="20" t="s">
        <v>632</v>
      </c>
      <c r="C148" s="20" t="s">
        <v>661</v>
      </c>
      <c r="D148" s="138">
        <v>2610000</v>
      </c>
      <c r="E148" s="20" t="s">
        <v>414</v>
      </c>
      <c r="F148" s="20" t="s">
        <v>415</v>
      </c>
      <c r="G148" s="8" t="str">
        <f t="shared" si="2"/>
        <v>MAGEE KENYA</v>
      </c>
    </row>
    <row r="149" spans="1:7" x14ac:dyDescent="0.25">
      <c r="A149" s="8">
        <v>42918.653379629628</v>
      </c>
      <c r="B149" s="20" t="s">
        <v>417</v>
      </c>
      <c r="C149" s="20" t="s">
        <v>663</v>
      </c>
      <c r="D149" s="138">
        <v>920000</v>
      </c>
      <c r="E149" s="20" t="s">
        <v>411</v>
      </c>
      <c r="F149" s="20" t="s">
        <v>192</v>
      </c>
      <c r="G149" s="8" t="str">
        <f t="shared" si="2"/>
        <v>DAVIS MICHAEL</v>
      </c>
    </row>
    <row r="150" spans="1:7" x14ac:dyDescent="0.25">
      <c r="A150" s="8">
        <v>42918.654097222221</v>
      </c>
      <c r="B150" s="20" t="s">
        <v>566</v>
      </c>
      <c r="C150" s="20" t="s">
        <v>664</v>
      </c>
      <c r="D150" s="138">
        <v>2370000</v>
      </c>
      <c r="E150" s="20" t="s">
        <v>573</v>
      </c>
      <c r="F150" s="20" t="s">
        <v>574</v>
      </c>
      <c r="G150" s="8" t="str">
        <f t="shared" si="2"/>
        <v>DELGADO DIANAH</v>
      </c>
    </row>
    <row r="151" spans="1:7" x14ac:dyDescent="0.25">
      <c r="A151" s="8">
        <v>42918.661099537036</v>
      </c>
      <c r="B151" s="20" t="s">
        <v>440</v>
      </c>
      <c r="C151" s="20" t="s">
        <v>665</v>
      </c>
      <c r="D151" s="138">
        <v>2360000</v>
      </c>
      <c r="E151" s="20" t="s">
        <v>771</v>
      </c>
      <c r="F151" s="20" t="s">
        <v>772</v>
      </c>
      <c r="G151" s="8" t="str">
        <f t="shared" si="2"/>
        <v>BRANDNER MELINDA</v>
      </c>
    </row>
    <row r="152" spans="1:7" x14ac:dyDescent="0.25">
      <c r="A152" s="8">
        <v>42918.663449074076</v>
      </c>
      <c r="B152" s="20" t="s">
        <v>398</v>
      </c>
      <c r="C152" s="20" t="s">
        <v>662</v>
      </c>
      <c r="D152" s="138">
        <v>2470000</v>
      </c>
      <c r="E152" s="20" t="s">
        <v>467</v>
      </c>
      <c r="F152" s="20" t="s">
        <v>468</v>
      </c>
      <c r="G152" s="8" t="str">
        <f t="shared" si="2"/>
        <v>ROMERO CHAD</v>
      </c>
    </row>
    <row r="153" spans="1:7" x14ac:dyDescent="0.25">
      <c r="A153" s="8">
        <v>42918.671770833331</v>
      </c>
      <c r="B153" s="20" t="s">
        <v>568</v>
      </c>
      <c r="C153" s="20" t="s">
        <v>804</v>
      </c>
      <c r="D153" s="138">
        <v>1770000</v>
      </c>
      <c r="E153" s="20" t="s">
        <v>499</v>
      </c>
      <c r="F153" s="20" t="s">
        <v>500</v>
      </c>
      <c r="G153" s="8" t="str">
        <f t="shared" si="2"/>
        <v>BRUDER RICHARD</v>
      </c>
    </row>
    <row r="154" spans="1:7" x14ac:dyDescent="0.25">
      <c r="A154" s="8">
        <v>42918.67696759259</v>
      </c>
      <c r="B154" s="20" t="s">
        <v>341</v>
      </c>
      <c r="C154" s="20" t="s">
        <v>805</v>
      </c>
      <c r="D154" s="138">
        <v>2450000</v>
      </c>
      <c r="E154" s="20" t="s">
        <v>784</v>
      </c>
      <c r="F154" s="20" t="s">
        <v>785</v>
      </c>
      <c r="G154" s="8" t="str">
        <f t="shared" si="2"/>
        <v>NELSON ARIANE</v>
      </c>
    </row>
    <row r="155" spans="1:7" x14ac:dyDescent="0.25">
      <c r="A155" s="8">
        <v>42918.678761574076</v>
      </c>
      <c r="B155" s="20" t="s">
        <v>659</v>
      </c>
      <c r="C155" s="20" t="s">
        <v>661</v>
      </c>
      <c r="D155" s="138">
        <v>2610000</v>
      </c>
      <c r="E155" s="20" t="s">
        <v>414</v>
      </c>
      <c r="F155" s="20" t="s">
        <v>415</v>
      </c>
      <c r="G155" s="8" t="str">
        <f t="shared" si="2"/>
        <v>MAGEE KENYA</v>
      </c>
    </row>
    <row r="156" spans="1:7" x14ac:dyDescent="0.25">
      <c r="A156" s="8">
        <v>42918.679791666669</v>
      </c>
      <c r="B156" s="20" t="s">
        <v>643</v>
      </c>
      <c r="C156" s="20" t="s">
        <v>806</v>
      </c>
      <c r="D156" s="138">
        <v>3010000</v>
      </c>
      <c r="E156" s="20" t="s">
        <v>392</v>
      </c>
      <c r="F156" s="20" t="s">
        <v>393</v>
      </c>
      <c r="G156" s="8" t="str">
        <f t="shared" si="2"/>
        <v>SULLIVAN BRANDON</v>
      </c>
    </row>
    <row r="157" spans="1:7" x14ac:dyDescent="0.25">
      <c r="A157" s="8">
        <v>42918.680011574077</v>
      </c>
      <c r="B157" s="20" t="s">
        <v>659</v>
      </c>
      <c r="C157" s="20" t="s">
        <v>807</v>
      </c>
      <c r="D157" s="138">
        <v>2610000</v>
      </c>
      <c r="E157" s="20" t="s">
        <v>414</v>
      </c>
      <c r="F157" s="20" t="s">
        <v>415</v>
      </c>
      <c r="G157" s="8" t="str">
        <f t="shared" si="2"/>
        <v>MAGEE KENYA</v>
      </c>
    </row>
    <row r="158" spans="1:7" x14ac:dyDescent="0.25">
      <c r="A158" s="8">
        <v>42918.687719907408</v>
      </c>
      <c r="B158" s="20" t="s">
        <v>421</v>
      </c>
      <c r="C158" s="20" t="s">
        <v>808</v>
      </c>
      <c r="D158" s="138">
        <v>920000</v>
      </c>
      <c r="E158" s="20" t="s">
        <v>411</v>
      </c>
      <c r="F158" s="20" t="s">
        <v>192</v>
      </c>
      <c r="G158" s="8" t="str">
        <f t="shared" si="2"/>
        <v>DAVIS MICHAEL</v>
      </c>
    </row>
    <row r="159" spans="1:7" x14ac:dyDescent="0.25">
      <c r="A159" s="8">
        <v>42918.690763888888</v>
      </c>
      <c r="B159" s="20" t="s">
        <v>565</v>
      </c>
      <c r="C159" s="20" t="s">
        <v>809</v>
      </c>
      <c r="D159" s="138">
        <v>2370000</v>
      </c>
      <c r="E159" s="20" t="s">
        <v>573</v>
      </c>
      <c r="F159" s="20" t="s">
        <v>574</v>
      </c>
      <c r="G159" s="8" t="str">
        <f t="shared" si="2"/>
        <v>DELGADO DIANAH</v>
      </c>
    </row>
    <row r="160" spans="1:7" x14ac:dyDescent="0.25">
      <c r="A160" s="8">
        <v>42918.693182870367</v>
      </c>
      <c r="B160" s="20" t="s">
        <v>632</v>
      </c>
      <c r="C160" s="20" t="s">
        <v>666</v>
      </c>
      <c r="D160" s="138">
        <v>2610000</v>
      </c>
      <c r="E160" s="20" t="s">
        <v>414</v>
      </c>
      <c r="F160" s="20" t="s">
        <v>415</v>
      </c>
      <c r="G160" s="8" t="str">
        <f t="shared" si="2"/>
        <v>MAGEE KENYA</v>
      </c>
    </row>
    <row r="161" spans="1:7" x14ac:dyDescent="0.25">
      <c r="A161" s="8">
        <v>42918.696805555555</v>
      </c>
      <c r="B161" s="20" t="s">
        <v>635</v>
      </c>
      <c r="C161" s="20" t="s">
        <v>667</v>
      </c>
      <c r="D161" s="138">
        <v>2470000</v>
      </c>
      <c r="E161" s="20" t="s">
        <v>467</v>
      </c>
      <c r="F161" s="20" t="s">
        <v>468</v>
      </c>
      <c r="G161" s="8" t="str">
        <f t="shared" si="2"/>
        <v>ROMERO CHAD</v>
      </c>
    </row>
    <row r="162" spans="1:7" x14ac:dyDescent="0.25">
      <c r="A162" s="8">
        <v>42918.697627314818</v>
      </c>
      <c r="B162" s="20" t="s">
        <v>643</v>
      </c>
      <c r="C162" s="20" t="s">
        <v>806</v>
      </c>
      <c r="D162" s="138">
        <v>3010000</v>
      </c>
      <c r="E162" s="20" t="s">
        <v>392</v>
      </c>
      <c r="F162" s="20" t="s">
        <v>393</v>
      </c>
      <c r="G162" s="8" t="str">
        <f t="shared" si="2"/>
        <v>SULLIVAN BRANDON</v>
      </c>
    </row>
    <row r="163" spans="1:7" x14ac:dyDescent="0.25">
      <c r="A163" s="8">
        <v>42918.69804398148</v>
      </c>
      <c r="B163" s="20" t="s">
        <v>439</v>
      </c>
      <c r="C163" s="20" t="s">
        <v>670</v>
      </c>
      <c r="D163" s="138">
        <v>2360000</v>
      </c>
      <c r="E163" s="20" t="s">
        <v>771</v>
      </c>
      <c r="F163" s="20" t="s">
        <v>772</v>
      </c>
      <c r="G163" s="8" t="str">
        <f t="shared" si="2"/>
        <v>BRANDNER MELINDA</v>
      </c>
    </row>
    <row r="164" spans="1:7" x14ac:dyDescent="0.25">
      <c r="A164" s="8">
        <v>42918.698136574072</v>
      </c>
      <c r="B164" s="20" t="s">
        <v>495</v>
      </c>
      <c r="C164" s="20" t="s">
        <v>810</v>
      </c>
      <c r="D164" s="138">
        <v>2140000</v>
      </c>
      <c r="E164" s="20" t="s">
        <v>409</v>
      </c>
      <c r="F164" s="20" t="s">
        <v>410</v>
      </c>
      <c r="G164" s="8" t="str">
        <f t="shared" si="2"/>
        <v>ROBINSON KADDIBA</v>
      </c>
    </row>
    <row r="165" spans="1:7" x14ac:dyDescent="0.25">
      <c r="A165" s="8">
        <v>42918.70579861111</v>
      </c>
      <c r="B165" s="20" t="s">
        <v>570</v>
      </c>
      <c r="C165" s="20" t="s">
        <v>668</v>
      </c>
      <c r="D165" s="138">
        <v>1770000</v>
      </c>
      <c r="E165" s="20" t="s">
        <v>499</v>
      </c>
      <c r="F165" s="20" t="s">
        <v>500</v>
      </c>
      <c r="G165" s="8" t="str">
        <f t="shared" si="2"/>
        <v>BRUDER RICHARD</v>
      </c>
    </row>
    <row r="166" spans="1:7" x14ac:dyDescent="0.25">
      <c r="A166" s="8">
        <v>42918.706875000003</v>
      </c>
      <c r="B166" s="20" t="s">
        <v>713</v>
      </c>
      <c r="C166" s="20" t="s">
        <v>811</v>
      </c>
      <c r="D166" s="138">
        <v>2440000</v>
      </c>
      <c r="E166" s="20" t="s">
        <v>812</v>
      </c>
      <c r="F166" s="20" t="s">
        <v>813</v>
      </c>
      <c r="G166" s="8" t="str">
        <f t="shared" si="2"/>
        <v>LOPES KIMBERLY</v>
      </c>
    </row>
    <row r="167" spans="1:7" x14ac:dyDescent="0.25">
      <c r="A167" s="8">
        <v>42918.713865740741</v>
      </c>
      <c r="B167" s="20" t="s">
        <v>439</v>
      </c>
      <c r="C167" s="20" t="s">
        <v>670</v>
      </c>
      <c r="D167" s="138">
        <v>2360000</v>
      </c>
      <c r="E167" s="20" t="s">
        <v>771</v>
      </c>
      <c r="F167" s="20" t="s">
        <v>772</v>
      </c>
      <c r="G167" s="8" t="str">
        <f t="shared" si="2"/>
        <v>BRANDNER MELINDA</v>
      </c>
    </row>
    <row r="168" spans="1:7" x14ac:dyDescent="0.25">
      <c r="A168" s="8">
        <v>42918.715381944443</v>
      </c>
      <c r="B168" s="20" t="s">
        <v>439</v>
      </c>
      <c r="C168" s="20" t="s">
        <v>670</v>
      </c>
      <c r="D168" s="138">
        <v>2360000</v>
      </c>
      <c r="E168" s="20" t="s">
        <v>771</v>
      </c>
      <c r="F168" s="20" t="s">
        <v>772</v>
      </c>
      <c r="G168" s="8" t="str">
        <f t="shared" si="2"/>
        <v>BRANDNER MELINDA</v>
      </c>
    </row>
    <row r="169" spans="1:7" x14ac:dyDescent="0.25">
      <c r="A169" s="8">
        <v>42918.71565972222</v>
      </c>
      <c r="B169" s="20" t="s">
        <v>365</v>
      </c>
      <c r="C169" s="20" t="s">
        <v>814</v>
      </c>
      <c r="D169" s="138">
        <v>2450000</v>
      </c>
      <c r="E169" s="20" t="s">
        <v>784</v>
      </c>
      <c r="F169" s="20" t="s">
        <v>785</v>
      </c>
      <c r="G169" s="8" t="str">
        <f t="shared" si="2"/>
        <v>NELSON ARIANE</v>
      </c>
    </row>
    <row r="170" spans="1:7" x14ac:dyDescent="0.25">
      <c r="A170" s="8">
        <v>42918.718553240738</v>
      </c>
      <c r="B170" s="20" t="s">
        <v>659</v>
      </c>
      <c r="C170" s="20" t="s">
        <v>669</v>
      </c>
      <c r="D170" s="138">
        <v>2610000</v>
      </c>
      <c r="E170" s="20" t="s">
        <v>414</v>
      </c>
      <c r="F170" s="20" t="s">
        <v>415</v>
      </c>
      <c r="G170" s="8" t="str">
        <f t="shared" si="2"/>
        <v>MAGEE KENYA</v>
      </c>
    </row>
    <row r="171" spans="1:7" x14ac:dyDescent="0.25">
      <c r="A171" s="8">
        <v>42918.719027777777</v>
      </c>
      <c r="B171" s="20" t="s">
        <v>357</v>
      </c>
      <c r="C171" s="20" t="s">
        <v>671</v>
      </c>
      <c r="D171" s="138">
        <v>2000000</v>
      </c>
      <c r="E171" s="20" t="s">
        <v>452</v>
      </c>
      <c r="F171" s="20" t="s">
        <v>189</v>
      </c>
      <c r="G171" s="8" t="str">
        <f t="shared" si="2"/>
        <v>STAMBAUGH JAMES</v>
      </c>
    </row>
    <row r="172" spans="1:7" x14ac:dyDescent="0.25">
      <c r="A172" s="8">
        <v>42918.726099537038</v>
      </c>
      <c r="B172" s="20" t="s">
        <v>417</v>
      </c>
      <c r="C172" s="20" t="s">
        <v>815</v>
      </c>
      <c r="D172" s="138">
        <v>920000</v>
      </c>
      <c r="E172" s="20" t="s">
        <v>411</v>
      </c>
      <c r="F172" s="20" t="s">
        <v>192</v>
      </c>
      <c r="G172" s="8" t="str">
        <f t="shared" si="2"/>
        <v>DAVIS MICHAEL</v>
      </c>
    </row>
    <row r="173" spans="1:7" x14ac:dyDescent="0.25">
      <c r="A173" s="8">
        <v>42918.726944444446</v>
      </c>
      <c r="B173" s="20" t="s">
        <v>566</v>
      </c>
      <c r="C173" s="20" t="s">
        <v>816</v>
      </c>
      <c r="D173" s="138">
        <v>2370000</v>
      </c>
      <c r="E173" s="20" t="s">
        <v>573</v>
      </c>
      <c r="F173" s="20" t="s">
        <v>574</v>
      </c>
      <c r="G173" s="8" t="str">
        <f t="shared" si="2"/>
        <v>DELGADO DIANAH</v>
      </c>
    </row>
    <row r="174" spans="1:7" x14ac:dyDescent="0.25">
      <c r="A174" s="8">
        <v>42918.727025462962</v>
      </c>
      <c r="B174" s="20" t="s">
        <v>683</v>
      </c>
      <c r="C174" s="20" t="s">
        <v>811</v>
      </c>
      <c r="D174" s="138">
        <v>2440000</v>
      </c>
      <c r="E174" s="20" t="s">
        <v>812</v>
      </c>
      <c r="F174" s="20" t="s">
        <v>813</v>
      </c>
      <c r="G174" s="8" t="str">
        <f t="shared" si="2"/>
        <v>LOPES KIMBERLY</v>
      </c>
    </row>
    <row r="175" spans="1:7" x14ac:dyDescent="0.25">
      <c r="A175" s="8">
        <v>42918.733738425923</v>
      </c>
      <c r="B175" s="20" t="s">
        <v>713</v>
      </c>
      <c r="C175" s="20" t="s">
        <v>817</v>
      </c>
      <c r="D175" s="138">
        <v>2230000</v>
      </c>
      <c r="E175" s="20" t="s">
        <v>342</v>
      </c>
      <c r="F175" s="20" t="s">
        <v>192</v>
      </c>
      <c r="G175" s="8" t="str">
        <f t="shared" si="2"/>
        <v>SMITH MICHAEL</v>
      </c>
    </row>
    <row r="176" spans="1:7" x14ac:dyDescent="0.25">
      <c r="A176" s="8">
        <v>42918.735243055555</v>
      </c>
      <c r="B176" s="20" t="s">
        <v>632</v>
      </c>
      <c r="C176" s="20" t="s">
        <v>818</v>
      </c>
      <c r="D176" s="138">
        <v>2610000</v>
      </c>
      <c r="E176" s="20" t="s">
        <v>414</v>
      </c>
      <c r="F176" s="20" t="s">
        <v>415</v>
      </c>
      <c r="G176" s="8" t="str">
        <f t="shared" si="2"/>
        <v>MAGEE KENYA</v>
      </c>
    </row>
    <row r="177" spans="1:7" x14ac:dyDescent="0.25">
      <c r="A177" s="8">
        <v>42918.737905092596</v>
      </c>
      <c r="B177" s="20" t="s">
        <v>440</v>
      </c>
      <c r="C177" s="20" t="s">
        <v>674</v>
      </c>
      <c r="D177" s="138">
        <v>2360000</v>
      </c>
      <c r="E177" s="20" t="s">
        <v>771</v>
      </c>
      <c r="F177" s="20" t="s">
        <v>772</v>
      </c>
      <c r="G177" s="8" t="str">
        <f t="shared" si="2"/>
        <v>BRANDNER MELINDA</v>
      </c>
    </row>
    <row r="178" spans="1:7" x14ac:dyDescent="0.25">
      <c r="A178" s="8">
        <v>42918.73877314815</v>
      </c>
      <c r="B178" s="20" t="s">
        <v>395</v>
      </c>
      <c r="C178" s="20" t="s">
        <v>672</v>
      </c>
      <c r="D178" s="138">
        <v>3030000</v>
      </c>
      <c r="E178" s="20" t="s">
        <v>381</v>
      </c>
      <c r="F178" s="20" t="s">
        <v>366</v>
      </c>
      <c r="G178" s="8" t="str">
        <f t="shared" si="2"/>
        <v>BIRENBAUM THOMAS</v>
      </c>
    </row>
    <row r="179" spans="1:7" x14ac:dyDescent="0.25">
      <c r="A179" s="8">
        <v>42918.741284722222</v>
      </c>
      <c r="B179" s="20" t="s">
        <v>398</v>
      </c>
      <c r="C179" s="20" t="s">
        <v>696</v>
      </c>
      <c r="D179" s="138">
        <v>2440000</v>
      </c>
      <c r="E179" s="20" t="s">
        <v>812</v>
      </c>
      <c r="F179" s="20" t="s">
        <v>813</v>
      </c>
      <c r="G179" s="8" t="str">
        <f t="shared" si="2"/>
        <v>LOPES KIMBERLY</v>
      </c>
    </row>
    <row r="180" spans="1:7" x14ac:dyDescent="0.25">
      <c r="A180" s="8">
        <v>42918.744305555556</v>
      </c>
      <c r="B180" s="20" t="s">
        <v>568</v>
      </c>
      <c r="C180" s="20" t="s">
        <v>819</v>
      </c>
      <c r="D180" s="138">
        <v>1770000</v>
      </c>
      <c r="E180" s="20" t="s">
        <v>499</v>
      </c>
      <c r="F180" s="20" t="s">
        <v>500</v>
      </c>
      <c r="G180" s="8" t="str">
        <f t="shared" si="2"/>
        <v>BRUDER RICHARD</v>
      </c>
    </row>
    <row r="181" spans="1:7" x14ac:dyDescent="0.25">
      <c r="A181" s="8">
        <v>42918.750081018516</v>
      </c>
      <c r="B181" s="20" t="s">
        <v>341</v>
      </c>
      <c r="C181" s="20" t="s">
        <v>820</v>
      </c>
      <c r="D181" s="138">
        <v>2450000</v>
      </c>
      <c r="E181" s="20" t="s">
        <v>784</v>
      </c>
      <c r="F181" s="20" t="s">
        <v>785</v>
      </c>
      <c r="G181" s="8" t="str">
        <f t="shared" si="2"/>
        <v>NELSON ARIANE</v>
      </c>
    </row>
    <row r="182" spans="1:7" x14ac:dyDescent="0.25">
      <c r="A182" s="8">
        <v>42918.752581018518</v>
      </c>
      <c r="B182" s="20" t="s">
        <v>417</v>
      </c>
      <c r="C182" s="20" t="s">
        <v>815</v>
      </c>
      <c r="D182" s="138">
        <v>920000</v>
      </c>
      <c r="E182" s="20" t="s">
        <v>411</v>
      </c>
      <c r="F182" s="20" t="s">
        <v>192</v>
      </c>
      <c r="G182" s="8" t="str">
        <f t="shared" si="2"/>
        <v>DAVIS MICHAEL</v>
      </c>
    </row>
    <row r="183" spans="1:7" x14ac:dyDescent="0.25">
      <c r="A183" s="8">
        <v>42918.756030092591</v>
      </c>
      <c r="B183" s="20" t="s">
        <v>643</v>
      </c>
      <c r="C183" s="20" t="s">
        <v>821</v>
      </c>
      <c r="D183" s="138">
        <v>2000000</v>
      </c>
      <c r="E183" s="20" t="s">
        <v>452</v>
      </c>
      <c r="F183" s="20" t="s">
        <v>189</v>
      </c>
      <c r="G183" s="8" t="str">
        <f t="shared" si="2"/>
        <v>STAMBAUGH JAMES</v>
      </c>
    </row>
    <row r="184" spans="1:7" x14ac:dyDescent="0.25">
      <c r="A184" s="8">
        <v>42918.760162037041</v>
      </c>
      <c r="B184" s="20" t="s">
        <v>659</v>
      </c>
      <c r="C184" s="20" t="s">
        <v>822</v>
      </c>
      <c r="D184" s="138">
        <v>3130000</v>
      </c>
      <c r="E184" s="20" t="s">
        <v>384</v>
      </c>
      <c r="F184" s="20" t="s">
        <v>385</v>
      </c>
      <c r="G184" s="8" t="str">
        <f t="shared" si="2"/>
        <v>ZEWDU DEREJE</v>
      </c>
    </row>
    <row r="185" spans="1:7" x14ac:dyDescent="0.25">
      <c r="A185" s="8">
        <v>42918.764710648145</v>
      </c>
      <c r="B185" s="20" t="s">
        <v>421</v>
      </c>
      <c r="C185" s="20" t="s">
        <v>675</v>
      </c>
      <c r="D185" s="138">
        <v>2620000</v>
      </c>
      <c r="E185" s="20" t="s">
        <v>687</v>
      </c>
      <c r="F185" s="20" t="s">
        <v>688</v>
      </c>
      <c r="G185" s="8" t="str">
        <f t="shared" si="2"/>
        <v>PERKINS DARREN</v>
      </c>
    </row>
    <row r="186" spans="1:7" x14ac:dyDescent="0.25">
      <c r="A186" s="8">
        <v>42918.766539351855</v>
      </c>
      <c r="B186" s="20" t="s">
        <v>565</v>
      </c>
      <c r="C186" s="20" t="s">
        <v>823</v>
      </c>
      <c r="D186" s="138">
        <v>2370000</v>
      </c>
      <c r="E186" s="20" t="s">
        <v>573</v>
      </c>
      <c r="F186" s="20" t="s">
        <v>574</v>
      </c>
      <c r="G186" s="8" t="str">
        <f t="shared" si="2"/>
        <v>DELGADO DIANAH</v>
      </c>
    </row>
    <row r="187" spans="1:7" x14ac:dyDescent="0.25">
      <c r="A187" s="8">
        <v>42918.772650462961</v>
      </c>
      <c r="B187" s="20" t="s">
        <v>439</v>
      </c>
      <c r="C187" s="20" t="s">
        <v>824</v>
      </c>
      <c r="D187" s="138">
        <v>2090000</v>
      </c>
      <c r="E187" s="20" t="s">
        <v>443</v>
      </c>
      <c r="F187" s="20" t="s">
        <v>192</v>
      </c>
      <c r="G187" s="8" t="str">
        <f t="shared" si="2"/>
        <v>HAITHCOX MICHAEL</v>
      </c>
    </row>
    <row r="188" spans="1:7" x14ac:dyDescent="0.25">
      <c r="A188" s="8">
        <v>42918.773159722223</v>
      </c>
      <c r="B188" s="20" t="s">
        <v>683</v>
      </c>
      <c r="C188" s="20" t="s">
        <v>825</v>
      </c>
      <c r="D188" s="138">
        <v>2230000</v>
      </c>
      <c r="E188" s="20" t="s">
        <v>342</v>
      </c>
      <c r="F188" s="20" t="s">
        <v>192</v>
      </c>
      <c r="G188" s="8" t="str">
        <f t="shared" si="2"/>
        <v>SMITH MICHAEL</v>
      </c>
    </row>
    <row r="189" spans="1:7" x14ac:dyDescent="0.25">
      <c r="A189" s="8">
        <v>42918.776909722219</v>
      </c>
      <c r="B189" s="20" t="s">
        <v>632</v>
      </c>
      <c r="C189" s="20" t="s">
        <v>826</v>
      </c>
      <c r="D189" s="138">
        <v>3130000</v>
      </c>
      <c r="E189" s="20" t="s">
        <v>384</v>
      </c>
      <c r="F189" s="20" t="s">
        <v>385</v>
      </c>
      <c r="G189" s="8" t="str">
        <f t="shared" si="2"/>
        <v>ZEWDU DEREJE</v>
      </c>
    </row>
    <row r="190" spans="1:7" x14ac:dyDescent="0.25">
      <c r="A190" s="8">
        <v>42918.77920138889</v>
      </c>
      <c r="B190" s="20" t="s">
        <v>570</v>
      </c>
      <c r="C190" s="20" t="s">
        <v>827</v>
      </c>
      <c r="D190" s="138">
        <v>1770000</v>
      </c>
      <c r="E190" s="20" t="s">
        <v>499</v>
      </c>
      <c r="F190" s="20" t="s">
        <v>500</v>
      </c>
      <c r="G190" s="8" t="str">
        <f t="shared" si="2"/>
        <v>BRUDER RICHARD</v>
      </c>
    </row>
    <row r="191" spans="1:7" x14ac:dyDescent="0.25">
      <c r="A191" s="8">
        <v>42918.787395833337</v>
      </c>
      <c r="B191" s="20" t="s">
        <v>365</v>
      </c>
      <c r="C191" s="20" t="s">
        <v>828</v>
      </c>
      <c r="D191" s="138">
        <v>2450000</v>
      </c>
      <c r="E191" s="20" t="s">
        <v>784</v>
      </c>
      <c r="F191" s="20" t="s">
        <v>785</v>
      </c>
      <c r="G191" s="8" t="str">
        <f t="shared" si="2"/>
        <v>NELSON ARIANE</v>
      </c>
    </row>
    <row r="192" spans="1:7" x14ac:dyDescent="0.25">
      <c r="A192" s="8">
        <v>42918.789305555554</v>
      </c>
      <c r="B192" s="20" t="s">
        <v>357</v>
      </c>
      <c r="C192" s="20" t="s">
        <v>829</v>
      </c>
      <c r="D192" s="138">
        <v>3030000</v>
      </c>
      <c r="E192" s="20" t="s">
        <v>381</v>
      </c>
      <c r="F192" s="20" t="s">
        <v>366</v>
      </c>
      <c r="G192" s="8" t="str">
        <f t="shared" si="2"/>
        <v>BIRENBAUM THOMAS</v>
      </c>
    </row>
    <row r="193" spans="1:7" x14ac:dyDescent="0.25">
      <c r="A193" s="8">
        <v>42918.790011574078</v>
      </c>
      <c r="B193" s="20" t="s">
        <v>439</v>
      </c>
      <c r="C193" s="20" t="s">
        <v>824</v>
      </c>
      <c r="D193" s="138">
        <v>2090000</v>
      </c>
      <c r="E193" s="20" t="s">
        <v>443</v>
      </c>
      <c r="F193" s="20" t="s">
        <v>192</v>
      </c>
      <c r="G193" s="8" t="str">
        <f t="shared" si="2"/>
        <v>HAITHCOX MICHAEL</v>
      </c>
    </row>
    <row r="194" spans="1:7" x14ac:dyDescent="0.25">
      <c r="A194" s="8">
        <v>42918.798310185186</v>
      </c>
      <c r="B194" s="20" t="s">
        <v>417</v>
      </c>
      <c r="C194" s="20" t="s">
        <v>676</v>
      </c>
      <c r="D194" s="138">
        <v>2620000</v>
      </c>
      <c r="E194" s="20" t="s">
        <v>687</v>
      </c>
      <c r="F194" s="20" t="s">
        <v>688</v>
      </c>
      <c r="G194" s="8" t="str">
        <f t="shared" si="2"/>
        <v>PERKINS DARREN</v>
      </c>
    </row>
    <row r="195" spans="1:7" x14ac:dyDescent="0.25">
      <c r="A195" s="8">
        <v>42918.801435185182</v>
      </c>
      <c r="B195" s="20" t="s">
        <v>566</v>
      </c>
      <c r="C195" s="20" t="s">
        <v>830</v>
      </c>
      <c r="D195" s="138">
        <v>2370000</v>
      </c>
      <c r="E195" s="20" t="s">
        <v>573</v>
      </c>
      <c r="F195" s="20" t="s">
        <v>574</v>
      </c>
      <c r="G195" s="8" t="str">
        <f t="shared" ref="G195:G258" si="3">E195&amp;" "&amp;F195</f>
        <v>DELGADO DIANAH</v>
      </c>
    </row>
    <row r="196" spans="1:7" x14ac:dyDescent="0.25">
      <c r="A196" s="8">
        <v>42918.804560185185</v>
      </c>
      <c r="B196" s="20" t="s">
        <v>659</v>
      </c>
      <c r="C196" s="20" t="s">
        <v>831</v>
      </c>
      <c r="D196" s="138">
        <v>2610000</v>
      </c>
      <c r="E196" s="20" t="s">
        <v>414</v>
      </c>
      <c r="F196" s="20" t="s">
        <v>415</v>
      </c>
      <c r="G196" s="8" t="str">
        <f t="shared" si="3"/>
        <v>MAGEE KENYA</v>
      </c>
    </row>
    <row r="197" spans="1:7" x14ac:dyDescent="0.25">
      <c r="A197" s="8">
        <v>42918.810370370367</v>
      </c>
      <c r="B197" s="20" t="s">
        <v>440</v>
      </c>
      <c r="C197" s="20" t="s">
        <v>832</v>
      </c>
      <c r="D197" s="138">
        <v>2090000</v>
      </c>
      <c r="E197" s="20" t="s">
        <v>443</v>
      </c>
      <c r="F197" s="20" t="s">
        <v>192</v>
      </c>
      <c r="G197" s="8" t="str">
        <f t="shared" si="3"/>
        <v>HAITHCOX MICHAEL</v>
      </c>
    </row>
    <row r="198" spans="1:7" x14ac:dyDescent="0.25">
      <c r="A198" s="8">
        <v>42918.812152777777</v>
      </c>
      <c r="B198" s="20" t="s">
        <v>713</v>
      </c>
      <c r="C198" s="20" t="s">
        <v>833</v>
      </c>
      <c r="D198" s="138">
        <v>3120000</v>
      </c>
      <c r="E198" s="20" t="s">
        <v>834</v>
      </c>
      <c r="F198" s="20" t="s">
        <v>835</v>
      </c>
      <c r="G198" s="8" t="str">
        <f t="shared" si="3"/>
        <v>THOMPSON LESTER</v>
      </c>
    </row>
    <row r="199" spans="1:7" x14ac:dyDescent="0.25">
      <c r="A199" s="8">
        <v>42918.818969907406</v>
      </c>
      <c r="B199" s="20" t="s">
        <v>632</v>
      </c>
      <c r="C199" s="20" t="s">
        <v>677</v>
      </c>
      <c r="D199" s="138">
        <v>2610000</v>
      </c>
      <c r="E199" s="20" t="s">
        <v>414</v>
      </c>
      <c r="F199" s="20" t="s">
        <v>415</v>
      </c>
      <c r="G199" s="8" t="str">
        <f t="shared" si="3"/>
        <v>MAGEE KENYA</v>
      </c>
    </row>
    <row r="200" spans="1:7" x14ac:dyDescent="0.25">
      <c r="A200" s="8">
        <v>42918.822858796295</v>
      </c>
      <c r="B200" s="20" t="s">
        <v>341</v>
      </c>
      <c r="C200" s="20" t="s">
        <v>836</v>
      </c>
      <c r="D200" s="138">
        <v>2450000</v>
      </c>
      <c r="E200" s="20" t="s">
        <v>784</v>
      </c>
      <c r="F200" s="20" t="s">
        <v>785</v>
      </c>
      <c r="G200" s="8" t="str">
        <f t="shared" si="3"/>
        <v>NELSON ARIANE</v>
      </c>
    </row>
    <row r="201" spans="1:7" x14ac:dyDescent="0.25">
      <c r="A201" s="8">
        <v>42918.826944444445</v>
      </c>
      <c r="B201" s="20" t="s">
        <v>643</v>
      </c>
      <c r="C201" s="20" t="s">
        <v>837</v>
      </c>
      <c r="D201" s="138">
        <v>3030000</v>
      </c>
      <c r="E201" s="20" t="s">
        <v>381</v>
      </c>
      <c r="F201" s="20" t="s">
        <v>366</v>
      </c>
      <c r="G201" s="8" t="str">
        <f t="shared" si="3"/>
        <v>BIRENBAUM THOMAS</v>
      </c>
    </row>
    <row r="202" spans="1:7" x14ac:dyDescent="0.25">
      <c r="A202" s="26">
        <v>42918.831724537034</v>
      </c>
      <c r="B202" s="20" t="s">
        <v>421</v>
      </c>
      <c r="C202" s="20" t="s">
        <v>838</v>
      </c>
      <c r="D202" s="138">
        <v>2620000</v>
      </c>
      <c r="E202" s="20" t="s">
        <v>687</v>
      </c>
      <c r="F202" s="20" t="s">
        <v>688</v>
      </c>
      <c r="G202" s="8" t="str">
        <f t="shared" si="3"/>
        <v>PERKINS DARREN</v>
      </c>
    </row>
    <row r="203" spans="1:7" x14ac:dyDescent="0.25">
      <c r="A203" s="8">
        <v>42918.843101851853</v>
      </c>
      <c r="B203" s="20" t="s">
        <v>439</v>
      </c>
      <c r="C203" s="20" t="s">
        <v>839</v>
      </c>
      <c r="D203" s="138">
        <v>2090000</v>
      </c>
      <c r="E203" s="20" t="s">
        <v>443</v>
      </c>
      <c r="F203" s="20" t="s">
        <v>192</v>
      </c>
      <c r="G203" s="8" t="str">
        <f t="shared" si="3"/>
        <v>HAITHCOX MICHAEL</v>
      </c>
    </row>
    <row r="204" spans="1:7" x14ac:dyDescent="0.25">
      <c r="A204" s="8">
        <v>42918.845775462964</v>
      </c>
      <c r="B204" s="20" t="s">
        <v>659</v>
      </c>
      <c r="C204" s="20" t="s">
        <v>840</v>
      </c>
      <c r="D204" s="138">
        <v>2610000</v>
      </c>
      <c r="E204" s="20" t="s">
        <v>414</v>
      </c>
      <c r="F204" s="20" t="s">
        <v>415</v>
      </c>
      <c r="G204" s="8" t="str">
        <f t="shared" si="3"/>
        <v>MAGEE KENYA</v>
      </c>
    </row>
    <row r="205" spans="1:7" x14ac:dyDescent="0.25">
      <c r="A205" s="8">
        <v>42918.849756944444</v>
      </c>
      <c r="B205" s="20" t="s">
        <v>683</v>
      </c>
      <c r="C205" s="20" t="s">
        <v>841</v>
      </c>
      <c r="D205" s="138">
        <v>3120000</v>
      </c>
      <c r="E205" s="20" t="s">
        <v>834</v>
      </c>
      <c r="F205" s="20" t="s">
        <v>835</v>
      </c>
      <c r="G205" s="8" t="str">
        <f t="shared" si="3"/>
        <v>THOMPSON LESTER</v>
      </c>
    </row>
    <row r="206" spans="1:7" x14ac:dyDescent="0.25">
      <c r="A206" s="8">
        <v>42918.860648148147</v>
      </c>
      <c r="B206" s="20" t="s">
        <v>357</v>
      </c>
      <c r="C206" s="20" t="s">
        <v>678</v>
      </c>
      <c r="D206" s="138">
        <v>2000000</v>
      </c>
      <c r="E206" s="20" t="s">
        <v>452</v>
      </c>
      <c r="F206" s="20" t="s">
        <v>189</v>
      </c>
      <c r="G206" s="8" t="str">
        <f t="shared" si="3"/>
        <v>STAMBAUGH JAMES</v>
      </c>
    </row>
    <row r="207" spans="1:7" x14ac:dyDescent="0.25">
      <c r="A207" s="8">
        <v>42918.864351851851</v>
      </c>
      <c r="B207" s="20" t="s">
        <v>632</v>
      </c>
      <c r="C207" s="20" t="s">
        <v>842</v>
      </c>
      <c r="D207" s="138">
        <v>2610000</v>
      </c>
      <c r="E207" s="20" t="s">
        <v>414</v>
      </c>
      <c r="F207" s="20" t="s">
        <v>415</v>
      </c>
      <c r="G207" s="8" t="str">
        <f t="shared" si="3"/>
        <v>MAGEE KENYA</v>
      </c>
    </row>
    <row r="208" spans="1:7" x14ac:dyDescent="0.25">
      <c r="A208" s="8">
        <v>42918.869270833333</v>
      </c>
      <c r="B208" s="20" t="s">
        <v>417</v>
      </c>
      <c r="C208" s="20" t="s">
        <v>680</v>
      </c>
      <c r="D208" s="138">
        <v>2620000</v>
      </c>
      <c r="E208" s="20" t="s">
        <v>687</v>
      </c>
      <c r="F208" s="20" t="s">
        <v>688</v>
      </c>
      <c r="G208" s="8" t="str">
        <f t="shared" si="3"/>
        <v>PERKINS DARREN</v>
      </c>
    </row>
    <row r="209" spans="1:7" x14ac:dyDescent="0.25">
      <c r="A209" s="8">
        <v>42918.88722222222</v>
      </c>
      <c r="B209" s="20" t="s">
        <v>713</v>
      </c>
      <c r="C209" s="20" t="s">
        <v>843</v>
      </c>
      <c r="D209" s="138">
        <v>2230000</v>
      </c>
      <c r="E209" s="20" t="s">
        <v>342</v>
      </c>
      <c r="F209" s="20" t="s">
        <v>192</v>
      </c>
      <c r="G209" s="8" t="str">
        <f t="shared" si="3"/>
        <v>SMITH MICHAEL</v>
      </c>
    </row>
    <row r="210" spans="1:7" x14ac:dyDescent="0.25">
      <c r="A210" s="8">
        <v>42918.888483796298</v>
      </c>
      <c r="B210" s="20" t="s">
        <v>659</v>
      </c>
      <c r="C210" s="20" t="s">
        <v>844</v>
      </c>
      <c r="D210" s="138">
        <v>2610000</v>
      </c>
      <c r="E210" s="20" t="s">
        <v>414</v>
      </c>
      <c r="F210" s="20" t="s">
        <v>415</v>
      </c>
      <c r="G210" s="8" t="str">
        <f t="shared" si="3"/>
        <v>MAGEE KENYA</v>
      </c>
    </row>
    <row r="211" spans="1:7" x14ac:dyDescent="0.25">
      <c r="A211" s="8">
        <v>42918.889837962961</v>
      </c>
      <c r="B211" s="20" t="s">
        <v>440</v>
      </c>
      <c r="C211" s="20" t="s">
        <v>679</v>
      </c>
      <c r="D211" s="138">
        <v>2090000</v>
      </c>
      <c r="E211" s="20" t="s">
        <v>443</v>
      </c>
      <c r="F211" s="20" t="s">
        <v>192</v>
      </c>
      <c r="G211" s="8" t="str">
        <f t="shared" si="3"/>
        <v>HAITHCOX MICHAEL</v>
      </c>
    </row>
    <row r="212" spans="1:7" x14ac:dyDescent="0.25">
      <c r="A212" s="8">
        <v>42918.901354166665</v>
      </c>
      <c r="B212" s="20" t="s">
        <v>632</v>
      </c>
      <c r="C212" s="20" t="s">
        <v>845</v>
      </c>
      <c r="D212" s="138">
        <v>2610000</v>
      </c>
      <c r="E212" s="20" t="s">
        <v>414</v>
      </c>
      <c r="F212" s="20" t="s">
        <v>415</v>
      </c>
      <c r="G212" s="8" t="str">
        <f t="shared" si="3"/>
        <v>MAGEE KENYA</v>
      </c>
    </row>
    <row r="213" spans="1:7" x14ac:dyDescent="0.25">
      <c r="A213" s="8">
        <v>42918.911412037036</v>
      </c>
      <c r="B213" s="20" t="s">
        <v>643</v>
      </c>
      <c r="C213" s="20" t="s">
        <v>846</v>
      </c>
      <c r="D213" s="138">
        <v>2000000</v>
      </c>
      <c r="E213" s="20" t="s">
        <v>452</v>
      </c>
      <c r="F213" s="20" t="s">
        <v>189</v>
      </c>
      <c r="G213" s="8" t="str">
        <f t="shared" si="3"/>
        <v>STAMBAUGH JAMES</v>
      </c>
    </row>
    <row r="214" spans="1:7" x14ac:dyDescent="0.25">
      <c r="A214" s="8">
        <v>42918.913541666669</v>
      </c>
      <c r="B214" s="20" t="s">
        <v>421</v>
      </c>
      <c r="C214" s="20" t="s">
        <v>847</v>
      </c>
      <c r="D214" s="138">
        <v>2620000</v>
      </c>
      <c r="E214" s="20" t="s">
        <v>687</v>
      </c>
      <c r="F214" s="20" t="s">
        <v>688</v>
      </c>
      <c r="G214" s="8" t="str">
        <f t="shared" si="3"/>
        <v>PERKINS DARREN</v>
      </c>
    </row>
    <row r="215" spans="1:7" x14ac:dyDescent="0.25">
      <c r="A215" s="8">
        <v>42918.927847222221</v>
      </c>
      <c r="B215" s="20" t="s">
        <v>439</v>
      </c>
      <c r="C215" s="20" t="s">
        <v>848</v>
      </c>
      <c r="D215" s="138">
        <v>2090000</v>
      </c>
      <c r="E215" s="20" t="s">
        <v>443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42918.929618055554</v>
      </c>
      <c r="B216" s="20" t="s">
        <v>683</v>
      </c>
      <c r="C216" s="20" t="s">
        <v>849</v>
      </c>
      <c r="D216" s="138">
        <v>2230000</v>
      </c>
      <c r="E216" s="20" t="s">
        <v>342</v>
      </c>
      <c r="F216" s="20" t="s">
        <v>192</v>
      </c>
      <c r="G216" s="8" t="str">
        <f t="shared" si="3"/>
        <v>SMITH MICHAEL</v>
      </c>
    </row>
    <row r="217" spans="1:7" x14ac:dyDescent="0.25">
      <c r="A217" s="8">
        <v>42918.930775462963</v>
      </c>
      <c r="B217" s="20" t="s">
        <v>659</v>
      </c>
      <c r="C217" s="20" t="s">
        <v>850</v>
      </c>
      <c r="D217" s="138">
        <v>2610000</v>
      </c>
      <c r="E217" s="20" t="s">
        <v>414</v>
      </c>
      <c r="F217" s="20" t="s">
        <v>415</v>
      </c>
      <c r="G217" s="8" t="str">
        <f t="shared" si="3"/>
        <v>MAGEE KENYA</v>
      </c>
    </row>
    <row r="218" spans="1:7" x14ac:dyDescent="0.25">
      <c r="A218" s="8">
        <v>42918.942233796297</v>
      </c>
      <c r="B218" s="20" t="s">
        <v>632</v>
      </c>
      <c r="C218" s="20" t="s">
        <v>851</v>
      </c>
      <c r="D218" s="138">
        <v>2610000</v>
      </c>
      <c r="E218" s="20" t="s">
        <v>414</v>
      </c>
      <c r="F218" s="20" t="s">
        <v>415</v>
      </c>
      <c r="G218" s="8" t="str">
        <f t="shared" si="3"/>
        <v>MAGEE KENYA</v>
      </c>
    </row>
    <row r="219" spans="1:7" x14ac:dyDescent="0.25">
      <c r="A219" s="8">
        <v>42918.946180555555</v>
      </c>
      <c r="B219" s="20" t="s">
        <v>417</v>
      </c>
      <c r="C219" s="20" t="s">
        <v>852</v>
      </c>
      <c r="D219" s="138">
        <v>2620000</v>
      </c>
      <c r="E219" s="20" t="s">
        <v>687</v>
      </c>
      <c r="F219" s="20" t="s">
        <v>688</v>
      </c>
      <c r="G219" s="8" t="str">
        <f t="shared" si="3"/>
        <v>PERKINS DARREN</v>
      </c>
    </row>
    <row r="220" spans="1:7" x14ac:dyDescent="0.25">
      <c r="A220" s="8">
        <v>42918.955925925926</v>
      </c>
      <c r="B220" s="20" t="s">
        <v>357</v>
      </c>
      <c r="C220" s="20" t="s">
        <v>681</v>
      </c>
      <c r="D220" s="138">
        <v>2000000</v>
      </c>
      <c r="E220" s="20" t="s">
        <v>452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42918.971180555556</v>
      </c>
      <c r="B221" s="20" t="s">
        <v>713</v>
      </c>
      <c r="C221" s="20" t="s">
        <v>853</v>
      </c>
      <c r="D221" s="138">
        <v>2230000</v>
      </c>
      <c r="E221" s="20" t="s">
        <v>342</v>
      </c>
      <c r="F221" s="20" t="s">
        <v>192</v>
      </c>
      <c r="G221" s="8" t="str">
        <f t="shared" si="3"/>
        <v>SMITH MICHAEL</v>
      </c>
    </row>
    <row r="222" spans="1:7" x14ac:dyDescent="0.25">
      <c r="A222" s="8">
        <v>42918.974189814813</v>
      </c>
      <c r="B222" s="20" t="s">
        <v>440</v>
      </c>
      <c r="C222" s="20" t="s">
        <v>854</v>
      </c>
      <c r="D222" s="138">
        <v>2090000</v>
      </c>
      <c r="E222" s="20" t="s">
        <v>443</v>
      </c>
      <c r="F222" s="20" t="s">
        <v>192</v>
      </c>
      <c r="G222" s="8" t="str">
        <f t="shared" si="3"/>
        <v>HAITHCOX MICHAEL</v>
      </c>
    </row>
    <row r="223" spans="1:7" x14ac:dyDescent="0.25">
      <c r="A223" s="8">
        <v>42918.993773148148</v>
      </c>
      <c r="B223" s="20" t="s">
        <v>421</v>
      </c>
      <c r="C223" s="20" t="s">
        <v>855</v>
      </c>
      <c r="D223" s="138">
        <v>2620000</v>
      </c>
      <c r="E223" s="20" t="s">
        <v>687</v>
      </c>
      <c r="F223" s="20" t="s">
        <v>688</v>
      </c>
      <c r="G223" s="8" t="str">
        <f t="shared" si="3"/>
        <v>PERKINS DARREN</v>
      </c>
    </row>
    <row r="224" spans="1:7" x14ac:dyDescent="0.25">
      <c r="A224" s="8">
        <v>42918.995636574073</v>
      </c>
      <c r="B224" t="s">
        <v>643</v>
      </c>
      <c r="C224" t="s">
        <v>856</v>
      </c>
      <c r="D224" s="138">
        <v>2000000</v>
      </c>
      <c r="E224" t="s">
        <v>452</v>
      </c>
      <c r="F224" s="20" t="s">
        <v>189</v>
      </c>
      <c r="G224" s="8" t="str">
        <f t="shared" si="3"/>
        <v>STAMBAUGH JAMES</v>
      </c>
    </row>
    <row r="225" spans="1:7" x14ac:dyDescent="0.25">
      <c r="A225" s="8">
        <v>42919.009722222225</v>
      </c>
      <c r="B225" t="s">
        <v>439</v>
      </c>
      <c r="C225" t="s">
        <v>682</v>
      </c>
      <c r="D225" s="138">
        <v>2090000</v>
      </c>
      <c r="E225" t="s">
        <v>443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42919.011805555558</v>
      </c>
      <c r="B226" t="s">
        <v>683</v>
      </c>
      <c r="C226" t="s">
        <v>684</v>
      </c>
      <c r="D226" s="138">
        <v>2230000</v>
      </c>
      <c r="E226" t="s">
        <v>342</v>
      </c>
      <c r="F226" s="20" t="s">
        <v>192</v>
      </c>
      <c r="G226" s="8" t="str">
        <f t="shared" si="3"/>
        <v>SMITH MICHAEL</v>
      </c>
    </row>
    <row r="227" spans="1:7" x14ac:dyDescent="0.25">
      <c r="A227" s="8">
        <v>42919.028587962966</v>
      </c>
      <c r="B227" t="s">
        <v>357</v>
      </c>
      <c r="C227" t="s">
        <v>857</v>
      </c>
      <c r="D227" s="138">
        <v>2000000</v>
      </c>
      <c r="E227" t="s">
        <v>452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42919.035196759258</v>
      </c>
      <c r="B228" t="s">
        <v>417</v>
      </c>
      <c r="C228" t="s">
        <v>685</v>
      </c>
      <c r="D228" s="138">
        <v>2620000</v>
      </c>
      <c r="E228" t="s">
        <v>687</v>
      </c>
      <c r="F228" s="20" t="s">
        <v>688</v>
      </c>
      <c r="G228" s="8" t="str">
        <f t="shared" si="3"/>
        <v>PERKINS DARREN</v>
      </c>
    </row>
    <row r="229" spans="1:7" x14ac:dyDescent="0.25">
      <c r="A229" s="8">
        <v>42919.05023148148</v>
      </c>
      <c r="B229" t="s">
        <v>440</v>
      </c>
      <c r="C229" t="s">
        <v>858</v>
      </c>
      <c r="D229" s="138">
        <v>2090000</v>
      </c>
      <c r="E229" t="s">
        <v>443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42919.051979166667</v>
      </c>
      <c r="B230" t="s">
        <v>713</v>
      </c>
      <c r="C230" t="s">
        <v>859</v>
      </c>
      <c r="D230" s="138">
        <v>2230000</v>
      </c>
      <c r="E230" t="s">
        <v>342</v>
      </c>
      <c r="F230" s="20" t="s">
        <v>192</v>
      </c>
      <c r="G230" s="8" t="str">
        <f t="shared" si="3"/>
        <v>SMITH MICHAEL</v>
      </c>
    </row>
    <row r="231" spans="1:7" x14ac:dyDescent="0.25">
      <c r="A231" s="8">
        <v>42919.072708333333</v>
      </c>
      <c r="B231" t="s">
        <v>421</v>
      </c>
      <c r="C231" t="s">
        <v>860</v>
      </c>
      <c r="D231" s="138">
        <v>2620000</v>
      </c>
      <c r="E231" t="s">
        <v>687</v>
      </c>
      <c r="F231" s="20" t="s">
        <v>688</v>
      </c>
      <c r="G231" s="8" t="str">
        <f t="shared" si="3"/>
        <v>PERKINS DARREN</v>
      </c>
    </row>
    <row r="232" spans="1:7" x14ac:dyDescent="0.25">
      <c r="A232" s="8">
        <v>42919.073310185187</v>
      </c>
      <c r="B232" t="s">
        <v>421</v>
      </c>
      <c r="C232" t="s">
        <v>860</v>
      </c>
      <c r="D232" s="138">
        <v>2620000</v>
      </c>
      <c r="E232" t="s">
        <v>687</v>
      </c>
      <c r="F232" s="20" t="s">
        <v>688</v>
      </c>
      <c r="G232" s="8" t="str">
        <f t="shared" si="3"/>
        <v>PERKINS DARREN</v>
      </c>
    </row>
    <row r="233" spans="1:7" x14ac:dyDescent="0.25">
      <c r="A233" s="8">
        <v>42919.074456018519</v>
      </c>
      <c r="B233" t="s">
        <v>421</v>
      </c>
      <c r="C233" t="s">
        <v>860</v>
      </c>
      <c r="D233" s="138">
        <v>2620000</v>
      </c>
      <c r="E233" t="s">
        <v>687</v>
      </c>
      <c r="F233" s="20" t="s">
        <v>688</v>
      </c>
      <c r="G233" s="8" t="str">
        <f t="shared" si="3"/>
        <v>PERKINS DARREN</v>
      </c>
    </row>
    <row r="234" spans="1:7" x14ac:dyDescent="0.25">
      <c r="A234" s="8">
        <v>42919.090613425928</v>
      </c>
      <c r="B234" t="s">
        <v>439</v>
      </c>
      <c r="C234" t="s">
        <v>861</v>
      </c>
      <c r="D234" s="138">
        <v>2090000</v>
      </c>
      <c r="E234" t="s">
        <v>443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42919.091724537036</v>
      </c>
      <c r="B235" t="s">
        <v>439</v>
      </c>
      <c r="C235" t="s">
        <v>861</v>
      </c>
      <c r="D235" s="138">
        <v>2090000</v>
      </c>
      <c r="E235" t="s">
        <v>443</v>
      </c>
      <c r="F235" s="20" t="s">
        <v>192</v>
      </c>
      <c r="G235" s="8" t="str">
        <f t="shared" si="3"/>
        <v>HAITHCOX MICHAEL</v>
      </c>
    </row>
    <row r="236" spans="1:7" x14ac:dyDescent="0.25">
      <c r="A236" s="8">
        <v>42915.030277777776</v>
      </c>
      <c r="B236" t="s">
        <v>374</v>
      </c>
      <c r="C236" t="s">
        <v>575</v>
      </c>
      <c r="D236" s="138">
        <v>3000000</v>
      </c>
      <c r="E236" t="s">
        <v>422</v>
      </c>
      <c r="F236" s="20" t="s">
        <v>423</v>
      </c>
      <c r="G236" s="8" t="str">
        <f t="shared" si="3"/>
        <v>FORTUNATO FRANK</v>
      </c>
    </row>
    <row r="237" spans="1:7" x14ac:dyDescent="0.25">
      <c r="A237" s="8">
        <v>42915.031238425923</v>
      </c>
      <c r="B237" t="s">
        <v>374</v>
      </c>
      <c r="C237" t="s">
        <v>575</v>
      </c>
      <c r="D237" s="138">
        <v>3000000</v>
      </c>
      <c r="E237" t="s">
        <v>422</v>
      </c>
      <c r="F237" s="20" t="s">
        <v>423</v>
      </c>
      <c r="G237" s="8" t="str">
        <f t="shared" si="3"/>
        <v>FORTUNATO FRANK</v>
      </c>
    </row>
    <row r="238" spans="1:7" x14ac:dyDescent="0.25">
      <c r="A238" s="8">
        <v>42915.032314814816</v>
      </c>
      <c r="B238" t="s">
        <v>374</v>
      </c>
      <c r="C238" t="s">
        <v>575</v>
      </c>
      <c r="D238" s="138">
        <v>3000000</v>
      </c>
      <c r="E238" t="s">
        <v>422</v>
      </c>
      <c r="F238" s="20" t="s">
        <v>423</v>
      </c>
      <c r="G238" s="8" t="str">
        <f t="shared" si="3"/>
        <v>FORTUNATO FRANK</v>
      </c>
    </row>
    <row r="239" spans="1:7" x14ac:dyDescent="0.25">
      <c r="A239" s="8">
        <v>42915.037002314813</v>
      </c>
      <c r="B239" t="s">
        <v>523</v>
      </c>
      <c r="C239" t="s">
        <v>576</v>
      </c>
      <c r="D239" s="138">
        <v>2230000</v>
      </c>
      <c r="E239" t="s">
        <v>342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42915.051759259259</v>
      </c>
      <c r="B240" t="s">
        <v>397</v>
      </c>
      <c r="C240" t="s">
        <v>577</v>
      </c>
      <c r="D240" s="138">
        <v>2090000</v>
      </c>
      <c r="E240" t="s">
        <v>443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42915.057268518518</v>
      </c>
      <c r="B241" t="s">
        <v>418</v>
      </c>
      <c r="C241" t="s">
        <v>567</v>
      </c>
      <c r="D241" s="138">
        <v>3090000</v>
      </c>
      <c r="E241" t="s">
        <v>375</v>
      </c>
      <c r="F241" s="20" t="s">
        <v>376</v>
      </c>
      <c r="G241" s="8" t="str">
        <f t="shared" si="3"/>
        <v>LAMAR NEKESHA</v>
      </c>
    </row>
    <row r="242" spans="1:7" x14ac:dyDescent="0.25">
      <c r="A242" s="8">
        <v>42915.070543981485</v>
      </c>
      <c r="B242" t="s">
        <v>525</v>
      </c>
      <c r="C242" t="s">
        <v>578</v>
      </c>
      <c r="D242" s="138">
        <v>2230000</v>
      </c>
      <c r="E242" t="s">
        <v>342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42915.096736111111</v>
      </c>
      <c r="B243" t="s">
        <v>420</v>
      </c>
      <c r="C243" t="s">
        <v>579</v>
      </c>
      <c r="D243" s="138">
        <v>3090000</v>
      </c>
      <c r="E243" t="s">
        <v>375</v>
      </c>
      <c r="F243" s="20" t="s">
        <v>376</v>
      </c>
      <c r="G243" s="8" t="str">
        <f t="shared" si="3"/>
        <v>LAMAR NEKESHA</v>
      </c>
    </row>
    <row r="244" spans="1:7" x14ac:dyDescent="0.25">
      <c r="A244" s="8">
        <v>42913.929016203707</v>
      </c>
      <c r="B244" t="s">
        <v>475</v>
      </c>
      <c r="C244" t="s">
        <v>528</v>
      </c>
      <c r="D244" s="138">
        <v>3090000</v>
      </c>
      <c r="E244" t="s">
        <v>375</v>
      </c>
      <c r="F244" s="20" t="s">
        <v>376</v>
      </c>
      <c r="G244" s="8" t="str">
        <f t="shared" si="3"/>
        <v>LAMAR NEKESHA</v>
      </c>
    </row>
    <row r="245" spans="1:7" x14ac:dyDescent="0.25">
      <c r="A245" s="8">
        <v>42913.931215277778</v>
      </c>
      <c r="B245" t="s">
        <v>437</v>
      </c>
      <c r="C245" t="s">
        <v>529</v>
      </c>
      <c r="D245" s="138">
        <v>2230000</v>
      </c>
      <c r="E245" t="s">
        <v>342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42913.942037037035</v>
      </c>
      <c r="B246" t="s">
        <v>399</v>
      </c>
      <c r="C246" t="s">
        <v>530</v>
      </c>
      <c r="D246" s="138">
        <v>2000000</v>
      </c>
      <c r="E246" t="s">
        <v>452</v>
      </c>
      <c r="F246" s="20" t="s">
        <v>189</v>
      </c>
      <c r="G246" s="8" t="str">
        <f t="shared" si="3"/>
        <v>STAMBAUGH JAMES</v>
      </c>
    </row>
    <row r="247" spans="1:7" x14ac:dyDescent="0.25">
      <c r="A247" s="8">
        <v>42913.945648148147</v>
      </c>
      <c r="B247" t="s">
        <v>471</v>
      </c>
      <c r="C247" t="s">
        <v>531</v>
      </c>
      <c r="D247" s="138">
        <v>2090000</v>
      </c>
      <c r="E247" t="s">
        <v>443</v>
      </c>
      <c r="F247" s="20" t="s">
        <v>192</v>
      </c>
      <c r="G247" s="8" t="str">
        <f t="shared" si="3"/>
        <v>HAITHCOX MICHAEL</v>
      </c>
    </row>
    <row r="248" spans="1:7" x14ac:dyDescent="0.25">
      <c r="A248" s="8">
        <v>42913.948611111111</v>
      </c>
      <c r="B248" t="s">
        <v>402</v>
      </c>
      <c r="C248" t="s">
        <v>530</v>
      </c>
      <c r="D248" s="138">
        <v>2000000</v>
      </c>
      <c r="E248" t="s">
        <v>452</v>
      </c>
      <c r="F248" s="20" t="s">
        <v>189</v>
      </c>
      <c r="G248" s="8" t="str">
        <f t="shared" si="3"/>
        <v>STAMBAUGH JAMES</v>
      </c>
    </row>
    <row r="249" spans="1:7" x14ac:dyDescent="0.25">
      <c r="A249" s="8">
        <v>42913.949120370373</v>
      </c>
      <c r="B249" t="s">
        <v>402</v>
      </c>
      <c r="C249" t="s">
        <v>530</v>
      </c>
      <c r="D249" s="138">
        <v>2000000</v>
      </c>
      <c r="E249" t="s">
        <v>452</v>
      </c>
      <c r="F249" s="20" t="s">
        <v>189</v>
      </c>
      <c r="G249" s="8" t="str">
        <f t="shared" si="3"/>
        <v>STAMBAUGH JAMES</v>
      </c>
    </row>
    <row r="250" spans="1:7" x14ac:dyDescent="0.25">
      <c r="A250" s="8">
        <v>42913.952164351853</v>
      </c>
      <c r="B250" t="s">
        <v>493</v>
      </c>
      <c r="C250" t="s">
        <v>532</v>
      </c>
      <c r="D250" s="138">
        <v>3000000</v>
      </c>
      <c r="E250" t="s">
        <v>422</v>
      </c>
      <c r="F250" s="20" t="s">
        <v>423</v>
      </c>
      <c r="G250" s="8" t="str">
        <f t="shared" si="3"/>
        <v>FORTUNATO FRANK</v>
      </c>
    </row>
    <row r="251" spans="1:7" x14ac:dyDescent="0.25">
      <c r="A251" s="8">
        <v>42913.971284722225</v>
      </c>
      <c r="B251" t="s">
        <v>438</v>
      </c>
      <c r="C251" t="s">
        <v>533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42913.97347222222</v>
      </c>
      <c r="B252" t="s">
        <v>479</v>
      </c>
      <c r="C252" t="s">
        <v>534</v>
      </c>
      <c r="D252" s="138">
        <v>3090000</v>
      </c>
      <c r="E252" t="s">
        <v>375</v>
      </c>
      <c r="F252" s="20" t="s">
        <v>376</v>
      </c>
      <c r="G252" s="8" t="str">
        <f t="shared" si="3"/>
        <v>LAMAR NEKESHA</v>
      </c>
    </row>
    <row r="253" spans="1:7" x14ac:dyDescent="0.25">
      <c r="A253" s="8">
        <v>42913.985775462963</v>
      </c>
      <c r="B253" t="s">
        <v>449</v>
      </c>
      <c r="C253" t="s">
        <v>535</v>
      </c>
      <c r="D253" s="138">
        <v>3000000</v>
      </c>
      <c r="E253" t="s">
        <v>422</v>
      </c>
      <c r="F253" s="20" t="s">
        <v>423</v>
      </c>
      <c r="G253" s="8" t="str">
        <f t="shared" si="3"/>
        <v>FORTUNATO FRANK</v>
      </c>
    </row>
    <row r="254" spans="1:7" x14ac:dyDescent="0.25">
      <c r="A254" s="8">
        <v>42913.985983796294</v>
      </c>
      <c r="B254" t="s">
        <v>478</v>
      </c>
      <c r="C254" t="s">
        <v>536</v>
      </c>
      <c r="D254" s="138">
        <v>2090000</v>
      </c>
      <c r="E254" t="s">
        <v>443</v>
      </c>
      <c r="F254" s="20" t="s">
        <v>192</v>
      </c>
      <c r="G254" s="8" t="str">
        <f t="shared" si="3"/>
        <v>HAITHCOX MICHAEL</v>
      </c>
    </row>
    <row r="255" spans="1:7" x14ac:dyDescent="0.25">
      <c r="A255" s="8">
        <v>42914.006678240738</v>
      </c>
      <c r="B255" t="s">
        <v>475</v>
      </c>
      <c r="C255" t="s">
        <v>537</v>
      </c>
      <c r="D255" s="138">
        <v>3090000</v>
      </c>
      <c r="E255" t="s">
        <v>375</v>
      </c>
      <c r="F255" s="20" t="s">
        <v>376</v>
      </c>
      <c r="G255" s="8" t="str">
        <f t="shared" si="3"/>
        <v>LAMAR NEKESHA</v>
      </c>
    </row>
    <row r="256" spans="1:7" x14ac:dyDescent="0.25">
      <c r="A256" s="8">
        <v>42914.013194444444</v>
      </c>
      <c r="B256" t="s">
        <v>437</v>
      </c>
      <c r="C256" t="s">
        <v>538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42914.028240740743</v>
      </c>
      <c r="B257" t="s">
        <v>471</v>
      </c>
      <c r="C257" t="s">
        <v>539</v>
      </c>
      <c r="D257" s="138">
        <v>2090000</v>
      </c>
      <c r="E257" t="s">
        <v>443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42914.029791666668</v>
      </c>
      <c r="B258" t="s">
        <v>471</v>
      </c>
      <c r="C258" t="s">
        <v>539</v>
      </c>
      <c r="D258" s="138">
        <v>2090000</v>
      </c>
      <c r="E258" t="s">
        <v>443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42914.034594907411</v>
      </c>
      <c r="B259" t="s">
        <v>493</v>
      </c>
      <c r="C259" t="s">
        <v>524</v>
      </c>
      <c r="D259" s="138">
        <v>3000000</v>
      </c>
      <c r="E259" t="s">
        <v>422</v>
      </c>
      <c r="F259" s="20" t="s">
        <v>423</v>
      </c>
      <c r="G259" s="8" t="str">
        <f t="shared" ref="G259:G322" si="4">E259&amp;" "&amp;F259</f>
        <v>FORTUNATO FRANK</v>
      </c>
    </row>
    <row r="260" spans="1:7" x14ac:dyDescent="0.25">
      <c r="A260" s="8">
        <v>42914.048738425925</v>
      </c>
      <c r="B260" t="s">
        <v>438</v>
      </c>
      <c r="C260" t="s">
        <v>540</v>
      </c>
      <c r="D260" s="138">
        <v>2230000</v>
      </c>
      <c r="E260" t="s">
        <v>342</v>
      </c>
      <c r="F260" s="20" t="s">
        <v>192</v>
      </c>
      <c r="G260" s="8" t="str">
        <f t="shared" si="4"/>
        <v>SMITH MICHAEL</v>
      </c>
    </row>
    <row r="261" spans="1:7" x14ac:dyDescent="0.25">
      <c r="A261" s="8">
        <v>42914.055451388886</v>
      </c>
      <c r="B261" t="s">
        <v>479</v>
      </c>
      <c r="C261" t="s">
        <v>541</v>
      </c>
      <c r="D261" s="138">
        <v>3090000</v>
      </c>
      <c r="E261" t="s">
        <v>375</v>
      </c>
      <c r="F261" s="20" t="s">
        <v>376</v>
      </c>
      <c r="G261" s="8" t="str">
        <f t="shared" si="4"/>
        <v>LAMAR NEKESHA</v>
      </c>
    </row>
    <row r="262" spans="1:7" x14ac:dyDescent="0.25">
      <c r="A262" s="8">
        <v>42914.070810185185</v>
      </c>
      <c r="B262" t="s">
        <v>449</v>
      </c>
      <c r="C262" t="s">
        <v>542</v>
      </c>
      <c r="D262" s="138">
        <v>3000000</v>
      </c>
      <c r="E262" t="s">
        <v>422</v>
      </c>
      <c r="F262" s="20" t="s">
        <v>423</v>
      </c>
      <c r="G262" s="8" t="str">
        <f t="shared" si="4"/>
        <v>FORTUNATO FRANK</v>
      </c>
    </row>
    <row r="263" spans="1:7" x14ac:dyDescent="0.25">
      <c r="A263" s="8">
        <v>42914.090590277781</v>
      </c>
      <c r="B263" t="s">
        <v>475</v>
      </c>
      <c r="C263" t="s">
        <v>543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42914.091817129629</v>
      </c>
      <c r="B264" t="s">
        <v>475</v>
      </c>
      <c r="C264" t="s">
        <v>543</v>
      </c>
      <c r="D264" s="138">
        <v>3090000</v>
      </c>
      <c r="E264" t="s">
        <v>375</v>
      </c>
      <c r="F264" s="20" t="s">
        <v>376</v>
      </c>
      <c r="G264" s="8" t="str">
        <f t="shared" si="4"/>
        <v>LAMAR NEKESHA</v>
      </c>
    </row>
    <row r="265" spans="1:7" x14ac:dyDescent="0.25">
      <c r="A265" s="8">
        <v>42914.092777777776</v>
      </c>
      <c r="B265" t="s">
        <v>475</v>
      </c>
      <c r="C265" t="s">
        <v>543</v>
      </c>
      <c r="D265" s="138">
        <v>3090000</v>
      </c>
      <c r="E265" t="s">
        <v>375</v>
      </c>
      <c r="F265" s="20" t="s">
        <v>376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494</v>
      </c>
      <c r="C266" t="s">
        <v>544</v>
      </c>
      <c r="D266" s="138">
        <v>940000</v>
      </c>
      <c r="E266" t="s">
        <v>508</v>
      </c>
      <c r="F266" s="20" t="s">
        <v>509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439</v>
      </c>
      <c r="C267" t="s">
        <v>450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453</v>
      </c>
      <c r="O1" s="171" t="s">
        <v>156</v>
      </c>
      <c r="P1" s="171" t="s">
        <v>163</v>
      </c>
      <c r="Q1" s="171" t="s">
        <v>454</v>
      </c>
      <c r="R1" s="171" t="s">
        <v>160</v>
      </c>
      <c r="S1"/>
    </row>
    <row r="2" spans="1:19" x14ac:dyDescent="0.25">
      <c r="A2" s="172">
        <v>70.61</v>
      </c>
      <c r="B2" s="172">
        <v>0</v>
      </c>
      <c r="C2" s="172">
        <v>39.659999999999997</v>
      </c>
      <c r="D2" s="8">
        <v>42918</v>
      </c>
      <c r="E2" s="172">
        <v>0.32</v>
      </c>
      <c r="F2" s="172" t="s">
        <v>445</v>
      </c>
      <c r="G2" s="172">
        <v>313.83</v>
      </c>
      <c r="H2" s="172">
        <v>0</v>
      </c>
      <c r="I2" s="172">
        <v>0</v>
      </c>
      <c r="J2" s="172">
        <v>1011.98</v>
      </c>
      <c r="K2" s="172" t="s">
        <v>446</v>
      </c>
      <c r="L2" s="172">
        <v>70.61</v>
      </c>
      <c r="M2" s="172">
        <v>1498975200</v>
      </c>
      <c r="N2" s="172">
        <v>0</v>
      </c>
      <c r="O2" s="172">
        <v>10</v>
      </c>
      <c r="P2" s="172">
        <v>259</v>
      </c>
      <c r="Q2" s="172">
        <v>5.51</v>
      </c>
      <c r="R2" s="172">
        <v>2.64</v>
      </c>
      <c r="S2"/>
    </row>
    <row r="3" spans="1:19" x14ac:dyDescent="0.25">
      <c r="A3" s="172">
        <v>68.599999999999994</v>
      </c>
      <c r="B3" s="172">
        <v>0</v>
      </c>
      <c r="C3" s="172">
        <v>40.22</v>
      </c>
      <c r="D3" s="8">
        <v>42918.041666666664</v>
      </c>
      <c r="E3" s="172">
        <v>0.36</v>
      </c>
      <c r="F3" s="172" t="s">
        <v>445</v>
      </c>
      <c r="G3" s="172">
        <v>312.98</v>
      </c>
      <c r="H3" s="172">
        <v>0</v>
      </c>
      <c r="I3" s="172">
        <v>0</v>
      </c>
      <c r="J3" s="172">
        <v>1012.23</v>
      </c>
      <c r="K3" s="172" t="s">
        <v>446</v>
      </c>
      <c r="L3" s="172">
        <v>68.599999999999994</v>
      </c>
      <c r="M3" s="172">
        <v>1498978800</v>
      </c>
      <c r="N3" s="172">
        <v>0</v>
      </c>
      <c r="O3" s="172">
        <v>10</v>
      </c>
      <c r="P3" s="172">
        <v>256</v>
      </c>
      <c r="Q3" s="172">
        <v>5.27</v>
      </c>
      <c r="R3" s="172">
        <v>3.37</v>
      </c>
      <c r="S3"/>
    </row>
    <row r="4" spans="1:19" x14ac:dyDescent="0.25">
      <c r="A4" s="172">
        <v>68.08</v>
      </c>
      <c r="B4" s="172">
        <v>0</v>
      </c>
      <c r="C4" s="172">
        <v>39.94</v>
      </c>
      <c r="D4" s="8">
        <v>42918.083333333336</v>
      </c>
      <c r="E4" s="172">
        <v>0.36</v>
      </c>
      <c r="F4" s="172" t="s">
        <v>445</v>
      </c>
      <c r="G4" s="172">
        <v>311.83</v>
      </c>
      <c r="H4" s="172">
        <v>0</v>
      </c>
      <c r="I4" s="172">
        <v>0</v>
      </c>
      <c r="J4" s="172">
        <v>1012.23</v>
      </c>
      <c r="K4" s="172" t="s">
        <v>446</v>
      </c>
      <c r="L4" s="172">
        <v>68.08</v>
      </c>
      <c r="M4" s="172">
        <v>1498982400</v>
      </c>
      <c r="N4" s="172">
        <v>0</v>
      </c>
      <c r="O4" s="172">
        <v>10</v>
      </c>
      <c r="P4" s="172">
        <v>211</v>
      </c>
      <c r="Q4" s="172">
        <v>5.5</v>
      </c>
      <c r="R4" s="172">
        <v>3.98</v>
      </c>
      <c r="S4"/>
    </row>
    <row r="5" spans="1:19" x14ac:dyDescent="0.25">
      <c r="A5" s="172">
        <v>67.069999999999993</v>
      </c>
      <c r="B5" s="172">
        <v>0.02</v>
      </c>
      <c r="C5" s="172">
        <v>39.119999999999997</v>
      </c>
      <c r="D5" s="8">
        <v>42918.125</v>
      </c>
      <c r="E5" s="172">
        <v>0.36</v>
      </c>
      <c r="F5" s="172" t="s">
        <v>445</v>
      </c>
      <c r="G5" s="172">
        <v>311.3</v>
      </c>
      <c r="H5" s="172">
        <v>0</v>
      </c>
      <c r="I5" s="172">
        <v>0</v>
      </c>
      <c r="J5" s="172">
        <v>1012.26</v>
      </c>
      <c r="K5" s="172" t="s">
        <v>446</v>
      </c>
      <c r="L5" s="172">
        <v>67.069999999999993</v>
      </c>
      <c r="M5" s="172">
        <v>1498986000</v>
      </c>
      <c r="N5" s="172">
        <v>0</v>
      </c>
      <c r="O5" s="172">
        <v>10</v>
      </c>
      <c r="P5" s="172">
        <v>223</v>
      </c>
      <c r="Q5" s="172">
        <v>5.82</v>
      </c>
      <c r="R5" s="172">
        <v>4.38</v>
      </c>
      <c r="S5"/>
    </row>
    <row r="6" spans="1:19" x14ac:dyDescent="0.25">
      <c r="A6" s="172">
        <v>66.17</v>
      </c>
      <c r="B6" s="172">
        <v>0</v>
      </c>
      <c r="C6" s="172">
        <v>38.99</v>
      </c>
      <c r="D6" s="8">
        <v>42918.166666666664</v>
      </c>
      <c r="E6" s="172">
        <v>0.37</v>
      </c>
      <c r="F6" s="172" t="s">
        <v>445</v>
      </c>
      <c r="G6" s="172">
        <v>311.41000000000003</v>
      </c>
      <c r="H6" s="172">
        <v>0</v>
      </c>
      <c r="I6" s="172">
        <v>0</v>
      </c>
      <c r="J6" s="172">
        <v>1012.48</v>
      </c>
      <c r="K6" s="172" t="s">
        <v>446</v>
      </c>
      <c r="L6" s="172">
        <v>66.17</v>
      </c>
      <c r="M6" s="172">
        <v>1498989600</v>
      </c>
      <c r="N6" s="172">
        <v>0</v>
      </c>
      <c r="O6" s="172">
        <v>10</v>
      </c>
      <c r="P6" s="172">
        <v>232</v>
      </c>
      <c r="Q6" s="172">
        <v>6.39</v>
      </c>
      <c r="R6" s="172">
        <v>4.71</v>
      </c>
      <c r="S6"/>
    </row>
    <row r="7" spans="1:19" x14ac:dyDescent="0.25">
      <c r="A7" s="172">
        <v>65.099999999999994</v>
      </c>
      <c r="B7" s="172">
        <v>0</v>
      </c>
      <c r="C7" s="172">
        <v>38.869999999999997</v>
      </c>
      <c r="D7" s="8">
        <v>42918.208333333336</v>
      </c>
      <c r="E7" s="172">
        <v>0.38</v>
      </c>
      <c r="F7" s="172" t="s">
        <v>445</v>
      </c>
      <c r="G7" s="172">
        <v>311.95</v>
      </c>
      <c r="H7" s="172">
        <v>0</v>
      </c>
      <c r="I7" s="172">
        <v>0</v>
      </c>
      <c r="J7" s="172">
        <v>1012.77</v>
      </c>
      <c r="K7" s="172" t="s">
        <v>446</v>
      </c>
      <c r="L7" s="172">
        <v>65.099999999999994</v>
      </c>
      <c r="M7" s="172">
        <v>1498993200</v>
      </c>
      <c r="N7" s="172">
        <v>0</v>
      </c>
      <c r="O7" s="172">
        <v>10</v>
      </c>
      <c r="P7" s="172">
        <v>213</v>
      </c>
      <c r="Q7" s="172">
        <v>6.14</v>
      </c>
      <c r="R7" s="172">
        <v>4.3099999999999996</v>
      </c>
      <c r="S7"/>
    </row>
    <row r="8" spans="1:19" x14ac:dyDescent="0.25">
      <c r="A8" s="172">
        <v>64.8</v>
      </c>
      <c r="B8" s="172">
        <v>0</v>
      </c>
      <c r="C8" s="172">
        <v>38.880000000000003</v>
      </c>
      <c r="D8" s="8">
        <v>42918.25</v>
      </c>
      <c r="E8" s="172">
        <v>0.38</v>
      </c>
      <c r="F8" s="172" t="s">
        <v>447</v>
      </c>
      <c r="G8" s="172">
        <v>309.41000000000003</v>
      </c>
      <c r="H8" s="172">
        <v>0</v>
      </c>
      <c r="I8" s="172">
        <v>0</v>
      </c>
      <c r="J8" s="172">
        <v>1012.77</v>
      </c>
      <c r="K8" s="172" t="s">
        <v>446</v>
      </c>
      <c r="L8" s="172">
        <v>64.8</v>
      </c>
      <c r="M8" s="172">
        <v>1498996800</v>
      </c>
      <c r="N8" s="172">
        <v>0</v>
      </c>
      <c r="O8" s="172">
        <v>10</v>
      </c>
      <c r="P8" s="172">
        <v>214</v>
      </c>
      <c r="Q8" s="172">
        <v>6.82</v>
      </c>
      <c r="R8" s="172">
        <v>5.04</v>
      </c>
      <c r="S8"/>
    </row>
    <row r="9" spans="1:19" x14ac:dyDescent="0.25">
      <c r="A9" s="172">
        <v>69.17</v>
      </c>
      <c r="B9" s="172">
        <v>0.06</v>
      </c>
      <c r="C9" s="172">
        <v>38.33</v>
      </c>
      <c r="D9" s="8">
        <v>42918.291666666664</v>
      </c>
      <c r="E9" s="172">
        <v>0.32</v>
      </c>
      <c r="F9" s="172" t="s">
        <v>447</v>
      </c>
      <c r="G9" s="172">
        <v>310.05</v>
      </c>
      <c r="H9" s="172">
        <v>0</v>
      </c>
      <c r="I9" s="172">
        <v>0</v>
      </c>
      <c r="J9" s="172">
        <v>1012.51</v>
      </c>
      <c r="K9" s="172" t="s">
        <v>446</v>
      </c>
      <c r="L9" s="172">
        <v>69.17</v>
      </c>
      <c r="M9" s="172">
        <v>1499000400</v>
      </c>
      <c r="N9" s="172">
        <v>1</v>
      </c>
      <c r="O9" s="172">
        <v>10</v>
      </c>
      <c r="P9" s="172">
        <v>176</v>
      </c>
      <c r="Q9" s="172">
        <v>4.82</v>
      </c>
      <c r="R9" s="172">
        <v>3.56</v>
      </c>
      <c r="S9"/>
    </row>
    <row r="10" spans="1:19" x14ac:dyDescent="0.25">
      <c r="A10" s="172">
        <v>75.66</v>
      </c>
      <c r="B10" s="172">
        <v>0.15</v>
      </c>
      <c r="C10" s="172">
        <v>37.840000000000003</v>
      </c>
      <c r="D10" s="8">
        <v>42918.333333333336</v>
      </c>
      <c r="E10" s="172">
        <v>0.25</v>
      </c>
      <c r="F10" s="172" t="s">
        <v>447</v>
      </c>
      <c r="G10" s="172">
        <v>311.01</v>
      </c>
      <c r="H10" s="172">
        <v>0</v>
      </c>
      <c r="I10" s="172">
        <v>0</v>
      </c>
      <c r="J10" s="172">
        <v>1012.07</v>
      </c>
      <c r="K10" s="172" t="s">
        <v>446</v>
      </c>
      <c r="L10" s="172">
        <v>75.66</v>
      </c>
      <c r="M10" s="172">
        <v>1499004000</v>
      </c>
      <c r="N10" s="172">
        <v>1</v>
      </c>
      <c r="O10" s="172">
        <v>10</v>
      </c>
      <c r="P10" s="172">
        <v>300</v>
      </c>
      <c r="Q10" s="172">
        <v>5.67</v>
      </c>
      <c r="R10" s="172">
        <v>2.81</v>
      </c>
      <c r="S10"/>
    </row>
    <row r="11" spans="1:19" x14ac:dyDescent="0.25">
      <c r="A11" s="172">
        <v>83.34</v>
      </c>
      <c r="B11" s="172">
        <v>0.2</v>
      </c>
      <c r="C11" s="172">
        <v>36.659999999999997</v>
      </c>
      <c r="D11" s="8">
        <v>42918.375</v>
      </c>
      <c r="E11" s="172">
        <v>0.19</v>
      </c>
      <c r="F11" s="172" t="s">
        <v>447</v>
      </c>
      <c r="G11" s="172">
        <v>311.95999999999998</v>
      </c>
      <c r="H11" s="172">
        <v>0</v>
      </c>
      <c r="I11" s="172">
        <v>0</v>
      </c>
      <c r="J11" s="172">
        <v>1011.45</v>
      </c>
      <c r="K11" s="172" t="s">
        <v>446</v>
      </c>
      <c r="L11" s="172">
        <v>83.34</v>
      </c>
      <c r="M11" s="172">
        <v>1499007600</v>
      </c>
      <c r="N11" s="172">
        <v>2</v>
      </c>
      <c r="O11" s="172">
        <v>10</v>
      </c>
      <c r="P11" s="172">
        <v>4</v>
      </c>
      <c r="Q11" s="172">
        <v>3.88</v>
      </c>
      <c r="R11" s="172">
        <v>2.14</v>
      </c>
      <c r="S11"/>
    </row>
    <row r="12" spans="1:19" x14ac:dyDescent="0.25">
      <c r="A12" s="172">
        <v>87.93</v>
      </c>
      <c r="B12" s="172">
        <v>0.18</v>
      </c>
      <c r="C12" s="172">
        <v>35.46</v>
      </c>
      <c r="D12" s="8">
        <v>42918.416666666664</v>
      </c>
      <c r="E12" s="172">
        <v>0.16</v>
      </c>
      <c r="F12" s="172" t="s">
        <v>447</v>
      </c>
      <c r="G12" s="172">
        <v>312.81</v>
      </c>
      <c r="H12" s="172">
        <v>0</v>
      </c>
      <c r="I12" s="172">
        <v>0</v>
      </c>
      <c r="J12" s="172">
        <v>1011.05</v>
      </c>
      <c r="K12" s="172" t="s">
        <v>446</v>
      </c>
      <c r="L12" s="172">
        <v>87.93</v>
      </c>
      <c r="M12" s="172">
        <v>1499011200</v>
      </c>
      <c r="N12" s="172">
        <v>5</v>
      </c>
      <c r="O12" s="172">
        <v>10</v>
      </c>
      <c r="P12" s="172">
        <v>15</v>
      </c>
      <c r="Q12" s="172">
        <v>5.59</v>
      </c>
      <c r="R12" s="172">
        <v>3.14</v>
      </c>
      <c r="S12"/>
    </row>
    <row r="13" spans="1:19" x14ac:dyDescent="0.25">
      <c r="A13" s="172">
        <v>91.21</v>
      </c>
      <c r="B13" s="172">
        <v>0.13</v>
      </c>
      <c r="C13" s="172">
        <v>33.659999999999997</v>
      </c>
      <c r="D13" s="8">
        <v>42918.458333333336</v>
      </c>
      <c r="E13" s="172">
        <v>0.13</v>
      </c>
      <c r="F13" s="172" t="s">
        <v>447</v>
      </c>
      <c r="G13" s="172">
        <v>313.54000000000002</v>
      </c>
      <c r="H13" s="172">
        <v>0</v>
      </c>
      <c r="I13" s="172">
        <v>0</v>
      </c>
      <c r="J13" s="172">
        <v>1010.69</v>
      </c>
      <c r="K13" s="172" t="s">
        <v>446</v>
      </c>
      <c r="L13" s="172">
        <v>91.21</v>
      </c>
      <c r="M13" s="172">
        <v>1499014800</v>
      </c>
      <c r="N13" s="172">
        <v>8</v>
      </c>
      <c r="O13" s="172">
        <v>10</v>
      </c>
      <c r="P13" s="172">
        <v>72</v>
      </c>
      <c r="Q13" s="172">
        <v>11.55</v>
      </c>
      <c r="R13" s="172">
        <v>5.24</v>
      </c>
      <c r="S13"/>
    </row>
    <row r="14" spans="1:19" x14ac:dyDescent="0.25">
      <c r="A14" s="172">
        <v>96.3</v>
      </c>
      <c r="B14" s="172">
        <v>0.16</v>
      </c>
      <c r="C14" s="172">
        <v>31.3</v>
      </c>
      <c r="D14" s="8">
        <v>42918.5</v>
      </c>
      <c r="E14" s="172">
        <v>0.1</v>
      </c>
      <c r="F14" s="172" t="s">
        <v>447</v>
      </c>
      <c r="G14" s="172">
        <v>310.89999999999998</v>
      </c>
      <c r="H14" s="172">
        <v>0</v>
      </c>
      <c r="I14" s="172">
        <v>0</v>
      </c>
      <c r="J14" s="172">
        <v>1009.6</v>
      </c>
      <c r="K14" s="172" t="s">
        <v>446</v>
      </c>
      <c r="L14" s="172">
        <v>96.3</v>
      </c>
      <c r="M14" s="172">
        <v>1499018400</v>
      </c>
      <c r="N14" s="172">
        <v>10</v>
      </c>
      <c r="O14" s="172">
        <v>10</v>
      </c>
      <c r="P14" s="172">
        <v>67</v>
      </c>
      <c r="Q14" s="172">
        <v>10.37</v>
      </c>
      <c r="R14" s="172">
        <v>4.67</v>
      </c>
      <c r="S14"/>
    </row>
    <row r="15" spans="1:19" x14ac:dyDescent="0.25">
      <c r="A15" s="172">
        <v>97.19</v>
      </c>
      <c r="B15" s="172">
        <v>0.34</v>
      </c>
      <c r="C15" s="172">
        <v>29.8</v>
      </c>
      <c r="D15" s="8">
        <v>42918.541666666664</v>
      </c>
      <c r="E15" s="172">
        <v>0.09</v>
      </c>
      <c r="F15" s="172" t="s">
        <v>465</v>
      </c>
      <c r="G15" s="172">
        <v>311.64</v>
      </c>
      <c r="H15" s="172">
        <v>0</v>
      </c>
      <c r="I15" s="172">
        <v>0</v>
      </c>
      <c r="J15" s="172">
        <v>1009.14</v>
      </c>
      <c r="K15" s="172" t="s">
        <v>466</v>
      </c>
      <c r="L15" s="172">
        <v>97.19</v>
      </c>
      <c r="M15" s="172">
        <v>1499022000</v>
      </c>
      <c r="N15" s="172">
        <v>10</v>
      </c>
      <c r="O15" s="172">
        <v>10</v>
      </c>
      <c r="P15" s="172">
        <v>63</v>
      </c>
      <c r="Q15" s="172">
        <v>9.8699999999999992</v>
      </c>
      <c r="R15" s="172">
        <v>4.26</v>
      </c>
      <c r="S15"/>
    </row>
    <row r="16" spans="1:19" x14ac:dyDescent="0.25">
      <c r="A16" s="172">
        <v>96.4</v>
      </c>
      <c r="B16" s="172">
        <v>0.46</v>
      </c>
      <c r="C16" s="172">
        <v>28.48</v>
      </c>
      <c r="D16" s="8">
        <v>42918.583333333336</v>
      </c>
      <c r="E16" s="172">
        <v>0.09</v>
      </c>
      <c r="F16" s="172" t="s">
        <v>465</v>
      </c>
      <c r="G16" s="172">
        <v>312.69</v>
      </c>
      <c r="H16" s="172">
        <v>0</v>
      </c>
      <c r="I16" s="172">
        <v>0</v>
      </c>
      <c r="J16" s="172">
        <v>1009.07</v>
      </c>
      <c r="K16" s="172" t="s">
        <v>466</v>
      </c>
      <c r="L16" s="172">
        <v>96.4</v>
      </c>
      <c r="M16" s="172">
        <v>1499025600</v>
      </c>
      <c r="N16" s="172">
        <v>9</v>
      </c>
      <c r="O16" s="172">
        <v>10</v>
      </c>
      <c r="P16" s="172">
        <v>21</v>
      </c>
      <c r="Q16" s="172">
        <v>7.21</v>
      </c>
      <c r="R16" s="172">
        <v>3.49</v>
      </c>
      <c r="S16"/>
    </row>
    <row r="17" spans="1:19" x14ac:dyDescent="0.25">
      <c r="A17" s="172">
        <v>93.4</v>
      </c>
      <c r="B17" s="172">
        <v>0.46</v>
      </c>
      <c r="C17" s="172">
        <v>28.86</v>
      </c>
      <c r="D17" s="8">
        <v>42918.625</v>
      </c>
      <c r="E17" s="172">
        <v>0.1</v>
      </c>
      <c r="F17" s="172" t="s">
        <v>465</v>
      </c>
      <c r="G17" s="172">
        <v>313.52999999999997</v>
      </c>
      <c r="H17" s="172">
        <v>0</v>
      </c>
      <c r="I17" s="172">
        <v>0</v>
      </c>
      <c r="J17" s="172">
        <v>1009.43</v>
      </c>
      <c r="K17" s="172" t="s">
        <v>466</v>
      </c>
      <c r="L17" s="172">
        <v>93.4</v>
      </c>
      <c r="M17" s="172">
        <v>1499029200</v>
      </c>
      <c r="N17" s="172">
        <v>7</v>
      </c>
      <c r="O17" s="172">
        <v>10</v>
      </c>
      <c r="P17" s="172">
        <v>201</v>
      </c>
      <c r="Q17" s="172">
        <v>7.25</v>
      </c>
      <c r="R17" s="172">
        <v>4.8499999999999996</v>
      </c>
      <c r="S17"/>
    </row>
    <row r="18" spans="1:19" x14ac:dyDescent="0.25">
      <c r="A18" s="172">
        <v>91.85</v>
      </c>
      <c r="B18" s="172">
        <v>0.7</v>
      </c>
      <c r="C18" s="172">
        <v>30.43</v>
      </c>
      <c r="D18" s="8">
        <v>42918.666666666664</v>
      </c>
      <c r="E18" s="172">
        <v>0.11</v>
      </c>
      <c r="F18" s="172" t="s">
        <v>465</v>
      </c>
      <c r="G18" s="172">
        <v>313.52999999999997</v>
      </c>
      <c r="H18" s="172">
        <v>0</v>
      </c>
      <c r="I18" s="172">
        <v>0</v>
      </c>
      <c r="J18" s="172">
        <v>1009.92</v>
      </c>
      <c r="K18" s="172" t="s">
        <v>580</v>
      </c>
      <c r="L18" s="172">
        <v>91.85</v>
      </c>
      <c r="M18" s="172">
        <v>1499032800</v>
      </c>
      <c r="N18" s="172">
        <v>4</v>
      </c>
      <c r="O18" s="172">
        <v>10</v>
      </c>
      <c r="P18" s="172">
        <v>304</v>
      </c>
      <c r="Q18" s="172">
        <v>14.83</v>
      </c>
      <c r="R18" s="172">
        <v>7.47</v>
      </c>
      <c r="S18"/>
    </row>
    <row r="19" spans="1:19" x14ac:dyDescent="0.25">
      <c r="A19" s="172">
        <v>90.87</v>
      </c>
      <c r="B19" s="172">
        <v>0.87</v>
      </c>
      <c r="C19" s="172">
        <v>31.74</v>
      </c>
      <c r="D19" s="8">
        <v>42918.708333333336</v>
      </c>
      <c r="E19" s="172">
        <v>0.12</v>
      </c>
      <c r="F19" s="172" t="s">
        <v>465</v>
      </c>
      <c r="G19" s="172">
        <v>313.12</v>
      </c>
      <c r="H19" s="172">
        <v>0</v>
      </c>
      <c r="I19" s="172">
        <v>0</v>
      </c>
      <c r="J19" s="172">
        <v>1009.92</v>
      </c>
      <c r="K19" s="172" t="s">
        <v>580</v>
      </c>
      <c r="L19" s="172">
        <v>90.87</v>
      </c>
      <c r="M19" s="172">
        <v>1499036400</v>
      </c>
      <c r="N19" s="172">
        <v>2</v>
      </c>
      <c r="O19" s="172">
        <v>10</v>
      </c>
      <c r="P19" s="172">
        <v>175</v>
      </c>
      <c r="Q19" s="172">
        <v>11.36</v>
      </c>
      <c r="R19" s="172">
        <v>7.6</v>
      </c>
      <c r="S19"/>
    </row>
    <row r="20" spans="1:19" x14ac:dyDescent="0.25">
      <c r="A20" s="172">
        <v>90.26</v>
      </c>
      <c r="B20" s="172">
        <v>0.73</v>
      </c>
      <c r="C20" s="172">
        <v>33.04</v>
      </c>
      <c r="D20" s="8">
        <v>42918.75</v>
      </c>
      <c r="E20" s="172">
        <v>0.13</v>
      </c>
      <c r="F20" s="172" t="s">
        <v>465</v>
      </c>
      <c r="G20" s="172">
        <v>308.12</v>
      </c>
      <c r="H20" s="172">
        <v>0</v>
      </c>
      <c r="I20" s="172">
        <v>0</v>
      </c>
      <c r="J20" s="172">
        <v>1009.94</v>
      </c>
      <c r="K20" s="172" t="s">
        <v>580</v>
      </c>
      <c r="L20" s="172">
        <v>90.26</v>
      </c>
      <c r="M20" s="172">
        <v>1499040000</v>
      </c>
      <c r="N20" s="172">
        <v>1</v>
      </c>
      <c r="O20" s="172">
        <v>10</v>
      </c>
      <c r="P20" s="172">
        <v>220</v>
      </c>
      <c r="Q20" s="172">
        <v>4.26</v>
      </c>
      <c r="R20" s="172">
        <v>4.2300000000000004</v>
      </c>
      <c r="S20"/>
    </row>
    <row r="21" spans="1:19" x14ac:dyDescent="0.25">
      <c r="A21" s="172">
        <v>88.16</v>
      </c>
      <c r="B21" s="172">
        <v>0.74</v>
      </c>
      <c r="C21" s="172">
        <v>34.229999999999997</v>
      </c>
      <c r="D21" s="8">
        <v>42918.791666666664</v>
      </c>
      <c r="E21" s="172">
        <v>0.15</v>
      </c>
      <c r="F21" s="172" t="s">
        <v>465</v>
      </c>
      <c r="G21" s="172">
        <v>308.22000000000003</v>
      </c>
      <c r="H21" s="172">
        <v>0</v>
      </c>
      <c r="I21" s="172">
        <v>0</v>
      </c>
      <c r="J21" s="172">
        <v>1010.31</v>
      </c>
      <c r="K21" s="172" t="s">
        <v>580</v>
      </c>
      <c r="L21" s="172">
        <v>88.16</v>
      </c>
      <c r="M21" s="172">
        <v>1499043600</v>
      </c>
      <c r="N21" s="172">
        <v>0</v>
      </c>
      <c r="O21" s="172">
        <v>10</v>
      </c>
      <c r="P21" s="172">
        <v>218</v>
      </c>
      <c r="Q21" s="172">
        <v>6.78</v>
      </c>
      <c r="R21" s="172">
        <v>5.51</v>
      </c>
      <c r="S21"/>
    </row>
    <row r="22" spans="1:19" x14ac:dyDescent="0.25">
      <c r="A22" s="172">
        <v>85.69</v>
      </c>
      <c r="B22" s="172">
        <v>0.69</v>
      </c>
      <c r="C22" s="172">
        <v>34.229999999999997</v>
      </c>
      <c r="D22" s="8">
        <v>42918.833333333336</v>
      </c>
      <c r="E22" s="172">
        <v>0.16</v>
      </c>
      <c r="F22" s="172" t="s">
        <v>465</v>
      </c>
      <c r="G22" s="172">
        <v>309.07</v>
      </c>
      <c r="H22" s="172">
        <v>0</v>
      </c>
      <c r="I22" s="172">
        <v>0</v>
      </c>
      <c r="J22" s="172">
        <v>1010.86</v>
      </c>
      <c r="K22" s="172" t="s">
        <v>580</v>
      </c>
      <c r="L22" s="172">
        <v>85.69</v>
      </c>
      <c r="M22" s="172">
        <v>1499047200</v>
      </c>
      <c r="N22" s="172">
        <v>0</v>
      </c>
      <c r="O22" s="172">
        <v>10</v>
      </c>
      <c r="P22" s="172">
        <v>249</v>
      </c>
      <c r="Q22" s="172">
        <v>12.5</v>
      </c>
      <c r="R22" s="172">
        <v>7.29</v>
      </c>
      <c r="S22"/>
    </row>
    <row r="23" spans="1:19" x14ac:dyDescent="0.25">
      <c r="A23" s="172">
        <v>83.1</v>
      </c>
      <c r="B23" s="172">
        <v>0.62</v>
      </c>
      <c r="C23" s="172">
        <v>33.409999999999997</v>
      </c>
      <c r="D23" s="8">
        <v>42918.875</v>
      </c>
      <c r="E23" s="172">
        <v>0.17</v>
      </c>
      <c r="F23" s="172" t="s">
        <v>581</v>
      </c>
      <c r="G23" s="172">
        <v>310.02</v>
      </c>
      <c r="H23" s="172">
        <v>0</v>
      </c>
      <c r="I23" s="172">
        <v>0</v>
      </c>
      <c r="J23" s="172">
        <v>1011.65</v>
      </c>
      <c r="K23" s="172" t="s">
        <v>580</v>
      </c>
      <c r="L23" s="172">
        <v>83.1</v>
      </c>
      <c r="M23" s="172">
        <v>1499050800</v>
      </c>
      <c r="N23" s="172">
        <v>0</v>
      </c>
      <c r="O23" s="172">
        <v>10</v>
      </c>
      <c r="P23" s="172">
        <v>269</v>
      </c>
      <c r="Q23" s="172">
        <v>14.75</v>
      </c>
      <c r="R23" s="172">
        <v>6.71</v>
      </c>
      <c r="S23"/>
    </row>
    <row r="24" spans="1:19" x14ac:dyDescent="0.25">
      <c r="A24" s="172">
        <v>80.64</v>
      </c>
      <c r="B24" s="172">
        <v>0.64</v>
      </c>
      <c r="C24" s="172">
        <v>33.74</v>
      </c>
      <c r="D24" s="8">
        <v>42918.916666666664</v>
      </c>
      <c r="E24" s="172">
        <v>0.18</v>
      </c>
      <c r="F24" s="172" t="s">
        <v>581</v>
      </c>
      <c r="G24" s="172">
        <v>310.76</v>
      </c>
      <c r="H24" s="172">
        <v>0</v>
      </c>
      <c r="I24" s="172">
        <v>0</v>
      </c>
      <c r="J24" s="172">
        <v>1012.09</v>
      </c>
      <c r="K24" s="172" t="s">
        <v>580</v>
      </c>
      <c r="L24" s="172">
        <v>80.64</v>
      </c>
      <c r="M24" s="172">
        <v>1499054400</v>
      </c>
      <c r="N24" s="172">
        <v>0</v>
      </c>
      <c r="O24" s="172">
        <v>10</v>
      </c>
      <c r="P24" s="172">
        <v>301</v>
      </c>
      <c r="Q24" s="172">
        <v>11.26</v>
      </c>
      <c r="R24" s="172">
        <v>6.13</v>
      </c>
      <c r="S24"/>
    </row>
    <row r="25" spans="1:19" x14ac:dyDescent="0.25">
      <c r="A25" s="172">
        <v>78.13</v>
      </c>
      <c r="B25" s="172">
        <v>0.62</v>
      </c>
      <c r="C25" s="172">
        <v>34.619999999999997</v>
      </c>
      <c r="D25" s="8">
        <v>42918.958333333336</v>
      </c>
      <c r="E25" s="172">
        <v>0.21</v>
      </c>
      <c r="F25" s="172" t="s">
        <v>581</v>
      </c>
      <c r="G25" s="172">
        <v>311.60000000000002</v>
      </c>
      <c r="H25" s="172">
        <v>0</v>
      </c>
      <c r="I25" s="172">
        <v>0</v>
      </c>
      <c r="J25" s="172">
        <v>1012.28</v>
      </c>
      <c r="K25" s="172" t="s">
        <v>580</v>
      </c>
      <c r="L25" s="172">
        <v>78.13</v>
      </c>
      <c r="M25" s="172">
        <v>1499058000</v>
      </c>
      <c r="N25" s="172">
        <v>0</v>
      </c>
      <c r="O25" s="172">
        <v>10</v>
      </c>
      <c r="P25" s="172">
        <v>255</v>
      </c>
      <c r="Q25" s="172">
        <v>6.84</v>
      </c>
      <c r="R25" s="172">
        <v>4.9400000000000004</v>
      </c>
      <c r="S25"/>
    </row>
    <row r="26" spans="1:19" x14ac:dyDescent="0.25">
      <c r="A26" s="172">
        <v>74.87</v>
      </c>
      <c r="B26" s="172">
        <v>0.53</v>
      </c>
      <c r="C26" s="172">
        <v>35.26</v>
      </c>
      <c r="D26" s="8">
        <v>42919</v>
      </c>
      <c r="E26" s="172">
        <v>0.24</v>
      </c>
      <c r="F26" s="172" t="s">
        <v>581</v>
      </c>
      <c r="G26" s="172">
        <v>312.33999999999997</v>
      </c>
      <c r="H26" s="172">
        <v>0</v>
      </c>
      <c r="I26" s="172">
        <v>0</v>
      </c>
      <c r="J26" s="172">
        <v>1012.73</v>
      </c>
      <c r="K26" s="172" t="s">
        <v>466</v>
      </c>
      <c r="L26" s="172">
        <v>74.87</v>
      </c>
      <c r="M26" s="172">
        <v>1499061600</v>
      </c>
      <c r="N26" s="172">
        <v>0</v>
      </c>
      <c r="O26" s="172">
        <v>10</v>
      </c>
      <c r="P26" s="172">
        <v>198</v>
      </c>
      <c r="Q26" s="172">
        <v>6.4</v>
      </c>
      <c r="R26" s="172">
        <v>4.8499999999999996</v>
      </c>
      <c r="S26"/>
    </row>
    <row r="27" spans="1:19" x14ac:dyDescent="0.25">
      <c r="A27" s="172">
        <v>73.67</v>
      </c>
      <c r="B27" s="172">
        <v>0.49</v>
      </c>
      <c r="C27" s="172">
        <v>36.369999999999997</v>
      </c>
      <c r="D27" s="8">
        <v>42919.041666666664</v>
      </c>
      <c r="E27" s="172">
        <v>0.26</v>
      </c>
      <c r="F27" s="172" t="s">
        <v>581</v>
      </c>
      <c r="G27" s="172">
        <v>313.08</v>
      </c>
      <c r="H27" s="172">
        <v>0</v>
      </c>
      <c r="I27" s="172">
        <v>0</v>
      </c>
      <c r="J27" s="172">
        <v>1012.88</v>
      </c>
      <c r="K27" s="172" t="s">
        <v>466</v>
      </c>
      <c r="L27" s="172">
        <v>73.67</v>
      </c>
      <c r="M27" s="172">
        <v>1499065200</v>
      </c>
      <c r="N27" s="172">
        <v>0</v>
      </c>
      <c r="O27" s="172">
        <v>10</v>
      </c>
      <c r="P27" s="172">
        <v>189</v>
      </c>
      <c r="Q27" s="172">
        <v>9.6199999999999992</v>
      </c>
      <c r="R27" s="172">
        <v>6.86</v>
      </c>
      <c r="S27"/>
    </row>
    <row r="28" spans="1:19" x14ac:dyDescent="0.25">
      <c r="A28" s="172">
        <v>72.48</v>
      </c>
      <c r="B28" s="172">
        <v>0.5</v>
      </c>
      <c r="C28" s="172">
        <v>36.979999999999997</v>
      </c>
      <c r="D28" s="8">
        <v>42919.083333333336</v>
      </c>
      <c r="E28" s="172">
        <v>0.27</v>
      </c>
      <c r="F28" s="172" t="s">
        <v>581</v>
      </c>
      <c r="G28" s="172">
        <v>313.62</v>
      </c>
      <c r="H28" s="172">
        <v>0</v>
      </c>
      <c r="I28" s="172">
        <v>0</v>
      </c>
      <c r="J28" s="172">
        <v>1012.94</v>
      </c>
      <c r="K28" s="172" t="s">
        <v>466</v>
      </c>
      <c r="L28" s="172">
        <v>72.48</v>
      </c>
      <c r="M28" s="172">
        <v>1499068800</v>
      </c>
      <c r="N28" s="172">
        <v>0</v>
      </c>
      <c r="O28" s="172">
        <v>10</v>
      </c>
      <c r="P28" s="172">
        <v>190</v>
      </c>
      <c r="Q28" s="172">
        <v>6.23</v>
      </c>
      <c r="R28" s="172">
        <v>4.9400000000000004</v>
      </c>
      <c r="S28"/>
    </row>
    <row r="29" spans="1:19" x14ac:dyDescent="0.25">
      <c r="A29" s="172">
        <v>72.09</v>
      </c>
      <c r="B29" s="172">
        <v>0.4</v>
      </c>
      <c r="C29" s="172">
        <v>37.04</v>
      </c>
      <c r="D29" s="8">
        <v>42919.125</v>
      </c>
      <c r="E29" s="172">
        <v>0.28000000000000003</v>
      </c>
      <c r="F29" s="172" t="s">
        <v>581</v>
      </c>
      <c r="G29" s="172">
        <v>314.25</v>
      </c>
      <c r="H29" s="172">
        <v>0</v>
      </c>
      <c r="I29" s="172">
        <v>0</v>
      </c>
      <c r="J29" s="172">
        <v>1012.91</v>
      </c>
      <c r="K29" s="172" t="s">
        <v>466</v>
      </c>
      <c r="L29" s="172">
        <v>72.09</v>
      </c>
      <c r="M29" s="172">
        <v>1499072400</v>
      </c>
      <c r="N29" s="172">
        <v>0</v>
      </c>
      <c r="O29" s="172">
        <v>10</v>
      </c>
      <c r="P29" s="172">
        <v>227</v>
      </c>
      <c r="Q29" s="172">
        <v>6.26</v>
      </c>
      <c r="R29" s="172">
        <v>4.6399999999999997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1"/>
  <sheetViews>
    <sheetView topLeftCell="A2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458</v>
      </c>
      <c r="AE2" s="56" t="s">
        <v>461</v>
      </c>
      <c r="AF2" s="56" t="s">
        <v>462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459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460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463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1009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1010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1011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1012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1013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1014</v>
      </c>
      <c r="J25" s="140" t="s">
        <v>146</v>
      </c>
      <c r="M25" s="154" t="b">
        <v>1</v>
      </c>
    </row>
    <row r="26" spans="3:24" x14ac:dyDescent="0.25">
      <c r="C26" t="s">
        <v>1015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C:\Users\stu\Documents\GitHub\eaglep3-reporting\EC\2017-07-02-refined-times.txt</v>
      </c>
    </row>
    <row r="27" spans="3:24" x14ac:dyDescent="0.25">
      <c r="C27" t="s">
        <v>1016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C:\Users\stu\Documents\GitHub\eaglep3-reporting\EC\2017-07-02-Enforcements.txt</v>
      </c>
    </row>
    <row r="28" spans="3:24" x14ac:dyDescent="0.25">
      <c r="C28" t="s">
        <v>1017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C:\Users\stu\Documents\GitHub\eaglep3-reporting\EC\2017-07-02-Runs-refined.txt</v>
      </c>
    </row>
    <row r="29" spans="3:24" x14ac:dyDescent="0.25">
      <c r="C29" t="s">
        <v>1018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C:\Users\stu\Documents\GitHub\eaglep3-reporting\EC\2017-07-02-Trips.txt</v>
      </c>
    </row>
    <row r="30" spans="3:24" x14ac:dyDescent="0.25">
      <c r="C30" t="s">
        <v>1019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C:\Users\stu\Documents\GitHub\eaglep3-reporting\EC\2017-07-02-Weather.txt</v>
      </c>
    </row>
    <row r="31" spans="3:24" x14ac:dyDescent="0.25">
      <c r="C31" t="s">
        <v>1020</v>
      </c>
      <c r="J31" s="140" t="s">
        <v>196</v>
      </c>
      <c r="M31" s="154" t="s">
        <v>197</v>
      </c>
    </row>
    <row r="32" spans="3:24" x14ac:dyDescent="0.25">
      <c r="C32" t="s">
        <v>1021</v>
      </c>
    </row>
    <row r="33" spans="3:3" x14ac:dyDescent="0.25">
      <c r="C33" t="s">
        <v>1022</v>
      </c>
    </row>
    <row r="34" spans="3:3" x14ac:dyDescent="0.25">
      <c r="C34" t="s">
        <v>1023</v>
      </c>
    </row>
    <row r="35" spans="3:3" x14ac:dyDescent="0.25">
      <c r="C35" t="s">
        <v>1024</v>
      </c>
    </row>
    <row r="36" spans="3:3" x14ac:dyDescent="0.25">
      <c r="C36" t="s">
        <v>1025</v>
      </c>
    </row>
    <row r="37" spans="3:3" x14ac:dyDescent="0.25">
      <c r="C37" t="s">
        <v>1026</v>
      </c>
    </row>
    <row r="38" spans="3:3" x14ac:dyDescent="0.25">
      <c r="C38" t="s">
        <v>1027</v>
      </c>
    </row>
    <row r="39" spans="3:3" x14ac:dyDescent="0.25">
      <c r="C39" t="s">
        <v>1028</v>
      </c>
    </row>
    <row r="40" spans="3:3" x14ac:dyDescent="0.25">
      <c r="C40" t="s">
        <v>1029</v>
      </c>
    </row>
    <row r="41" spans="3:3" x14ac:dyDescent="0.25">
      <c r="C41" t="s">
        <v>1030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2017-07-03T13:48:59Z</dcterms:modified>
</cp:coreProperties>
</file>