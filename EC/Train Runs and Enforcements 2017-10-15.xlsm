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Runs'!$A$12:$AG$373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9" i="1" l="1"/>
  <c r="K188" i="1"/>
  <c r="L188" i="1"/>
  <c r="M188" i="1"/>
  <c r="V188" i="1"/>
  <c r="Y188" i="1"/>
  <c r="Z188" i="1"/>
  <c r="AA188" i="1" s="1"/>
  <c r="AB188" i="1"/>
  <c r="AC188" i="1"/>
  <c r="AD188" i="1"/>
  <c r="T188" i="1" s="1"/>
  <c r="AE188" i="1"/>
  <c r="AF188" i="1"/>
  <c r="AH188" i="1"/>
  <c r="AM188" i="1"/>
  <c r="AN188" i="1"/>
  <c r="AO188" i="1"/>
  <c r="P186" i="1"/>
  <c r="X180" i="1"/>
  <c r="X181" i="1"/>
  <c r="K179" i="1"/>
  <c r="L179" i="1"/>
  <c r="M179" i="1"/>
  <c r="N179" i="1" s="1"/>
  <c r="V179" i="1"/>
  <c r="AA179" i="1"/>
  <c r="AB179" i="1"/>
  <c r="AC179" i="1"/>
  <c r="AD179" i="1"/>
  <c r="T179" i="1" s="1"/>
  <c r="AE179" i="1"/>
  <c r="R29" i="3" s="1"/>
  <c r="AF179" i="1"/>
  <c r="AH179" i="1"/>
  <c r="AM179" i="1"/>
  <c r="AN179" i="1"/>
  <c r="AO179" i="1"/>
  <c r="X173" i="1"/>
  <c r="X174" i="1"/>
  <c r="X175" i="1"/>
  <c r="X176" i="1"/>
  <c r="K175" i="1"/>
  <c r="L175" i="1"/>
  <c r="M175" i="1"/>
  <c r="N175" i="1" s="1"/>
  <c r="V175" i="1"/>
  <c r="S27" i="3" s="1"/>
  <c r="AA175" i="1"/>
  <c r="AB175" i="1"/>
  <c r="AC175" i="1"/>
  <c r="AD175" i="1"/>
  <c r="T175" i="1" s="1"/>
  <c r="AE175" i="1"/>
  <c r="R26" i="3" s="1"/>
  <c r="AF175" i="1"/>
  <c r="AH175" i="1"/>
  <c r="AM175" i="1"/>
  <c r="AN175" i="1"/>
  <c r="AO175" i="1"/>
  <c r="K157" i="1"/>
  <c r="L157" i="1"/>
  <c r="M157" i="1"/>
  <c r="N157" i="1" s="1"/>
  <c r="V157" i="1"/>
  <c r="S17" i="3" s="1"/>
  <c r="AA157" i="1"/>
  <c r="AB157" i="1"/>
  <c r="AC157" i="1"/>
  <c r="AD157" i="1"/>
  <c r="T157" i="1" s="1"/>
  <c r="AE157" i="1"/>
  <c r="AF157" i="1"/>
  <c r="AH157" i="1"/>
  <c r="AM157" i="1"/>
  <c r="AN157" i="1"/>
  <c r="AO157" i="1"/>
  <c r="K154" i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51" i="1"/>
  <c r="L151" i="1"/>
  <c r="M151" i="1"/>
  <c r="N151" i="1" s="1"/>
  <c r="V151" i="1"/>
  <c r="S16" i="3" s="1"/>
  <c r="AA151" i="1"/>
  <c r="AB151" i="1"/>
  <c r="AC151" i="1"/>
  <c r="AD151" i="1"/>
  <c r="T151" i="1" s="1"/>
  <c r="AE151" i="1"/>
  <c r="AF151" i="1"/>
  <c r="AH151" i="1"/>
  <c r="AM151" i="1"/>
  <c r="AN151" i="1"/>
  <c r="AO151" i="1"/>
  <c r="Y148" i="1"/>
  <c r="Y149" i="1"/>
  <c r="K143" i="1"/>
  <c r="L143" i="1"/>
  <c r="M143" i="1"/>
  <c r="N143" i="1" s="1"/>
  <c r="V143" i="1"/>
  <c r="S15" i="3" s="1"/>
  <c r="AA143" i="1"/>
  <c r="AB143" i="1"/>
  <c r="AC143" i="1"/>
  <c r="AD143" i="1"/>
  <c r="AE143" i="1"/>
  <c r="AF143" i="1"/>
  <c r="AH143" i="1"/>
  <c r="AM143" i="1"/>
  <c r="AN143" i="1"/>
  <c r="AO143" i="1"/>
  <c r="K141" i="1"/>
  <c r="L141" i="1"/>
  <c r="M141" i="1"/>
  <c r="N141" i="1" s="1"/>
  <c r="V141" i="1"/>
  <c r="AA141" i="1"/>
  <c r="AB141" i="1"/>
  <c r="AC141" i="1"/>
  <c r="AD141" i="1"/>
  <c r="T141" i="1" s="1"/>
  <c r="AE141" i="1"/>
  <c r="AF141" i="1"/>
  <c r="AH141" i="1"/>
  <c r="AM141" i="1"/>
  <c r="AN141" i="1"/>
  <c r="AO141" i="1"/>
  <c r="K118" i="1"/>
  <c r="L118" i="1"/>
  <c r="M118" i="1"/>
  <c r="N118" i="1" s="1"/>
  <c r="V118" i="1"/>
  <c r="AA118" i="1"/>
  <c r="AB118" i="1"/>
  <c r="AC118" i="1"/>
  <c r="AD118" i="1"/>
  <c r="AE118" i="1"/>
  <c r="AF118" i="1"/>
  <c r="AH118" i="1"/>
  <c r="AM118" i="1"/>
  <c r="AN118" i="1"/>
  <c r="AO118" i="1"/>
  <c r="K38" i="1"/>
  <c r="L38" i="1"/>
  <c r="M38" i="1"/>
  <c r="V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S18" i="3" s="1"/>
  <c r="Y23" i="1"/>
  <c r="Z23" i="1"/>
  <c r="AB23" i="1"/>
  <c r="AC23" i="1"/>
  <c r="AD23" i="1"/>
  <c r="AE23" i="1"/>
  <c r="R19" i="3" s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R20" i="3" s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P37" i="1" s="1"/>
  <c r="V37" i="1"/>
  <c r="Y37" i="1"/>
  <c r="AB37" i="1"/>
  <c r="AC37" i="1"/>
  <c r="AD37" i="1"/>
  <c r="AE37" i="1"/>
  <c r="AF37" i="1"/>
  <c r="AH37" i="1"/>
  <c r="AM37" i="1"/>
  <c r="AN37" i="1"/>
  <c r="AO37" i="1"/>
  <c r="K39" i="1"/>
  <c r="L39" i="1"/>
  <c r="M39" i="1"/>
  <c r="N39" i="1" s="1"/>
  <c r="V39" i="1"/>
  <c r="S13" i="3" s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R8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S11" i="3" s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S21" i="3" s="1"/>
  <c r="Y70" i="1"/>
  <c r="Z70" i="1"/>
  <c r="AB70" i="1"/>
  <c r="AC70" i="1"/>
  <c r="AD70" i="1"/>
  <c r="T70" i="1" s="1"/>
  <c r="AE70" i="1"/>
  <c r="R21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AO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AO95" i="1"/>
  <c r="AH96" i="1"/>
  <c r="AM96" i="1"/>
  <c r="AN96" i="1"/>
  <c r="AO96" i="1"/>
  <c r="K160" i="1"/>
  <c r="L160" i="1"/>
  <c r="M160" i="1"/>
  <c r="N160" i="1" s="1"/>
  <c r="V160" i="1"/>
  <c r="S24" i="3" s="1"/>
  <c r="Y160" i="1"/>
  <c r="Z160" i="1"/>
  <c r="AB160" i="1"/>
  <c r="AC160" i="1"/>
  <c r="AD160" i="1"/>
  <c r="AE160" i="1"/>
  <c r="R24" i="3" s="1"/>
  <c r="AF160" i="1"/>
  <c r="AH97" i="1"/>
  <c r="AM97" i="1"/>
  <c r="AN97" i="1"/>
  <c r="AO97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98" i="1"/>
  <c r="AM98" i="1"/>
  <c r="AN98" i="1"/>
  <c r="AO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9" i="1"/>
  <c r="AM99" i="1"/>
  <c r="AN99" i="1"/>
  <c r="AO9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00" i="1"/>
  <c r="AM100" i="1"/>
  <c r="AN100" i="1"/>
  <c r="AO10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1" i="1"/>
  <c r="AM101" i="1"/>
  <c r="AN101" i="1"/>
  <c r="AO1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2" i="1"/>
  <c r="AM102" i="1"/>
  <c r="AN102" i="1"/>
  <c r="AO1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3" i="1"/>
  <c r="AM103" i="1"/>
  <c r="AN103" i="1"/>
  <c r="AO103" i="1"/>
  <c r="AH104" i="1"/>
  <c r="AM104" i="1"/>
  <c r="AN104" i="1"/>
  <c r="AO104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05" i="1"/>
  <c r="AM105" i="1"/>
  <c r="AN105" i="1"/>
  <c r="AO105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106" i="1"/>
  <c r="AM106" i="1"/>
  <c r="AN106" i="1"/>
  <c r="AO106" i="1"/>
  <c r="K168" i="1"/>
  <c r="L168" i="1"/>
  <c r="M168" i="1"/>
  <c r="N168" i="1" s="1"/>
  <c r="V168" i="1"/>
  <c r="S25" i="3" s="1"/>
  <c r="Y168" i="1"/>
  <c r="Z168" i="1"/>
  <c r="AB168" i="1"/>
  <c r="AC168" i="1"/>
  <c r="AD168" i="1"/>
  <c r="T168" i="1" s="1"/>
  <c r="AE168" i="1"/>
  <c r="R25" i="3" s="1"/>
  <c r="AF168" i="1"/>
  <c r="AH107" i="1"/>
  <c r="AM107" i="1"/>
  <c r="AN107" i="1"/>
  <c r="AO107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08" i="1"/>
  <c r="AM108" i="1"/>
  <c r="AN108" i="1"/>
  <c r="AO10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9" i="1"/>
  <c r="AM109" i="1"/>
  <c r="AN109" i="1"/>
  <c r="AO10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10" i="1"/>
  <c r="AM110" i="1"/>
  <c r="AN110" i="1"/>
  <c r="AO11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1" i="1"/>
  <c r="AM111" i="1"/>
  <c r="AN111" i="1"/>
  <c r="AO111" i="1"/>
  <c r="AH112" i="1"/>
  <c r="AM112" i="1"/>
  <c r="AN112" i="1"/>
  <c r="AO11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3" i="1"/>
  <c r="AM113" i="1"/>
  <c r="AN113" i="1"/>
  <c r="AO11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4" i="1"/>
  <c r="AM114" i="1"/>
  <c r="AN114" i="1"/>
  <c r="AO11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5" i="1"/>
  <c r="AM115" i="1"/>
  <c r="AN115" i="1"/>
  <c r="AO115" i="1"/>
  <c r="K177" i="1"/>
  <c r="L177" i="1"/>
  <c r="M177" i="1"/>
  <c r="N177" i="1" s="1"/>
  <c r="V177" i="1"/>
  <c r="S28" i="3" s="1"/>
  <c r="Y177" i="1"/>
  <c r="Z177" i="1"/>
  <c r="AB177" i="1"/>
  <c r="AC177" i="1"/>
  <c r="AD177" i="1"/>
  <c r="T177" i="1" s="1"/>
  <c r="AE177" i="1"/>
  <c r="AF177" i="1"/>
  <c r="AH116" i="1"/>
  <c r="AM116" i="1"/>
  <c r="AN116" i="1"/>
  <c r="AO116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7" i="1"/>
  <c r="AM117" i="1"/>
  <c r="AN117" i="1"/>
  <c r="AO11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9" i="1"/>
  <c r="AM119" i="1"/>
  <c r="AN119" i="1"/>
  <c r="AO11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20" i="1"/>
  <c r="AM120" i="1"/>
  <c r="AN120" i="1"/>
  <c r="AO120" i="1"/>
  <c r="K181" i="1"/>
  <c r="L181" i="1"/>
  <c r="M181" i="1"/>
  <c r="N181" i="1" s="1"/>
  <c r="V181" i="1"/>
  <c r="S30" i="3" s="1"/>
  <c r="Y181" i="1"/>
  <c r="Z181" i="1"/>
  <c r="AB181" i="1"/>
  <c r="AC181" i="1"/>
  <c r="AD181" i="1"/>
  <c r="T181" i="1" s="1"/>
  <c r="AE181" i="1"/>
  <c r="R30" i="3" s="1"/>
  <c r="AF181" i="1"/>
  <c r="AH121" i="1"/>
  <c r="AM121" i="1"/>
  <c r="AN121" i="1"/>
  <c r="AO12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2" i="1"/>
  <c r="AM122" i="1"/>
  <c r="AN122" i="1"/>
  <c r="AO122" i="1"/>
  <c r="K183" i="1"/>
  <c r="L183" i="1"/>
  <c r="M183" i="1"/>
  <c r="N183" i="1" s="1"/>
  <c r="V183" i="1"/>
  <c r="S31" i="3" s="1"/>
  <c r="Y183" i="1"/>
  <c r="Z183" i="1"/>
  <c r="AB183" i="1"/>
  <c r="AC183" i="1"/>
  <c r="AD183" i="1"/>
  <c r="T183" i="1" s="1"/>
  <c r="AE183" i="1"/>
  <c r="R31" i="3" s="1"/>
  <c r="AF183" i="1"/>
  <c r="AH123" i="1"/>
  <c r="AM123" i="1"/>
  <c r="AN123" i="1"/>
  <c r="AO12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4" i="1"/>
  <c r="AM124" i="1"/>
  <c r="AN124" i="1"/>
  <c r="AO124" i="1"/>
  <c r="K185" i="1"/>
  <c r="L185" i="1"/>
  <c r="M185" i="1"/>
  <c r="N185" i="1" s="1"/>
  <c r="V185" i="1"/>
  <c r="S32" i="3" s="1"/>
  <c r="Y185" i="1"/>
  <c r="Z185" i="1"/>
  <c r="AB185" i="1"/>
  <c r="AC185" i="1"/>
  <c r="AD185" i="1"/>
  <c r="T185" i="1" s="1"/>
  <c r="AE185" i="1"/>
  <c r="R32" i="3" s="1"/>
  <c r="AF185" i="1"/>
  <c r="AH125" i="1"/>
  <c r="AM125" i="1"/>
  <c r="AN125" i="1"/>
  <c r="AO125" i="1"/>
  <c r="K186" i="1"/>
  <c r="L186" i="1"/>
  <c r="M186" i="1"/>
  <c r="V186" i="1"/>
  <c r="Y186" i="1"/>
  <c r="Z186" i="1"/>
  <c r="AB186" i="1"/>
  <c r="AC186" i="1"/>
  <c r="AD186" i="1"/>
  <c r="AE186" i="1"/>
  <c r="AF186" i="1"/>
  <c r="AH126" i="1"/>
  <c r="AM126" i="1"/>
  <c r="AN126" i="1"/>
  <c r="AO126" i="1"/>
  <c r="K187" i="1"/>
  <c r="L187" i="1"/>
  <c r="M187" i="1"/>
  <c r="N187" i="1" s="1"/>
  <c r="V187" i="1"/>
  <c r="S33" i="3" s="1"/>
  <c r="Y187" i="1"/>
  <c r="Z187" i="1"/>
  <c r="AA187" i="1" s="1"/>
  <c r="AB187" i="1"/>
  <c r="AC187" i="1"/>
  <c r="AD187" i="1"/>
  <c r="AE187" i="1"/>
  <c r="R34" i="3" s="1"/>
  <c r="AF187" i="1"/>
  <c r="AH127" i="1"/>
  <c r="AM127" i="1"/>
  <c r="AN127" i="1"/>
  <c r="AO12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8" i="1"/>
  <c r="AM128" i="1"/>
  <c r="AN128" i="1"/>
  <c r="AO128" i="1"/>
  <c r="K189" i="1"/>
  <c r="L189" i="1"/>
  <c r="M189" i="1"/>
  <c r="N189" i="1" s="1"/>
  <c r="V189" i="1"/>
  <c r="S35" i="3" s="1"/>
  <c r="Y189" i="1"/>
  <c r="Z189" i="1"/>
  <c r="AB189" i="1"/>
  <c r="AC189" i="1"/>
  <c r="AD189" i="1"/>
  <c r="AE189" i="1"/>
  <c r="R35" i="3" s="1"/>
  <c r="AF189" i="1"/>
  <c r="AH129" i="1"/>
  <c r="AM129" i="1"/>
  <c r="AN129" i="1"/>
  <c r="AO12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0" i="1"/>
  <c r="AM130" i="1"/>
  <c r="AN130" i="1"/>
  <c r="AO130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31" i="1"/>
  <c r="AM131" i="1"/>
  <c r="AN131" i="1"/>
  <c r="AO13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2" i="1"/>
  <c r="AM132" i="1"/>
  <c r="AN132" i="1"/>
  <c r="AO132" i="1"/>
  <c r="K193" i="1"/>
  <c r="L193" i="1"/>
  <c r="M193" i="1"/>
  <c r="N193" i="1" s="1"/>
  <c r="V193" i="1"/>
  <c r="S36" i="3" s="1"/>
  <c r="Y193" i="1"/>
  <c r="Z193" i="1"/>
  <c r="AB193" i="1"/>
  <c r="AC193" i="1"/>
  <c r="AD193" i="1"/>
  <c r="AE193" i="1"/>
  <c r="R36" i="3" s="1"/>
  <c r="AF193" i="1"/>
  <c r="AH133" i="1"/>
  <c r="AM133" i="1"/>
  <c r="AN133" i="1"/>
  <c r="AO133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4" i="1"/>
  <c r="AM134" i="1"/>
  <c r="AN134" i="1"/>
  <c r="AO134" i="1"/>
  <c r="K98" i="1"/>
  <c r="L98" i="1"/>
  <c r="M98" i="1"/>
  <c r="N98" i="1" s="1"/>
  <c r="V98" i="1"/>
  <c r="S7" i="3" s="1"/>
  <c r="Y98" i="1"/>
  <c r="Z98" i="1"/>
  <c r="AB98" i="1"/>
  <c r="AC98" i="1"/>
  <c r="AD98" i="1"/>
  <c r="AE98" i="1"/>
  <c r="R7" i="3" s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0" i="1"/>
  <c r="AM140" i="1"/>
  <c r="AN140" i="1"/>
  <c r="AO14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42" i="1"/>
  <c r="AM142" i="1"/>
  <c r="AN142" i="1"/>
  <c r="AO142" i="1"/>
  <c r="K208" i="1"/>
  <c r="L208" i="1"/>
  <c r="M208" i="1"/>
  <c r="N208" i="1" s="1"/>
  <c r="V208" i="1"/>
  <c r="S40" i="3" s="1"/>
  <c r="Y208" i="1"/>
  <c r="Z208" i="1"/>
  <c r="AB208" i="1"/>
  <c r="AC208" i="1"/>
  <c r="AD208" i="1"/>
  <c r="AE208" i="1"/>
  <c r="R40" i="3" s="1"/>
  <c r="AF208" i="1"/>
  <c r="AH144" i="1"/>
  <c r="AM144" i="1"/>
  <c r="AN144" i="1"/>
  <c r="AO144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5" i="1"/>
  <c r="AM145" i="1"/>
  <c r="AN145" i="1"/>
  <c r="AO145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6" i="1"/>
  <c r="AM146" i="1"/>
  <c r="AN146" i="1"/>
  <c r="AO146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8" i="1"/>
  <c r="AM148" i="1"/>
  <c r="AN148" i="1"/>
  <c r="AO148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9" i="1"/>
  <c r="AM149" i="1"/>
  <c r="AN149" i="1"/>
  <c r="AO149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0" i="1"/>
  <c r="AM150" i="1"/>
  <c r="AN150" i="1"/>
  <c r="AO150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6" i="1"/>
  <c r="AM156" i="1"/>
  <c r="AN156" i="1"/>
  <c r="AO156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58" i="1"/>
  <c r="AM158" i="1"/>
  <c r="AN158" i="1"/>
  <c r="AO158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9" i="1"/>
  <c r="AM159" i="1"/>
  <c r="AN159" i="1"/>
  <c r="AO15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2" i="1"/>
  <c r="AM162" i="1"/>
  <c r="AN162" i="1"/>
  <c r="AO162" i="1"/>
  <c r="K123" i="1"/>
  <c r="L123" i="1"/>
  <c r="M123" i="1"/>
  <c r="N123" i="1" s="1"/>
  <c r="V123" i="1"/>
  <c r="S10" i="3" s="1"/>
  <c r="Y123" i="1"/>
  <c r="Z123" i="1"/>
  <c r="AB123" i="1"/>
  <c r="AC123" i="1"/>
  <c r="AD123" i="1"/>
  <c r="AE123" i="1"/>
  <c r="R10" i="3" s="1"/>
  <c r="AF123" i="1"/>
  <c r="AH163" i="1"/>
  <c r="AM163" i="1"/>
  <c r="AN163" i="1"/>
  <c r="AO16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7" i="1"/>
  <c r="AM167" i="1"/>
  <c r="AN167" i="1"/>
  <c r="AO167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68" i="1"/>
  <c r="AM168" i="1"/>
  <c r="AN168" i="1"/>
  <c r="AO168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0" i="1"/>
  <c r="AM170" i="1"/>
  <c r="AN170" i="1"/>
  <c r="AO170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6" i="1"/>
  <c r="AM176" i="1"/>
  <c r="AN176" i="1"/>
  <c r="AO176" i="1"/>
  <c r="K138" i="1"/>
  <c r="L138" i="1"/>
  <c r="M138" i="1"/>
  <c r="N138" i="1" s="1"/>
  <c r="V138" i="1"/>
  <c r="S12" i="3" s="1"/>
  <c r="Y138" i="1"/>
  <c r="Z138" i="1"/>
  <c r="AB138" i="1"/>
  <c r="AC138" i="1"/>
  <c r="AD138" i="1"/>
  <c r="AE138" i="1"/>
  <c r="AF138" i="1"/>
  <c r="AH177" i="1"/>
  <c r="AM177" i="1"/>
  <c r="AN177" i="1"/>
  <c r="AO177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8" i="1"/>
  <c r="AM178" i="1"/>
  <c r="AN178" i="1"/>
  <c r="AO178" i="1"/>
  <c r="K140" i="1"/>
  <c r="L140" i="1"/>
  <c r="M140" i="1"/>
  <c r="N140" i="1" s="1"/>
  <c r="V140" i="1"/>
  <c r="S22" i="3" s="1"/>
  <c r="Y140" i="1"/>
  <c r="Z140" i="1"/>
  <c r="AB140" i="1"/>
  <c r="AC140" i="1"/>
  <c r="AD140" i="1"/>
  <c r="AE140" i="1"/>
  <c r="R22" i="3" s="1"/>
  <c r="AF140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4" i="1"/>
  <c r="AM184" i="1"/>
  <c r="AN184" i="1"/>
  <c r="AO184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6" i="1"/>
  <c r="AM186" i="1"/>
  <c r="AN186" i="1"/>
  <c r="AO186" i="1"/>
  <c r="AH187" i="1"/>
  <c r="AM187" i="1"/>
  <c r="AN187" i="1"/>
  <c r="AO187" i="1"/>
  <c r="K148" i="1"/>
  <c r="L148" i="1"/>
  <c r="M148" i="1"/>
  <c r="N148" i="1" s="1"/>
  <c r="V148" i="1"/>
  <c r="Z148" i="1"/>
  <c r="AB148" i="1"/>
  <c r="AC148" i="1"/>
  <c r="AD148" i="1"/>
  <c r="AE148" i="1"/>
  <c r="AF148" i="1"/>
  <c r="AH189" i="1"/>
  <c r="AM189" i="1"/>
  <c r="AN189" i="1"/>
  <c r="AO189" i="1"/>
  <c r="K149" i="1"/>
  <c r="L149" i="1"/>
  <c r="M149" i="1"/>
  <c r="N149" i="1" s="1"/>
  <c r="V149" i="1"/>
  <c r="Z149" i="1"/>
  <c r="AB149" i="1"/>
  <c r="AC149" i="1"/>
  <c r="AD149" i="1"/>
  <c r="X149" i="1" s="1"/>
  <c r="AE149" i="1"/>
  <c r="AF149" i="1"/>
  <c r="AH190" i="1"/>
  <c r="AM190" i="1"/>
  <c r="AN190" i="1"/>
  <c r="AO190" i="1"/>
  <c r="K150" i="1"/>
  <c r="L150" i="1"/>
  <c r="M150" i="1"/>
  <c r="N150" i="1" s="1"/>
  <c r="V150" i="1"/>
  <c r="S23" i="3" s="1"/>
  <c r="Y150" i="1"/>
  <c r="Z150" i="1"/>
  <c r="AB150" i="1"/>
  <c r="AC150" i="1"/>
  <c r="AD150" i="1"/>
  <c r="AE150" i="1"/>
  <c r="R23" i="3" s="1"/>
  <c r="AF150" i="1"/>
  <c r="AH191" i="1"/>
  <c r="AM191" i="1"/>
  <c r="AN191" i="1"/>
  <c r="AO19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4" i="1"/>
  <c r="AM194" i="1"/>
  <c r="AN194" i="1"/>
  <c r="AO19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AO196" i="1"/>
  <c r="K195" i="1"/>
  <c r="L195" i="1"/>
  <c r="M195" i="1"/>
  <c r="N195" i="1" s="1"/>
  <c r="V195" i="1"/>
  <c r="S39" i="3" s="1"/>
  <c r="Y195" i="1"/>
  <c r="Z195" i="1"/>
  <c r="AB195" i="1"/>
  <c r="AC195" i="1"/>
  <c r="AD195" i="1"/>
  <c r="AE195" i="1"/>
  <c r="R39" i="3" s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S37" i="3" s="1"/>
  <c r="Y202" i="1"/>
  <c r="Z202" i="1"/>
  <c r="AB202" i="1"/>
  <c r="AC202" i="1"/>
  <c r="AD202" i="1"/>
  <c r="T202" i="1" s="1"/>
  <c r="AE202" i="1"/>
  <c r="R37" i="3" s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AO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M39" i="3"/>
  <c r="U39" i="3"/>
  <c r="T39" i="3" s="1"/>
  <c r="V39" i="3"/>
  <c r="X39" i="3"/>
  <c r="M14" i="3"/>
  <c r="R14" i="3"/>
  <c r="S14" i="3"/>
  <c r="U14" i="3"/>
  <c r="AD14" i="3" s="1"/>
  <c r="V14" i="3"/>
  <c r="X14" i="3"/>
  <c r="M18" i="3"/>
  <c r="R18" i="3"/>
  <c r="U18" i="3"/>
  <c r="AC18" i="3" s="1"/>
  <c r="V18" i="3"/>
  <c r="X18" i="3"/>
  <c r="M19" i="3"/>
  <c r="U19" i="3"/>
  <c r="T19" i="3" s="1"/>
  <c r="V19" i="3"/>
  <c r="X19" i="3"/>
  <c r="M20" i="3"/>
  <c r="S20" i="3"/>
  <c r="U20" i="3"/>
  <c r="T20" i="3" s="1"/>
  <c r="V20" i="3"/>
  <c r="X20" i="3"/>
  <c r="M24" i="3"/>
  <c r="U24" i="3"/>
  <c r="V24" i="3"/>
  <c r="X24" i="3"/>
  <c r="M9" i="3"/>
  <c r="R9" i="3"/>
  <c r="S9" i="3"/>
  <c r="U9" i="3"/>
  <c r="AC9" i="3" s="1"/>
  <c r="V9" i="3"/>
  <c r="X9" i="3"/>
  <c r="M13" i="3"/>
  <c r="R13" i="3"/>
  <c r="U13" i="3"/>
  <c r="T13" i="3" s="1"/>
  <c r="V13" i="3"/>
  <c r="X13" i="3"/>
  <c r="M8" i="3"/>
  <c r="S8" i="3"/>
  <c r="U8" i="3"/>
  <c r="T8" i="3" s="1"/>
  <c r="V8" i="3"/>
  <c r="X8" i="3"/>
  <c r="M11" i="3"/>
  <c r="R11" i="3"/>
  <c r="U11" i="3"/>
  <c r="V11" i="3"/>
  <c r="X11" i="3"/>
  <c r="M25" i="3"/>
  <c r="U25" i="3"/>
  <c r="AC25" i="3" s="1"/>
  <c r="V25" i="3"/>
  <c r="X25" i="3"/>
  <c r="AD18" i="3"/>
  <c r="M21" i="3"/>
  <c r="U21" i="3"/>
  <c r="T21" i="3" s="1"/>
  <c r="V21" i="3"/>
  <c r="X21" i="3"/>
  <c r="M26" i="3"/>
  <c r="S26" i="3"/>
  <c r="U26" i="3"/>
  <c r="T26" i="3" s="1"/>
  <c r="V26" i="3"/>
  <c r="X26" i="3"/>
  <c r="M27" i="3"/>
  <c r="U27" i="3"/>
  <c r="AD27" i="3" s="1"/>
  <c r="V27" i="3"/>
  <c r="X27" i="3"/>
  <c r="M7" i="3"/>
  <c r="U7" i="3"/>
  <c r="AC7" i="3" s="1"/>
  <c r="V7" i="3"/>
  <c r="X7" i="3"/>
  <c r="M28" i="3"/>
  <c r="R28" i="3"/>
  <c r="U28" i="3"/>
  <c r="T28" i="3" s="1"/>
  <c r="V28" i="3"/>
  <c r="X28" i="3"/>
  <c r="M29" i="3"/>
  <c r="S29" i="3"/>
  <c r="U29" i="3"/>
  <c r="T29" i="3" s="1"/>
  <c r="V29" i="3"/>
  <c r="X29" i="3"/>
  <c r="M30" i="3"/>
  <c r="U30" i="3"/>
  <c r="V30" i="3"/>
  <c r="X30" i="3"/>
  <c r="M31" i="3"/>
  <c r="U31" i="3"/>
  <c r="AC31" i="3" s="1"/>
  <c r="V31" i="3"/>
  <c r="X31" i="3"/>
  <c r="M10" i="3"/>
  <c r="U10" i="3"/>
  <c r="T10" i="3" s="1"/>
  <c r="V10" i="3"/>
  <c r="X10" i="3"/>
  <c r="M32" i="3"/>
  <c r="U32" i="3"/>
  <c r="T32" i="3" s="1"/>
  <c r="V32" i="3"/>
  <c r="X32" i="3"/>
  <c r="M12" i="3"/>
  <c r="R12" i="3"/>
  <c r="U12" i="3"/>
  <c r="V12" i="3"/>
  <c r="X12" i="3"/>
  <c r="M33" i="3"/>
  <c r="U33" i="3"/>
  <c r="AC33" i="3" s="1"/>
  <c r="V33" i="3"/>
  <c r="X33" i="3"/>
  <c r="M34" i="3"/>
  <c r="U34" i="3"/>
  <c r="T34" i="3" s="1"/>
  <c r="V34" i="3"/>
  <c r="X34" i="3"/>
  <c r="M22" i="3"/>
  <c r="U22" i="3"/>
  <c r="T22" i="3" s="1"/>
  <c r="V22" i="3"/>
  <c r="X22" i="3"/>
  <c r="M35" i="3"/>
  <c r="U35" i="3"/>
  <c r="AD33" i="3" s="1"/>
  <c r="V35" i="3"/>
  <c r="X35" i="3"/>
  <c r="M15" i="3"/>
  <c r="R15" i="3"/>
  <c r="U15" i="3"/>
  <c r="AC15" i="3" s="1"/>
  <c r="V15" i="3"/>
  <c r="X15" i="3"/>
  <c r="M36" i="3"/>
  <c r="U36" i="3"/>
  <c r="T36" i="3" s="1"/>
  <c r="V36" i="3"/>
  <c r="X36" i="3"/>
  <c r="M23" i="3"/>
  <c r="U23" i="3"/>
  <c r="T23" i="3" s="1"/>
  <c r="V23" i="3"/>
  <c r="X23" i="3"/>
  <c r="M40" i="3"/>
  <c r="U40" i="3"/>
  <c r="V40" i="3"/>
  <c r="X40" i="3"/>
  <c r="M16" i="3"/>
  <c r="R16" i="3"/>
  <c r="U16" i="3"/>
  <c r="AC16" i="3" s="1"/>
  <c r="V16" i="3"/>
  <c r="X16" i="3"/>
  <c r="M37" i="3"/>
  <c r="U37" i="3"/>
  <c r="T37" i="3" s="1"/>
  <c r="V37" i="3"/>
  <c r="X37" i="3"/>
  <c r="M17" i="3"/>
  <c r="R17" i="3"/>
  <c r="U17" i="3"/>
  <c r="T17" i="3" s="1"/>
  <c r="V17" i="3"/>
  <c r="X17" i="3"/>
  <c r="AG188" i="1"/>
  <c r="AG179" i="1"/>
  <c r="AG175" i="1"/>
  <c r="AG157" i="1"/>
  <c r="AG154" i="1"/>
  <c r="AG151" i="1"/>
  <c r="AG143" i="1"/>
  <c r="AG141" i="1"/>
  <c r="AG118" i="1"/>
  <c r="AG38" i="1"/>
  <c r="AG16" i="1"/>
  <c r="AG20" i="1"/>
  <c r="AG24" i="1"/>
  <c r="AG28" i="1"/>
  <c r="AG32" i="1"/>
  <c r="AG36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160" i="1"/>
  <c r="AG164" i="1"/>
  <c r="AG167" i="1"/>
  <c r="AG170" i="1"/>
  <c r="AG173" i="1"/>
  <c r="AG95" i="1"/>
  <c r="AG182" i="1"/>
  <c r="AG186" i="1"/>
  <c r="AG191" i="1"/>
  <c r="AG102" i="1"/>
  <c r="AG108" i="1"/>
  <c r="AG112" i="1"/>
  <c r="AG116" i="1"/>
  <c r="AG121" i="1"/>
  <c r="AG125" i="1"/>
  <c r="AG129" i="1"/>
  <c r="AG133" i="1"/>
  <c r="AG137" i="1"/>
  <c r="AG142" i="1"/>
  <c r="AG149" i="1"/>
  <c r="AG155" i="1"/>
  <c r="AG196" i="1"/>
  <c r="AG200" i="1"/>
  <c r="AG204" i="1"/>
  <c r="AG210" i="1"/>
  <c r="AG214" i="1"/>
  <c r="AG218" i="1"/>
  <c r="AG222" i="1"/>
  <c r="AG190" i="1"/>
  <c r="AG105" i="1"/>
  <c r="AG103" i="1"/>
  <c r="AG17" i="1"/>
  <c r="AG21" i="1"/>
  <c r="AG25" i="1"/>
  <c r="AG29" i="1"/>
  <c r="AG33" i="1"/>
  <c r="AG37" i="1"/>
  <c r="AG42" i="1"/>
  <c r="AG46" i="1"/>
  <c r="AG50" i="1"/>
  <c r="AG14" i="1"/>
  <c r="AG18" i="1"/>
  <c r="AG22" i="1"/>
  <c r="AG26" i="1"/>
  <c r="AG30" i="1"/>
  <c r="AG34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159" i="1"/>
  <c r="AG162" i="1"/>
  <c r="AG166" i="1"/>
  <c r="AG168" i="1"/>
  <c r="AG172" i="1"/>
  <c r="AG176" i="1"/>
  <c r="AG180" i="1"/>
  <c r="AG184" i="1"/>
  <c r="AG96" i="1"/>
  <c r="AG98" i="1"/>
  <c r="AG104" i="1"/>
  <c r="AG110" i="1"/>
  <c r="AG114" i="1"/>
  <c r="AG119" i="1"/>
  <c r="AG123" i="1"/>
  <c r="AG127" i="1"/>
  <c r="AG131" i="1"/>
  <c r="AG135" i="1"/>
  <c r="AG139" i="1"/>
  <c r="AG145" i="1"/>
  <c r="AG152" i="1"/>
  <c r="AG194" i="1"/>
  <c r="AG198" i="1"/>
  <c r="AG202" i="1"/>
  <c r="AG206" i="1"/>
  <c r="AG212" i="1"/>
  <c r="AG216" i="1"/>
  <c r="AG220" i="1"/>
  <c r="AG224" i="1"/>
  <c r="AG107" i="1"/>
  <c r="AG208" i="1"/>
  <c r="AG136" i="1"/>
  <c r="AG192" i="1"/>
  <c r="AG23" i="1"/>
  <c r="AG54" i="1"/>
  <c r="AG70" i="1"/>
  <c r="AG86" i="1"/>
  <c r="AG171" i="1"/>
  <c r="AG207" i="1"/>
  <c r="AG122" i="1"/>
  <c r="AG138" i="1"/>
  <c r="AG156" i="1"/>
  <c r="AG219" i="1"/>
  <c r="AG178" i="1"/>
  <c r="AG211" i="1"/>
  <c r="AG27" i="1"/>
  <c r="AG44" i="1"/>
  <c r="AG56" i="1"/>
  <c r="AG64" i="1"/>
  <c r="AG72" i="1"/>
  <c r="AG80" i="1"/>
  <c r="AG88" i="1"/>
  <c r="AG181" i="1"/>
  <c r="AG189" i="1"/>
  <c r="AG106" i="1"/>
  <c r="AG115" i="1"/>
  <c r="AG124" i="1"/>
  <c r="AG132" i="1"/>
  <c r="AG140" i="1"/>
  <c r="AG148" i="1"/>
  <c r="AG195" i="1"/>
  <c r="AG203" i="1"/>
  <c r="AG213" i="1"/>
  <c r="AG221" i="1"/>
  <c r="AG99" i="1"/>
  <c r="AG19" i="1"/>
  <c r="AG35" i="1"/>
  <c r="AG52" i="1"/>
  <c r="AG68" i="1"/>
  <c r="AG76" i="1"/>
  <c r="AG84" i="1"/>
  <c r="AG163" i="1"/>
  <c r="AG169" i="1"/>
  <c r="AG185" i="1"/>
  <c r="AG111" i="1"/>
  <c r="AG128" i="1"/>
  <c r="AG153" i="1"/>
  <c r="AG209" i="1"/>
  <c r="AG225" i="1"/>
  <c r="AG15" i="1"/>
  <c r="AG31" i="1"/>
  <c r="AG48" i="1"/>
  <c r="AG58" i="1"/>
  <c r="AG66" i="1"/>
  <c r="AG74" i="1"/>
  <c r="AG82" i="1"/>
  <c r="AG90" i="1"/>
  <c r="AG161" i="1"/>
  <c r="AG94" i="1"/>
  <c r="AG174" i="1"/>
  <c r="AG183" i="1"/>
  <c r="AG193" i="1"/>
  <c r="AG109" i="1"/>
  <c r="AG117" i="1"/>
  <c r="AG126" i="1"/>
  <c r="AG134" i="1"/>
  <c r="AG144" i="1"/>
  <c r="AG150" i="1"/>
  <c r="AG197" i="1"/>
  <c r="AG205" i="1"/>
  <c r="AG215" i="1"/>
  <c r="AG223" i="1"/>
  <c r="AG97" i="1"/>
  <c r="AG60" i="1"/>
  <c r="AG92" i="1"/>
  <c r="AG177" i="1"/>
  <c r="AG100" i="1"/>
  <c r="AG120" i="1"/>
  <c r="AG146" i="1"/>
  <c r="AG199" i="1"/>
  <c r="AG217" i="1"/>
  <c r="AG40" i="1"/>
  <c r="AG62" i="1"/>
  <c r="AG78" i="1"/>
  <c r="AG158" i="1"/>
  <c r="AG165" i="1"/>
  <c r="AG187" i="1"/>
  <c r="AG113" i="1"/>
  <c r="AG130" i="1"/>
  <c r="AG147" i="1"/>
  <c r="AG201" i="1"/>
  <c r="AG101" i="1"/>
  <c r="W11" i="3"/>
  <c r="W35" i="3"/>
  <c r="W33" i="3"/>
  <c r="W9" i="3"/>
  <c r="W19" i="3"/>
  <c r="W37" i="3"/>
  <c r="W26" i="3"/>
  <c r="W23" i="3"/>
  <c r="W24" i="3"/>
  <c r="W12" i="3"/>
  <c r="W31" i="3"/>
  <c r="W18" i="3"/>
  <c r="W36" i="3"/>
  <c r="W28" i="3"/>
  <c r="W8" i="3"/>
  <c r="W22" i="3"/>
  <c r="W27" i="3"/>
  <c r="W40" i="3"/>
  <c r="W10" i="3"/>
  <c r="W25" i="3"/>
  <c r="W13" i="3"/>
  <c r="W39" i="3"/>
  <c r="W29" i="3"/>
  <c r="W17" i="3"/>
  <c r="W14" i="3"/>
  <c r="W30" i="3"/>
  <c r="W7" i="3"/>
  <c r="W34" i="3"/>
  <c r="W15" i="3"/>
  <c r="W21" i="3"/>
  <c r="W20" i="3"/>
  <c r="W32" i="3"/>
  <c r="W16" i="3"/>
  <c r="AI188" i="1" l="1"/>
  <c r="U188" i="1"/>
  <c r="S188" i="1" s="1"/>
  <c r="W188" i="1"/>
  <c r="X188" i="1"/>
  <c r="AI179" i="1"/>
  <c r="U179" i="1"/>
  <c r="S179" i="1" s="1"/>
  <c r="W179" i="1"/>
  <c r="X179" i="1"/>
  <c r="R33" i="3"/>
  <c r="AD29" i="3"/>
  <c r="X155" i="1"/>
  <c r="X142" i="1"/>
  <c r="X39" i="1"/>
  <c r="X168" i="1"/>
  <c r="X160" i="1"/>
  <c r="S19" i="3"/>
  <c r="X144" i="1"/>
  <c r="X164" i="1"/>
  <c r="AA224" i="1"/>
  <c r="AA211" i="1"/>
  <c r="X152" i="1"/>
  <c r="X148" i="1"/>
  <c r="AA173" i="1"/>
  <c r="AA169" i="1"/>
  <c r="X92" i="1"/>
  <c r="AA156" i="1"/>
  <c r="AA150" i="1"/>
  <c r="AA46" i="1"/>
  <c r="AA42" i="1"/>
  <c r="AA212" i="1"/>
  <c r="AA128" i="1"/>
  <c r="X146" i="1"/>
  <c r="AA197" i="1"/>
  <c r="X147" i="1"/>
  <c r="AA219" i="1"/>
  <c r="X218" i="1"/>
  <c r="AA131" i="1"/>
  <c r="AA123" i="1"/>
  <c r="AA119" i="1"/>
  <c r="AA106" i="1"/>
  <c r="AA193" i="1"/>
  <c r="AA189" i="1"/>
  <c r="AA185" i="1"/>
  <c r="AA92" i="1"/>
  <c r="T92" i="1"/>
  <c r="X89" i="1"/>
  <c r="X88" i="1"/>
  <c r="X71" i="1"/>
  <c r="AA68" i="1"/>
  <c r="AA64" i="1"/>
  <c r="AA60" i="1"/>
  <c r="X154" i="1"/>
  <c r="X157" i="1"/>
  <c r="X93" i="1"/>
  <c r="AA88" i="1"/>
  <c r="X81" i="1"/>
  <c r="X77" i="1"/>
  <c r="AA74" i="1"/>
  <c r="X73" i="1"/>
  <c r="AA66" i="1"/>
  <c r="X65" i="1"/>
  <c r="AA62" i="1"/>
  <c r="X60" i="1"/>
  <c r="X158" i="1"/>
  <c r="R27" i="3"/>
  <c r="AI175" i="1"/>
  <c r="U175" i="1"/>
  <c r="S175" i="1" s="1"/>
  <c r="W175" i="1"/>
  <c r="AI157" i="1"/>
  <c r="U157" i="1"/>
  <c r="S157" i="1" s="1"/>
  <c r="W157" i="1"/>
  <c r="AI154" i="1"/>
  <c r="U154" i="1"/>
  <c r="S154" i="1" s="1"/>
  <c r="W154" i="1"/>
  <c r="AI151" i="1"/>
  <c r="U151" i="1"/>
  <c r="S151" i="1" s="1"/>
  <c r="W151" i="1"/>
  <c r="X151" i="1"/>
  <c r="AA216" i="1"/>
  <c r="X206" i="1"/>
  <c r="AA111" i="1"/>
  <c r="AA110" i="1"/>
  <c r="W110" i="1" s="1"/>
  <c r="AA99" i="1"/>
  <c r="AA89" i="1"/>
  <c r="W89" i="1" s="1"/>
  <c r="AA86" i="1"/>
  <c r="X80" i="1"/>
  <c r="AA80" i="1"/>
  <c r="X79" i="1"/>
  <c r="AA78" i="1"/>
  <c r="AA52" i="1"/>
  <c r="AA35" i="1"/>
  <c r="X38" i="1"/>
  <c r="X118" i="1"/>
  <c r="X143" i="1"/>
  <c r="AA214" i="1"/>
  <c r="X204" i="1"/>
  <c r="AA144" i="1"/>
  <c r="AA138" i="1"/>
  <c r="AA134" i="1"/>
  <c r="AA100" i="1"/>
  <c r="AA171" i="1"/>
  <c r="X84" i="1"/>
  <c r="AA84" i="1"/>
  <c r="X83" i="1"/>
  <c r="T81" i="1"/>
  <c r="AA61" i="1"/>
  <c r="AA59" i="1"/>
  <c r="T118" i="1"/>
  <c r="U118" i="1" s="1"/>
  <c r="S118" i="1" s="1"/>
  <c r="X119" i="1"/>
  <c r="AD35" i="3"/>
  <c r="S34" i="3"/>
  <c r="X225" i="1"/>
  <c r="AA223" i="1"/>
  <c r="X221" i="1"/>
  <c r="X214" i="1"/>
  <c r="X213" i="1"/>
  <c r="T206" i="1"/>
  <c r="U206" i="1" s="1"/>
  <c r="S206" i="1" s="1"/>
  <c r="AA202" i="1"/>
  <c r="X201" i="1"/>
  <c r="AA155" i="1"/>
  <c r="AA153" i="1"/>
  <c r="AA147" i="1"/>
  <c r="AA146" i="1"/>
  <c r="AA139" i="1"/>
  <c r="W139" i="1" s="1"/>
  <c r="AA120" i="1"/>
  <c r="AA115" i="1"/>
  <c r="W115" i="1" s="1"/>
  <c r="AA114" i="1"/>
  <c r="AA104" i="1"/>
  <c r="W104" i="1" s="1"/>
  <c r="AA98" i="1"/>
  <c r="AA170" i="1"/>
  <c r="X94" i="1"/>
  <c r="X165" i="1"/>
  <c r="AA159" i="1"/>
  <c r="X91" i="1"/>
  <c r="T89" i="1"/>
  <c r="U89" i="1" s="1"/>
  <c r="S89" i="1" s="1"/>
  <c r="X87" i="1"/>
  <c r="AA82" i="1"/>
  <c r="W82" i="1" s="1"/>
  <c r="T77" i="1"/>
  <c r="AA63" i="1"/>
  <c r="W63" i="1" s="1"/>
  <c r="AA56" i="1"/>
  <c r="AA50" i="1"/>
  <c r="W50" i="1" s="1"/>
  <c r="AA40" i="1"/>
  <c r="AA36" i="1"/>
  <c r="W36" i="1" s="1"/>
  <c r="AA225" i="1"/>
  <c r="X216" i="1"/>
  <c r="AA213" i="1"/>
  <c r="AA205" i="1"/>
  <c r="W205" i="1" s="1"/>
  <c r="AA200" i="1"/>
  <c r="AA199" i="1"/>
  <c r="W199" i="1" s="1"/>
  <c r="AA194" i="1"/>
  <c r="AA137" i="1"/>
  <c r="W137" i="1" s="1"/>
  <c r="AA136" i="1"/>
  <c r="AA130" i="1"/>
  <c r="AA126" i="1"/>
  <c r="AA122" i="1"/>
  <c r="AA117" i="1"/>
  <c r="X170" i="1"/>
  <c r="X163" i="1"/>
  <c r="X85" i="1"/>
  <c r="AA72" i="1"/>
  <c r="W72" i="1" s="1"/>
  <c r="X58" i="1"/>
  <c r="AA53" i="1"/>
  <c r="AA48" i="1"/>
  <c r="AA44" i="1"/>
  <c r="T143" i="1"/>
  <c r="U143" i="1" s="1"/>
  <c r="S143" i="1" s="1"/>
  <c r="AI143" i="1"/>
  <c r="W143" i="1"/>
  <c r="X141" i="1"/>
  <c r="AI141" i="1"/>
  <c r="U141" i="1"/>
  <c r="S141" i="1" s="1"/>
  <c r="W141" i="1"/>
  <c r="AD31" i="3"/>
  <c r="AE30" i="3"/>
  <c r="AD39" i="3"/>
  <c r="AE26" i="3"/>
  <c r="AE18" i="3"/>
  <c r="AI118" i="1"/>
  <c r="W118" i="1"/>
  <c r="AE14" i="3"/>
  <c r="AD19" i="3"/>
  <c r="AE39" i="3"/>
  <c r="AD37" i="3"/>
  <c r="AE34" i="3"/>
  <c r="AD25" i="3"/>
  <c r="AD21" i="3"/>
  <c r="AE19" i="3"/>
  <c r="AI38" i="1"/>
  <c r="U38" i="1"/>
  <c r="W38" i="1"/>
  <c r="X224" i="1"/>
  <c r="AA222" i="1"/>
  <c r="AA221" i="1"/>
  <c r="AA220" i="1"/>
  <c r="X219" i="1"/>
  <c r="AA218" i="1"/>
  <c r="W218" i="1" s="1"/>
  <c r="AA217" i="1"/>
  <c r="W217" i="1" s="1"/>
  <c r="T216" i="1"/>
  <c r="U216" i="1" s="1"/>
  <c r="S216" i="1" s="1"/>
  <c r="X203" i="1"/>
  <c r="AA201" i="1"/>
  <c r="W201" i="1" s="1"/>
  <c r="AA152" i="1"/>
  <c r="W152" i="1" s="1"/>
  <c r="AA149" i="1"/>
  <c r="AA148" i="1"/>
  <c r="AA135" i="1"/>
  <c r="W135" i="1" s="1"/>
  <c r="AA133" i="1"/>
  <c r="AA132" i="1"/>
  <c r="AA113" i="1"/>
  <c r="AA112" i="1"/>
  <c r="W112" i="1" s="1"/>
  <c r="AA102" i="1"/>
  <c r="W102" i="1" s="1"/>
  <c r="AA96" i="1"/>
  <c r="AA184" i="1"/>
  <c r="W184" i="1" s="1"/>
  <c r="AA183" i="1"/>
  <c r="W183" i="1" s="1"/>
  <c r="AA178" i="1"/>
  <c r="X95" i="1"/>
  <c r="AA177" i="1"/>
  <c r="W177" i="1" s="1"/>
  <c r="AA174" i="1"/>
  <c r="AA172" i="1"/>
  <c r="W172" i="1" s="1"/>
  <c r="X159" i="1"/>
  <c r="X90" i="1"/>
  <c r="T85" i="1"/>
  <c r="U85" i="1" s="1"/>
  <c r="S85" i="1" s="1"/>
  <c r="X76" i="1"/>
  <c r="AA76" i="1"/>
  <c r="X75" i="1"/>
  <c r="AA49" i="1"/>
  <c r="W49" i="1" s="1"/>
  <c r="AA47" i="1"/>
  <c r="AA33" i="1"/>
  <c r="AA29" i="1"/>
  <c r="W29" i="1" s="1"/>
  <c r="AA25" i="1"/>
  <c r="W25" i="1" s="1"/>
  <c r="AA21" i="1"/>
  <c r="W21" i="1" s="1"/>
  <c r="AA17" i="1"/>
  <c r="AA160" i="1"/>
  <c r="W160" i="1" s="1"/>
  <c r="AA93" i="1"/>
  <c r="W93" i="1" s="1"/>
  <c r="AA91" i="1"/>
  <c r="AA87" i="1"/>
  <c r="X72" i="1"/>
  <c r="X70" i="1"/>
  <c r="X69" i="1"/>
  <c r="AA51" i="1"/>
  <c r="AA34" i="1"/>
  <c r="W34" i="1" s="1"/>
  <c r="AA30" i="1"/>
  <c r="AA26" i="1"/>
  <c r="AA22" i="1"/>
  <c r="AA18" i="1"/>
  <c r="X217" i="1"/>
  <c r="AA215" i="1"/>
  <c r="W215" i="1" s="1"/>
  <c r="AA210" i="1"/>
  <c r="AA209" i="1"/>
  <c r="W209" i="1" s="1"/>
  <c r="AA206" i="1"/>
  <c r="AA204" i="1"/>
  <c r="AA203" i="1"/>
  <c r="AA198" i="1"/>
  <c r="W198" i="1" s="1"/>
  <c r="AA196" i="1"/>
  <c r="AA195" i="1"/>
  <c r="AA145" i="1"/>
  <c r="AA142" i="1"/>
  <c r="AA140" i="1"/>
  <c r="W140" i="1" s="1"/>
  <c r="AA127" i="1"/>
  <c r="W127" i="1" s="1"/>
  <c r="AA109" i="1"/>
  <c r="AA108" i="1"/>
  <c r="W108" i="1" s="1"/>
  <c r="AA207" i="1"/>
  <c r="AA186" i="1"/>
  <c r="W186" i="1" s="1"/>
  <c r="AA181" i="1"/>
  <c r="X172" i="1"/>
  <c r="AA168" i="1"/>
  <c r="W168" i="1" s="1"/>
  <c r="AA161" i="1"/>
  <c r="AA158" i="1"/>
  <c r="AA90" i="1"/>
  <c r="T73" i="1"/>
  <c r="U73" i="1" s="1"/>
  <c r="S73" i="1" s="1"/>
  <c r="X64" i="1"/>
  <c r="X62" i="1"/>
  <c r="AA58" i="1"/>
  <c r="W58" i="1" s="1"/>
  <c r="AA57" i="1"/>
  <c r="W57" i="1" s="1"/>
  <c r="AA55" i="1"/>
  <c r="W55" i="1" s="1"/>
  <c r="AA54" i="1"/>
  <c r="AA41" i="1"/>
  <c r="W41" i="1" s="1"/>
  <c r="AA39" i="1"/>
  <c r="W39" i="1" s="1"/>
  <c r="AA37" i="1"/>
  <c r="W37" i="1" s="1"/>
  <c r="AA31" i="1"/>
  <c r="AA27" i="1"/>
  <c r="W27" i="1" s="1"/>
  <c r="AA23" i="1"/>
  <c r="W23" i="1" s="1"/>
  <c r="AA19" i="1"/>
  <c r="W19" i="1" s="1"/>
  <c r="AA15" i="1"/>
  <c r="AA71" i="1"/>
  <c r="W71" i="1" s="1"/>
  <c r="AA70" i="1"/>
  <c r="W70" i="1" s="1"/>
  <c r="AA67" i="1"/>
  <c r="W67" i="1" s="1"/>
  <c r="AA45" i="1"/>
  <c r="AA43" i="1"/>
  <c r="W43" i="1" s="1"/>
  <c r="AA32" i="1"/>
  <c r="W32" i="1" s="1"/>
  <c r="AA28" i="1"/>
  <c r="AA24" i="1"/>
  <c r="AA20" i="1"/>
  <c r="AA16" i="1"/>
  <c r="W16" i="1" s="1"/>
  <c r="T221" i="1"/>
  <c r="X210" i="1"/>
  <c r="X209" i="1"/>
  <c r="X223" i="1"/>
  <c r="T219" i="1"/>
  <c r="X215" i="1"/>
  <c r="T214" i="1"/>
  <c r="U214" i="1" s="1"/>
  <c r="S214" i="1" s="1"/>
  <c r="T211" i="1"/>
  <c r="U211" i="1" s="1"/>
  <c r="S211" i="1" s="1"/>
  <c r="X205" i="1"/>
  <c r="T204" i="1"/>
  <c r="U204" i="1" s="1"/>
  <c r="S204" i="1" s="1"/>
  <c r="T201" i="1"/>
  <c r="U201" i="1" s="1"/>
  <c r="S201" i="1" s="1"/>
  <c r="X222" i="1"/>
  <c r="X220" i="1"/>
  <c r="T218" i="1"/>
  <c r="U218" i="1" s="1"/>
  <c r="S218" i="1" s="1"/>
  <c r="X212" i="1"/>
  <c r="T210" i="1"/>
  <c r="U210" i="1" s="1"/>
  <c r="S210" i="1" s="1"/>
  <c r="X202" i="1"/>
  <c r="AA124" i="1"/>
  <c r="AA107" i="1"/>
  <c r="AA105" i="1"/>
  <c r="W105" i="1" s="1"/>
  <c r="AA208" i="1"/>
  <c r="AA103" i="1"/>
  <c r="AA180" i="1"/>
  <c r="X177" i="1"/>
  <c r="AA176" i="1"/>
  <c r="W176" i="1" s="1"/>
  <c r="T173" i="1"/>
  <c r="X171" i="1"/>
  <c r="X169" i="1"/>
  <c r="AA167" i="1"/>
  <c r="W167" i="1" s="1"/>
  <c r="T167" i="1"/>
  <c r="X166" i="1"/>
  <c r="AA165" i="1"/>
  <c r="W165" i="1" s="1"/>
  <c r="AA164" i="1"/>
  <c r="T164" i="1"/>
  <c r="X162" i="1"/>
  <c r="X86" i="1"/>
  <c r="AA85" i="1"/>
  <c r="W85" i="1" s="1"/>
  <c r="T84" i="1"/>
  <c r="X82" i="1"/>
  <c r="AA81" i="1"/>
  <c r="T80" i="1"/>
  <c r="X78" i="1"/>
  <c r="AA77" i="1"/>
  <c r="W77" i="1" s="1"/>
  <c r="T76" i="1"/>
  <c r="U76" i="1" s="1"/>
  <c r="S76" i="1" s="1"/>
  <c r="AA73" i="1"/>
  <c r="AA65" i="1"/>
  <c r="X63" i="1"/>
  <c r="X61" i="1"/>
  <c r="X59" i="1"/>
  <c r="X74" i="1"/>
  <c r="T69" i="1"/>
  <c r="X66" i="1"/>
  <c r="AA14" i="1"/>
  <c r="W14" i="1" s="1"/>
  <c r="AA182" i="1"/>
  <c r="AA95" i="1"/>
  <c r="W95" i="1" s="1"/>
  <c r="AA166" i="1"/>
  <c r="AA163" i="1"/>
  <c r="W163" i="1" s="1"/>
  <c r="AA162" i="1"/>
  <c r="W162" i="1" s="1"/>
  <c r="AA83" i="1"/>
  <c r="AA79" i="1"/>
  <c r="W79" i="1" s="1"/>
  <c r="AA75" i="1"/>
  <c r="T71" i="1"/>
  <c r="AA69" i="1"/>
  <c r="X68" i="1"/>
  <c r="X67" i="1"/>
  <c r="T63" i="1"/>
  <c r="U63" i="1" s="1"/>
  <c r="S63" i="1" s="1"/>
  <c r="AI140" i="1"/>
  <c r="AI132" i="1"/>
  <c r="AI144" i="1"/>
  <c r="AI134" i="1"/>
  <c r="AI146" i="1"/>
  <c r="AI136" i="1"/>
  <c r="AI147" i="1"/>
  <c r="AI138" i="1"/>
  <c r="AI130" i="1"/>
  <c r="U225" i="1"/>
  <c r="S225" i="1" s="1"/>
  <c r="AI225" i="1"/>
  <c r="U224" i="1"/>
  <c r="S224" i="1" s="1"/>
  <c r="AI224" i="1"/>
  <c r="U223" i="1"/>
  <c r="S223" i="1" s="1"/>
  <c r="AI223" i="1"/>
  <c r="U222" i="1"/>
  <c r="S222" i="1" s="1"/>
  <c r="AI222" i="1"/>
  <c r="U221" i="1"/>
  <c r="S221" i="1" s="1"/>
  <c r="AI221" i="1"/>
  <c r="U220" i="1"/>
  <c r="S220" i="1" s="1"/>
  <c r="AI220" i="1"/>
  <c r="U219" i="1"/>
  <c r="S219" i="1" s="1"/>
  <c r="AI219" i="1"/>
  <c r="AI218" i="1"/>
  <c r="U217" i="1"/>
  <c r="S217" i="1" s="1"/>
  <c r="AI217" i="1"/>
  <c r="AI216" i="1"/>
  <c r="U215" i="1"/>
  <c r="S215" i="1" s="1"/>
  <c r="AI215" i="1"/>
  <c r="AI214" i="1"/>
  <c r="U213" i="1"/>
  <c r="S213" i="1" s="1"/>
  <c r="AI213" i="1"/>
  <c r="U212" i="1"/>
  <c r="S212" i="1" s="1"/>
  <c r="AI212" i="1"/>
  <c r="AI211" i="1"/>
  <c r="AI210" i="1"/>
  <c r="U209" i="1"/>
  <c r="S209" i="1" s="1"/>
  <c r="AI209" i="1"/>
  <c r="AI208" i="1"/>
  <c r="U205" i="1"/>
  <c r="S205" i="1" s="1"/>
  <c r="AI207" i="1"/>
  <c r="AI206" i="1"/>
  <c r="U203" i="1"/>
  <c r="S203" i="1" s="1"/>
  <c r="AI205" i="1"/>
  <c r="U202" i="1"/>
  <c r="S202" i="1" s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7" i="1"/>
  <c r="AI186" i="1"/>
  <c r="AI185" i="1"/>
  <c r="AI184" i="1"/>
  <c r="AI183" i="1"/>
  <c r="AI182" i="1"/>
  <c r="AI181" i="1"/>
  <c r="AI180" i="1"/>
  <c r="AI178" i="1"/>
  <c r="AI177" i="1"/>
  <c r="AI176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U120" i="1"/>
  <c r="S120" i="1" s="1"/>
  <c r="AI160" i="1"/>
  <c r="U119" i="1"/>
  <c r="S119" i="1" s="1"/>
  <c r="U117" i="1"/>
  <c r="S117" i="1" s="1"/>
  <c r="AI159" i="1"/>
  <c r="U116" i="1"/>
  <c r="S116" i="1" s="1"/>
  <c r="AI158" i="1"/>
  <c r="U115" i="1"/>
  <c r="S115" i="1" s="1"/>
  <c r="AI156" i="1"/>
  <c r="U114" i="1"/>
  <c r="S114" i="1" s="1"/>
  <c r="AI155" i="1"/>
  <c r="U113" i="1"/>
  <c r="S113" i="1" s="1"/>
  <c r="AI153" i="1"/>
  <c r="U112" i="1"/>
  <c r="S112" i="1" s="1"/>
  <c r="AI152" i="1"/>
  <c r="U111" i="1"/>
  <c r="S111" i="1" s="1"/>
  <c r="AI150" i="1"/>
  <c r="U110" i="1"/>
  <c r="S110" i="1" s="1"/>
  <c r="AI149" i="1"/>
  <c r="U109" i="1"/>
  <c r="S109" i="1" s="1"/>
  <c r="AI148" i="1"/>
  <c r="AI145" i="1"/>
  <c r="AI142" i="1"/>
  <c r="AI139" i="1"/>
  <c r="AI137" i="1"/>
  <c r="AI135" i="1"/>
  <c r="AI133" i="1"/>
  <c r="AI131" i="1"/>
  <c r="AI129" i="1"/>
  <c r="AI128" i="1"/>
  <c r="AI127" i="1"/>
  <c r="AI126" i="1"/>
  <c r="U185" i="1"/>
  <c r="S185" i="1" s="1"/>
  <c r="AI125" i="1"/>
  <c r="U184" i="1"/>
  <c r="S184" i="1" s="1"/>
  <c r="AI124" i="1"/>
  <c r="U183" i="1"/>
  <c r="S183" i="1" s="1"/>
  <c r="AI123" i="1"/>
  <c r="U182" i="1"/>
  <c r="S182" i="1" s="1"/>
  <c r="AI122" i="1"/>
  <c r="U181" i="1"/>
  <c r="S181" i="1" s="1"/>
  <c r="AI121" i="1"/>
  <c r="U180" i="1"/>
  <c r="S180" i="1" s="1"/>
  <c r="AI120" i="1"/>
  <c r="U178" i="1"/>
  <c r="S178" i="1" s="1"/>
  <c r="AI119" i="1"/>
  <c r="U95" i="1"/>
  <c r="S95" i="1" s="1"/>
  <c r="AI117" i="1"/>
  <c r="U177" i="1"/>
  <c r="S177" i="1" s="1"/>
  <c r="AI116" i="1"/>
  <c r="U176" i="1"/>
  <c r="S176" i="1" s="1"/>
  <c r="AI115" i="1"/>
  <c r="U174" i="1"/>
  <c r="S174" i="1" s="1"/>
  <c r="AI114" i="1"/>
  <c r="U173" i="1"/>
  <c r="S173" i="1" s="1"/>
  <c r="AI113" i="1"/>
  <c r="AI112" i="1"/>
  <c r="U172" i="1"/>
  <c r="S172" i="1" s="1"/>
  <c r="AI111" i="1"/>
  <c r="AI110" i="1"/>
  <c r="U170" i="1"/>
  <c r="S170" i="1" s="1"/>
  <c r="AI109" i="1"/>
  <c r="AI108" i="1"/>
  <c r="U168" i="1"/>
  <c r="S168" i="1" s="1"/>
  <c r="AI107" i="1"/>
  <c r="AI106" i="1"/>
  <c r="U167" i="1"/>
  <c r="S167" i="1" s="1"/>
  <c r="AI105" i="1"/>
  <c r="AI104" i="1"/>
  <c r="U166" i="1"/>
  <c r="S166" i="1" s="1"/>
  <c r="AI103" i="1"/>
  <c r="AI102" i="1"/>
  <c r="U164" i="1"/>
  <c r="S164" i="1" s="1"/>
  <c r="AI101" i="1"/>
  <c r="AI100" i="1"/>
  <c r="U162" i="1"/>
  <c r="S162" i="1" s="1"/>
  <c r="AI99" i="1"/>
  <c r="AI98" i="1"/>
  <c r="AI97" i="1"/>
  <c r="AI96" i="1"/>
  <c r="AI95" i="1"/>
  <c r="U158" i="1"/>
  <c r="S158" i="1" s="1"/>
  <c r="AI94" i="1"/>
  <c r="AI93" i="1"/>
  <c r="U92" i="1"/>
  <c r="S92" i="1" s="1"/>
  <c r="AI92" i="1"/>
  <c r="U91" i="1"/>
  <c r="S91" i="1" s="1"/>
  <c r="AI91" i="1"/>
  <c r="U90" i="1"/>
  <c r="S90" i="1" s="1"/>
  <c r="AI90" i="1"/>
  <c r="AI89" i="1"/>
  <c r="U88" i="1"/>
  <c r="S88" i="1" s="1"/>
  <c r="AI88" i="1"/>
  <c r="U87" i="1"/>
  <c r="S87" i="1" s="1"/>
  <c r="AI87" i="1"/>
  <c r="U86" i="1"/>
  <c r="S86" i="1" s="1"/>
  <c r="AI86" i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AI76" i="1"/>
  <c r="U75" i="1"/>
  <c r="S75" i="1" s="1"/>
  <c r="AI75" i="1"/>
  <c r="U74" i="1"/>
  <c r="S74" i="1" s="1"/>
  <c r="AI74" i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W59" i="1"/>
  <c r="U58" i="1"/>
  <c r="S58" i="1" s="1"/>
  <c r="AI58" i="1"/>
  <c r="AI57" i="1"/>
  <c r="AI56" i="1"/>
  <c r="W56" i="1"/>
  <c r="AI55" i="1"/>
  <c r="AI54" i="1"/>
  <c r="W54" i="1"/>
  <c r="AI53" i="1"/>
  <c r="AI52" i="1"/>
  <c r="W52" i="1"/>
  <c r="AI51" i="1"/>
  <c r="AI50" i="1"/>
  <c r="AI49" i="1"/>
  <c r="AI48" i="1"/>
  <c r="W48" i="1"/>
  <c r="AI47" i="1"/>
  <c r="AI46" i="1"/>
  <c r="W46" i="1"/>
  <c r="AI45" i="1"/>
  <c r="AI44" i="1"/>
  <c r="W44" i="1"/>
  <c r="AI43" i="1"/>
  <c r="AI42" i="1"/>
  <c r="W42" i="1"/>
  <c r="AI41" i="1"/>
  <c r="AI40" i="1"/>
  <c r="W40" i="1"/>
  <c r="AI39" i="1"/>
  <c r="AI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3" i="1"/>
  <c r="W220" i="1"/>
  <c r="W224" i="1"/>
  <c r="W219" i="1"/>
  <c r="W216" i="1"/>
  <c r="W211" i="1"/>
  <c r="W206" i="1"/>
  <c r="W195" i="1"/>
  <c r="W153" i="1"/>
  <c r="W148" i="1"/>
  <c r="W146" i="1"/>
  <c r="W136" i="1"/>
  <c r="W132" i="1"/>
  <c r="W128" i="1"/>
  <c r="W124" i="1"/>
  <c r="W120" i="1"/>
  <c r="W111" i="1"/>
  <c r="W225" i="1"/>
  <c r="W222" i="1"/>
  <c r="W214" i="1"/>
  <c r="W204" i="1"/>
  <c r="W194" i="1"/>
  <c r="W145" i="1"/>
  <c r="W131" i="1"/>
  <c r="W123" i="1"/>
  <c r="W119" i="1"/>
  <c r="W114" i="1"/>
  <c r="W212" i="1"/>
  <c r="W202" i="1"/>
  <c r="W197" i="1"/>
  <c r="W156" i="1"/>
  <c r="W150" i="1"/>
  <c r="W147" i="1"/>
  <c r="W144" i="1"/>
  <c r="W138" i="1"/>
  <c r="W134" i="1"/>
  <c r="W130" i="1"/>
  <c r="W126" i="1"/>
  <c r="W122" i="1"/>
  <c r="W117" i="1"/>
  <c r="W113" i="1"/>
  <c r="W109" i="1"/>
  <c r="W221" i="1"/>
  <c r="W213" i="1"/>
  <c r="W210" i="1"/>
  <c r="W203" i="1"/>
  <c r="W200" i="1"/>
  <c r="W196" i="1"/>
  <c r="W155" i="1"/>
  <c r="W149" i="1"/>
  <c r="W142" i="1"/>
  <c r="W133" i="1"/>
  <c r="W129" i="1"/>
  <c r="W125" i="1"/>
  <c r="W121" i="1"/>
  <c r="W116" i="1"/>
  <c r="W208" i="1"/>
  <c r="W99" i="1"/>
  <c r="W191" i="1"/>
  <c r="T189" i="1"/>
  <c r="U189" i="1" s="1"/>
  <c r="S189" i="1" s="1"/>
  <c r="T187" i="1"/>
  <c r="U187" i="1" s="1"/>
  <c r="S187" i="1" s="1"/>
  <c r="X187" i="1"/>
  <c r="T186" i="1"/>
  <c r="U186" i="1" s="1"/>
  <c r="S186" i="1" s="1"/>
  <c r="X186" i="1"/>
  <c r="W180" i="1"/>
  <c r="W170" i="1"/>
  <c r="W164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56" i="1"/>
  <c r="U156" i="1" s="1"/>
  <c r="S156" i="1" s="1"/>
  <c r="X156" i="1"/>
  <c r="T155" i="1"/>
  <c r="U155" i="1" s="1"/>
  <c r="S155" i="1" s="1"/>
  <c r="T153" i="1"/>
  <c r="U153" i="1" s="1"/>
  <c r="S153" i="1" s="1"/>
  <c r="X153" i="1"/>
  <c r="T152" i="1"/>
  <c r="U152" i="1" s="1"/>
  <c r="S152" i="1" s="1"/>
  <c r="T150" i="1"/>
  <c r="U150" i="1" s="1"/>
  <c r="S150" i="1" s="1"/>
  <c r="X150" i="1"/>
  <c r="T149" i="1"/>
  <c r="U149" i="1" s="1"/>
  <c r="S149" i="1" s="1"/>
  <c r="T148" i="1"/>
  <c r="U148" i="1" s="1"/>
  <c r="S148" i="1" s="1"/>
  <c r="T147" i="1"/>
  <c r="U147" i="1" s="1"/>
  <c r="S147" i="1" s="1"/>
  <c r="T146" i="1"/>
  <c r="U146" i="1" s="1"/>
  <c r="S146" i="1" s="1"/>
  <c r="T145" i="1"/>
  <c r="U145" i="1" s="1"/>
  <c r="S145" i="1" s="1"/>
  <c r="X145" i="1"/>
  <c r="T144" i="1"/>
  <c r="U144" i="1" s="1"/>
  <c r="S144" i="1" s="1"/>
  <c r="T142" i="1"/>
  <c r="U142" i="1" s="1"/>
  <c r="S142" i="1" s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W207" i="1"/>
  <c r="AA101" i="1"/>
  <c r="W101" i="1" s="1"/>
  <c r="W193" i="1"/>
  <c r="AA190" i="1"/>
  <c r="W190" i="1" s="1"/>
  <c r="W96" i="1"/>
  <c r="W107" i="1"/>
  <c r="W98" i="1"/>
  <c r="AA192" i="1"/>
  <c r="W192" i="1" s="1"/>
  <c r="T96" i="1"/>
  <c r="U96" i="1" s="1"/>
  <c r="S96" i="1" s="1"/>
  <c r="X96" i="1"/>
  <c r="W106" i="1"/>
  <c r="W103" i="1"/>
  <c r="W100" i="1"/>
  <c r="AA97" i="1"/>
  <c r="W97" i="1" s="1"/>
  <c r="W189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207" i="1"/>
  <c r="U207" i="1" s="1"/>
  <c r="S207" i="1" s="1"/>
  <c r="X207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193" i="1"/>
  <c r="U193" i="1" s="1"/>
  <c r="S193" i="1" s="1"/>
  <c r="X193" i="1"/>
  <c r="T191" i="1"/>
  <c r="U191" i="1" s="1"/>
  <c r="S191" i="1" s="1"/>
  <c r="X191" i="1"/>
  <c r="W181" i="1"/>
  <c r="W174" i="1"/>
  <c r="W182" i="1"/>
  <c r="W166" i="1"/>
  <c r="W74" i="1"/>
  <c r="W66" i="1"/>
  <c r="X120" i="1"/>
  <c r="X117" i="1"/>
  <c r="X116" i="1"/>
  <c r="X115" i="1"/>
  <c r="X114" i="1"/>
  <c r="X113" i="1"/>
  <c r="X112" i="1"/>
  <c r="X111" i="1"/>
  <c r="X110" i="1"/>
  <c r="X109" i="1"/>
  <c r="T107" i="1"/>
  <c r="U107" i="1" s="1"/>
  <c r="S107" i="1" s="1"/>
  <c r="X107" i="1"/>
  <c r="T105" i="1"/>
  <c r="U105" i="1" s="1"/>
  <c r="S105" i="1" s="1"/>
  <c r="X105" i="1"/>
  <c r="T208" i="1"/>
  <c r="U208" i="1" s="1"/>
  <c r="S208" i="1" s="1"/>
  <c r="X208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192" i="1"/>
  <c r="U192" i="1" s="1"/>
  <c r="S192" i="1" s="1"/>
  <c r="X192" i="1"/>
  <c r="T190" i="1"/>
  <c r="U190" i="1" s="1"/>
  <c r="S190" i="1" s="1"/>
  <c r="X190" i="1"/>
  <c r="W187" i="1"/>
  <c r="W185" i="1"/>
  <c r="W178" i="1"/>
  <c r="W173" i="1"/>
  <c r="W171" i="1"/>
  <c r="W169" i="1"/>
  <c r="W94" i="1"/>
  <c r="W161" i="1"/>
  <c r="W68" i="1"/>
  <c r="X185" i="1"/>
  <c r="X184" i="1"/>
  <c r="X183" i="1"/>
  <c r="X182" i="1"/>
  <c r="X178" i="1"/>
  <c r="W81" i="1"/>
  <c r="W51" i="1"/>
  <c r="T171" i="1"/>
  <c r="U171" i="1" s="1"/>
  <c r="S171" i="1" s="1"/>
  <c r="T169" i="1"/>
  <c r="U169" i="1" s="1"/>
  <c r="S169" i="1" s="1"/>
  <c r="T94" i="1"/>
  <c r="U94" i="1" s="1"/>
  <c r="S94" i="1" s="1"/>
  <c r="T165" i="1"/>
  <c r="U165" i="1" s="1"/>
  <c r="S165" i="1" s="1"/>
  <c r="T163" i="1"/>
  <c r="U163" i="1" s="1"/>
  <c r="S163" i="1" s="1"/>
  <c r="T161" i="1"/>
  <c r="U161" i="1" s="1"/>
  <c r="S161" i="1" s="1"/>
  <c r="T160" i="1"/>
  <c r="U160" i="1" s="1"/>
  <c r="S160" i="1" s="1"/>
  <c r="W159" i="1"/>
  <c r="T159" i="1"/>
  <c r="U159" i="1" s="1"/>
  <c r="S159" i="1" s="1"/>
  <c r="T93" i="1"/>
  <c r="U93" i="1" s="1"/>
  <c r="S93" i="1" s="1"/>
  <c r="W91" i="1"/>
  <c r="W87" i="1"/>
  <c r="W84" i="1"/>
  <c r="W80" i="1"/>
  <c r="W76" i="1"/>
  <c r="W73" i="1"/>
  <c r="W69" i="1"/>
  <c r="W65" i="1"/>
  <c r="W64" i="1"/>
  <c r="W53" i="1"/>
  <c r="W45" i="1"/>
  <c r="W83" i="1"/>
  <c r="W75" i="1"/>
  <c r="W61" i="1"/>
  <c r="W47" i="1"/>
  <c r="W158" i="1"/>
  <c r="W92" i="1"/>
  <c r="W90" i="1"/>
  <c r="W88" i="1"/>
  <c r="W86" i="1"/>
  <c r="W78" i="1"/>
  <c r="W62" i="1"/>
  <c r="W60" i="1"/>
  <c r="T61" i="1"/>
  <c r="U61" i="1" s="1"/>
  <c r="S61" i="1" s="1"/>
  <c r="T59" i="1"/>
  <c r="U59" i="1" s="1"/>
  <c r="S59" i="1" s="1"/>
  <c r="T65" i="1"/>
  <c r="U65" i="1" s="1"/>
  <c r="S65" i="1" s="1"/>
  <c r="T57" i="1"/>
  <c r="U57" i="1" s="1"/>
  <c r="S57" i="1" s="1"/>
  <c r="W33" i="1"/>
  <c r="W31" i="1"/>
  <c r="W30" i="1"/>
  <c r="W28" i="1"/>
  <c r="W26" i="1"/>
  <c r="W24" i="1"/>
  <c r="W22" i="1"/>
  <c r="W20" i="1"/>
  <c r="W18" i="1"/>
  <c r="W17" i="1"/>
  <c r="W15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23" i="3"/>
  <c r="AD17" i="3"/>
  <c r="AD15" i="3"/>
  <c r="AD13" i="3"/>
  <c r="AD11" i="3"/>
  <c r="AE10" i="3"/>
  <c r="AD9" i="3"/>
  <c r="AD34" i="3"/>
  <c r="T15" i="3"/>
  <c r="AD30" i="3"/>
  <c r="T33" i="3"/>
  <c r="AC32" i="3"/>
  <c r="AC28" i="3"/>
  <c r="T25" i="3"/>
  <c r="T9" i="3"/>
  <c r="AD10" i="3"/>
  <c r="T18" i="3"/>
  <c r="AC22" i="3"/>
  <c r="AC37" i="3"/>
  <c r="AE35" i="3"/>
  <c r="AC10" i="3"/>
  <c r="AE22" i="3"/>
  <c r="AE15" i="3"/>
  <c r="AE11" i="3"/>
  <c r="AE23" i="3"/>
  <c r="AC34" i="3"/>
  <c r="AD22" i="3"/>
  <c r="T7" i="3"/>
  <c r="AC26" i="3"/>
  <c r="AE17" i="3"/>
  <c r="T11" i="3"/>
  <c r="AE13" i="3"/>
  <c r="T24" i="3"/>
  <c r="AE9" i="3"/>
  <c r="T14" i="3"/>
  <c r="T16" i="3"/>
  <c r="AC23" i="3"/>
  <c r="AC17" i="3"/>
  <c r="AC36" i="3"/>
  <c r="AE27" i="3"/>
  <c r="AD26" i="3"/>
  <c r="T31" i="3"/>
  <c r="AC29" i="3"/>
  <c r="AC21" i="3"/>
  <c r="AC13" i="3"/>
  <c r="AC19" i="3"/>
  <c r="AE31" i="3"/>
  <c r="Y16" i="3"/>
  <c r="Y17" i="3"/>
  <c r="Y23" i="3"/>
  <c r="Y22" i="3"/>
  <c r="Y32" i="3"/>
  <c r="Y29" i="3"/>
  <c r="Y26" i="3"/>
  <c r="Y8" i="3"/>
  <c r="Y20" i="3"/>
  <c r="Y39" i="3"/>
  <c r="Y37" i="3"/>
  <c r="Y28" i="3"/>
  <c r="Y21" i="3"/>
  <c r="Y13" i="3"/>
  <c r="Y19" i="3"/>
  <c r="Y36" i="3"/>
  <c r="Y15" i="3"/>
  <c r="Y25" i="3"/>
  <c r="Y9" i="3"/>
  <c r="Y18" i="3"/>
  <c r="Y34" i="3"/>
  <c r="Y10" i="3"/>
  <c r="Y33" i="3"/>
  <c r="Y31" i="3"/>
  <c r="Y7" i="3"/>
  <c r="Y40" i="3"/>
  <c r="Y35" i="3"/>
  <c r="Y12" i="3"/>
  <c r="Y30" i="3"/>
  <c r="Y27" i="3"/>
  <c r="Y11" i="3"/>
  <c r="Y24" i="3"/>
  <c r="Y14" i="3"/>
  <c r="AD40" i="3"/>
  <c r="AC40" i="3"/>
  <c r="AD36" i="3"/>
  <c r="AC35" i="3"/>
  <c r="AD32" i="3"/>
  <c r="AC12" i="3"/>
  <c r="AD28" i="3"/>
  <c r="AC30" i="3"/>
  <c r="AD24" i="3"/>
  <c r="AC27" i="3"/>
  <c r="AD20" i="3"/>
  <c r="AC11" i="3"/>
  <c r="AD16" i="3"/>
  <c r="AC24" i="3"/>
  <c r="AD12" i="3"/>
  <c r="AC14" i="3"/>
  <c r="AD8" i="3"/>
  <c r="AC8" i="3"/>
  <c r="AC20" i="3"/>
  <c r="AC39" i="3"/>
  <c r="AE29" i="3"/>
  <c r="T12" i="3"/>
  <c r="AE25" i="3"/>
  <c r="T30" i="3"/>
  <c r="AE21" i="3"/>
  <c r="T27" i="3"/>
  <c r="AE37" i="3"/>
  <c r="T40" i="3"/>
  <c r="AE33" i="3"/>
  <c r="T35" i="3"/>
  <c r="AE40" i="3"/>
  <c r="AE36" i="3"/>
  <c r="AE32" i="3"/>
  <c r="AE28" i="3"/>
  <c r="AE24" i="3"/>
  <c r="AE20" i="3"/>
  <c r="AE16" i="3"/>
  <c r="AE12" i="3"/>
  <c r="AE8" i="3"/>
  <c r="R38" i="3" l="1"/>
  <c r="M38" i="3"/>
  <c r="S38" i="3"/>
  <c r="U38" i="3"/>
  <c r="V38" i="3"/>
  <c r="X38" i="3"/>
  <c r="W38" i="3"/>
  <c r="AE38" i="3" l="1"/>
  <c r="AD38" i="3"/>
  <c r="AC38" i="3"/>
  <c r="T38" i="3"/>
  <c r="Y38" i="3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N23" i="3" s="1"/>
  <c r="G229" i="4"/>
  <c r="G230" i="4"/>
  <c r="N36" i="3" s="1"/>
  <c r="G231" i="4"/>
  <c r="G232" i="4"/>
  <c r="N40" i="3" s="1"/>
  <c r="G233" i="4"/>
  <c r="G234" i="4"/>
  <c r="G235" i="4"/>
  <c r="N16" i="3" s="1"/>
  <c r="G236" i="4"/>
  <c r="G237" i="4"/>
  <c r="G238" i="4"/>
  <c r="G239" i="4"/>
  <c r="G240" i="4"/>
  <c r="G241" i="4"/>
  <c r="N17" i="3" s="1"/>
  <c r="G242" i="4"/>
  <c r="N37" i="3" s="1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39" i="3" s="1"/>
  <c r="G13" i="4"/>
  <c r="G14" i="4"/>
  <c r="G15" i="4"/>
  <c r="G16" i="4"/>
  <c r="N14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20" i="3" s="1"/>
  <c r="G36" i="4"/>
  <c r="G37" i="4"/>
  <c r="G38" i="4"/>
  <c r="G39" i="4"/>
  <c r="G40" i="4"/>
  <c r="G41" i="4"/>
  <c r="G42" i="4"/>
  <c r="G43" i="4"/>
  <c r="N24" i="3" s="1"/>
  <c r="G44" i="4"/>
  <c r="G45" i="4"/>
  <c r="G46" i="4"/>
  <c r="G47" i="4"/>
  <c r="G48" i="4"/>
  <c r="N9" i="3" s="1"/>
  <c r="G49" i="4"/>
  <c r="G50" i="4"/>
  <c r="G51" i="4"/>
  <c r="G52" i="4"/>
  <c r="G53" i="4"/>
  <c r="G54" i="4"/>
  <c r="G55" i="4"/>
  <c r="G56" i="4"/>
  <c r="N13" i="3" s="1"/>
  <c r="G57" i="4"/>
  <c r="G58" i="4"/>
  <c r="G59" i="4"/>
  <c r="G60" i="4"/>
  <c r="G61" i="4"/>
  <c r="G62" i="4"/>
  <c r="G63" i="4"/>
  <c r="G64" i="4"/>
  <c r="G65" i="4"/>
  <c r="G66" i="4"/>
  <c r="N8" i="3" s="1"/>
  <c r="G67" i="4"/>
  <c r="G68" i="4"/>
  <c r="G69" i="4"/>
  <c r="G70" i="4"/>
  <c r="G71" i="4"/>
  <c r="G72" i="4"/>
  <c r="G73" i="4"/>
  <c r="G74" i="4"/>
  <c r="N11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25" i="3" s="1"/>
  <c r="G93" i="4"/>
  <c r="G94" i="4"/>
  <c r="N21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7" i="3" s="1"/>
  <c r="G136" i="4"/>
  <c r="G137" i="4"/>
  <c r="G138" i="4"/>
  <c r="G139" i="4"/>
  <c r="G140" i="4"/>
  <c r="G141" i="4"/>
  <c r="G142" i="4"/>
  <c r="N28" i="3" s="1"/>
  <c r="G143" i="4"/>
  <c r="G144" i="4"/>
  <c r="G145" i="4"/>
  <c r="G146" i="4"/>
  <c r="G147" i="4"/>
  <c r="G148" i="4"/>
  <c r="G149" i="4"/>
  <c r="G150" i="4"/>
  <c r="G151" i="4"/>
  <c r="G152" i="4"/>
  <c r="G153" i="4"/>
  <c r="N2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30" i="3" s="1"/>
  <c r="G166" i="4"/>
  <c r="G167" i="4"/>
  <c r="G168" i="4"/>
  <c r="G169" i="4"/>
  <c r="G170" i="4"/>
  <c r="G171" i="4"/>
  <c r="G172" i="4"/>
  <c r="G173" i="4"/>
  <c r="G174" i="4"/>
  <c r="G175" i="4"/>
  <c r="G176" i="4"/>
  <c r="N31" i="3" s="1"/>
  <c r="G177" i="4"/>
  <c r="N10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32" i="3" s="1"/>
  <c r="G193" i="4"/>
  <c r="G194" i="4"/>
  <c r="G195" i="4"/>
  <c r="G196" i="4"/>
  <c r="N12" i="3" s="1"/>
  <c r="G197" i="4"/>
  <c r="G198" i="4"/>
  <c r="G199" i="4"/>
  <c r="G200" i="4"/>
  <c r="G201" i="4"/>
  <c r="G202" i="4"/>
  <c r="G203" i="4"/>
  <c r="G204" i="4"/>
  <c r="G205" i="4"/>
  <c r="N22" i="3" s="1"/>
  <c r="G206" i="4"/>
  <c r="G207" i="4"/>
  <c r="G208" i="4"/>
  <c r="N35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15" i="3" s="1"/>
  <c r="G223" i="4"/>
  <c r="G2" i="4"/>
  <c r="N26" i="3" l="1"/>
  <c r="N27" i="3"/>
  <c r="N34" i="3"/>
  <c r="N33" i="3"/>
  <c r="N19" i="3"/>
  <c r="N18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<sst xmlns="http://schemas.openxmlformats.org/spreadsheetml/2006/main" count="2653" uniqueCount="994">
  <si>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</si>
  <si>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</si>
  <si>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</si>
  <si>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</si>
  <si>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</si>
  <si>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</si>
  <si>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</si>
  <si>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</si>
  <si>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</si>
  <si>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</si>
  <si>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</si>
  <si>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</si>
  <si>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</si>
  <si>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</si>
  <si>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</si>
  <si>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</si>
  <si>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</si>
  <si>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</si>
  <si>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</si>
  <si>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</si>
  <si>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</si>
  <si>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</si>
  <si>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</si>
  <si>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</si>
  <si>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</si>
  <si>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</si>
  <si>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</si>
  <si>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</si>
  <si>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</si>
  <si>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</si>
  <si>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</si>
  <si>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</si>
  <si>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</si>
  <si>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</si>
  <si>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</si>
  <si>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</si>
  <si>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</si>
  <si>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</si>
  <si>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</si>
  <si>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</si>
  <si>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</si>
  <si>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</si>
  <si>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</si>
  <si>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</si>
  <si>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</si>
  <si>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</si>
  <si>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</si>
  <si>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</si>
  <si>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</si>
  <si>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</si>
  <si>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</si>
  <si>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</si>
  <si>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</si>
  <si>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</si>
  <si>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</si>
  <si>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</si>
  <si>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</si>
  <si>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</si>
  <si>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</si>
  <si>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</si>
  <si>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</si>
  <si>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</si>
  <si>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</si>
  <si>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</si>
  <si>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</si>
  <si>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</si>
  <si>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</si>
  <si>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</si>
  <si>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</si>
  <si>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</si>
  <si>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</si>
  <si>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</si>
  <si>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</si>
  <si>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</si>
  <si>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</si>
  <si>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</si>
  <si>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</si>
  <si>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</si>
  <si>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</si>
  <si>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</si>
  <si>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</si>
  <si>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</si>
  <si>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</si>
  <si>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</si>
  <si>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</si>
  <si>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</si>
  <si>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</si>
  <si>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</si>
  <si>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</si>
  <si>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</si>
  <si>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</si>
  <si>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</si>
  <si>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</si>
  <si>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</si>
  <si>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</si>
  <si>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</si>
  <si>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</si>
  <si>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</si>
  <si>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</si>
  <si>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</si>
  <si>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</si>
  <si>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</si>
  <si>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</si>
  <si>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</si>
  <si>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</si>
  <si>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</si>
  <si>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</si>
  <si>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</si>
  <si>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</si>
  <si>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</si>
  <si>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</si>
  <si>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</si>
  <si>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</si>
  <si>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</si>
  <si>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</si>
  <si>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</si>
  <si>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</si>
  <si>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</si>
  <si>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</si>
  <si>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</si>
  <si>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</si>
  <si>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</si>
  <si>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</si>
  <si>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</si>
  <si>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</si>
  <si>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</si>
  <si>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</si>
  <si>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</si>
  <si>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</si>
  <si>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</si>
  <si>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</si>
  <si>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</si>
  <si>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</si>
  <si>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</si>
  <si>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</si>
  <si>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</si>
  <si>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</si>
  <si>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</si>
  <si>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</si>
  <si>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</si>
  <si>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</si>
  <si>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</si>
  <si>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</si>
  <si>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</si>
  <si>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</si>
  <si>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</si>
  <si>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</si>
  <si>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</si>
  <si>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</si>
  <si>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</si>
  <si>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</si>
  <si>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</si>
  <si>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</si>
  <si>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</si>
  <si>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</si>
  <si>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</si>
  <si>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</si>
  <si>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</si>
  <si>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</si>
  <si>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</si>
  <si>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</si>
  <si>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</si>
  <si>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</si>
  <si>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</si>
  <si>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</si>
  <si>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</si>
  <si>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</si>
  <si>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</si>
  <si>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</si>
  <si>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</si>
  <si>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</si>
  <si>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</si>
  <si>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</si>
  <si>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</si>
  <si>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</si>
  <si>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</si>
  <si>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</si>
  <si>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</si>
  <si>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</si>
  <si>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</si>
  <si>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</si>
  <si>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</si>
  <si>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</si>
  <si>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</si>
  <si>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</si>
  <si>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</si>
  <si>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</si>
  <si>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</si>
  <si>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</si>
  <si>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</si>
  <si>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</si>
  <si>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</si>
  <si>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</si>
  <si>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</si>
  <si>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</si>
  <si>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</si>
  <si>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</si>
  <si>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</si>
  <si>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</si>
  <si>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</si>
  <si>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</si>
  <si>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</si>
  <si>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</si>
  <si>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</si>
  <si>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</si>
  <si>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</si>
  <si>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</si>
  <si>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</si>
  <si>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</si>
  <si>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</si>
  <si>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</si>
  <si>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</si>
  <si>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</si>
  <si>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</si>
  <si>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</si>
  <si>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</si>
  <si>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</si>
  <si>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</si>
  <si>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</si>
  <si>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</si>
  <si>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</si>
  <si>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</si>
  <si>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</si>
  <si>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</si>
  <si>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</si>
  <si>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</si>
  <si>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</si>
  <si>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</si>
  <si>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</si>
  <si>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</si>
  <si>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</si>
  <si>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</si>
  <si>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</si>
  <si>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</si>
  <si>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</si>
  <si>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</si>
  <si>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</si>
  <si>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</si>
  <si>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</si>
  <si>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</si>
  <si>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</si>
  <si>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</si>
  <si>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</si>
  <si>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</si>
  <si>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</si>
  <si>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</si>
  <si>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</si>
  <si>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</si>
  <si>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</si>
  <si>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</si>
  <si>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</si>
  <si>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</si>
  <si>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</si>
  <si>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</si>
  <si>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</si>
  <si>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</si>
  <si>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</si>
  <si>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</si>
  <si>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</si>
  <si>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</si>
  <si>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</si>
  <si>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</si>
  <si>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</si>
  <si>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</si>
  <si>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</si>
  <si>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</si>
  <si>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</si>
  <si>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</si>
  <si>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</si>
  <si>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</si>
  <si>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</si>
  <si>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</si>
  <si>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</si>
  <si>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</si>
  <si>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</si>
  <si>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</si>
  <si>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</si>
  <si>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</si>
  <si>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</si>
  <si>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</si>
  <si>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</si>
  <si>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</si>
  <si>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</si>
  <si>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</si>
  <si>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</si>
  <si>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</si>
  <si>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</si>
  <si>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</si>
  <si>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</si>
  <si>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</si>
  <si>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</si>
  <si>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</si>
  <si>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</si>
  <si>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</si>
  <si>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</si>
  <si>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</si>
  <si>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</si>
  <si>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</si>
  <si>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</si>
  <si>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</si>
  <si>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</si>
  <si>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</si>
  <si>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</si>
  <si>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</si>
  <si>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</si>
  <si>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</si>
  <si>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</si>
  <si>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</si>
  <si>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</si>
  <si>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</si>
  <si>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</si>
  <si>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</si>
  <si>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</si>
  <si>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</si>
  <si>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</si>
  <si>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</si>
  <si>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</si>
  <si>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</si>
  <si>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</si>
  <si>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</si>
  <si>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</si>
  <si>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</si>
  <si>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</si>
  <si>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</si>
  <si>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</si>
  <si>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</si>
  <si>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</si>
  <si>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</si>
  <si>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</si>
  <si>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</si>
  <si>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</si>
  <si>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</si>
  <si>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</si>
  <si>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</si>
  <si>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</si>
  <si>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</si>
  <si>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</si>
  <si>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</si>
  <si>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</si>
  <si>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</si>
  <si>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</si>
  <si>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</si>
  <si>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</si>
  <si>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</si>
  <si>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</si>
  <si>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</si>
  <si>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</si>
  <si>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</si>
  <si>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</si>
  <si>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</si>
  <si>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</si>
  <si>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</si>
  <si>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</si>
  <si>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</si>
  <si>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</si>
  <si>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</si>
  <si>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</si>
  <si>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</si>
  <si>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</si>
  <si>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</si>
  <si>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</si>
  <si>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</si>
  <si>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</si>
  <si>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</si>
  <si>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</si>
  <si>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</si>
  <si>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</si>
  <si>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</si>
  <si>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</si>
  <si>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</si>
  <si>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</si>
  <si>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</si>
  <si>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</si>
  <si>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</si>
  <si>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</si>
  <si>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</si>
  <si>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</si>
  <si>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</si>
  <si>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</si>
  <si>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</si>
  <si>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</si>
  <si>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</si>
  <si>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</si>
  <si>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</si>
  <si>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</si>
  <si>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</si>
  <si>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</si>
  <si>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</si>
  <si>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</si>
  <si>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</si>
  <si>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</si>
  <si>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</si>
  <si>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</si>
  <si>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</si>
  <si>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</si>
  <si>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MICHAEL</t>
  </si>
  <si>
    <t>204:475</t>
  </si>
  <si>
    <t>204:233308</t>
  </si>
  <si>
    <t>204:233302</t>
  </si>
  <si>
    <t>204:160</t>
  </si>
  <si>
    <t>204:233336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</si>
  <si>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</si>
  <si>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</si>
  <si>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</si>
  <si>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</si>
  <si>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</si>
  <si>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</si>
  <si>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</si>
  <si>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</si>
  <si>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</si>
  <si>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</si>
  <si>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</si>
  <si>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</si>
  <si>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</si>
  <si>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</si>
  <si>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204:233314</t>
  </si>
  <si>
    <t>%REDMINEAPIKEY%</t>
  </si>
  <si>
    <t>rtdc.l.rtdc.4036:itc</t>
  </si>
  <si>
    <t>204:163</t>
  </si>
  <si>
    <t>204:232977</t>
  </si>
  <si>
    <t>204:464</t>
  </si>
  <si>
    <t>204:232991</t>
  </si>
  <si>
    <t>rtdc.l.rtdc.4052:itc</t>
  </si>
  <si>
    <t>rtdc.l.rtdc.4051:itc</t>
  </si>
  <si>
    <t>rtdc.l.rtdc.4046:itc</t>
  </si>
  <si>
    <t>STEWART</t>
  </si>
  <si>
    <t>204:232985</t>
  </si>
  <si>
    <t>204:165</t>
  </si>
  <si>
    <t>204:233303</t>
  </si>
  <si>
    <t>204:232984</t>
  </si>
  <si>
    <t>204:232994</t>
  </si>
  <si>
    <t>rtdc.l.rtdc.4035:itc</t>
  </si>
  <si>
    <t>FORTUNATO</t>
  </si>
  <si>
    <t>FRANK</t>
  </si>
  <si>
    <t>GEBRETEKLE</t>
  </si>
  <si>
    <t>DAGNEW</t>
  </si>
  <si>
    <t>clear-day</t>
  </si>
  <si>
    <t>204:442</t>
  </si>
  <si>
    <t>204:233002</t>
  </si>
  <si>
    <t>204:232965</t>
  </si>
  <si>
    <t>204:449</t>
  </si>
  <si>
    <t>204:462</t>
  </si>
  <si>
    <t>204:233310</t>
  </si>
  <si>
    <t>204:232989</t>
  </si>
  <si>
    <t>204:233309</t>
  </si>
  <si>
    <t>204:233289</t>
  </si>
  <si>
    <t>204:232987</t>
  </si>
  <si>
    <t>300:23346</t>
  </si>
  <si>
    <t>204:976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</si>
  <si>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</si>
  <si>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</si>
  <si>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</si>
  <si>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</si>
  <si>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</si>
  <si>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</si>
  <si>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</si>
  <si>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rtdc.l.rtdc.4031:itc</t>
  </si>
  <si>
    <t>WENDY</t>
  </si>
  <si>
    <t>rtdc.l.rtdc.4002:itc</t>
  </si>
  <si>
    <t>DELGADO</t>
  </si>
  <si>
    <t>DIANAH</t>
  </si>
  <si>
    <t>KILLION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</si>
  <si>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</si>
  <si>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</si>
  <si>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</si>
  <si>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</si>
  <si>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</si>
  <si>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</si>
  <si>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</si>
  <si>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</si>
  <si>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</si>
  <si>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</si>
  <si>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</si>
  <si>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</si>
  <si>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</si>
  <si>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</si>
  <si>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</si>
  <si>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</si>
  <si>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</si>
  <si>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</si>
  <si>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204:233042</t>
  </si>
  <si>
    <t>204:138</t>
  </si>
  <si>
    <t>204:232978</t>
  </si>
  <si>
    <t>204:440</t>
  </si>
  <si>
    <t>204:233019</t>
  </si>
  <si>
    <t>204:169</t>
  </si>
  <si>
    <t>204:444</t>
  </si>
  <si>
    <t>204:477</t>
  </si>
  <si>
    <t>204:433</t>
  </si>
  <si>
    <t>204:1004</t>
  </si>
  <si>
    <t>204:962</t>
  </si>
  <si>
    <t>300:58935</t>
  </si>
  <si>
    <t>300:23563</t>
  </si>
  <si>
    <t>rtdc.l.rtdc.4030:itc</t>
  </si>
  <si>
    <t>rtdc.l.rtdc.4041:itc</t>
  </si>
  <si>
    <t>rtdc.l.rtdc.4042:itc</t>
  </si>
  <si>
    <t>rtdc.l.rtdc.4057:itc</t>
  </si>
  <si>
    <t>rtdc.l.rtdc.4025:itc</t>
  </si>
  <si>
    <t>rtdc.l.rtdc.4003:itc</t>
  </si>
  <si>
    <t>SWITCH UNKNOWN</t>
  </si>
  <si>
    <t>Track device (7)</t>
  </si>
  <si>
    <t>rtdc.l.rtdc.4062:itc</t>
  </si>
  <si>
    <t>MAELZER</t>
  </si>
  <si>
    <t>KURT</t>
  </si>
  <si>
    <t>rtdc.l.rtdc.4026:itc</t>
  </si>
  <si>
    <t>WILLIAMS</t>
  </si>
  <si>
    <t>DONTE</t>
  </si>
  <si>
    <t>CASSIDY</t>
  </si>
  <si>
    <t>BRANDON</t>
  </si>
  <si>
    <t>rtdc.l.rtdc.4004:itc</t>
  </si>
  <si>
    <t>GONZALEZ</t>
  </si>
  <si>
    <t>ARMANDO</t>
  </si>
  <si>
    <t>rtdc.l.rtdc.4058:itc</t>
  </si>
  <si>
    <t>BADERTSCHER</t>
  </si>
  <si>
    <t>DIANE</t>
  </si>
  <si>
    <t>THOMAS</t>
  </si>
  <si>
    <t>WEST</t>
  </si>
  <si>
    <t>BRYAN</t>
  </si>
  <si>
    <t>ELBAUM</t>
  </si>
  <si>
    <t>MIKE</t>
  </si>
  <si>
    <t>242-12</t>
  </si>
  <si>
    <t>313-12</t>
  </si>
  <si>
    <t>307-12</t>
  </si>
  <si>
    <t>244-12</t>
  </si>
  <si>
    <t>309-12</t>
  </si>
  <si>
    <t>311-12</t>
  </si>
  <si>
    <t>204:233349</t>
  </si>
  <si>
    <t>204:429</t>
  </si>
  <si>
    <t>204:233023</t>
  </si>
  <si>
    <t>204:233299</t>
  </si>
  <si>
    <t>204:233317</t>
  </si>
  <si>
    <t>204:232969</t>
  </si>
  <si>
    <t>204:482</t>
  </si>
  <si>
    <t>204:232988</t>
  </si>
  <si>
    <t>204:232981</t>
  </si>
  <si>
    <t>204:233286</t>
  </si>
  <si>
    <t>204:136</t>
  </si>
  <si>
    <t>204:233332</t>
  </si>
  <si>
    <t>204:232973</t>
  </si>
  <si>
    <t>204:233283</t>
  </si>
  <si>
    <t>204:435</t>
  </si>
  <si>
    <t>204:233281</t>
  </si>
  <si>
    <t>204:232986</t>
  </si>
  <si>
    <t>204:232970</t>
  </si>
  <si>
    <t>204:233026</t>
  </si>
  <si>
    <t>204:233329</t>
  </si>
  <si>
    <t>204:183</t>
  </si>
  <si>
    <t>204:141</t>
  </si>
  <si>
    <t>204:233015</t>
  </si>
  <si>
    <t>300:58700</t>
  </si>
  <si>
    <t>204:717</t>
  </si>
  <si>
    <t>204:983</t>
  </si>
  <si>
    <t>300:58696</t>
  </si>
  <si>
    <t>204:710</t>
  </si>
  <si>
    <t>300:58990</t>
  </si>
  <si>
    <t>204:724</t>
  </si>
  <si>
    <t>204:712</t>
  </si>
  <si>
    <t>204:974</t>
  </si>
  <si>
    <t>204:706</t>
  </si>
  <si>
    <t>300:58922</t>
  </si>
  <si>
    <t>300:58617</t>
  </si>
  <si>
    <t>204:431</t>
  </si>
  <si>
    <t>Wi-MAX data drop</t>
  </si>
  <si>
    <t>302-15</t>
  </si>
  <si>
    <t>102-15</t>
  </si>
  <si>
    <t>111-15</t>
  </si>
  <si>
    <t>rtdc.l.rtdc.4016:itc</t>
  </si>
  <si>
    <t>117-15</t>
  </si>
  <si>
    <t>1802-15</t>
  </si>
  <si>
    <t>125-15</t>
  </si>
  <si>
    <t>126-15</t>
  </si>
  <si>
    <t>TEMPORARY SPEED RESTRICTION</t>
  </si>
  <si>
    <t>134-15</t>
  </si>
  <si>
    <t>147-15</t>
  </si>
  <si>
    <t>1810-15</t>
  </si>
  <si>
    <t>157-15</t>
  </si>
  <si>
    <t>1817-15</t>
  </si>
  <si>
    <t>185-15</t>
  </si>
  <si>
    <t>1819-15</t>
  </si>
  <si>
    <t>1821-15</t>
  </si>
  <si>
    <t>1823-15</t>
  </si>
  <si>
    <t>1825-15</t>
  </si>
  <si>
    <t>210-15</t>
  </si>
  <si>
    <t>1827-15</t>
  </si>
  <si>
    <t>225-15</t>
  </si>
  <si>
    <t>1829-15</t>
  </si>
  <si>
    <t>227-15</t>
  </si>
  <si>
    <t>1831-15</t>
  </si>
  <si>
    <t>rtdc.l.rtdc.4007:itc</t>
  </si>
  <si>
    <t>230-15</t>
  </si>
  <si>
    <t>1835-15</t>
  </si>
  <si>
    <t>237-15</t>
  </si>
  <si>
    <t>1902-15</t>
  </si>
  <si>
    <t>238-15</t>
  </si>
  <si>
    <t>309-15</t>
  </si>
  <si>
    <t>244-15</t>
  </si>
  <si>
    <t>rtdc.l.rtdc.4018:itc</t>
  </si>
  <si>
    <t>307-14</t>
  </si>
  <si>
    <t>244-14</t>
  </si>
  <si>
    <t>309-14</t>
  </si>
  <si>
    <t>246-14</t>
  </si>
  <si>
    <t>BARRON</t>
  </si>
  <si>
    <t>PERLA</t>
  </si>
  <si>
    <t>311-14</t>
  </si>
  <si>
    <t>300-15</t>
  </si>
  <si>
    <t>THOMPSON</t>
  </si>
  <si>
    <t>LESTER</t>
  </si>
  <si>
    <t>313-14</t>
  </si>
  <si>
    <t>51-15</t>
  </si>
  <si>
    <t>101-15</t>
  </si>
  <si>
    <t>52-15</t>
  </si>
  <si>
    <t>103-15</t>
  </si>
  <si>
    <t>304-15</t>
  </si>
  <si>
    <t>306-15</t>
  </si>
  <si>
    <t>LALONDE</t>
  </si>
  <si>
    <t>GREGORY</t>
  </si>
  <si>
    <t>105-15</t>
  </si>
  <si>
    <t>308-15</t>
  </si>
  <si>
    <t>107-15</t>
  </si>
  <si>
    <t>104-15</t>
  </si>
  <si>
    <t>53-15</t>
  </si>
  <si>
    <t>109-15</t>
  </si>
  <si>
    <t>310-15</t>
  </si>
  <si>
    <t>106-15</t>
  </si>
  <si>
    <t>108-15</t>
  </si>
  <si>
    <t>50-15</t>
  </si>
  <si>
    <t>113-15</t>
  </si>
  <si>
    <t>1901-15</t>
  </si>
  <si>
    <t>MACDONALD</t>
  </si>
  <si>
    <t>115-15</t>
  </si>
  <si>
    <t>rtdc.l.rtdc.4015:itc</t>
  </si>
  <si>
    <t>312-15</t>
  </si>
  <si>
    <t>LAMAR</t>
  </si>
  <si>
    <t>NEKESHA</t>
  </si>
  <si>
    <t>110-15</t>
  </si>
  <si>
    <t>1800-15</t>
  </si>
  <si>
    <t>112-15</t>
  </si>
  <si>
    <t>119-15</t>
  </si>
  <si>
    <t>1801-15</t>
  </si>
  <si>
    <t>114-15</t>
  </si>
  <si>
    <t>121-15</t>
  </si>
  <si>
    <t>116-15</t>
  </si>
  <si>
    <t>123-15</t>
  </si>
  <si>
    <t>118-15</t>
  </si>
  <si>
    <t>120-15</t>
  </si>
  <si>
    <t>122-15</t>
  </si>
  <si>
    <t>127-15</t>
  </si>
  <si>
    <t>1803-15</t>
  </si>
  <si>
    <t>129-15</t>
  </si>
  <si>
    <t>124-15</t>
  </si>
  <si>
    <t>131-15</t>
  </si>
  <si>
    <t>1804-15</t>
  </si>
  <si>
    <t>133-15</t>
  </si>
  <si>
    <t>128-15</t>
  </si>
  <si>
    <t>135-15</t>
  </si>
  <si>
    <t>HUFFSMITH</t>
  </si>
  <si>
    <t>MONTY</t>
  </si>
  <si>
    <t>130-15</t>
  </si>
  <si>
    <t>1805-15</t>
  </si>
  <si>
    <t>137-15</t>
  </si>
  <si>
    <t>132-15</t>
  </si>
  <si>
    <t>1806-15</t>
  </si>
  <si>
    <t>139-15</t>
  </si>
  <si>
    <t>141-15</t>
  </si>
  <si>
    <t>138-15</t>
  </si>
  <si>
    <t>143-15</t>
  </si>
  <si>
    <t>136-15</t>
  </si>
  <si>
    <t>1807-15</t>
  </si>
  <si>
    <t>145-15</t>
  </si>
  <si>
    <t>140-15</t>
  </si>
  <si>
    <t>1808-15</t>
  </si>
  <si>
    <t>56-15</t>
  </si>
  <si>
    <t>142-15</t>
  </si>
  <si>
    <t>149-15</t>
  </si>
  <si>
    <t>144-15</t>
  </si>
  <si>
    <t>151-15</t>
  </si>
  <si>
    <t>1809-15</t>
  </si>
  <si>
    <t>153-15</t>
  </si>
  <si>
    <t>58-15</t>
  </si>
  <si>
    <t>RESPASS</t>
  </si>
  <si>
    <t>AARON</t>
  </si>
  <si>
    <t>146-15</t>
  </si>
  <si>
    <t>148-15</t>
  </si>
  <si>
    <t>150-15</t>
  </si>
  <si>
    <t>155-15</t>
  </si>
  <si>
    <t>152-15</t>
  </si>
  <si>
    <t>60-15</t>
  </si>
  <si>
    <t>SAFIEF</t>
  </si>
  <si>
    <t>AEIMEN</t>
  </si>
  <si>
    <t>rtdc.l.rtdc.4056:itc</t>
  </si>
  <si>
    <t>66-15</t>
  </si>
  <si>
    <t>ROMERO</t>
  </si>
  <si>
    <t>CHAD</t>
  </si>
  <si>
    <t>159-15</t>
  </si>
  <si>
    <t>rtdc.l.rtdc.4043:itc</t>
  </si>
  <si>
    <t>70-15</t>
  </si>
  <si>
    <t>GUZMAN</t>
  </si>
  <si>
    <t>DANNY</t>
  </si>
  <si>
    <t>154-15</t>
  </si>
  <si>
    <t>1811-15</t>
  </si>
  <si>
    <t>161-15</t>
  </si>
  <si>
    <t>156-15</t>
  </si>
  <si>
    <t>62-15</t>
  </si>
  <si>
    <t>BROWN</t>
  </si>
  <si>
    <t>JACOB</t>
  </si>
  <si>
    <t>1812-15</t>
  </si>
  <si>
    <t>163-15</t>
  </si>
  <si>
    <t>158-15</t>
  </si>
  <si>
    <t>165-15</t>
  </si>
  <si>
    <t>rtdc.l.rtdc.4044:itc</t>
  </si>
  <si>
    <t>160-15</t>
  </si>
  <si>
    <t>167-15</t>
  </si>
  <si>
    <t>1813-15</t>
  </si>
  <si>
    <t>162-15</t>
  </si>
  <si>
    <t>169-15</t>
  </si>
  <si>
    <t>164-15</t>
  </si>
  <si>
    <t>166-15</t>
  </si>
  <si>
    <t>171-15</t>
  </si>
  <si>
    <t>DAVIDSON</t>
  </si>
  <si>
    <t>1814-15</t>
  </si>
  <si>
    <t>173-15</t>
  </si>
  <si>
    <t>SMITH</t>
  </si>
  <si>
    <t>168-15</t>
  </si>
  <si>
    <t>175-15</t>
  </si>
  <si>
    <t>170-15</t>
  </si>
  <si>
    <t>1815-15</t>
  </si>
  <si>
    <t>172-15</t>
  </si>
  <si>
    <t>177-15</t>
  </si>
  <si>
    <t>179-15</t>
  </si>
  <si>
    <t>1816-15</t>
  </si>
  <si>
    <t>174-15</t>
  </si>
  <si>
    <t>181-15</t>
  </si>
  <si>
    <t>WHITED</t>
  </si>
  <si>
    <t>DUSTIN</t>
  </si>
  <si>
    <t>176-15</t>
  </si>
  <si>
    <t>183-15</t>
  </si>
  <si>
    <t>178-15</t>
  </si>
  <si>
    <t>180-15</t>
  </si>
  <si>
    <t>187-15</t>
  </si>
  <si>
    <t>182-15</t>
  </si>
  <si>
    <t>1818-15</t>
  </si>
  <si>
    <t>189-15</t>
  </si>
  <si>
    <t>184-15</t>
  </si>
  <si>
    <t>191-15</t>
  </si>
  <si>
    <t>193-15</t>
  </si>
  <si>
    <t>186-15</t>
  </si>
  <si>
    <t>188-15</t>
  </si>
  <si>
    <t>195-15</t>
  </si>
  <si>
    <t>197-15</t>
  </si>
  <si>
    <t>1820-15</t>
  </si>
  <si>
    <t>190-15</t>
  </si>
  <si>
    <t>192-15</t>
  </si>
  <si>
    <t>194-15</t>
  </si>
  <si>
    <t>199-15</t>
  </si>
  <si>
    <t>201-15</t>
  </si>
  <si>
    <t>196-15</t>
  </si>
  <si>
    <t>rtdc.l.rtdc.4008:itc</t>
  </si>
  <si>
    <t>75-15</t>
  </si>
  <si>
    <t>1822-15</t>
  </si>
  <si>
    <t>203-15</t>
  </si>
  <si>
    <t>205-15</t>
  </si>
  <si>
    <t>198-15</t>
  </si>
  <si>
    <t>200-15</t>
  </si>
  <si>
    <t>207-15</t>
  </si>
  <si>
    <t>202-15</t>
  </si>
  <si>
    <t>209-15</t>
  </si>
  <si>
    <t>rtdc.l.rtdc.4006:itc</t>
  </si>
  <si>
    <t>77-15</t>
  </si>
  <si>
    <t>211-15</t>
  </si>
  <si>
    <t>204-15</t>
  </si>
  <si>
    <t>1824-15</t>
  </si>
  <si>
    <t>206-15</t>
  </si>
  <si>
    <t>208-15</t>
  </si>
  <si>
    <t>213-15</t>
  </si>
  <si>
    <t>215-15</t>
  </si>
  <si>
    <t>217-15</t>
  </si>
  <si>
    <t>212-15</t>
  </si>
  <si>
    <t>219-15</t>
  </si>
  <si>
    <t>1826-15</t>
  </si>
  <si>
    <t>68-15</t>
  </si>
  <si>
    <t>214-15</t>
  </si>
  <si>
    <t>301-15</t>
  </si>
  <si>
    <t>216-15</t>
  </si>
  <si>
    <t>218-15</t>
  </si>
  <si>
    <t>221-15</t>
  </si>
  <si>
    <t>220-15</t>
  </si>
  <si>
    <t>223-15</t>
  </si>
  <si>
    <t>1828-15</t>
  </si>
  <si>
    <t>222-15</t>
  </si>
  <si>
    <t>305-15</t>
  </si>
  <si>
    <t>224-15</t>
  </si>
  <si>
    <t>226-15</t>
  </si>
  <si>
    <t>229-15</t>
  </si>
  <si>
    <t>228-15</t>
  </si>
  <si>
    <t>73-15</t>
  </si>
  <si>
    <t>231-15</t>
  </si>
  <si>
    <t>233-15</t>
  </si>
  <si>
    <t>1832-15</t>
  </si>
  <si>
    <t>1833-15</t>
  </si>
  <si>
    <t>235-15</t>
  </si>
  <si>
    <t>232-15</t>
  </si>
  <si>
    <t>1834-15</t>
  </si>
  <si>
    <t>234-15</t>
  </si>
  <si>
    <t>236-15</t>
  </si>
  <si>
    <t>239-15</t>
  </si>
  <si>
    <t>241-15</t>
  </si>
  <si>
    <t>243-15</t>
  </si>
  <si>
    <t>240-15</t>
  </si>
  <si>
    <t>242-15</t>
  </si>
  <si>
    <t>313-15</t>
  </si>
  <si>
    <t>307-15</t>
  </si>
  <si>
    <t>311-15</t>
  </si>
  <si>
    <t>204:757</t>
  </si>
  <si>
    <t>204:233320</t>
  </si>
  <si>
    <t>204:233007</t>
  </si>
  <si>
    <t>204:233021</t>
  </si>
  <si>
    <t>204:1483</t>
  </si>
  <si>
    <t>204:233326</t>
  </si>
  <si>
    <t>204:233274</t>
  </si>
  <si>
    <t>204:232971</t>
  </si>
  <si>
    <t>204:233357</t>
  </si>
  <si>
    <t>204:233027</t>
  </si>
  <si>
    <t>204:478</t>
  </si>
  <si>
    <t>204:233337</t>
  </si>
  <si>
    <t>204:233030</t>
  </si>
  <si>
    <t>204:233319</t>
  </si>
  <si>
    <t>204:233006</t>
  </si>
  <si>
    <t>204:233009</t>
  </si>
  <si>
    <t>204:233322</t>
  </si>
  <si>
    <t>204:233000</t>
  </si>
  <si>
    <t>204:413</t>
  </si>
  <si>
    <t>204:233295</t>
  </si>
  <si>
    <t>204:233297</t>
  </si>
  <si>
    <t>204:233282</t>
  </si>
  <si>
    <t>204:233278</t>
  </si>
  <si>
    <t>204:232944</t>
  </si>
  <si>
    <t>204:233304</t>
  </si>
  <si>
    <t>204:167</t>
  </si>
  <si>
    <t>204:233004</t>
  </si>
  <si>
    <t>204:233341</t>
  </si>
  <si>
    <t>204:232983</t>
  </si>
  <si>
    <t>204:233270</t>
  </si>
  <si>
    <t>204:232948</t>
  </si>
  <si>
    <t>204:233028</t>
  </si>
  <si>
    <t>204:233315</t>
  </si>
  <si>
    <t>204:170</t>
  </si>
  <si>
    <t>204:233227</t>
  </si>
  <si>
    <t>300:58596</t>
  </si>
  <si>
    <t>204:713</t>
  </si>
  <si>
    <t>204:988</t>
  </si>
  <si>
    <t>300:58912</t>
  </si>
  <si>
    <t>300:57233</t>
  </si>
  <si>
    <t>204:1006</t>
  </si>
  <si>
    <t>300:58918</t>
  </si>
  <si>
    <t>204:731</t>
  </si>
  <si>
    <t>300:58905</t>
  </si>
  <si>
    <t>300:58589</t>
  </si>
  <si>
    <t>204:1007</t>
  </si>
  <si>
    <t>300:58916</t>
  </si>
  <si>
    <t>300:58349</t>
  </si>
  <si>
    <t>204:687</t>
  </si>
  <si>
    <t>204:233251</t>
  </si>
  <si>
    <t>300:58623</t>
  </si>
  <si>
    <t>204:797</t>
  </si>
  <si>
    <t>204:1077</t>
  </si>
  <si>
    <t>300:58937</t>
  </si>
  <si>
    <t>300:58611</t>
  </si>
  <si>
    <t>204:752</t>
  </si>
  <si>
    <t>204:1023</t>
  </si>
  <si>
    <t>300:58406</t>
  </si>
  <si>
    <t>204:666</t>
  </si>
  <si>
    <t>300:58896</t>
  </si>
  <si>
    <t>300:58577</t>
  </si>
  <si>
    <t>204:733</t>
  </si>
  <si>
    <t>300:58707</t>
  </si>
  <si>
    <t>204:985</t>
  </si>
  <si>
    <t>300:58999</t>
  </si>
  <si>
    <t>204:887</t>
  </si>
  <si>
    <t>204:995</t>
  </si>
  <si>
    <t>300:58958</t>
  </si>
  <si>
    <t>300:58713</t>
  </si>
  <si>
    <t>300:58145</t>
  </si>
  <si>
    <t>300:58704</t>
  </si>
  <si>
    <t>300:59003</t>
  </si>
  <si>
    <t>300:11380</t>
  </si>
  <si>
    <t>300:58873</t>
  </si>
  <si>
    <t>204:489</t>
  </si>
  <si>
    <t>300:59012</t>
  </si>
  <si>
    <t>300:58705</t>
  </si>
  <si>
    <t>204:699</t>
  </si>
  <si>
    <t>204:978</t>
  </si>
  <si>
    <t>300:58890</t>
  </si>
  <si>
    <t>300:58715</t>
  </si>
  <si>
    <t>204:972</t>
  </si>
  <si>
    <t>204:1258</t>
  </si>
  <si>
    <t>300:29748</t>
  </si>
  <si>
    <t>300:27446</t>
  </si>
  <si>
    <t>204:233380</t>
  </si>
  <si>
    <t>204:126</t>
  </si>
  <si>
    <t>204:125</t>
  </si>
  <si>
    <t>204:233285</t>
  </si>
  <si>
    <t>204:232979</t>
  </si>
  <si>
    <t>204:178</t>
  </si>
  <si>
    <t>204:233005</t>
  </si>
  <si>
    <t>204:140</t>
  </si>
  <si>
    <t>204:233407</t>
  </si>
  <si>
    <t>204:233149</t>
  </si>
  <si>
    <t>204:103</t>
  </si>
  <si>
    <t>204:233351</t>
  </si>
  <si>
    <t>204:924</t>
  </si>
  <si>
    <t>204:233359</t>
  </si>
  <si>
    <t>204:1160</t>
  </si>
  <si>
    <t>204:233339</t>
  </si>
  <si>
    <t>204:233372</t>
  </si>
  <si>
    <t>204:391</t>
  </si>
  <si>
    <t>204:415</t>
  </si>
  <si>
    <t>204:233423</t>
  </si>
  <si>
    <t>204:233147</t>
  </si>
  <si>
    <t>204:307</t>
  </si>
  <si>
    <t>204:233013</t>
  </si>
  <si>
    <t>204:233347</t>
  </si>
  <si>
    <t>204:781</t>
  </si>
  <si>
    <t>204:606</t>
  </si>
  <si>
    <t>204:233451</t>
  </si>
  <si>
    <t>204:233344</t>
  </si>
  <si>
    <t>204:233334</t>
  </si>
  <si>
    <t>204:755</t>
  </si>
  <si>
    <t>204:232741</t>
  </si>
  <si>
    <t>204:233400</t>
  </si>
  <si>
    <t>204:746</t>
  </si>
  <si>
    <t>204:233366</t>
  </si>
  <si>
    <t>300:23306</t>
  </si>
  <si>
    <t>300:19586</t>
  </si>
  <si>
    <t>204:4437</t>
  </si>
  <si>
    <t>300:21803</t>
  </si>
  <si>
    <t>204:1462</t>
  </si>
  <si>
    <t>204:4039</t>
  </si>
  <si>
    <t>204:3437</t>
  </si>
  <si>
    <t>300:23538</t>
  </si>
  <si>
    <t>300:23301</t>
  </si>
  <si>
    <t>300:23631</t>
  </si>
  <si>
    <t>300:18445</t>
  </si>
  <si>
    <t>300:23314</t>
  </si>
  <si>
    <t>300:23589</t>
  </si>
  <si>
    <t>204:759</t>
  </si>
  <si>
    <t>300:23224</t>
  </si>
  <si>
    <t>300:23258</t>
  </si>
  <si>
    <t>204:1169</t>
  </si>
  <si>
    <t>300:24224</t>
  </si>
  <si>
    <t>204:3306</t>
  </si>
  <si>
    <t>204:379</t>
  </si>
  <si>
    <t>300:31294</t>
  </si>
  <si>
    <t>204:2963</t>
  </si>
  <si>
    <t>204:1156</t>
  </si>
  <si>
    <t>204:1479</t>
  </si>
  <si>
    <t>204:1477</t>
  </si>
  <si>
    <t>300:23694</t>
  </si>
  <si>
    <t>204:68</t>
  </si>
  <si>
    <t>300:23500</t>
  </si>
  <si>
    <t>204:923</t>
  </si>
  <si>
    <t>204:1229</t>
  </si>
  <si>
    <t>300:24244</t>
  </si>
  <si>
    <t>204:459</t>
  </si>
  <si>
    <t>300:24231</t>
  </si>
  <si>
    <t>300:23423</t>
  </si>
  <si>
    <t>204:1214</t>
  </si>
  <si>
    <t>300:5756</t>
  </si>
  <si>
    <t>204:1488</t>
  </si>
  <si>
    <t>204:3485</t>
  </si>
  <si>
    <t>204:3183</t>
  </si>
  <si>
    <t>204:3189</t>
  </si>
  <si>
    <t>204:1145</t>
  </si>
  <si>
    <t>start /low /b %USERPROFILE%\Documents\GitHub\eaglep3\Utilities\DownloadLogsFromS3.py --loco 4041 --day 2017-10-15</t>
  </si>
  <si>
    <t>start /low /b %USERPROFILE%\Documents\GitHub\eaglep3\Utilities\DownloadLogsFromS3.py --loco 4001 --day 2017-10-15</t>
  </si>
  <si>
    <t>start /low /b %USERPROFILE%\Documents\GitHub\eaglep3\Utilities\DownloadLogsFromS3.py --loco 4036 --day 2017-10-15</t>
  </si>
  <si>
    <t>start /low /b %USERPROFILE%\Documents\GitHub\eaglep3\Utilities\DownloadLogsFromS3.py --loco 4032 --day 2017-10-15</t>
  </si>
  <si>
    <t>start /low /b %USERPROFILE%\Documents\GitHub\eaglep3\Utilities\DownloadLogsFromS3.py --loco 4031 --day 2017-10-16</t>
  </si>
  <si>
    <t>start /low /b %USERPROFILE%\Documents\GitHub\eaglep3\Utilities\DownloadLogsFromS3.py --loco 4042 --day 2017-10-15</t>
  </si>
  <si>
    <t>start /low /b %USERPROFILE%\Documents\GitHub\eaglep3\Utilities\DownloadLogsFromS3.py --loco 4042 --day 2017-10-16</t>
  </si>
  <si>
    <t>start /low /b %USERPROFILE%\Documents\GitHub\eaglep3\Utilities\DownloadLogsFromS3.py --loco 4031 --day 2017-10-15</t>
  </si>
  <si>
    <t>start /low /b %USERPROFILE%\Documents\GitHub\eaglep3\Utilities\DownloadLogsFromS3.py --loco 4007 --day 2017-10-16</t>
  </si>
  <si>
    <t>start /low /b %USERPROFILE%\Documents\GitHub\eaglep3\Utilities\DownloadLogsFromS3.py --loco 4003 --day 2017-10-16</t>
  </si>
  <si>
    <t>start /low /b %USERPROFILE%\Documents\GitHub\eaglep3\Utilities\DownloadLogsFromS3.py --loco 4016 --day 2017-10-15</t>
  </si>
  <si>
    <t>start /low /b %USERPROFILE%\Documents\GitHub\eaglep3\Utilities\DownloadLogsFromS3.py --loco 4016 --day 2017-10-16</t>
  </si>
  <si>
    <t>start /low /b %USERPROFILE%\Documents\GitHub\eaglep3\Utilities\DownloadLogsFromS3.py --loco 4032 --day 2017-10-16</t>
  </si>
  <si>
    <t>start /low /b %USERPROFILE%\Documents\GitHub\eaglep3\Utilities\DownloadLogsFromS3.py --loco 4002 --day 2017-10-15</t>
  </si>
  <si>
    <t>start /low /b %USERPROFILE%\Documents\GitHub\eaglep3\Utilities\DownloadLogsFromS3.py --loco 4002 --day 2017-10-16</t>
  </si>
  <si>
    <t>Accidental emergency brake</t>
  </si>
  <si>
    <t>Observed TRACK WARRANT red fence due to reverser handle in neutral</t>
  </si>
  <si>
    <t>Stopped under I-25 overpass, pressed Acknowledge button for location unknown</t>
  </si>
  <si>
    <t>1830-15</t>
  </si>
  <si>
    <t>Extended onboard Wi-MAX outage</t>
  </si>
  <si>
    <t>Went active too close to Westminster 2S</t>
  </si>
  <si>
    <t>Poor GPS under Wawetta St overpass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</si>
</sst>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7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43023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43023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COUNTIFS($N$13:$N$9421,"&gt;0",$AG$13:$AG$9421,I1)</f>
        <v>143</v>
      </c>
      <c r="K5" s="39"/>
      <c r="L5" s="172"/>
      <c r="M5" s="40">
        <f>AVERAGEIFS($N$13:$N$9421,$AG$13:$AG$9421,I1)</f>
        <v>37.155477855414787</v>
      </c>
      <c r="N5" s="38">
        <f t="array" ref="N5">MIN(IF($AG$13:$AG$9421=I1,IF(ISNUMBER($N$13:$N$9421),IF($N$13:$N$9421&gt;0,$N$13:$N$9421))))</f>
        <v>33.949999994365498</v>
      </c>
      <c r="O5" s="3">
        <f t="array" ref="O5">MAX(IF($AG$13:$AG$9421=I1,IF(ISNUMBER($N$13:$N$9421),IF($N$13:$N$9421&gt;0,$N$13:$N$9421))))</f>
        <v>41.716666663996875</v>
      </c>
      <c r="P5" s="2"/>
      <c r="R5" s="163" t="s">
        <v>17</v>
      </c>
      <c r="S5" s="207">
        <f>COUNTIFS($N$13:$N$9421,"&gt;0",$AG$13:$AG$9421,R1)</f>
        <v>34</v>
      </c>
      <c r="T5" s="172"/>
      <c r="U5" s="195"/>
      <c r="V5" s="211">
        <f>AVERAGEIFS($N$13:$N$9421,$AG$13:$AG$9421,R1)</f>
        <v>14.849019607576979</v>
      </c>
      <c r="W5" s="212">
        <f t="array" ref="W5">MIN(IF($AG$13:$AG$9421=R1,IF(ISNUMBER($N$13:$N$9421),IF($N$13:$N$9421&gt;0,$N$13:$N$9421))))</f>
        <v>12.20000000204891</v>
      </c>
      <c r="X5" s="200">
        <f t="array" ref="X5">MAX(IF($AG$13:$AG$9421=R1,IF(ISNUMBER($N$13:$N$9421),IF($N$13:$N$9421&gt;0,$N$13:$N$9421))))</f>
        <v>19.66666666441597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COUNT($O$13:$O$182)</f>
        <v>0</v>
      </c>
      <c r="K6" s="39"/>
      <c r="L6" s="172"/>
      <c r="M6" s="40">
        <f>IFERROR(AVERAGE($O$13:$O$182),0)</f>
        <v>0</v>
      </c>
      <c r="N6" s="38">
        <f>MIN($O$13:$O$182)</f>
        <v>0</v>
      </c>
      <c r="O6" s="3">
        <f>MAX($O$13:$O$182)</f>
        <v>0</v>
      </c>
      <c r="P6" s="2"/>
      <c r="R6" s="164" t="s">
        <v>43</v>
      </c>
      <c r="S6" s="207">
        <f>COUNT($O$13:$O$182)</f>
        <v>0</v>
      </c>
      <c r="T6" s="172"/>
      <c r="U6" s="195"/>
      <c r="V6" s="211">
        <f>IFERROR(AVERAGE($O$13:$O$182),0)</f>
        <v>0</v>
      </c>
      <c r="W6" s="212">
        <f>MIN($O$13:$O$182)</f>
        <v>0</v>
      </c>
      <c r="X6" s="200">
        <f>MAX($O$13:$O$182)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COUNTIFS($P$13:$P$9421,"&gt;0",$AG$13:$AG$9421,I1)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COUNTIFS($P$13:$P$9421,"&gt;0",$AG$13:$AG$9421,R1)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37.155477855414787</v>
      </c>
      <c r="N8" s="38">
        <f>N5</f>
        <v>33.949999994365498</v>
      </c>
      <c r="O8" s="3">
        <f>O5</f>
        <v>41.716666663996875</v>
      </c>
      <c r="P8" s="2"/>
      <c r="R8" s="163" t="s">
        <v>16</v>
      </c>
      <c r="S8" s="207">
        <f>S5</f>
        <v>34</v>
      </c>
      <c r="T8" s="172"/>
      <c r="U8" s="195"/>
      <c r="V8" s="211">
        <f>V5</f>
        <v>14.849019607576979</v>
      </c>
      <c r="W8" s="212">
        <f>W5</f>
        <v>12.20000000204891</v>
      </c>
      <c r="X8" s="200">
        <f>X5</f>
        <v>19.66666666441597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- 2017-10-15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609</v>
      </c>
      <c r="B13" s="7">
        <v>4032</v>
      </c>
      <c r="C13" s="21" t="s">
        <v>194</v>
      </c>
      <c r="D13" s="21" t="s">
        <v>812</v>
      </c>
      <c r="E13" s="13">
        <v>43023.124942129631</v>
      </c>
      <c r="F13" s="13">
        <v>43023.135682870372</v>
      </c>
      <c r="G13" s="7">
        <v>89</v>
      </c>
      <c r="H13" s="21" t="s">
        <v>813</v>
      </c>
      <c r="I13" s="13">
        <v>43023.160937499997</v>
      </c>
      <c r="J13" s="7">
        <v>0</v>
      </c>
      <c r="K13" s="89" t="str">
        <f>IF(ISEVEN(B13),(B13-1)&amp;"/"&amp;B13,B13&amp;"/"&amp;(B13+1))</f>
        <v>4031/4032</v>
      </c>
      <c r="L13" s="185" t="str">
        <f>VLOOKUP(A13,'Trips&amp;Operators'!$C$1:$G$99911,5,FALSE)</f>
        <v>THOMPSON LESTER</v>
      </c>
      <c r="M13" s="6">
        <f>I13-F13</f>
        <v>2.5254629625123926E-2</v>
      </c>
      <c r="N13" s="7">
        <f>24*60*SUM($M13:$M13)</f>
        <v>36.366666660178453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-15T01:59:55-0600',mode:absolute,to:'2017-10-15T04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7.5700000000000003E-2</v>
      </c>
      <c r="Z13" s="204">
        <f>RIGHT(H13,LEN(H13)-4)/10000</f>
        <v>23.332000000000001</v>
      </c>
      <c r="AA13" s="204">
        <f>ABS(Z13-Y13)</f>
        <v>23.2563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/stypes="app*4032*20171015*"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4032 --swversion DE.1.0.9.0 --startMP 204:757 --initTime 2017-10-15T02:59:55 --startdatetime 2017-10-15T03:15:23 --delay 89 --endMP 204:233320 --enddatetime 2017-10-15T03:51:45 --enforcementcount 0 &gt;&gt;%USERPROFILE%\Documents\GitHub\eaglep3-reporting\EC\2017-10-15-refined-times.txt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{"issue":{"subject":"","project_id":79,"tracker_id":40,"status_id":1,"priority_id":2,"assigned_to_id":338,"start_date":"2017-10-15","description":"","custom_fields":[{"id":1,"name":"Subdivision","value":"EC"},{"id":4,"name":"Milepost","value":"23.332"},{"id":17,"name":"Train ID","value":"101-15"},{"id":16,"name":"Locomotive ID","value":"4032"},{"id":130,"name":"Impact","value":""},{"id":150,"name":"Time of Event (Mountain Time)","value":"03:51:45"},{"id":151,"name":"Denver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4032 --day 2017-10-15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09:51:45"},{"id":29,"name":"Sharepoint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-15T01:59:55-0600',mode:absolute,to:'2017-10-15T04:51:45-0600'))&amp;_a=(columns:!('Message%20ID',Summary),filters:!(),index:'emp_*',interval:auto,query:(query_string:(analyze_wildcard:!t,query:'%22rtdc.l.rtdc.4032%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564</v>
      </c>
      <c r="B14" s="7">
        <v>4031</v>
      </c>
      <c r="C14" s="21" t="s">
        <v>194</v>
      </c>
      <c r="D14" s="21" t="s">
        <v>430</v>
      </c>
      <c r="E14" s="13">
        <v>43023.172453703701</v>
      </c>
      <c r="F14" s="13">
        <v>43023.175219907411</v>
      </c>
      <c r="G14" s="7">
        <v>71</v>
      </c>
      <c r="H14" s="21" t="s">
        <v>536</v>
      </c>
      <c r="I14" s="13">
        <v>43023.202499999999</v>
      </c>
      <c r="J14" s="7">
        <v>0</v>
      </c>
      <c r="K14" s="89" t="str">
        <f>IF(ISEVEN(B14),(B14-1)&amp;"/"&amp;B14,B14&amp;"/"&amp;(B14+1))</f>
        <v>4031/4032</v>
      </c>
      <c r="L14" s="185" t="str">
        <f>VLOOKUP(A14,'Trips&amp;Operators'!$C$1:$G$99911,5,FALSE)</f>
        <v>THOMPSON LESTER</v>
      </c>
      <c r="M14" s="6">
        <f>I14-F14</f>
        <v>2.7280092588625848E-2</v>
      </c>
      <c r="N14" s="7">
        <f>24*60*SUM($M14:$M14)</f>
        <v>39.283333327621222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-15T03:08:20-0600',mode:absolute,to:'2017-10-15T05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23.299399999999999</v>
      </c>
      <c r="Z14" s="204">
        <f>RIGHT(H14,LEN(H14)-4)/10000</f>
        <v>1.3599999999999999E-2</v>
      </c>
      <c r="AA14" s="204">
        <f>ABS(Z14-Y14)</f>
        <v>23.285799999999998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/stypes="app*4031*20171015*"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4031 --swversion DE.1.0.9.0 --startMP 204:232994 --initTime 2017-10-15T04:08:20 --startdatetime 2017-10-15T04:12:19 --delay 71 --endMP 204:136 --enddatetime 2017-10-15T04:51:36 --enforcementcount 0 &gt;&gt;%USERPROFILE%\Documents\GitHub\eaglep3-reporting\EC\2017-10-15-refined-times.txt</v>
      </c>
      <c r="AI14" s="96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{"issue":{"subject":"","project_id":79,"tracker_id":40,"status_id":1,"priority_id":2,"assigned_to_id":338,"start_date":"2017-10-15","description":"","custom_fields":[{"id":1,"name":"Subdivision","value":"EC"},{"id":4,"name":"Milepost","value":"0.0136"},{"id":17,"name":"Train ID","value":"102-15"},{"id":16,"name":"Locomotive ID","value":"4031"},{"id":130,"name":"Impact","value":""},{"id":150,"name":"Time of Event (Mountain Time)","value":"04:51:36"},{"id":151,"name":"Denver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7">"start /low /b "&amp;dls3logs&amp;" --loco "&amp;B14&amp;" --day "&amp;TEXT(F14,"YYYY-MM-DD")</f>
        <v>start /low /b %USERPROFILE%\Documents\GitHub\eaglep3\Utilities\DownloadLogsFromS3.py --loco 4031 --day 2017-10-15</v>
      </c>
      <c r="AN14" s="15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-15T03:08:20-0600',mode:absolute,to:'2017-10-15T05:51:36-0600'))&amp;_a=(columns:!('Message%20ID',Summary),filters:!(),index:'emp_*',interval:auto,query:(query_string:(analyze_wildcard:!t,query:'%22rtdc.l.rtdc.4031%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611</v>
      </c>
      <c r="B15" s="7">
        <v>4036</v>
      </c>
      <c r="C15" s="21" t="s">
        <v>194</v>
      </c>
      <c r="D15" s="21" t="s">
        <v>483</v>
      </c>
      <c r="E15" s="13">
        <v>43023.153344907405</v>
      </c>
      <c r="F15" s="13">
        <v>43023.156423611108</v>
      </c>
      <c r="G15" s="7">
        <v>56</v>
      </c>
      <c r="H15" s="21" t="s">
        <v>444</v>
      </c>
      <c r="I15" s="13">
        <v>43023.181168981479</v>
      </c>
      <c r="J15" s="7">
        <v>0</v>
      </c>
      <c r="K15" s="89" t="str">
        <f>IF(ISEVEN(B15),(B15-1)&amp;"/"&amp;B15,B15&amp;"/"&amp;(B15+1))</f>
        <v>4035/4036</v>
      </c>
      <c r="L15" s="185" t="str">
        <f>VLOOKUP(A15,'Trips&amp;Operators'!$C$1:$G$99911,5,FALSE)</f>
        <v>MAELZER KURT</v>
      </c>
      <c r="M15" s="6">
        <f>I15-F15</f>
        <v>2.47453703705105E-2</v>
      </c>
      <c r="N15" s="7">
        <f>24*60*SUM($M15:$M15)</f>
        <v>35.63333333353512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-15T02:40:49-0600',mode:absolute,to:'2017-10-15T05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4.3999999999999997E-2</v>
      </c>
      <c r="Z15" s="204">
        <f>RIGHT(H15,LEN(H15)-4)/10000</f>
        <v>23.3309</v>
      </c>
      <c r="AA15" s="204">
        <f>ABS(Z15-Y15)</f>
        <v>23.286899999999999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/stypes="app*4036*20171015*"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103-15 --locoid 4036 --swversion DE.1.0.9.0 --startMP 204:440 --initTime 2017-10-15T03:40:49 --startdatetime 2017-10-15T03:45:15 --delay 56 --endMP 204:233309 --enddatetime 2017-10-15T04:20:53 --enforcementcount 0 &gt;&gt;%USERPROFILE%\Documents\GitHub\eaglep3-reporting\EC\2017-10-15-refined-times.txt</v>
      </c>
      <c r="AI1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{"issue":{"subject":"","project_id":79,"tracker_id":40,"status_id":1,"priority_id":2,"assigned_to_id":338,"start_date":"2017-10-15","description":"","custom_fields":[{"id":1,"name":"Subdivision","value":"EC"},{"id":4,"name":"Milepost","value":"23.3309"},{"id":17,"name":"Train ID","value":"103-15"},{"id":16,"name":"Locomotive ID","value":"4036"},{"id":130,"name":"Impact","value":""},{"id":150,"name":"Time of Event (Mountain Time)","value":"04:20:53"},{"id":151,"name":"Denver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4036 --day 2017-10-15</v>
      </c>
      <c r="AN1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-15T02:40:49-0600',mode:absolute,to:'2017-10-15T05:20:53-0600'))&amp;_a=(columns:!('Message%20ID',Summary),filters:!(),index:'emp_*',interval:auto,query:(query_string:(analyze_wildcard:!t,query:'%22rtdc.l.rtdc.4036%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619</v>
      </c>
      <c r="B16" s="7">
        <v>4035</v>
      </c>
      <c r="C16" s="21" t="s">
        <v>194</v>
      </c>
      <c r="D16" s="21" t="s">
        <v>542</v>
      </c>
      <c r="E16" s="13">
        <v>43023.187418981484</v>
      </c>
      <c r="F16" s="13">
        <v>43023.19599537037</v>
      </c>
      <c r="G16" s="7">
        <v>49</v>
      </c>
      <c r="H16" s="21" t="s">
        <v>339</v>
      </c>
      <c r="I16" s="13">
        <v>43023.222615740742</v>
      </c>
      <c r="J16" s="7">
        <v>0</v>
      </c>
      <c r="K16" s="89" t="str">
        <f>IF(ISEVEN(B16),(B16-1)&amp;"/"&amp;B16,B16&amp;"/"&amp;(B16+1))</f>
        <v>4035/4036</v>
      </c>
      <c r="L16" s="185" t="str">
        <f>VLOOKUP(A16,'Trips&amp;Operators'!$C$1:$G$99911,5,FALSE)</f>
        <v>MAELZER KURT</v>
      </c>
      <c r="M16" s="6">
        <f>I16-F16</f>
        <v>2.662037037225673E-2</v>
      </c>
      <c r="N16" s="7">
        <f>24*60*SUM($M16:$M16)</f>
        <v>38.333333336049691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-15T03:29:53-0600',mode:absolute,to:'2017-10-15T06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23.2986</v>
      </c>
      <c r="Z16" s="204">
        <f>RIGHT(H16,LEN(H16)-4)/10000</f>
        <v>1.47E-2</v>
      </c>
      <c r="AA16" s="204">
        <f>ABS(Z16-Y16)</f>
        <v>23.283899999999999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/stypes="app*4035*20171015*"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104-15 --locoid 4035 --swversion DE.1.0.9.0 --startMP 204:232986 --initTime 2017-10-15T04:29:53 --startdatetime 2017-10-15T04:42:14 --delay 49 --endMP 204:147 --enddatetime 2017-10-15T05:20:34 --enforcementcount 0 &gt;&gt;%USERPROFILE%\Documents\GitHub\eaglep3-reporting\EC\2017-10-15-refined-times.txt</v>
      </c>
      <c r="AI1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{"issue":{"subject":"","project_id":79,"tracker_id":40,"status_id":1,"priority_id":2,"assigned_to_id":338,"start_date":"2017-10-15","description":"","custom_fields":[{"id":1,"name":"Subdivision","value":"EC"},{"id":4,"name":"Milepost","value":"0.0147"},{"id":17,"name":"Train ID","value":"104-15"},{"id":16,"name":"Locomotive ID","value":"4035"},{"id":130,"name":"Impact","value":""},{"id":150,"name":"Time of Event (Mountain Time)","value":"05:20:34"},{"id":151,"name":"Denver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4035 --day 2017-10-15</v>
      </c>
      <c r="AN1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-15T03:29:53-0600',mode:absolute,to:'2017-10-15T06:20:34-0600'))&amp;_a=(columns:!('Message%20ID',Summary),filters:!(),index:'emp_*',interval:auto,query:(query_string:(analyze_wildcard:!t,query:'%22rtdc.l.rtdc.4035%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616</v>
      </c>
      <c r="B17" s="7">
        <v>4042</v>
      </c>
      <c r="C17" s="21" t="s">
        <v>194</v>
      </c>
      <c r="D17" s="21" t="s">
        <v>527</v>
      </c>
      <c r="E17" s="13">
        <v>43023.171666666669</v>
      </c>
      <c r="F17" s="13">
        <v>43023.177256944444</v>
      </c>
      <c r="G17" s="7">
        <v>158</v>
      </c>
      <c r="H17" s="21" t="s">
        <v>415</v>
      </c>
      <c r="I17" s="13">
        <v>43023.200995370367</v>
      </c>
      <c r="J17" s="7">
        <v>0</v>
      </c>
      <c r="K17" s="89" t="str">
        <f>IF(ISEVEN(B17),(B17-1)&amp;"/"&amp;B17,B17&amp;"/"&amp;(B17+1))</f>
        <v>4041/4042</v>
      </c>
      <c r="L17" s="185" t="str">
        <f>VLOOKUP(A17,'Trips&amp;Operators'!$C$1:$G$99911,5,FALSE)</f>
        <v>DELGADO DIANAH</v>
      </c>
      <c r="M17" s="6">
        <f>I17-F17</f>
        <v>2.3738425923511386E-2</v>
      </c>
      <c r="N17" s="7">
        <f>24*60*SUM($M17:$M17)</f>
        <v>34.183333329856396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-15T03:07:12-0600',mode:absolute,to:'2017-10-15T05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4.2900000000000001E-2</v>
      </c>
      <c r="Z17" s="204">
        <f>RIGHT(H17,LEN(H17)-4)/10000</f>
        <v>23.331399999999999</v>
      </c>
      <c r="AA17" s="204">
        <f>ABS(Z17-Y17)</f>
        <v>23.288499999999999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/stypes="app*4042*20171015*"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105-15 --locoid 4042 --swversion DE.1.0.9.0 --startMP 204:429 --initTime 2017-10-15T04:07:12 --startdatetime 2017-10-15T04:15:15 --delay 158 --endMP 204:233314 --enddatetime 2017-10-15T04:49:26 --enforcementcount 0 &gt;&gt;%USERPROFILE%\Documents\GitHub\eaglep3-reporting\EC\2017-10-15-refined-times.txt</v>
      </c>
      <c r="AI1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{"issue":{"subject":"","project_id":79,"tracker_id":40,"status_id":1,"priority_id":2,"assigned_to_id":338,"start_date":"2017-10-15","description":"","custom_fields":[{"id":1,"name":"Subdivision","value":"EC"},{"id":4,"name":"Milepost","value":"23.3314"},{"id":17,"name":"Train ID","value":"105-15"},{"id":16,"name":"Locomotive ID","value":"4042"},{"id":130,"name":"Impact","value":""},{"id":150,"name":"Time of Event (Mountain Time)","value":"04:49:26"},{"id":151,"name":"Denver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4042 --day 2017-10-15</v>
      </c>
      <c r="AN1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-15T03:07:12-0600',mode:absolute,to:'2017-10-15T05:49:26-0600'))&amp;_a=(columns:!('Message%20ID',Summary),filters:!(),index:'emp_*',interval:auto,query:(query_string:(analyze_wildcard:!t,query:'%22rtdc.l.rtdc.4042%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623</v>
      </c>
      <c r="B18" s="7">
        <v>4041</v>
      </c>
      <c r="C18" s="21" t="s">
        <v>194</v>
      </c>
      <c r="D18" s="21" t="s">
        <v>814</v>
      </c>
      <c r="E18" s="13">
        <v>43023.203148148146</v>
      </c>
      <c r="F18" s="13">
        <v>43023.216863425929</v>
      </c>
      <c r="G18" s="7">
        <v>865</v>
      </c>
      <c r="H18" s="21" t="s">
        <v>355</v>
      </c>
      <c r="I18" s="13">
        <v>43023.242662037039</v>
      </c>
      <c r="J18" s="7">
        <v>0</v>
      </c>
      <c r="K18" s="89" t="str">
        <f>IF(ISEVEN(B18),(B18-1)&amp;"/"&amp;B18,B18&amp;"/"&amp;(B18+1))</f>
        <v>4041/4042</v>
      </c>
      <c r="L18" s="185" t="str">
        <f>VLOOKUP(A18,'Trips&amp;Operators'!$C$1:$G$99911,5,FALSE)</f>
        <v>DELGADO DIANAH</v>
      </c>
      <c r="M18" s="6">
        <f>I18-F18</f>
        <v>2.5798611110076308E-2</v>
      </c>
      <c r="N18" s="7">
        <f>24*60*SUM($M18:$M18)</f>
        <v>37.149999998509884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-15T03:52:32-0600',mode:absolute,to:'2017-10-15T06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23.300699999999999</v>
      </c>
      <c r="Z18" s="204">
        <f>RIGHT(H18,LEN(H18)-4)/10000</f>
        <v>1.52E-2</v>
      </c>
      <c r="AA18" s="204">
        <f>ABS(Z18-Y18)</f>
        <v>23.285499999999999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/stypes="app*4041*20171015*"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106-15 --locoid 4041 --swversion DE.1.0.9.0 --startMP 204:233007 --initTime 2017-10-15T04:52:32 --startdatetime 2017-10-15T05:12:17 --delay 865 --endMP 204:152 --enddatetime 2017-10-15T05:49:26 --enforcementcount 0 &gt;&gt;%USERPROFILE%\Documents\GitHub\eaglep3-reporting\EC\2017-10-15-refined-times.txt</v>
      </c>
      <c r="AI1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{"issue":{"subject":"","project_id":79,"tracker_id":40,"status_id":1,"priority_id":2,"assigned_to_id":338,"start_date":"2017-10-15","description":"","custom_fields":[{"id":1,"name":"Subdivision","value":"EC"},{"id":4,"name":"Milepost","value":"0.0152"},{"id":17,"name":"Train ID","value":"106-15"},{"id":16,"name":"Locomotive ID","value":"4041"},{"id":130,"name":"Impact","value":""},{"id":150,"name":"Time of Event (Mountain Time)","value":"05:49:26"},{"id":151,"name":"Denver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4041 --day 2017-10-15</v>
      </c>
      <c r="AN1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-15T03:52:32-0600',mode:absolute,to:'2017-10-15T06:49:26-0600'))&amp;_a=(columns:!('Message%20ID',Summary),filters:!(),index:'emp_*',interval:auto,query:(query_string:(analyze_wildcard:!t,query:'%22rtdc.l.rtdc.4041%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618</v>
      </c>
      <c r="B19" s="7">
        <v>4014</v>
      </c>
      <c r="C19" s="21" t="s">
        <v>194</v>
      </c>
      <c r="D19" s="21" t="s">
        <v>334</v>
      </c>
      <c r="E19" s="13">
        <v>43023.18309027778</v>
      </c>
      <c r="F19" s="13">
        <v>43023.187650462962</v>
      </c>
      <c r="G19" s="7">
        <v>72</v>
      </c>
      <c r="H19" s="21" t="s">
        <v>414</v>
      </c>
      <c r="I19" s="13">
        <v>43023.211782407408</v>
      </c>
      <c r="J19" s="7">
        <v>0</v>
      </c>
      <c r="K19" s="89" t="str">
        <f>IF(ISEVEN(B19),(B19-1)&amp;"/"&amp;B19,B19&amp;"/"&amp;(B19+1))</f>
        <v>4013/4014</v>
      </c>
      <c r="L19" s="185" t="str">
        <f>VLOOKUP(A19,'Trips&amp;Operators'!$C$1:$G$99911,5,FALSE)</f>
        <v>LALONDE GREGORY</v>
      </c>
      <c r="M19" s="6">
        <f>I19-F19</f>
        <v>2.4131944446708076E-2</v>
      </c>
      <c r="N19" s="7">
        <f>24*60*SUM($M19:$M19)</f>
        <v>34.750000003259629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-15T03:23:39-0600',mode:absolute,to:'2017-10-15T06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4.4600000000000001E-2</v>
      </c>
      <c r="Z19" s="204">
        <f>RIGHT(H19,LEN(H19)-4)/10000</f>
        <v>23.3306</v>
      </c>
      <c r="AA19" s="204">
        <f>ABS(Z19-Y19)</f>
        <v>23.286000000000001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/stypes="app*4014*20171015*"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107-15 --locoid 4014 --swversion DE.1.0.9.0 --startMP 204:446 --initTime 2017-10-15T04:23:39 --startdatetime 2017-10-15T04:30:13 --delay 72 --endMP 204:233306 --enddatetime 2017-10-15T05:04:58 --enforcementcount 0 &gt;&gt;%USERPROFILE%\Documents\GitHub\eaglep3-reporting\EC\2017-10-15-refined-times.txt</v>
      </c>
      <c r="AI1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{"issue":{"subject":"","project_id":79,"tracker_id":40,"status_id":1,"priority_id":2,"assigned_to_id":338,"start_date":"2017-10-15","description":"","custom_fields":[{"id":1,"name":"Subdivision","value":"EC"},{"id":4,"name":"Milepost","value":"23.3306"},{"id":17,"name":"Train ID","value":"107-15"},{"id":16,"name":"Locomotive ID","value":"4014"},{"id":130,"name":"Impact","value":""},{"id":150,"name":"Time of Event (Mountain Time)","value":"05:04:58"},{"id":151,"name":"Denver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4014 --day 2017-10-15</v>
      </c>
      <c r="AN1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-15T03:23:39-0600',mode:absolute,to:'2017-10-15T06:04:58-0600'))&amp;_a=(columns:!('Message%20ID',Summary),filters:!(),index:'emp_*',interval:auto,query:(query_string:(analyze_wildcard:!t,query:'%22rtdc.l.rtdc.4014%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624</v>
      </c>
      <c r="B20" s="7">
        <v>4013</v>
      </c>
      <c r="C20" s="21" t="s">
        <v>194</v>
      </c>
      <c r="D20" s="21" t="s">
        <v>815</v>
      </c>
      <c r="E20" s="13">
        <v>43023.212939814817</v>
      </c>
      <c r="F20" s="13">
        <v>43023.227233796293</v>
      </c>
      <c r="G20" s="7">
        <v>55</v>
      </c>
      <c r="H20" s="21" t="s">
        <v>418</v>
      </c>
      <c r="I20" s="13">
        <v>43023.252800925926</v>
      </c>
      <c r="J20" s="7">
        <v>0</v>
      </c>
      <c r="K20" s="89" t="str">
        <f>IF(ISEVEN(B20),(B20-1)&amp;"/"&amp;B20,B20&amp;"/"&amp;(B20+1))</f>
        <v>4013/4014</v>
      </c>
      <c r="L20" s="185" t="str">
        <f>VLOOKUP(A20,'Trips&amp;Operators'!$C$1:$G$99911,5,FALSE)</f>
        <v>LALONDE GREGORY</v>
      </c>
      <c r="M20" s="6">
        <f>I20-F20</f>
        <v>2.5567129632690921E-2</v>
      </c>
      <c r="N20" s="7">
        <f>24*60*SUM($M20:$M20)</f>
        <v>36.816666671074927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-15T04:06:38-0600',mode:absolute,to:'2017-10-15T07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23.302099999999999</v>
      </c>
      <c r="Z20" s="204">
        <f>RIGHT(H20,LEN(H20)-4)/10000</f>
        <v>1.6299999999999999E-2</v>
      </c>
      <c r="AA20" s="204">
        <f>ABS(Z20-Y20)</f>
        <v>23.285799999999998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/stypes="app*4013*20171015*"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108-15 --locoid 4013 --swversion DE.1.0.9.0 --startMP 204:233021 --initTime 2017-10-15T05:06:38 --startdatetime 2017-10-15T05:27:13 --delay 55 --endMP 204:163 --enddatetime 2017-10-15T06:04:02 --enforcementcount 0 &gt;&gt;%USERPROFILE%\Documents\GitHub\eaglep3-reporting\EC\2017-10-15-refined-times.txt</v>
      </c>
      <c r="AI2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{"issue":{"subject":"","project_id":79,"tracker_id":40,"status_id":1,"priority_id":2,"assigned_to_id":338,"start_date":"2017-10-15","description":"","custom_fields":[{"id":1,"name":"Subdivision","value":"EC"},{"id":4,"name":"Milepost","value":"0.0163"},{"id":17,"name":"Train ID","value":"108-15"},{"id":16,"name":"Locomotive ID","value":"4013"},{"id":130,"name":"Impact","value":""},{"id":150,"name":"Time of Event (Mountain Time)","value":"06:04:02"},{"id":151,"name":"Denver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4013 --day 2017-10-15</v>
      </c>
      <c r="AN2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-15T04:06:38-0600',mode:absolute,to:'2017-10-15T07:04:02-0600'))&amp;_a=(columns:!('Message%20ID',Summary),filters:!(),index:'emp_*',interval:auto,query:(query_string:(analyze_wildcard:!t,query:'%22rtdc.l.rtdc.4013%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621</v>
      </c>
      <c r="B21" s="7">
        <v>4058</v>
      </c>
      <c r="C21" s="21" t="s">
        <v>194</v>
      </c>
      <c r="D21" s="21" t="s">
        <v>816</v>
      </c>
      <c r="E21" s="13">
        <v>43023.190706018519</v>
      </c>
      <c r="F21" s="13">
        <v>43023.198078703703</v>
      </c>
      <c r="G21" s="7">
        <v>66</v>
      </c>
      <c r="H21" s="21" t="s">
        <v>817</v>
      </c>
      <c r="I21" s="13">
        <v>43023.222303240742</v>
      </c>
      <c r="J21" s="7">
        <v>0</v>
      </c>
      <c r="K21" s="89" t="str">
        <f>IF(ISEVEN(B21),(B21-1)&amp;"/"&amp;B21,B21&amp;"/"&amp;(B21+1))</f>
        <v>4057/4058</v>
      </c>
      <c r="L21" s="185" t="str">
        <f>VLOOKUP(A21,'Trips&amp;Operators'!$C$1:$G$99911,5,FALSE)</f>
        <v>LOPES KIMBERLY</v>
      </c>
      <c r="M21" s="6">
        <f>I21-F21</f>
        <v>2.4224537039117422E-2</v>
      </c>
      <c r="N21" s="7">
        <f>24*60*SUM($M21:$M21)</f>
        <v>34.883333336329088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-15T03:34:37-0600',mode:absolute,to:'2017-10-15T06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0.14829999999999999</v>
      </c>
      <c r="Z21" s="204">
        <f>RIGHT(H21,LEN(H21)-4)/10000</f>
        <v>23.332599999999999</v>
      </c>
      <c r="AA21" s="204">
        <f>ABS(Z21-Y21)</f>
        <v>23.1843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/stypes="app*4058*20171015*"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109-15 --locoid 4058 --swversion DE.1.0.9.0 --startMP 204:1483 --initTime 2017-10-15T04:34:37 --startdatetime 2017-10-15T04:45:14 --delay 66 --endMP 204:233326 --enddatetime 2017-10-15T05:20:07 --enforcementcount 0 &gt;&gt;%USERPROFILE%\Documents\GitHub\eaglep3-reporting\EC\2017-10-15-refined-times.txt</v>
      </c>
      <c r="AI2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{"issue":{"subject":"","project_id":79,"tracker_id":40,"status_id":1,"priority_id":2,"assigned_to_id":338,"start_date":"2017-10-15","description":"","custom_fields":[{"id":1,"name":"Subdivision","value":"EC"},{"id":4,"name":"Milepost","value":"23.3326"},{"id":17,"name":"Train ID","value":"109-15"},{"id":16,"name":"Locomotive ID","value":"4058"},{"id":130,"name":"Impact","value":""},{"id":150,"name":"Time of Event (Mountain Time)","value":"05:20:07"},{"id":151,"name":"Denver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4058 --day 2017-10-15</v>
      </c>
      <c r="AN2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-15T03:34:37-0600',mode:absolute,to:'2017-10-15T06:20:07-0600'))&amp;_a=(columns:!('Message%20ID',Summary),filters:!(),index:'emp_*',interval:auto,query:(query_string:(analyze_wildcard:!t,query:'%22rtdc.l.rtdc.4058%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634</v>
      </c>
      <c r="B22" s="7">
        <v>4057</v>
      </c>
      <c r="C22" s="21" t="s">
        <v>194</v>
      </c>
      <c r="D22" s="21" t="s">
        <v>430</v>
      </c>
      <c r="E22" s="13">
        <v>43023.226793981485</v>
      </c>
      <c r="F22" s="13">
        <v>43023.237685185188</v>
      </c>
      <c r="G22" s="7">
        <v>48</v>
      </c>
      <c r="H22" s="21" t="s">
        <v>418</v>
      </c>
      <c r="I22" s="13">
        <v>43023.26458333333</v>
      </c>
      <c r="J22" s="7">
        <v>0</v>
      </c>
      <c r="K22" s="89" t="str">
        <f>IF(ISEVEN(B22),(B22-1)&amp;"/"&amp;B22,B22&amp;"/"&amp;(B22+1))</f>
        <v>4057/4058</v>
      </c>
      <c r="L22" s="185" t="str">
        <f>VLOOKUP(A22,'Trips&amp;Operators'!$C$1:$G$99911,5,FALSE)</f>
        <v>LOPES KIMBERLY</v>
      </c>
      <c r="M22" s="6">
        <f>I22-F22</f>
        <v>2.6898148142208811E-2</v>
      </c>
      <c r="N22" s="7">
        <f>24*60*SUM($M22:$M22)</f>
        <v>38.733333324780688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-15T04:26:35-0600',mode:absolute,to:'2017-10-15T07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23.299399999999999</v>
      </c>
      <c r="Z22" s="204">
        <f>RIGHT(H22,LEN(H22)-4)/10000</f>
        <v>1.6299999999999999E-2</v>
      </c>
      <c r="AA22" s="204">
        <f>ABS(Z22-Y22)</f>
        <v>23.283099999999997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/stypes="app*4057*20171015*"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110-15 --locoid 4057 --swversion DE.1.0.9.0 --startMP 204:232994 --initTime 2017-10-15T05:26:35 --startdatetime 2017-10-15T05:42:16 --delay 48 --endMP 204:163 --enddatetime 2017-10-15T06:21:00 --enforcementcount 0 &gt;&gt;%USERPROFILE%\Documents\GitHub\eaglep3-reporting\EC\2017-10-15-refined-times.txt</v>
      </c>
      <c r="AI2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{"issue":{"subject":"","project_id":79,"tracker_id":40,"status_id":1,"priority_id":2,"assigned_to_id":338,"start_date":"2017-10-15","description":"","custom_fields":[{"id":1,"name":"Subdivision","value":"EC"},{"id":4,"name":"Milepost","value":"0.0163"},{"id":17,"name":"Train ID","value":"110-15"},{"id":16,"name":"Locomotive ID","value":"4057"},{"id":130,"name":"Impact","value":""},{"id":150,"name":"Time of Event (Mountain Time)","value":"06:21:00"},{"id":151,"name":"Denver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4057 --day 2017-10-15</v>
      </c>
      <c r="AN2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-15T04:26:35-0600',mode:absolute,to:'2017-10-15T07:21:00-0600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565</v>
      </c>
      <c r="B23" s="7">
        <v>4032</v>
      </c>
      <c r="C23" s="21" t="s">
        <v>194</v>
      </c>
      <c r="D23" s="21" t="s">
        <v>479</v>
      </c>
      <c r="E23" s="13">
        <v>43023.206562500003</v>
      </c>
      <c r="F23" s="13">
        <v>43023.208564814813</v>
      </c>
      <c r="G23" s="7">
        <v>53</v>
      </c>
      <c r="H23" s="21" t="s">
        <v>541</v>
      </c>
      <c r="I23" s="13">
        <v>43023.234548611108</v>
      </c>
      <c r="J23" s="7">
        <v>0</v>
      </c>
      <c r="K23" s="89" t="str">
        <f>IF(ISEVEN(B23),(B23-1)&amp;"/"&amp;B23,B23&amp;"/"&amp;(B23+1))</f>
        <v>4031/4032</v>
      </c>
      <c r="L23" s="185" t="str">
        <f>VLOOKUP(A23,'Trips&amp;Operators'!$C$1:$G$99911,5,FALSE)</f>
        <v>THOMPSON LESTER</v>
      </c>
      <c r="M23" s="6">
        <f>I23-F23</f>
        <v>2.5983796294895001E-2</v>
      </c>
      <c r="N23" s="7">
        <f>24*60*SUM($M23:$M23)</f>
        <v>37.416666664648801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-15T03:57:27-0600',mode:absolute,to:'2017-10-15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4.3799999999999999E-2</v>
      </c>
      <c r="Z23" s="204">
        <f>RIGHT(H23,LEN(H23)-4)/10000</f>
        <v>23.328099999999999</v>
      </c>
      <c r="AA23" s="204">
        <f>ABS(Z23-Y23)</f>
        <v>23.284299999999998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/stypes="app*4032*20171015*"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111-15 --locoid 4032 --swversion DE.1.0.9.0 --startMP 204:438 --initTime 2017-10-15T04:57:27 --startdatetime 2017-10-15T05:00:20 --delay 53 --endMP 204:233281 --enddatetime 2017-10-15T05:37:45 --enforcementcount 0 &gt;&gt;%USERPROFILE%\Documents\GitHub\eaglep3-reporting\EC\2017-10-15-refined-times.txt</v>
      </c>
      <c r="AI2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{"issue":{"subject":"","project_id":79,"tracker_id":40,"status_id":1,"priority_id":2,"assigned_to_id":338,"start_date":"2017-10-15","description":"","custom_fields":[{"id":1,"name":"Subdivision","value":"EC"},{"id":4,"name":"Milepost","value":"23.3281"},{"id":17,"name":"Train ID","value":"111-15"},{"id":16,"name":"Locomotive ID","value":"4032"},{"id":130,"name":"Impact","value":""},{"id":150,"name":"Time of Event (Mountain Time)","value":"05:37:45"},{"id":151,"name":"Denver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4032 --day 2017-10-15</v>
      </c>
      <c r="AN2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-15T03:57:27-0600',mode:absolute,to:'2017-10-15T06:37:45-0600'))&amp;_a=(columns:!('Message%20ID',Summary),filters:!(),index:'emp_*',interval:auto,query:(query_string:(analyze_wildcard:!t,query:'%22rtdc.l.rtdc.4032%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636</v>
      </c>
      <c r="B24" s="7">
        <v>4031</v>
      </c>
      <c r="C24" s="21" t="s">
        <v>194</v>
      </c>
      <c r="D24" s="21" t="s">
        <v>419</v>
      </c>
      <c r="E24" s="13">
        <v>43023.245300925926</v>
      </c>
      <c r="F24" s="13">
        <v>43023.248124999998</v>
      </c>
      <c r="G24" s="7">
        <v>57</v>
      </c>
      <c r="H24" s="21" t="s">
        <v>427</v>
      </c>
      <c r="I24" s="13">
        <v>43023.275219907409</v>
      </c>
      <c r="J24" s="7">
        <v>0</v>
      </c>
      <c r="K24" s="89" t="str">
        <f>IF(ISEVEN(B24),(B24-1)&amp;"/"&amp;B24,B24&amp;"/"&amp;(B24+1))</f>
        <v>4031/4032</v>
      </c>
      <c r="L24" s="185" t="str">
        <f>VLOOKUP(A24,'Trips&amp;Operators'!$C$1:$G$99911,5,FALSE)</f>
        <v>THOMPSON LESTER</v>
      </c>
      <c r="M24" s="6">
        <f>I24-F24</f>
        <v>2.7094907411083113E-2</v>
      </c>
      <c r="N24" s="7">
        <f>24*60*SUM($M24:$M24)</f>
        <v>39.016666671959683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-15T04:53:14-0600',mode:absolute,to:'2017-10-15T07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23.297699999999999</v>
      </c>
      <c r="Z24" s="204">
        <f>RIGHT(H24,LEN(H24)-4)/10000</f>
        <v>1.6500000000000001E-2</v>
      </c>
      <c r="AA24" s="204">
        <f>ABS(Z24-Y24)</f>
        <v>23.281199999999998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/stypes="app*4031*20171015*"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112-15 --locoid 4031 --swversion DE.1.0.9.0 --startMP 204:232977 --initTime 2017-10-15T05:53:14 --startdatetime 2017-10-15T05:57:18 --delay 57 --endMP 204:165 --enddatetime 2017-10-15T06:36:19 --enforcementcount 0 &gt;&gt;%USERPROFILE%\Documents\GitHub\eaglep3-reporting\EC\2017-10-15-refined-times.txt</v>
      </c>
      <c r="AI2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{"issue":{"subject":"","project_id":79,"tracker_id":40,"status_id":1,"priority_id":2,"assigned_to_id":338,"start_date":"2017-10-15","description":"","custom_fields":[{"id":1,"name":"Subdivision","value":"EC"},{"id":4,"name":"Milepost","value":"0.0165"},{"id":17,"name":"Train ID","value":"112-15"},{"id":16,"name":"Locomotive ID","value":"4031"},{"id":130,"name":"Impact","value":""},{"id":150,"name":"Time of Event (Mountain Time)","value":"06:36:19"},{"id":151,"name":"Denver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4031 --day 2017-10-15</v>
      </c>
      <c r="AN2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-15T04:53:14-0600',mode:absolute,to:'2017-10-15T07:36:19-0600'))&amp;_a=(columns:!('Message%20ID',Summary),filters:!(),index:'emp_*',interval:auto,query:(query_string:(analyze_wildcard:!t,query:'%22rtdc.l.rtdc.4031%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626</v>
      </c>
      <c r="B25" s="7">
        <v>4004</v>
      </c>
      <c r="C25" s="21" t="s">
        <v>194</v>
      </c>
      <c r="D25" s="21" t="s">
        <v>372</v>
      </c>
      <c r="E25" s="13">
        <v>43023.21638888889</v>
      </c>
      <c r="F25" s="13">
        <v>43023.218969907408</v>
      </c>
      <c r="G25" s="7">
        <v>95</v>
      </c>
      <c r="H25" s="21" t="s">
        <v>818</v>
      </c>
      <c r="I25" s="13">
        <v>43023.245046296295</v>
      </c>
      <c r="J25" s="7">
        <v>0</v>
      </c>
      <c r="K25" s="89" t="str">
        <f>IF(ISEVEN(B25),(B25-1)&amp;"/"&amp;B25,B25&amp;"/"&amp;(B25+1))</f>
        <v>4003/4004</v>
      </c>
      <c r="L25" s="185" t="str">
        <f>VLOOKUP(A25,'Trips&amp;Operators'!$C$1:$G$99911,5,FALSE)</f>
        <v>WILLIAMS DONTE</v>
      </c>
      <c r="M25" s="6">
        <f>I25-F25</f>
        <v>2.6076388887304347E-2</v>
      </c>
      <c r="N25" s="7">
        <f>24*60*SUM($M25:$M25)</f>
        <v>37.54999999771826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-15T04:11:36-0600',mode:absolute,to:'2017-10-15T06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4.7100000000000003E-2</v>
      </c>
      <c r="Z25" s="204">
        <f>RIGHT(H25,LEN(H25)-4)/10000</f>
        <v>23.327400000000001</v>
      </c>
      <c r="AA25" s="204">
        <f>ABS(Z25-Y25)</f>
        <v>23.2803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/stypes="app*4004*20171015*"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113-15 --locoid 4004 --swversion DE.1.0.9.0 --startMP 204:471 --initTime 2017-10-15T05:11:36 --startdatetime 2017-10-15T05:15:19 --delay 95 --endMP 204:233274 --enddatetime 2017-10-15T05:52:52 --enforcementcount 0 &gt;&gt;%USERPROFILE%\Documents\GitHub\eaglep3-reporting\EC\2017-10-15-refined-times.txt</v>
      </c>
      <c r="AI2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{"issue":{"subject":"","project_id":79,"tracker_id":40,"status_id":1,"priority_id":2,"assigned_to_id":338,"start_date":"2017-10-15","description":"","custom_fields":[{"id":1,"name":"Subdivision","value":"EC"},{"id":4,"name":"Milepost","value":"23.3274"},{"id":17,"name":"Train ID","value":"113-15"},{"id":16,"name":"Locomotive ID","value":"4004"},{"id":130,"name":"Impact","value":""},{"id":150,"name":"Time of Event (Mountain Time)","value":"05:52:52"},{"id":151,"name":"Denver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4004 --day 2017-10-15</v>
      </c>
      <c r="AN2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-15T04:11:36-0600',mode:absolute,to:'2017-10-15T06:52:52-0600'))&amp;_a=(columns:!('Message%20ID',Summary),filters:!(),index:'emp_*',interval:auto,query:(query_string:(analyze_wildcard:!t,query:'%22rtdc.l.rtdc.4004%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639</v>
      </c>
      <c r="B26" s="7">
        <v>4003</v>
      </c>
      <c r="C26" s="21" t="s">
        <v>194</v>
      </c>
      <c r="D26" s="21" t="s">
        <v>819</v>
      </c>
      <c r="E26" s="13">
        <v>43023.253136574072</v>
      </c>
      <c r="F26" s="13">
        <v>43023.258530092593</v>
      </c>
      <c r="G26" s="7">
        <v>96</v>
      </c>
      <c r="H26" s="21" t="s">
        <v>485</v>
      </c>
      <c r="I26" s="13">
        <v>43023.286828703705</v>
      </c>
      <c r="J26" s="7">
        <v>0</v>
      </c>
      <c r="K26" s="89" t="str">
        <f>IF(ISEVEN(B26),(B26-1)&amp;"/"&amp;B26,B26&amp;"/"&amp;(B26+1))</f>
        <v>4003/4004</v>
      </c>
      <c r="L26" s="185" t="str">
        <f>VLOOKUP(A26,'Trips&amp;Operators'!$C$1:$G$99911,5,FALSE)</f>
        <v>WILLIAMS DONTE</v>
      </c>
      <c r="M26" s="6">
        <f>I26-F26</f>
        <v>2.8298611112404615E-2</v>
      </c>
      <c r="N26" s="7">
        <f>24*60*SUM($M26:$M26)</f>
        <v>40.750000001862645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-15T05:04:31-0600',mode:absolute,to:'2017-10-15T07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23.2971</v>
      </c>
      <c r="Z26" s="204">
        <f>RIGHT(H26,LEN(H26)-4)/10000</f>
        <v>1.6899999999999998E-2</v>
      </c>
      <c r="AA26" s="204">
        <f>ABS(Z26-Y26)</f>
        <v>23.280200000000001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/stypes="app*4003*20171015*"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114-15 --locoid 4003 --swversion DE.1.0.9.0 --startMP 204:232971 --initTime 2017-10-15T06:04:31 --startdatetime 2017-10-15T06:12:17 --delay 96 --endMP 204:169 --enddatetime 2017-10-15T06:53:02 --enforcementcount 0 &gt;&gt;%USERPROFILE%\Documents\GitHub\eaglep3-reporting\EC\2017-10-15-refined-times.txt</v>
      </c>
      <c r="AI2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{"issue":{"subject":"","project_id":79,"tracker_id":40,"status_id":1,"priority_id":2,"assigned_to_id":338,"start_date":"2017-10-15","description":"","custom_fields":[{"id":1,"name":"Subdivision","value":"EC"},{"id":4,"name":"Milepost","value":"0.0169"},{"id":17,"name":"Train ID","value":"114-15"},{"id":16,"name":"Locomotive ID","value":"4003"},{"id":130,"name":"Impact","value":""},{"id":150,"name":"Time of Event (Mountain Time)","value":"06:53:02"},{"id":151,"name":"Denver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4003 --day 2017-10-15</v>
      </c>
      <c r="AN2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-15T05:04:31-0600',mode:absolute,to:'2017-10-15T07:53:02-0600'))&amp;_a=(columns:!('Message%20ID',Summary),filters:!(),index:'emp_*',interval:auto,query:(query_string:(analyze_wildcard:!t,query:'%22rtdc.l.rtdc.4003%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629</v>
      </c>
      <c r="B27" s="7">
        <v>4036</v>
      </c>
      <c r="C27" s="21" t="s">
        <v>194</v>
      </c>
      <c r="D27" s="21" t="s">
        <v>338</v>
      </c>
      <c r="E27" s="13">
        <v>43023.224340277775</v>
      </c>
      <c r="F27" s="13">
        <v>43023.229409722226</v>
      </c>
      <c r="G27" s="7">
        <v>46</v>
      </c>
      <c r="H27" s="21" t="s">
        <v>820</v>
      </c>
      <c r="I27" s="13">
        <v>43023.254305555558</v>
      </c>
      <c r="J27" s="7">
        <v>0</v>
      </c>
      <c r="K27" s="89" t="str">
        <f>IF(ISEVEN(B27),(B27-1)&amp;"/"&amp;B27,B27&amp;"/"&amp;(B27+1))</f>
        <v>4035/4036</v>
      </c>
      <c r="L27" s="185" t="str">
        <f>VLOOKUP(A27,'Trips&amp;Operators'!$C$1:$G$99911,5,FALSE)</f>
        <v>MAELZER KURT</v>
      </c>
      <c r="M27" s="6">
        <f>I27-F27</f>
        <v>2.4895833332266193E-2</v>
      </c>
      <c r="N27" s="7">
        <f>24*60*SUM($M27:$M27)</f>
        <v>35.849999998463318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-15T04:23:03-0600',mode:absolute,to:'2017-10-15T07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4.53E-2</v>
      </c>
      <c r="Z27" s="204">
        <f>RIGHT(H27,LEN(H27)-4)/10000</f>
        <v>23.335699999999999</v>
      </c>
      <c r="AA27" s="204">
        <f>ABS(Z27-Y27)</f>
        <v>23.290399999999998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/stypes="app*4036*20171015*"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115-15 --locoid 4036 --swversion DE.1.0.9.0 --startMP 204:453 --initTime 2017-10-15T05:23:03 --startdatetime 2017-10-15T05:30:21 --delay 46 --endMP 204:233357 --enddatetime 2017-10-15T06:06:12 --enforcementcount 0 &gt;&gt;%USERPROFILE%\Documents\GitHub\eaglep3-reporting\EC\2017-10-15-refined-times.txt</v>
      </c>
      <c r="AI2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{"issue":{"subject":"","project_id":79,"tracker_id":40,"status_id":1,"priority_id":2,"assigned_to_id":338,"start_date":"2017-10-15","description":"","custom_fields":[{"id":1,"name":"Subdivision","value":"EC"},{"id":4,"name":"Milepost","value":"23.3357"},{"id":17,"name":"Train ID","value":"115-15"},{"id":16,"name":"Locomotive ID","value":"4036"},{"id":130,"name":"Impact","value":""},{"id":150,"name":"Time of Event (Mountain Time)","value":"06:06:12"},{"id":151,"name":"Denver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4036 --day 2017-10-15</v>
      </c>
      <c r="AN2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-15T04:23:03-0600',mode:absolute,to:'2017-10-15T07:06:12-0600'))&amp;_a=(columns:!('Message%20ID',Summary),filters:!(),index:'emp_*',interval:auto,query:(query_string:(analyze_wildcard:!t,query:'%22rtdc.l.rtdc.4036%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641</v>
      </c>
      <c r="B28" s="7">
        <v>4035</v>
      </c>
      <c r="C28" s="21" t="s">
        <v>194</v>
      </c>
      <c r="D28" s="21" t="s">
        <v>821</v>
      </c>
      <c r="E28" s="13">
        <v>43023.262881944444</v>
      </c>
      <c r="F28" s="13">
        <v>43023.268993055557</v>
      </c>
      <c r="G28" s="7">
        <v>57</v>
      </c>
      <c r="H28" s="21" t="s">
        <v>547</v>
      </c>
      <c r="I28" s="13">
        <v>43023.295405092591</v>
      </c>
      <c r="J28" s="7">
        <v>0</v>
      </c>
      <c r="K28" s="89" t="str">
        <f>IF(ISEVEN(B28),(B28-1)&amp;"/"&amp;B28,B28&amp;"/"&amp;(B28+1))</f>
        <v>4035/4036</v>
      </c>
      <c r="L28" s="185" t="str">
        <f>VLOOKUP(A28,'Trips&amp;Operators'!$C$1:$G$99911,5,FALSE)</f>
        <v>MAELZER KURT</v>
      </c>
      <c r="M28" s="6">
        <f>I28-F28</f>
        <v>2.6412037033878732E-2</v>
      </c>
      <c r="N28" s="7">
        <f>24*60*SUM($M28:$M28)</f>
        <v>38.033333328785375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-15T05:18:33-0600',mode:absolute,to:'2017-10-15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23.302700000000002</v>
      </c>
      <c r="Z28" s="204">
        <f>RIGHT(H28,LEN(H28)-4)/10000</f>
        <v>1.41E-2</v>
      </c>
      <c r="AA28" s="204">
        <f>ABS(Z28-Y28)</f>
        <v>23.288600000000002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/stypes="app*4035*20171015*"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116-15 --locoid 4035 --swversion DE.1.0.9.0 --startMP 204:233027 --initTime 2017-10-15T06:18:33 --startdatetime 2017-10-15T06:27:21 --delay 57 --endMP 204:141 --enddatetime 2017-10-15T07:05:23 --enforcementcount 0 &gt;&gt;%USERPROFILE%\Documents\GitHub\eaglep3-reporting\EC\2017-10-15-refined-times.txt</v>
      </c>
      <c r="AI2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{"issue":{"subject":"","project_id":79,"tracker_id":40,"status_id":1,"priority_id":2,"assigned_to_id":338,"start_date":"2017-10-15","description":"","custom_fields":[{"id":1,"name":"Subdivision","value":"EC"},{"id":4,"name":"Milepost","value":"0.0141"},{"id":17,"name":"Train ID","value":"116-15"},{"id":16,"name":"Locomotive ID","value":"4035"},{"id":130,"name":"Impact","value":""},{"id":150,"name":"Time of Event (Mountain Time)","value":"07:05:23"},{"id":151,"name":"Denver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4035 --day 2017-10-15</v>
      </c>
      <c r="AN2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-15T05:18:33-0600',mode:absolute,to:'2017-10-15T08:05:23-0600'))&amp;_a=(columns:!('Message%20ID',Summary),filters:!(),index:'emp_*',interval:auto,query:(query_string:(analyze_wildcard:!t,query:'%22rtdc.l.rtdc.4035%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567</v>
      </c>
      <c r="B29" s="7">
        <v>4016</v>
      </c>
      <c r="C29" s="21" t="s">
        <v>194</v>
      </c>
      <c r="D29" s="21" t="s">
        <v>822</v>
      </c>
      <c r="E29" s="13">
        <v>43023.235567129632</v>
      </c>
      <c r="F29" s="13">
        <v>43023.239745370367</v>
      </c>
      <c r="G29" s="7">
        <v>66</v>
      </c>
      <c r="H29" s="21" t="s">
        <v>823</v>
      </c>
      <c r="I29" s="13">
        <v>43023.26394675926</v>
      </c>
      <c r="J29" s="7">
        <v>0</v>
      </c>
      <c r="K29" s="89" t="str">
        <f>IF(ISEVEN(B29),(B29-1)&amp;"/"&amp;B29,B29&amp;"/"&amp;(B29+1))</f>
        <v>4015/4016</v>
      </c>
      <c r="L29" s="185" t="str">
        <f>VLOOKUP(A29,'Trips&amp;Operators'!$C$1:$G$99911,5,FALSE)</f>
        <v>LAMAR NEKESHA</v>
      </c>
      <c r="M29" s="6">
        <f>I29-F29</f>
        <v>2.4201388892834075E-2</v>
      </c>
      <c r="N29" s="7">
        <f>24*60*SUM($M29:$M29)</f>
        <v>34.850000005681068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-15T04:39:13-0600',mode:absolute,to:'2017-10-15T07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4.7800000000000002E-2</v>
      </c>
      <c r="Z29" s="204">
        <f>RIGHT(H29,LEN(H29)-4)/10000</f>
        <v>23.3337</v>
      </c>
      <c r="AA29" s="204">
        <f>ABS(Z29-Y29)</f>
        <v>23.285900000000002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/stypes="app*4016*20171015*"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117-15 --locoid 4016 --swversion DE.1.0.9.0 --startMP 204:478 --initTime 2017-10-15T05:39:13 --startdatetime 2017-10-15T05:45:14 --delay 66 --endMP 204:233337 --enddatetime 2017-10-15T06:20:05 --enforcementcount 0 &gt;&gt;%USERPROFILE%\Documents\GitHub\eaglep3-reporting\EC\2017-10-15-refined-times.txt</v>
      </c>
      <c r="AI2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{"issue":{"subject":"","project_id":79,"tracker_id":40,"status_id":1,"priority_id":2,"assigned_to_id":338,"start_date":"2017-10-15","description":"","custom_fields":[{"id":1,"name":"Subdivision","value":"EC"},{"id":4,"name":"Milepost","value":"23.3337"},{"id":17,"name":"Train ID","value":"117-15"},{"id":16,"name":"Locomotive ID","value":"4016"},{"id":130,"name":"Impact","value":""},{"id":150,"name":"Time of Event (Mountain Time)","value":"06:20:05"},{"id":151,"name":"Denver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4016 --day 2017-10-15</v>
      </c>
      <c r="AN2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-15T04:39:13-0600',mode:absolute,to:'2017-10-15T07:20:05-0600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643</v>
      </c>
      <c r="B30" s="7">
        <v>4015</v>
      </c>
      <c r="C30" s="21" t="s">
        <v>194</v>
      </c>
      <c r="D30" s="21" t="s">
        <v>824</v>
      </c>
      <c r="E30" s="13">
        <v>43023.274305555555</v>
      </c>
      <c r="F30" s="13">
        <v>43023.279340277775</v>
      </c>
      <c r="G30" s="7">
        <v>47</v>
      </c>
      <c r="H30" s="21" t="s">
        <v>399</v>
      </c>
      <c r="I30" s="13">
        <v>43023.305567129632</v>
      </c>
      <c r="J30" s="7">
        <v>0</v>
      </c>
      <c r="K30" s="89" t="str">
        <f>IF(ISEVEN(B30),(B30-1)&amp;"/"&amp;B30,B30&amp;"/"&amp;(B30+1))</f>
        <v>4015/4016</v>
      </c>
      <c r="L30" s="185" t="str">
        <f>VLOOKUP(A30,'Trips&amp;Operators'!$C$1:$G$99911,5,FALSE)</f>
        <v>LAMAR NEKESHA</v>
      </c>
      <c r="M30" s="6">
        <f>I30-F30</f>
        <v>2.6226851856335998E-2</v>
      </c>
      <c r="N30" s="7">
        <f>24*60*SUM($M30:$M30)</f>
        <v>37.766666673123837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-15T05:35:00-0600',mode:absolute,to:'2017-10-15T08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23.303000000000001</v>
      </c>
      <c r="Z30" s="204">
        <f>RIGHT(H30,LEN(H30)-4)/10000</f>
        <v>1.6E-2</v>
      </c>
      <c r="AA30" s="204">
        <f>ABS(Z30-Y30)</f>
        <v>23.287000000000003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/stypes="app*4015*20171015*"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118-15 --locoid 4015 --swversion DE.1.0.9.0 --startMP 204:233030 --initTime 2017-10-15T06:35:00 --startdatetime 2017-10-15T06:42:15 --delay 47 --endMP 204:160 --enddatetime 2017-10-15T07:20:01 --enforcementcount 0 &gt;&gt;%USERPROFILE%\Documents\GitHub\eaglep3-reporting\EC\2017-10-15-refined-times.txt</v>
      </c>
      <c r="AI3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{"issue":{"subject":"","project_id":79,"tracker_id":40,"status_id":1,"priority_id":2,"assigned_to_id":338,"start_date":"2017-10-15","description":"","custom_fields":[{"id":1,"name":"Subdivision","value":"EC"},{"id":4,"name":"Milepost","value":"0.016"},{"id":17,"name":"Train ID","value":"118-15"},{"id":16,"name":"Locomotive ID","value":"4015"},{"id":130,"name":"Impact","value":""},{"id":150,"name":"Time of Event (Mountain Time)","value":"07:20:01"},{"id":151,"name":"Denver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4015 --day 2017-10-15</v>
      </c>
      <c r="AN3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-15T05:35:00-0600',mode:absolute,to:'2017-10-15T08:20:01-0600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637</v>
      </c>
      <c r="B31" s="7">
        <v>4042</v>
      </c>
      <c r="C31" s="21" t="s">
        <v>194</v>
      </c>
      <c r="D31" s="21" t="s">
        <v>380</v>
      </c>
      <c r="E31" s="13">
        <v>43023.245451388888</v>
      </c>
      <c r="F31" s="13">
        <v>43023.250196759262</v>
      </c>
      <c r="G31" s="7">
        <v>90</v>
      </c>
      <c r="H31" s="21" t="s">
        <v>825</v>
      </c>
      <c r="I31" s="13">
        <v>43023.276493055557</v>
      </c>
      <c r="J31" s="7">
        <v>0</v>
      </c>
      <c r="K31" s="89" t="str">
        <f>IF(ISEVEN(B31),(B31-1)&amp;"/"&amp;B31,B31&amp;"/"&amp;(B31+1))</f>
        <v>4041/4042</v>
      </c>
      <c r="L31" s="185" t="str">
        <f>VLOOKUP(A31,'Trips&amp;Operators'!$C$1:$G$99911,5,FALSE)</f>
        <v>DAVIS WENDY</v>
      </c>
      <c r="M31" s="6">
        <f>I31-F31</f>
        <v>2.6296296295186039E-2</v>
      </c>
      <c r="N31" s="7">
        <f>24*60*SUM($M31:$M31)</f>
        <v>37.866666665067896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-15T04:53:27-0600',mode:absolute,to:'2017-10-15T07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4.5699999999999998E-2</v>
      </c>
      <c r="Z31" s="204">
        <f>RIGHT(H31,LEN(H31)-4)/10000</f>
        <v>23.331900000000001</v>
      </c>
      <c r="AA31" s="204">
        <f>ABS(Z31-Y31)</f>
        <v>23.286200000000001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/stypes="app*4042*20171015*"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119-15 --locoid 4042 --swversion DE.1.0.9.0 --startMP 204:457 --initTime 2017-10-15T05:53:27 --startdatetime 2017-10-15T06:00:17 --delay 90 --endMP 204:233319 --enddatetime 2017-10-15T06:38:09 --enforcementcount 0 &gt;&gt;%USERPROFILE%\Documents\GitHub\eaglep3-reporting\EC\2017-10-15-refined-times.txt</v>
      </c>
      <c r="AI3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{"issue":{"subject":"","project_id":79,"tracker_id":40,"status_id":1,"priority_id":2,"assigned_to_id":338,"start_date":"2017-10-15","description":"","custom_fields":[{"id":1,"name":"Subdivision","value":"EC"},{"id":4,"name":"Milepost","value":"23.3319"},{"id":17,"name":"Train ID","value":"119-15"},{"id":16,"name":"Locomotive ID","value":"4042"},{"id":130,"name":"Impact","value":""},{"id":150,"name":"Time of Event (Mountain Time)","value":"06:38:09"},{"id":151,"name":"Denver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4042 --day 2017-10-15</v>
      </c>
      <c r="AN3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-15T04:53:27-0600',mode:absolute,to:'2017-10-15T07:38:09-0600'))&amp;_a=(columns:!('Message%20ID',Summary),filters:!(),index:'emp_*',interval:auto,query:(query_string:(analyze_wildcard:!t,query:'%22rtdc.l.rtdc.4042%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4041</v>
      </c>
      <c r="C32" s="21" t="s">
        <v>194</v>
      </c>
      <c r="D32" s="21" t="s">
        <v>826</v>
      </c>
      <c r="E32" s="13">
        <v>43023.277905092589</v>
      </c>
      <c r="F32" s="13">
        <v>43023.28974537037</v>
      </c>
      <c r="G32" s="7">
        <v>81</v>
      </c>
      <c r="H32" s="21" t="s">
        <v>356</v>
      </c>
      <c r="I32" s="13">
        <v>43023.316805555558</v>
      </c>
      <c r="J32" s="7">
        <v>0</v>
      </c>
      <c r="K32" s="89" t="str">
        <f>IF(ISEVEN(B32),(B32-1)&amp;"/"&amp;B32,B32&amp;"/"&amp;(B32+1))</f>
        <v>4041/4042</v>
      </c>
      <c r="L32" s="185" t="str">
        <f>VLOOKUP(A32,'Trips&amp;Operators'!$C$1:$G$99911,5,FALSE)</f>
        <v>DAVIS WENDY</v>
      </c>
      <c r="M32" s="6">
        <f>I32-F32</f>
        <v>2.7060185188020114E-2</v>
      </c>
      <c r="N32" s="7">
        <f>24*60*SUM($M32:$M32)</f>
        <v>38.966666670748964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-15T05:40:11-0600',mode:absolute,to:'2017-10-15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23.300599999999999</v>
      </c>
      <c r="Z32" s="204">
        <f>RIGHT(H32,LEN(H32)-4)/10000</f>
        <v>1.4500000000000001E-2</v>
      </c>
      <c r="AA32" s="204">
        <f>ABS(Z32-Y32)</f>
        <v>23.286099999999998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/stypes="app*4041*20171015*"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120-15 --locoid 4041 --swversion DE.1.0.9.0 --startMP 204:233006 --initTime 2017-10-15T06:40:11 --startdatetime 2017-10-15T06:57:14 --delay 81 --endMP 204:145 --enddatetime 2017-10-15T07:36:12 --enforcementcount 0 &gt;&gt;%USERPROFILE%\Documents\GitHub\eaglep3-reporting\EC\2017-10-15-refined-times.txt</v>
      </c>
      <c r="AI3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{"issue":{"subject":"","project_id":79,"tracker_id":40,"status_id":1,"priority_id":2,"assigned_to_id":338,"start_date":"2017-10-15","description":"","custom_fields":[{"id":1,"name":"Subdivision","value":"EC"},{"id":4,"name":"Milepost","value":"0.0145"},{"id":17,"name":"Train ID","value":"120-15"},{"id":16,"name":"Locomotive ID","value":"4041"},{"id":130,"name":"Impact","value":""},{"id":150,"name":"Time of Event (Mountain Time)","value":"07:36:12"},{"id":151,"name":"Denver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4041 --day 2017-10-15</v>
      </c>
      <c r="AN3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-15T05:40:11-0600',mode:absolute,to:'2017-10-15T08:36:12-0600'))&amp;_a=(columns:!('Message%20ID',Summary),filters:!(),index:'emp_*',interval:auto,query:(query_string:(analyze_wildcard:!t,query:'%22rtdc.l.rtdc.4041%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640</v>
      </c>
      <c r="B33" s="7">
        <v>4014</v>
      </c>
      <c r="C33" s="21" t="s">
        <v>194</v>
      </c>
      <c r="D33" s="21" t="s">
        <v>363</v>
      </c>
      <c r="E33" s="13">
        <v>43023.254479166666</v>
      </c>
      <c r="F33" s="13">
        <v>43023.26059027778</v>
      </c>
      <c r="G33" s="7">
        <v>64</v>
      </c>
      <c r="H33" s="21" t="s">
        <v>813</v>
      </c>
      <c r="I33" s="13">
        <v>43023.284166666665</v>
      </c>
      <c r="J33" s="7">
        <v>0</v>
      </c>
      <c r="K33" s="89" t="str">
        <f>IF(ISEVEN(B33),(B33-1)&amp;"/"&amp;B33,B33&amp;"/"&amp;(B33+1))</f>
        <v>4013/4014</v>
      </c>
      <c r="L33" s="185" t="str">
        <f>VLOOKUP(A33,'Trips&amp;Operators'!$C$1:$G$99911,5,FALSE)</f>
        <v>LALONDE GREGORY</v>
      </c>
      <c r="M33" s="6">
        <f>I33-F33</f>
        <v>2.3576388884976041E-2</v>
      </c>
      <c r="N33" s="7">
        <f>24*60*SUM($M33:$M33)</f>
        <v>33.949999994365498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-15T05:06:27-0600',mode:absolute,to:'2017-10-15T07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4.5999999999999999E-2</v>
      </c>
      <c r="Z33" s="204">
        <f>RIGHT(H33,LEN(H33)-4)/10000</f>
        <v>23.332000000000001</v>
      </c>
      <c r="AA33" s="204">
        <f>ABS(Z33-Y33)</f>
        <v>23.286000000000001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/stypes="app*4014*20171015*"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121-15 --locoid 4014 --swversion DE.1.0.9.0 --startMP 204:460 --initTime 2017-10-15T06:06:27 --startdatetime 2017-10-15T06:15:15 --delay 64 --endMP 204:233320 --enddatetime 2017-10-15T06:49:12 --enforcementcount 0 &gt;&gt;%USERPROFILE%\Documents\GitHub\eaglep3-reporting\EC\2017-10-15-refined-times.txt</v>
      </c>
      <c r="AI3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{"issue":{"subject":"","project_id":79,"tracker_id":40,"status_id":1,"priority_id":2,"assigned_to_id":338,"start_date":"2017-10-15","description":"","custom_fields":[{"id":1,"name":"Subdivision","value":"EC"},{"id":4,"name":"Milepost","value":"23.332"},{"id":17,"name":"Train ID","value":"121-15"},{"id":16,"name":"Locomotive ID","value":"4014"},{"id":130,"name":"Impact","value":""},{"id":150,"name":"Time of Event (Mountain Time)","value":"06:49:12"},{"id":151,"name":"Denver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4014 --day 2017-10-15</v>
      </c>
      <c r="AN3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-15T05:06:27-0600',mode:absolute,to:'2017-10-15T07:49:12-0600'))&amp;_a=(columns:!('Message%20ID',Summary),filters:!(),index:'emp_*',interval:auto,query:(query_string:(analyze_wildcard:!t,query:'%22rtdc.l.rtdc.4014%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645</v>
      </c>
      <c r="B34" s="7">
        <v>4013</v>
      </c>
      <c r="C34" s="21" t="s">
        <v>194</v>
      </c>
      <c r="D34" s="21" t="s">
        <v>827</v>
      </c>
      <c r="E34" s="13">
        <v>43023.28570601852</v>
      </c>
      <c r="F34" s="13">
        <v>43023.300150462965</v>
      </c>
      <c r="G34" s="7">
        <v>51</v>
      </c>
      <c r="H34" s="21" t="s">
        <v>339</v>
      </c>
      <c r="I34" s="13">
        <v>43023.326782407406</v>
      </c>
      <c r="J34" s="7">
        <v>0</v>
      </c>
      <c r="K34" s="89" t="str">
        <f>IF(ISEVEN(B34),(B34-1)&amp;"/"&amp;B34,B34&amp;"/"&amp;(B34+1))</f>
        <v>4013/4014</v>
      </c>
      <c r="L34" s="185" t="str">
        <f>VLOOKUP(A34,'Trips&amp;Operators'!$C$1:$G$99911,5,FALSE)</f>
        <v>LALONDE GREGORY</v>
      </c>
      <c r="M34" s="6">
        <f>I34-F34</f>
        <v>2.6631944441760425E-2</v>
      </c>
      <c r="N34" s="7">
        <f>24*60*SUM($M34:$M34)</f>
        <v>38.349999996135011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-15T05:51:25-0600',mode:absolute,to:'2017-10-15T08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23.300899999999999</v>
      </c>
      <c r="Z34" s="204">
        <f>RIGHT(H34,LEN(H34)-4)/10000</f>
        <v>1.47E-2</v>
      </c>
      <c r="AA34" s="204">
        <f>ABS(Z34-Y34)</f>
        <v>23.286199999999997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/stypes="app*4013*20171015*"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122-15 --locoid 4013 --swversion DE.1.0.9.0 --startMP 204:233009 --initTime 2017-10-15T06:51:25 --startdatetime 2017-10-15T07:12:13 --delay 51 --endMP 204:147 --enddatetime 2017-10-15T07:50:34 --enforcementcount 0 &gt;&gt;%USERPROFILE%\Documents\GitHub\eaglep3-reporting\EC\2017-10-15-refined-times.txt</v>
      </c>
      <c r="AI3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{"issue":{"subject":"","project_id":79,"tracker_id":40,"status_id":1,"priority_id":2,"assigned_to_id":338,"start_date":"2017-10-15","description":"","custom_fields":[{"id":1,"name":"Subdivision","value":"EC"},{"id":4,"name":"Milepost","value":"0.0147"},{"id":17,"name":"Train ID","value":"122-15"},{"id":16,"name":"Locomotive ID","value":"4013"},{"id":130,"name":"Impact","value":""},{"id":150,"name":"Time of Event (Mountain Time)","value":"07:50:34"},{"id":151,"name":"Denver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4013 --day 2017-10-15</v>
      </c>
      <c r="AN3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-15T05:51:25-0600',mode:absolute,to:'2017-10-15T08:50:34-0600'))&amp;_a=(columns:!('Message%20ID',Summary),filters:!(),index:'emp_*',interval:auto,query:(query_string:(analyze_wildcard:!t,query:'%22rtdc.l.rtdc.4013%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642</v>
      </c>
      <c r="B35" s="7">
        <v>4058</v>
      </c>
      <c r="C35" s="21" t="s">
        <v>194</v>
      </c>
      <c r="D35" s="21" t="s">
        <v>370</v>
      </c>
      <c r="E35" s="13">
        <v>43023.267210648148</v>
      </c>
      <c r="F35" s="13">
        <v>43023.27107638889</v>
      </c>
      <c r="G35" s="7">
        <v>90</v>
      </c>
      <c r="H35" s="21" t="s">
        <v>825</v>
      </c>
      <c r="I35" s="13">
        <v>43023.296053240738</v>
      </c>
      <c r="J35" s="7">
        <v>0</v>
      </c>
      <c r="K35" s="89" t="str">
        <f>IF(ISEVEN(B35),(B35-1)&amp;"/"&amp;B35,B35&amp;"/"&amp;(B35+1))</f>
        <v>4057/4058</v>
      </c>
      <c r="L35" s="185" t="str">
        <f>VLOOKUP(A35,'Trips&amp;Operators'!$C$1:$G$99911,5,FALSE)</f>
        <v>GEBRETEKLE DAGNEW</v>
      </c>
      <c r="M35" s="6">
        <f>I35-F35</f>
        <v>2.4976851847895887E-2</v>
      </c>
      <c r="N35" s="7">
        <f>24*60*SUM($M35:$M35)</f>
        <v>35.966666660970077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-15T05:24:47-0600',mode:absolute,to:'2017-10-15T08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4.5100000000000001E-2</v>
      </c>
      <c r="Z35" s="204">
        <f>RIGHT(H35,LEN(H35)-4)/10000</f>
        <v>23.331900000000001</v>
      </c>
      <c r="AA35" s="204">
        <f>ABS(Z35-Y35)</f>
        <v>23.286799999999999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/stypes="app*4058*20171015*"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123-15 --locoid 4058 --swversion DE.1.0.9.0 --startMP 204:451 --initTime 2017-10-15T06:24:47 --startdatetime 2017-10-15T06:30:21 --delay 90 --endMP 204:233319 --enddatetime 2017-10-15T07:06:19 --enforcementcount 0 &gt;&gt;%USERPROFILE%\Documents\GitHub\eaglep3-reporting\EC\2017-10-15-refined-times.txt</v>
      </c>
      <c r="AI3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{"issue":{"subject":"","project_id":79,"tracker_id":40,"status_id":1,"priority_id":2,"assigned_to_id":338,"start_date":"2017-10-15","description":"","custom_fields":[{"id":1,"name":"Subdivision","value":"EC"},{"id":4,"name":"Milepost","value":"23.3319"},{"id":17,"name":"Train ID","value":"123-15"},{"id":16,"name":"Locomotive ID","value":"4058"},{"id":130,"name":"Impact","value":""},{"id":150,"name":"Time of Event (Mountain Time)","value":"07:06:19"},{"id":151,"name":"Denver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4058 --day 2017-10-15</v>
      </c>
      <c r="AN3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-15T05:24:47-0600',mode:absolute,to:'2017-10-15T08:06:19-0600'))&amp;_a=(columns:!('Message%20ID',Summary),filters:!(),index:'emp_*',interval:auto,query:(query_string:(analyze_wildcard:!t,query:'%22rtdc.l.rtdc.4058%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649</v>
      </c>
      <c r="B36" s="7">
        <v>4057</v>
      </c>
      <c r="C36" s="21" t="s">
        <v>194</v>
      </c>
      <c r="D36" s="21" t="s">
        <v>438</v>
      </c>
      <c r="E36" s="13">
        <v>43023.297291666669</v>
      </c>
      <c r="F36" s="13">
        <v>43023.311145833337</v>
      </c>
      <c r="G36" s="7">
        <v>69</v>
      </c>
      <c r="H36" s="21" t="s">
        <v>355</v>
      </c>
      <c r="I36" s="13">
        <v>43023.337245370371</v>
      </c>
      <c r="J36" s="7">
        <v>0</v>
      </c>
      <c r="K36" s="89" t="str">
        <f>IF(ISEVEN(B36),(B36-1)&amp;"/"&amp;B36,B36&amp;"/"&amp;(B36+1))</f>
        <v>4057/4058</v>
      </c>
      <c r="L36" s="185" t="str">
        <f>VLOOKUP(A36,'Trips&amp;Operators'!$C$1:$G$99911,5,FALSE)</f>
        <v>GEBRETEKLE DAGNEW</v>
      </c>
      <c r="M36" s="6">
        <f>I36-F36</f>
        <v>2.6099537033587694E-2</v>
      </c>
      <c r="N36" s="7">
        <f>24*60*SUM($M36:$M36)</f>
        <v>37.58333332836628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-15T06:08:06-0600',mode:absolute,to:'2017-10-15T09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23.3002</v>
      </c>
      <c r="Z36" s="204">
        <f>RIGHT(H36,LEN(H36)-4)/10000</f>
        <v>1.52E-2</v>
      </c>
      <c r="AA36" s="204">
        <f>ABS(Z36-Y36)</f>
        <v>23.285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/stypes="app*4057*20171015*"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124-15 --locoid 4057 --swversion DE.1.0.9.0 --startMP 204:233002 --initTime 2017-10-15T07:08:06 --startdatetime 2017-10-15T07:28:03 --delay 69 --endMP 204:152 --enddatetime 2017-10-15T08:05:38 --enforcementcount 0 &gt;&gt;%USERPROFILE%\Documents\GitHub\eaglep3-reporting\EC\2017-10-15-refined-times.txt</v>
      </c>
      <c r="AI3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{"issue":{"subject":"","project_id":79,"tracker_id":40,"status_id":1,"priority_id":2,"assigned_to_id":338,"start_date":"2017-10-15","description":"","custom_fields":[{"id":1,"name":"Subdivision","value":"EC"},{"id":4,"name":"Milepost","value":"0.0152"},{"id":17,"name":"Train ID","value":"124-15"},{"id":16,"name":"Locomotive ID","value":"4057"},{"id":130,"name":"Impact","value":""},{"id":150,"name":"Time of Event (Mountain Time)","value":"08:05:38"},{"id":151,"name":"Denver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4057 --day 2017-10-15</v>
      </c>
      <c r="AN3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-15T06:08:06-0600',mode:absolute,to:'2017-10-15T09:05:38-0600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569</v>
      </c>
      <c r="B37" s="7">
        <v>4032</v>
      </c>
      <c r="C37" s="21" t="s">
        <v>194</v>
      </c>
      <c r="D37" s="21" t="s">
        <v>363</v>
      </c>
      <c r="E37" s="13">
        <v>43023.279305555552</v>
      </c>
      <c r="F37" s="13">
        <v>43023.281527777777</v>
      </c>
      <c r="G37" s="7">
        <v>55</v>
      </c>
      <c r="H37" s="21" t="s">
        <v>828</v>
      </c>
      <c r="I37" s="13">
        <v>43023.301678240743</v>
      </c>
      <c r="J37" s="7">
        <v>0</v>
      </c>
      <c r="K37" s="89" t="str">
        <f>IF(ISEVEN(B37),(B37-1)&amp;"/"&amp;B37,B37&amp;"/"&amp;(B37+1))</f>
        <v>4031/4032</v>
      </c>
      <c r="L37" s="185" t="str">
        <f>VLOOKUP(A37,'Trips&amp;Operators'!$C$1:$G$99911,5,FALSE)</f>
        <v>THOMPSON LESTER</v>
      </c>
      <c r="M37" s="6">
        <f>I37-F37</f>
        <v>2.0150462965830229E-2</v>
      </c>
      <c r="N37" s="7"/>
      <c r="O37" s="7"/>
      <c r="P37" s="7">
        <f>24*60*SUM($M37:$M38)</f>
        <v>40.26666667079553</v>
      </c>
      <c r="Q37" s="22"/>
      <c r="R37" s="174" t="s">
        <v>987</v>
      </c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-15T05:42:12-0600',mode:absolute,to:'2017-10-15T08:14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204" t="str">
        <f>IF(AA37&lt;VLOOKUP(AG37,Variables!$AC$3:$AD$8,2,FALSE),"Y","N")</f>
        <v>Y</v>
      </c>
      <c r="X37" s="204">
        <f>VALUE(LEFT(AD37,4))-VALUE(LEFT(AD36,4))</f>
        <v>1</v>
      </c>
      <c r="Y37" s="204">
        <f>RIGHT(D37,LEN(D37)-4)/10000</f>
        <v>4.5999999999999999E-2</v>
      </c>
      <c r="Z37" s="204">
        <v>14.86</v>
      </c>
      <c r="AA37" s="204">
        <f>ABS(Z37-Y37)</f>
        <v>14.814</v>
      </c>
      <c r="AB37" s="54" t="str">
        <f>VLOOKUP(A37,Enforcements!$C$7:$K$11,8,0)</f>
        <v>Speed (6)</v>
      </c>
      <c r="AC37" s="51" t="str">
        <f>VLOOKUP(A37,Enforcements!$C$7:$E$11,3,0)</f>
        <v>PERMANENT SPEED RESTRICTION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/stypes="app*4032*20171015*"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125-15 --locoid 4032 --swversion DE.1.0.9.0 --startMP 204:460 --initTime 2017-10-15T06:42:12 --startdatetime 2017-10-15T06:45:24 --delay 55 --endMP 204:233322 --enddatetime 2017-10-15T07:14:25 --enforcementcount 0 &gt;&gt;%USERPROFILE%\Documents\GitHub\eaglep3-reporting\EC\2017-10-15-refined-times.txt</v>
      </c>
      <c r="AI37" s="96" t="str">
        <f t="shared" si="6"/>
        <v>echo {"issue":{"subject":"Accidental emergency brake","project_id":79,"tracker_id":40,"status_id":1,"priority_id":2,"assigned_to_id":338,"start_date":"2017-10-15","description":"","custom_fields":[{"id":1,"name":"Subdivision","value":"EC"},{"id":4,"name":"Milepost","value":"14.86"},{"id":17,"name":"Train ID","value":"125-15"},{"id":16,"name":"Locomotive ID","value":"4032"},{"id":130,"name":"Impact","value":""},{"id":150,"name":"Time of Event (Mountain Time)","value":"07:14:25"},{"id":151,"name":"Denver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4032 --day 2017-10-15</v>
      </c>
      <c r="AN37" s="151" t="str">
        <f t="shared" si="8"/>
        <v>echo {"issue":{"subject":"Accidental emergency brake","project_id":30,"tracker_id":4,"status_id":1,"priority_id":1,"assigned_to_id":10,"start_date":"2017-10-15","description":"","custom_fields":[{"id":30,"name":"Category","value":"Issue"},{"id":3,"name":"Functional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13:14:25"},{"id":29,"name":"Sharepoint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-15T05:42:12-0600',mode:absolute,to:'2017-10-15T08:14:25-0600'))&amp;_a=(columns:!('Message%20ID',Summary),filters:!(),index:'emp_*',interval:auto,query:(query_string:(analyze_wildcard:!t,query:'%22rtdc.l.rtdc.4032%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569</v>
      </c>
      <c r="B38" s="7">
        <v>4032</v>
      </c>
      <c r="C38" s="21" t="s">
        <v>194</v>
      </c>
      <c r="D38" s="21" t="s">
        <v>363</v>
      </c>
      <c r="E38" s="13">
        <v>43023.279305555552</v>
      </c>
      <c r="F38" s="13">
        <v>43023.301493055558</v>
      </c>
      <c r="G38" s="7">
        <v>55</v>
      </c>
      <c r="H38" s="21" t="s">
        <v>828</v>
      </c>
      <c r="I38" s="13">
        <v>43023.309305555558</v>
      </c>
      <c r="J38" s="7">
        <v>0</v>
      </c>
      <c r="K38" s="89" t="str">
        <f>IF(ISEVEN(B38),(B38-1)&amp;"/"&amp;B38,B38&amp;"/"&amp;(B38+1))</f>
        <v>4031/4032</v>
      </c>
      <c r="L38" s="185" t="str">
        <f>VLOOKUP(A38,'Trips&amp;Operators'!$C$1:$G$99911,5,FALSE)</f>
        <v>THOMPSON LESTER</v>
      </c>
      <c r="M38" s="6">
        <f>I38-F38</f>
        <v>7.8125E-3</v>
      </c>
      <c r="N38" s="7"/>
      <c r="O38" s="7"/>
      <c r="P38" s="7"/>
      <c r="Q38" s="22"/>
      <c r="R38" s="174"/>
      <c r="S38" s="221"/>
      <c r="T38" s="174" t="str">
        <f>IF(ISEVEN(LEFT(AD38,4)),"Southbound","NorthBound")</f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-15T05:42:12-0600',mode:absolute,to:'2017-10-15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8" s="204" t="str">
        <f>IF(AA38&lt;VLOOKUP(AG38,Variables!$AC$3:$AD$8,2,FALSE),"Y","N")</f>
        <v>Y</v>
      </c>
      <c r="X38" s="204">
        <f>VALUE(LEFT(AD38,4))-VALUE(LEFT(AD37,4))</f>
        <v>0</v>
      </c>
      <c r="Y38" s="204">
        <v>15.4</v>
      </c>
      <c r="Z38" s="204">
        <f>RIGHT(H38,LEN(H38)-4)/10000</f>
        <v>23.3322</v>
      </c>
      <c r="AA38" s="204">
        <f>ABS(Z38-Y38)</f>
        <v>7.9321999999999999</v>
      </c>
      <c r="AB38" s="54" t="str">
        <f>VLOOKUP(A38,Enforcements!$C$7:$K$11,8,0)</f>
        <v>Speed (6)</v>
      </c>
      <c r="AC38" s="51" t="str">
        <f>VLOOKUP(A38,Enforcements!$C$7:$E$11,3,0)</f>
        <v>PERMANENT SPEED RESTRICTION</v>
      </c>
      <c r="AD38" s="179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/stypes="app*4032*20171015*" /stext=" 13:.+((SYSTEM_STATE.+slice.+state.+changed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ref="AH38" si="10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125-15 --locoid 4032 --swversion DE.1.0.9.0 --startMP 204:460 --initTime 2017-10-15T06:42:12 --startdatetime 2017-10-15T07:14:09 --delay 55 --endMP 204:233322 --enddatetime 2017-10-15T07:25:24 --enforcementcount 0 &gt;&gt;%USERPROFILE%\Documents\GitHub\eaglep3-reporting\EC\2017-10-15-refined-times.txt</v>
      </c>
      <c r="AI38" s="96" t="str">
        <f t="shared" ref="AI38" si="11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{"issue":{"subject":"","project_id":79,"tracker_id":40,"status_id":1,"priority_id":2,"assigned_to_id":338,"start_date":"2017-10-15","description":"","custom_fields":[{"id":1,"name":"Subdivision","value":"EC"},{"id":4,"name":"Milepost","value":"23.3322"},{"id":17,"name":"Train ID","value":"125-15"},{"id":16,"name":"Locomotive ID","value":"4032"},{"id":130,"name":"Impact","value":""},{"id":150,"name":"Time of Event (Mountain Time)","value":"07:25:24"},{"id":151,"name":"Denver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ref="AM38" si="12">"start /low /b "&amp;dls3logs&amp;" --loco "&amp;B38&amp;" --day "&amp;TEXT(F38,"YYYY-MM-DD")</f>
        <v>start /low /b %USERPROFILE%\Documents\GitHub\eaglep3\Utilities\DownloadLogsFromS3.py --loco 4032 --day 2017-10-15</v>
      </c>
      <c r="AN38" s="151" t="str">
        <f t="shared" ref="AN38" si="13"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ref="AO38" si="14"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-15T05:42:12-0600',mode:absolute,to:'2017-10-15T08:25:24-0600'))&amp;_a=(columns:!('Message%20ID',Summary),filters:!(),index:'emp_*',interval:auto,query:(query_string:(analyze_wildcard:!t,query:'%22rtdc.l.rtdc.4032%22')),sort:!(Time.ISO8601,asc))</v>
      </c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</row>
    <row r="39" spans="1:91" s="1" customFormat="1" x14ac:dyDescent="0.25">
      <c r="A39" s="32" t="s">
        <v>570</v>
      </c>
      <c r="B39" s="7">
        <v>4031</v>
      </c>
      <c r="C39" s="21" t="s">
        <v>194</v>
      </c>
      <c r="D39" s="21" t="s">
        <v>829</v>
      </c>
      <c r="E39" s="13">
        <v>43023.318564814814</v>
      </c>
      <c r="F39" s="13">
        <v>43023.321006944447</v>
      </c>
      <c r="G39" s="7">
        <v>75</v>
      </c>
      <c r="H39" s="21" t="s">
        <v>374</v>
      </c>
      <c r="I39" s="13">
        <v>43023.34851851852</v>
      </c>
      <c r="J39" s="7">
        <v>0</v>
      </c>
      <c r="K39" s="89" t="str">
        <f>IF(ISEVEN(B39),(B39-1)&amp;"/"&amp;B39,B39&amp;"/"&amp;(B39+1))</f>
        <v>4031/4032</v>
      </c>
      <c r="L39" s="185" t="str">
        <f>VLOOKUP(A39,'Trips&amp;Operators'!$C$1:$G$99911,5,FALSE)</f>
        <v>THOMPSON LESTER</v>
      </c>
      <c r="M39" s="6">
        <f>I39-F39</f>
        <v>2.7511574073287193E-2</v>
      </c>
      <c r="N39" s="7">
        <f>24*60*SUM($M39:$M39)</f>
        <v>39.616666665533558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-15T06:38:44-0600',mode:absolute,to:'2017-10-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23.3</v>
      </c>
      <c r="Z39" s="204">
        <f>RIGHT(H39,LEN(H39)-4)/10000</f>
        <v>1.54E-2</v>
      </c>
      <c r="AA39" s="204">
        <f>ABS(Z39-Y39)</f>
        <v>23.284600000000001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/stypes="app*4031*20171015*"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126-15 --locoid 4031 --swversion DE.1.0.9.0 --startMP 204:233000 --initTime 2017-10-15T07:38:44 --startdatetime 2017-10-15T07:42:15 --delay 75 --endMP 204:154 --enddatetime 2017-10-15T08:21:52 --enforcementcount 0 &gt;&gt;%USERPROFILE%\Documents\GitHub\eaglep3-reporting\EC\2017-10-15-refined-times.txt</v>
      </c>
      <c r="AI3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{"issue":{"subject":"","project_id":79,"tracker_id":40,"status_id":1,"priority_id":2,"assigned_to_id":338,"start_date":"2017-10-15","description":"","custom_fields":[{"id":1,"name":"Subdivision","value":"EC"},{"id":4,"name":"Milepost","value":"0.0154"},{"id":17,"name":"Train ID","value":"126-15"},{"id":16,"name":"Locomotive ID","value":"4031"},{"id":130,"name":"Impact","value":""},{"id":150,"name":"Time of Event (Mountain Time)","value":"08:21:52"},{"id":151,"name":"Denver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4031 --day 2017-10-15</v>
      </c>
      <c r="AN3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-15T06:38:44-0600',mode:absolute,to:'2017-10-15T09:21:52-0600'))&amp;_a=(columns:!('Message%20ID',Summary),filters:!(),index:'emp_*',interval:auto,query:(query_string:(analyze_wildcard:!t,query:'%22rtdc.l.rtdc.4031%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646</v>
      </c>
      <c r="B40" s="7">
        <v>4004</v>
      </c>
      <c r="C40" s="21" t="s">
        <v>194</v>
      </c>
      <c r="D40" s="21" t="s">
        <v>391</v>
      </c>
      <c r="E40" s="13">
        <v>43023.288472222222</v>
      </c>
      <c r="F40" s="13">
        <v>43023.291898148149</v>
      </c>
      <c r="G40" s="7">
        <v>59</v>
      </c>
      <c r="H40" s="21" t="s">
        <v>541</v>
      </c>
      <c r="I40" s="13">
        <v>43023.318229166667</v>
      </c>
      <c r="J40" s="7">
        <v>0</v>
      </c>
      <c r="K40" s="89" t="str">
        <f>IF(ISEVEN(B40),(B40-1)&amp;"/"&amp;B40,B40&amp;"/"&amp;(B40+1))</f>
        <v>4003/4004</v>
      </c>
      <c r="L40" s="185" t="str">
        <f>VLOOKUP(A40,'Trips&amp;Operators'!$C$1:$G$99911,5,FALSE)</f>
        <v>WILLIAMS DONTE</v>
      </c>
      <c r="M40" s="6">
        <f>I40-F40</f>
        <v>2.6331018518249039E-2</v>
      </c>
      <c r="N40" s="7">
        <f>24*60*SUM($M40:$M40)</f>
        <v>37.916666666278616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-15T05:55:24-0600',mode:absolute,to:'2017-10-15T08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4.6699999999999998E-2</v>
      </c>
      <c r="Z40" s="204">
        <f>RIGHT(H40,LEN(H40)-4)/10000</f>
        <v>23.328099999999999</v>
      </c>
      <c r="AA40" s="204">
        <f>ABS(Z40-Y40)</f>
        <v>23.281399999999998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/stypes="app*4004*20171015*" /stext=" 13:.+((SYSTEM_STATE.+slice.+state.+changed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127-15 --locoid 4004 --swversion DE.1.0.9.0 --startMP 204:467 --initTime 2017-10-15T06:55:24 --startdatetime 2017-10-15T07:00:20 --delay 59 --endMP 204:233281 --enddatetime 2017-10-15T07:38:15 --enforcementcount 0 &gt;&gt;%USERPROFILE%\Documents\GitHub\eaglep3-reporting\EC\2017-10-15-refined-times.txt</v>
      </c>
      <c r="AI4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{"issue":{"subject":"","project_id":79,"tracker_id":40,"status_id":1,"priority_id":2,"assigned_to_id":338,"start_date":"2017-10-15","description":"","custom_fields":[{"id":1,"name":"Subdivision","value":"EC"},{"id":4,"name":"Milepost","value":"23.3281"},{"id":17,"name":"Train ID","value":"127-15"},{"id":16,"name":"Locomotive ID","value":"4004"},{"id":130,"name":"Impact","value":""},{"id":150,"name":"Time of Event (Mountain Time)","value":"07:38:15"},{"id":151,"name":"Denver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4004 --day 2017-10-15</v>
      </c>
      <c r="AN4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-15T05:55:24-0600',mode:absolute,to:'2017-10-15T08:38:15-0600'))&amp;_a=(columns:!('Message%20ID',Summary),filters:!(),index:'emp_*',interval:auto,query:(query_string:(analyze_wildcard:!t,query:'%22rtdc.l.rtdc.4004%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653</v>
      </c>
      <c r="B41" s="7">
        <v>4003</v>
      </c>
      <c r="C41" s="21" t="s">
        <v>194</v>
      </c>
      <c r="D41" s="21" t="s">
        <v>543</v>
      </c>
      <c r="E41" s="13">
        <v>43023.325648148151</v>
      </c>
      <c r="F41" s="13">
        <v>43023.331469907411</v>
      </c>
      <c r="G41" s="7">
        <v>66</v>
      </c>
      <c r="H41" s="21" t="s">
        <v>335</v>
      </c>
      <c r="I41" s="13">
        <v>43023.358483796299</v>
      </c>
      <c r="J41" s="7">
        <v>0</v>
      </c>
      <c r="K41" s="89" t="str">
        <f>IF(ISEVEN(B41),(B41-1)&amp;"/"&amp;B41,B41&amp;"/"&amp;(B41+1))</f>
        <v>4003/4004</v>
      </c>
      <c r="L41" s="185" t="str">
        <f>VLOOKUP(A41,'Trips&amp;Operators'!$C$1:$G$99911,5,FALSE)</f>
        <v>WILLIAMS DONTE</v>
      </c>
      <c r="M41" s="6">
        <f>I41-F41</f>
        <v>2.7013888888177462E-2</v>
      </c>
      <c r="N41" s="7">
        <f>24*60*SUM($M41:$M41)</f>
        <v>38.899999998975545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-15T06:48:56-0600',mode:absolute,to:'2017-10-15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23.297000000000001</v>
      </c>
      <c r="Z41" s="204">
        <f>RIGHT(H41,LEN(H41)-4)/10000</f>
        <v>1.4999999999999999E-2</v>
      </c>
      <c r="AA41" s="204">
        <f>ABS(Z41-Y41)</f>
        <v>23.282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/stypes="app*4003*20171015*"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128-15 --locoid 4003 --swversion DE.1.0.9.0 --startMP 204:232970 --initTime 2017-10-15T07:48:56 --startdatetime 2017-10-15T07:57:19 --delay 66 --endMP 204:150 --enddatetime 2017-10-15T08:36:13 --enforcementcount 0 &gt;&gt;%USERPROFILE%\Documents\GitHub\eaglep3-reporting\EC\2017-10-15-refined-times.txt</v>
      </c>
      <c r="AI4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{"issue":{"subject":"","project_id":79,"tracker_id":40,"status_id":1,"priority_id":2,"assigned_to_id":338,"start_date":"2017-10-15","description":"","custom_fields":[{"id":1,"name":"Subdivision","value":"EC"},{"id":4,"name":"Milepost","value":"0.015"},{"id":17,"name":"Train ID","value":"128-15"},{"id":16,"name":"Locomotive ID","value":"4003"},{"id":130,"name":"Impact","value":""},{"id":150,"name":"Time of Event (Mountain Time)","value":"08:36:13"},{"id":151,"name":"Denver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4003 --day 2017-10-15</v>
      </c>
      <c r="AN4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-15T06:48:56-0600',mode:absolute,to:'2017-10-15T09:36:13-0600'))&amp;_a=(columns:!('Message%20ID',Summary),filters:!(),index:'emp_*',interval:auto,query:(query_string:(analyze_wildcard:!t,query:'%22rtdc.l.rtdc.4003%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648</v>
      </c>
      <c r="B42" s="7">
        <v>4036</v>
      </c>
      <c r="C42" s="21" t="s">
        <v>194</v>
      </c>
      <c r="D42" s="21" t="s">
        <v>830</v>
      </c>
      <c r="E42" s="13">
        <v>43023.297303240739</v>
      </c>
      <c r="F42" s="13">
        <v>43023.302303240744</v>
      </c>
      <c r="G42" s="7">
        <v>50</v>
      </c>
      <c r="H42" s="21" t="s">
        <v>831</v>
      </c>
      <c r="I42" s="13">
        <v>43023.326550925929</v>
      </c>
      <c r="J42" s="7">
        <v>0</v>
      </c>
      <c r="K42" s="89" t="str">
        <f>IF(ISEVEN(B42),(B42-1)&amp;"/"&amp;B42,B42&amp;"/"&amp;(B42+1))</f>
        <v>4035/4036</v>
      </c>
      <c r="L42" s="185" t="str">
        <f>VLOOKUP(A42,'Trips&amp;Operators'!$C$1:$G$99911,5,FALSE)</f>
        <v>MAELZER KURT</v>
      </c>
      <c r="M42" s="6">
        <f>I42-F42</f>
        <v>2.4247685185400769E-2</v>
      </c>
      <c r="N42" s="7">
        <f>24*60*SUM($M42:$M42)</f>
        <v>34.916666666977108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-15T06:08:07-0600',mode:absolute,to:'2017-10-15T08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4.1300000000000003E-2</v>
      </c>
      <c r="Z42" s="204">
        <f>RIGHT(H42,LEN(H42)-4)/10000</f>
        <v>23.329499999999999</v>
      </c>
      <c r="AA42" s="204">
        <f>ABS(Z42-Y42)</f>
        <v>23.2882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/stypes="app*4036*20171015*" /stext=" 13:.+((SYSTEM_STATE.+slice.+state.+changed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129-15 --locoid 4036 --swversion DE.1.0.9.0 --startMP 204:413 --initTime 2017-10-15T07:08:07 --startdatetime 2017-10-15T07:15:19 --delay 50 --endMP 204:233295 --enddatetime 2017-10-15T07:50:14 --enforcementcount 0 &gt;&gt;%USERPROFILE%\Documents\GitHub\eaglep3-reporting\EC\2017-10-15-refined-times.txt</v>
      </c>
      <c r="AI4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{"issue":{"subject":"","project_id":79,"tracker_id":40,"status_id":1,"priority_id":2,"assigned_to_id":338,"start_date":"2017-10-15","description":"","custom_fields":[{"id":1,"name":"Subdivision","value":"EC"},{"id":4,"name":"Milepost","value":"23.3295"},{"id":17,"name":"Train ID","value":"129-15"},{"id":16,"name":"Locomotive ID","value":"4036"},{"id":130,"name":"Impact","value":""},{"id":150,"name":"Time of Event (Mountain Time)","value":"07:50:14"},{"id":151,"name":"Denver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4036 --day 2017-10-15</v>
      </c>
      <c r="AN4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-15T06:08:07-0600',mode:absolute,to:'2017-10-15T08:50:14-0600'))&amp;_a=(columns:!('Message%20ID',Summary),filters:!(),index:'emp_*',interval:auto,query:(query_string:(analyze_wildcard:!t,query:'%22rtdc.l.rtdc.4036%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657</v>
      </c>
      <c r="B43" s="7">
        <v>4035</v>
      </c>
      <c r="C43" s="21" t="s">
        <v>194</v>
      </c>
      <c r="D43" s="21" t="s">
        <v>429</v>
      </c>
      <c r="E43" s="13">
        <v>43023.332013888888</v>
      </c>
      <c r="F43" s="13">
        <v>43023.341840277775</v>
      </c>
      <c r="G43" s="7">
        <v>52</v>
      </c>
      <c r="H43" s="21" t="s">
        <v>356</v>
      </c>
      <c r="I43" s="13">
        <v>43023.36818287037</v>
      </c>
      <c r="J43" s="7">
        <v>0</v>
      </c>
      <c r="K43" s="89" t="str">
        <f>IF(ISEVEN(B43),(B43-1)&amp;"/"&amp;B43,B43&amp;"/"&amp;(B43+1))</f>
        <v>4035/4036</v>
      </c>
      <c r="L43" s="185" t="str">
        <f>VLOOKUP(A43,'Trips&amp;Operators'!$C$1:$G$99911,5,FALSE)</f>
        <v>MAELZER KURT</v>
      </c>
      <c r="M43" s="6">
        <f>I43-F43</f>
        <v>2.6342592595028691E-2</v>
      </c>
      <c r="N43" s="7">
        <f>24*60*SUM($M43:$M43)</f>
        <v>37.933333336841315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-15T06:58:06-0600',mode:absolute,to:'2017-10-15T09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23.298400000000001</v>
      </c>
      <c r="Z43" s="204">
        <f>RIGHT(H43,LEN(H43)-4)/10000</f>
        <v>1.4500000000000001E-2</v>
      </c>
      <c r="AA43" s="204">
        <f>ABS(Z43-Y43)</f>
        <v>23.283899999999999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/stypes="app*4035*20171015*"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130-15 --locoid 4035 --swversion DE.1.0.9.0 --startMP 204:232984 --initTime 2017-10-15T07:58:06 --startdatetime 2017-10-15T08:12:15 --delay 52 --endMP 204:145 --enddatetime 2017-10-15T08:50:11 --enforcementcount 0 &gt;&gt;%USERPROFILE%\Documents\GitHub\eaglep3-reporting\EC\2017-10-15-refined-times.txt</v>
      </c>
      <c r="AI4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{"issue":{"subject":"","project_id":79,"tracker_id":40,"status_id":1,"priority_id":2,"assigned_to_id":338,"start_date":"2017-10-15","description":"","custom_fields":[{"id":1,"name":"Subdivision","value":"EC"},{"id":4,"name":"Milepost","value":"0.0145"},{"id":17,"name":"Train ID","value":"130-15"},{"id":16,"name":"Locomotive ID","value":"4035"},{"id":130,"name":"Impact","value":""},{"id":150,"name":"Time of Event (Mountain Time)","value":"08:50:11"},{"id":151,"name":"Denver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4035 --day 2017-10-15</v>
      </c>
      <c r="AN4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-15T06:58:06-0600',mode:absolute,to:'2017-10-15T09:50:11-0600'))&amp;_a=(columns:!('Message%20ID',Summary),filters:!(),index:'emp_*',interval:auto,query:(query_string:(analyze_wildcard:!t,query:'%22rtdc.l.rtdc.4035%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650</v>
      </c>
      <c r="B44" s="7">
        <v>4016</v>
      </c>
      <c r="C44" s="21" t="s">
        <v>194</v>
      </c>
      <c r="D44" s="21" t="s">
        <v>363</v>
      </c>
      <c r="E44" s="13">
        <v>43023.307453703703</v>
      </c>
      <c r="F44" s="13">
        <v>43023.312662037039</v>
      </c>
      <c r="G44" s="7">
        <v>50</v>
      </c>
      <c r="H44" s="21" t="s">
        <v>832</v>
      </c>
      <c r="I44" s="13">
        <v>43023.33766203704</v>
      </c>
      <c r="J44" s="7">
        <v>0</v>
      </c>
      <c r="K44" s="89" t="str">
        <f>IF(ISEVEN(B44),(B44-1)&amp;"/"&amp;B44,B44&amp;"/"&amp;(B44+1))</f>
        <v>4015/4016</v>
      </c>
      <c r="L44" s="185" t="str">
        <f>VLOOKUP(A44,'Trips&amp;Operators'!$C$1:$G$99911,5,FALSE)</f>
        <v>LAMAR NEKESHA</v>
      </c>
      <c r="M44" s="6">
        <f>I44-F44</f>
        <v>2.5000000001455192E-2</v>
      </c>
      <c r="N44" s="7">
        <f>24*60*SUM($M44:$M44)</f>
        <v>36.000000002095476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-15T06:22:44-0600',mode:absolute,to:'2017-10-15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4.5999999999999999E-2</v>
      </c>
      <c r="Z44" s="204">
        <f>RIGHT(H44,LEN(H44)-4)/10000</f>
        <v>23.329699999999999</v>
      </c>
      <c r="AA44" s="204">
        <f>ABS(Z44-Y44)</f>
        <v>23.2837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/stypes="app*4016*20171015*"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131-15 --locoid 4016 --swversion DE.1.0.9.0 --startMP 204:460 --initTime 2017-10-15T07:22:44 --startdatetime 2017-10-15T07:30:14 --delay 50 --endMP 204:233297 --enddatetime 2017-10-15T08:06:14 --enforcementcount 0 &gt;&gt;%USERPROFILE%\Documents\GitHub\eaglep3-reporting\EC\2017-10-15-refined-times.txt</v>
      </c>
      <c r="AI4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{"issue":{"subject":"","project_id":79,"tracker_id":40,"status_id":1,"priority_id":2,"assigned_to_id":338,"start_date":"2017-10-15","description":"","custom_fields":[{"id":1,"name":"Subdivision","value":"EC"},{"id":4,"name":"Milepost","value":"23.3297"},{"id":17,"name":"Train ID","value":"131-15"},{"id":16,"name":"Locomotive ID","value":"4016"},{"id":130,"name":"Impact","value":""},{"id":150,"name":"Time of Event (Mountain Time)","value":"08:06:14"},{"id":151,"name":"Denver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4016 --day 2017-10-15</v>
      </c>
      <c r="AN4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-15T06:22:44-0600',mode:absolute,to:'2017-10-15T09:06:14-0600'))&amp;_a=(columns:!('Message%20ID',Summary),filters:!(),index:'emp_*',interval:auto,query:(query_string:(analyze_wildcard:!t,query:'%22rtdc.l.rtdc.4016%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660</v>
      </c>
      <c r="B45" s="7">
        <v>4015</v>
      </c>
      <c r="C45" s="21" t="s">
        <v>194</v>
      </c>
      <c r="D45" s="21" t="s">
        <v>443</v>
      </c>
      <c r="E45" s="13">
        <v>43023.349490740744</v>
      </c>
      <c r="F45" s="13">
        <v>43023.35224537037</v>
      </c>
      <c r="G45" s="7">
        <v>76</v>
      </c>
      <c r="H45" s="21" t="s">
        <v>418</v>
      </c>
      <c r="I45" s="13">
        <v>43023.378252314818</v>
      </c>
      <c r="J45" s="7">
        <v>0</v>
      </c>
      <c r="K45" s="89" t="str">
        <f>IF(ISEVEN(B45),(B45-1)&amp;"/"&amp;B45,B45&amp;"/"&amp;(B45+1))</f>
        <v>4015/4016</v>
      </c>
      <c r="L45" s="185" t="str">
        <f>VLOOKUP(A45,'Trips&amp;Operators'!$C$1:$G$99911,5,FALSE)</f>
        <v>LAMAR NEKESHA</v>
      </c>
      <c r="M45" s="6">
        <f>I45-F45</f>
        <v>2.6006944448454306E-2</v>
      </c>
      <c r="N45" s="7">
        <f>24*60*SUM($M45:$M45)</f>
        <v>37.4500000057742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-15T07:23:16-0600',mode:absolute,to:'2017-10-15T10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23.2989</v>
      </c>
      <c r="Z45" s="204">
        <f>RIGHT(H45,LEN(H45)-4)/10000</f>
        <v>1.6299999999999999E-2</v>
      </c>
      <c r="AA45" s="204">
        <f>ABS(Z45-Y45)</f>
        <v>23.282599999999999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/stypes="app*4015*20171015*"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132-15 --locoid 4015 --swversion DE.1.0.9.0 --startMP 204:232989 --initTime 2017-10-15T08:23:16 --startdatetime 2017-10-15T08:27:14 --delay 76 --endMP 204:163 --enddatetime 2017-10-15T09:04:41 --enforcementcount 0 &gt;&gt;%USERPROFILE%\Documents\GitHub\eaglep3-reporting\EC\2017-10-15-refined-times.txt</v>
      </c>
      <c r="AI4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{"issue":{"subject":"","project_id":79,"tracker_id":40,"status_id":1,"priority_id":2,"assigned_to_id":338,"start_date":"2017-10-15","description":"","custom_fields":[{"id":1,"name":"Subdivision","value":"EC"},{"id":4,"name":"Milepost","value":"0.0163"},{"id":17,"name":"Train ID","value":"132-15"},{"id":16,"name":"Locomotive ID","value":"4015"},{"id":130,"name":"Impact","value":""},{"id":150,"name":"Time of Event (Mountain Time)","value":"09:04:41"},{"id":151,"name":"Denver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4015 --day 2017-10-15</v>
      </c>
      <c r="AN4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-15T07:23:16-0600',mode:absolute,to:'2017-10-15T10:04:41-0600'))&amp;_a=(columns:!('Message%20ID',Summary),filters:!(),index:'emp_*',interval:auto,query:(query_string:(analyze_wildcard:!t,query:'%22rtdc.l.rtdc.4015%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652</v>
      </c>
      <c r="B46" s="7">
        <v>4042</v>
      </c>
      <c r="C46" s="21" t="s">
        <v>194</v>
      </c>
      <c r="D46" s="21" t="s">
        <v>375</v>
      </c>
      <c r="E46" s="13">
        <v>43023.319965277777</v>
      </c>
      <c r="F46" s="13">
        <v>43023.323101851849</v>
      </c>
      <c r="G46" s="7">
        <v>72</v>
      </c>
      <c r="H46" s="21" t="s">
        <v>833</v>
      </c>
      <c r="I46" s="13">
        <v>43023.348587962966</v>
      </c>
      <c r="J46" s="7">
        <v>0</v>
      </c>
      <c r="K46" s="89" t="str">
        <f>IF(ISEVEN(B46),(B46-1)&amp;"/"&amp;B46,B46&amp;"/"&amp;(B46+1))</f>
        <v>4041/4042</v>
      </c>
      <c r="L46" s="185" t="str">
        <f>VLOOKUP(A46,'Trips&amp;Operators'!$C$1:$G$99911,5,FALSE)</f>
        <v>DAVIS WENDY</v>
      </c>
      <c r="M46" s="6">
        <f>I46-F46</f>
        <v>2.5486111117061228E-2</v>
      </c>
      <c r="N46" s="7">
        <f>24*60*SUM($M46:$M46)</f>
        <v>36.700000008568168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-15T06:40:45-0600',mode:absolute,to:'2017-10-15T09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4.6600000000000003E-2</v>
      </c>
      <c r="Z46" s="204">
        <f>RIGHT(H46,LEN(H46)-4)/10000</f>
        <v>23.328199999999999</v>
      </c>
      <c r="AA46" s="204">
        <f>ABS(Z46-Y46)</f>
        <v>23.281599999999997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/stypes="app*4042*20171015*"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133-15 --locoid 4042 --swversion DE.1.0.9.0 --startMP 204:466 --initTime 2017-10-15T07:40:45 --startdatetime 2017-10-15T07:45:16 --delay 72 --endMP 204:233282 --enddatetime 2017-10-15T08:21:58 --enforcementcount 0 &gt;&gt;%USERPROFILE%\Documents\GitHub\eaglep3-reporting\EC\2017-10-15-refined-times.txt</v>
      </c>
      <c r="AI4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{"issue":{"subject":"","project_id":79,"tracker_id":40,"status_id":1,"priority_id":2,"assigned_to_id":338,"start_date":"2017-10-15","description":"","custom_fields":[{"id":1,"name":"Subdivision","value":"EC"},{"id":4,"name":"Milepost","value":"23.3282"},{"id":17,"name":"Train ID","value":"133-15"},{"id":16,"name":"Locomotive ID","value":"4042"},{"id":130,"name":"Impact","value":""},{"id":150,"name":"Time of Event (Mountain Time)","value":"08:21:58"},{"id":151,"name":"Denver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4042 --day 2017-10-15</v>
      </c>
      <c r="AN4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-15T06:40:45-0600',mode:absolute,to:'2017-10-15T09:21:58-0600'))&amp;_a=(columns:!('Message%20ID',Summary),filters:!(),index:'emp_*',interval:auto,query:(query_string:(analyze_wildcard:!t,query:'%22rtdc.l.rtdc.4042%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572</v>
      </c>
      <c r="B47" s="7">
        <v>4041</v>
      </c>
      <c r="C47" s="21" t="s">
        <v>194</v>
      </c>
      <c r="D47" s="21" t="s">
        <v>531</v>
      </c>
      <c r="E47" s="13">
        <v>43023.356423611112</v>
      </c>
      <c r="F47" s="13">
        <v>43023.362673611111</v>
      </c>
      <c r="G47" s="7">
        <v>48</v>
      </c>
      <c r="H47" s="21" t="s">
        <v>358</v>
      </c>
      <c r="I47" s="13">
        <v>43023.390219907407</v>
      </c>
      <c r="J47" s="7">
        <v>0</v>
      </c>
      <c r="K47" s="89" t="str">
        <f>IF(ISEVEN(B47),(B47-1)&amp;"/"&amp;B47,B47&amp;"/"&amp;(B47+1))</f>
        <v>4041/4042</v>
      </c>
      <c r="L47" s="185" t="str">
        <f>VLOOKUP(A47,'Trips&amp;Operators'!$C$1:$G$99911,5,FALSE)</f>
        <v>DAVIS WENDY</v>
      </c>
      <c r="M47" s="6">
        <f>I47-F47</f>
        <v>2.7546296296350192E-2</v>
      </c>
      <c r="N47" s="7">
        <f>24*60*SUM($M47:$M47)</f>
        <v>39.666666666744277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-15T07:33:15-0600',mode:absolute,to:'2017-10-15T10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23.296900000000001</v>
      </c>
      <c r="Z47" s="204">
        <f>RIGHT(H47,LEN(H47)-4)/10000</f>
        <v>1.5599999999999999E-2</v>
      </c>
      <c r="AA47" s="204">
        <f>ABS(Z47-Y47)</f>
        <v>23.281300000000002</v>
      </c>
      <c r="AB47" s="54" t="str">
        <f>VLOOKUP(A47,Enforcements!$C$7:$K$11,8,0)</f>
        <v>Bulletin (2)</v>
      </c>
      <c r="AC47" s="51" t="str">
        <f>VLOOKUP(A47,Enforcements!$C$7:$E$11,3,0)</f>
        <v>GRADE CROSSING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/stypes="app*4041*20171015*"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134-15 --locoid 4041 --swversion DE.1.0.9.0 --startMP 204:232969 --initTime 2017-10-15T08:33:15 --startdatetime 2017-10-15T08:42:15 --delay 48 --endMP 204:156 --enddatetime 2017-10-15T09:21:55 --enforcementcount 0 &gt;&gt;%USERPROFILE%\Documents\GitHub\eaglep3-reporting\EC\2017-10-15-refined-times.txt</v>
      </c>
      <c r="AI4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ID","value":"134-15"},{"id":16,"name":"Locomotive ID","value":"4041"},{"id":130,"name":"Impact","value":""},{"id":150,"name":"Time of Event (Mountain Time)","value":"09:21:55"},{"id":151,"name":"Denver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4041 --day 2017-10-15</v>
      </c>
      <c r="AN4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-15T07:33:15-0600',mode:absolute,to:'2017-10-15T10:21:55-0600'))&amp;_a=(columns:!('Message%20ID',Summary),filters:!(),index:'emp_*',interval:auto,query:(query_string:(analyze_wildcard:!t,query:'%22rtdc.l.rtdc.4041%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654</v>
      </c>
      <c r="B48" s="7">
        <v>4014</v>
      </c>
      <c r="C48" s="21" t="s">
        <v>194</v>
      </c>
      <c r="D48" s="21" t="s">
        <v>363</v>
      </c>
      <c r="E48" s="13">
        <v>43023.328993055555</v>
      </c>
      <c r="F48" s="13">
        <v>43023.33353009259</v>
      </c>
      <c r="G48" s="7">
        <v>73</v>
      </c>
      <c r="H48" s="21" t="s">
        <v>398</v>
      </c>
      <c r="I48" s="13">
        <v>43023.359085648146</v>
      </c>
      <c r="J48" s="7">
        <v>0</v>
      </c>
      <c r="K48" s="89" t="str">
        <f>IF(ISEVEN(B48),(B48-1)&amp;"/"&amp;B48,B48&amp;"/"&amp;(B48+1))</f>
        <v>4013/4014</v>
      </c>
      <c r="L48" s="185" t="str">
        <f>VLOOKUP(A48,'Trips&amp;Operators'!$C$1:$G$99911,5,FALSE)</f>
        <v>HUFFSMITH MONTY</v>
      </c>
      <c r="M48" s="6">
        <f>I48-F48</f>
        <v>2.5555555555911269E-2</v>
      </c>
      <c r="N48" s="7">
        <f>24*60*SUM($M48:$M48)</f>
        <v>36.800000000512227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-15T06:53:45-0600',mode:absolute,to:'2017-10-15T09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4.5999999999999999E-2</v>
      </c>
      <c r="Z48" s="204">
        <f>RIGHT(H48,LEN(H48)-4)/10000</f>
        <v>23.330200000000001</v>
      </c>
      <c r="AA48" s="204">
        <f>ABS(Z48-Y48)</f>
        <v>23.284200000000002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/stypes="app*4014*20171015*"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135-15 --locoid 4014 --swversion DE.1.0.9.0 --startMP 204:460 --initTime 2017-10-15T07:53:45 --startdatetime 2017-10-15T08:00:17 --delay 73 --endMP 204:233302 --enddatetime 2017-10-15T08:37:05 --enforcementcount 0 &gt;&gt;%USERPROFILE%\Documents\GitHub\eaglep3-reporting\EC\2017-10-15-refined-times.txt</v>
      </c>
      <c r="AI4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{"issue":{"subject":"","project_id":79,"tracker_id":40,"status_id":1,"priority_id":2,"assigned_to_id":338,"start_date":"2017-10-15","description":"","custom_fields":[{"id":1,"name":"Subdivision","value":"EC"},{"id":4,"name":"Milepost","value":"23.3302"},{"id":17,"name":"Train ID","value":"135-15"},{"id":16,"name":"Locomotive ID","value":"4014"},{"id":130,"name":"Impact","value":""},{"id":150,"name":"Time of Event (Mountain Time)","value":"08:37:05"},{"id":151,"name":"Denver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4014 --day 2017-10-15</v>
      </c>
      <c r="AN4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-15T06:53:45-0600',mode:absolute,to:'2017-10-15T09:37:05-0600'))&amp;_a=(columns:!('Message%20ID',Summary),filters:!(),index:'emp_*',interval:auto,query:(query_string:(analyze_wildcard:!t,query:'%22rtdc.l.rtdc.4014%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666</v>
      </c>
      <c r="B49" s="7">
        <v>4013</v>
      </c>
      <c r="C49" s="21" t="s">
        <v>194</v>
      </c>
      <c r="D49" s="21" t="s">
        <v>446</v>
      </c>
      <c r="E49" s="13">
        <v>43023.370671296296</v>
      </c>
      <c r="F49" s="13">
        <v>43023.373101851852</v>
      </c>
      <c r="G49" s="7">
        <v>65</v>
      </c>
      <c r="H49" s="21" t="s">
        <v>367</v>
      </c>
      <c r="I49" s="13">
        <v>43023.399826388886</v>
      </c>
      <c r="J49" s="7">
        <v>0</v>
      </c>
      <c r="K49" s="89" t="str">
        <f>IF(ISEVEN(B49),(B49-1)&amp;"/"&amp;B49,B49&amp;"/"&amp;(B49+1))</f>
        <v>4013/4014</v>
      </c>
      <c r="L49" s="185" t="str">
        <f>VLOOKUP(A49,'Trips&amp;Operators'!$C$1:$G$99911,5,FALSE)</f>
        <v>HUFFSMITH MONTY</v>
      </c>
      <c r="M49" s="6">
        <f>I49-F49</f>
        <v>2.6724537034169771E-2</v>
      </c>
      <c r="N49" s="7">
        <f>24*60*SUM($M49:$M49)</f>
        <v>38.48333332920447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-15T07:53:46-0600',mode:absolute,to:'2017-10-15T10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23.2987</v>
      </c>
      <c r="Z49" s="204">
        <f>RIGHT(H49,LEN(H49)-4)/10000</f>
        <v>1.3899999999999999E-2</v>
      </c>
      <c r="AA49" s="204">
        <f>ABS(Z49-Y49)</f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/stypes="app*4013*20171015*"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136-15 --locoid 4013 --swversion DE.1.0.9.0 --startMP 204:232987 --initTime 2017-10-15T08:53:46 --startdatetime 2017-10-15T08:57:16 --delay 65 --endMP 204:139 --enddatetime 2017-10-15T09:35:45 --enforcementcount 0 &gt;&gt;%USERPROFILE%\Documents\GitHub\eaglep3-reporting\EC\2017-10-15-refined-times.txt</v>
      </c>
      <c r="AI4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{"issue":{"subject":"","project_id":79,"tracker_id":40,"status_id":1,"priority_id":2,"assigned_to_id":338,"start_date":"2017-10-15","description":"","custom_fields":[{"id":1,"name":"Subdivision","value":"EC"},{"id":4,"name":"Milepost","value":"0.0139"},{"id":17,"name":"Train ID","value":"136-15"},{"id":16,"name":"Locomotive ID","value":"4013"},{"id":130,"name":"Impact","value":""},{"id":150,"name":"Time of Event (Mountain Time)","value":"09:35:45"},{"id":151,"name":"Denver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4013 --day 2017-10-15</v>
      </c>
      <c r="AN4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-15T07:53:46-0600',mode:absolute,to:'2017-10-15T10:35:45-0600'))&amp;_a=(columns:!('Message%20ID',Summary),filters:!(),index:'emp_*',interval:auto,query:(query_string:(analyze_wildcard:!t,query:'%22rtdc.l.rtdc.4013%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659</v>
      </c>
      <c r="B50" s="7">
        <v>4058</v>
      </c>
      <c r="C50" s="21" t="s">
        <v>194</v>
      </c>
      <c r="D50" s="21" t="s">
        <v>420</v>
      </c>
      <c r="E50" s="13">
        <v>43023.339317129627</v>
      </c>
      <c r="F50" s="13">
        <v>43023.343912037039</v>
      </c>
      <c r="G50" s="7">
        <v>56</v>
      </c>
      <c r="H50" s="21" t="s">
        <v>831</v>
      </c>
      <c r="I50" s="13">
        <v>43023.367951388886</v>
      </c>
      <c r="J50" s="7">
        <v>0</v>
      </c>
      <c r="K50" s="89" t="str">
        <f>IF(ISEVEN(B50),(B50-1)&amp;"/"&amp;B50,B50&amp;"/"&amp;(B50+1))</f>
        <v>4057/4058</v>
      </c>
      <c r="L50" s="185" t="str">
        <f>VLOOKUP(A50,'Trips&amp;Operators'!$C$1:$G$99911,5,FALSE)</f>
        <v>GEBRETEKLE DAGNEW</v>
      </c>
      <c r="M50" s="6">
        <f>I50-F50</f>
        <v>2.4039351847022772E-2</v>
      </c>
      <c r="N50" s="7">
        <f>24*60*SUM($M50:$M50)</f>
        <v>34.616666659712791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-15T07:08:37-0600',mode:absolute,to:'2017-10-15T09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4.6399999999999997E-2</v>
      </c>
      <c r="Z50" s="204">
        <f>RIGHT(H50,LEN(H50)-4)/10000</f>
        <v>23.329499999999999</v>
      </c>
      <c r="AA50" s="204">
        <f>ABS(Z50-Y50)</f>
        <v>23.283100000000001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/stypes="app*4058*20171015*"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137-15 --locoid 4058 --swversion DE.1.0.9.0 --startMP 204:464 --initTime 2017-10-15T08:08:37 --startdatetime 2017-10-15T08:15:14 --delay 56 --endMP 204:233295 --enddatetime 2017-10-15T08:49:51 --enforcementcount 0 &gt;&gt;%USERPROFILE%\Documents\GitHub\eaglep3-reporting\EC\2017-10-15-refined-times.txt</v>
      </c>
      <c r="AI5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{"issue":{"subject":"","project_id":79,"tracker_id":40,"status_id":1,"priority_id":2,"assigned_to_id":338,"start_date":"2017-10-15","description":"","custom_fields":[{"id":1,"name":"Subdivision","value":"EC"},{"id":4,"name":"Milepost","value":"23.3295"},{"id":17,"name":"Train ID","value":"137-15"},{"id":16,"name":"Locomotive ID","value":"4058"},{"id":130,"name":"Impact","value":""},{"id":150,"name":"Time of Event (Mountain Time)","value":"08:49:51"},{"id":151,"name":"Denver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4058 --day 2017-10-15</v>
      </c>
      <c r="AN5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-15T07:08:37-0600',mode:absolute,to:'2017-10-15T09:49:51-0600'))&amp;_a=(columns:!('Message%20ID',Summary),filters:!(),index:'emp_*',interval:auto,query:(query_string:(analyze_wildcard:!t,query:'%22rtdc.l.rtdc.4058%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664</v>
      </c>
      <c r="B51" s="7">
        <v>4057</v>
      </c>
      <c r="C51" s="21" t="s">
        <v>194</v>
      </c>
      <c r="D51" s="21" t="s">
        <v>531</v>
      </c>
      <c r="E51" s="13">
        <v>43023.369305555556</v>
      </c>
      <c r="F51" s="13">
        <v>43023.38349537037</v>
      </c>
      <c r="G51" s="7">
        <v>51</v>
      </c>
      <c r="H51" s="21" t="s">
        <v>339</v>
      </c>
      <c r="I51" s="13">
        <v>43023.41</v>
      </c>
      <c r="J51" s="7">
        <v>0</v>
      </c>
      <c r="K51" s="89" t="str">
        <f>IF(ISEVEN(B51),(B51-1)&amp;"/"&amp;B51,B51&amp;"/"&amp;(B51+1))</f>
        <v>4057/4058</v>
      </c>
      <c r="L51" s="185" t="str">
        <f>VLOOKUP(A51,'Trips&amp;Operators'!$C$1:$G$99911,5,FALSE)</f>
        <v>GEBRETEKLE DAGNEW</v>
      </c>
      <c r="M51" s="6">
        <f>I51-F51</f>
        <v>2.6504629633564036E-2</v>
      </c>
      <c r="N51" s="7">
        <f>24*60*SUM($M51:$M51)</f>
        <v>38.166666672332212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-15T07:51:48-0600',mode:absolute,to:'2017-10-15T10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23.296900000000001</v>
      </c>
      <c r="Z51" s="204">
        <f>RIGHT(H51,LEN(H51)-4)/10000</f>
        <v>1.47E-2</v>
      </c>
      <c r="AA51" s="204">
        <f>ABS(Z51-Y51)</f>
        <v>23.2822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/stypes="app*4057*20171015*"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138-15 --locoid 4057 --swversion DE.1.0.9.0 --startMP 204:232969 --initTime 2017-10-15T08:51:48 --startdatetime 2017-10-15T09:12:14 --delay 51 --endMP 204:147 --enddatetime 2017-10-15T09:50:24 --enforcementcount 0 &gt;&gt;%USERPROFILE%\Documents\GitHub\eaglep3-reporting\EC\2017-10-15-refined-times.txt</v>
      </c>
      <c r="AI5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{"issue":{"subject":"","project_id":79,"tracker_id":40,"status_id":1,"priority_id":2,"assigned_to_id":338,"start_date":"2017-10-15","description":"","custom_fields":[{"id":1,"name":"Subdivision","value":"EC"},{"id":4,"name":"Milepost","value":"0.0147"},{"id":17,"name":"Train ID","value":"138-15"},{"id":16,"name":"Locomotive ID","value":"4057"},{"id":130,"name":"Impact","value":""},{"id":150,"name":"Time of Event (Mountain Time)","value":"09:50:24"},{"id":151,"name":"Denver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4057 --day 2017-10-15</v>
      </c>
      <c r="AN5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-15T07:51:48-0600',mode:absolute,to:'2017-10-15T10:50:24-0600'))&amp;_a=(columns:!('Message%20ID',Summary),filters:!(),index:'emp_*',interval:auto,query:(query_string:(analyze_wildcard:!t,query:'%22rtdc.l.rtdc.4057%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662</v>
      </c>
      <c r="B52" s="7">
        <v>4032</v>
      </c>
      <c r="C52" s="21" t="s">
        <v>194</v>
      </c>
      <c r="D52" s="21" t="s">
        <v>380</v>
      </c>
      <c r="E52" s="13">
        <v>43023.352326388886</v>
      </c>
      <c r="F52" s="13">
        <v>43023.354444444441</v>
      </c>
      <c r="G52" s="7">
        <v>50</v>
      </c>
      <c r="H52" s="21" t="s">
        <v>398</v>
      </c>
      <c r="I52" s="13">
        <v>43023.379930555559</v>
      </c>
      <c r="J52" s="7">
        <v>0</v>
      </c>
      <c r="K52" s="89" t="str">
        <f>IF(ISEVEN(B52),(B52-1)&amp;"/"&amp;B52,B52&amp;"/"&amp;(B52+1))</f>
        <v>4031/4032</v>
      </c>
      <c r="L52" s="185" t="str">
        <f>VLOOKUP(A52,'Trips&amp;Operators'!$C$1:$G$99911,5,FALSE)</f>
        <v>THOMPSON LESTER</v>
      </c>
      <c r="M52" s="6">
        <f>I52-F52</f>
        <v>2.5486111117061228E-2</v>
      </c>
      <c r="N52" s="7">
        <f>24*60*SUM($M52:$M52)</f>
        <v>36.700000008568168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-15T07:27:21-0600',mode:absolute,to:'2017-10-15T10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4.5699999999999998E-2</v>
      </c>
      <c r="Z52" s="204">
        <f>RIGHT(H52,LEN(H52)-4)/10000</f>
        <v>23.330200000000001</v>
      </c>
      <c r="AA52" s="204">
        <f>ABS(Z52-Y52)</f>
        <v>23.284500000000001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/stypes="app*4032*20171015*"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139-15 --locoid 4032 --swversion DE.1.0.9.0 --startMP 204:457 --initTime 2017-10-15T08:27:21 --startdatetime 2017-10-15T08:30:24 --delay 50 --endMP 204:233302 --enddatetime 2017-10-15T09:07:06 --enforcementcount 0 &gt;&gt;%USERPROFILE%\Documents\GitHub\eaglep3-reporting\EC\2017-10-15-refined-times.txt</v>
      </c>
      <c r="AI5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{"issue":{"subject":"","project_id":79,"tracker_id":40,"status_id":1,"priority_id":2,"assigned_to_id":338,"start_date":"2017-10-15","description":"","custom_fields":[{"id":1,"name":"Subdivision","value":"EC"},{"id":4,"name":"Milepost","value":"23.3302"},{"id":17,"name":"Train ID","value":"139-15"},{"id":16,"name":"Locomotive ID","value":"4032"},{"id":130,"name":"Impact","value":""},{"id":150,"name":"Time of Event (Mountain Time)","value":"09:07:06"},{"id":151,"name":"Denver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4032 --day 2017-10-15</v>
      </c>
      <c r="AN5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-15T07:27:21-0600',mode:absolute,to:'2017-10-15T10:07:06-0600'))&amp;_a=(columns:!('Message%20ID',Summary),filters:!(),index:'emp_*',interval:auto,query:(query_string:(analyze_wildcard:!t,query:'%22rtdc.l.rtdc.4032%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669</v>
      </c>
      <c r="B53" s="7">
        <v>4031</v>
      </c>
      <c r="C53" s="21" t="s">
        <v>194</v>
      </c>
      <c r="D53" s="21" t="s">
        <v>534</v>
      </c>
      <c r="E53" s="13">
        <v>43023.391111111108</v>
      </c>
      <c r="F53" s="13">
        <v>43023.394016203703</v>
      </c>
      <c r="G53" s="7">
        <v>47</v>
      </c>
      <c r="H53" s="21" t="s">
        <v>337</v>
      </c>
      <c r="I53" s="13">
        <v>43023.420358796298</v>
      </c>
      <c r="J53" s="7">
        <v>0</v>
      </c>
      <c r="K53" s="89" t="str">
        <f>IF(ISEVEN(B53),(B53-1)&amp;"/"&amp;B53,B53&amp;"/"&amp;(B53+1))</f>
        <v>4031/4032</v>
      </c>
      <c r="L53" s="185" t="str">
        <f>VLOOKUP(A53,'Trips&amp;Operators'!$C$1:$G$99911,5,FALSE)</f>
        <v>THOMPSON LESTER</v>
      </c>
      <c r="M53" s="6">
        <f>I53-F53</f>
        <v>2.6342592595028691E-2</v>
      </c>
      <c r="N53" s="7">
        <f>24*60*SUM($M53:$M53)</f>
        <v>37.933333336841315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-15T08:23:12-0600',mode:absolute,to:'2017-10-15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23.298100000000002</v>
      </c>
      <c r="Z53" s="204">
        <f>RIGHT(H53,LEN(H53)-4)/10000</f>
        <v>1.43E-2</v>
      </c>
      <c r="AA53" s="204">
        <f>ABS(Z53-Y53)</f>
        <v>23.283800000000003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/stypes="app*4031*20171015*"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140-15 --locoid 4031 --swversion DE.1.0.9.0 --startMP 204:232981 --initTime 2017-10-15T09:23:12 --startdatetime 2017-10-15T09:27:23 --delay 47 --endMP 204:143 --enddatetime 2017-10-15T10:05:19 --enforcementcount 0 &gt;&gt;%USERPROFILE%\Documents\GitHub\eaglep3-reporting\EC\2017-10-15-refined-times.txt</v>
      </c>
      <c r="AI5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{"issue":{"subject":"","project_id":79,"tracker_id":40,"status_id":1,"priority_id":2,"assigned_to_id":338,"start_date":"2017-10-15","description":"","custom_fields":[{"id":1,"name":"Subdivision","value":"EC"},{"id":4,"name":"Milepost","value":"0.0143"},{"id":17,"name":"Train ID","value":"140-15"},{"id":16,"name":"Locomotive ID","value":"4031"},{"id":130,"name":"Impact","value":""},{"id":150,"name":"Time of Event (Mountain Time)","value":"10:05:19"},{"id":151,"name":"Denver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4031 --day 2017-10-15</v>
      </c>
      <c r="AN5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-15T08:23:12-0600',mode:absolute,to:'2017-10-15T11:05:19-0600'))&amp;_a=(columns:!('Message%20ID',Summary),filters:!(),index:'emp_*',interval:auto,query:(query_string:(analyze_wildcard:!t,query:'%22rtdc.l.rtdc.4031%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663</v>
      </c>
      <c r="B54" s="7">
        <v>4004</v>
      </c>
      <c r="C54" s="21" t="s">
        <v>194</v>
      </c>
      <c r="D54" s="21" t="s">
        <v>354</v>
      </c>
      <c r="E54" s="13">
        <v>43023.360208333332</v>
      </c>
      <c r="F54" s="13">
        <v>43023.364756944444</v>
      </c>
      <c r="G54" s="7">
        <v>71</v>
      </c>
      <c r="H54" s="21" t="s">
        <v>834</v>
      </c>
      <c r="I54" s="13">
        <v>43023.390138888892</v>
      </c>
      <c r="J54" s="7">
        <v>0</v>
      </c>
      <c r="K54" s="89" t="str">
        <f>IF(ISEVEN(B54),(B54-1)&amp;"/"&amp;B54,B54&amp;"/"&amp;(B54+1))</f>
        <v>4003/4004</v>
      </c>
      <c r="L54" s="185" t="str">
        <f>VLOOKUP(A54,'Trips&amp;Operators'!$C$1:$G$99911,5,FALSE)</f>
        <v>WILLIAMS DONTE</v>
      </c>
      <c r="M54" s="6">
        <f>I54-F54</f>
        <v>2.5381944447872229E-2</v>
      </c>
      <c r="N54" s="7">
        <f>24*60*SUM($M54:$M54)</f>
        <v>36.55000000493601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-15T07:38:42-0600',mode:absolute,to:'2017-10-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4.58E-2</v>
      </c>
      <c r="Z54" s="204">
        <f>RIGHT(H54,LEN(H54)-4)/10000</f>
        <v>23.3278</v>
      </c>
      <c r="AA54" s="204">
        <f>ABS(Z54-Y54)</f>
        <v>23.282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/stypes="app*4004*20171015*"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141-15 --locoid 4004 --swversion DE.1.0.9.0 --startMP 204:458 --initTime 2017-10-15T08:38:42 --startdatetime 2017-10-15T08:45:15 --delay 71 --endMP 204:233278 --enddatetime 2017-10-15T09:21:48 --enforcementcount 0 &gt;&gt;%USERPROFILE%\Documents\GitHub\eaglep3-reporting\EC\2017-10-15-refined-times.txt</v>
      </c>
      <c r="AI5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{"issue":{"subject":"","project_id":79,"tracker_id":40,"status_id":1,"priority_id":2,"assigned_to_id":338,"start_date":"2017-10-15","description":"","custom_fields":[{"id":1,"name":"Subdivision","value":"EC"},{"id":4,"name":"Milepost","value":"23.3278"},{"id":17,"name":"Train ID","value":"141-15"},{"id":16,"name":"Locomotive ID","value":"4004"},{"id":130,"name":"Impact","value":""},{"id":150,"name":"Time of Event (Mountain Time)","value":"09:21:48"},{"id":151,"name":"Denver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4004 --day 2017-10-15</v>
      </c>
      <c r="AN5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-15T07:38:42-0600',mode:absolute,to:'2017-10-15T10:21:48-0600'))&amp;_a=(columns:!('Message%20ID',Summary),filters:!(),index:'emp_*',interval:auto,query:(query_string:(analyze_wildcard:!t,query:'%22rtdc.l.rtdc.4004%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672</v>
      </c>
      <c r="B55" s="7">
        <v>4003</v>
      </c>
      <c r="C55" s="21" t="s">
        <v>194</v>
      </c>
      <c r="D55" s="21" t="s">
        <v>835</v>
      </c>
      <c r="E55" s="13">
        <v>43023.399155092593</v>
      </c>
      <c r="F55" s="13">
        <v>43023.404363425929</v>
      </c>
      <c r="G55" s="7">
        <v>56</v>
      </c>
      <c r="H55" s="21" t="s">
        <v>418</v>
      </c>
      <c r="I55" s="13">
        <v>43023.432175925926</v>
      </c>
      <c r="J55" s="7">
        <v>0</v>
      </c>
      <c r="K55" s="89" t="str">
        <f>IF(ISEVEN(B55),(B55-1)&amp;"/"&amp;B55,B55&amp;"/"&amp;(B55+1))</f>
        <v>4003/4004</v>
      </c>
      <c r="L55" s="185" t="str">
        <f>VLOOKUP(A55,'Trips&amp;Operators'!$C$1:$G$99911,5,FALSE)</f>
        <v>WILLIAMS DONTE</v>
      </c>
      <c r="M55" s="6">
        <f>I55-F55</f>
        <v>2.7812499996798579E-2</v>
      </c>
      <c r="N55" s="7">
        <f>24*60*SUM($M55:$M55)</f>
        <v>40.049999995389953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-15T08:34:47-0600',mode:absolute,to:'2017-10-15T11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23.2944</v>
      </c>
      <c r="Z55" s="204">
        <f>RIGHT(H55,LEN(H55)-4)/10000</f>
        <v>1.6299999999999999E-2</v>
      </c>
      <c r="AA55" s="204">
        <f>ABS(Z55-Y55)</f>
        <v>23.278099999999998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/stypes="app*4003*20171015*"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142-15 --locoid 4003 --swversion DE.1.0.9.0 --startMP 204:232944 --initTime 2017-10-15T09:34:47 --startdatetime 2017-10-15T09:42:17 --delay 56 --endMP 204:163 --enddatetime 2017-10-15T10:22:20 --enforcementcount 0 &gt;&gt;%USERPROFILE%\Documents\GitHub\eaglep3-reporting\EC\2017-10-15-refined-times.txt</v>
      </c>
      <c r="AI5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{"issue":{"subject":"","project_id":79,"tracker_id":40,"status_id":1,"priority_id":2,"assigned_to_id":338,"start_date":"2017-10-15","description":"","custom_fields":[{"id":1,"name":"Subdivision","value":"EC"},{"id":4,"name":"Milepost","value":"0.0163"},{"id":17,"name":"Train ID","value":"142-15"},{"id":16,"name":"Locomotive ID","value":"4003"},{"id":130,"name":"Impact","value":""},{"id":150,"name":"Time of Event (Mountain Time)","value":"10:22:20"},{"id":151,"name":"Denver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4003 --day 2017-10-15</v>
      </c>
      <c r="AN5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-15T08:34:47-0600',mode:absolute,to:'2017-10-15T11:22:20-0600'))&amp;_a=(columns:!('Message%20ID',Summary),filters:!(),index:'emp_*',interval:auto,query:(query_string:(analyze_wildcard:!t,query:'%22rtdc.l.rtdc.4003%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665</v>
      </c>
      <c r="B56" s="7">
        <v>4036</v>
      </c>
      <c r="C56" s="21" t="s">
        <v>194</v>
      </c>
      <c r="D56" s="21" t="s">
        <v>334</v>
      </c>
      <c r="E56" s="13">
        <v>43023.37027777778</v>
      </c>
      <c r="F56" s="13">
        <v>43023.375208333331</v>
      </c>
      <c r="G56" s="7">
        <v>45</v>
      </c>
      <c r="H56" s="21" t="s">
        <v>836</v>
      </c>
      <c r="I56" s="13">
        <v>43023.400127314817</v>
      </c>
      <c r="J56" s="7">
        <v>0</v>
      </c>
      <c r="K56" s="89" t="str">
        <f>IF(ISEVEN(B56),(B56-1)&amp;"/"&amp;B56,B56&amp;"/"&amp;(B56+1))</f>
        <v>4035/4036</v>
      </c>
      <c r="L56" s="185" t="str">
        <f>VLOOKUP(A56,'Trips&amp;Operators'!$C$1:$G$99911,5,FALSE)</f>
        <v>MAELZER KURT</v>
      </c>
      <c r="M56" s="6">
        <f>I56-F56</f>
        <v>2.4918981485825498E-2</v>
      </c>
      <c r="N56" s="7">
        <f>24*60*SUM($M56:$M56)</f>
        <v>35.883333339588717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-15T07:53:12-0600',mode:absolute,to:'2017-10-15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4.4600000000000001E-2</v>
      </c>
      <c r="Z56" s="204">
        <f>RIGHT(H56,LEN(H56)-4)/10000</f>
        <v>23.330400000000001</v>
      </c>
      <c r="AA56" s="204">
        <f>ABS(Z56-Y56)</f>
        <v>23.285800000000002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/stypes="app*4036*20171015*"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143-15 --locoid 4036 --swversion DE.1.0.9.0 --startMP 204:446 --initTime 2017-10-15T08:53:12 --startdatetime 2017-10-15T09:00:18 --delay 45 --endMP 204:233304 --enddatetime 2017-10-15T09:36:11 --enforcementcount 0 &gt;&gt;%USERPROFILE%\Documents\GitHub\eaglep3-reporting\EC\2017-10-15-refined-times.txt</v>
      </c>
      <c r="AI5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{"issue":{"subject":"","project_id":79,"tracker_id":40,"status_id":1,"priority_id":2,"assigned_to_id":338,"start_date":"2017-10-15","description":"","custom_fields":[{"id":1,"name":"Subdivision","value":"EC"},{"id":4,"name":"Milepost","value":"23.3304"},{"id":17,"name":"Train ID","value":"143-15"},{"id":16,"name":"Locomotive ID","value":"4036"},{"id":130,"name":"Impact","value":""},{"id":150,"name":"Time of Event (Mountain Time)","value":"09:36:11"},{"id":151,"name":"Denver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4036 --day 2017-10-15</v>
      </c>
      <c r="AN5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-15T07:53:12-0600',mode:absolute,to:'2017-10-15T10:36:11-0600'))&amp;_a=(columns:!('Message%20ID',Summary),filters:!(),index:'emp_*',interval:auto,query:(query_string:(analyze_wildcard:!t,query:'%22rtdc.l.rtdc.4036%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674</v>
      </c>
      <c r="B57" s="7">
        <v>4035</v>
      </c>
      <c r="C57" s="21" t="s">
        <v>194</v>
      </c>
      <c r="D57" s="21" t="s">
        <v>421</v>
      </c>
      <c r="E57" s="13">
        <v>43023.405636574076</v>
      </c>
      <c r="F57" s="13">
        <v>43023.414756944447</v>
      </c>
      <c r="G57" s="7">
        <v>52</v>
      </c>
      <c r="H57" s="21" t="s">
        <v>481</v>
      </c>
      <c r="I57" s="13">
        <v>43023.44122685185</v>
      </c>
      <c r="J57" s="7">
        <v>0</v>
      </c>
      <c r="K57" s="89" t="str">
        <f>IF(ISEVEN(B57),(B57-1)&amp;"/"&amp;B57,B57&amp;"/"&amp;(B57+1))</f>
        <v>4035/4036</v>
      </c>
      <c r="L57" s="185" t="str">
        <f>VLOOKUP(A57,'Trips&amp;Operators'!$C$1:$G$99911,5,FALSE)</f>
        <v>MAELZER KURT</v>
      </c>
      <c r="M57" s="6">
        <f>I57-F57</f>
        <v>2.6469907403225079E-2</v>
      </c>
      <c r="N57" s="7">
        <f>24*60*SUM($M57:$M57)</f>
        <v>38.116666660644114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-15T08:44:07-0600',mode:absolute,to:'2017-10-15T11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23.299099999999999</v>
      </c>
      <c r="Z57" s="204">
        <f>RIGHT(H57,LEN(H57)-4)/10000</f>
        <v>1.38E-2</v>
      </c>
      <c r="AA57" s="204">
        <f>ABS(Z57-Y57)</f>
        <v>23.285299999999999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/stypes="app*4035*20171015*"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144-15 --locoid 4035 --swversion DE.1.0.9.0 --startMP 204:232991 --initTime 2017-10-15T09:44:07 --startdatetime 2017-10-15T09:57:15 --delay 52 --endMP 204:138 --enddatetime 2017-10-15T10:35:22 --enforcementcount 0 &gt;&gt;%USERPROFILE%\Documents\GitHub\eaglep3-reporting\EC\2017-10-15-refined-times.txt</v>
      </c>
      <c r="AI5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{"issue":{"subject":"","project_id":79,"tracker_id":40,"status_id":1,"priority_id":2,"assigned_to_id":338,"start_date":"2017-10-15","description":"","custom_fields":[{"id":1,"name":"Subdivision","value":"EC"},{"id":4,"name":"Milepost","value":"0.0138"},{"id":17,"name":"Train ID","value":"144-15"},{"id":16,"name":"Locomotive ID","value":"4035"},{"id":130,"name":"Impact","value":""},{"id":150,"name":"Time of Event (Mountain Time)","value":"10:35:22"},{"id":151,"name":"Denver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4035 --day 2017-10-15</v>
      </c>
      <c r="AN5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-15T08:44:07-0600',mode:absolute,to:'2017-10-15T11:35:22-0600'))&amp;_a=(columns:!('Message%20ID',Summary),filters:!(),index:'emp_*',interval:auto,query:(query_string:(analyze_wildcard:!t,query:'%22rtdc.l.rtdc.4035%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668</v>
      </c>
      <c r="B58" s="7">
        <v>4016</v>
      </c>
      <c r="C58" s="21" t="s">
        <v>194</v>
      </c>
      <c r="D58" s="21" t="s">
        <v>391</v>
      </c>
      <c r="E58" s="13">
        <v>43023.382986111108</v>
      </c>
      <c r="F58" s="13">
        <v>43023.38559027778</v>
      </c>
      <c r="G58" s="7">
        <v>61</v>
      </c>
      <c r="H58" s="21" t="s">
        <v>833</v>
      </c>
      <c r="I58" s="13">
        <v>43023.409490740742</v>
      </c>
      <c r="J58" s="7">
        <v>0</v>
      </c>
      <c r="K58" s="89" t="str">
        <f>IF(ISEVEN(B58),(B58-1)&amp;"/"&amp;B58,B58&amp;"/"&amp;(B58+1))</f>
        <v>4015/4016</v>
      </c>
      <c r="L58" s="185" t="str">
        <f>VLOOKUP(A58,'Trips&amp;Operators'!$C$1:$G$99911,5,FALSE)</f>
        <v>LAMAR NEKESHA</v>
      </c>
      <c r="M58" s="6">
        <f>I58-F58</f>
        <v>2.3900462962046731E-2</v>
      </c>
      <c r="N58" s="7">
        <f>24*60*SUM($M58:$M58)</f>
        <v>34.416666665347293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-15T08:11:30-0600',mode:absolute,to:'2017-10-15T10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4.6699999999999998E-2</v>
      </c>
      <c r="Z58" s="204">
        <f>RIGHT(H58,LEN(H58)-4)/10000</f>
        <v>23.328199999999999</v>
      </c>
      <c r="AA58" s="204">
        <f>ABS(Z58-Y58)</f>
        <v>23.281499999999998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/stypes="app*4016*20171015*"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145-15 --locoid 4016 --swversion DE.1.0.9.0 --startMP 204:467 --initTime 2017-10-15T09:11:30 --startdatetime 2017-10-15T09:15:15 --delay 61 --endMP 204:233282 --enddatetime 2017-10-15T09:49:40 --enforcementcount 0 &gt;&gt;%USERPROFILE%\Documents\GitHub\eaglep3-reporting\EC\2017-10-15-refined-times.txt</v>
      </c>
      <c r="AI5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{"issue":{"subject":"","project_id":79,"tracker_id":40,"status_id":1,"priority_id":2,"assigned_to_id":338,"start_date":"2017-10-15","description":"","custom_fields":[{"id":1,"name":"Subdivision","value":"EC"},{"id":4,"name":"Milepost","value":"23.3282"},{"id":17,"name":"Train ID","value":"145-15"},{"id":16,"name":"Locomotive ID","value":"4016"},{"id":130,"name":"Impact","value":""},{"id":150,"name":"Time of Event (Mountain Time)","value":"09:49:40"},{"id":151,"name":"Denver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4016 --day 2017-10-15</v>
      </c>
      <c r="AN5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-15T08:11:30-0600',mode:absolute,to:'2017-10-15T10:49:40-0600'))&amp;_a=(columns:!('Message%20ID',Summary),filters:!(),index:'emp_*',interval:auto,query:(query_string:(analyze_wildcard:!t,query:'%22rtdc.l.rtdc.4016%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681</v>
      </c>
      <c r="B59" s="7">
        <v>4015</v>
      </c>
      <c r="C59" s="21" t="s">
        <v>194</v>
      </c>
      <c r="D59" s="21" t="s">
        <v>531</v>
      </c>
      <c r="E59" s="13">
        <v>43023.423750000002</v>
      </c>
      <c r="F59" s="13">
        <v>43023.425266203703</v>
      </c>
      <c r="G59" s="7">
        <v>54</v>
      </c>
      <c r="H59" s="21" t="s">
        <v>837</v>
      </c>
      <c r="I59" s="13">
        <v>43023.451458333337</v>
      </c>
      <c r="J59" s="7">
        <v>0</v>
      </c>
      <c r="K59" s="89" t="str">
        <f>IF(ISEVEN(B59),(B59-1)&amp;"/"&amp;B59,B59&amp;"/"&amp;(B59+1))</f>
        <v>4015/4016</v>
      </c>
      <c r="L59" s="185" t="str">
        <f>VLOOKUP(A59,'Trips&amp;Operators'!$C$1:$G$99911,5,FALSE)</f>
        <v>LAMAR NEKESHA</v>
      </c>
      <c r="M59" s="6">
        <f>I59-F59</f>
        <v>2.6192129633272998E-2</v>
      </c>
      <c r="N59" s="7">
        <f>24*60*SUM($M59:$M59)</f>
        <v>37.716666671913117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-15T09:10:12-0600',mode:absolute,to:'2017-10-15T11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23.296900000000001</v>
      </c>
      <c r="Z59" s="204">
        <f>RIGHT(H59,LEN(H59)-4)/10000</f>
        <v>1.67E-2</v>
      </c>
      <c r="AA59" s="204">
        <f>ABS(Z59-Y59)</f>
        <v>23.280200000000001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/stypes="app*4015*20171015*"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146-15 --locoid 4015 --swversion DE.1.0.9.0 --startMP 204:232969 --initTime 2017-10-15T10:10:12 --startdatetime 2017-10-15T10:12:23 --delay 54 --endMP 204:167 --enddatetime 2017-10-15T10:50:06 --enforcementcount 0 &gt;&gt;%USERPROFILE%\Documents\GitHub\eaglep3-reporting\EC\2017-10-15-refined-times.txt</v>
      </c>
      <c r="AI5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{"issue":{"subject":"","project_id":79,"tracker_id":40,"status_id":1,"priority_id":2,"assigned_to_id":338,"start_date":"2017-10-15","description":"","custom_fields":[{"id":1,"name":"Subdivision","value":"EC"},{"id":4,"name":"Milepost","value":"0.0167"},{"id":17,"name":"Train ID","value":"146-15"},{"id":16,"name":"Locomotive ID","value":"4015"},{"id":130,"name":"Impact","value":""},{"id":150,"name":"Time of Event (Mountain Time)","value":"10:50:06"},{"id":151,"name":"Denver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4015 --day 2017-10-15</v>
      </c>
      <c r="AN5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-15T09:10:12-0600',mode:absolute,to:'2017-10-15T11:50:06-0600'))&amp;_a=(columns:!('Message%20ID',Summary),filters:!(),index:'emp_*',interval:auto,query:(query_string:(analyze_wildcard:!t,query:'%22rtdc.l.rtdc.4015%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573</v>
      </c>
      <c r="B60" s="7">
        <v>4042</v>
      </c>
      <c r="C60" s="21" t="s">
        <v>194</v>
      </c>
      <c r="D60" s="21" t="s">
        <v>561</v>
      </c>
      <c r="E60" s="13">
        <v>43023.391956018517</v>
      </c>
      <c r="F60" s="13">
        <v>43023.396006944444</v>
      </c>
      <c r="G60" s="7">
        <v>58</v>
      </c>
      <c r="H60" s="21" t="s">
        <v>832</v>
      </c>
      <c r="I60" s="13">
        <v>43023.422488425924</v>
      </c>
      <c r="J60" s="7">
        <v>0</v>
      </c>
      <c r="K60" s="89" t="str">
        <f>IF(ISEVEN(B60),(B60-1)&amp;"/"&amp;B60,B60&amp;"/"&amp;(B60+1))</f>
        <v>4041/4042</v>
      </c>
      <c r="L60" s="185" t="str">
        <f>VLOOKUP(A60,'Trips&amp;Operators'!$C$1:$G$99911,5,FALSE)</f>
        <v>DAVIS WENDY</v>
      </c>
      <c r="M60" s="6">
        <f>I60-F60</f>
        <v>2.6481481480004732E-2</v>
      </c>
      <c r="N60" s="7">
        <f>24*60*SUM($M60:$M60)</f>
        <v>38.133333331206813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-15T08:24:25-0600',mode:absolute,to:'2017-10-15T11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4.3099999999999999E-2</v>
      </c>
      <c r="Z60" s="204">
        <f>RIGHT(H60,LEN(H60)-4)/10000</f>
        <v>23.329699999999999</v>
      </c>
      <c r="AA60" s="204">
        <f>ABS(Z60-Y60)</f>
        <v>23.2866</v>
      </c>
      <c r="AB60" s="54" t="str">
        <f>VLOOKUP(A60,Enforcements!$C$7:$K$11,8,0)</f>
        <v>Track device (7)</v>
      </c>
      <c r="AC60" s="51" t="str">
        <f>VLOOKUP(A60,Enforcements!$C$7:$E$11,3,0)</f>
        <v>SWITCH UNKNOWN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/stypes="app*4042*20171015*"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147-15 --locoid 4042 --swversion DE.1.0.9.0 --startMP 204:431 --initTime 2017-10-15T09:24:25 --startdatetime 2017-10-15T09:30:15 --delay 58 --endMP 204:233297 --enddatetime 2017-10-15T10:08:23 --enforcementcount 0 &gt;&gt;%USERPROFILE%\Documents\GitHub\eaglep3-reporting\EC\2017-10-15-refined-times.txt</v>
      </c>
      <c r="AI6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{"issue":{"subject":"","project_id":79,"tracker_id":40,"status_id":1,"priority_id":2,"assigned_to_id":338,"start_date":"2017-10-15","description":"","custom_fields":[{"id":1,"name":"Subdivision","value":"EC"},{"id":4,"name":"Milepost","value":"23.3297"},{"id":17,"name":"Train ID","value":"147-15"},{"id":16,"name":"Locomotive ID","value":"4042"},{"id":130,"name":"Impact","value":""},{"id":150,"name":"Time of Event (Mountain Time)","value":"10:08:23"},{"id":151,"name":"Denver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4042 --day 2017-10-15</v>
      </c>
      <c r="AN6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-15T08:24:25-0600',mode:absolute,to:'2017-10-15T11:08:23-0600'))&amp;_a=(columns:!('Message%20ID',Summary),filters:!(),index:'emp_*',interval:auto,query:(query_string:(analyze_wildcard:!t,query:'%22rtdc.l.rtdc.4042%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682</v>
      </c>
      <c r="B61" s="7">
        <v>4041</v>
      </c>
      <c r="C61" s="21" t="s">
        <v>194</v>
      </c>
      <c r="D61" s="21" t="s">
        <v>438</v>
      </c>
      <c r="E61" s="13">
        <v>43023.429745370369</v>
      </c>
      <c r="F61" s="13">
        <v>43023.435555555552</v>
      </c>
      <c r="G61" s="7">
        <v>55</v>
      </c>
      <c r="H61" s="21" t="s">
        <v>358</v>
      </c>
      <c r="I61" s="13">
        <v>43023.462060185186</v>
      </c>
      <c r="J61" s="7">
        <v>0</v>
      </c>
      <c r="K61" s="89" t="str">
        <f>IF(ISEVEN(B61),(B61-1)&amp;"/"&amp;B61,B61&amp;"/"&amp;(B61+1))</f>
        <v>4041/4042</v>
      </c>
      <c r="L61" s="185" t="str">
        <f>VLOOKUP(A61,'Trips&amp;Operators'!$C$1:$G$99911,5,FALSE)</f>
        <v>DAVIS WENDY</v>
      </c>
      <c r="M61" s="6">
        <f>I61-F61</f>
        <v>2.6504629633564036E-2</v>
      </c>
      <c r="N61" s="7">
        <f>24*60*SUM($M61:$M61)</f>
        <v>38.166666672332212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-15T09:18:50-0600',mode:absolute,to:'2017-10-15T12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23.3002</v>
      </c>
      <c r="Z61" s="204">
        <f>RIGHT(H61,LEN(H61)-4)/10000</f>
        <v>1.5599999999999999E-2</v>
      </c>
      <c r="AA61" s="204">
        <f>ABS(Z61-Y61)</f>
        <v>23.284600000000001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/stypes="app*4041*20171015*"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148-15 --locoid 4041 --swversion DE.1.0.9.0 --startMP 204:233002 --initTime 2017-10-15T10:18:50 --startdatetime 2017-10-15T10:27:12 --delay 55 --endMP 204:156 --enddatetime 2017-10-15T11:05:22 --enforcementcount 0 &gt;&gt;%USERPROFILE%\Documents\GitHub\eaglep3-reporting\EC\2017-10-15-refined-times.txt</v>
      </c>
      <c r="AI6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ID","value":"148-15"},{"id":16,"name":"Locomotive ID","value":"4041"},{"id":130,"name":"Impact","value":""},{"id":150,"name":"Time of Event (Mountain Time)","value":"11:05:22"},{"id":151,"name":"Denver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4041 --day 2017-10-15</v>
      </c>
      <c r="AN6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-15T09:18:50-0600',mode:absolute,to:'2017-10-15T12:05:22-0600'))&amp;_a=(columns:!('Message%20ID',Summary),filters:!(),index:'emp_*',interval:auto,query:(query_string:(analyze_wildcard:!t,query:'%22rtdc.l.rtdc.4041%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673</v>
      </c>
      <c r="B62" s="7">
        <v>4014</v>
      </c>
      <c r="C62" s="21" t="s">
        <v>194</v>
      </c>
      <c r="D62" s="21" t="s">
        <v>486</v>
      </c>
      <c r="E62" s="13">
        <v>43023.401770833334</v>
      </c>
      <c r="F62" s="13">
        <v>43023.406423611108</v>
      </c>
      <c r="G62" s="7">
        <v>67</v>
      </c>
      <c r="H62" s="21" t="s">
        <v>537</v>
      </c>
      <c r="I62" s="13">
        <v>43023.430381944447</v>
      </c>
      <c r="J62" s="7">
        <v>0</v>
      </c>
      <c r="K62" s="89" t="str">
        <f>IF(ISEVEN(B62),(B62-1)&amp;"/"&amp;B62,B62&amp;"/"&amp;(B62+1))</f>
        <v>4013/4014</v>
      </c>
      <c r="L62" s="185" t="str">
        <f>VLOOKUP(A62,'Trips&amp;Operators'!$C$1:$G$99911,5,FALSE)</f>
        <v>LALONDE GREGORY</v>
      </c>
      <c r="M62" s="6">
        <f>I62-F62</f>
        <v>2.3958333338669036E-2</v>
      </c>
      <c r="N62" s="7">
        <f>24*60*SUM($M62:$M62)</f>
        <v>34.500000007683411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-15T08:38:33-0600',mode:absolute,to:'2017-10-15T11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4.4400000000000002E-2</v>
      </c>
      <c r="Z62" s="204">
        <f>RIGHT(H62,LEN(H62)-4)/10000</f>
        <v>23.333200000000001</v>
      </c>
      <c r="AA62" s="204">
        <f>ABS(Z62-Y62)</f>
        <v>23.288800000000002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/stypes="app*4014*20171015*"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149-15 --locoid 4014 --swversion DE.1.0.9.0 --startMP 204:444 --initTime 2017-10-15T09:38:33 --startdatetime 2017-10-15T09:45:15 --delay 67 --endMP 204:233332 --enddatetime 2017-10-15T10:19:45 --enforcementcount 0 &gt;&gt;%USERPROFILE%\Documents\GitHub\eaglep3-reporting\EC\2017-10-15-refined-times.txt</v>
      </c>
      <c r="AI6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{"issue":{"subject":"","project_id":79,"tracker_id":40,"status_id":1,"priority_id":2,"assigned_to_id":338,"start_date":"2017-10-15","description":"","custom_fields":[{"id":1,"name":"Subdivision","value":"EC"},{"id":4,"name":"Milepost","value":"23.3332"},{"id":17,"name":"Train ID","value":"149-15"},{"id":16,"name":"Locomotive ID","value":"4014"},{"id":130,"name":"Impact","value":""},{"id":150,"name":"Time of Event (Mountain Time)","value":"10:19:45"},{"id":151,"name":"Denver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4014 --day 2017-10-15</v>
      </c>
      <c r="AN6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-15T08:38:33-0600',mode:absolute,to:'2017-10-15T11:19:45-0600'))&amp;_a=(columns:!('Message%20ID',Summary),filters:!(),index:'emp_*',interval:auto,query:(query_string:(analyze_wildcard:!t,query:'%22rtdc.l.rtdc.4014%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683</v>
      </c>
      <c r="B63" s="7">
        <v>4013</v>
      </c>
      <c r="C63" s="21" t="s">
        <v>194</v>
      </c>
      <c r="D63" s="21" t="s">
        <v>548</v>
      </c>
      <c r="E63" s="13">
        <v>43023.432256944441</v>
      </c>
      <c r="F63" s="13">
        <v>43023.445983796293</v>
      </c>
      <c r="G63" s="7">
        <v>86</v>
      </c>
      <c r="H63" s="21" t="s">
        <v>547</v>
      </c>
      <c r="I63" s="13">
        <v>43023.472256944442</v>
      </c>
      <c r="J63" s="7">
        <v>0</v>
      </c>
      <c r="K63" s="89" t="str">
        <f>IF(ISEVEN(B63),(B63-1)&amp;"/"&amp;B63,B63&amp;"/"&amp;(B63+1))</f>
        <v>4013/4014</v>
      </c>
      <c r="L63" s="185" t="str">
        <f>VLOOKUP(A63,'Trips&amp;Operators'!$C$1:$G$99911,5,FALSE)</f>
        <v>LALONDE GREGORY</v>
      </c>
      <c r="M63" s="6">
        <f>I63-F63</f>
        <v>2.6273148148902692E-2</v>
      </c>
      <c r="N63" s="7">
        <f>24*60*SUM($M63:$M63)</f>
        <v>37.833333334419876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-15T09:22:27-0600',mode:absolute,to:'2017-10-15T12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23.301500000000001</v>
      </c>
      <c r="Z63" s="204">
        <f>RIGHT(H63,LEN(H63)-4)/10000</f>
        <v>1.41E-2</v>
      </c>
      <c r="AA63" s="204">
        <f>ABS(Z63-Y63)</f>
        <v>23.287400000000002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/stypes="app*4013*20171015*"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150-15 --locoid 4013 --swversion DE.1.0.9.0 --startMP 204:233015 --initTime 2017-10-15T10:22:27 --startdatetime 2017-10-15T10:42:13 --delay 86 --endMP 204:141 --enddatetime 2017-10-15T11:20:03 --enforcementcount 0 &gt;&gt;%USERPROFILE%\Documents\GitHub\eaglep3-reporting\EC\2017-10-15-refined-times.txt</v>
      </c>
      <c r="AI6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{"issue":{"subject":"","project_id":79,"tracker_id":40,"status_id":1,"priority_id":2,"assigned_to_id":338,"start_date":"2017-10-15","description":"","custom_fields":[{"id":1,"name":"Subdivision","value":"EC"},{"id":4,"name":"Milepost","value":"0.0141"},{"id":17,"name":"Train ID","value":"150-15"},{"id":16,"name":"Locomotive ID","value":"4013"},{"id":130,"name":"Impact","value":""},{"id":150,"name":"Time of Event (Mountain Time)","value":"11:20:03"},{"id":151,"name":"Denver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4013 --day 2017-10-15</v>
      </c>
      <c r="AN6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-15T09:22:27-0600',mode:absolute,to:'2017-10-15T12:20:03-0600'))&amp;_a=(columns:!('Message%20ID',Summary),filters:!(),index:'emp_*',interval:auto,query:(query_string:(analyze_wildcard:!t,query:'%22rtdc.l.rtdc.4013%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675</v>
      </c>
      <c r="B64" s="7">
        <v>4058</v>
      </c>
      <c r="C64" s="21" t="s">
        <v>194</v>
      </c>
      <c r="D64" s="21" t="s">
        <v>380</v>
      </c>
      <c r="E64" s="13">
        <v>43023.412372685183</v>
      </c>
      <c r="F64" s="13">
        <v>43023.416805555556</v>
      </c>
      <c r="G64" s="7">
        <v>78</v>
      </c>
      <c r="H64" s="21" t="s">
        <v>442</v>
      </c>
      <c r="I64" s="13">
        <v>43023.441365740742</v>
      </c>
      <c r="J64" s="7">
        <v>0</v>
      </c>
      <c r="K64" s="89" t="str">
        <f>IF(ISEVEN(B64),(B64-1)&amp;"/"&amp;B64,B64&amp;"/"&amp;(B64+1))</f>
        <v>4057/4058</v>
      </c>
      <c r="L64" s="185" t="str">
        <f>VLOOKUP(A64,'Trips&amp;Operators'!$C$1:$G$99911,5,FALSE)</f>
        <v>GEBRETEKLE DAGNEW</v>
      </c>
      <c r="M64" s="6">
        <f>I64-F64</f>
        <v>2.4560185185691807E-2</v>
      </c>
      <c r="N64" s="7">
        <f>24*60*SUM($M64:$M64)</f>
        <v>35.366666667396203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-15T08:53:49-0600',mode:absolute,to:'2017-10-15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4.5699999999999998E-2</v>
      </c>
      <c r="Z64" s="204">
        <f>RIGHT(H64,LEN(H64)-4)/10000</f>
        <v>23.331</v>
      </c>
      <c r="AA64" s="204">
        <f>ABS(Z64-Y64)</f>
        <v>23.285299999999999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/stypes="app*4058*20171015*"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151-15 --locoid 4058 --swversion DE.1.0.9.0 --startMP 204:457 --initTime 2017-10-15T09:53:49 --startdatetime 2017-10-15T10:00:12 --delay 78 --endMP 204:233310 --enddatetime 2017-10-15T10:35:34 --enforcementcount 0 &gt;&gt;%USERPROFILE%\Documents\GitHub\eaglep3-reporting\EC\2017-10-15-refined-times.txt</v>
      </c>
      <c r="AI6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{"issue":{"subject":"","project_id":79,"tracker_id":40,"status_id":1,"priority_id":2,"assigned_to_id":338,"start_date":"2017-10-15","description":"","custom_fields":[{"id":1,"name":"Subdivision","value":"EC"},{"id":4,"name":"Milepost","value":"23.331"},{"id":17,"name":"Train ID","value":"151-15"},{"id":16,"name":"Locomotive ID","value":"4058"},{"id":130,"name":"Impact","value":""},{"id":150,"name":"Time of Event (Mountain Time)","value":"10:35:34"},{"id":151,"name":"Denver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4058 --day 2017-10-15</v>
      </c>
      <c r="AN6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-15T08:53:49-0600',mode:absolute,to:'2017-10-15T11:35:34-0600'))&amp;_a=(columns:!('Message%20ID',Summary),filters:!(),index:'emp_*',interval:auto,query:(query_string:(analyze_wildcard:!t,query:'%22rtdc.l.rtdc.4058%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685</v>
      </c>
      <c r="B65" s="7">
        <v>4057</v>
      </c>
      <c r="C65" s="21" t="s">
        <v>194</v>
      </c>
      <c r="D65" s="21" t="s">
        <v>838</v>
      </c>
      <c r="E65" s="13">
        <v>43023.443043981482</v>
      </c>
      <c r="F65" s="13">
        <v>43023.456712962965</v>
      </c>
      <c r="G65" s="7">
        <v>53</v>
      </c>
      <c r="H65" s="21" t="s">
        <v>355</v>
      </c>
      <c r="I65" s="13">
        <v>43023.482939814814</v>
      </c>
      <c r="J65" s="7">
        <v>0</v>
      </c>
      <c r="K65" s="89" t="str">
        <f>IF(ISEVEN(B65),(B65-1)&amp;"/"&amp;B65,B65&amp;"/"&amp;(B65+1))</f>
        <v>4057/4058</v>
      </c>
      <c r="L65" s="185" t="str">
        <f>VLOOKUP(A65,'Trips&amp;Operators'!$C$1:$G$99911,5,FALSE)</f>
        <v>GEBRETEKLE DAGNEW</v>
      </c>
      <c r="M65" s="6">
        <f>I65-F65</f>
        <v>2.622685184906004E-2</v>
      </c>
      <c r="N65" s="7">
        <f>24*60*SUM($M65:$M65)</f>
        <v>37.766666662646458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-15T09:37:59-0600',mode:absolute,to:'2017-10-15T12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23.3004</v>
      </c>
      <c r="Z65" s="204">
        <f>RIGHT(H65,LEN(H65)-4)/10000</f>
        <v>1.52E-2</v>
      </c>
      <c r="AA65" s="204">
        <f>ABS(Z65-Y65)</f>
        <v>23.2852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/stypes="app*4057*20171015*"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152-15 --locoid 4057 --swversion DE.1.0.9.0 --startMP 204:233004 --initTime 2017-10-15T10:37:59 --startdatetime 2017-10-15T10:57:40 --delay 53 --endMP 204:152 --enddatetime 2017-10-15T11:35:26 --enforcementcount 0 &gt;&gt;%USERPROFILE%\Documents\GitHub\eaglep3-reporting\EC\2017-10-15-refined-times.txt</v>
      </c>
      <c r="AI6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{"issue":{"subject":"","project_id":79,"tracker_id":40,"status_id":1,"priority_id":2,"assigned_to_id":338,"start_date":"2017-10-15","description":"","custom_fields":[{"id":1,"name":"Subdivision","value":"EC"},{"id":4,"name":"Milepost","value":"0.0152"},{"id":17,"name":"Train ID","value":"152-15"},{"id":16,"name":"Locomotive ID","value":"4057"},{"id":130,"name":"Impact","value":""},{"id":150,"name":"Time of Event (Mountain Time)","value":"11:35:26"},{"id":151,"name":"Denver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4057 --day 2017-10-15</v>
      </c>
      <c r="AN6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-15T09:37:59-0600',mode:absolute,to:'2017-10-15T12:35:26-0600'))&amp;_a=(columns:!('Message%20ID',Summary),filters:!(),index:'emp_*',interval:auto,query:(query_string:(analyze_wildcard:!t,query:'%22rtdc.l.rtdc.4057%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677</v>
      </c>
      <c r="B66" s="7">
        <v>4032</v>
      </c>
      <c r="C66" s="21" t="s">
        <v>194</v>
      </c>
      <c r="D66" s="21" t="s">
        <v>354</v>
      </c>
      <c r="E66" s="13">
        <v>43023.422268518516</v>
      </c>
      <c r="F66" s="13">
        <v>43023.427303240744</v>
      </c>
      <c r="G66" s="7">
        <v>96</v>
      </c>
      <c r="H66" s="21" t="s">
        <v>839</v>
      </c>
      <c r="I66" s="13">
        <v>43023.452314814815</v>
      </c>
      <c r="J66" s="7">
        <v>0</v>
      </c>
      <c r="K66" s="89" t="str">
        <f>IF(ISEVEN(B66),(B66-1)&amp;"/"&amp;B66,B66&amp;"/"&amp;(B66+1))</f>
        <v>4031/4032</v>
      </c>
      <c r="L66" s="185" t="str">
        <f>VLOOKUP(A66,'Trips&amp;Operators'!$C$1:$G$99911,5,FALSE)</f>
        <v>BADERTSCHER DIANE</v>
      </c>
      <c r="M66" s="6">
        <f>I66-F66</f>
        <v>2.5011574070958886E-2</v>
      </c>
      <c r="N66" s="7">
        <f>24*60*SUM($M66:$M66)</f>
        <v>36.016666662180796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-15T09:08:04-0600',mode:absolute,to:'2017-10-15T11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4.58E-2</v>
      </c>
      <c r="Z66" s="204">
        <f>RIGHT(H66,LEN(H66)-4)/10000</f>
        <v>23.334099999999999</v>
      </c>
      <c r="AA66" s="204">
        <f>ABS(Z66-Y66)</f>
        <v>23.2883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/stypes="app*4032*20171015*"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153-15 --locoid 4032 --swversion DE.1.0.9.0 --startMP 204:458 --initTime 2017-10-15T10:08:04 --startdatetime 2017-10-15T10:15:19 --delay 96 --endMP 204:233341 --enddatetime 2017-10-15T10:51:20 --enforcementcount 0 &gt;&gt;%USERPROFILE%\Documents\GitHub\eaglep3-reporting\EC\2017-10-15-refined-times.txt</v>
      </c>
      <c r="AI6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{"issue":{"subject":"","project_id":79,"tracker_id":40,"status_id":1,"priority_id":2,"assigned_to_id":338,"start_date":"2017-10-15","description":"","custom_fields":[{"id":1,"name":"Subdivision","value":"EC"},{"id":4,"name":"Milepost","value":"23.3341"},{"id":17,"name":"Train ID","value":"153-15"},{"id":16,"name":"Locomotive ID","value":"4032"},{"id":130,"name":"Impact","value":""},{"id":150,"name":"Time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4032 --day 2017-10-15</v>
      </c>
      <c r="AN6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-15T09:08:04-0600',mode:absolute,to:'2017-10-15T11:51:20-0600'))&amp;_a=(columns:!('Message%20ID',Summary),filters:!(),index:'emp_*',interval:auto,query:(query_string:(analyze_wildcard:!t,query:'%22rtdc.l.rtdc.4032%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698</v>
      </c>
      <c r="B67" s="7">
        <v>4031</v>
      </c>
      <c r="C67" s="21" t="s">
        <v>194</v>
      </c>
      <c r="D67" s="21" t="s">
        <v>533</v>
      </c>
      <c r="E67" s="13">
        <v>43023.461226851854</v>
      </c>
      <c r="F67" s="13">
        <v>43023.467002314814</v>
      </c>
      <c r="G67" s="7">
        <v>107</v>
      </c>
      <c r="H67" s="21" t="s">
        <v>339</v>
      </c>
      <c r="I67" s="13">
        <v>43023.494513888887</v>
      </c>
      <c r="J67" s="7">
        <v>0</v>
      </c>
      <c r="K67" s="89" t="str">
        <f>IF(ISEVEN(B67),(B67-1)&amp;"/"&amp;B67,B67&amp;"/"&amp;(B67+1))</f>
        <v>4031/4032</v>
      </c>
      <c r="L67" s="185" t="str">
        <f>VLOOKUP(A67,'Trips&amp;Operators'!$C$1:$G$99911,5,FALSE)</f>
        <v>BADERTSCHER DIANE</v>
      </c>
      <c r="M67" s="6">
        <f>I67-F67</f>
        <v>2.7511574073287193E-2</v>
      </c>
      <c r="N67" s="7">
        <f>24*60*SUM($M67:$M67)</f>
        <v>39.616666665533558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-15T10:04:10-0600',mode:absolute,to:'2017-10-15T12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23.2988</v>
      </c>
      <c r="Z67" s="204">
        <f>RIGHT(H67,LEN(H67)-4)/10000</f>
        <v>1.47E-2</v>
      </c>
      <c r="AA67" s="204">
        <f>ABS(Z67-Y67)</f>
        <v>23.284099999999999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/stypes="app*4031*20171015*"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154-15 --locoid 4031 --swversion DE.1.0.9.0 --startMP 204:232988 --initTime 2017-10-15T11:04:10 --startdatetime 2017-10-15T11:12:29 --delay 107 --endMP 204:147 --enddatetime 2017-10-15T11:52:06 --enforcementcount 0 &gt;&gt;%USERPROFILE%\Documents\GitHub\eaglep3-reporting\EC\2017-10-15-refined-times.txt</v>
      </c>
      <c r="AI6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{"issue":{"subject":"","project_id":79,"tracker_id":40,"status_id":1,"priority_id":2,"assigned_to_id":338,"start_date":"2017-10-15","description":"","custom_fields":[{"id":1,"name":"Subdivision","value":"EC"},{"id":4,"name":"Milepost","value":"0.0147"},{"id":17,"name":"Train ID","value":"154-15"},{"id":16,"name":"Locomotive ID","value":"4031"},{"id":130,"name":"Impact","value":""},{"id":150,"name":"Time of Event (Mountain Time)","value":"11:52:06"},{"id":151,"name":"Denver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4031 --day 2017-10-15</v>
      </c>
      <c r="AN6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-15T10:04:10-0600',mode:absolute,to:'2017-10-15T12:52:06-0600'))&amp;_a=(columns:!('Message%20ID',Summary),filters:!(),index:'emp_*',interval:auto,query:(query_string:(analyze_wildcard:!t,query:'%22rtdc.l.rtdc.4031%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684</v>
      </c>
      <c r="B68" s="7">
        <v>4004</v>
      </c>
      <c r="C68" s="21" t="s">
        <v>194</v>
      </c>
      <c r="D68" s="21" t="s">
        <v>441</v>
      </c>
      <c r="E68" s="13">
        <v>43023.433831018519</v>
      </c>
      <c r="F68" s="13">
        <v>43023.437835648147</v>
      </c>
      <c r="G68" s="7">
        <v>49</v>
      </c>
      <c r="H68" s="21" t="s">
        <v>530</v>
      </c>
      <c r="I68" s="13">
        <v>43023.463877314818</v>
      </c>
      <c r="J68" s="7">
        <v>0</v>
      </c>
      <c r="K68" s="89" t="str">
        <f>IF(ISEVEN(B68),(B68-1)&amp;"/"&amp;B68,B68&amp;"/"&amp;(B68+1))</f>
        <v>4003/4004</v>
      </c>
      <c r="L68" s="185" t="str">
        <f>VLOOKUP(A68,'Trips&amp;Operators'!$C$1:$G$99911,5,FALSE)</f>
        <v>WILLIAMS DONTE</v>
      </c>
      <c r="M68" s="6">
        <f>I68-F68</f>
        <v>2.6041666671517305E-2</v>
      </c>
      <c r="N68" s="7">
        <f>24*60*SUM($M68:$M68)</f>
        <v>37.500000006984919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-15T09:24:43-0600',mode:absolute,to:'2017-10-15T12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4.6199999999999998E-2</v>
      </c>
      <c r="Z68" s="204">
        <f>RIGHT(H68,LEN(H68)-4)/10000</f>
        <v>23.331700000000001</v>
      </c>
      <c r="AA68" s="204">
        <f>ABS(Z68-Y68)</f>
        <v>23.285500000000003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/stypes="app*4004*20171015*"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155-15 --locoid 4004 --swversion DE.1.0.9.0 --startMP 204:462 --initTime 2017-10-15T10:24:43 --startdatetime 2017-10-15T10:30:29 --delay 49 --endMP 204:233317 --enddatetime 2017-10-15T11:07:59 --enforcementcount 0 &gt;&gt;%USERPROFILE%\Documents\GitHub\eaglep3-reporting\EC\2017-10-15-refined-times.txt</v>
      </c>
      <c r="AI6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{"issue":{"subject":"","project_id":79,"tracker_id":40,"status_id":1,"priority_id":2,"assigned_to_id":338,"start_date":"2017-10-15","description":"","custom_fields":[{"id":1,"name":"Subdivision","value":"EC"},{"id":4,"name":"Milepost","value":"23.3317"},{"id":17,"name":"Train ID","value":"155-15"},{"id":16,"name":"Locomotive ID","value":"4004"},{"id":130,"name":"Impact","value":""},{"id":150,"name":"Time of Event (Mountain Time)","value":"11:07:59"},{"id":151,"name":"Denver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4004 --day 2017-10-15</v>
      </c>
      <c r="AN6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-15T09:24:43-0600',mode:absolute,to:'2017-10-15T12:07:59-0600'))&amp;_a=(columns:!('Message%20ID',Summary),filters:!(),index:'emp_*',interval:auto,query:(query_string:(analyze_wildcard:!t,query:'%22rtdc.l.rtdc.4004%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701</v>
      </c>
      <c r="B69" s="7">
        <v>4003</v>
      </c>
      <c r="C69" s="21" t="s">
        <v>194</v>
      </c>
      <c r="D69" s="21" t="s">
        <v>840</v>
      </c>
      <c r="E69" s="13">
        <v>43023.472187500003</v>
      </c>
      <c r="F69" s="13">
        <v>43023.477349537039</v>
      </c>
      <c r="G69" s="7">
        <v>80</v>
      </c>
      <c r="H69" s="21" t="s">
        <v>546</v>
      </c>
      <c r="I69" s="13">
        <v>43023.50440972222</v>
      </c>
      <c r="J69" s="7">
        <v>0</v>
      </c>
      <c r="K69" s="89" t="str">
        <f>IF(ISEVEN(B69),(B69-1)&amp;"/"&amp;B69,B69&amp;"/"&amp;(B69+1))</f>
        <v>4003/4004</v>
      </c>
      <c r="L69" s="185" t="str">
        <f>VLOOKUP(A69,'Trips&amp;Operators'!$C$1:$G$99911,5,FALSE)</f>
        <v>WILLIAMS DONTE</v>
      </c>
      <c r="M69" s="6">
        <f>I69-F69</f>
        <v>2.7060185180744156E-2</v>
      </c>
      <c r="N69" s="7">
        <f>24*60*SUM($M69:$M69)</f>
        <v>38.966666660271585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-15T10:19:57-0600',mode:absolute,to:'2017-10-15T13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23.298300000000001</v>
      </c>
      <c r="Z69" s="204">
        <f>RIGHT(H69,LEN(H69)-4)/10000</f>
        <v>1.83E-2</v>
      </c>
      <c r="AA69" s="204">
        <f>ABS(Z69-Y69)</f>
        <v>23.28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/stypes="app*4003*20171015*"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156-15 --locoid 4003 --swversion DE.1.0.9.0 --startMP 204:232983 --initTime 2017-10-15T11:19:57 --startdatetime 2017-10-15T11:27:23 --delay 80 --endMP 204:183 --enddatetime 2017-10-15T12:06:21 --enforcementcount 0 &gt;&gt;%USERPROFILE%\Documents\GitHub\eaglep3-reporting\EC\2017-10-15-refined-times.txt</v>
      </c>
      <c r="AI69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{"issue":{"subject":"","project_id":79,"tracker_id":40,"status_id":1,"priority_id":2,"assigned_to_id":338,"start_date":"2017-10-15","description":"","custom_fields":[{"id":1,"name":"Subdivision","value":"EC"},{"id":4,"name":"Milepost","value":"0.0183"},{"id":17,"name":"Train ID","value":"156-15"},{"id":16,"name":"Locomotive ID","value":"4003"},{"id":130,"name":"Impact","value":""},{"id":150,"name":"Time of Event (Mountain Time)","value":"12:06:21"},{"id":151,"name":"Denver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4003 --day 2017-10-15</v>
      </c>
      <c r="AN69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-15T10:19:57-0600',mode:absolute,to:'2017-10-15T13:06:21-0600'))&amp;_a=(columns:!('Message%20ID',Summary),filters:!(),index:'emp_*',interval:auto,query:(query_string:(analyze_wildcard:!t,query:'%22rtdc.l.rtdc.4003%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575</v>
      </c>
      <c r="B70" s="7">
        <v>4036</v>
      </c>
      <c r="C70" s="21" t="s">
        <v>194</v>
      </c>
      <c r="D70" s="21" t="s">
        <v>376</v>
      </c>
      <c r="E70" s="13">
        <v>43023.443298611113</v>
      </c>
      <c r="F70" s="13">
        <v>43023.448159722226</v>
      </c>
      <c r="G70" s="7">
        <v>84</v>
      </c>
      <c r="H70" s="21" t="s">
        <v>841</v>
      </c>
      <c r="I70" s="13">
        <v>43023.473043981481</v>
      </c>
      <c r="J70" s="7">
        <v>0</v>
      </c>
      <c r="K70" s="89" t="str">
        <f>IF(ISEVEN(B70),(B70-1)&amp;"/"&amp;B70,B70&amp;"/"&amp;(B70+1))</f>
        <v>4035/4036</v>
      </c>
      <c r="L70" s="185" t="str">
        <f>VLOOKUP(A70,'Trips&amp;Operators'!$C$1:$G$99911,5,FALSE)</f>
        <v>STEWART MICHAEL</v>
      </c>
      <c r="M70" s="6">
        <f>I70-F70</f>
        <v>2.488425925548654E-2</v>
      </c>
      <c r="N70" s="7">
        <f>24*60*SUM($M70:$M70)</f>
        <v>35.833333327900618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-15T09:38:21-0600',mode:absolute,to:'2017-10-15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4.4699999999999997E-2</v>
      </c>
      <c r="Z70" s="204">
        <f>RIGHT(H70,LEN(H70)-4)/10000</f>
        <v>23.327000000000002</v>
      </c>
      <c r="AA70" s="204">
        <f>ABS(Z70-Y70)</f>
        <v>23.282300000000003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/stypes="app*4036*20171015*"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157-15 --locoid 4036 --swversion DE.1.0.9.0 --startMP 204:447 --initTime 2017-10-15T10:38:21 --startdatetime 2017-10-15T10:45:21 --delay 84 --endMP 204:233270 --enddatetime 2017-10-15T11:21:11 --enforcementcount 0 &gt;&gt;%USERPROFILE%\Documents\GitHub\eaglep3-reporting\EC\2017-10-15-refined-times.txt</v>
      </c>
      <c r="AI70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{"issue":{"subject":"","project_id":79,"tracker_id":40,"status_id":1,"priority_id":2,"assigned_to_id":338,"start_date":"2017-10-15","description":"","custom_fields":[{"id":1,"name":"Subdivision","value":"EC"},{"id":4,"name":"Milepost","value":"23.327"},{"id":17,"name":"Train ID","value":"157-15"},{"id":16,"name":"Locomotive ID","value":"4036"},{"id":130,"name":"Impact","value":""},{"id":150,"name":"Time of Event (Mountain Time)","value":"11:21:11"},{"id":151,"name":"Denver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4036 --day 2017-10-15</v>
      </c>
      <c r="AN70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-15T09:38:21-0600',mode:absolute,to:'2017-10-15T12:21:11-0600'))&amp;_a=(columns:!('Message%20ID',Summary),filters:!(),index:'emp_*',interval:auto,query:(query_string:(analyze_wildcard:!t,query:'%22rtdc.l.rtdc.4036%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4035</v>
      </c>
      <c r="C71" s="21" t="s">
        <v>194</v>
      </c>
      <c r="D71" s="21" t="s">
        <v>842</v>
      </c>
      <c r="E71" s="13">
        <v>43023.482719907406</v>
      </c>
      <c r="F71" s="13">
        <v>43023.48778935185</v>
      </c>
      <c r="G71" s="7">
        <v>85</v>
      </c>
      <c r="H71" s="21" t="s">
        <v>358</v>
      </c>
      <c r="I71" s="13">
        <v>43023.514930555553</v>
      </c>
      <c r="J71" s="7">
        <v>0</v>
      </c>
      <c r="K71" s="89" t="str">
        <f>IF(ISEVEN(B71),(B71-1)&amp;"/"&amp;B71,B71&amp;"/"&amp;(B71+1))</f>
        <v>4035/4036</v>
      </c>
      <c r="L71" s="185" t="str">
        <f>VLOOKUP(A71,'Trips&amp;Operators'!$C$1:$G$99911,5,FALSE)</f>
        <v>STEWART MICHAEL</v>
      </c>
      <c r="M71" s="6">
        <f>I71-F71</f>
        <v>2.7141203703649808E-2</v>
      </c>
      <c r="N71" s="7">
        <f>24*60*SUM($M71:$M71)</f>
        <v>39.083333333255723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-15T10:35:07-0600',mode:absolute,to:'2017-10-15T13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23.294799999999999</v>
      </c>
      <c r="Z71" s="204">
        <f>RIGHT(H71,LEN(H71)-4)/10000</f>
        <v>1.5599999999999999E-2</v>
      </c>
      <c r="AA71" s="204">
        <f>ABS(Z71-Y71)</f>
        <v>23.279199999999999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/stypes="app*4035*20171015*"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158-15 --locoid 4035 --swversion DE.1.0.9.0 --startMP 204:232948 --initTime 2017-10-15T11:35:07 --startdatetime 2017-10-15T11:42:25 --delay 85 --endMP 204:156 --enddatetime 2017-10-15T12:21:30 --enforcementcount 0 &gt;&gt;%USERPROFILE%\Documents\GitHub\eaglep3-reporting\EC\2017-10-15-refined-times.txt</v>
      </c>
      <c r="AI71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ID","value":"158-15"},{"id":16,"name":"Locomotive ID","value":"4035"},{"id":130,"name":"Impact","value":""},{"id":150,"name":"Time of Event (Mountain Time)","value":"12:21:30"},{"id":151,"name":"Denver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4035 --day 2017-10-15</v>
      </c>
      <c r="AN71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-15T10:35:07-0600',mode:absolute,to:'2017-10-15T13:21:30-0600'))&amp;_a=(columns:!('Message%20ID',Summary),filters:!(),index:'emp_*',interval:auto,query:(query_string:(analyze_wildcard:!t,query:'%22rtdc.l.rtdc.4035%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693</v>
      </c>
      <c r="B72" s="7">
        <v>4016</v>
      </c>
      <c r="C72" s="21" t="s">
        <v>194</v>
      </c>
      <c r="D72" s="21" t="s">
        <v>363</v>
      </c>
      <c r="E72" s="13">
        <v>43023.453622685185</v>
      </c>
      <c r="F72" s="13">
        <v>43023.458611111113</v>
      </c>
      <c r="G72" s="7">
        <v>50</v>
      </c>
      <c r="H72" s="21" t="s">
        <v>390</v>
      </c>
      <c r="I72" s="13">
        <v>43023.483101851853</v>
      </c>
      <c r="J72" s="7">
        <v>0</v>
      </c>
      <c r="K72" s="89" t="str">
        <f>IF(ISEVEN(B72),(B72-1)&amp;"/"&amp;B72,B72&amp;"/"&amp;(B72+1))</f>
        <v>4015/4016</v>
      </c>
      <c r="L72" s="185" t="str">
        <f>VLOOKUP(A72,'Trips&amp;Operators'!$C$1:$G$99911,5,FALSE)</f>
        <v>LAMAR NEKESHA</v>
      </c>
      <c r="M72" s="6">
        <f>I72-F72</f>
        <v>2.4490740739565808E-2</v>
      </c>
      <c r="N72" s="7">
        <f>24*60*SUM($M72:$M72)</f>
        <v>35.266666664974764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-15T09:53:13-0600',mode:absolute,to:'2017-10-15T12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4.5999999999999999E-2</v>
      </c>
      <c r="Z72" s="204">
        <f>RIGHT(H72,LEN(H72)-4)/10000</f>
        <v>23.3291</v>
      </c>
      <c r="AA72" s="204">
        <f>ABS(Z72-Y72)</f>
        <v>23.283100000000001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/stypes="app*4016*20171015*"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159-15 --locoid 4016 --swversion DE.1.0.9.0 --startMP 204:460 --initTime 2017-10-15T10:53:13 --startdatetime 2017-10-15T11:00:24 --delay 50 --endMP 204:233291 --enddatetime 2017-10-15T11:35:40 --enforcementcount 0 &gt;&gt;%USERPROFILE%\Documents\GitHub\eaglep3-reporting\EC\2017-10-15-refined-times.txt</v>
      </c>
      <c r="AI72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{"issue":{"subject":"","project_id":79,"tracker_id":40,"status_id":1,"priority_id":2,"assigned_to_id":338,"start_date":"2017-10-15","description":"","custom_fields":[{"id":1,"name":"Subdivision","value":"EC"},{"id":4,"name":"Milepost","value":"23.3291"},{"id":17,"name":"Train ID","value":"159-15"},{"id":16,"name":"Locomotive ID","value":"4016"},{"id":130,"name":"Impact","value":""},{"id":150,"name":"Time of Event (Mountain Time)","value":"11:35:40"},{"id":151,"name":"Denver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4016 --day 2017-10-15</v>
      </c>
      <c r="AN72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-15T09:53:13-0600',mode:absolute,to:'2017-10-15T12:35:40-0600'))&amp;_a=(columns:!('Message%20ID',Summary),filters:!(),index:'emp_*',interval:auto,query:(query_string:(analyze_wildcard:!t,query:'%22rtdc.l.rtdc.4016%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710</v>
      </c>
      <c r="B73" s="7">
        <v>4015</v>
      </c>
      <c r="C73" s="21" t="s">
        <v>194</v>
      </c>
      <c r="D73" s="21" t="s">
        <v>543</v>
      </c>
      <c r="E73" s="13">
        <v>43023.495775462965</v>
      </c>
      <c r="F73" s="13">
        <v>43023.498067129629</v>
      </c>
      <c r="G73" s="7">
        <v>60</v>
      </c>
      <c r="H73" s="21" t="s">
        <v>399</v>
      </c>
      <c r="I73" s="13">
        <v>43023.523888888885</v>
      </c>
      <c r="J73" s="7">
        <v>0</v>
      </c>
      <c r="K73" s="89" t="str">
        <f>IF(ISEVEN(B73),(B73-1)&amp;"/"&amp;B73,B73&amp;"/"&amp;(B73+1))</f>
        <v>4015/4016</v>
      </c>
      <c r="L73" s="185" t="str">
        <f>VLOOKUP(A73,'Trips&amp;Operators'!$C$1:$G$99911,5,FALSE)</f>
        <v>LAMAR NEKESHA</v>
      </c>
      <c r="M73" s="6">
        <f>I73-F73</f>
        <v>2.5821759256359655E-2</v>
      </c>
      <c r="N73" s="7">
        <f>24*60*SUM($M73:$M73)</f>
        <v>37.183333329157904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-15T10:53:55-0600',mode:absolute,to:'2017-10-15T13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23.297000000000001</v>
      </c>
      <c r="Z73" s="204">
        <f>RIGHT(H73,LEN(H73)-4)/10000</f>
        <v>1.6E-2</v>
      </c>
      <c r="AA73" s="204">
        <f>ABS(Z73-Y73)</f>
        <v>23.281000000000002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/stypes="app*4015*20171015*"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160-15 --locoid 4015 --swversion DE.1.0.9.0 --startMP 204:232970 --initTime 2017-10-15T11:53:55 --startdatetime 2017-10-15T11:57:13 --delay 60 --endMP 204:160 --enddatetime 2017-10-15T12:34:24 --enforcementcount 0 &gt;&gt;%USERPROFILE%\Documents\GitHub\eaglep3-reporting\EC\2017-10-15-refined-times.txt</v>
      </c>
      <c r="AI73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{"issue":{"subject":"","project_id":79,"tracker_id":40,"status_id":1,"priority_id":2,"assigned_to_id":338,"start_date":"2017-10-15","description":"","custom_fields":[{"id":1,"name":"Subdivision","value":"EC"},{"id":4,"name":"Milepost","value":"0.016"},{"id":17,"name":"Train ID","value":"160-15"},{"id":16,"name":"Locomotive ID","value":"4015"},{"id":130,"name":"Impact","value":""},{"id":150,"name":"Time of Event (Mountain Time)","value":"12:34:24"},{"id":151,"name":"Denver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4015 --day 2017-10-15</v>
      </c>
      <c r="AN73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-15T10:53:55-0600',mode:absolute,to:'2017-10-15T13:34:24-0600'))&amp;_a=(columns:!('Message%20ID',Summary),filters:!(),index:'emp_*',interval:auto,query:(query_string:(analyze_wildcard:!t,query:'%22rtdc.l.rtdc.4015%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700</v>
      </c>
      <c r="B74" s="7">
        <v>4042</v>
      </c>
      <c r="C74" s="21" t="s">
        <v>194</v>
      </c>
      <c r="D74" s="21" t="s">
        <v>338</v>
      </c>
      <c r="E74" s="13">
        <v>43023.466319444444</v>
      </c>
      <c r="F74" s="13">
        <v>43023.469143518516</v>
      </c>
      <c r="G74" s="7">
        <v>80</v>
      </c>
      <c r="H74" s="21" t="s">
        <v>371</v>
      </c>
      <c r="I74" s="13">
        <v>43023.494444444441</v>
      </c>
      <c r="J74" s="7">
        <v>0</v>
      </c>
      <c r="K74" s="89" t="str">
        <f>IF(ISEVEN(B74),(B74-1)&amp;"/"&amp;B74,B74&amp;"/"&amp;(B74+1))</f>
        <v>4041/4042</v>
      </c>
      <c r="L74" s="185" t="str">
        <f>VLOOKUP(A74,'Trips&amp;Operators'!$C$1:$G$99911,5,FALSE)</f>
        <v>DAVIS MICHAEL</v>
      </c>
      <c r="M74" s="6">
        <f>I74-F74</f>
        <v>2.5300925924966577E-2</v>
      </c>
      <c r="N74" s="7">
        <f>24*60*SUM($M74:$M74)</f>
        <v>36.433333331951872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-15T10:11:30-0600',mode:absolute,to:'2017-10-15T12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4.53E-2</v>
      </c>
      <c r="Z74" s="204">
        <f>RIGHT(H74,LEN(H74)-4)/10000</f>
        <v>23.331199999999999</v>
      </c>
      <c r="AA74" s="204">
        <f>ABS(Z74-Y74)</f>
        <v>23.285899999999998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/stypes="app*4042*20171015*" /stext=" 17:.+((SYSTEM_STATE.+slice.+state.+changed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161-15 --locoid 4042 --swversion DE.1.0.9.0 --startMP 204:453 --initTime 2017-10-15T11:11:30 --startdatetime 2017-10-15T11:15:34 --delay 80 --endMP 204:233312 --enddatetime 2017-10-15T11:52:00 --enforcementcount 0 &gt;&gt;%USERPROFILE%\Documents\GitHub\eaglep3-reporting\EC\2017-10-15-refined-times.txt</v>
      </c>
      <c r="AI74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{"issue":{"subject":"","project_id":79,"tracker_id":40,"status_id":1,"priority_id":2,"assigned_to_id":338,"start_date":"2017-10-15","description":"","custom_fields":[{"id":1,"name":"Subdivision","value":"EC"},{"id":4,"name":"Milepost","value":"23.3312"},{"id":17,"name":"Train ID","value":"161-15"},{"id":16,"name":"Locomotive ID","value":"4042"},{"id":130,"name":"Impact","value":""},{"id":150,"name":"Time of Event (Mountain Time)","value":"11:52:00"},{"id":151,"name":"Denver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4042 --day 2017-10-15</v>
      </c>
      <c r="AN74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-15T10:11:30-0600',mode:absolute,to:'2017-10-15T12:52:00-0600'))&amp;_a=(columns:!('Message%20ID',Summary),filters:!(),index:'emp_*',interval:auto,query:(query_string:(analyze_wildcard:!t,query:'%22rtdc.l.rtdc.4042%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713</v>
      </c>
      <c r="B75" s="7">
        <v>4041</v>
      </c>
      <c r="C75" s="21" t="s">
        <v>194</v>
      </c>
      <c r="D75" s="21" t="s">
        <v>843</v>
      </c>
      <c r="E75" s="13">
        <v>43023.505949074075</v>
      </c>
      <c r="F75" s="13">
        <v>43023.508750000001</v>
      </c>
      <c r="G75" s="7">
        <v>95</v>
      </c>
      <c r="H75" s="21" t="s">
        <v>399</v>
      </c>
      <c r="I75" s="13">
        <v>43023.536643518521</v>
      </c>
      <c r="J75" s="7">
        <v>0</v>
      </c>
      <c r="K75" s="89" t="str">
        <f>IF(ISEVEN(B75),(B75-1)&amp;"/"&amp;B75,B75&amp;"/"&amp;(B75+1))</f>
        <v>4041/4042</v>
      </c>
      <c r="L75" s="185" t="str">
        <f>VLOOKUP(A75,'Trips&amp;Operators'!$C$1:$G$99911,5,FALSE)</f>
        <v>DAVIS MICHAEL</v>
      </c>
      <c r="M75" s="6">
        <f>I75-F75</f>
        <v>2.789351851970423E-2</v>
      </c>
      <c r="N75" s="7">
        <f>24*60*SUM($M75:$M75)</f>
        <v>40.166666668374091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-15T11:08:34-0600',mode:absolute,to:'2017-10-15T13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23.302800000000001</v>
      </c>
      <c r="Z75" s="204">
        <f>RIGHT(H75,LEN(H75)-4)/10000</f>
        <v>1.6E-2</v>
      </c>
      <c r="AA75" s="204">
        <f>ABS(Z75-Y75)</f>
        <v>23.286800000000003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/stypes="app*4041*20171015*"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162-15 --locoid 4041 --swversion DE.1.0.9.0 --startMP 204:233028 --initTime 2017-10-15T12:08:34 --startdatetime 2017-10-15T12:12:36 --delay 95 --endMP 204:160 --enddatetime 2017-10-15T12:52:46 --enforcementcount 0 &gt;&gt;%USERPROFILE%\Documents\GitHub\eaglep3-reporting\EC\2017-10-15-refined-times.txt</v>
      </c>
      <c r="AI75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{"issue":{"subject":"","project_id":79,"tracker_id":40,"status_id":1,"priority_id":2,"assigned_to_id":338,"start_date":"2017-10-15","description":"","custom_fields":[{"id":1,"name":"Subdivision","value":"EC"},{"id":4,"name":"Milepost","value":"0.016"},{"id":17,"name":"Train ID","value":"162-15"},{"id":16,"name":"Locomotive ID","value":"4041"},{"id":130,"name":"Impact","value":""},{"id":150,"name":"Time of Event (Mountain Time)","value":"12:52:46"},{"id":151,"name":"Denver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4041 --day 2017-10-15</v>
      </c>
      <c r="AN75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-15T11:08:34-0600',mode:absolute,to:'2017-10-15T13:52:46-0600'))&amp;_a=(columns:!('Message%20ID',Summary),filters:!(),index:'emp_*',interval:auto,query:(query_string:(analyze_wildcard:!t,query:'%22rtdc.l.rtdc.4041%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706</v>
      </c>
      <c r="B76" s="7">
        <v>4014</v>
      </c>
      <c r="C76" s="21" t="s">
        <v>194</v>
      </c>
      <c r="D76" s="21" t="s">
        <v>372</v>
      </c>
      <c r="E76" s="13">
        <v>43023.474861111114</v>
      </c>
      <c r="F76" s="13">
        <v>43023.47934027778</v>
      </c>
      <c r="G76" s="7">
        <v>198</v>
      </c>
      <c r="H76" s="21" t="s">
        <v>844</v>
      </c>
      <c r="I76" s="13">
        <v>43023.504618055558</v>
      </c>
      <c r="J76" s="7">
        <v>0</v>
      </c>
      <c r="K76" s="89" t="str">
        <f>IF(ISEVEN(B76),(B76-1)&amp;"/"&amp;B76,B76&amp;"/"&amp;(B76+1))</f>
        <v>4013/4014</v>
      </c>
      <c r="L76" s="185" t="str">
        <f>VLOOKUP(A76,'Trips&amp;Operators'!$C$1:$G$99911,5,FALSE)</f>
        <v>SAFIEF AEIMEN</v>
      </c>
      <c r="M76" s="6">
        <f>I76-F76</f>
        <v>2.527777777868323E-2</v>
      </c>
      <c r="N76" s="7">
        <f>24*60*SUM($M76:$M76)</f>
        <v>36.400000001303852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-15T10:23:48-0600',mode:absolute,to:'2017-10-15T13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4.7100000000000003E-2</v>
      </c>
      <c r="Z76" s="204">
        <f>RIGHT(H76,LEN(H76)-4)/10000</f>
        <v>23.331499999999998</v>
      </c>
      <c r="AA76" s="204">
        <f>ABS(Z76-Y76)</f>
        <v>23.284399999999998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/stypes="app*4014*20171015*"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163-15 --locoid 4014 --swversion DE.1.0.9.0 --startMP 204:471 --initTime 2017-10-15T11:23:48 --startdatetime 2017-10-15T11:30:15 --delay 198 --endMP 204:233315 --enddatetime 2017-10-15T12:06:39 --enforcementcount 0 &gt;&gt;%USERPROFILE%\Documents\GitHub\eaglep3-reporting\EC\2017-10-15-refined-times.txt</v>
      </c>
      <c r="AI76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{"issue":{"subject":"","project_id":79,"tracker_id":40,"status_id":1,"priority_id":2,"assigned_to_id":338,"start_date":"2017-10-15","description":"","custom_fields":[{"id":1,"name":"Subdivision","value":"EC"},{"id":4,"name":"Milepost","value":"23.3315"},{"id":17,"name":"Train ID","value":"163-15"},{"id":16,"name":"Locomotive ID","value":"4014"},{"id":130,"name":"Impact","value":""},{"id":150,"name":"Time of Event (Mountain Time)","value":"12:06:39"},{"id":151,"name":"Denver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4014 --day 2017-10-15</v>
      </c>
      <c r="AN76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-15T10:23:48-0600',mode:absolute,to:'2017-10-15T13:06:39-0600'))&amp;_a=(columns:!('Message%20ID',Summary),filters:!(),index:'emp_*',interval:auto,query:(query_string:(analyze_wildcard:!t,query:'%22rtdc.l.rtdc.4014%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715</v>
      </c>
      <c r="B77" s="7">
        <v>4013</v>
      </c>
      <c r="C77" s="21" t="s">
        <v>194</v>
      </c>
      <c r="D77" s="21" t="s">
        <v>843</v>
      </c>
      <c r="E77" s="13">
        <v>43023.509768518517</v>
      </c>
      <c r="F77" s="13">
        <v>43023.518969907411</v>
      </c>
      <c r="G77" s="7">
        <v>233</v>
      </c>
      <c r="H77" s="21" t="s">
        <v>335</v>
      </c>
      <c r="I77" s="13">
        <v>43023.545057870368</v>
      </c>
      <c r="J77" s="7">
        <v>0</v>
      </c>
      <c r="K77" s="89" t="str">
        <f>IF(ISEVEN(B77),(B77-1)&amp;"/"&amp;B77,B77&amp;"/"&amp;(B77+1))</f>
        <v>4013/4014</v>
      </c>
      <c r="L77" s="185" t="str">
        <f>VLOOKUP(A77,'Trips&amp;Operators'!$C$1:$G$99911,5,FALSE)</f>
        <v>SAFIEF AEIMEN</v>
      </c>
      <c r="M77" s="6">
        <f>I77-F77</f>
        <v>2.6087962956808042E-2</v>
      </c>
      <c r="N77" s="7">
        <f>24*60*SUM($M77:$M77)</f>
        <v>37.56666665780358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-15T11:14:04-0600',mode:absolute,to:'2017-10-15T14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23.302800000000001</v>
      </c>
      <c r="Z77" s="204">
        <f>RIGHT(H77,LEN(H77)-4)/10000</f>
        <v>1.4999999999999999E-2</v>
      </c>
      <c r="AA77" s="204">
        <f>ABS(Z77-Y77)</f>
        <v>23.287800000000001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/stypes="app*4013*20171015*"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164-15 --locoid 4013 --swversion DE.1.0.9.0 --startMP 204:233028 --initTime 2017-10-15T12:14:04 --startdatetime 2017-10-15T12:27:19 --delay 233 --endMP 204:150 --enddatetime 2017-10-15T13:04:53 --enforcementcount 0 &gt;&gt;%USERPROFILE%\Documents\GitHub\eaglep3-reporting\EC\2017-10-15-refined-times.txt</v>
      </c>
      <c r="AI77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{"issue":{"subject":"","project_id":79,"tracker_id":40,"status_id":1,"priority_id":2,"assigned_to_id":338,"start_date":"2017-10-15","description":"","custom_fields":[{"id":1,"name":"Subdivision","value":"EC"},{"id":4,"name":"Milepost","value":"0.015"},{"id":17,"name":"Train ID","value":"164-15"},{"id":16,"name":"Locomotive ID","value":"4013"},{"id":130,"name":"Impact","value":""},{"id":150,"name":"Time of Event (Mountain Time)","value":"13:04:53"},{"id":151,"name":"Denver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4013 --day 2017-10-15</v>
      </c>
      <c r="AN77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-15T11:14:04-0600',mode:absolute,to:'2017-10-15T14:04:53-0600'))&amp;_a=(columns:!('Message%20ID',Summary),filters:!(),index:'emp_*',interval:auto,query:(query_string:(analyze_wildcard:!t,query:'%22rtdc.l.rtdc.4013%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708</v>
      </c>
      <c r="B78" s="7">
        <v>4058</v>
      </c>
      <c r="C78" s="21" t="s">
        <v>194</v>
      </c>
      <c r="D78" s="21" t="s">
        <v>391</v>
      </c>
      <c r="E78" s="13">
        <v>43023.484675925924</v>
      </c>
      <c r="F78" s="13">
        <v>43023.489733796298</v>
      </c>
      <c r="G78" s="7">
        <v>60</v>
      </c>
      <c r="H78" s="21" t="s">
        <v>415</v>
      </c>
      <c r="I78" s="13">
        <v>43023.513726851852</v>
      </c>
      <c r="J78" s="7">
        <v>0</v>
      </c>
      <c r="K78" s="89" t="str">
        <f>IF(ISEVEN(B78),(B78-1)&amp;"/"&amp;B78,B78&amp;"/"&amp;(B78+1))</f>
        <v>4057/4058</v>
      </c>
      <c r="L78" s="185" t="str">
        <f>VLOOKUP(A78,'Trips&amp;Operators'!$C$1:$G$99911,5,FALSE)</f>
        <v>GUZMAN DANNY</v>
      </c>
      <c r="M78" s="6">
        <f>I78-F78</f>
        <v>2.3993055554456078E-2</v>
      </c>
      <c r="N78" s="7">
        <f>24*60*SUM($M78:$M78)</f>
        <v>34.549999998416752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-15T10:37:56-0600',mode:absolute,to:'2017-10-15T13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4.6699999999999998E-2</v>
      </c>
      <c r="Z78" s="204">
        <f>RIGHT(H78,LEN(H78)-4)/10000</f>
        <v>23.331399999999999</v>
      </c>
      <c r="AA78" s="204">
        <f>ABS(Z78-Y78)</f>
        <v>23.284699999999997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/stypes="app*4058*20171015*"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5"/>
        <v>"%USERPROFILE%\Documents\GitHub\eaglep3\Utilities\RefineRTDCRunTimes.py" --tripid 165-15 --locoid 4058 --swversion DE.1.0.9.0 --startMP 204:467 --initTime 2017-10-15T11:37:56 --startdatetime 2017-10-15T11:45:13 --delay 60 --endMP 204:233314 --enddatetime 2017-10-15T12:19:46 --enforcementcount 0 &gt;&gt;%USERPROFILE%\Documents\GitHub\eaglep3-reporting\EC\2017-10-15-refined-times.txt</v>
      </c>
      <c r="AI78" s="96" t="str">
        <f t="shared" si="6"/>
        <v>echo {"issue":{"subject":"","project_id":79,"tracker_id":40,"status_id":1,"priority_id":2,"assigned_to_id":338,"start_date":"2017-10-15","description":"","custom_fields":[{"id":1,"name":"Subdivision","value":"EC"},{"id":4,"name":"Milepost","value":"23.3314"},{"id":17,"name":"Train ID","value":"165-15"},{"id":16,"name":"Locomotive ID","value":"4058"},{"id":130,"name":"Impact","value":""},{"id":150,"name":"Time of Event (Mountain Time)","value":"12:19:46"},{"id":151,"name":"Denver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4058 --day 2017-10-15</v>
      </c>
      <c r="AN78" s="151" t="str">
        <f t="shared" si="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9"/>
        <v>https://d0f6bd738d7f1b3e5a7ca70fe4ff75f0.us-east-1.aws.found.io/app/kibana#/discover/Steve-Slow-Train-Analysis-(2080s-and-2083s)?_g=(refreshInterval:(display:Off,pause:!f,section:0,value:0),time:(from:'2017-10-15T10:37:56-0600',mode:absolute,to:'2017-10-15T13:19:46-0600'))&amp;_a=(columns:!('Message%20ID',Summary),filters:!(),index:'emp_*',interval:auto,query:(query_string:(analyze_wildcard:!t,query:'%22rtdc.l.rtdc.4058%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716</v>
      </c>
      <c r="B79" s="7">
        <v>4057</v>
      </c>
      <c r="C79" s="21" t="s">
        <v>194</v>
      </c>
      <c r="D79" s="21" t="s">
        <v>439</v>
      </c>
      <c r="E79" s="13">
        <v>43023.516018518516</v>
      </c>
      <c r="F79" s="13">
        <v>43023.529363425929</v>
      </c>
      <c r="G79" s="7">
        <v>72</v>
      </c>
      <c r="H79" s="21" t="s">
        <v>485</v>
      </c>
      <c r="I79" s="13">
        <v>43023.556076388886</v>
      </c>
      <c r="J79" s="7">
        <v>0</v>
      </c>
      <c r="K79" s="89" t="str">
        <f>IF(ISEVEN(B79),(B79-1)&amp;"/"&amp;B79,B79&amp;"/"&amp;(B79+1))</f>
        <v>4057/4058</v>
      </c>
      <c r="L79" s="185" t="str">
        <f>VLOOKUP(A79,'Trips&amp;Operators'!$C$1:$G$99911,5,FALSE)</f>
        <v>GUZMAN DANNY</v>
      </c>
      <c r="M79" s="6">
        <f>I79-F79</f>
        <v>2.6712962957390118E-2</v>
      </c>
      <c r="N79" s="7">
        <f>24*60*SUM($M79:$M79)</f>
        <v>38.46666665864177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-15T11:23:04-0600',mode:absolute,to:'2017-10-15T14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23.296500000000002</v>
      </c>
      <c r="Z79" s="204">
        <f>RIGHT(H79,LEN(H79)-4)/10000</f>
        <v>1.6899999999999998E-2</v>
      </c>
      <c r="AA79" s="204">
        <f>ABS(Z79-Y79)</f>
        <v>23.279600000000002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/stypes="app*4057*20171015*"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ref="AH79:AH145" si="15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166-15 --locoid 4057 --swversion DE.1.0.9.0 --startMP 204:232965 --initTime 2017-10-15T12:23:04 --startdatetime 2017-10-15T12:42:17 --delay 72 --endMP 204:169 --enddatetime 2017-10-15T13:20:45 --enforcementcount 0 &gt;&gt;%USERPROFILE%\Documents\GitHub\eaglep3-reporting\EC\2017-10-15-refined-times.txt</v>
      </c>
      <c r="AI79" s="96" t="str">
        <f t="shared" ref="AI79:AI145" si="16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{"issue":{"subject":"","project_id":79,"tracker_id":40,"status_id":1,"priority_id":2,"assigned_to_id":338,"start_date":"2017-10-15","description":"","custom_fields":[{"id":1,"name":"Subdivision","value":"EC"},{"id":4,"name":"Milepost","value":"0.0169"},{"id":17,"name":"Train ID","value":"166-15"},{"id":16,"name":"Locomotive ID","value":"4057"},{"id":130,"name":"Impact","value":""},{"id":150,"name":"Time of Event (Mountain Time)","value":"13:20:45"},{"id":151,"name":"Denver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5" si="17">"start /low /b "&amp;dls3logs&amp;" --loco "&amp;B79&amp;" --day "&amp;TEXT(F79,"YYYY-MM-DD")</f>
        <v>start /low /b %USERPROFILE%\Documents\GitHub\eaglep3\Utilities\DownloadLogsFromS3.py --loco 4057 --day 2017-10-15</v>
      </c>
      <c r="AN79" s="151" t="str">
        <f t="shared" ref="AN79:AN145" si="18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5" si="19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-15T11:23:04-0600',mode:absolute,to:'2017-10-15T14:20:45-0600'))&amp;_a=(columns:!('Message%20ID',Summary),filters:!(),index:'emp_*',interval:auto,query:(query_string:(analyze_wildcard:!t,query:'%22rtdc.l.rtdc.4057%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711</v>
      </c>
      <c r="B80" s="7">
        <v>4032</v>
      </c>
      <c r="C80" s="21" t="s">
        <v>194</v>
      </c>
      <c r="D80" s="21" t="s">
        <v>440</v>
      </c>
      <c r="E80" s="13">
        <v>43023.496122685188</v>
      </c>
      <c r="F80" s="13">
        <v>43023.500173611108</v>
      </c>
      <c r="G80" s="7">
        <v>60</v>
      </c>
      <c r="H80" s="21" t="s">
        <v>545</v>
      </c>
      <c r="I80" s="13">
        <v>43023.525671296295</v>
      </c>
      <c r="J80" s="7">
        <v>0</v>
      </c>
      <c r="K80" s="89" t="str">
        <f>IF(ISEVEN(B80),(B80-1)&amp;"/"&amp;B80,B80&amp;"/"&amp;(B80+1))</f>
        <v>4031/4032</v>
      </c>
      <c r="L80" s="185" t="str">
        <f>VLOOKUP(A80,'Trips&amp;Operators'!$C$1:$G$99911,5,FALSE)</f>
        <v>BADERTSCHER DIANE</v>
      </c>
      <c r="M80" s="6">
        <f>I80-F80</f>
        <v>2.5497685186564922E-2</v>
      </c>
      <c r="N80" s="7">
        <f>24*60*SUM($M80:$M80)</f>
        <v>36.716666668653488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-15T10:54:25-0600',mode:absolute,to:'2017-10-15T13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4.4900000000000002E-2</v>
      </c>
      <c r="Z80" s="204">
        <f>RIGHT(H80,LEN(H80)-4)/10000</f>
        <v>23.332899999999999</v>
      </c>
      <c r="AA80" s="204">
        <f>ABS(Z80-Y80)</f>
        <v>23.288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/stypes="app*4032*20171015*"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5"/>
        <v>"%USERPROFILE%\Documents\GitHub\eaglep3\Utilities\RefineRTDCRunTimes.py" --tripid 167-15 --locoid 4032 --swversion DE.1.0.9.0 --startMP 204:449 --initTime 2017-10-15T11:54:25 --startdatetime 2017-10-15T12:00:15 --delay 60 --endMP 204:233329 --enddatetime 2017-10-15T12:36:58 --enforcementcount 0 &gt;&gt;%USERPROFILE%\Documents\GitHub\eaglep3-reporting\EC\2017-10-15-refined-times.txt</v>
      </c>
      <c r="AI8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{"issue":{"subject":"","project_id":79,"tracker_id":40,"status_id":1,"priority_id":2,"assigned_to_id":338,"start_date":"2017-10-15","description":"","custom_fields":[{"id":1,"name":"Subdivision","value":"EC"},{"id":4,"name":"Milepost","value":"23.3329"},{"id":17,"name":"Train ID","value":"167-15"},{"id":16,"name":"Locomotive ID","value":"4032"},{"id":130,"name":"Impact","value":""},{"id":150,"name":"Time of Event (Mountain Time)","value":"12:36:58"},{"id":151,"name":"Denver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7"/>
        <v>start /low /b %USERPROFILE%\Documents\GitHub\eaglep3\Utilities\DownloadLogsFromS3.py --loco 4032 --day 2017-10-15</v>
      </c>
      <c r="AN80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9"/>
        <v>https://d0f6bd738d7f1b3e5a7ca70fe4ff75f0.us-east-1.aws.found.io/app/kibana#/discover/Steve-Slow-Train-Analysis-(2080s-and-2083s)?_g=(refreshInterval:(display:Off,pause:!f,section:0,value:0),time:(from:'2017-10-15T10:54:25-0600',mode:absolute,to:'2017-10-15T13:36:58-0600'))&amp;_a=(columns:!('Message%20ID',Summary),filters:!(),index:'emp_*',interval:auto,query:(query_string:(analyze_wildcard:!t,query:'%22rtdc.l.rtdc.4032%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722</v>
      </c>
      <c r="B81" s="7">
        <v>4031</v>
      </c>
      <c r="C81" s="21" t="s">
        <v>194</v>
      </c>
      <c r="D81" s="21" t="s">
        <v>430</v>
      </c>
      <c r="E81" s="13">
        <v>43023.532754629632</v>
      </c>
      <c r="F81" s="13">
        <v>43023.539756944447</v>
      </c>
      <c r="G81" s="7">
        <v>58</v>
      </c>
      <c r="H81" s="21" t="s">
        <v>364</v>
      </c>
      <c r="I81" s="13">
        <v>43023.567997685182</v>
      </c>
      <c r="J81" s="7">
        <v>0</v>
      </c>
      <c r="K81" s="89" t="str">
        <f>IF(ISEVEN(B81),(B81-1)&amp;"/"&amp;B81,B81&amp;"/"&amp;(B81+1))</f>
        <v>4031/4032</v>
      </c>
      <c r="L81" s="185" t="str">
        <f>VLOOKUP(A81,'Trips&amp;Operators'!$C$1:$G$99911,5,FALSE)</f>
        <v>BADERTSCHER DIANE</v>
      </c>
      <c r="M81" s="6">
        <f>I81-F81</f>
        <v>2.824074073578231E-2</v>
      </c>
      <c r="N81" s="7">
        <f>24*60*SUM($M81:$M81)</f>
        <v>40.666666659526527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-15T11:47:10-0600',mode:absolute,to:'2017-10-15T14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23.299399999999999</v>
      </c>
      <c r="Z81" s="204">
        <f>RIGHT(H81,LEN(H81)-4)/10000</f>
        <v>1.5800000000000002E-2</v>
      </c>
      <c r="AA81" s="204">
        <f>ABS(Z81-Y81)</f>
        <v>23.2836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/stypes="app*4031*20171015*"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5"/>
        <v>"%USERPROFILE%\Documents\GitHub\eaglep3\Utilities\RefineRTDCRunTimes.py" --tripid 168-15 --locoid 4031 --swversion DE.1.0.9.0 --startMP 204:232994 --initTime 2017-10-15T12:47:10 --startdatetime 2017-10-15T12:57:15 --delay 58 --endMP 204:158 --enddatetime 2017-10-15T13:37:55 --enforcementcount 0 &gt;&gt;%USERPROFILE%\Documents\GitHub\eaglep3-reporting\EC\2017-10-15-refined-times.txt</v>
      </c>
      <c r="AI8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{"issue":{"subject":"","project_id":79,"tracker_id":40,"status_id":1,"priority_id":2,"assigned_to_id":338,"start_date":"2017-10-15","description":"","custom_fields":[{"id":1,"name":"Subdivision","value":"EC"},{"id":4,"name":"Milepost","value":"0.0158"},{"id":17,"name":"Train ID","value":"168-15"},{"id":16,"name":"Locomotive ID","value":"4031"},{"id":130,"name":"Impact","value":""},{"id":150,"name":"Time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7"/>
        <v>start /low /b %USERPROFILE%\Documents\GitHub\eaglep3\Utilities\DownloadLogsFromS3.py --loco 4031 --day 2017-10-15</v>
      </c>
      <c r="AN81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9"/>
        <v>https://d0f6bd738d7f1b3e5a7ca70fe4ff75f0.us-east-1.aws.found.io/app/kibana#/discover/Steve-Slow-Train-Analysis-(2080s-and-2083s)?_g=(refreshInterval:(display:Off,pause:!f,section:0,value:0),time:(from:'2017-10-15T11:47:10-0600',mode:absolute,to:'2017-10-15T14:37:55-0600'))&amp;_a=(columns:!('Message%20ID',Summary),filters:!(),index:'emp_*',interval:auto,query:(query_string:(analyze_wildcard:!t,query:'%22rtdc.l.rtdc.4031%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714</v>
      </c>
      <c r="B82" s="7">
        <v>4004</v>
      </c>
      <c r="C82" s="21" t="s">
        <v>194</v>
      </c>
      <c r="D82" s="21" t="s">
        <v>375</v>
      </c>
      <c r="E82" s="13">
        <v>43023.50582175926</v>
      </c>
      <c r="F82" s="13">
        <v>43023.510625000003</v>
      </c>
      <c r="G82" s="7">
        <v>163</v>
      </c>
      <c r="H82" s="21" t="s">
        <v>526</v>
      </c>
      <c r="I82" s="13">
        <v>43023.534328703703</v>
      </c>
      <c r="J82" s="7">
        <v>0</v>
      </c>
      <c r="K82" s="89" t="str">
        <f>IF(ISEVEN(B82),(B82-1)&amp;"/"&amp;B82,B82&amp;"/"&amp;(B82+1))</f>
        <v>4003/4004</v>
      </c>
      <c r="L82" s="185" t="str">
        <f>VLOOKUP(A82,'Trips&amp;Operators'!$C$1:$G$99911,5,FALSE)</f>
        <v>GONZALEZ ARMANDO</v>
      </c>
      <c r="M82" s="6">
        <f>I82-F82</f>
        <v>2.3703703700448386E-2</v>
      </c>
      <c r="N82" s="7">
        <f>24*60*SUM($M82:$M82)</f>
        <v>34.133333328645676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-15T11:08:23-0600',mode:absolute,to:'2017-10-15T13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4.6600000000000003E-2</v>
      </c>
      <c r="Z82" s="204">
        <f>RIGHT(H82,LEN(H82)-4)/10000</f>
        <v>23.334900000000001</v>
      </c>
      <c r="AA82" s="204">
        <f>ABS(Z82-Y82)</f>
        <v>23.2883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/stypes="app*4004*20171015*"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5"/>
        <v>"%USERPROFILE%\Documents\GitHub\eaglep3\Utilities\RefineRTDCRunTimes.py" --tripid 169-15 --locoid 4004 --swversion DE.1.0.9.0 --startMP 204:466 --initTime 2017-10-15T12:08:23 --startdatetime 2017-10-15T12:15:18 --delay 163 --endMP 204:233349 --enddatetime 2017-10-15T12:49:26 --enforcementcount 0 &gt;&gt;%USERPROFILE%\Documents\GitHub\eaglep3-reporting\EC\2017-10-15-refined-times.txt</v>
      </c>
      <c r="AI8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{"issue":{"subject":"","project_id":79,"tracker_id":40,"status_id":1,"priority_id":2,"assigned_to_id":338,"start_date":"2017-10-15","description":"","custom_fields":[{"id":1,"name":"Subdivision","value":"EC"},{"id":4,"name":"Milepost","value":"23.3349"},{"id":17,"name":"Train ID","value":"169-15"},{"id":16,"name":"Locomotive ID","value":"4004"},{"id":130,"name":"Impact","value":""},{"id":150,"name":"Time of Event (Mountain Time)","value":"12:49:26"},{"id":151,"name":"Denver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7"/>
        <v>start /low /b %USERPROFILE%\Documents\GitHub\eaglep3\Utilities\DownloadLogsFromS3.py --loco 4004 --day 2017-10-15</v>
      </c>
      <c r="AN82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9"/>
        <v>https://d0f6bd738d7f1b3e5a7ca70fe4ff75f0.us-east-1.aws.found.io/app/kibana#/discover/Steve-Slow-Train-Analysis-(2080s-and-2083s)?_g=(refreshInterval:(display:Off,pause:!f,section:0,value:0),time:(from:'2017-10-15T11:08:23-0600',mode:absolute,to:'2017-10-15T13:49:26-0600'))&amp;_a=(columns:!('Message%20ID',Summary),filters:!(),index:'emp_*',interval:auto,query:(query_string:(analyze_wildcard:!t,query:'%22rtdc.l.rtdc.4004%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724</v>
      </c>
      <c r="B83" s="7">
        <v>4003</v>
      </c>
      <c r="C83" s="21" t="s">
        <v>194</v>
      </c>
      <c r="D83" s="21" t="s">
        <v>480</v>
      </c>
      <c r="E83" s="13">
        <v>43023.545069444444</v>
      </c>
      <c r="F83" s="13">
        <v>43023.550243055557</v>
      </c>
      <c r="G83" s="7">
        <v>65</v>
      </c>
      <c r="H83" s="21" t="s">
        <v>356</v>
      </c>
      <c r="I83" s="13">
        <v>43023.576331018521</v>
      </c>
      <c r="J83" s="7">
        <v>0</v>
      </c>
      <c r="K83" s="89" t="str">
        <f>IF(ISEVEN(B83),(B83-1)&amp;"/"&amp;B83,B83&amp;"/"&amp;(B83+1))</f>
        <v>4003/4004</v>
      </c>
      <c r="L83" s="185" t="str">
        <f>VLOOKUP(A83,'Trips&amp;Operators'!$C$1:$G$99911,5,FALSE)</f>
        <v>GONZALEZ ARMANDO</v>
      </c>
      <c r="M83" s="6">
        <f>I83-F83</f>
        <v>2.6087962964083999E-2</v>
      </c>
      <c r="N83" s="7">
        <f>24*60*SUM($M83:$M83)</f>
        <v>37.566666668280959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-15T12:04:54-0600',mode:absolute,to:'2017-10-15T14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23.304200000000002</v>
      </c>
      <c r="Z83" s="204">
        <f>RIGHT(H83,LEN(H83)-4)/10000</f>
        <v>1.4500000000000001E-2</v>
      </c>
      <c r="AA83" s="204">
        <f>ABS(Z83-Y83)</f>
        <v>23.2897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/stypes="app*4003*20171015*"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5"/>
        <v>"%USERPROFILE%\Documents\GitHub\eaglep3\Utilities\RefineRTDCRunTimes.py" --tripid 170-15 --locoid 4003 --swversion DE.1.0.9.0 --startMP 204:233042 --initTime 2017-10-15T13:04:54 --startdatetime 2017-10-15T13:12:21 --delay 65 --endMP 204:145 --enddatetime 2017-10-15T13:49:55 --enforcementcount 0 &gt;&gt;%USERPROFILE%\Documents\GitHub\eaglep3-reporting\EC\2017-10-15-refined-times.txt</v>
      </c>
      <c r="AI8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{"issue":{"subject":"","project_id":79,"tracker_id":40,"status_id":1,"priority_id":2,"assigned_to_id":338,"start_date":"2017-10-15","description":"","custom_fields":[{"id":1,"name":"Subdivision","value":"EC"},{"id":4,"name":"Milepost","value":"0.0145"},{"id":17,"name":"Train ID","value":"170-15"},{"id":16,"name":"Locomotive ID","value":"4003"},{"id":130,"name":"Impact","value":""},{"id":150,"name":"Time of Event (Mountain Time)","value":"13:49:55"},{"id":151,"name":"Denver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7"/>
        <v>start /low /b %USERPROFILE%\Documents\GitHub\eaglep3\Utilities\DownloadLogsFromS3.py --loco 4003 --day 2017-10-15</v>
      </c>
      <c r="AN83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9"/>
        <v>https://d0f6bd738d7f1b3e5a7ca70fe4ff75f0.us-east-1.aws.found.io/app/kibana#/discover/Steve-Slow-Train-Analysis-(2080s-and-2083s)?_g=(refreshInterval:(display:Off,pause:!f,section:0,value:0),time:(from:'2017-10-15T12:04:54-0600',mode:absolute,to:'2017-10-15T14:49:55-0600'))&amp;_a=(columns:!('Message%20ID',Summary),filters:!(),index:'emp_*',interval:auto,query:(query_string:(analyze_wildcard:!t,query:'%22rtdc.l.rtdc.4003%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717</v>
      </c>
      <c r="B84" s="7">
        <v>4036</v>
      </c>
      <c r="C84" s="21" t="s">
        <v>194</v>
      </c>
      <c r="D84" s="21" t="s">
        <v>345</v>
      </c>
      <c r="E84" s="13">
        <v>43023.516631944447</v>
      </c>
      <c r="F84" s="13">
        <v>43023.521041666667</v>
      </c>
      <c r="G84" s="7">
        <v>111</v>
      </c>
      <c r="H84" s="21" t="s">
        <v>445</v>
      </c>
      <c r="I84" s="13">
        <v>43023.5469212963</v>
      </c>
      <c r="J84" s="7">
        <v>0</v>
      </c>
      <c r="K84" s="89" t="str">
        <f>IF(ISEVEN(B84),(B84-1)&amp;"/"&amp;B84,B84&amp;"/"&amp;(B84+1))</f>
        <v>4035/4036</v>
      </c>
      <c r="L84" s="185" t="str">
        <f>VLOOKUP(A84,'Trips&amp;Operators'!$C$1:$G$99911,5,FALSE)</f>
        <v>DAVIDSON DAVID</v>
      </c>
      <c r="M84" s="6">
        <f>I84-F84</f>
        <v>2.587962963298196E-2</v>
      </c>
      <c r="N84" s="7">
        <f>24*60*SUM($M84:$M84)</f>
        <v>37.266666671494022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-15T11:23:57-0600',mode:absolute,to:'2017-10-15T14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4.5499999999999999E-2</v>
      </c>
      <c r="Z84" s="204">
        <f>RIGHT(H84,LEN(H84)-4)/10000</f>
        <v>23.328900000000001</v>
      </c>
      <c r="AA84" s="204">
        <f>ABS(Z84-Y84)</f>
        <v>23.2834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/stypes="app*4036*20171015*"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5"/>
        <v>"%USERPROFILE%\Documents\GitHub\eaglep3\Utilities\RefineRTDCRunTimes.py" --tripid 171-15 --locoid 4036 --swversion DE.1.0.9.0 --startMP 204:455 --initTime 2017-10-15T12:23:57 --startdatetime 2017-10-15T12:30:18 --delay 111 --endMP 204:233289 --enddatetime 2017-10-15T13:07:34 --enforcementcount 0 &gt;&gt;%USERPROFILE%\Documents\GitHub\eaglep3-reporting\EC\2017-10-15-refined-times.txt</v>
      </c>
      <c r="AI8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{"issue":{"subject":"","project_id":79,"tracker_id":40,"status_id":1,"priority_id":2,"assigned_to_id":338,"start_date":"2017-10-15","description":"","custom_fields":[{"id":1,"name":"Subdivision","value":"EC"},{"id":4,"name":"Milepost","value":"23.3289"},{"id":17,"name":"Train ID","value":"171-15"},{"id":16,"name":"Locomotive ID","value":"4036"},{"id":130,"name":"Impact","value":""},{"id":150,"name":"Time of Event (Mountain Time)","value":"13:07:34"},{"id":151,"name":"Denver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7"/>
        <v>start /low /b %USERPROFILE%\Documents\GitHub\eaglep3\Utilities\DownloadLogsFromS3.py --loco 4036 --day 2017-10-15</v>
      </c>
      <c r="AN84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9"/>
        <v>https://d0f6bd738d7f1b3e5a7ca70fe4ff75f0.us-east-1.aws.found.io/app/kibana#/discover/Steve-Slow-Train-Analysis-(2080s-and-2083s)?_g=(refreshInterval:(display:Off,pause:!f,section:0,value:0),time:(from:'2017-10-15T11:23:57-0600',mode:absolute,to:'2017-10-15T14:07:34-0600'))&amp;_a=(columns:!('Message%20ID',Summary),filters:!(),index:'emp_*',interval:auto,query:(query_string:(analyze_wildcard:!t,query:'%22rtdc.l.rtdc.4036%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726</v>
      </c>
      <c r="B85" s="7">
        <v>4035</v>
      </c>
      <c r="C85" s="21" t="s">
        <v>194</v>
      </c>
      <c r="D85" s="21" t="s">
        <v>426</v>
      </c>
      <c r="E85" s="13">
        <v>43023.548425925925</v>
      </c>
      <c r="F85" s="13">
        <v>43023.560648148145</v>
      </c>
      <c r="G85" s="7">
        <v>78</v>
      </c>
      <c r="H85" s="21" t="s">
        <v>399</v>
      </c>
      <c r="I85" s="13">
        <v>43023.589016203703</v>
      </c>
      <c r="J85" s="7">
        <v>0</v>
      </c>
      <c r="K85" s="89" t="str">
        <f>IF(ISEVEN(B85),(B85-1)&amp;"/"&amp;B85,B85&amp;"/"&amp;(B85+1))</f>
        <v>4035/4036</v>
      </c>
      <c r="L85" s="185" t="str">
        <f>VLOOKUP(A85,'Trips&amp;Operators'!$C$1:$G$99911,5,FALSE)</f>
        <v>DAVIDSON DAVID</v>
      </c>
      <c r="M85" s="6">
        <f>I85-F85</f>
        <v>2.8368055558530614E-2</v>
      </c>
      <c r="N85" s="7">
        <f>24*60*SUM($M85:$M85)</f>
        <v>40.850000004284084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-15T12:09:44-0600',mode:absolute,to:'2017-10-15T15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23.298500000000001</v>
      </c>
      <c r="Z85" s="204">
        <f>RIGHT(H85,LEN(H85)-4)/10000</f>
        <v>1.6E-2</v>
      </c>
      <c r="AA85" s="204">
        <f>ABS(Z85-Y85)</f>
        <v>23.282500000000002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/stypes="app*4035*20171015*"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5"/>
        <v>"%USERPROFILE%\Documents\GitHub\eaglep3\Utilities\RefineRTDCRunTimes.py" --tripid 172-15 --locoid 4035 --swversion DE.1.0.9.0 --startMP 204:232985 --initTime 2017-10-15T13:09:44 --startdatetime 2017-10-15T13:27:20 --delay 78 --endMP 204:160 --enddatetime 2017-10-15T14:08:11 --enforcementcount 0 &gt;&gt;%USERPROFILE%\Documents\GitHub\eaglep3-reporting\EC\2017-10-15-refined-times.txt</v>
      </c>
      <c r="AI8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{"issue":{"subject":"","project_id":79,"tracker_id":40,"status_id":1,"priority_id":2,"assigned_to_id":338,"start_date":"2017-10-15","description":"","custom_fields":[{"id":1,"name":"Subdivision","value":"EC"},{"id":4,"name":"Milepost","value":"0.016"},{"id":17,"name":"Train ID","value":"172-15"},{"id":16,"name":"Locomotive ID","value":"4035"},{"id":130,"name":"Impact","value":""},{"id":150,"name":"Time of Event (Mountain Time)","value":"14:08:11"},{"id":151,"name":"Denver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7"/>
        <v>start /low /b %USERPROFILE%\Documents\GitHub\eaglep3\Utilities\DownloadLogsFromS3.py --loco 4035 --day 2017-10-15</v>
      </c>
      <c r="AN85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9"/>
        <v>https://d0f6bd738d7f1b3e5a7ca70fe4ff75f0.us-east-1.aws.found.io/app/kibana#/discover/Steve-Slow-Train-Analysis-(2080s-and-2083s)?_g=(refreshInterval:(display:Off,pause:!f,section:0,value:0),time:(from:'2017-10-15T12:09:44-0600',mode:absolute,to:'2017-10-15T15:08:11-0600'))&amp;_a=(columns:!('Message%20ID',Summary),filters:!(),index:'emp_*',interval:auto,query:(query_string:(analyze_wildcard:!t,query:'%22rtdc.l.rtdc.4035%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720</v>
      </c>
      <c r="B86" s="7">
        <v>4016</v>
      </c>
      <c r="C86" s="21" t="s">
        <v>194</v>
      </c>
      <c r="D86" s="21" t="s">
        <v>392</v>
      </c>
      <c r="E86" s="13">
        <v>43023.526898148149</v>
      </c>
      <c r="F86" s="13">
        <v>43023.531504629631</v>
      </c>
      <c r="G86" s="7">
        <v>64</v>
      </c>
      <c r="H86" s="21" t="s">
        <v>535</v>
      </c>
      <c r="I86" s="13">
        <v>43023.556192129632</v>
      </c>
      <c r="J86" s="7">
        <v>0</v>
      </c>
      <c r="K86" s="89" t="str">
        <f>IF(ISEVEN(B86),(B86-1)&amp;"/"&amp;B86,B86&amp;"/"&amp;(B86+1))</f>
        <v>4015/4016</v>
      </c>
      <c r="L86" s="185" t="str">
        <f>VLOOKUP(A86,'Trips&amp;Operators'!$C$1:$G$99911,5,FALSE)</f>
        <v>SMITH MICHAEL</v>
      </c>
      <c r="M86" s="6">
        <f>I86-F86</f>
        <v>2.4687500001164153E-2</v>
      </c>
      <c r="N86" s="7">
        <f>24*60*SUM($M86:$M86)</f>
        <v>35.550000001676381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-15T11:38:44-0600',mode:absolute,to:'2017-10-15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4.7300000000000002E-2</v>
      </c>
      <c r="Z86" s="204">
        <f>RIGHT(H86,LEN(H86)-4)/10000</f>
        <v>23.328600000000002</v>
      </c>
      <c r="AA86" s="204">
        <f>ABS(Z86-Y86)</f>
        <v>23.281300000000002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/stypes="app*4016*20171015*"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5"/>
        <v>"%USERPROFILE%\Documents\GitHub\eaglep3\Utilities\RefineRTDCRunTimes.py" --tripid 173-15 --locoid 4016 --swversion DE.1.0.9.0 --startMP 204:473 --initTime 2017-10-15T12:38:44 --startdatetime 2017-10-15T12:45:22 --delay 64 --endMP 204:233286 --enddatetime 2017-10-15T13:20:55 --enforcementcount 0 &gt;&gt;%USERPROFILE%\Documents\GitHub\eaglep3-reporting\EC\2017-10-15-refined-times.txt</v>
      </c>
      <c r="AI8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{"issue":{"subject":"","project_id":79,"tracker_id":40,"status_id":1,"priority_id":2,"assigned_to_id":338,"start_date":"2017-10-15","description":"","custom_fields":[{"id":1,"name":"Subdivision","value":"EC"},{"id":4,"name":"Milepost","value":"23.3286"},{"id":17,"name":"Train ID","value":"173-15"},{"id":16,"name":"Locomotive ID","value":"4016"},{"id":130,"name":"Impact","value":""},{"id":150,"name":"Time of Event (Mountain Time)","value":"13:20:55"},{"id":151,"name":"Denver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7"/>
        <v>start /low /b %USERPROFILE%\Documents\GitHub\eaglep3\Utilities\DownloadLogsFromS3.py --loco 4016 --day 2017-10-15</v>
      </c>
      <c r="AN86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9"/>
        <v>https://d0f6bd738d7f1b3e5a7ca70fe4ff75f0.us-east-1.aws.found.io/app/kibana#/discover/Steve-Slow-Train-Analysis-(2080s-and-2083s)?_g=(refreshInterval:(display:Off,pause:!f,section:0,value:0),time:(from:'2017-10-15T11:38:44-0600',mode:absolute,to:'2017-10-15T14:20:55-0600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730</v>
      </c>
      <c r="B87" s="7">
        <v>4015</v>
      </c>
      <c r="C87" s="21" t="s">
        <v>194</v>
      </c>
      <c r="D87" s="21" t="s">
        <v>819</v>
      </c>
      <c r="E87" s="13">
        <v>43023.561782407407</v>
      </c>
      <c r="F87" s="13">
        <v>43023.571261574078</v>
      </c>
      <c r="G87" s="7">
        <v>94</v>
      </c>
      <c r="H87" s="21" t="s">
        <v>845</v>
      </c>
      <c r="I87" s="13">
        <v>43023.59820601852</v>
      </c>
      <c r="J87" s="7">
        <v>0</v>
      </c>
      <c r="K87" s="89" t="str">
        <f>IF(ISEVEN(B87),(B87-1)&amp;"/"&amp;B87,B87&amp;"/"&amp;(B87+1))</f>
        <v>4015/4016</v>
      </c>
      <c r="L87" s="185" t="str">
        <f>VLOOKUP(A87,'Trips&amp;Operators'!$C$1:$G$99911,5,FALSE)</f>
        <v>SMITH MICHAEL</v>
      </c>
      <c r="M87" s="6">
        <f>I87-F87</f>
        <v>2.6944444442051463E-2</v>
      </c>
      <c r="N87" s="7">
        <f>24*60*SUM($M87:$M87)</f>
        <v>38.799999996554106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-15T12:28:58-0600',mode:absolute,to:'2017-10-15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23.2971</v>
      </c>
      <c r="Z87" s="204">
        <f>RIGHT(H87,LEN(H87)-4)/10000</f>
        <v>1.7000000000000001E-2</v>
      </c>
      <c r="AA87" s="204">
        <f>ABS(Z87-Y87)</f>
        <v>23.280100000000001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/stypes="app*4015*20171015*"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5"/>
        <v>"%USERPROFILE%\Documents\GitHub\eaglep3\Utilities\RefineRTDCRunTimes.py" --tripid 174-15 --locoid 4015 --swversion DE.1.0.9.0 --startMP 204:232971 --initTime 2017-10-15T13:28:58 --startdatetime 2017-10-15T13:42:37 --delay 94 --endMP 204:170 --enddatetime 2017-10-15T14:21:25 --enforcementcount 0 &gt;&gt;%USERPROFILE%\Documents\GitHub\eaglep3-reporting\EC\2017-10-15-refined-times.txt</v>
      </c>
      <c r="AI8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{"issue":{"subject":"","project_id":79,"tracker_id":40,"status_id":1,"priority_id":2,"assigned_to_id":338,"start_date":"2017-10-15","description":"","custom_fields":[{"id":1,"name":"Subdivision","value":"EC"},{"id":4,"name":"Milepost","value":"0.017"},{"id":17,"name":"Train ID","value":"174-15"},{"id":16,"name":"Locomotive ID","value":"4015"},{"id":130,"name":"Impact","value":""},{"id":150,"name":"Time of Event (Mountain Time)","value":"14:21:25"},{"id":151,"name":"Denver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7"/>
        <v>start /low /b %USERPROFILE%\Documents\GitHub\eaglep3\Utilities\DownloadLogsFromS3.py --loco 4015 --day 2017-10-15</v>
      </c>
      <c r="AN87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9"/>
        <v>https://d0f6bd738d7f1b3e5a7ca70fe4ff75f0.us-east-1.aws.found.io/app/kibana#/discover/Steve-Slow-Train-Analysis-(2080s-and-2083s)?_g=(refreshInterval:(display:Off,pause:!f,section:0,value:0),time:(from:'2017-10-15T12:28:58-0600',mode:absolute,to:'2017-10-15T15:21:25-0600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723</v>
      </c>
      <c r="B88" s="7">
        <v>4042</v>
      </c>
      <c r="C88" s="21" t="s">
        <v>194</v>
      </c>
      <c r="D88" s="21" t="s">
        <v>483</v>
      </c>
      <c r="E88" s="13">
        <v>43023.538923611108</v>
      </c>
      <c r="F88" s="13">
        <v>43023.542199074072</v>
      </c>
      <c r="G88" s="7">
        <v>56</v>
      </c>
      <c r="H88" s="21" t="s">
        <v>846</v>
      </c>
      <c r="I88" s="13">
        <v>43023.568958333337</v>
      </c>
      <c r="J88" s="7">
        <v>0</v>
      </c>
      <c r="K88" s="89" t="str">
        <f>IF(ISEVEN(B88),(B88-1)&amp;"/"&amp;B88,B88&amp;"/"&amp;(B88+1))</f>
        <v>4041/4042</v>
      </c>
      <c r="L88" s="185" t="str">
        <f>VLOOKUP(A88,'Trips&amp;Operators'!$C$1:$G$99911,5,FALSE)</f>
        <v>DAVIS MICHAEL</v>
      </c>
      <c r="M88" s="6">
        <f>I88-F88</f>
        <v>2.6759259264508728E-2</v>
      </c>
      <c r="N88" s="7">
        <f>24*60*SUM($M88:$M88)</f>
        <v>38.533333340892568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-15T11:56:03-0600',mode:absolute,to:'2017-10-15T14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4.3999999999999997E-2</v>
      </c>
      <c r="Z88" s="204">
        <f>RIGHT(H88,LEN(H88)-4)/10000</f>
        <v>23.322700000000001</v>
      </c>
      <c r="AA88" s="204">
        <f>ABS(Z88-Y88)</f>
        <v>23.278700000000001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/stypes="app*4042*20171015*"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5"/>
        <v>"%USERPROFILE%\Documents\GitHub\eaglep3\Utilities\RefineRTDCRunTimes.py" --tripid 175-15 --locoid 4042 --swversion DE.1.0.9.0 --startMP 204:440 --initTime 2017-10-15T12:56:03 --startdatetime 2017-10-15T13:00:46 --delay 56 --endMP 204:233227 --enddatetime 2017-10-15T13:39:18 --enforcementcount 0 &gt;&gt;%USERPROFILE%\Documents\GitHub\eaglep3-reporting\EC\2017-10-15-refined-times.txt</v>
      </c>
      <c r="AI88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{"issue":{"subject":"","project_id":79,"tracker_id":40,"status_id":1,"priority_id":2,"assigned_to_id":338,"start_date":"2017-10-15","description":"","custom_fields":[{"id":1,"name":"Subdivision","value":"EC"},{"id":4,"name":"Milepost","value":"23.3227"},{"id":17,"name":"Train ID","value":"175-15"},{"id":16,"name":"Locomotive ID","value":"4042"},{"id":130,"name":"Impact","value":""},{"id":150,"name":"Time of Event (Mountain Time)","value":"13:39:18"},{"id":151,"name":"Denver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7"/>
        <v>start /low /b %USERPROFILE%\Documents\GitHub\eaglep3\Utilities\DownloadLogsFromS3.py --loco 4042 --day 2017-10-15</v>
      </c>
      <c r="AN88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9"/>
        <v>https://d0f6bd738d7f1b3e5a7ca70fe4ff75f0.us-east-1.aws.found.io/app/kibana#/discover/Steve-Slow-Train-Analysis-(2080s-and-2083s)?_g=(refreshInterval:(display:Off,pause:!f,section:0,value:0),time:(from:'2017-10-15T11:56:03-0600',mode:absolute,to:'2017-10-15T14:39:18-0600'))&amp;_a=(columns:!('Message%20ID',Summary),filters:!(),index:'emp_*',interval:auto,query:(query_string:(analyze_wildcard:!t,query:'%22rtdc.l.rtdc.4042%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734</v>
      </c>
      <c r="B89" s="7">
        <v>4041</v>
      </c>
      <c r="C89" s="21" t="s">
        <v>194</v>
      </c>
      <c r="D89" s="21" t="s">
        <v>826</v>
      </c>
      <c r="E89" s="13">
        <v>43023.57912037037</v>
      </c>
      <c r="F89" s="13">
        <v>43023.581608796296</v>
      </c>
      <c r="G89" s="7">
        <v>62</v>
      </c>
      <c r="H89" s="21" t="s">
        <v>481</v>
      </c>
      <c r="I89" s="13">
        <v>43023.609293981484</v>
      </c>
      <c r="J89" s="7">
        <v>0</v>
      </c>
      <c r="K89" s="89" t="str">
        <f>IF(ISEVEN(B89),(B89-1)&amp;"/"&amp;B89,B89&amp;"/"&amp;(B89+1))</f>
        <v>4041/4042</v>
      </c>
      <c r="L89" s="185" t="str">
        <f>VLOOKUP(A89,'Trips&amp;Operators'!$C$1:$G$99911,5,FALSE)</f>
        <v>DAVIS MICHAEL</v>
      </c>
      <c r="M89" s="6">
        <f>I89-F89</f>
        <v>2.768518518860219E-2</v>
      </c>
      <c r="N89" s="7">
        <f>24*60*SUM($M89:$M89)</f>
        <v>39.866666671587154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-15T12:53:56-0600',mode:absolute,to:'2017-10-15T15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23.300599999999999</v>
      </c>
      <c r="Z89" s="204">
        <f>RIGHT(H89,LEN(H89)-4)/10000</f>
        <v>1.38E-2</v>
      </c>
      <c r="AA89" s="204">
        <f>ABS(Z89-Y89)</f>
        <v>23.286799999999999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/stypes="app*4041*20171015*"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5"/>
        <v>"%USERPROFILE%\Documents\GitHub\eaglep3\Utilities\RefineRTDCRunTimes.py" --tripid 176-15 --locoid 4041 --swversion DE.1.0.9.0 --startMP 204:233006 --initTime 2017-10-15T13:53:56 --startdatetime 2017-10-15T13:57:31 --delay 62 --endMP 204:138 --enddatetime 2017-10-15T14:37:23 --enforcementcount 0 &gt;&gt;%USERPROFILE%\Documents\GitHub\eaglep3-reporting\EC\2017-10-15-refined-times.txt</v>
      </c>
      <c r="AI8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{"issue":{"subject":"","project_id":79,"tracker_id":40,"status_id":1,"priority_id":2,"assigned_to_id":338,"start_date":"2017-10-15","description":"","custom_fields":[{"id":1,"name":"Subdivision","value":"EC"},{"id":4,"name":"Milepost","value":"0.0138"},{"id":17,"name":"Train ID","value":"176-15"},{"id":16,"name":"Locomotive ID","value":"4041"},{"id":130,"name":"Impact","value":""},{"id":150,"name":"Time of Event (Mountain Time)","value":"14:37:23"},{"id":151,"name":"Denver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7"/>
        <v>start /low /b %USERPROFILE%\Documents\GitHub\eaglep3\Utilities\DownloadLogsFromS3.py --loco 4041 --day 2017-10-15</v>
      </c>
      <c r="AN89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9"/>
        <v>https://d0f6bd738d7f1b3e5a7ca70fe4ff75f0.us-east-1.aws.found.io/app/kibana#/discover/Steve-Slow-Train-Analysis-(2080s-and-2083s)?_g=(refreshInterval:(display:Off,pause:!f,section:0,value:0),time:(from:'2017-10-15T12:53:56-0600',mode:absolute,to:'2017-10-15T15:37:23-0600'))&amp;_a=(columns:!('Message%20ID',Summary),filters:!(),index:'emp_*',interval:auto,query:(query_string:(analyze_wildcard:!t,query:'%22rtdc.l.rtdc.4041%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727</v>
      </c>
      <c r="B90" s="7">
        <v>4014</v>
      </c>
      <c r="C90" s="21" t="s">
        <v>194</v>
      </c>
      <c r="D90" s="21" t="s">
        <v>354</v>
      </c>
      <c r="E90" s="13">
        <v>43023.548773148148</v>
      </c>
      <c r="F90" s="13">
        <v>43023.552442129629</v>
      </c>
      <c r="G90" s="7">
        <v>63</v>
      </c>
      <c r="H90" s="21" t="s">
        <v>813</v>
      </c>
      <c r="I90" s="13">
        <v>43023.576516203706</v>
      </c>
      <c r="J90" s="7">
        <v>0</v>
      </c>
      <c r="K90" s="89" t="str">
        <f>IF(ISEVEN(B90),(B90-1)&amp;"/"&amp;B90,B90&amp;"/"&amp;(B90+1))</f>
        <v>4013/4014</v>
      </c>
      <c r="L90" s="185" t="str">
        <f>VLOOKUP(A90,'Trips&amp;Operators'!$C$1:$G$99911,5,FALSE)</f>
        <v>SAFIEF AEIMEN</v>
      </c>
      <c r="M90" s="6">
        <f>I90-F90</f>
        <v>2.4074074077361729E-2</v>
      </c>
      <c r="N90" s="7">
        <f>24*60*SUM($M90:$M90)</f>
        <v>34.66666667140089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-15T12:10:14-0600',mode:absolute,to:'2017-10-15T14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4.58E-2</v>
      </c>
      <c r="Z90" s="204">
        <f>RIGHT(H90,LEN(H90)-4)/10000</f>
        <v>23.332000000000001</v>
      </c>
      <c r="AA90" s="204">
        <f>ABS(Z90-Y90)</f>
        <v>23.286200000000001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/stypes="app*4014*20171015*"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5"/>
        <v>"%USERPROFILE%\Documents\GitHub\eaglep3\Utilities\RefineRTDCRunTimes.py" --tripid 177-15 --locoid 4014 --swversion DE.1.0.9.0 --startMP 204:458 --initTime 2017-10-15T13:10:14 --startdatetime 2017-10-15T13:15:31 --delay 63 --endMP 204:233320 --enddatetime 2017-10-15T13:50:11 --enforcementcount 0 &gt;&gt;%USERPROFILE%\Documents\GitHub\eaglep3-reporting\EC\2017-10-15-refined-times.txt</v>
      </c>
      <c r="AI9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{"issue":{"subject":"","project_id":79,"tracker_id":40,"status_id":1,"priority_id":2,"assigned_to_id":338,"start_date":"2017-10-15","description":"","custom_fields":[{"id":1,"name":"Subdivision","value":"EC"},{"id":4,"name":"Milepost","value":"23.332"},{"id":17,"name":"Train ID","value":"177-15"},{"id":16,"name":"Locomotive ID","value":"4014"},{"id":130,"name":"Impact","value":""},{"id":150,"name":"Time of Event (Mountain Time)","value":"13:50:11"},{"id":151,"name":"Denver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7"/>
        <v>start /low /b %USERPROFILE%\Documents\GitHub\eaglep3\Utilities\DownloadLogsFromS3.py --loco 4014 --day 2017-10-15</v>
      </c>
      <c r="AN90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9"/>
        <v>https://d0f6bd738d7f1b3e5a7ca70fe4ff75f0.us-east-1.aws.found.io/app/kibana#/discover/Steve-Slow-Train-Analysis-(2080s-and-2083s)?_g=(refreshInterval:(display:Off,pause:!f,section:0,value:0),time:(from:'2017-10-15T12:10:14-0600',mode:absolute,to:'2017-10-15T14:50:11-0600'))&amp;_a=(columns:!('Message%20ID',Summary),filters:!(),index:'emp_*',interval:auto,query:(query_string:(analyze_wildcard:!t,query:'%22rtdc.l.rtdc.4014%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736</v>
      </c>
      <c r="B91" s="7">
        <v>4013</v>
      </c>
      <c r="C91" s="21" t="s">
        <v>194</v>
      </c>
      <c r="D91" s="21" t="s">
        <v>829</v>
      </c>
      <c r="E91" s="13">
        <v>43023.581828703704</v>
      </c>
      <c r="F91" s="13">
        <v>43023.591979166667</v>
      </c>
      <c r="G91" s="7">
        <v>64</v>
      </c>
      <c r="H91" s="21" t="s">
        <v>336</v>
      </c>
      <c r="I91" s="13">
        <v>43023.619363425925</v>
      </c>
      <c r="J91" s="7">
        <v>0</v>
      </c>
      <c r="K91" s="89" t="str">
        <f>IF(ISEVEN(B91),(B91-1)&amp;"/"&amp;B91,B91&amp;"/"&amp;(B91+1))</f>
        <v>4013/4014</v>
      </c>
      <c r="L91" s="185" t="str">
        <f>VLOOKUP(A91,'Trips&amp;Operators'!$C$1:$G$99911,5,FALSE)</f>
        <v>SAFIEF AEIMEN</v>
      </c>
      <c r="M91" s="6">
        <f>I91-F91</f>
        <v>2.7384259257814847E-2</v>
      </c>
      <c r="N91" s="7">
        <f>24*60*SUM($M91:$M91)</f>
        <v>39.43333333125338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-15T12:57:50-0600',mode:absolute,to:'2017-10-15T15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23.3</v>
      </c>
      <c r="Z91" s="204">
        <f>RIGHT(H91,LEN(H91)-4)/10000</f>
        <v>1.49E-2</v>
      </c>
      <c r="AA91" s="204">
        <f>ABS(Z91-Y91)</f>
        <v>23.2851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/stypes="app*4013*20171015*"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5"/>
        <v>"%USERPROFILE%\Documents\GitHub\eaglep3\Utilities\RefineRTDCRunTimes.py" --tripid 178-15 --locoid 4013 --swversion DE.1.0.9.0 --startMP 204:233000 --initTime 2017-10-15T13:57:50 --startdatetime 2017-10-15T14:12:27 --delay 64 --endMP 204:149 --enddatetime 2017-10-15T14:51:53 --enforcementcount 0 &gt;&gt;%USERPROFILE%\Documents\GitHub\eaglep3-reporting\EC\2017-10-15-refined-times.txt</v>
      </c>
      <c r="AI9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{"issue":{"subject":"","project_id":79,"tracker_id":40,"status_id":1,"priority_id":2,"assigned_to_id":338,"start_date":"2017-10-15","description":"","custom_fields":[{"id":1,"name":"Subdivision","value":"EC"},{"id":4,"name":"Milepost","value":"0.0149"},{"id":17,"name":"Train ID","value":"178-15"},{"id":16,"name":"Locomotive ID","value":"4013"},{"id":130,"name":"Impact","value":""},{"id":150,"name":"Time of Event (Mountain Time)","value":"14:51:53"},{"id":151,"name":"Denver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7"/>
        <v>start /low /b %USERPROFILE%\Documents\GitHub\eaglep3\Utilities\DownloadLogsFromS3.py --loco 4013 --day 2017-10-15</v>
      </c>
      <c r="AN91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9"/>
        <v>https://d0f6bd738d7f1b3e5a7ca70fe4ff75f0.us-east-1.aws.found.io/app/kibana#/discover/Steve-Slow-Train-Analysis-(2080s-and-2083s)?_g=(refreshInterval:(display:Off,pause:!f,section:0,value:0),time:(from:'2017-10-15T12:57:50-0600',mode:absolute,to:'2017-10-15T15:51:53-0600'))&amp;_a=(columns:!('Message%20ID',Summary),filters:!(),index:'emp_*',interval:auto,query:(query_string:(analyze_wildcard:!t,query:'%22rtdc.l.rtdc.4013%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728</v>
      </c>
      <c r="B92" s="7">
        <v>4058</v>
      </c>
      <c r="C92" s="21" t="s">
        <v>194</v>
      </c>
      <c r="D92" s="21" t="s">
        <v>487</v>
      </c>
      <c r="E92" s="13">
        <v>43023.557013888887</v>
      </c>
      <c r="F92" s="13">
        <v>43023.562731481485</v>
      </c>
      <c r="G92" s="7">
        <v>52</v>
      </c>
      <c r="H92" s="21" t="s">
        <v>398</v>
      </c>
      <c r="I92" s="13">
        <v>43023.588541666664</v>
      </c>
      <c r="J92" s="7">
        <v>0</v>
      </c>
      <c r="K92" s="89" t="str">
        <f>IF(ISEVEN(B92),(B92-1)&amp;"/"&amp;B92,B92&amp;"/"&amp;(B92+1))</f>
        <v>4057/4058</v>
      </c>
      <c r="L92" s="185" t="str">
        <f>VLOOKUP(A92,'Trips&amp;Operators'!$C$1:$G$99911,5,FALSE)</f>
        <v>GUZMAN DANNY</v>
      </c>
      <c r="M92" s="6">
        <f>I92-F92</f>
        <v>2.5810185179580003E-2</v>
      </c>
      <c r="N92" s="7">
        <f>24*60*SUM($M92:$M92)</f>
        <v>37.166666658595204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-15T12:22:06-0600',mode:absolute,to:'2017-10-15T15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4.7699999999999999E-2</v>
      </c>
      <c r="Z92" s="204">
        <f>RIGHT(H92,LEN(H92)-4)/10000</f>
        <v>23.330200000000001</v>
      </c>
      <c r="AA92" s="204">
        <f>ABS(Z92-Y92)</f>
        <v>23.282500000000002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/stypes="app*4058*20171015*"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5"/>
        <v>"%USERPROFILE%\Documents\GitHub\eaglep3\Utilities\RefineRTDCRunTimes.py" --tripid 179-15 --locoid 4058 --swversion DE.1.0.9.0 --startMP 204:477 --initTime 2017-10-15T13:22:06 --startdatetime 2017-10-15T13:30:20 --delay 52 --endMP 204:233302 --enddatetime 2017-10-15T14:07:30 --enforcementcount 0 &gt;&gt;%USERPROFILE%\Documents\GitHub\eaglep3-reporting\EC\2017-10-15-refined-times.txt</v>
      </c>
      <c r="AI9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{"issue":{"subject":"","project_id":79,"tracker_id":40,"status_id":1,"priority_id":2,"assigned_to_id":338,"start_date":"2017-10-15","description":"","custom_fields":[{"id":1,"name":"Subdivision","value":"EC"},{"id":4,"name":"Milepost","value":"23.3302"},{"id":17,"name":"Train ID","value":"179-15"},{"id":16,"name":"Locomotive ID","value":"4058"},{"id":130,"name":"Impact","value":""},{"id":150,"name":"Time of Event (Mountain Time)","value":"14:07:30"},{"id":151,"name":"Denver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7"/>
        <v>start /low /b %USERPROFILE%\Documents\GitHub\eaglep3\Utilities\DownloadLogsFromS3.py --loco 4058 --day 2017-10-15</v>
      </c>
      <c r="AN92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9"/>
        <v>https://d0f6bd738d7f1b3e5a7ca70fe4ff75f0.us-east-1.aws.found.io/app/kibana#/discover/Steve-Slow-Train-Analysis-(2080s-and-2083s)?_g=(refreshInterval:(display:Off,pause:!f,section:0,value:0),time:(from:'2017-10-15T12:22:06-0600',mode:absolute,to:'2017-10-15T15:07:30-0600'))&amp;_a=(columns:!('Message%20ID',Summary),filters:!(),index:'emp_*',interval:auto,query:(query_string:(analyze_wildcard:!t,query:'%22rtdc.l.rtdc.4058%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737</v>
      </c>
      <c r="B93" s="7">
        <v>4057</v>
      </c>
      <c r="C93" s="21" t="s">
        <v>194</v>
      </c>
      <c r="D93" s="21" t="s">
        <v>443</v>
      </c>
      <c r="E93" s="13">
        <v>43023.589537037034</v>
      </c>
      <c r="F93" s="13">
        <v>43023.60224537037</v>
      </c>
      <c r="G93" s="7">
        <v>62</v>
      </c>
      <c r="H93" s="21" t="s">
        <v>358</v>
      </c>
      <c r="I93" s="13">
        <v>43023.628171296295</v>
      </c>
      <c r="J93" s="7">
        <v>0</v>
      </c>
      <c r="K93" s="89" t="str">
        <f>IF(ISEVEN(B93),(B93-1)&amp;"/"&amp;B93,B93&amp;"/"&amp;(B93+1))</f>
        <v>4057/4058</v>
      </c>
      <c r="L93" s="185" t="str">
        <f>VLOOKUP(A93,'Trips&amp;Operators'!$C$1:$G$99911,5,FALSE)</f>
        <v>GUZMAN DANNY</v>
      </c>
      <c r="M93" s="6">
        <f>I93-F93</f>
        <v>2.5925925925548654E-2</v>
      </c>
      <c r="N93" s="7">
        <f>24*60*SUM($M93:$M93)</f>
        <v>37.333333332790062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-15T13:08:56-0600',mode:absolute,to:'2017-10-15T16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23.2989</v>
      </c>
      <c r="Z93" s="204">
        <f>RIGHT(H93,LEN(H93)-4)/10000</f>
        <v>1.5599999999999999E-2</v>
      </c>
      <c r="AA93" s="204">
        <f>ABS(Z93-Y93)</f>
        <v>23.283300000000001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/stypes="app*4057*20171015*"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5"/>
        <v>"%USERPROFILE%\Documents\GitHub\eaglep3\Utilities\RefineRTDCRunTimes.py" --tripid 180-15 --locoid 4057 --swversion DE.1.0.9.0 --startMP 204:232989 --initTime 2017-10-15T14:08:56 --startdatetime 2017-10-15T14:27:14 --delay 62 --endMP 204:156 --enddatetime 2017-10-15T15:04:34 --enforcementcount 0 &gt;&gt;%USERPROFILE%\Documents\GitHub\eaglep3-reporting\EC\2017-10-15-refined-times.txt</v>
      </c>
      <c r="AI9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ID","value":"180-15"},{"id":16,"name":"Locomotive ID","value":"4057"},{"id":130,"name":"Impact","value":""},{"id":150,"name":"Time of Event (Mountain Time)","value":"15:04:34"},{"id":151,"name":"Denver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7"/>
        <v>start /low /b %USERPROFILE%\Documents\GitHub\eaglep3\Utilities\DownloadLogsFromS3.py --loco 4057 --day 2017-10-15</v>
      </c>
      <c r="AN93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9"/>
        <v>https://d0f6bd738d7f1b3e5a7ca70fe4ff75f0.us-east-1.aws.found.io/app/kibana#/discover/Steve-Slow-Train-Analysis-(2080s-and-2083s)?_g=(refreshInterval:(display:Off,pause:!f,section:0,value:0),time:(from:'2017-10-15T13:08:56-0600',mode:absolute,to:'2017-10-15T16:04:34-0600'))&amp;_a=(columns:!('Message%20ID',Summary),filters:!(),index:'emp_*',interval:auto,query:(query_string:(analyze_wildcard:!t,query:'%22rtdc.l.rtdc.4057%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731</v>
      </c>
      <c r="B94" s="7">
        <v>4032</v>
      </c>
      <c r="C94" s="21" t="s">
        <v>194</v>
      </c>
      <c r="D94" s="21" t="s">
        <v>532</v>
      </c>
      <c r="E94" s="13">
        <v>43023.569710648146</v>
      </c>
      <c r="F94" s="13">
        <v>43023.573136574072</v>
      </c>
      <c r="G94" s="7">
        <v>107</v>
      </c>
      <c r="H94" s="21" t="s">
        <v>861</v>
      </c>
      <c r="I94" s="13">
        <v>43023.59988425926</v>
      </c>
      <c r="J94" s="7">
        <v>0</v>
      </c>
      <c r="K94" s="89" t="str">
        <f>IF(ISEVEN(B94),(B94-1)&amp;"/"&amp;B94,B94&amp;"/"&amp;(B94+1))</f>
        <v>4031/4032</v>
      </c>
      <c r="L94" s="185" t="str">
        <f>VLOOKUP(A94,'Trips&amp;Operators'!$C$1:$G$99911,5,FALSE)</f>
        <v>WHITED DUSTIN</v>
      </c>
      <c r="M94" s="6">
        <f>I94-F94</f>
        <v>2.6747685187729076E-2</v>
      </c>
      <c r="N94" s="7">
        <f>24*60*SUM($M94:$M94)</f>
        <v>38.516666670329869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-15T12:40:23-0600',mode:absolute,to:'2017-10-15T15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4.82E-2</v>
      </c>
      <c r="Z94" s="204">
        <f>RIGHT(H94,LEN(H94)-4)/10000</f>
        <v>23.325099999999999</v>
      </c>
      <c r="AA94" s="204">
        <f>ABS(Z94-Y94)</f>
        <v>23.276899999999998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/stypes="app*4032*20171015*"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5"/>
        <v>"%USERPROFILE%\Documents\GitHub\eaglep3\Utilities\RefineRTDCRunTimes.py" --tripid 181-15 --locoid 4032 --swversion DE.1.0.9.0 --startMP 204:482 --initTime 2017-10-15T13:40:23 --startdatetime 2017-10-15T13:45:19 --delay 107 --endMP 204:233251 --enddatetime 2017-10-15T14:23:50 --enforcementcount 0 &gt;&gt;%USERPROFILE%\Documents\GitHub\eaglep3-reporting\EC\2017-10-15-refined-times.txt</v>
      </c>
      <c r="AI9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{"issue":{"subject":"","project_id":79,"tracker_id":40,"status_id":1,"priority_id":2,"assigned_to_id":338,"start_date":"2017-10-15","description":"","custom_fields":[{"id":1,"name":"Subdivision","value":"EC"},{"id":4,"name":"Milepost","value":"23.3251"},{"id":17,"name":"Train ID","value":"181-15"},{"id":16,"name":"Locomotive ID","value":"4032"},{"id":130,"name":"Impact","value":""},{"id":150,"name":"Time of Event (Mountain Time)","value":"14:23:50"},{"id":151,"name":"Denver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7"/>
        <v>start /low /b %USERPROFILE%\Documents\GitHub\eaglep3\Utilities\DownloadLogsFromS3.py --loco 4032 --day 2017-10-15</v>
      </c>
      <c r="AN94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9"/>
        <v>https://d0f6bd738d7f1b3e5a7ca70fe4ff75f0.us-east-1.aws.found.io/app/kibana#/discover/Steve-Slow-Train-Analysis-(2080s-and-2083s)?_g=(refreshInterval:(display:Off,pause:!f,section:0,value:0),time:(from:'2017-10-15T12:40:23-0600',mode:absolute,to:'2017-10-15T15:23:50-0600'))&amp;_a=(columns:!('Message%20ID',Summary),filters:!(),index:'emp_*',interval:auto,query:(query_string:(analyze_wildcard:!t,query:'%22rtdc.l.rtdc.4032%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739</v>
      </c>
      <c r="B95" s="7">
        <v>4031</v>
      </c>
      <c r="C95" s="21" t="s">
        <v>194</v>
      </c>
      <c r="D95" s="21" t="s">
        <v>842</v>
      </c>
      <c r="E95" s="13">
        <v>43023.606747685182</v>
      </c>
      <c r="F95" s="13">
        <v>43023.612858796296</v>
      </c>
      <c r="G95" s="7">
        <v>83</v>
      </c>
      <c r="H95" s="21" t="s">
        <v>358</v>
      </c>
      <c r="I95" s="13">
        <v>43023.640324074076</v>
      </c>
      <c r="J95" s="7">
        <v>0</v>
      </c>
      <c r="K95" s="89" t="str">
        <f>IF(ISEVEN(B95),(B95-1)&amp;"/"&amp;B95,B95&amp;"/"&amp;(B95+1))</f>
        <v>4031/4032</v>
      </c>
      <c r="L95" s="185" t="str">
        <f>VLOOKUP(A95,'Trips&amp;Operators'!$C$1:$G$99911,5,FALSE)</f>
        <v>WHITED DUSTIN</v>
      </c>
      <c r="M95" s="6">
        <f>I95-F95</f>
        <v>2.7465277780720498E-2</v>
      </c>
      <c r="N95" s="7">
        <f>24*60*SUM($M95:$M95)</f>
        <v>39.550000004237518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-15T13:33:43-0600',mode:absolute,to:'2017-10-15T16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23.294799999999999</v>
      </c>
      <c r="Z95" s="204">
        <f>RIGHT(H95,LEN(H95)-4)/10000</f>
        <v>1.5599999999999999E-2</v>
      </c>
      <c r="AA95" s="204">
        <f>ABS(Z95-Y95)</f>
        <v>23.279199999999999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/stypes="app*4031*20171015*"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5"/>
        <v>"%USERPROFILE%\Documents\GitHub\eaglep3\Utilities\RefineRTDCRunTimes.py" --tripid 182-15 --locoid 4031 --swversion DE.1.0.9.0 --startMP 204:232948 --initTime 2017-10-15T14:33:43 --startdatetime 2017-10-15T14:42:31 --delay 83 --endMP 204:156 --enddatetime 2017-10-15T15:22:04 --enforcementcount 0 &gt;&gt;%USERPROFILE%\Documents\GitHub\eaglep3-reporting\EC\2017-10-15-refined-times.txt</v>
      </c>
      <c r="AI9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ID","value":"182-15"},{"id":16,"name":"Locomotive ID","value":"4031"},{"id":130,"name":"Impact","value":""},{"id":150,"name":"Time of Event (Mountain Time)","value":"15:22:04"},{"id":151,"name":"Denver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7"/>
        <v>start /low /b %USERPROFILE%\Documents\GitHub\eaglep3\Utilities\DownloadLogsFromS3.py --loco 4031 --day 2017-10-15</v>
      </c>
      <c r="AN95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9"/>
        <v>https://d0f6bd738d7f1b3e5a7ca70fe4ff75f0.us-east-1.aws.found.io/app/kibana#/discover/Steve-Slow-Train-Analysis-(2080s-and-2083s)?_g=(refreshInterval:(display:Off,pause:!f,section:0,value:0),time:(from:'2017-10-15T13:33:43-0600',mode:absolute,to:'2017-10-15T16:22:04-0600'))&amp;_a=(columns:!('Message%20ID',Summary),filters:!(),index:'emp_*',interval:auto,query:(query_string:(analyze_wildcard:!t,query:'%22rtdc.l.rtdc.4031%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735</v>
      </c>
      <c r="B96" s="7">
        <v>4004</v>
      </c>
      <c r="C96" s="21" t="s">
        <v>194</v>
      </c>
      <c r="D96" s="21" t="s">
        <v>886</v>
      </c>
      <c r="E96" s="13">
        <v>43023.579594907409</v>
      </c>
      <c r="F96" s="13">
        <v>43023.583518518521</v>
      </c>
      <c r="G96" s="7">
        <v>58</v>
      </c>
      <c r="H96" s="21" t="s">
        <v>400</v>
      </c>
      <c r="I96" s="13">
        <v>43023.607743055552</v>
      </c>
      <c r="J96" s="7">
        <v>0</v>
      </c>
      <c r="K96" s="89" t="str">
        <f>IF(ISEVEN(B96),(B96-1)&amp;"/"&amp;B96,B96&amp;"/"&amp;(B96+1))</f>
        <v>4003/4004</v>
      </c>
      <c r="L96" s="185" t="str">
        <f>VLOOKUP(A96,'Trips&amp;Operators'!$C$1:$G$99911,5,FALSE)</f>
        <v>GONZALEZ ARMANDO</v>
      </c>
      <c r="M96" s="6">
        <f>I96-F96</f>
        <v>2.4224537031841464E-2</v>
      </c>
      <c r="N96" s="7">
        <f>24*60*SUM($M96:$M96)</f>
        <v>34.883333325851709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-15T12:54:37-0600',mode:absolute,to:'2017-10-15T15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4.8899999999999999E-2</v>
      </c>
      <c r="Z96" s="204">
        <f>RIGHT(H96,LEN(H96)-4)/10000</f>
        <v>23.333600000000001</v>
      </c>
      <c r="AA96" s="204">
        <f>ABS(Z96-Y96)</f>
        <v>23.284700000000001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/stypes="app*4004*20171015*"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5"/>
        <v>"%USERPROFILE%\Documents\GitHub\eaglep3\Utilities\RefineRTDCRunTimes.py" --tripid 183-15 --locoid 4004 --swversion DE.1.0.9.0 --startMP 204:489 --initTime 2017-10-15T13:54:37 --startdatetime 2017-10-15T14:00:16 --delay 58 --endMP 204:233336 --enddatetime 2017-10-15T14:35:09 --enforcementcount 0 &gt;&gt;%USERPROFILE%\Documents\GitHub\eaglep3-reporting\EC\2017-10-15-refined-times.txt</v>
      </c>
      <c r="AI9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{"issue":{"subject":"","project_id":79,"tracker_id":40,"status_id":1,"priority_id":2,"assigned_to_id":338,"start_date":"2017-10-15","description":"","custom_fields":[{"id":1,"name":"Subdivision","value":"EC"},{"id":4,"name":"Milepost","value":"23.3336"},{"id":17,"name":"Train ID","value":"183-15"},{"id":16,"name":"Locomotive ID","value":"4004"},{"id":130,"name":"Impact","value":""},{"id":150,"name":"Time of Event (Mountain Time)","value":"14:35:09"},{"id":151,"name":"Denver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7"/>
        <v>start /low /b %USERPROFILE%\Documents\GitHub\eaglep3\Utilities\DownloadLogsFromS3.py --loco 4004 --day 2017-10-15</v>
      </c>
      <c r="AN96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9"/>
        <v>https://d0f6bd738d7f1b3e5a7ca70fe4ff75f0.us-east-1.aws.found.io/app/kibana#/discover/Steve-Slow-Train-Analysis-(2080s-and-2083s)?_g=(refreshInterval:(display:Off,pause:!f,section:0,value:0),time:(from:'2017-10-15T12:54:37-0600',mode:absolute,to:'2017-10-15T15:35:09-0600'))&amp;_a=(columns:!('Message%20ID',Summary),filters:!(),index:'emp_*',interval:auto,query:(query_string:(analyze_wildcard:!t,query:'%22rtdc.l.rtdc.4004%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742</v>
      </c>
      <c r="B97" s="7">
        <v>4003</v>
      </c>
      <c r="C97" s="21" t="s">
        <v>194</v>
      </c>
      <c r="D97" s="21" t="s">
        <v>528</v>
      </c>
      <c r="E97" s="13">
        <v>43023.618460648147</v>
      </c>
      <c r="F97" s="13">
        <v>43023.623090277775</v>
      </c>
      <c r="G97" s="7">
        <v>53</v>
      </c>
      <c r="H97" s="21" t="s">
        <v>361</v>
      </c>
      <c r="I97" s="13">
        <v>43023.648611111108</v>
      </c>
      <c r="J97" s="7">
        <v>0</v>
      </c>
      <c r="K97" s="89" t="str">
        <f>IF(ISEVEN(B97),(B97-1)&amp;"/"&amp;B97,B97&amp;"/"&amp;(B97+1))</f>
        <v>4003/4004</v>
      </c>
      <c r="L97" s="185" t="str">
        <f>VLOOKUP(A97,'Trips&amp;Operators'!$C$1:$G$99911,5,FALSE)</f>
        <v>GONZALEZ ARMANDO</v>
      </c>
      <c r="M97" s="6">
        <f>I97-F97</f>
        <v>2.5520833332848269E-2</v>
      </c>
      <c r="N97" s="7">
        <f>24*60*SUM($M97:$M97)</f>
        <v>36.749999999301508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-15T13:50:35-0600',mode:absolute,to:'2017-10-15T16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23.302299999999999</v>
      </c>
      <c r="Z97" s="204">
        <f>RIGHT(H97,LEN(H97)-4)/10000</f>
        <v>1.61E-2</v>
      </c>
      <c r="AA97" s="204">
        <f>ABS(Z97-Y97)</f>
        <v>23.286199999999997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/stypes="app*4003*20171015*"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5"/>
        <v>"%USERPROFILE%\Documents\GitHub\eaglep3\Utilities\RefineRTDCRunTimes.py" --tripid 184-15 --locoid 4003 --swversion DE.1.0.9.0 --startMP 204:233023 --initTime 2017-10-15T14:50:35 --startdatetime 2017-10-15T14:57:15 --delay 53 --endMP 204:161 --enddatetime 2017-10-15T15:34:00 --enforcementcount 0 &gt;&gt;%USERPROFILE%\Documents\GitHub\eaglep3-reporting\EC\2017-10-15-refined-times.txt</v>
      </c>
      <c r="AI9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{"issue":{"subject":"","project_id":79,"tracker_id":40,"status_id":1,"priority_id":2,"assigned_to_id":338,"start_date":"2017-10-15","description":"","custom_fields":[{"id":1,"name":"Subdivision","value":"EC"},{"id":4,"name":"Milepost","value":"0.0161"},{"id":17,"name":"Train ID","value":"184-15"},{"id":16,"name":"Locomotive ID","value":"4003"},{"id":130,"name":"Impact","value":""},{"id":150,"name":"Time of Event (Mountain Time)","value":"15:34:00"},{"id":151,"name":"Denver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7"/>
        <v>start /low /b %USERPROFILE%\Documents\GitHub\eaglep3\Utilities\DownloadLogsFromS3.py --loco 4003 --day 2017-10-15</v>
      </c>
      <c r="AN97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9"/>
        <v>https://d0f6bd738d7f1b3e5a7ca70fe4ff75f0.us-east-1.aws.found.io/app/kibana#/discover/Steve-Slow-Train-Analysis-(2080s-and-2083s)?_g=(refreshInterval:(display:Off,pause:!f,section:0,value:0),time:(from:'2017-10-15T13:50:35-0600',mode:absolute,to:'2017-10-15T16:34:00-0600'))&amp;_a=(columns:!('Message%20ID',Summary),filters:!(),index:'emp_*',interval:auto,query:(query_string:(analyze_wildcard:!t,query:'%22rtdc.l.rtdc.4003%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577</v>
      </c>
      <c r="B98" s="7">
        <v>4036</v>
      </c>
      <c r="C98" s="21" t="s">
        <v>194</v>
      </c>
      <c r="D98" s="21" t="s">
        <v>345</v>
      </c>
      <c r="E98" s="13">
        <v>43023.590671296297</v>
      </c>
      <c r="F98" s="13">
        <v>43023.593958333331</v>
      </c>
      <c r="G98" s="7">
        <v>76</v>
      </c>
      <c r="H98" s="21" t="s">
        <v>832</v>
      </c>
      <c r="I98" s="13">
        <v>43023.620335648149</v>
      </c>
      <c r="J98" s="7">
        <v>0</v>
      </c>
      <c r="K98" s="89" t="str">
        <f>IF(ISEVEN(B98),(B98-1)&amp;"/"&amp;B98,B98&amp;"/"&amp;(B98+1))</f>
        <v>4035/4036</v>
      </c>
      <c r="L98" s="185" t="str">
        <f>VLOOKUP(A98,'Trips&amp;Operators'!$C$1:$G$99911,5,FALSE)</f>
        <v>STEWART MICHAEL</v>
      </c>
      <c r="M98" s="6">
        <f>I98-F98</f>
        <v>2.6377314818091691E-2</v>
      </c>
      <c r="N98" s="7">
        <f>24*60*SUM($M98:$M98)</f>
        <v>37.983333338052034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-15T13:10:34-0600',mode:absolute,to:'2017-10-15T15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4.5499999999999999E-2</v>
      </c>
      <c r="Z98" s="204">
        <f>RIGHT(H98,LEN(H98)-4)/10000</f>
        <v>23.329699999999999</v>
      </c>
      <c r="AA98" s="204">
        <f>ABS(Z98-Y98)</f>
        <v>23.284199999999998</v>
      </c>
      <c r="AB98" s="54" t="str">
        <f>VLOOKUP(A98,Enforcements!$C$7:$K$11,8,0)</f>
        <v>Bulletin (2)</v>
      </c>
      <c r="AC98" s="51" t="str">
        <f>VLOOKUP(A98,Enforcements!$C$7:$E$11,3,0)</f>
        <v>GRADE CROSSING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/stypes="app*4036*20171015*"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5"/>
        <v>"%USERPROFILE%\Documents\GitHub\eaglep3\Utilities\RefineRTDCRunTimes.py" --tripid 185-15 --locoid 4036 --swversion DE.1.0.9.0 --startMP 204:455 --initTime 2017-10-15T14:10:34 --startdatetime 2017-10-15T14:15:18 --delay 76 --endMP 204:233297 --enddatetime 2017-10-15T14:53:17 --enforcementcount 0 &gt;&gt;%USERPROFILE%\Documents\GitHub\eaglep3-reporting\EC\2017-10-15-refined-times.txt</v>
      </c>
      <c r="AI98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{"issue":{"subject":"","project_id":79,"tracker_id":40,"status_id":1,"priority_id":2,"assigned_to_id":338,"start_date":"2017-10-15","description":"","custom_fields":[{"id":1,"name":"Subdivision","value":"EC"},{"id":4,"name":"Milepost","value":"23.3297"},{"id":17,"name":"Train ID","value":"185-15"},{"id":16,"name":"Locomotive ID","value":"4036"},{"id":130,"name":"Impact","value":""},{"id":150,"name":"Time of Event (Mountain Time)","value":"14:53:17"},{"id":151,"name":"Denver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7"/>
        <v>start /low /b %USERPROFILE%\Documents\GitHub\eaglep3\Utilities\DownloadLogsFromS3.py --loco 4036 --day 2017-10-15</v>
      </c>
      <c r="AN98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9"/>
        <v>https://d0f6bd738d7f1b3e5a7ca70fe4ff75f0.us-east-1.aws.found.io/app/kibana#/discover/Steve-Slow-Train-Analysis-(2080s-and-2083s)?_g=(refreshInterval:(display:Off,pause:!f,section:0,value:0),time:(from:'2017-10-15T13:10:34-0600',mode:absolute,to:'2017-10-15T15:53:17-0600'))&amp;_a=(columns:!('Message%20ID',Summary),filters:!(),index:'emp_*',interval:auto,query:(query_string:(analyze_wildcard:!t,query:'%22rtdc.l.rtdc.4036%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745</v>
      </c>
      <c r="B99" s="7">
        <v>4035</v>
      </c>
      <c r="C99" s="21" t="s">
        <v>194</v>
      </c>
      <c r="D99" s="21" t="s">
        <v>482</v>
      </c>
      <c r="E99" s="13">
        <v>43023.631423611114</v>
      </c>
      <c r="F99" s="13">
        <v>43023.633657407408</v>
      </c>
      <c r="G99" s="7">
        <v>105</v>
      </c>
      <c r="H99" s="21" t="s">
        <v>358</v>
      </c>
      <c r="I99" s="13">
        <v>43023.66064814815</v>
      </c>
      <c r="J99" s="7">
        <v>0</v>
      </c>
      <c r="K99" s="89" t="str">
        <f>IF(ISEVEN(B99),(B99-1)&amp;"/"&amp;B99,B99&amp;"/"&amp;(B99+1))</f>
        <v>4035/4036</v>
      </c>
      <c r="L99" s="185" t="str">
        <f>VLOOKUP(A99,'Trips&amp;Operators'!$C$1:$G$99911,5,FALSE)</f>
        <v>STEWART MICHAEL</v>
      </c>
      <c r="M99" s="6">
        <f>I99-F99</f>
        <v>2.6990740741894115E-2</v>
      </c>
      <c r="N99" s="7">
        <f>24*60*SUM($M99:$M99)</f>
        <v>38.866666668327525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-15T14:09:15-0600',mode:absolute,to:'2017-10-15T16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23.297799999999999</v>
      </c>
      <c r="Z99" s="204">
        <f>RIGHT(H99,LEN(H99)-4)/10000</f>
        <v>1.5599999999999999E-2</v>
      </c>
      <c r="AA99" s="204">
        <f>ABS(Z99-Y99)</f>
        <v>23.2822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/stypes="app*4035*20171015*"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5"/>
        <v>"%USERPROFILE%\Documents\GitHub\eaglep3\Utilities\RefineRTDCRunTimes.py" --tripid 186-15 --locoid 4035 --swversion DE.1.0.9.0 --startMP 204:232978 --initTime 2017-10-15T15:09:15 --startdatetime 2017-10-15T15:12:28 --delay 105 --endMP 204:156 --enddatetime 2017-10-15T15:51:20 --enforcementcount 0 &gt;&gt;%USERPROFILE%\Documents\GitHub\eaglep3-reporting\EC\2017-10-15-refined-times.txt</v>
      </c>
      <c r="AI9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ID","value":"186-15"},{"id":16,"name":"Locomotive ID","value":"4035"},{"id":130,"name":"Impact","value":""},{"id":150,"name":"Time of Event (Mountain Time)","value":"15:51:20"},{"id":151,"name":"Denver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7"/>
        <v>start /low /b %USERPROFILE%\Documents\GitHub\eaglep3\Utilities\DownloadLogsFromS3.py --loco 4035 --day 2017-10-15</v>
      </c>
      <c r="AN99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9"/>
        <v>https://d0f6bd738d7f1b3e5a7ca70fe4ff75f0.us-east-1.aws.found.io/app/kibana#/discover/Steve-Slow-Train-Analysis-(2080s-and-2083s)?_g=(refreshInterval:(display:Off,pause:!f,section:0,value:0),time:(from:'2017-10-15T14:09:15-0600',mode:absolute,to:'2017-10-15T16:51:20-0600'))&amp;_a=(columns:!('Message%20ID',Summary),filters:!(),index:'emp_*',interval:auto,query:(query_string:(analyze_wildcard:!t,query:'%22rtdc.l.rtdc.4035%22')),sort:!(Time.ISO8601,asc))</v>
      </c>
    </row>
    <row r="100" spans="1:91" s="20" customFormat="1" x14ac:dyDescent="0.25">
      <c r="A100" s="32" t="s">
        <v>738</v>
      </c>
      <c r="B100" s="7">
        <v>4016</v>
      </c>
      <c r="C100" s="21" t="s">
        <v>194</v>
      </c>
      <c r="D100" s="21" t="s">
        <v>380</v>
      </c>
      <c r="E100" s="13">
        <v>43023.599953703706</v>
      </c>
      <c r="F100" s="13">
        <v>43023.604386574072</v>
      </c>
      <c r="G100" s="7">
        <v>67</v>
      </c>
      <c r="H100" s="21" t="s">
        <v>397</v>
      </c>
      <c r="I100" s="13">
        <v>43023.629016203704</v>
      </c>
      <c r="J100" s="7">
        <v>0</v>
      </c>
      <c r="K100" s="89" t="str">
        <f>IF(ISEVEN(B100),(B100-1)&amp;"/"&amp;B100,B100&amp;"/"&amp;(B100+1))</f>
        <v>4015/4016</v>
      </c>
      <c r="L100" s="185" t="str">
        <f>VLOOKUP(A100,'Trips&amp;Operators'!$C$1:$G$99911,5,FALSE)</f>
        <v>SMITH MICHAEL</v>
      </c>
      <c r="M100" s="6">
        <f>I100-F100</f>
        <v>2.4629629631817807E-2</v>
      </c>
      <c r="N100" s="7">
        <f>24*60*SUM($M100:$M100)</f>
        <v>35.466666669817641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-15T13:23:56-0600',mode:absolute,to:'2017-10-15T16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4.5699999999999998E-2</v>
      </c>
      <c r="Z100" s="204">
        <f>RIGHT(H100,LEN(H100)-4)/10000</f>
        <v>23.3308</v>
      </c>
      <c r="AA100" s="204">
        <f>ABS(Z100-Y100)</f>
        <v>23.2851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/stypes="app*4016*20171015*"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5"/>
        <v>"%USERPROFILE%\Documents\GitHub\eaglep3\Utilities\RefineRTDCRunTimes.py" --tripid 187-15 --locoid 4016 --swversion DE.1.0.9.0 --startMP 204:457 --initTime 2017-10-15T14:23:56 --startdatetime 2017-10-15T14:30:19 --delay 67 --endMP 204:233308 --enddatetime 2017-10-15T15:05:47 --enforcementcount 0 &gt;&gt;%USERPROFILE%\Documents\GitHub\eaglep3-reporting\EC\2017-10-15-refined-times.txt</v>
      </c>
      <c r="AI10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{"issue":{"subject":"","project_id":79,"tracker_id":40,"status_id":1,"priority_id":2,"assigned_to_id":338,"start_date":"2017-10-15","description":"","custom_fields":[{"id":1,"name":"Subdivision","value":"EC"},{"id":4,"name":"Milepost","value":"23.3308"},{"id":17,"name":"Train ID","value":"187-15"},{"id":16,"name":"Locomotive ID","value":"4016"},{"id":130,"name":"Impact","value":""},{"id":150,"name":"Time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17"/>
        <v>start /low /b %USERPROFILE%\Documents\GitHub\eaglep3\Utilities\DownloadLogsFromS3.py --loco 4016 --day 2017-10-15</v>
      </c>
      <c r="AN100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9"/>
        <v>https://d0f6bd738d7f1b3e5a7ca70fe4ff75f0.us-east-1.aws.found.io/app/kibana#/discover/Steve-Slow-Train-Analysis-(2080s-and-2083s)?_g=(refreshInterval:(display:Off,pause:!f,section:0,value:0),time:(from:'2017-10-15T13:23:56-0600',mode:absolute,to:'2017-10-15T16:05:47-0600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746</v>
      </c>
      <c r="B101" s="7">
        <v>4015</v>
      </c>
      <c r="C101" s="21" t="s">
        <v>194</v>
      </c>
      <c r="D101" s="21" t="s">
        <v>443</v>
      </c>
      <c r="E101" s="13">
        <v>43023.636354166665</v>
      </c>
      <c r="F101" s="13">
        <v>43023.643969907411</v>
      </c>
      <c r="G101" s="7">
        <v>66</v>
      </c>
      <c r="H101" s="21" t="s">
        <v>336</v>
      </c>
      <c r="I101" s="13">
        <v>43023.670046296298</v>
      </c>
      <c r="J101" s="7">
        <v>0</v>
      </c>
      <c r="K101" s="89" t="str">
        <f>IF(ISEVEN(B101),(B101-1)&amp;"/"&amp;B101,B101&amp;"/"&amp;(B101+1))</f>
        <v>4015/4016</v>
      </c>
      <c r="L101" s="185" t="str">
        <f>VLOOKUP(A101,'Trips&amp;Operators'!$C$1:$G$99911,5,FALSE)</f>
        <v>SMITH MICHAEL</v>
      </c>
      <c r="M101" s="6">
        <f>I101-F101</f>
        <v>2.6076388887304347E-2</v>
      </c>
      <c r="N101" s="7">
        <f>24*60*SUM($M101:$M101)</f>
        <v>37.54999999771826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-15T14:16:21-0600',mode:absolute,to:'2017-10-15T17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23.2989</v>
      </c>
      <c r="Z101" s="204">
        <f>RIGHT(H101,LEN(H101)-4)/10000</f>
        <v>1.49E-2</v>
      </c>
      <c r="AA101" s="204">
        <f>ABS(Z101-Y101)</f>
        <v>23.283999999999999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/stypes="app*4015*20171015*"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5"/>
        <v>"%USERPROFILE%\Documents\GitHub\eaglep3\Utilities\RefineRTDCRunTimes.py" --tripid 188-15 --locoid 4015 --swversion DE.1.0.9.0 --startMP 204:232989 --initTime 2017-10-15T15:16:21 --startdatetime 2017-10-15T15:27:19 --delay 66 --endMP 204:149 --enddatetime 2017-10-15T16:04:52 --enforcementcount 0 &gt;&gt;%USERPROFILE%\Documents\GitHub\eaglep3-reporting\EC\2017-10-15-refined-times.txt</v>
      </c>
      <c r="AI10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{"issue":{"subject":"","project_id":79,"tracker_id":40,"status_id":1,"priority_id":2,"assigned_to_id":338,"start_date":"2017-10-15","description":"","custom_fields":[{"id":1,"name":"Subdivision","value":"EC"},{"id":4,"name":"Milepost","value":"0.0149"},{"id":17,"name":"Train ID","value":"188-15"},{"id":16,"name":"Locomotive ID","value":"4015"},{"id":130,"name":"Impact","value":""},{"id":150,"name":"Time of Event (Mountain Time)","value":"16:04:52"},{"id":151,"name":"Denver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7"/>
        <v>start /low /b %USERPROFILE%\Documents\GitHub\eaglep3\Utilities\DownloadLogsFromS3.py --loco 4015 --day 2017-10-15</v>
      </c>
      <c r="AN101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9"/>
        <v>https://d0f6bd738d7f1b3e5a7ca70fe4ff75f0.us-east-1.aws.found.io/app/kibana#/discover/Steve-Slow-Train-Analysis-(2080s-and-2083s)?_g=(refreshInterval:(display:Off,pause:!f,section:0,value:0),time:(from:'2017-10-15T14:16:21-0600',mode:absolute,to:'2017-10-15T17:04:52-0600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741</v>
      </c>
      <c r="B102" s="7">
        <v>4042</v>
      </c>
      <c r="C102" s="21" t="s">
        <v>194</v>
      </c>
      <c r="D102" s="21" t="s">
        <v>437</v>
      </c>
      <c r="E102" s="13">
        <v>43023.612557870372</v>
      </c>
      <c r="F102" s="13">
        <v>43023.614918981482</v>
      </c>
      <c r="G102" s="7">
        <v>60</v>
      </c>
      <c r="H102" s="21" t="s">
        <v>823</v>
      </c>
      <c r="I102" s="13">
        <v>43023.640949074077</v>
      </c>
      <c r="J102" s="7">
        <v>0</v>
      </c>
      <c r="K102" s="89" t="str">
        <f>IF(ISEVEN(B102),(B102-1)&amp;"/"&amp;B102,B102&amp;"/"&amp;(B102+1))</f>
        <v>4041/4042</v>
      </c>
      <c r="L102" s="185" t="str">
        <f>VLOOKUP(A102,'Trips&amp;Operators'!$C$1:$G$99911,5,FALSE)</f>
        <v>DAVIS MICHAEL</v>
      </c>
      <c r="M102" s="6">
        <f>I102-F102</f>
        <v>2.6030092594737653E-2</v>
      </c>
      <c r="N102" s="7">
        <f>24*60*SUM($M102:$M102)</f>
        <v>37.48333333642222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-15T13:42:05-0600',mode:absolute,to:'2017-10-15T16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4.4200000000000003E-2</v>
      </c>
      <c r="Z102" s="204">
        <f>RIGHT(H102,LEN(H102)-4)/10000</f>
        <v>23.3337</v>
      </c>
      <c r="AA102" s="204">
        <f>ABS(Z102-Y102)</f>
        <v>23.2895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/stypes="app*4042*20171015*"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5"/>
        <v>"%USERPROFILE%\Documents\GitHub\eaglep3\Utilities\RefineRTDCRunTimes.py" --tripid 189-15 --locoid 4042 --swversion DE.1.0.9.0 --startMP 204:442 --initTime 2017-10-15T14:42:05 --startdatetime 2017-10-15T14:45:29 --delay 60 --endMP 204:233337 --enddatetime 2017-10-15T15:22:58 --enforcementcount 0 &gt;&gt;%USERPROFILE%\Documents\GitHub\eaglep3-reporting\EC\2017-10-15-refined-times.txt</v>
      </c>
      <c r="AI10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{"issue":{"subject":"","project_id":79,"tracker_id":40,"status_id":1,"priority_id":2,"assigned_to_id":338,"start_date":"2017-10-15","description":"","custom_fields":[{"id":1,"name":"Subdivision","value":"EC"},{"id":4,"name":"Milepost","value":"23.3337"},{"id":17,"name":"Train ID","value":"189-15"},{"id":16,"name":"Locomotive ID","value":"4042"},{"id":130,"name":"Impact","value":""},{"id":150,"name":"Time of Event (Mountain Time)","value":"15:22:58"},{"id":151,"name":"Denver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7"/>
        <v>start /low /b %USERPROFILE%\Documents\GitHub\eaglep3\Utilities\DownloadLogsFromS3.py --loco 4042 --day 2017-10-15</v>
      </c>
      <c r="AN102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9"/>
        <v>https://d0f6bd738d7f1b3e5a7ca70fe4ff75f0.us-east-1.aws.found.io/app/kibana#/discover/Steve-Slow-Train-Analysis-(2080s-and-2083s)?_g=(refreshInterval:(display:Off,pause:!f,section:0,value:0),time:(from:'2017-10-15T13:42:05-0600',mode:absolute,to:'2017-10-15T16:22:58-0600'))&amp;_a=(columns:!('Message%20ID',Summary),filters:!(),index:'emp_*',interval:auto,query:(query_string:(analyze_wildcard:!t,query:'%22rtdc.l.rtdc.4042%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750</v>
      </c>
      <c r="B103" s="7">
        <v>4041</v>
      </c>
      <c r="C103" s="21" t="s">
        <v>194</v>
      </c>
      <c r="D103" s="21" t="s">
        <v>548</v>
      </c>
      <c r="E103" s="13">
        <v>43023.651736111111</v>
      </c>
      <c r="F103" s="13">
        <v>43023.654745370368</v>
      </c>
      <c r="G103" s="7">
        <v>65</v>
      </c>
      <c r="H103" s="21" t="s">
        <v>355</v>
      </c>
      <c r="I103" s="13">
        <v>43023.682210648149</v>
      </c>
      <c r="J103" s="7">
        <v>0</v>
      </c>
      <c r="K103" s="89" t="str">
        <f>IF(ISEVEN(B103),(B103-1)&amp;"/"&amp;B103,B103&amp;"/"&amp;(B103+1))</f>
        <v>4041/4042</v>
      </c>
      <c r="L103" s="185" t="str">
        <f>VLOOKUP(A103,'Trips&amp;Operators'!$C$1:$G$99911,5,FALSE)</f>
        <v>DAVIS MICHAEL</v>
      </c>
      <c r="M103" s="6">
        <f>I103-F103</f>
        <v>2.7465277780720498E-2</v>
      </c>
      <c r="N103" s="7">
        <f>24*60*SUM($M103:$M103)</f>
        <v>39.550000004237518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-15T14:38:30-0600',mode:absolute,to:'2017-10-15T17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23.301500000000001</v>
      </c>
      <c r="Z103" s="204">
        <f>RIGHT(H103,LEN(H103)-4)/10000</f>
        <v>1.52E-2</v>
      </c>
      <c r="AA103" s="204">
        <f>ABS(Z103-Y103)</f>
        <v>23.286300000000001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/stypes="app*4041*20171015*"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5"/>
        <v>"%USERPROFILE%\Documents\GitHub\eaglep3\Utilities\RefineRTDCRunTimes.py" --tripid 190-15 --locoid 4041 --swversion DE.1.0.9.0 --startMP 204:233015 --initTime 2017-10-15T15:38:30 --startdatetime 2017-10-15T15:42:50 --delay 65 --endMP 204:152 --enddatetime 2017-10-15T16:22:23 --enforcementcount 0 &gt;&gt;%USERPROFILE%\Documents\GitHub\eaglep3-reporting\EC\2017-10-15-refined-times.txt</v>
      </c>
      <c r="AI10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{"issue":{"subject":"","project_id":79,"tracker_id":40,"status_id":1,"priority_id":2,"assigned_to_id":338,"start_date":"2017-10-15","description":"","custom_fields":[{"id":1,"name":"Subdivision","value":"EC"},{"id":4,"name":"Milepost","value":"0.0152"},{"id":17,"name":"Train ID","value":"190-15"},{"id":16,"name":"Locomotive ID","value":"4041"},{"id":130,"name":"Impact","value":""},{"id":150,"name":"Time of Event (Mountain Time)","value":"16:22:23"},{"id":151,"name":"Denver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7"/>
        <v>start /low /b %USERPROFILE%\Documents\GitHub\eaglep3\Utilities\DownloadLogsFromS3.py --loco 4041 --day 2017-10-15</v>
      </c>
      <c r="AN103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9"/>
        <v>https://d0f6bd738d7f1b3e5a7ca70fe4ff75f0.us-east-1.aws.found.io/app/kibana#/discover/Steve-Slow-Train-Analysis-(2080s-and-2083s)?_g=(refreshInterval:(display:Off,pause:!f,section:0,value:0),time:(from:'2017-10-15T14:38:30-0600',mode:absolute,to:'2017-10-15T17:22:23-0600'))&amp;_a=(columns:!('Message%20ID',Summary),filters:!(),index:'emp_*',interval:auto,query:(query_string:(analyze_wildcard:!t,query:'%22rtdc.l.rtdc.4041%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743</v>
      </c>
      <c r="B104" s="7">
        <v>4014</v>
      </c>
      <c r="C104" s="21" t="s">
        <v>194</v>
      </c>
      <c r="D104" s="21" t="s">
        <v>345</v>
      </c>
      <c r="E104" s="13">
        <v>43023.623726851853</v>
      </c>
      <c r="F104" s="13">
        <v>43023.625289351854</v>
      </c>
      <c r="G104" s="7">
        <v>56</v>
      </c>
      <c r="H104" s="21" t="s">
        <v>897</v>
      </c>
      <c r="I104" s="13">
        <v>43023.649976851855</v>
      </c>
      <c r="J104" s="7">
        <v>0</v>
      </c>
      <c r="K104" s="89" t="str">
        <f>IF(ISEVEN(B104),(B104-1)&amp;"/"&amp;B104,B104&amp;"/"&amp;(B104+1))</f>
        <v>4013/4014</v>
      </c>
      <c r="L104" s="185" t="str">
        <f>VLOOKUP(A104,'Trips&amp;Operators'!$C$1:$G$99911,5,FALSE)</f>
        <v>SAFIEF AEIMEN</v>
      </c>
      <c r="M104" s="6">
        <f>I104-F104</f>
        <v>2.4687500001164153E-2</v>
      </c>
      <c r="N104" s="7">
        <f>24*60*SUM($M104:$M104)</f>
        <v>35.550000001676381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-15T13:58:10-0600',mode:absolute,to:'2017-10-15T16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4.5499999999999999E-2</v>
      </c>
      <c r="Z104" s="204">
        <f>RIGHT(H104,LEN(H104)-4)/10000</f>
        <v>23.338000000000001</v>
      </c>
      <c r="AA104" s="204">
        <f>ABS(Z104-Y104)</f>
        <v>23.2925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/stypes="app*4014*20171015*"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5"/>
        <v>"%USERPROFILE%\Documents\GitHub\eaglep3\Utilities\RefineRTDCRunTimes.py" --tripid 191-15 --locoid 4014 --swversion DE.1.0.9.0 --startMP 204:455 --initTime 2017-10-15T14:58:10 --startdatetime 2017-10-15T15:00:25 --delay 56 --endMP 204:233380 --enddatetime 2017-10-15T15:35:58 --enforcementcount 0 &gt;&gt;%USERPROFILE%\Documents\GitHub\eaglep3-reporting\EC\2017-10-15-refined-times.txt</v>
      </c>
      <c r="AI10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{"issue":{"subject":"","project_id":79,"tracker_id":40,"status_id":1,"priority_id":2,"assigned_to_id":338,"start_date":"2017-10-15","description":"","custom_fields":[{"id":1,"name":"Subdivision","value":"EC"},{"id":4,"name":"Milepost","value":"23.338"},{"id":17,"name":"Train ID","value":"191-15"},{"id":16,"name":"Locomotive ID","value":"4014"},{"id":130,"name":"Impact","value":""},{"id":150,"name":"Time of Event (Mountain Time)","value":"15:35:58"},{"id":151,"name":"Denver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7"/>
        <v>start /low /b %USERPROFILE%\Documents\GitHub\eaglep3\Utilities\DownloadLogsFromS3.py --loco 4014 --day 2017-10-15</v>
      </c>
      <c r="AN104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9"/>
        <v>https://d0f6bd738d7f1b3e5a7ca70fe4ff75f0.us-east-1.aws.found.io/app/kibana#/discover/Steve-Slow-Train-Analysis-(2080s-and-2083s)?_g=(refreshInterval:(display:Off,pause:!f,section:0,value:0),time:(from:'2017-10-15T13:58:10-0600',mode:absolute,to:'2017-10-15T16:35:58-0600'))&amp;_a=(columns:!('Message%20ID',Summary),filters:!(),index:'emp_*',interval:auto,query:(query_string:(analyze_wildcard:!t,query:'%22rtdc.l.rtdc.4014%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751</v>
      </c>
      <c r="B105" s="7">
        <v>4013</v>
      </c>
      <c r="C105" s="21" t="s">
        <v>194</v>
      </c>
      <c r="D105" s="21" t="s">
        <v>528</v>
      </c>
      <c r="E105" s="13">
        <v>43023.65457175926</v>
      </c>
      <c r="F105" s="13">
        <v>43023.664733796293</v>
      </c>
      <c r="G105" s="7">
        <v>206</v>
      </c>
      <c r="H105" s="21" t="s">
        <v>898</v>
      </c>
      <c r="I105" s="13">
        <v>43023.69222222222</v>
      </c>
      <c r="J105" s="7">
        <v>0</v>
      </c>
      <c r="K105" s="89" t="str">
        <f>IF(ISEVEN(B105),(B105-1)&amp;"/"&amp;B105,B105&amp;"/"&amp;(B105+1))</f>
        <v>4013/4014</v>
      </c>
      <c r="L105" s="185" t="str">
        <f>VLOOKUP(A105,'Trips&amp;Operators'!$C$1:$G$99911,5,FALSE)</f>
        <v>SAFIEF AEIMEN</v>
      </c>
      <c r="M105" s="6">
        <f>I105-F105</f>
        <v>2.7488425927003846E-2</v>
      </c>
      <c r="N105" s="7">
        <f>24*60*SUM($M105:$M105)</f>
        <v>39.583333334885538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-15T14:42:35-0600',mode:absolute,to:'2017-10-15T17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23.302299999999999</v>
      </c>
      <c r="Z105" s="204">
        <f>RIGHT(H105,LEN(H105)-4)/10000</f>
        <v>1.26E-2</v>
      </c>
      <c r="AA105" s="204">
        <f>ABS(Z105-Y105)</f>
        <v>23.2897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/stypes="app*4013*20171015*"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5"/>
        <v>"%USERPROFILE%\Documents\GitHub\eaglep3\Utilities\RefineRTDCRunTimes.py" --tripid 192-15 --locoid 4013 --swversion DE.1.0.9.0 --startMP 204:233023 --initTime 2017-10-15T15:42:35 --startdatetime 2017-10-15T15:57:13 --delay 206 --endMP 204:126 --enddatetime 2017-10-15T16:36:48 --enforcementcount 0 &gt;&gt;%USERPROFILE%\Documents\GitHub\eaglep3-reporting\EC\2017-10-15-refined-times.txt</v>
      </c>
      <c r="AI10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{"issue":{"subject":"","project_id":79,"tracker_id":40,"status_id":1,"priority_id":2,"assigned_to_id":338,"start_date":"2017-10-15","description":"","custom_fields":[{"id":1,"name":"Subdivision","value":"EC"},{"id":4,"name":"Milepost","value":"0.0126"},{"id":17,"name":"Train ID","value":"192-15"},{"id":16,"name":"Locomotive ID","value":"4013"},{"id":130,"name":"Impact","value":""},{"id":150,"name":"Time of Event (Mountain Time)","value":"16:36:48"},{"id":151,"name":"Denver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7"/>
        <v>start /low /b %USERPROFILE%\Documents\GitHub\eaglep3\Utilities\DownloadLogsFromS3.py --loco 4013 --day 2017-10-15</v>
      </c>
      <c r="AN105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9"/>
        <v>https://d0f6bd738d7f1b3e5a7ca70fe4ff75f0.us-east-1.aws.found.io/app/kibana#/discover/Steve-Slow-Train-Analysis-(2080s-and-2083s)?_g=(refreshInterval:(display:Off,pause:!f,section:0,value:0),time:(from:'2017-10-15T14:42:35-0600',mode:absolute,to:'2017-10-15T17:36:48-0600'))&amp;_a=(columns:!('Message%20ID',Summary),filters:!(),index:'emp_*',interval:auto,query:(query_string:(analyze_wildcard:!t,query:'%22rtdc.l.rtdc.4013%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744</v>
      </c>
      <c r="B106" s="7">
        <v>4058</v>
      </c>
      <c r="C106" s="21" t="s">
        <v>194</v>
      </c>
      <c r="D106" s="21" t="s">
        <v>441</v>
      </c>
      <c r="E106" s="13">
        <v>43023.629606481481</v>
      </c>
      <c r="F106" s="13">
        <v>43023.635578703703</v>
      </c>
      <c r="G106" s="7">
        <v>70</v>
      </c>
      <c r="H106" s="21" t="s">
        <v>529</v>
      </c>
      <c r="I106" s="13">
        <v>43023.660729166666</v>
      </c>
      <c r="J106" s="7">
        <v>0</v>
      </c>
      <c r="K106" s="89" t="str">
        <f>IF(ISEVEN(B106),(B106-1)&amp;"/"&amp;B106,B106&amp;"/"&amp;(B106+1))</f>
        <v>4057/4058</v>
      </c>
      <c r="L106" s="185" t="str">
        <f>VLOOKUP(A106,'Trips&amp;Operators'!$C$1:$G$99911,5,FALSE)</f>
        <v>GUZMAN DANNY</v>
      </c>
      <c r="M106" s="6">
        <f>I106-F106</f>
        <v>2.5150462963210884E-2</v>
      </c>
      <c r="N106" s="7">
        <f>24*60*SUM($M106:$M106)</f>
        <v>36.216666667023674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-15T14:06:38-0600',mode:absolute,to:'2017-10-15T16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4.6199999999999998E-2</v>
      </c>
      <c r="Z106" s="204">
        <f>RIGHT(H106,LEN(H106)-4)/10000</f>
        <v>23.329899999999999</v>
      </c>
      <c r="AA106" s="204">
        <f>ABS(Z106-Y106)</f>
        <v>23.2837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/stypes="app*4058*20171015*"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5"/>
        <v>"%USERPROFILE%\Documents\GitHub\eaglep3\Utilities\RefineRTDCRunTimes.py" --tripid 193-15 --locoid 4058 --swversion DE.1.0.9.0 --startMP 204:462 --initTime 2017-10-15T15:06:38 --startdatetime 2017-10-15T15:15:14 --delay 70 --endMP 204:233299 --enddatetime 2017-10-15T15:51:27 --enforcementcount 0 &gt;&gt;%USERPROFILE%\Documents\GitHub\eaglep3-reporting\EC\2017-10-15-refined-times.txt</v>
      </c>
      <c r="AI10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{"issue":{"subject":"","project_id":79,"tracker_id":40,"status_id":1,"priority_id":2,"assigned_to_id":338,"start_date":"2017-10-15","description":"","custom_fields":[{"id":1,"name":"Subdivision","value":"EC"},{"id":4,"name":"Milepost","value":"23.3299"},{"id":17,"name":"Train ID","value":"193-15"},{"id":16,"name":"Locomotive ID","value":"4058"},{"id":130,"name":"Impact","value":""},{"id":150,"name":"Time of Event (Mountain Time)","value":"15:51:27"},{"id":151,"name":"Denver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7"/>
        <v>start /low /b %USERPROFILE%\Documents\GitHub\eaglep3\Utilities\DownloadLogsFromS3.py --loco 4058 --day 2017-10-15</v>
      </c>
      <c r="AN106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9"/>
        <v>https://d0f6bd738d7f1b3e5a7ca70fe4ff75f0.us-east-1.aws.found.io/app/kibana#/discover/Steve-Slow-Train-Analysis-(2080s-and-2083s)?_g=(refreshInterval:(display:Off,pause:!f,section:0,value:0),time:(from:'2017-10-15T14:06:38-0600',mode:absolute,to:'2017-10-15T16:51:27-0600'))&amp;_a=(columns:!('Message%20ID',Summary),filters:!(),index:'emp_*',interval:auto,query:(query_string:(analyze_wildcard:!t,query:'%22rtdc.l.rtdc.4058%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752</v>
      </c>
      <c r="B107" s="7">
        <v>4057</v>
      </c>
      <c r="C107" s="21" t="s">
        <v>194</v>
      </c>
      <c r="D107" s="21" t="s">
        <v>548</v>
      </c>
      <c r="E107" s="13">
        <v>43023.662638888891</v>
      </c>
      <c r="F107" s="13">
        <v>43023.675162037034</v>
      </c>
      <c r="G107" s="7">
        <v>49</v>
      </c>
      <c r="H107" s="21" t="s">
        <v>336</v>
      </c>
      <c r="I107" s="13">
        <v>43023.701041666667</v>
      </c>
      <c r="J107" s="7">
        <v>0</v>
      </c>
      <c r="K107" s="89" t="str">
        <f>IF(ISEVEN(B107),(B107-1)&amp;"/"&amp;B107,B107&amp;"/"&amp;(B107+1))</f>
        <v>4057/4058</v>
      </c>
      <c r="L107" s="185" t="str">
        <f>VLOOKUP(A107,'Trips&amp;Operators'!$C$1:$G$99911,5,FALSE)</f>
        <v>GUZMAN DANNY</v>
      </c>
      <c r="M107" s="6">
        <f>I107-F107</f>
        <v>2.587962963298196E-2</v>
      </c>
      <c r="N107" s="7">
        <f>24*60*SUM($M107:$M107)</f>
        <v>37.266666671494022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-15T14:54:12-0600',mode:absolute,to:'2017-10-15T17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23.301500000000001</v>
      </c>
      <c r="Z107" s="204">
        <f>RIGHT(H107,LEN(H107)-4)/10000</f>
        <v>1.49E-2</v>
      </c>
      <c r="AA107" s="204">
        <f>ABS(Z107-Y107)</f>
        <v>23.2866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/stypes="app*4057*20171015*"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5"/>
        <v>"%USERPROFILE%\Documents\GitHub\eaglep3\Utilities\RefineRTDCRunTimes.py" --tripid 194-15 --locoid 4057 --swversion DE.1.0.9.0 --startMP 204:233015 --initTime 2017-10-15T15:54:12 --startdatetime 2017-10-15T16:12:14 --delay 49 --endMP 204:149 --enddatetime 2017-10-15T16:49:30 --enforcementcount 0 &gt;&gt;%USERPROFILE%\Documents\GitHub\eaglep3-reporting\EC\2017-10-15-refined-times.txt</v>
      </c>
      <c r="AI10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{"issue":{"subject":"","project_id":79,"tracker_id":40,"status_id":1,"priority_id":2,"assigned_to_id":338,"start_date":"2017-10-15","description":"","custom_fields":[{"id":1,"name":"Subdivision","value":"EC"},{"id":4,"name":"Milepost","value":"0.0149"},{"id":17,"name":"Train ID","value":"194-15"},{"id":16,"name":"Locomotive ID","value":"4057"},{"id":130,"name":"Impact","value":""},{"id":150,"name":"Time of Event (Mountain Time)","value":"16:49:30"},{"id":151,"name":"Denver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7"/>
        <v>start /low /b %USERPROFILE%\Documents\GitHub\eaglep3\Utilities\DownloadLogsFromS3.py --loco 4057 --day 2017-10-15</v>
      </c>
      <c r="AN107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9"/>
        <v>https://d0f6bd738d7f1b3e5a7ca70fe4ff75f0.us-east-1.aws.found.io/app/kibana#/discover/Steve-Slow-Train-Analysis-(2080s-and-2083s)?_g=(refreshInterval:(display:Off,pause:!f,section:0,value:0),time:(from:'2017-10-15T14:54:12-0600',mode:absolute,to:'2017-10-15T17:49:30-0600'))&amp;_a=(columns:!('Message%20ID',Summary),filters:!(),index:'emp_*',interval:auto,query:(query_string:(analyze_wildcard:!t,query:'%22rtdc.l.rtdc.4057%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747</v>
      </c>
      <c r="B108" s="7">
        <v>4032</v>
      </c>
      <c r="C108" s="21" t="s">
        <v>194</v>
      </c>
      <c r="D108" s="21" t="s">
        <v>420</v>
      </c>
      <c r="E108" s="13">
        <v>43023.643750000003</v>
      </c>
      <c r="F108" s="13">
        <v>43023.645995370367</v>
      </c>
      <c r="G108" s="7">
        <v>71</v>
      </c>
      <c r="H108" s="21" t="s">
        <v>398</v>
      </c>
      <c r="I108" s="13">
        <v>43023.671435185184</v>
      </c>
      <c r="J108" s="7">
        <v>0</v>
      </c>
      <c r="K108" s="89" t="str">
        <f>IF(ISEVEN(B108),(B108-1)&amp;"/"&amp;B108,B108&amp;"/"&amp;(B108+1))</f>
        <v>4031/4032</v>
      </c>
      <c r="L108" s="185" t="str">
        <f>VLOOKUP(A108,'Trips&amp;Operators'!$C$1:$G$99911,5,FALSE)</f>
        <v>BADERTSCHER DIANE</v>
      </c>
      <c r="M108" s="6">
        <f>I108-F108</f>
        <v>2.5439814817218576E-2</v>
      </c>
      <c r="N108" s="7">
        <f>24*60*SUM($M108:$M108)</f>
        <v>36.633333336794749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-15T14:27:00-0600',mode:absolute,to:'2017-10-15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4.6399999999999997E-2</v>
      </c>
      <c r="Z108" s="204">
        <f>RIGHT(H108,LEN(H108)-4)/10000</f>
        <v>23.330200000000001</v>
      </c>
      <c r="AA108" s="204">
        <f>ABS(Z108-Y108)</f>
        <v>23.283800000000003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/stypes="app*4032*20171015*"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5"/>
        <v>"%USERPROFILE%\Documents\GitHub\eaglep3\Utilities\RefineRTDCRunTimes.py" --tripid 195-15 --locoid 4032 --swversion DE.1.0.9.0 --startMP 204:464 --initTime 2017-10-15T15:27:00 --startdatetime 2017-10-15T15:30:14 --delay 71 --endMP 204:233302 --enddatetime 2017-10-15T16:06:52 --enforcementcount 0 &gt;&gt;%USERPROFILE%\Documents\GitHub\eaglep3-reporting\EC\2017-10-15-refined-times.txt</v>
      </c>
      <c r="AI108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{"issue":{"subject":"","project_id":79,"tracker_id":40,"status_id":1,"priority_id":2,"assigned_to_id":338,"start_date":"2017-10-15","description":"","custom_fields":[{"id":1,"name":"Subdivision","value":"EC"},{"id":4,"name":"Milepost","value":"23.3302"},{"id":17,"name":"Train ID","value":"195-15"},{"id":16,"name":"Locomotive ID","value":"4032"},{"id":130,"name":"Impact","value":""},{"id":150,"name":"Time of Event (Mountain Time)","value":"16:06:52"},{"id":151,"name":"Denver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7"/>
        <v>start /low /b %USERPROFILE%\Documents\GitHub\eaglep3\Utilities\DownloadLogsFromS3.py --loco 4032 --day 2017-10-15</v>
      </c>
      <c r="AN108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9"/>
        <v>https://d0f6bd738d7f1b3e5a7ca70fe4ff75f0.us-east-1.aws.found.io/app/kibana#/discover/Steve-Slow-Train-Analysis-(2080s-and-2083s)?_g=(refreshInterval:(display:Off,pause:!f,section:0,value:0),time:(from:'2017-10-15T14:27:00-0600',mode:absolute,to:'2017-10-15T17:06:52-0600'))&amp;_a=(columns:!('Message%20ID',Summary),filters:!(),index:'emp_*',interval:auto,query:(query_string:(analyze_wildcard:!t,query:'%22rtdc.l.rtdc.4032%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755</v>
      </c>
      <c r="B109" s="7">
        <v>4031</v>
      </c>
      <c r="C109" s="21" t="s">
        <v>194</v>
      </c>
      <c r="D109" s="21" t="s">
        <v>419</v>
      </c>
      <c r="E109" s="13">
        <v>43023.674571759257</v>
      </c>
      <c r="F109" s="13">
        <v>43023.68577546296</v>
      </c>
      <c r="G109" s="7">
        <v>139</v>
      </c>
      <c r="H109" s="21" t="s">
        <v>899</v>
      </c>
      <c r="I109" s="13">
        <v>43023.713946759257</v>
      </c>
      <c r="J109" s="7">
        <v>0</v>
      </c>
      <c r="K109" s="89" t="str">
        <f>IF(ISEVEN(B109),(B109-1)&amp;"/"&amp;B109,B109&amp;"/"&amp;(B109+1))</f>
        <v>4031/4032</v>
      </c>
      <c r="L109" s="185" t="str">
        <f>VLOOKUP(A109,'Trips&amp;Operators'!$C$1:$G$99911,5,FALSE)</f>
        <v>BADERTSCHER DIANE</v>
      </c>
      <c r="M109" s="6">
        <f>I109-F109</f>
        <v>2.8171296296932269E-2</v>
      </c>
      <c r="N109" s="7">
        <f>24*60*SUM($M109:$M109)</f>
        <v>40.566666667582467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-15T15:11:23-0600',mode:absolute,to:'2017-10-15T18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23.297699999999999</v>
      </c>
      <c r="Z109" s="204">
        <f>RIGHT(H109,LEN(H109)-4)/10000</f>
        <v>1.2500000000000001E-2</v>
      </c>
      <c r="AA109" s="204">
        <f>ABS(Z109-Y109)</f>
        <v>23.2852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/stypes="app*4031*20171015*"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5"/>
        <v>"%USERPROFILE%\Documents\GitHub\eaglep3\Utilities\RefineRTDCRunTimes.py" --tripid 196-15 --locoid 4031 --swversion DE.1.0.9.0 --startMP 204:232977 --initTime 2017-10-15T16:11:23 --startdatetime 2017-10-15T16:27:31 --delay 139 --endMP 204:125 --enddatetime 2017-10-15T17:08:05 --enforcementcount 0 &gt;&gt;%USERPROFILE%\Documents\GitHub\eaglep3-reporting\EC\2017-10-15-refined-times.txt</v>
      </c>
      <c r="AI10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{"issue":{"subject":"","project_id":79,"tracker_id":40,"status_id":1,"priority_id":2,"assigned_to_id":338,"start_date":"2017-10-15","description":"","custom_fields":[{"id":1,"name":"Subdivision","value":"EC"},{"id":4,"name":"Milepost","value":"0.0125"},{"id":17,"name":"Train ID","value":"196-15"},{"id":16,"name":"Locomotive ID","value":"4031"},{"id":130,"name":"Impact","value":""},{"id":150,"name":"Time of Event (Mountain Time)","value":"17:08:05"},{"id":151,"name":"Denver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7"/>
        <v>start /low /b %USERPROFILE%\Documents\GitHub\eaglep3\Utilities\DownloadLogsFromS3.py --loco 4031 --day 2017-10-15</v>
      </c>
      <c r="AN109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9"/>
        <v>https://d0f6bd738d7f1b3e5a7ca70fe4ff75f0.us-east-1.aws.found.io/app/kibana#/discover/Steve-Slow-Train-Analysis-(2080s-and-2083s)?_g=(refreshInterval:(display:Off,pause:!f,section:0,value:0),time:(from:'2017-10-15T15:11:23-0600',mode:absolute,to:'2017-10-15T18:08:05-0600'))&amp;_a=(columns:!('Message%20ID',Summary),filters:!(),index:'emp_*',interval:auto,query:(query_string:(analyze_wildcard:!t,query:'%22rtdc.l.rtdc.4031%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748</v>
      </c>
      <c r="B110" s="7">
        <v>4004</v>
      </c>
      <c r="C110" s="21" t="s">
        <v>194</v>
      </c>
      <c r="D110" s="21" t="s">
        <v>396</v>
      </c>
      <c r="E110" s="13">
        <v>43023.649780092594</v>
      </c>
      <c r="F110" s="13">
        <v>43023.656435185185</v>
      </c>
      <c r="G110" s="7">
        <v>66</v>
      </c>
      <c r="H110" s="21" t="s">
        <v>428</v>
      </c>
      <c r="I110" s="13">
        <v>43023.681886574072</v>
      </c>
      <c r="J110" s="7">
        <v>0</v>
      </c>
      <c r="K110" s="89" t="str">
        <f>IF(ISEVEN(B110),(B110-1)&amp;"/"&amp;B110,B110&amp;"/"&amp;(B110+1))</f>
        <v>4003/4004</v>
      </c>
      <c r="L110" s="185" t="str">
        <f>VLOOKUP(A110,'Trips&amp;Operators'!$C$1:$G$99911,5,FALSE)</f>
        <v>RESPASS AARON</v>
      </c>
      <c r="M110" s="6">
        <f>I110-F110</f>
        <v>2.545138888672227E-2</v>
      </c>
      <c r="N110" s="7">
        <f>24*60*SUM($M110:$M110)</f>
        <v>36.649999996880069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-15T14:35:41-0600',mode:absolute,to:'2017-10-15T17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4.7500000000000001E-2</v>
      </c>
      <c r="Z110" s="204">
        <f>RIGHT(H110,LEN(H110)-4)/10000</f>
        <v>23.330300000000001</v>
      </c>
      <c r="AA110" s="204">
        <f>ABS(Z110-Y110)</f>
        <v>23.282800000000002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/stypes="app*4004*20171015*"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5"/>
        <v>"%USERPROFILE%\Documents\GitHub\eaglep3\Utilities\RefineRTDCRunTimes.py" --tripid 197-15 --locoid 4004 --swversion DE.1.0.9.0 --startMP 204:475 --initTime 2017-10-15T15:35:41 --startdatetime 2017-10-15T15:45:16 --delay 66 --endMP 204:233303 --enddatetime 2017-10-15T16:21:55 --enforcementcount 0 &gt;&gt;%USERPROFILE%\Documents\GitHub\eaglep3-reporting\EC\2017-10-15-refined-times.txt</v>
      </c>
      <c r="AI11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{"issue":{"subject":"","project_id":79,"tracker_id":40,"status_id":1,"priority_id":2,"assigned_to_id":338,"start_date":"2017-10-15","description":"","custom_fields":[{"id":1,"name":"Subdivision","value":"EC"},{"id":4,"name":"Milepost","value":"23.3303"},{"id":17,"name":"Train ID","value":"197-15"},{"id":16,"name":"Locomotive ID","value":"4004"},{"id":130,"name":"Impact","value":""},{"id":150,"name":"Time of Event (Mountain Time)","value":"16:21:55"},{"id":151,"name":"Denver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7"/>
        <v>start /low /b %USERPROFILE%\Documents\GitHub\eaglep3\Utilities\DownloadLogsFromS3.py --loco 4004 --day 2017-10-15</v>
      </c>
      <c r="AN110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9"/>
        <v>https://d0f6bd738d7f1b3e5a7ca70fe4ff75f0.us-east-1.aws.found.io/app/kibana#/discover/Steve-Slow-Train-Analysis-(2080s-and-2083s)?_g=(refreshInterval:(display:Off,pause:!f,section:0,value:0),time:(from:'2017-10-15T14:35:41-0600',mode:absolute,to:'2017-10-15T17:21:55-0600'))&amp;_a=(columns:!('Message%20ID',Summary),filters:!(),index:'emp_*',interval:auto,query:(query_string:(analyze_wildcard:!t,query:'%22rtdc.l.rtdc.4004%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761</v>
      </c>
      <c r="B111" s="7">
        <v>4003</v>
      </c>
      <c r="C111" s="21" t="s">
        <v>194</v>
      </c>
      <c r="D111" s="21" t="s">
        <v>538</v>
      </c>
      <c r="E111" s="13">
        <v>43023.692673611113</v>
      </c>
      <c r="F111" s="13">
        <v>43023.696053240739</v>
      </c>
      <c r="G111" s="7">
        <v>73</v>
      </c>
      <c r="H111" s="21" t="s">
        <v>374</v>
      </c>
      <c r="I111" s="13">
        <v>43023.723877314813</v>
      </c>
      <c r="J111" s="7">
        <v>0</v>
      </c>
      <c r="K111" s="89" t="str">
        <f>IF(ISEVEN(B111),(B111-1)&amp;"/"&amp;B111,B111&amp;"/"&amp;(B111+1))</f>
        <v>4003/4004</v>
      </c>
      <c r="L111" s="185" t="str">
        <f>VLOOKUP(A111,'Trips&amp;Operators'!$C$1:$G$99911,5,FALSE)</f>
        <v>RESPASS AARON</v>
      </c>
      <c r="M111" s="6">
        <f>I111-F111</f>
        <v>2.7824074073578231E-2</v>
      </c>
      <c r="N111" s="7">
        <f>24*60*SUM($M111:$M111)</f>
        <v>40.066666665952653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-15T15:37:27-0600',mode:absolute,to:'2017-10-15T18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23.2973</v>
      </c>
      <c r="Z111" s="204">
        <f>RIGHT(H111,LEN(H111)-4)/10000</f>
        <v>1.54E-2</v>
      </c>
      <c r="AA111" s="204">
        <f>ABS(Z111-Y111)</f>
        <v>23.2819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/stypes="app*4003*20171015*"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5"/>
        <v>"%USERPROFILE%\Documents\GitHub\eaglep3\Utilities\RefineRTDCRunTimes.py" --tripid 198-15 --locoid 4003 --swversion DE.1.0.9.0 --startMP 204:232973 --initTime 2017-10-15T16:37:27 --startdatetime 2017-10-15T16:42:19 --delay 73 --endMP 204:154 --enddatetime 2017-10-15T17:22:23 --enforcementcount 0 &gt;&gt;%USERPROFILE%\Documents\GitHub\eaglep3-reporting\EC\2017-10-15-refined-times.txt</v>
      </c>
      <c r="AI11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{"issue":{"subject":"","project_id":79,"tracker_id":40,"status_id":1,"priority_id":2,"assigned_to_id":338,"start_date":"2017-10-15","description":"","custom_fields":[{"id":1,"name":"Subdivision","value":"EC"},{"id":4,"name":"Milepost","value":"0.0154"},{"id":17,"name":"Train ID","value":"198-15"},{"id":16,"name":"Locomotive ID","value":"4003"},{"id":130,"name":"Impact","value":""},{"id":150,"name":"Time of Event (Mountain Time)","value":"17:22:23"},{"id":151,"name":"Denver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7"/>
        <v>start /low /b %USERPROFILE%\Documents\GitHub\eaglep3\Utilities\DownloadLogsFromS3.py --loco 4003 --day 2017-10-15</v>
      </c>
      <c r="AN111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9"/>
        <v>https://d0f6bd738d7f1b3e5a7ca70fe4ff75f0.us-east-1.aws.found.io/app/kibana#/discover/Steve-Slow-Train-Analysis-(2080s-and-2083s)?_g=(refreshInterval:(display:Off,pause:!f,section:0,value:0),time:(from:'2017-10-15T15:37:27-0600',mode:absolute,to:'2017-10-15T18:22:23-0600'))&amp;_a=(columns:!('Message%20ID',Summary),filters:!(),index:'emp_*',interval:auto,query:(query_string:(analyze_wildcard:!t,query:'%22rtdc.l.rtdc.4003%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753</v>
      </c>
      <c r="B112" s="7">
        <v>4036</v>
      </c>
      <c r="C112" s="21" t="s">
        <v>194</v>
      </c>
      <c r="D112" s="21" t="s">
        <v>441</v>
      </c>
      <c r="E112" s="13">
        <v>43023.663483796299</v>
      </c>
      <c r="F112" s="13">
        <v>43023.666909722226</v>
      </c>
      <c r="G112" s="7">
        <v>58</v>
      </c>
      <c r="H112" s="21" t="s">
        <v>900</v>
      </c>
      <c r="I112" s="13">
        <v>43023.691886574074</v>
      </c>
      <c r="J112" s="7">
        <v>0</v>
      </c>
      <c r="K112" s="89" t="str">
        <f>IF(ISEVEN(B112),(B112-1)&amp;"/"&amp;B112,B112&amp;"/"&amp;(B112+1))</f>
        <v>4035/4036</v>
      </c>
      <c r="L112" s="185" t="str">
        <f>VLOOKUP(A112,'Trips&amp;Operators'!$C$1:$G$99911,5,FALSE)</f>
        <v>STEWART MICHAEL</v>
      </c>
      <c r="M112" s="6">
        <f>I112-F112</f>
        <v>2.4976851847895887E-2</v>
      </c>
      <c r="N112" s="7">
        <f>24*60*SUM($M112:$M112)</f>
        <v>35.966666660970077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-15T14:55:25-0600',mode:absolute,to:'2017-10-15T17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4.6199999999999998E-2</v>
      </c>
      <c r="Z112" s="204">
        <f>RIGHT(H112,LEN(H112)-4)/10000</f>
        <v>23.328499999999998</v>
      </c>
      <c r="AA112" s="204">
        <f>ABS(Z112-Y112)</f>
        <v>23.282299999999999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/stypes="app*4036*20171015*"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5"/>
        <v>"%USERPROFILE%\Documents\GitHub\eaglep3\Utilities\RefineRTDCRunTimes.py" --tripid 199-15 --locoid 4036 --swversion DE.1.0.9.0 --startMP 204:462 --initTime 2017-10-15T15:55:25 --startdatetime 2017-10-15T16:00:21 --delay 58 --endMP 204:233285 --enddatetime 2017-10-15T16:36:19 --enforcementcount 0 &gt;&gt;%USERPROFILE%\Documents\GitHub\eaglep3-reporting\EC\2017-10-15-refined-times.txt</v>
      </c>
      <c r="AI11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{"issue":{"subject":"","project_id":79,"tracker_id":40,"status_id":1,"priority_id":2,"assigned_to_id":338,"start_date":"2017-10-15","description":"","custom_fields":[{"id":1,"name":"Subdivision","value":"EC"},{"id":4,"name":"Milepost","value":"23.3285"},{"id":17,"name":"Train ID","value":"199-15"},{"id":16,"name":"Locomotive ID","value":"4036"},{"id":130,"name":"Impact","value":""},{"id":150,"name":"Time of Event (Mountain Time)","value":"16:36:19"},{"id":151,"name":"Denver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7"/>
        <v>start /low /b %USERPROFILE%\Documents\GitHub\eaglep3\Utilities\DownloadLogsFromS3.py --loco 4036 --day 2017-10-15</v>
      </c>
      <c r="AN112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9"/>
        <v>https://d0f6bd738d7f1b3e5a7ca70fe4ff75f0.us-east-1.aws.found.io/app/kibana#/discover/Steve-Slow-Train-Analysis-(2080s-and-2083s)?_g=(refreshInterval:(display:Off,pause:!f,section:0,value:0),time:(from:'2017-10-15T14:55:25-0600',mode:absolute,to:'2017-10-15T17:36:19-0600'))&amp;_a=(columns:!('Message%20ID',Summary),filters:!(),index:'emp_*',interval:auto,query:(query_string:(analyze_wildcard:!t,query:'%22rtdc.l.rtdc.4036%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762</v>
      </c>
      <c r="B113" s="7">
        <v>4035</v>
      </c>
      <c r="C113" s="21" t="s">
        <v>194</v>
      </c>
      <c r="D113" s="21" t="s">
        <v>901</v>
      </c>
      <c r="E113" s="13">
        <v>43023.701724537037</v>
      </c>
      <c r="F113" s="13">
        <v>43023.706493055557</v>
      </c>
      <c r="G113" s="7">
        <v>52</v>
      </c>
      <c r="H113" s="21" t="s">
        <v>364</v>
      </c>
      <c r="I113" s="13">
        <v>43023.735462962963</v>
      </c>
      <c r="J113" s="7">
        <v>0</v>
      </c>
      <c r="K113" s="89" t="str">
        <f>IF(ISEVEN(B113),(B113-1)&amp;"/"&amp;B113,B113&amp;"/"&amp;(B113+1))</f>
        <v>4035/4036</v>
      </c>
      <c r="L113" s="185" t="str">
        <f>VLOOKUP(A113,'Trips&amp;Operators'!$C$1:$G$99911,5,FALSE)</f>
        <v>STEWART MICHAEL</v>
      </c>
      <c r="M113" s="6">
        <f>I113-F113</f>
        <v>2.8969907405553386E-2</v>
      </c>
      <c r="N113" s="7">
        <f>24*60*SUM($M113:$M113)</f>
        <v>41.716666663996875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-15T15:50:29-0600',mode:absolute,to:'2017-10-15T18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23.297899999999998</v>
      </c>
      <c r="Z113" s="204">
        <f>RIGHT(H113,LEN(H113)-4)/10000</f>
        <v>1.5800000000000002E-2</v>
      </c>
      <c r="AA113" s="204">
        <f>ABS(Z113-Y113)</f>
        <v>23.2821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/stypes="app*4035*20171015*"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5"/>
        <v>"%USERPROFILE%\Documents\GitHub\eaglep3\Utilities\RefineRTDCRunTimes.py" --tripid 200-15 --locoid 4035 --swversion DE.1.0.9.0 --startMP 204:232979 --initTime 2017-10-15T16:50:29 --startdatetime 2017-10-15T16:57:21 --delay 52 --endMP 204:158 --enddatetime 2017-10-15T17:39:04 --enforcementcount 0 &gt;&gt;%USERPROFILE%\Documents\GitHub\eaglep3-reporting\EC\2017-10-15-refined-times.txt</v>
      </c>
      <c r="AI11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{"issue":{"subject":"","project_id":79,"tracker_id":40,"status_id":1,"priority_id":2,"assigned_to_id":338,"start_date":"2017-10-15","description":"","custom_fields":[{"id":1,"name":"Subdivision","value":"EC"},{"id":4,"name":"Milepost","value":"0.0158"},{"id":17,"name":"Train ID","value":"200-15"},{"id":16,"name":"Locomotive ID","value":"4035"},{"id":130,"name":"Impact","value":""},{"id":150,"name":"Time of Event (Mountain Time)","value":"17:39:04"},{"id":151,"name":"Denver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7"/>
        <v>start /low /b %USERPROFILE%\Documents\GitHub\eaglep3\Utilities\DownloadLogsFromS3.py --loco 4035 --day 2017-10-15</v>
      </c>
      <c r="AN113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9"/>
        <v>https://d0f6bd738d7f1b3e5a7ca70fe4ff75f0.us-east-1.aws.found.io/app/kibana#/discover/Steve-Slow-Train-Analysis-(2080s-and-2083s)?_g=(refreshInterval:(display:Off,pause:!f,section:0,value:0),time:(from:'2017-10-15T15:50:29-0600',mode:absolute,to:'2017-10-15T18:39:04-0600'))&amp;_a=(columns:!('Message%20ID',Summary),filters:!(),index:'emp_*',interval:auto,query:(query_string:(analyze_wildcard:!t,query:'%22rtdc.l.rtdc.4035%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754</v>
      </c>
      <c r="B114" s="7">
        <v>4016</v>
      </c>
      <c r="C114" s="21" t="s">
        <v>194</v>
      </c>
      <c r="D114" s="21" t="s">
        <v>380</v>
      </c>
      <c r="E114" s="13">
        <v>43023.673796296294</v>
      </c>
      <c r="F114" s="13">
        <v>43023.677349537036</v>
      </c>
      <c r="G114" s="7">
        <v>62</v>
      </c>
      <c r="H114" s="21" t="s">
        <v>428</v>
      </c>
      <c r="I114" s="13">
        <v>43023.702534722222</v>
      </c>
      <c r="J114" s="7">
        <v>0</v>
      </c>
      <c r="K114" s="89" t="str">
        <f>IF(ISEVEN(B114),(B114-1)&amp;"/"&amp;B114,B114&amp;"/"&amp;(B114+1))</f>
        <v>4015/4016</v>
      </c>
      <c r="L114" s="185" t="str">
        <f>VLOOKUP(A114,'Trips&amp;Operators'!$C$1:$G$99911,5,FALSE)</f>
        <v>SMITH MICHAEL</v>
      </c>
      <c r="M114" s="6">
        <f>I114-F114</f>
        <v>2.5185185186273884E-2</v>
      </c>
      <c r="N114" s="7">
        <f>24*60*SUM($M114:$M114)</f>
        <v>36.266666668234393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-15T15:10:16-0600',mode:absolute,to:'2017-10-15T17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4.5699999999999998E-2</v>
      </c>
      <c r="Z114" s="204">
        <f>RIGHT(H114,LEN(H114)-4)/10000</f>
        <v>23.330300000000001</v>
      </c>
      <c r="AA114" s="204">
        <f>ABS(Z114-Y114)</f>
        <v>23.284600000000001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/stypes="app*4016*20171015*"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5"/>
        <v>"%USERPROFILE%\Documents\GitHub\eaglep3\Utilities\RefineRTDCRunTimes.py" --tripid 201-15 --locoid 4016 --swversion DE.1.0.9.0 --startMP 204:457 --initTime 2017-10-15T16:10:16 --startdatetime 2017-10-15T16:15:23 --delay 62 --endMP 204:233303 --enddatetime 2017-10-15T16:51:39 --enforcementcount 0 &gt;&gt;%USERPROFILE%\Documents\GitHub\eaglep3-reporting\EC\2017-10-15-refined-times.txt</v>
      </c>
      <c r="AI11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{"issue":{"subject":"","project_id":79,"tracker_id":40,"status_id":1,"priority_id":2,"assigned_to_id":338,"start_date":"2017-10-15","description":"","custom_fields":[{"id":1,"name":"Subdivision","value":"EC"},{"id":4,"name":"Milepost","value":"23.3303"},{"id":17,"name":"Train ID","value":"201-15"},{"id":16,"name":"Locomotive ID","value":"4016"},{"id":130,"name":"Impact","value":""},{"id":150,"name":"Time of Event (Mountain Time)","value":"16:51:39"},{"id":151,"name":"Denver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7"/>
        <v>start /low /b %USERPROFILE%\Documents\GitHub\eaglep3\Utilities\DownloadLogsFromS3.py --loco 4016 --day 2017-10-15</v>
      </c>
      <c r="AN114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9"/>
        <v>https://d0f6bd738d7f1b3e5a7ca70fe4ff75f0.us-east-1.aws.found.io/app/kibana#/discover/Steve-Slow-Train-Analysis-(2080s-and-2083s)?_g=(refreshInterval:(display:Off,pause:!f,section:0,value:0),time:(from:'2017-10-15T15:10:16-0600',mode:absolute,to:'2017-10-15T17:51:39-0600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764</v>
      </c>
      <c r="B115" s="7">
        <v>4015</v>
      </c>
      <c r="C115" s="21" t="s">
        <v>194</v>
      </c>
      <c r="D115" s="21" t="s">
        <v>538</v>
      </c>
      <c r="E115" s="13">
        <v>43023.712222222224</v>
      </c>
      <c r="F115" s="13">
        <v>43023.716956018521</v>
      </c>
      <c r="G115" s="7">
        <v>63</v>
      </c>
      <c r="H115" s="21" t="s">
        <v>337</v>
      </c>
      <c r="I115" s="13">
        <v>43023.742812500001</v>
      </c>
      <c r="J115" s="7">
        <v>0</v>
      </c>
      <c r="K115" s="89" t="str">
        <f>IF(ISEVEN(B115),(B115-1)&amp;"/"&amp;B115,B115&amp;"/"&amp;(B115+1))</f>
        <v>4015/4016</v>
      </c>
      <c r="L115" s="185" t="str">
        <f>VLOOKUP(A115,'Trips&amp;Operators'!$C$1:$G$99911,5,FALSE)</f>
        <v>SMITH MICHAEL</v>
      </c>
      <c r="M115" s="6">
        <f>I115-F115</f>
        <v>2.5856481479422655E-2</v>
      </c>
      <c r="N115" s="7">
        <f>24*60*SUM($M115:$M115)</f>
        <v>37.233333330368623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-15T16:05:36-0600',mode:absolute,to:'2017-10-15T18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23.2973</v>
      </c>
      <c r="Z115" s="204">
        <f>RIGHT(H115,LEN(H115)-4)/10000</f>
        <v>1.43E-2</v>
      </c>
      <c r="AA115" s="204">
        <f>ABS(Z115-Y115)</f>
        <v>23.283000000000001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/stypes="app*4015*20171015*"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5"/>
        <v>"%USERPROFILE%\Documents\GitHub\eaglep3\Utilities\RefineRTDCRunTimes.py" --tripid 202-15 --locoid 4015 --swversion DE.1.0.9.0 --startMP 204:232973 --initTime 2017-10-15T17:05:36 --startdatetime 2017-10-15T17:12:25 --delay 63 --endMP 204:143 --enddatetime 2017-10-15T17:49:39 --enforcementcount 0 &gt;&gt;%USERPROFILE%\Documents\GitHub\eaglep3-reporting\EC\2017-10-15-refined-times.txt</v>
      </c>
      <c r="AI11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{"issue":{"subject":"","project_id":79,"tracker_id":40,"status_id":1,"priority_id":2,"assigned_to_id":338,"start_date":"2017-10-15","description":"","custom_fields":[{"id":1,"name":"Subdivision","value":"EC"},{"id":4,"name":"Milepost","value":"0.0143"},{"id":17,"name":"Train ID","value":"202-15"},{"id":16,"name":"Locomotive ID","value":"4015"},{"id":130,"name":"Impact","value":""},{"id":150,"name":"Time of Event (Mountain Time)","value":"17:49:39"},{"id":151,"name":"Denver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7"/>
        <v>start /low /b %USERPROFILE%\Documents\GitHub\eaglep3\Utilities\DownloadLogsFromS3.py --loco 4015 --day 2017-10-15</v>
      </c>
      <c r="AN115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9"/>
        <v>https://d0f6bd738d7f1b3e5a7ca70fe4ff75f0.us-east-1.aws.found.io/app/kibana#/discover/Steve-Slow-Train-Analysis-(2080s-and-2083s)?_g=(refreshInterval:(display:Off,pause:!f,section:0,value:0),time:(from:'2017-10-15T16:05:36-0600',mode:absolute,to:'2017-10-15T18:49:39-0600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759</v>
      </c>
      <c r="B116" s="7">
        <v>4042</v>
      </c>
      <c r="C116" s="21" t="s">
        <v>194</v>
      </c>
      <c r="D116" s="21" t="s">
        <v>441</v>
      </c>
      <c r="E116" s="13">
        <v>43023.685624999998</v>
      </c>
      <c r="F116" s="13">
        <v>43023.688958333332</v>
      </c>
      <c r="G116" s="7">
        <v>89</v>
      </c>
      <c r="H116" s="21" t="s">
        <v>825</v>
      </c>
      <c r="I116" s="13">
        <v>43023.715254629627</v>
      </c>
      <c r="J116" s="7">
        <v>0</v>
      </c>
      <c r="K116" s="89" t="str">
        <f>IF(ISEVEN(B116),(B116-1)&amp;"/"&amp;B116,B116&amp;"/"&amp;(B116+1))</f>
        <v>4041/4042</v>
      </c>
      <c r="L116" s="185" t="str">
        <f>VLOOKUP(A116,'Trips&amp;Operators'!$C$1:$G$99911,5,FALSE)</f>
        <v>DAVIS MICHAEL</v>
      </c>
      <c r="M116" s="6">
        <f>I116-F116</f>
        <v>2.6296296295186039E-2</v>
      </c>
      <c r="N116" s="7">
        <f>24*60*SUM($M116:$M116)</f>
        <v>37.866666665067896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-15T15:27:18-0600',mode:absolute,to:'2017-10-15T18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4.6199999999999998E-2</v>
      </c>
      <c r="Z116" s="204">
        <f>RIGHT(H116,LEN(H116)-4)/10000</f>
        <v>23.331900000000001</v>
      </c>
      <c r="AA116" s="204">
        <f>ABS(Z116-Y116)</f>
        <v>23.285700000000002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/stypes="app*4042*20171015*"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5"/>
        <v>"%USERPROFILE%\Documents\GitHub\eaglep3\Utilities\RefineRTDCRunTimes.py" --tripid 203-15 --locoid 4042 --swversion DE.1.0.9.0 --startMP 204:462 --initTime 2017-10-15T16:27:18 --startdatetime 2017-10-15T16:32:06 --delay 89 --endMP 204:233319 --enddatetime 2017-10-15T17:09:58 --enforcementcount 0 &gt;&gt;%USERPROFILE%\Documents\GitHub\eaglep3-reporting\EC\2017-10-15-refined-times.txt</v>
      </c>
      <c r="AI11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{"issue":{"subject":"","project_id":79,"tracker_id":40,"status_id":1,"priority_id":2,"assigned_to_id":338,"start_date":"2017-10-15","description":"","custom_fields":[{"id":1,"name":"Subdivision","value":"EC"},{"id":4,"name":"Milepost","value":"23.3319"},{"id":17,"name":"Train ID","value":"203-15"},{"id":16,"name":"Locomotive ID","value":"4042"},{"id":130,"name":"Impact","value":""},{"id":150,"name":"Time of Event (Mountain Time)","value":"17:09:58"},{"id":151,"name":"Denver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7"/>
        <v>start /low /b %USERPROFILE%\Documents\GitHub\eaglep3\Utilities\DownloadLogsFromS3.py --loco 4042 --day 2017-10-15</v>
      </c>
      <c r="AN116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9"/>
        <v>https://d0f6bd738d7f1b3e5a7ca70fe4ff75f0.us-east-1.aws.found.io/app/kibana#/discover/Steve-Slow-Train-Analysis-(2080s-and-2083s)?_g=(refreshInterval:(display:Off,pause:!f,section:0,value:0),time:(from:'2017-10-15T15:27:18-0600',mode:absolute,to:'2017-10-15T18:09:58-0600'))&amp;_a=(columns:!('Message%20ID',Summary),filters:!(),index:'emp_*',interval:auto,query:(query_string:(analyze_wildcard:!t,query:'%22rtdc.l.rtdc.4042%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769</v>
      </c>
      <c r="B117" s="7">
        <v>4041</v>
      </c>
      <c r="C117" s="21" t="s">
        <v>194</v>
      </c>
      <c r="D117" s="21" t="s">
        <v>824</v>
      </c>
      <c r="E117" s="13">
        <v>43023.725729166668</v>
      </c>
      <c r="F117" s="13">
        <v>43023.727546296293</v>
      </c>
      <c r="G117" s="7">
        <v>64</v>
      </c>
      <c r="H117" s="21" t="s">
        <v>902</v>
      </c>
      <c r="I117" s="13">
        <v>43023.755439814813</v>
      </c>
      <c r="J117" s="7">
        <v>0</v>
      </c>
      <c r="K117" s="89" t="str">
        <f>IF(ISEVEN(B117),(B117-1)&amp;"/"&amp;B117,B117&amp;"/"&amp;(B117+1))</f>
        <v>4041/4042</v>
      </c>
      <c r="L117" s="185" t="str">
        <f>VLOOKUP(A117,'Trips&amp;Operators'!$C$1:$G$99911,5,FALSE)</f>
        <v>DAVIS MICHAEL</v>
      </c>
      <c r="M117" s="6">
        <f>I117-F117</f>
        <v>2.789351851970423E-2</v>
      </c>
      <c r="N117" s="7">
        <f>24*60*SUM($M117:$M117)</f>
        <v>40.166666668374091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-15T16:25:03-0600',mode:absolute,to:'2017-10-15T19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23.303000000000001</v>
      </c>
      <c r="Z117" s="204">
        <f>RIGHT(H117,LEN(H117)-4)/10000</f>
        <v>1.78E-2</v>
      </c>
      <c r="AA117" s="204">
        <f>ABS(Z117-Y117)</f>
        <v>23.2852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/stypes="app*4041*20171016*"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5"/>
        <v>"%USERPROFILE%\Documents\GitHub\eaglep3\Utilities\RefineRTDCRunTimes.py" --tripid 204-15 --locoid 4041 --swversion DE.1.0.9.0 --startMP 204:233030 --initTime 2017-10-15T17:25:03 --startdatetime 2017-10-15T17:27:40 --delay 64 --endMP 204:178 --enddatetime 2017-10-15T18:07:50 --enforcementcount 0 &gt;&gt;%USERPROFILE%\Documents\GitHub\eaglep3-reporting\EC\2017-10-15-refined-times.txt</v>
      </c>
      <c r="AI11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{"issue":{"subject":"","project_id":79,"tracker_id":40,"status_id":1,"priority_id":2,"assigned_to_id":338,"start_date":"2017-10-15","description":"","custom_fields":[{"id":1,"name":"Subdivision","value":"EC"},{"id":4,"name":"Milepost","value":"0.0178"},{"id":17,"name":"Train ID","value":"204-15"},{"id":16,"name":"Locomotive ID","value":"4041"},{"id":130,"name":"Impact","value":""},{"id":150,"name":"Time of Event (Mountain Time)","value":"18:07:50"},{"id":151,"name":"Denver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7"/>
        <v>start /low /b %USERPROFILE%\Documents\GitHub\eaglep3\Utilities\DownloadLogsFromS3.py --loco 4041 --day 2017-10-15</v>
      </c>
      <c r="AN11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9"/>
        <v>https://d0f6bd738d7f1b3e5a7ca70fe4ff75f0.us-east-1.aws.found.io/app/kibana#/discover/Steve-Slow-Train-Analysis-(2080s-and-2083s)?_g=(refreshInterval:(display:Off,pause:!f,section:0,value:0),time:(from:'2017-10-15T16:25:03-0600',mode:absolute,to:'2017-10-15T19:07:50-0600'))&amp;_a=(columns:!('Message%20ID',Summary),filters:!(),index:'emp_*',interval:auto,query:(query_string:(analyze_wildcard:!t,query:'%22rtdc.l.rtdc.4041%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760</v>
      </c>
      <c r="B118" s="7">
        <v>4008</v>
      </c>
      <c r="C118" s="21" t="s">
        <v>194</v>
      </c>
      <c r="D118" s="21" t="s">
        <v>824</v>
      </c>
      <c r="E118" s="13">
        <v>43023.725729166668</v>
      </c>
      <c r="F118" s="13">
        <v>43023.697106481479</v>
      </c>
      <c r="G118" s="7">
        <v>64</v>
      </c>
      <c r="H118" s="21" t="s">
        <v>902</v>
      </c>
      <c r="I118" s="13">
        <v>43023.723865740743</v>
      </c>
      <c r="J118" s="7">
        <v>0</v>
      </c>
      <c r="K118" s="89" t="str">
        <f>IF(ISEVEN(B118),(B118-1)&amp;"/"&amp;B118,B118&amp;"/"&amp;(B118+1))</f>
        <v>4007/4008</v>
      </c>
      <c r="L118" s="185" t="str">
        <f>VLOOKUP(A118,'Trips&amp;Operators'!$C$1:$G$99911,5,FALSE)</f>
        <v>SAFIEF AEIMEN</v>
      </c>
      <c r="M118" s="6">
        <f>I118-F118</f>
        <v>2.6759259264508728E-2</v>
      </c>
      <c r="N118" s="7">
        <f>24*60*SUM($M118:$M118)</f>
        <v>38.533333340892568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-15T16:25:03-0600',mode:absolute,to:'2017-10-15T18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v>4.6199999999999998E-2</v>
      </c>
      <c r="Z118" s="204">
        <v>23.331900000000001</v>
      </c>
      <c r="AA118" s="204">
        <f>ABS(Z118-Y118)</f>
        <v>23.285700000000002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s3://rtdc.mdm.uploadarchive.raw/RTDC4008/ "%USERPROFILE%\AppData\Local\Temp\OnboardLogs"\RTDC4008\2017-10-15 --exclude "*" --recursive --include "*20171015*" &amp; "%USERPROFILE%\Documents\GitHub\mrs-test-scripts\Headless Mode &amp; Sideloading\WalkAndUnGZ.bat" "%USERPROFILE%\AppData\Local\Temp\OnboardLogs"\RTDC4008\2017-10-15 &amp; aws s3 cp s3://rtdc.mdm.uploadarchive.raw/RTDC4008/ "%USERPROFILE%\AppData\Local\Temp\OnboardLogs"\RTDC4008\2017-10-16 --exclude "*" --recursive --include "*20171016*" &amp; "%USERPROFILE%\Documents\GitHub\mrs-test-scripts\Headless Mode &amp; Sideloading\WalkAndUnGZ.bat" "%USERPROFILE%\AppData\Local\Temp\OnboardLogs"\RTDC4008\2017-10-16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/stypes="app*4008*20171015*"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ref="AH118" si="20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205-15 --locoid 4008 --swversion DE.1.0.9.0 --startMP 204:233030 --initTime 2017-10-15T17:25:03 --startdatetime 2017-10-15T16:43:50 --delay 64 --endMP 204:178 --enddatetime 2017-10-15T17:22:22 --enforcementcount 0 &gt;&gt;%USERPROFILE%\Documents\GitHub\eaglep3-reporting\EC\2017-10-15-refined-times.txt</v>
      </c>
      <c r="AI118" s="96" t="str">
        <f t="shared" ref="AI118" si="21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{"issue":{"subject":"","project_id":79,"tracker_id":40,"status_id":1,"priority_id":2,"assigned_to_id":338,"start_date":"2017-10-15","description":"","custom_fields":[{"id":1,"name":"Subdivision","value":"EC"},{"id":4,"name":"Milepost","value":"23.3319"},{"id":17,"name":"Train ID","value":"205-15"},{"id":16,"name":"Locomotive ID","value":"4008"},{"id":130,"name":"Impact","value":""},{"id":150,"name":"Time of Event (Mountain Time)","value":"17:22:22"},{"id":151,"name":"Denver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ref="AM118" si="22">"start /low /b "&amp;dls3logs&amp;" --loco "&amp;B118&amp;" --day "&amp;TEXT(F118,"YYYY-MM-DD")</f>
        <v>start /low /b %USERPROFILE%\Documents\GitHub\eaglep3\Utilities\DownloadLogsFromS3.py --loco 4008 --day 2017-10-15</v>
      </c>
      <c r="AN118" s="151" t="str">
        <f t="shared" ref="AN118" si="23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ref="AO118" si="24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-15T16:25:03-0600',mode:absolute,to:'2017-10-15T18:22:22-0600'))&amp;_a=(columns:!('Message%20ID',Summary),filters:!(),index:'emp_*',interval:auto,query:(query_string:(analyze_wildcard:!t,query:'%22rtdc.l.rtdc.4008%22')),sort:!(Time.ISO8601,asc))</v>
      </c>
    </row>
    <row r="119" spans="1:91" s="20" customFormat="1" x14ac:dyDescent="0.25">
      <c r="A119" s="32" t="s">
        <v>771</v>
      </c>
      <c r="B119" s="7">
        <v>4007</v>
      </c>
      <c r="C119" s="21" t="s">
        <v>194</v>
      </c>
      <c r="D119" s="21" t="s">
        <v>903</v>
      </c>
      <c r="E119" s="13">
        <v>43023.727465277778</v>
      </c>
      <c r="F119" s="13">
        <v>43023.737685185188</v>
      </c>
      <c r="G119" s="7">
        <v>88</v>
      </c>
      <c r="H119" s="21" t="s">
        <v>361</v>
      </c>
      <c r="I119" s="13">
        <v>43023.763298611113</v>
      </c>
      <c r="J119" s="7">
        <v>0</v>
      </c>
      <c r="K119" s="89" t="str">
        <f>IF(ISEVEN(B119),(B119-1)&amp;"/"&amp;B119,B119&amp;"/"&amp;(B119+1))</f>
        <v>4007/4008</v>
      </c>
      <c r="L119" s="185" t="str">
        <f>VLOOKUP(A119,'Trips&amp;Operators'!$C$1:$G$99911,5,FALSE)</f>
        <v>SAFIEF AEIMEN</v>
      </c>
      <c r="M119" s="6">
        <f>I119-F119</f>
        <v>2.5613425925257616E-2</v>
      </c>
      <c r="N119" s="7">
        <f>24*60*SUM($M119:$M119)</f>
        <v>36.883333332370967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-15T16:27:33-0600',mode:absolute,to:'2017-10-15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23.3005</v>
      </c>
      <c r="Z119" s="204">
        <f>RIGHT(H119,LEN(H119)-4)/10000</f>
        <v>1.61E-2</v>
      </c>
      <c r="AA119" s="204">
        <f>ABS(Z119-Y119)</f>
        <v>23.284399999999998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/stypes="app*4007*20171016*"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5"/>
        <v>"%USERPROFILE%\Documents\GitHub\eaglep3\Utilities\RefineRTDCRunTimes.py" --tripid 206-15 --locoid 4007 --swversion DE.1.0.9.0 --startMP 204:233005 --initTime 2017-10-15T17:27:33 --startdatetime 2017-10-15T17:42:16 --delay 88 --endMP 204:161 --enddatetime 2017-10-15T18:19:09 --enforcementcount 0 &gt;&gt;%USERPROFILE%\Documents\GitHub\eaglep3-reporting\EC\2017-10-15-refined-times.txt</v>
      </c>
      <c r="AI11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{"issue":{"subject":"","project_id":79,"tracker_id":40,"status_id":1,"priority_id":2,"assigned_to_id":338,"start_date":"2017-10-15","description":"","custom_fields":[{"id":1,"name":"Subdivision","value":"EC"},{"id":4,"name":"Milepost","value":"0.0161"},{"id":17,"name":"Train ID","value":"206-15"},{"id":16,"name":"Locomotive ID","value":"4007"},{"id":130,"name":"Impact","value":""},{"id":150,"name":"Time of Event (Mountain Time)","value":"18:19:09"},{"id":151,"name":"Denver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7"/>
        <v>start /low /b %USERPROFILE%\Documents\GitHub\eaglep3\Utilities\DownloadLogsFromS3.py --loco 4007 --day 2017-10-15</v>
      </c>
      <c r="AN11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9"/>
        <v>https://d0f6bd738d7f1b3e5a7ca70fe4ff75f0.us-east-1.aws.found.io/app/kibana#/discover/Steve-Slow-Train-Analysis-(2080s-and-2083s)?_g=(refreshInterval:(display:Off,pause:!f,section:0,value:0),time:(from:'2017-10-15T16:27:33-0600',mode:absolute,to:'2017-10-15T19:19:09-0600'))&amp;_a=(columns:!('Message%20ID',Summary),filters:!(),index:'emp_*',interval:auto,query:(query_string:(analyze_wildcard:!t,query:'%22rtdc.l.rtdc.4007%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763</v>
      </c>
      <c r="B120" s="7">
        <v>4058</v>
      </c>
      <c r="C120" s="21" t="s">
        <v>194</v>
      </c>
      <c r="D120" s="21" t="s">
        <v>345</v>
      </c>
      <c r="E120" s="13">
        <v>43023.704652777778</v>
      </c>
      <c r="F120" s="13">
        <v>43023.708506944444</v>
      </c>
      <c r="G120" s="7">
        <v>50</v>
      </c>
      <c r="H120" s="21" t="s">
        <v>539</v>
      </c>
      <c r="I120" s="13">
        <v>43023.733368055553</v>
      </c>
      <c r="J120" s="7">
        <v>0</v>
      </c>
      <c r="K120" s="89" t="str">
        <f>IF(ISEVEN(B120),(B120-1)&amp;"/"&amp;B120,B120&amp;"/"&amp;(B120+1))</f>
        <v>4057/4058</v>
      </c>
      <c r="L120" s="185" t="str">
        <f>VLOOKUP(A120,'Trips&amp;Operators'!$C$1:$G$99911,5,FALSE)</f>
        <v>GUZMAN DANNY</v>
      </c>
      <c r="M120" s="6">
        <f>I120-F120</f>
        <v>2.4861111109203193E-2</v>
      </c>
      <c r="N120" s="7">
        <f>24*60*SUM($M120:$M120)</f>
        <v>35.799999997252598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-15T15:54:42-0600',mode:absolute,to:'2017-10-15T18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4.5499999999999999E-2</v>
      </c>
      <c r="Z120" s="204">
        <f>RIGHT(H120,LEN(H120)-4)/10000</f>
        <v>23.328299999999999</v>
      </c>
      <c r="AA120" s="204">
        <f>ABS(Z120-Y120)</f>
        <v>23.282799999999998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/stypes="app*4058*20171015*"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5"/>
        <v>"%USERPROFILE%\Documents\GitHub\eaglep3\Utilities\RefineRTDCRunTimes.py" --tripid 207-15 --locoid 4058 --swversion DE.1.0.9.0 --startMP 204:455 --initTime 2017-10-15T16:54:42 --startdatetime 2017-10-15T17:00:15 --delay 50 --endMP 204:233283 --enddatetime 2017-10-15T17:36:03 --enforcementcount 0 &gt;&gt;%USERPROFILE%\Documents\GitHub\eaglep3-reporting\EC\2017-10-15-refined-times.txt</v>
      </c>
      <c r="AI12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{"issue":{"subject":"","project_id":79,"tracker_id":40,"status_id":1,"priority_id":2,"assigned_to_id":338,"start_date":"2017-10-15","description":"","custom_fields":[{"id":1,"name":"Subdivision","value":"EC"},{"id":4,"name":"Milepost","value":"23.3283"},{"id":17,"name":"Train ID","value":"207-15"},{"id":16,"name":"Locomotive ID","value":"4058"},{"id":130,"name":"Impact","value":""},{"id":150,"name":"Time of Event (Mountain Time)","value":"17:36:03"},{"id":151,"name":"Denver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7"/>
        <v>start /low /b %USERPROFILE%\Documents\GitHub\eaglep3\Utilities\DownloadLogsFromS3.py --loco 4058 --day 2017-10-15</v>
      </c>
      <c r="AN120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9"/>
        <v>https://d0f6bd738d7f1b3e5a7ca70fe4ff75f0.us-east-1.aws.found.io/app/kibana#/discover/Steve-Slow-Train-Analysis-(2080s-and-2083s)?_g=(refreshInterval:(display:Off,pause:!f,section:0,value:0),time:(from:'2017-10-15T15:54:42-0600',mode:absolute,to:'2017-10-15T18:36:03-0600'))&amp;_a=(columns:!('Message%20ID',Summary),filters:!(),index:'emp_*',interval:auto,query:(query_string:(analyze_wildcard:!t,query:'%22rtdc.l.rtdc.4058%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772</v>
      </c>
      <c r="B121" s="7">
        <v>4057</v>
      </c>
      <c r="C121" s="21" t="s">
        <v>194</v>
      </c>
      <c r="D121" s="21" t="s">
        <v>443</v>
      </c>
      <c r="E121" s="13">
        <v>43023.737997685188</v>
      </c>
      <c r="F121" s="13">
        <v>43023.748136574075</v>
      </c>
      <c r="G121" s="7">
        <v>47</v>
      </c>
      <c r="H121" s="21" t="s">
        <v>904</v>
      </c>
      <c r="I121" s="13">
        <v>43023.774398148147</v>
      </c>
      <c r="J121" s="7">
        <v>0</v>
      </c>
      <c r="K121" s="89" t="str">
        <f>IF(ISEVEN(B121),(B121-1)&amp;"/"&amp;B121,B121&amp;"/"&amp;(B121+1))</f>
        <v>4057/4058</v>
      </c>
      <c r="L121" s="185" t="str">
        <f>VLOOKUP(A121,'Trips&amp;Operators'!$C$1:$G$99911,5,FALSE)</f>
        <v>GUZMAN DANNY</v>
      </c>
      <c r="M121" s="6">
        <f>I121-F121</f>
        <v>2.626157407212304E-2</v>
      </c>
      <c r="N121" s="7">
        <f>24*60*SUM($M121:$M121)</f>
        <v>37.816666663857177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-15T16:42:43-0600',mode:absolute,to:'2017-10-15T19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23.2989</v>
      </c>
      <c r="Z121" s="204">
        <f>RIGHT(H121,LEN(H121)-4)/10000</f>
        <v>1.4E-2</v>
      </c>
      <c r="AA121" s="204">
        <f>ABS(Z121-Y121)</f>
        <v>23.2849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/stypes="app*4057*20171016*"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5"/>
        <v>"%USERPROFILE%\Documents\GitHub\eaglep3\Utilities\RefineRTDCRunTimes.py" --tripid 208-15 --locoid 4057 --swversion DE.1.0.9.0 --startMP 204:232989 --initTime 2017-10-15T17:42:43 --startdatetime 2017-10-15T17:57:19 --delay 47 --endMP 204:140 --enddatetime 2017-10-15T18:35:08 --enforcementcount 0 &gt;&gt;%USERPROFILE%\Documents\GitHub\eaglep3-reporting\EC\2017-10-15-refined-times.txt</v>
      </c>
      <c r="AI12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{"issue":{"subject":"","project_id":79,"tracker_id":40,"status_id":1,"priority_id":2,"assigned_to_id":338,"start_date":"2017-10-15","description":"","custom_fields":[{"id":1,"name":"Subdivision","value":"EC"},{"id":4,"name":"Milepost","value":"0.014"},{"id":17,"name":"Train ID","value":"208-15"},{"id":16,"name":"Locomotive ID","value":"4057"},{"id":130,"name":"Impact","value":""},{"id":150,"name":"Time of Event (Mountain Time)","value":"18:35:08"},{"id":151,"name":"Denver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7"/>
        <v>start /low /b %USERPROFILE%\Documents\GitHub\eaglep3\Utilities\DownloadLogsFromS3.py --loco 4057 --day 2017-10-15</v>
      </c>
      <c r="AN12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9"/>
        <v>https://d0f6bd738d7f1b3e5a7ca70fe4ff75f0.us-east-1.aws.found.io/app/kibana#/discover/Steve-Slow-Train-Analysis-(2080s-and-2083s)?_g=(refreshInterval:(display:Off,pause:!f,section:0,value:0),time:(from:'2017-10-15T16:42:43-0600',mode:absolute,to:'2017-10-15T19:35:08-0600'))&amp;_a=(columns:!('Message%20ID',Summary),filters:!(),index:'emp_*',interval:auto,query:(query_string:(analyze_wildcard:!t,query:'%22rtdc.l.rtdc.4057%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765</v>
      </c>
      <c r="B122" s="7">
        <v>4032</v>
      </c>
      <c r="C122" s="21" t="s">
        <v>194</v>
      </c>
      <c r="D122" s="21" t="s">
        <v>370</v>
      </c>
      <c r="E122" s="13">
        <v>43023.715740740743</v>
      </c>
      <c r="F122" s="13">
        <v>43023.719039351854</v>
      </c>
      <c r="G122" s="7">
        <v>82</v>
      </c>
      <c r="H122" s="21" t="s">
        <v>905</v>
      </c>
      <c r="I122" s="13">
        <v>43023.744004629632</v>
      </c>
      <c r="J122" s="7">
        <v>0</v>
      </c>
      <c r="K122" s="89" t="str">
        <f>IF(ISEVEN(B122),(B122-1)&amp;"/"&amp;B122,B122&amp;"/"&amp;(B122+1))</f>
        <v>4031/4032</v>
      </c>
      <c r="L122" s="185" t="str">
        <f>VLOOKUP(A122,'Trips&amp;Operators'!$C$1:$G$99911,5,FALSE)</f>
        <v>STAMBAUGH JAMES</v>
      </c>
      <c r="M122" s="6">
        <f>I122-F122</f>
        <v>2.4965277778392192E-2</v>
      </c>
      <c r="N122" s="7">
        <f>24*60*SUM($M122:$M122)</f>
        <v>35.950000000884756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-15T16:10:40-0600',mode:absolute,to:'2017-10-15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4.5100000000000001E-2</v>
      </c>
      <c r="Z122" s="204">
        <f>RIGHT(H122,LEN(H122)-4)/10000</f>
        <v>23.340699999999998</v>
      </c>
      <c r="AA122" s="204">
        <f>ABS(Z122-Y122)</f>
        <v>23.295599999999997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/stypes="app*4032*20171015*"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5"/>
        <v>"%USERPROFILE%\Documents\GitHub\eaglep3\Utilities\RefineRTDCRunTimes.py" --tripid 209-15 --locoid 4032 --swversion DE.1.0.9.0 --startMP 204:451 --initTime 2017-10-15T17:10:40 --startdatetime 2017-10-15T17:15:25 --delay 82 --endMP 204:233407 --enddatetime 2017-10-15T17:51:22 --enforcementcount 0 &gt;&gt;%USERPROFILE%\Documents\GitHub\eaglep3-reporting\EC\2017-10-15-refined-times.txt</v>
      </c>
      <c r="AI12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{"issue":{"subject":"","project_id":79,"tracker_id":40,"status_id":1,"priority_id":2,"assigned_to_id":338,"start_date":"2017-10-15","description":"","custom_fields":[{"id":1,"name":"Subdivision","value":"EC"},{"id":4,"name":"Milepost","value":"23.3407"},{"id":17,"name":"Train ID","value":"209-15"},{"id":16,"name":"Locomotive ID","value":"4032"},{"id":130,"name":"Impact","value":""},{"id":150,"name":"Time of Event (Mountain Time)","value":"17:51:22"},{"id":151,"name":"Denver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7"/>
        <v>start /low /b %USERPROFILE%\Documents\GitHub\eaglep3\Utilities\DownloadLogsFromS3.py --loco 4032 --day 2017-10-15</v>
      </c>
      <c r="AN122" s="151" t="str">
        <f t="shared" si="18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9"/>
        <v>https://d0f6bd738d7f1b3e5a7ca70fe4ff75f0.us-east-1.aws.found.io/app/kibana#/discover/Steve-Slow-Train-Analysis-(2080s-and-2083s)?_g=(refreshInterval:(display:Off,pause:!f,section:0,value:0),time:(from:'2017-10-15T16:10:40-0600',mode:absolute,to:'2017-10-15T18:51:22-0600'))&amp;_a=(columns:!('Message%20ID',Summary),filters:!(),index:'emp_*',interval:auto,query:(query_string:(analyze_wildcard:!t,query:'%22rtdc.l.rtdc.4032%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582</v>
      </c>
      <c r="B123" s="7">
        <v>4031</v>
      </c>
      <c r="C123" s="21" t="s">
        <v>194</v>
      </c>
      <c r="D123" s="21" t="s">
        <v>906</v>
      </c>
      <c r="E123" s="13">
        <v>43023.756377314814</v>
      </c>
      <c r="F123" s="13">
        <v>43023.758819444447</v>
      </c>
      <c r="G123" s="7">
        <v>66</v>
      </c>
      <c r="H123" s="21" t="s">
        <v>907</v>
      </c>
      <c r="I123" s="13">
        <v>43023.784814814811</v>
      </c>
      <c r="J123" s="7">
        <v>0</v>
      </c>
      <c r="K123" s="89" t="str">
        <f>IF(ISEVEN(B123),(B123-1)&amp;"/"&amp;B123,B123&amp;"/"&amp;(B123+1))</f>
        <v>4031/4032</v>
      </c>
      <c r="L123" s="185" t="str">
        <f>VLOOKUP(A123,'Trips&amp;Operators'!$C$1:$G$99911,5,FALSE)</f>
        <v>STAMBAUGH JAMES</v>
      </c>
      <c r="M123" s="6">
        <f>I123-F123</f>
        <v>2.5995370364398696E-2</v>
      </c>
      <c r="N123" s="7">
        <f>24*60*SUM($M123:$M123)</f>
        <v>37.433333324734122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-15T17:09:11-0600',mode:absolute,to:'2017-10-15T19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23.314900000000002</v>
      </c>
      <c r="Z123" s="204">
        <f>RIGHT(H123,LEN(H123)-4)/10000</f>
        <v>1.03E-2</v>
      </c>
      <c r="AA123" s="204">
        <f>ABS(Z123-Y123)</f>
        <v>23.304600000000001</v>
      </c>
      <c r="AB123" s="54" t="str">
        <f>VLOOKUP(A123,Enforcements!$C$7:$K$11,8,0)</f>
        <v>Signal based authority (5)</v>
      </c>
      <c r="AC123" s="51" t="str">
        <f>VLOOKUP(A123,Enforcements!$C$7:$E$11,3,0)</f>
        <v>SIGNAL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/stypes="app*4031*20171016*"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5"/>
        <v>"%USERPROFILE%\Documents\GitHub\eaglep3\Utilities\RefineRTDCRunTimes.py" --tripid 210-15 --locoid 4031 --swversion DE.1.0.9.0 --startMP 204:233149 --initTime 2017-10-15T18:09:11 --startdatetime 2017-10-15T18:12:42 --delay 66 --endMP 204:103 --enddatetime 2017-10-15T18:50:08 --enforcementcount 0 &gt;&gt;%USERPROFILE%\Documents\GitHub\eaglep3-reporting\EC\2017-10-15-refined-times.txt</v>
      </c>
      <c r="AI12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{"issue":{"subject":"","project_id":79,"tracker_id":40,"status_id":1,"priority_id":2,"assigned_to_id":338,"start_date":"2017-10-15","description":"","custom_fields":[{"id":1,"name":"Subdivision","value":"EC"},{"id":4,"name":"Milepost","value":"0.0103"},{"id":17,"name":"Train ID","value":"210-15"},{"id":16,"name":"Locomotive ID","value":"4031"},{"id":130,"name":"Impact","value":""},{"id":150,"name":"Time of Event (Mountain Time)","value":"18:50:08"},{"id":151,"name":"Denver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7"/>
        <v>start /low /b %USERPROFILE%\Documents\GitHub\eaglep3\Utilities\DownloadLogsFromS3.py --loco 4031 --day 2017-10-15</v>
      </c>
      <c r="AN123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9"/>
        <v>https://d0f6bd738d7f1b3e5a7ca70fe4ff75f0.us-east-1.aws.found.io/app/kibana#/discover/Steve-Slow-Train-Analysis-(2080s-and-2083s)?_g=(refreshInterval:(display:Off,pause:!f,section:0,value:0),time:(from:'2017-10-15T17:09:11-0600',mode:absolute,to:'2017-10-15T19:50:08-0600'))&amp;_a=(columns:!('Message%20ID',Summary),filters:!(),index:'emp_*',interval:auto,query:(query_string:(analyze_wildcard:!t,query:'%22rtdc.l.rtdc.4031%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768</v>
      </c>
      <c r="B124" s="7">
        <v>4004</v>
      </c>
      <c r="C124" s="21" t="s">
        <v>194</v>
      </c>
      <c r="D124" s="21" t="s">
        <v>420</v>
      </c>
      <c r="E124" s="13">
        <v>43023.725173611114</v>
      </c>
      <c r="F124" s="13">
        <v>43023.72934027778</v>
      </c>
      <c r="G124" s="7">
        <v>74</v>
      </c>
      <c r="H124" s="21" t="s">
        <v>908</v>
      </c>
      <c r="I124" s="13">
        <v>43023.753553240742</v>
      </c>
      <c r="J124" s="7">
        <v>0</v>
      </c>
      <c r="K124" s="89" t="str">
        <f>IF(ISEVEN(B124),(B124-1)&amp;"/"&amp;B124,B124&amp;"/"&amp;(B124+1))</f>
        <v>4003/4004</v>
      </c>
      <c r="L124" s="185" t="str">
        <f>VLOOKUP(A124,'Trips&amp;Operators'!$C$1:$G$99911,5,FALSE)</f>
        <v>GONZALEZ ARMANDO</v>
      </c>
      <c r="M124" s="6">
        <f>I124-F124</f>
        <v>2.421296296233777E-2</v>
      </c>
      <c r="N124" s="7">
        <f>24*60*SUM($M124:$M124)</f>
        <v>34.866666665766388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-15T16:24:15-0600',mode:absolute,to:'2017-10-15T19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4.6399999999999997E-2</v>
      </c>
      <c r="Z124" s="204">
        <f>RIGHT(H124,LEN(H124)-4)/10000</f>
        <v>23.335100000000001</v>
      </c>
      <c r="AA124" s="204">
        <f>ABS(Z124-Y124)</f>
        <v>23.288700000000002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s3://rtdc.mdm.uploadarchive.raw/RTDC4004/ "%USERPROFILE%\AppData\Local\Temp\OnboardLogs"\RTDC4004\2017-10-15 --exclude "*" --recursive --include "*20171015*" &amp; "%USERPROFILE%\Documents\GitHub\mrs-test-scripts\Headless Mode &amp; Sideloading\WalkAndUnGZ.bat" "%USERPROFILE%\AppData\Local\Temp\OnboardLogs"\RTDC4004\2017-10-15 &amp; aws s3 cp s3://rtdc.mdm.uploadarchive.raw/RTDC4004/ "%USERPROFILE%\AppData\Local\Temp\OnboardLogs"\RTDC4004\2017-10-16 --exclude "*" --recursive --include "*20171016*" &amp; "%USERPROFILE%\Documents\GitHub\mrs-test-scripts\Headless Mode &amp; Sideloading\WalkAndUnGZ.bat" "%USERPROFILE%\AppData\Local\Temp\OnboardLogs"\RTDC4004\2017-10-16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/stypes="app*4004*20171016*"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5"/>
        <v>"%USERPROFILE%\Documents\GitHub\eaglep3\Utilities\RefineRTDCRunTimes.py" --tripid 211-15 --locoid 4004 --swversion DE.1.0.9.0 --startMP 204:464 --initTime 2017-10-15T17:24:15 --startdatetime 2017-10-15T17:30:15 --delay 74 --endMP 204:233351 --enddatetime 2017-10-15T18:05:07 --enforcementcount 0 &gt;&gt;%USERPROFILE%\Documents\GitHub\eaglep3-reporting\EC\2017-10-15-refined-times.txt</v>
      </c>
      <c r="AI12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{"issue":{"subject":"","project_id":79,"tracker_id":40,"status_id":1,"priority_id":2,"assigned_to_id":338,"start_date":"2017-10-15","description":"","custom_fields":[{"id":1,"name":"Subdivision","value":"EC"},{"id":4,"name":"Milepost","value":"23.3351"},{"id":17,"name":"Train ID","value":"211-15"},{"id":16,"name":"Locomotive ID","value":"4004"},{"id":130,"name":"Impact","value":""},{"id":150,"name":"Time of Event (Mountain Time)","value":"18:05:07"},{"id":151,"name":"Denver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7"/>
        <v>start /low /b %USERPROFILE%\Documents\GitHub\eaglep3\Utilities\DownloadLogsFromS3.py --loco 4004 --day 2017-10-15</v>
      </c>
      <c r="AN12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9"/>
        <v>https://d0f6bd738d7f1b3e5a7ca70fe4ff75f0.us-east-1.aws.found.io/app/kibana#/discover/Steve-Slow-Train-Analysis-(2080s-and-2083s)?_g=(refreshInterval:(display:Off,pause:!f,section:0,value:0),time:(from:'2017-10-15T16:24:15-0600',mode:absolute,to:'2017-10-15T19:05:07-0600'))&amp;_a=(columns:!('Message%20ID',Summary),filters:!(),index:'emp_*',interval:auto,query:(query_string:(analyze_wildcard:!t,query:'%22rtdc.l.rtdc.4004%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776</v>
      </c>
      <c r="B125" s="7">
        <v>4003</v>
      </c>
      <c r="C125" s="21" t="s">
        <v>194</v>
      </c>
      <c r="D125" s="21" t="s">
        <v>824</v>
      </c>
      <c r="E125" s="13">
        <v>43023.76358796296</v>
      </c>
      <c r="F125" s="13">
        <v>43023.76903935185</v>
      </c>
      <c r="G125" s="7">
        <v>70</v>
      </c>
      <c r="H125" s="21" t="s">
        <v>909</v>
      </c>
      <c r="I125" s="13">
        <v>43023.794675925928</v>
      </c>
      <c r="J125" s="7">
        <v>0</v>
      </c>
      <c r="K125" s="89" t="str">
        <f>IF(ISEVEN(B125),(B125-1)&amp;"/"&amp;B125,B125&amp;"/"&amp;(B125+1))</f>
        <v>4003/4004</v>
      </c>
      <c r="L125" s="185" t="str">
        <f>VLOOKUP(A125,'Trips&amp;Operators'!$C$1:$G$99911,5,FALSE)</f>
        <v>GONZALEZ ARMANDO</v>
      </c>
      <c r="M125" s="6">
        <f>I125-F125</f>
        <v>2.5636574078816921E-2</v>
      </c>
      <c r="N125" s="7">
        <f>24*60*SUM($M125:$M125)</f>
        <v>36.916666673496366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-15T17:19:34-0600',mode:absolute,to:'2017-10-15T20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23.303000000000001</v>
      </c>
      <c r="Z125" s="204">
        <f>RIGHT(H125,LEN(H125)-4)/10000</f>
        <v>9.2399999999999996E-2</v>
      </c>
      <c r="AA125" s="204">
        <f>ABS(Z125-Y125)</f>
        <v>23.210599999999999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/stypes="app*4003*20171016*"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5"/>
        <v>"%USERPROFILE%\Documents\GitHub\eaglep3\Utilities\RefineRTDCRunTimes.py" --tripid 212-15 --locoid 4003 --swversion DE.1.0.9.0 --startMP 204:233030 --initTime 2017-10-15T18:19:34 --startdatetime 2017-10-15T18:27:25 --delay 70 --endMP 204:924 --enddatetime 2017-10-15T19:04:20 --enforcementcount 0 &gt;&gt;%USERPROFILE%\Documents\GitHub\eaglep3-reporting\EC\2017-10-15-refined-times.txt</v>
      </c>
      <c r="AI12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{"issue":{"subject":"","project_id":79,"tracker_id":40,"status_id":1,"priority_id":2,"assigned_to_id":338,"start_date":"2017-10-15","description":"","custom_fields":[{"id":1,"name":"Subdivision","value":"EC"},{"id":4,"name":"Milepost","value":"0.0924"},{"id":17,"name":"Train ID","value":"212-15"},{"id":16,"name":"Locomotive ID","value":"4003"},{"id":130,"name":"Impact","value":""},{"id":150,"name":"Time of Event (Mountain Time)","value":"19:04:20"},{"id":151,"name":"Denver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7"/>
        <v>start /low /b %USERPROFILE%\Documents\GitHub\eaglep3\Utilities\DownloadLogsFromS3.py --loco 4003 --day 2017-10-15</v>
      </c>
      <c r="AN12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9"/>
        <v>https://d0f6bd738d7f1b3e5a7ca70fe4ff75f0.us-east-1.aws.found.io/app/kibana#/discover/Steve-Slow-Train-Analysis-(2080s-and-2083s)?_g=(refreshInterval:(display:Off,pause:!f,section:0,value:0),time:(from:'2017-10-15T17:19:34-0600',mode:absolute,to:'2017-10-15T20:04:20-0600'))&amp;_a=(columns:!('Message%20ID',Summary),filters:!(),index:'emp_*',interval:auto,query:(query_string:(analyze_wildcard:!t,query:'%22rtdc.l.rtdc.4003%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773</v>
      </c>
      <c r="B126" s="7">
        <v>4036</v>
      </c>
      <c r="C126" s="21" t="s">
        <v>194</v>
      </c>
      <c r="D126" s="21" t="s">
        <v>334</v>
      </c>
      <c r="E126" s="13">
        <v>43023.738182870373</v>
      </c>
      <c r="F126" s="13">
        <v>43023.740115740744</v>
      </c>
      <c r="G126" s="7">
        <v>98</v>
      </c>
      <c r="H126" s="21" t="s">
        <v>910</v>
      </c>
      <c r="I126" s="13">
        <v>43023.764513888891</v>
      </c>
      <c r="J126" s="7">
        <v>0</v>
      </c>
      <c r="K126" s="89" t="str">
        <f>IF(ISEVEN(B126),(B126-1)&amp;"/"&amp;B126,B126&amp;"/"&amp;(B126+1))</f>
        <v>4035/4036</v>
      </c>
      <c r="L126" s="185" t="str">
        <f>VLOOKUP(A126,'Trips&amp;Operators'!$C$1:$G$99911,5,FALSE)</f>
        <v>LOZA FIDEL</v>
      </c>
      <c r="M126" s="6">
        <f>I126-F126</f>
        <v>2.4398148147156462E-2</v>
      </c>
      <c r="N126" s="7">
        <f>24*60*SUM($M126:$M126)</f>
        <v>35.133333331905305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-15T16:42:59-0600',mode:absolute,to:'2017-10-15T19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4.4600000000000001E-2</v>
      </c>
      <c r="Z126" s="204">
        <f>RIGHT(H126,LEN(H126)-4)/10000</f>
        <v>23.335899999999999</v>
      </c>
      <c r="AA126" s="204">
        <f>ABS(Z126-Y126)</f>
        <v>23.2913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/stypes="app*4036*20171016*"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5"/>
        <v>"%USERPROFILE%\Documents\GitHub\eaglep3\Utilities\RefineRTDCRunTimes.py" --tripid 213-15 --locoid 4036 --swversion DE.1.0.9.0 --startMP 204:446 --initTime 2017-10-15T17:42:59 --startdatetime 2017-10-15T17:45:46 --delay 98 --endMP 204:233359 --enddatetime 2017-10-15T18:20:54 --enforcementcount 0 &gt;&gt;%USERPROFILE%\Documents\GitHub\eaglep3-reporting\EC\2017-10-15-refined-times.txt</v>
      </c>
      <c r="AI12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{"issue":{"subject":"","project_id":79,"tracker_id":40,"status_id":1,"priority_id":2,"assigned_to_id":338,"start_date":"2017-10-15","description":"","custom_fields":[{"id":1,"name":"Subdivision","value":"EC"},{"id":4,"name":"Milepost","value":"23.3359"},{"id":17,"name":"Train ID","value":"213-15"},{"id":16,"name":"Locomotive ID","value":"4036"},{"id":130,"name":"Impact","value":""},{"id":150,"name":"Time of Event (Mountain Time)","value":"18:20:54"},{"id":151,"name":"Denver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7"/>
        <v>start /low /b %USERPROFILE%\Documents\GitHub\eaglep3\Utilities\DownloadLogsFromS3.py --loco 4036 --day 2017-10-15</v>
      </c>
      <c r="AN126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9"/>
        <v>https://d0f6bd738d7f1b3e5a7ca70fe4ff75f0.us-east-1.aws.found.io/app/kibana#/discover/Steve-Slow-Train-Analysis-(2080s-and-2083s)?_g=(refreshInterval:(display:Off,pause:!f,section:0,value:0),time:(from:'2017-10-15T16:42:59-0600',mode:absolute,to:'2017-10-15T19:20:54-0600'))&amp;_a=(columns:!('Message%20ID',Summary),filters:!(),index:'emp_*',interval:auto,query:(query_string:(analyze_wildcard:!t,query:'%22rtdc.l.rtdc.4036%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780</v>
      </c>
      <c r="B127" s="7">
        <v>4035</v>
      </c>
      <c r="C127" s="21" t="s">
        <v>194</v>
      </c>
      <c r="D127" s="21" t="s">
        <v>544</v>
      </c>
      <c r="E127" s="13">
        <v>43023.774861111109</v>
      </c>
      <c r="F127" s="13">
        <v>43023.779513888891</v>
      </c>
      <c r="G127" s="7">
        <v>88</v>
      </c>
      <c r="H127" s="21" t="s">
        <v>335</v>
      </c>
      <c r="I127" s="13">
        <v>43023.804803240739</v>
      </c>
      <c r="J127" s="7">
        <v>0</v>
      </c>
      <c r="K127" s="89" t="str">
        <f>IF(ISEVEN(B127),(B127-1)&amp;"/"&amp;B127,B127&amp;"/"&amp;(B127+1))</f>
        <v>4035/4036</v>
      </c>
      <c r="L127" s="185" t="str">
        <f>VLOOKUP(A127,'Trips&amp;Operators'!$C$1:$G$99911,5,FALSE)</f>
        <v>LOZA FIDEL</v>
      </c>
      <c r="M127" s="6">
        <f>I127-F127</f>
        <v>2.5289351848186925E-2</v>
      </c>
      <c r="N127" s="7">
        <f>24*60*SUM($M127:$M127)</f>
        <v>36.416666661389172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-15T17:35:48-0600',mode:absolute,to:'2017-10-15T20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23.302600000000002</v>
      </c>
      <c r="Z127" s="204">
        <f>RIGHT(H127,LEN(H127)-4)/10000</f>
        <v>1.4999999999999999E-2</v>
      </c>
      <c r="AA127" s="204">
        <f>ABS(Z127-Y127)</f>
        <v>23.287600000000001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/stypes="app*4035*20171016*"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5"/>
        <v>"%USERPROFILE%\Documents\GitHub\eaglep3\Utilities\RefineRTDCRunTimes.py" --tripid 214-15 --locoid 4035 --swversion DE.1.0.9.0 --startMP 204:233026 --initTime 2017-10-15T18:35:48 --startdatetime 2017-10-15T18:42:30 --delay 88 --endMP 204:150 --enddatetime 2017-10-15T19:18:55 --enforcementcount 0 &gt;&gt;%USERPROFILE%\Documents\GitHub\eaglep3-reporting\EC\2017-10-15-refined-times.txt</v>
      </c>
      <c r="AI12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{"issue":{"subject":"","project_id":79,"tracker_id":40,"status_id":1,"priority_id":2,"assigned_to_id":338,"start_date":"2017-10-15","description":"","custom_fields":[{"id":1,"name":"Subdivision","value":"EC"},{"id":4,"name":"Milepost","value":"0.015"},{"id":17,"name":"Train ID","value":"214-15"},{"id":16,"name":"Locomotive ID","value":"4035"},{"id":130,"name":"Impact","value":""},{"id":150,"name":"Time of Event (Mountain Time)","value":"19:18:55"},{"id":151,"name":"Denver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7"/>
        <v>start /low /b %USERPROFILE%\Documents\GitHub\eaglep3\Utilities\DownloadLogsFromS3.py --loco 4035 --day 2017-10-15</v>
      </c>
      <c r="AN12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9"/>
        <v>https://d0f6bd738d7f1b3e5a7ca70fe4ff75f0.us-east-1.aws.found.io/app/kibana#/discover/Steve-Slow-Train-Analysis-(2080s-and-2083s)?_g=(refreshInterval:(display:Off,pause:!f,section:0,value:0),time:(from:'2017-10-15T17:35:48-0600',mode:absolute,to:'2017-10-15T20:18:55-0600'))&amp;_a=(columns:!('Message%20ID',Summary),filters:!(),index:'emp_*',interval:auto,query:(query_string:(analyze_wildcard:!t,query:'%22rtdc.l.rtdc.4035%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774</v>
      </c>
      <c r="B128" s="7">
        <v>4016</v>
      </c>
      <c r="C128" s="21" t="s">
        <v>194</v>
      </c>
      <c r="D128" s="21" t="s">
        <v>483</v>
      </c>
      <c r="E128" s="13">
        <v>43023.744791666664</v>
      </c>
      <c r="F128" s="13">
        <v>43023.750231481485</v>
      </c>
      <c r="G128" s="7">
        <v>66</v>
      </c>
      <c r="H128" s="21" t="s">
        <v>414</v>
      </c>
      <c r="I128" s="13">
        <v>43023.774537037039</v>
      </c>
      <c r="J128" s="7">
        <v>0</v>
      </c>
      <c r="K128" s="89" t="str">
        <f>IF(ISEVEN(B128),(B128-1)&amp;"/"&amp;B128,B128&amp;"/"&amp;(B128+1))</f>
        <v>4015/4016</v>
      </c>
      <c r="L128" s="185" t="str">
        <f>VLOOKUP(A128,'Trips&amp;Operators'!$C$1:$G$99911,5,FALSE)</f>
        <v>SMITH MICHAEL</v>
      </c>
      <c r="M128" s="6">
        <f>I128-F128</f>
        <v>2.4305555554747116E-2</v>
      </c>
      <c r="N128" s="7">
        <f>24*60*SUM($M128:$M128)</f>
        <v>34.999999998835847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-15T16:52:30-0600',mode:absolute,to:'2017-10-15T19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4.3999999999999997E-2</v>
      </c>
      <c r="Z128" s="204">
        <f>RIGHT(H128,LEN(H128)-4)/10000</f>
        <v>23.3306</v>
      </c>
      <c r="AA128" s="204">
        <f>ABS(Z128-Y128)</f>
        <v>23.2866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/stypes="app*4016*20171016*"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5"/>
        <v>"%USERPROFILE%\Documents\GitHub\eaglep3\Utilities\RefineRTDCRunTimes.py" --tripid 215-15 --locoid 4016 --swversion DE.1.0.9.0 --startMP 204:440 --initTime 2017-10-15T17:52:30 --startdatetime 2017-10-15T18:00:20 --delay 66 --endMP 204:233306 --enddatetime 2017-10-15T18:35:20 --enforcementcount 0 &gt;&gt;%USERPROFILE%\Documents\GitHub\eaglep3-reporting\EC\2017-10-15-refined-times.txt</v>
      </c>
      <c r="AI128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{"issue":{"subject":"","project_id":79,"tracker_id":40,"status_id":1,"priority_id":2,"assigned_to_id":338,"start_date":"2017-10-15","description":"","custom_fields":[{"id":1,"name":"Subdivision","value":"EC"},{"id":4,"name":"Milepost","value":"23.3306"},{"id":17,"name":"Train ID","value":"215-15"},{"id":16,"name":"Locomotive ID","value":"4016"},{"id":130,"name":"Impact","value":""},{"id":150,"name":"Time of Event (Mountain Time)","value":"18:35:20"},{"id":151,"name":"Denver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7"/>
        <v>start /low /b %USERPROFILE%\Documents\GitHub\eaglep3\Utilities\DownloadLogsFromS3.py --loco 4016 --day 2017-10-15</v>
      </c>
      <c r="AN128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9"/>
        <v>https://d0f6bd738d7f1b3e5a7ca70fe4ff75f0.us-east-1.aws.found.io/app/kibana#/discover/Steve-Slow-Train-Analysis-(2080s-and-2083s)?_g=(refreshInterval:(display:Off,pause:!f,section:0,value:0),time:(from:'2017-10-15T16:52:30-0600',mode:absolute,to:'2017-10-15T19:35:20-0600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782</v>
      </c>
      <c r="B129" s="7">
        <v>4015</v>
      </c>
      <c r="C129" s="21" t="s">
        <v>194</v>
      </c>
      <c r="D129" s="21" t="s">
        <v>534</v>
      </c>
      <c r="E129" s="13">
        <v>43023.784467592595</v>
      </c>
      <c r="F129" s="13">
        <v>43023.789803240739</v>
      </c>
      <c r="G129" s="7">
        <v>64</v>
      </c>
      <c r="H129" s="21" t="s">
        <v>911</v>
      </c>
      <c r="I129" s="13">
        <v>43023.816446759258</v>
      </c>
      <c r="J129" s="7">
        <v>0</v>
      </c>
      <c r="K129" s="89" t="str">
        <f>IF(ISEVEN(B129),(B129-1)&amp;"/"&amp;B129,B129&amp;"/"&amp;(B129+1))</f>
        <v>4015/4016</v>
      </c>
      <c r="L129" s="185" t="str">
        <f>VLOOKUP(A129,'Trips&amp;Operators'!$C$1:$G$99911,5,FALSE)</f>
        <v>SMITH MICHAEL</v>
      </c>
      <c r="M129" s="6">
        <f>I129-F129</f>
        <v>2.6643518518540077E-2</v>
      </c>
      <c r="N129" s="7">
        <f>24*60*SUM($M129:$M129)</f>
        <v>38.366666666697711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-15T17:49:38-0600',mode:absolute,to:'2017-10-15T20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23.298100000000002</v>
      </c>
      <c r="Z129" s="204">
        <f>RIGHT(H129,LEN(H129)-4)/10000</f>
        <v>0.11600000000000001</v>
      </c>
      <c r="AA129" s="204">
        <f>ABS(Z129-Y129)</f>
        <v>23.182100000000002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/stypes="app*4015*20171016*"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5"/>
        <v>"%USERPROFILE%\Documents\GitHub\eaglep3\Utilities\RefineRTDCRunTimes.py" --tripid 216-15 --locoid 4015 --swversion DE.1.0.9.0 --startMP 204:232981 --initTime 2017-10-15T18:49:38 --startdatetime 2017-10-15T18:57:19 --delay 64 --endMP 204:1160 --enddatetime 2017-10-15T19:35:41 --enforcementcount 0 &gt;&gt;%USERPROFILE%\Documents\GitHub\eaglep3-reporting\EC\2017-10-15-refined-times.txt</v>
      </c>
      <c r="AI12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{"issue":{"subject":"","project_id":79,"tracker_id":40,"status_id":1,"priority_id":2,"assigned_to_id":338,"start_date":"2017-10-15","description":"","custom_fields":[{"id":1,"name":"Subdivision","value":"EC"},{"id":4,"name":"Milepost","value":"0.116"},{"id":17,"name":"Train ID","value":"216-15"},{"id":16,"name":"Locomotive ID","value":"4015"},{"id":130,"name":"Impact","value":""},{"id":150,"name":"Time of Event (Mountain Time)","value":"19:35:41"},{"id":151,"name":"Denver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7"/>
        <v>start /low /b %USERPROFILE%\Documents\GitHub\eaglep3\Utilities\DownloadLogsFromS3.py --loco 4015 --day 2017-10-15</v>
      </c>
      <c r="AN12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9"/>
        <v>https://d0f6bd738d7f1b3e5a7ca70fe4ff75f0.us-east-1.aws.found.io/app/kibana#/discover/Steve-Slow-Train-Analysis-(2080s-and-2083s)?_g=(refreshInterval:(display:Off,pause:!f,section:0,value:0),time:(from:'2017-10-15T17:49:38-0600',mode:absolute,to:'2017-10-15T20:35:41-0600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775</v>
      </c>
      <c r="B130" s="7">
        <v>4042</v>
      </c>
      <c r="C130" s="21" t="s">
        <v>194</v>
      </c>
      <c r="D130" s="21" t="s">
        <v>441</v>
      </c>
      <c r="E130" s="13">
        <v>43023.756689814814</v>
      </c>
      <c r="F130" s="13">
        <v>43023.760555555556</v>
      </c>
      <c r="G130" s="7">
        <v>69</v>
      </c>
      <c r="H130" s="21" t="s">
        <v>912</v>
      </c>
      <c r="I130" s="13">
        <v>43023.785324074073</v>
      </c>
      <c r="J130" s="7">
        <v>0</v>
      </c>
      <c r="K130" s="89" t="str">
        <f>IF(ISEVEN(B130),(B130-1)&amp;"/"&amp;B130,B130&amp;"/"&amp;(B130+1))</f>
        <v>4041/4042</v>
      </c>
      <c r="L130" s="185" t="str">
        <f>VLOOKUP(A130,'Trips&amp;Operators'!$C$1:$G$99911,5,FALSE)</f>
        <v>ELBAUM MIKE</v>
      </c>
      <c r="M130" s="6">
        <f>I130-F130</f>
        <v>2.4768518516793847E-2</v>
      </c>
      <c r="N130" s="7">
        <f>24*60*SUM($M130:$M130)</f>
        <v>35.66666666418314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-15T17:09:38-0600',mode:absolute,to:'2017-10-15T19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4.6199999999999998E-2</v>
      </c>
      <c r="Z130" s="204">
        <f>RIGHT(H130,LEN(H130)-4)/10000</f>
        <v>23.3339</v>
      </c>
      <c r="AA130" s="204">
        <f>ABS(Z130-Y130)</f>
        <v>23.287700000000001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/stypes="app*4042*20171016*"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5"/>
        <v>"%USERPROFILE%\Documents\GitHub\eaglep3\Utilities\RefineRTDCRunTimes.py" --tripid 217-15 --locoid 4042 --swversion DE.1.0.9.0 --startMP 204:462 --initTime 2017-10-15T18:09:38 --startdatetime 2017-10-15T18:15:12 --delay 69 --endMP 204:233339 --enddatetime 2017-10-15T18:50:52 --enforcementcount 0 &gt;&gt;%USERPROFILE%\Documents\GitHub\eaglep3-reporting\EC\2017-10-15-refined-times.txt</v>
      </c>
      <c r="AI13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{"issue":{"subject":"","project_id":79,"tracker_id":40,"status_id":1,"priority_id":2,"assigned_to_id":338,"start_date":"2017-10-15","description":"","custom_fields":[{"id":1,"name":"Subdivision","value":"EC"},{"id":4,"name":"Milepost","value":"23.3339"},{"id":17,"name":"Train ID","value":"217-15"},{"id":16,"name":"Locomotive ID","value":"4042"},{"id":130,"name":"Impact","value":""},{"id":150,"name":"Time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7"/>
        <v>start /low /b %USERPROFILE%\Documents\GitHub\eaglep3\Utilities\DownloadLogsFromS3.py --loco 4042 --day 2017-10-15</v>
      </c>
      <c r="AN13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9"/>
        <v>https://d0f6bd738d7f1b3e5a7ca70fe4ff75f0.us-east-1.aws.found.io/app/kibana#/discover/Steve-Slow-Train-Analysis-(2080s-and-2083s)?_g=(refreshInterval:(display:Off,pause:!f,section:0,value:0),time:(from:'2017-10-15T17:09:38-0600',mode:absolute,to:'2017-10-15T19:50:52-0600'))&amp;_a=(columns:!('Message%20ID',Summary),filters:!(),index:'emp_*',interval:auto,query:(query_string:(analyze_wildcard:!t,query:'%22rtdc.l.rtdc.4042%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783</v>
      </c>
      <c r="B131" s="7">
        <v>4041</v>
      </c>
      <c r="C131" s="21" t="s">
        <v>194</v>
      </c>
      <c r="D131" s="21" t="s">
        <v>843</v>
      </c>
      <c r="E131" s="13">
        <v>43023.786400462966</v>
      </c>
      <c r="F131" s="13">
        <v>43023.800162037034</v>
      </c>
      <c r="G131" s="7">
        <v>86</v>
      </c>
      <c r="H131" s="21" t="s">
        <v>355</v>
      </c>
      <c r="I131" s="13">
        <v>43023.825624999998</v>
      </c>
      <c r="J131" s="7">
        <v>0</v>
      </c>
      <c r="K131" s="89" t="str">
        <f>IF(ISEVEN(B131),(B131-1)&amp;"/"&amp;B131,B131&amp;"/"&amp;(B131+1))</f>
        <v>4041/4042</v>
      </c>
      <c r="L131" s="185" t="str">
        <f>VLOOKUP(A131,'Trips&amp;Operators'!$C$1:$G$99911,5,FALSE)</f>
        <v>ELBAUM MIKE</v>
      </c>
      <c r="M131" s="6">
        <f>I131-F131</f>
        <v>2.5462962963501923E-2</v>
      </c>
      <c r="N131" s="7">
        <f>24*60*SUM($M131:$M131)</f>
        <v>36.666666667442769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-15T17:52:25-0600',mode:absolute,to:'2017-10-15T20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23.302800000000001</v>
      </c>
      <c r="Z131" s="204">
        <f>RIGHT(H131,LEN(H131)-4)/10000</f>
        <v>1.52E-2</v>
      </c>
      <c r="AA131" s="204">
        <f>ABS(Z131-Y131)</f>
        <v>23.287600000000001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/stypes="app*4041*20171016*"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5"/>
        <v>"%USERPROFILE%\Documents\GitHub\eaglep3\Utilities\RefineRTDCRunTimes.py" --tripid 218-15 --locoid 4041 --swversion DE.1.0.9.0 --startMP 204:233028 --initTime 2017-10-15T18:52:25 --startdatetime 2017-10-15T19:12:14 --delay 86 --endMP 204:152 --enddatetime 2017-10-15T19:48:54 --enforcementcount 0 &gt;&gt;%USERPROFILE%\Documents\GitHub\eaglep3-reporting\EC\2017-10-15-refined-times.txt</v>
      </c>
      <c r="AI131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{"issue":{"subject":"","project_id":79,"tracker_id":40,"status_id":1,"priority_id":2,"assigned_to_id":338,"start_date":"2017-10-15","description":"","custom_fields":[{"id":1,"name":"Subdivision","value":"EC"},{"id":4,"name":"Milepost","value":"0.0152"},{"id":17,"name":"Train ID","value":"218-15"},{"id":16,"name":"Locomotive ID","value":"4041"},{"id":130,"name":"Impact","value":""},{"id":150,"name":"Time of Event (Mountain Time)","value":"19:48:54"},{"id":151,"name":"Denver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7"/>
        <v>start /low /b %USERPROFILE%\Documents\GitHub\eaglep3\Utilities\DownloadLogsFromS3.py --loco 4041 --day 2017-10-15</v>
      </c>
      <c r="AN131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9"/>
        <v>https://d0f6bd738d7f1b3e5a7ca70fe4ff75f0.us-east-1.aws.found.io/app/kibana#/discover/Steve-Slow-Train-Analysis-(2080s-and-2083s)?_g=(refreshInterval:(display:Off,pause:!f,section:0,value:0),time:(from:'2017-10-15T17:52:25-0600',mode:absolute,to:'2017-10-15T20:48:54-0600'))&amp;_a=(columns:!('Message%20ID',Summary),filters:!(),index:'emp_*',interval:auto,query:(query_string:(analyze_wildcard:!t,query:'%22rtdc.l.rtdc.4041%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777</v>
      </c>
      <c r="B132" s="7">
        <v>4008</v>
      </c>
      <c r="C132" s="21" t="s">
        <v>194</v>
      </c>
      <c r="D132" s="21" t="s">
        <v>354</v>
      </c>
      <c r="E132" s="13">
        <v>43023.76489583333</v>
      </c>
      <c r="F132" s="13">
        <v>43023.771087962959</v>
      </c>
      <c r="G132" s="7">
        <v>77</v>
      </c>
      <c r="H132" s="21" t="s">
        <v>913</v>
      </c>
      <c r="I132" s="13">
        <v>43023.795868055553</v>
      </c>
      <c r="J132" s="7">
        <v>0</v>
      </c>
      <c r="K132" s="89" t="str">
        <f>IF(ISEVEN(B132),(B132-1)&amp;"/"&amp;B132,B132&amp;"/"&amp;(B132+1))</f>
        <v>4007/4008</v>
      </c>
      <c r="L132" s="185" t="str">
        <f>VLOOKUP(A132,'Trips&amp;Operators'!$C$1:$G$99911,5,FALSE)</f>
        <v>DUNCAN SHEILA</v>
      </c>
      <c r="M132" s="6">
        <f>I132-F132</f>
        <v>2.4780092593573499E-2</v>
      </c>
      <c r="N132" s="7">
        <f>24*60*SUM($M132:$M132)</f>
        <v>35.683333334745839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-15T17:21:27-0600',mode:absolute,to:'2017-10-15T20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4.58E-2</v>
      </c>
      <c r="Z132" s="204">
        <f>RIGHT(H132,LEN(H132)-4)/10000</f>
        <v>23.337199999999999</v>
      </c>
      <c r="AA132" s="204">
        <f>ABS(Z132-Y132)</f>
        <v>23.291399999999999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s3://rtdc.mdm.uploadarchive.raw/RTDC4008/ "%USERPROFILE%\AppData\Local\Temp\OnboardLogs"\RTDC4008\2017-10-15 --exclude "*" --recursive --include "*20171015*" &amp; "%USERPROFILE%\Documents\GitHub\mrs-test-scripts\Headless Mode &amp; Sideloading\WalkAndUnGZ.bat" "%USERPROFILE%\AppData\Local\Temp\OnboardLogs"\RTDC4008\2017-10-15 &amp; aws s3 cp s3://rtdc.mdm.uploadarchive.raw/RTDC4008/ "%USERPROFILE%\AppData\Local\Temp\OnboardLogs"\RTDC4008\2017-10-16 --exclude "*" --recursive --include "*20171016*" &amp; "%USERPROFILE%\Documents\GitHub\mrs-test-scripts\Headless Mode &amp; Sideloading\WalkAndUnGZ.bat" "%USERPROFILE%\AppData\Local\Temp\OnboardLogs"\RTDC4008\2017-10-16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/stypes="app*4008*20171016*"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5"/>
        <v>"%USERPROFILE%\Documents\GitHub\eaglep3\Utilities\RefineRTDCRunTimes.py" --tripid 219-15 --locoid 4008 --swversion DE.1.0.9.0 --startMP 204:458 --initTime 2017-10-15T18:21:27 --startdatetime 2017-10-15T18:30:22 --delay 77 --endMP 204:233372 --enddatetime 2017-10-15T19:06:03 --enforcementcount 0 &gt;&gt;%USERPROFILE%\Documents\GitHub\eaglep3-reporting\EC\2017-10-15-refined-times.txt</v>
      </c>
      <c r="AI13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{"issue":{"subject":"","project_id":79,"tracker_id":40,"status_id":1,"priority_id":2,"assigned_to_id":338,"start_date":"2017-10-15","description":"","custom_fields":[{"id":1,"name":"Subdivision","value":"EC"},{"id":4,"name":"Milepost","value":"23.3372"},{"id":17,"name":"Train ID","value":"219-15"},{"id":16,"name":"Locomotive ID","value":"4008"},{"id":130,"name":"Impact","value":""},{"id":150,"name":"Time of Event (Mountain Time)","value":"19:06:03"},{"id":151,"name":"Denver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7"/>
        <v>start /low /b %USERPROFILE%\Documents\GitHub\eaglep3\Utilities\DownloadLogsFromS3.py --loco 4008 --day 2017-10-15</v>
      </c>
      <c r="AN132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9"/>
        <v>https://d0f6bd738d7f1b3e5a7ca70fe4ff75f0.us-east-1.aws.found.io/app/kibana#/discover/Steve-Slow-Train-Analysis-(2080s-and-2083s)?_g=(refreshInterval:(display:Off,pause:!f,section:0,value:0),time:(from:'2017-10-15T17:21:27-0600',mode:absolute,to:'2017-10-15T20:06:03-0600'))&amp;_a=(columns:!('Message%20ID',Summary),filters:!(),index:'emp_*',interval:auto,query:(query_string:(analyze_wildcard:!t,query:'%22rtdc.l.rtdc.4008%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785</v>
      </c>
      <c r="B133" s="7">
        <v>4007</v>
      </c>
      <c r="C133" s="21" t="s">
        <v>194</v>
      </c>
      <c r="D133" s="21" t="s">
        <v>528</v>
      </c>
      <c r="E133" s="13">
        <v>43023.802407407406</v>
      </c>
      <c r="F133" s="13">
        <v>43023.810671296298</v>
      </c>
      <c r="G133" s="7">
        <v>104</v>
      </c>
      <c r="H133" s="21" t="s">
        <v>914</v>
      </c>
      <c r="I133" s="13">
        <v>43023.836365740739</v>
      </c>
      <c r="J133" s="7">
        <v>0</v>
      </c>
      <c r="K133" s="89" t="str">
        <f>IF(ISEVEN(B133),(B133-1)&amp;"/"&amp;B133,B133&amp;"/"&amp;(B133+1))</f>
        <v>4007/4008</v>
      </c>
      <c r="L133" s="185" t="str">
        <f>VLOOKUP(A133,'Trips&amp;Operators'!$C$1:$G$99911,5,FALSE)</f>
        <v>DUNCAN SHEILA</v>
      </c>
      <c r="M133" s="6">
        <f>I133-F133</f>
        <v>2.569444444088731E-2</v>
      </c>
      <c r="N133" s="7">
        <f>24*60*SUM($M133:$M133)</f>
        <v>36.999999994877726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-15T18:15:28-0600',mode:absolute,to:'2017-10-15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23.302299999999999</v>
      </c>
      <c r="Z133" s="204">
        <f>RIGHT(H133,LEN(H133)-4)/10000</f>
        <v>3.9100000000000003E-2</v>
      </c>
      <c r="AA133" s="204">
        <f>ABS(Z133-Y133)</f>
        <v>23.263199999999998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/stypes="app*4007*20171016*"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5"/>
        <v>"%USERPROFILE%\Documents\GitHub\eaglep3\Utilities\RefineRTDCRunTimes.py" --tripid 220-15 --locoid 4007 --swversion DE.1.0.9.0 --startMP 204:233023 --initTime 2017-10-15T19:15:28 --startdatetime 2017-10-15T19:27:22 --delay 104 --endMP 204:391 --enddatetime 2017-10-15T20:04:22 --enforcementcount 0 &gt;&gt;%USERPROFILE%\Documents\GitHub\eaglep3-reporting\EC\2017-10-15-refined-times.txt</v>
      </c>
      <c r="AI133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{"issue":{"subject":"","project_id":79,"tracker_id":40,"status_id":1,"priority_id":2,"assigned_to_id":338,"start_date":"2017-10-15","description":"","custom_fields":[{"id":1,"name":"Subdivision","value":"EC"},{"id":4,"name":"Milepost","value":"0.0391"},{"id":17,"name":"Train ID","value":"220-15"},{"id":16,"name":"Locomotive ID","value":"4007"},{"id":130,"name":"Impact","value":""},{"id":150,"name":"Time of Event (Mountain Time)","value":"20:04:22"},{"id":151,"name":"Denver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7"/>
        <v>start /low /b %USERPROFILE%\Documents\GitHub\eaglep3\Utilities\DownloadLogsFromS3.py --loco 4007 --day 2017-10-15</v>
      </c>
      <c r="AN133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9"/>
        <v>https://d0f6bd738d7f1b3e5a7ca70fe4ff75f0.us-east-1.aws.found.io/app/kibana#/discover/Steve-Slow-Train-Analysis-(2080s-and-2083s)?_g=(refreshInterval:(display:Off,pause:!f,section:0,value:0),time:(from:'2017-10-15T18:15:28-0600',mode:absolute,to:'2017-10-15T21:04:22-0600'))&amp;_a=(columns:!('Message%20ID',Summary),filters:!(),index:'emp_*',interval:auto,query:(query_string:(analyze_wildcard:!t,query:'%22rtdc.l.rtdc.4007%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784</v>
      </c>
      <c r="B134" s="7">
        <v>4032</v>
      </c>
      <c r="C134" s="21" t="s">
        <v>194</v>
      </c>
      <c r="D134" s="21" t="s">
        <v>915</v>
      </c>
      <c r="E134" s="13">
        <v>43023.787939814814</v>
      </c>
      <c r="F134" s="13">
        <v>43023.791979166665</v>
      </c>
      <c r="G134" s="7">
        <v>47</v>
      </c>
      <c r="H134" s="21" t="s">
        <v>916</v>
      </c>
      <c r="I134" s="13">
        <v>43023.816550925927</v>
      </c>
      <c r="J134" s="7">
        <v>0</v>
      </c>
      <c r="K134" s="89" t="str">
        <f>IF(ISEVEN(B134),(B134-1)&amp;"/"&amp;B134,B134&amp;"/"&amp;(B134+1))</f>
        <v>4031/4032</v>
      </c>
      <c r="L134" s="185" t="str">
        <f>VLOOKUP(A134,'Trips&amp;Operators'!$C$1:$G$99911,5,FALSE)</f>
        <v>STAMBAUGH JAMES</v>
      </c>
      <c r="M134" s="6">
        <f>I134-F134</f>
        <v>2.457175926247146E-2</v>
      </c>
      <c r="N134" s="7">
        <f>24*60*SUM($M134:$M134)</f>
        <v>35.383333337958902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-15T17:54:38-0600',mode:absolute,to:'2017-10-15T20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4.1500000000000002E-2</v>
      </c>
      <c r="Z134" s="204">
        <f>RIGHT(H134,LEN(H134)-4)/10000</f>
        <v>23.342300000000002</v>
      </c>
      <c r="AA134" s="204">
        <f>ABS(Z134-Y134)</f>
        <v>23.300800000000002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/stypes="app*4032*20171016*"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5"/>
        <v>"%USERPROFILE%\Documents\GitHub\eaglep3\Utilities\RefineRTDCRunTimes.py" --tripid 221-15 --locoid 4032 --swversion DE.1.0.9.0 --startMP 204:415 --initTime 2017-10-15T18:54:38 --startdatetime 2017-10-15T19:00:27 --delay 47 --endMP 204:233423 --enddatetime 2017-10-15T19:35:50 --enforcementcount 0 &gt;&gt;%USERPROFILE%\Documents\GitHub\eaglep3-reporting\EC\2017-10-15-refined-times.txt</v>
      </c>
      <c r="AI13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{"issue":{"subject":"","project_id":79,"tracker_id":40,"status_id":1,"priority_id":2,"assigned_to_id":338,"start_date":"2017-10-15","description":"","custom_fields":[{"id":1,"name":"Subdivision","value":"EC"},{"id":4,"name":"Milepost","value":"23.3423"},{"id":17,"name":"Train ID","value":"221-15"},{"id":16,"name":"Locomotive ID","value":"4032"},{"id":130,"name":"Impact","value":""},{"id":150,"name":"Time of Event (Mountain Time)","value":"19:35:50"},{"id":151,"name":"Denver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7"/>
        <v>start /low /b %USERPROFILE%\Documents\GitHub\eaglep3\Utilities\DownloadLogsFromS3.py --loco 4032 --day 2017-10-15</v>
      </c>
      <c r="AN13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9"/>
        <v>https://d0f6bd738d7f1b3e5a7ca70fe4ff75f0.us-east-1.aws.found.io/app/kibana#/discover/Steve-Slow-Train-Analysis-(2080s-and-2083s)?_g=(refreshInterval:(display:Off,pause:!f,section:0,value:0),time:(from:'2017-10-15T17:54:38-0600',mode:absolute,to:'2017-10-15T20:35:50-0600'))&amp;_a=(columns:!('Message%20ID',Summary),filters:!(),index:'emp_*',interval:auto,query:(query_string:(analyze_wildcard:!t,query:'%22rtdc.l.rtdc.4032%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788</v>
      </c>
      <c r="B135" s="7">
        <v>4031</v>
      </c>
      <c r="C135" s="21" t="s">
        <v>194</v>
      </c>
      <c r="D135" s="21" t="s">
        <v>917</v>
      </c>
      <c r="E135" s="13">
        <v>43023.828923611109</v>
      </c>
      <c r="F135" s="13">
        <v>43023.83189814815</v>
      </c>
      <c r="G135" s="7">
        <v>45</v>
      </c>
      <c r="H135" s="21" t="s">
        <v>918</v>
      </c>
      <c r="I135" s="13">
        <v>43023.858032407406</v>
      </c>
      <c r="J135" s="7">
        <v>0</v>
      </c>
      <c r="K135" s="89" t="str">
        <f>IF(ISEVEN(B135),(B135-1)&amp;"/"&amp;B135,B135&amp;"/"&amp;(B135+1))</f>
        <v>4031/4032</v>
      </c>
      <c r="L135" s="185" t="str">
        <f>VLOOKUP(A135,'Trips&amp;Operators'!$C$1:$G$99911,5,FALSE)</f>
        <v>STAMBAUGH JAMES</v>
      </c>
      <c r="M135" s="6">
        <f>I135-F135</f>
        <v>2.6134259256650694E-2</v>
      </c>
      <c r="N135" s="7">
        <f>24*60*SUM($M135:$M135)</f>
        <v>37.633333329576999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-15T18:53:39-0600',mode:absolute,to:'2017-10-15T21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23.314699999999998</v>
      </c>
      <c r="Z135" s="204">
        <f>RIGHT(H135,LEN(H135)-4)/10000</f>
        <v>3.0700000000000002E-2</v>
      </c>
      <c r="AA135" s="204">
        <f>ABS(Z135-Y135)</f>
        <v>23.283999999999999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/stypes="app*4031*20171016*"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5"/>
        <v>"%USERPROFILE%\Documents\GitHub\eaglep3\Utilities\RefineRTDCRunTimes.py" --tripid 222-15 --locoid 4031 --swversion DE.1.0.9.0 --startMP 204:233147 --initTime 2017-10-15T19:53:39 --startdatetime 2017-10-15T19:57:56 --delay 45 --endMP 204:307 --enddatetime 2017-10-15T20:35:34 --enforcementcount 0 &gt;&gt;%USERPROFILE%\Documents\GitHub\eaglep3-reporting\EC\2017-10-15-refined-times.txt</v>
      </c>
      <c r="AI13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{"issue":{"subject":"","project_id":79,"tracker_id":40,"status_id":1,"priority_id":2,"assigned_to_id":338,"start_date":"2017-10-15","description":"","custom_fields":[{"id":1,"name":"Subdivision","value":"EC"},{"id":4,"name":"Milepost","value":"0.0307"},{"id":17,"name":"Train ID","value":"222-15"},{"id":16,"name":"Locomotive ID","value":"4031"},{"id":130,"name":"Impact","value":""},{"id":150,"name":"Time of Event (Mountain Time)","value":"20:35:34"},{"id":151,"name":"Denver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7"/>
        <v>start /low /b %USERPROFILE%\Documents\GitHub\eaglep3\Utilities\DownloadLogsFromS3.py --loco 4031 --day 2017-10-15</v>
      </c>
      <c r="AN13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9"/>
        <v>https://d0f6bd738d7f1b3e5a7ca70fe4ff75f0.us-east-1.aws.found.io/app/kibana#/discover/Steve-Slow-Train-Analysis-(2080s-and-2083s)?_g=(refreshInterval:(display:Off,pause:!f,section:0,value:0),time:(from:'2017-10-15T18:53:39-0600',mode:absolute,to:'2017-10-15T21:35:34-0600'))&amp;_a=(columns:!('Message%20ID',Summary),filters:!(),index:'emp_*',interval:auto,query:(query_string:(analyze_wildcard:!t,query:'%22rtdc.l.rtdc.4031%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786</v>
      </c>
      <c r="B136" s="7">
        <v>4036</v>
      </c>
      <c r="C136" s="21" t="s">
        <v>194</v>
      </c>
      <c r="D136" s="21" t="s">
        <v>441</v>
      </c>
      <c r="E136" s="13">
        <v>43023.808981481481</v>
      </c>
      <c r="F136" s="13">
        <v>43023.812696759262</v>
      </c>
      <c r="G136" s="7">
        <v>108</v>
      </c>
      <c r="H136" s="21" t="s">
        <v>371</v>
      </c>
      <c r="I136" s="13">
        <v>43023.837314814817</v>
      </c>
      <c r="J136" s="7">
        <v>0</v>
      </c>
      <c r="K136" s="89" t="str">
        <f>IF(ISEVEN(B136),(B136-1)&amp;"/"&amp;B136,B136&amp;"/"&amp;(B136+1))</f>
        <v>4035/4036</v>
      </c>
      <c r="L136" s="185" t="str">
        <f>VLOOKUP(A136,'Trips&amp;Operators'!$C$1:$G$99911,5,FALSE)</f>
        <v>LOZA FIDEL</v>
      </c>
      <c r="M136" s="6">
        <f>I136-F136</f>
        <v>2.4618055555038154E-2</v>
      </c>
      <c r="N136" s="7">
        <f>24*60*SUM($M136:$M136)</f>
        <v>35.449999999254942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-15T18:24:56-0600',mode:absolute,to:'2017-10-15T21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4.6199999999999998E-2</v>
      </c>
      <c r="Z136" s="204">
        <f>RIGHT(H136,LEN(H136)-4)/10000</f>
        <v>23.331199999999999</v>
      </c>
      <c r="AA136" s="204">
        <f>ABS(Z136-Y136)</f>
        <v>23.285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/stypes="app*4036*20171016*"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5"/>
        <v>"%USERPROFILE%\Documents\GitHub\eaglep3\Utilities\RefineRTDCRunTimes.py" --tripid 223-15 --locoid 4036 --swversion DE.1.0.9.0 --startMP 204:462 --initTime 2017-10-15T19:24:56 --startdatetime 2017-10-15T19:30:17 --delay 108 --endMP 204:233312 --enddatetime 2017-10-15T20:05:44 --enforcementcount 0 &gt;&gt;%USERPROFILE%\Documents\GitHub\eaglep3-reporting\EC\2017-10-15-refined-times.txt</v>
      </c>
      <c r="AI136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{"issue":{"subject":"","project_id":79,"tracker_id":40,"status_id":1,"priority_id":2,"assigned_to_id":338,"start_date":"2017-10-15","description":"","custom_fields":[{"id":1,"name":"Subdivision","value":"EC"},{"id":4,"name":"Milepost","value":"23.3312"},{"id":17,"name":"Train ID","value":"223-15"},{"id":16,"name":"Locomotive ID","value":"4036"},{"id":130,"name":"Impact","value":""},{"id":150,"name":"Time of Event (Mountain Time)","value":"20:05:44"},{"id":151,"name":"Denver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7"/>
        <v>start /low /b %USERPROFILE%\Documents\GitHub\eaglep3\Utilities\DownloadLogsFromS3.py --loco 4036 --day 2017-10-15</v>
      </c>
      <c r="AN136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9"/>
        <v>https://d0f6bd738d7f1b3e5a7ca70fe4ff75f0.us-east-1.aws.found.io/app/kibana#/discover/Steve-Slow-Train-Analysis-(2080s-and-2083s)?_g=(refreshInterval:(display:Off,pause:!f,section:0,value:0),time:(from:'2017-10-15T18:24:56-0600',mode:absolute,to:'2017-10-15T21:05:44-0600'))&amp;_a=(columns:!('Message%20ID',Summary),filters:!(),index:'emp_*',interval:auto,query:(query_string:(analyze_wildcard:!t,query:'%22rtdc.l.rtdc.4036%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4035</v>
      </c>
      <c r="C137" s="21" t="s">
        <v>194</v>
      </c>
      <c r="D137" s="21" t="s">
        <v>919</v>
      </c>
      <c r="E137" s="13">
        <v>43023.84815972222</v>
      </c>
      <c r="F137" s="13">
        <v>43023.852361111109</v>
      </c>
      <c r="G137" s="7">
        <v>79</v>
      </c>
      <c r="H137" s="21" t="s">
        <v>337</v>
      </c>
      <c r="I137" s="13">
        <v>43023.878101851849</v>
      </c>
      <c r="J137" s="7">
        <v>0</v>
      </c>
      <c r="K137" s="89" t="str">
        <f>IF(ISEVEN(B137),(B137-1)&amp;"/"&amp;B137,B137&amp;"/"&amp;(B137+1))</f>
        <v>4035/4036</v>
      </c>
      <c r="L137" s="185" t="str">
        <f>VLOOKUP(A137,'Trips&amp;Operators'!$C$1:$G$99911,5,FALSE)</f>
        <v>LOZA FIDEL</v>
      </c>
      <c r="M137" s="6">
        <f>I137-F137</f>
        <v>2.5740740740729962E-2</v>
      </c>
      <c r="N137" s="7">
        <f>24*60*SUM($M137:$M137)</f>
        <v>37.066666666651145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-15T19:21:21-0600',mode:absolute,to:'2017-10-15T22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23.301300000000001</v>
      </c>
      <c r="Z137" s="204">
        <f>RIGHT(H137,LEN(H137)-4)/10000</f>
        <v>1.43E-2</v>
      </c>
      <c r="AA137" s="204">
        <f>ABS(Z137-Y137)</f>
        <v>23.287000000000003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/stypes="app*4035*20171016*"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5"/>
        <v>"%USERPROFILE%\Documents\GitHub\eaglep3\Utilities\RefineRTDCRunTimes.py" --tripid 224-15 --locoid 4035 --swversion DE.1.0.9.0 --startMP 204:233013 --initTime 2017-10-15T20:21:21 --startdatetime 2017-10-15T20:27:24 --delay 79 --endMP 204:143 --enddatetime 2017-10-15T21:04:28 --enforcementcount 0 &gt;&gt;%USERPROFILE%\Documents\GitHub\eaglep3-reporting\EC\2017-10-15-refined-times.txt</v>
      </c>
      <c r="AI137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{"issue":{"subject":"","project_id":79,"tracker_id":40,"status_id":1,"priority_id":2,"assigned_to_id":338,"start_date":"2017-10-15","description":"","custom_fields":[{"id":1,"name":"Subdivision","value":"EC"},{"id":4,"name":"Milepost","value":"0.0143"},{"id":17,"name":"Train ID","value":"224-15"},{"id":16,"name":"Locomotive ID","value":"4035"},{"id":130,"name":"Impact","value":""},{"id":150,"name":"Time of Event (Mountain Time)","value":"21:04:28"},{"id":151,"name":"Denver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7"/>
        <v>start /low /b %USERPROFILE%\Documents\GitHub\eaglep3\Utilities\DownloadLogsFromS3.py --loco 4035 --day 2017-10-15</v>
      </c>
      <c r="AN137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9"/>
        <v>https://d0f6bd738d7f1b3e5a7ca70fe4ff75f0.us-east-1.aws.found.io/app/kibana#/discover/Steve-Slow-Train-Analysis-(2080s-and-2083s)?_g=(refreshInterval:(display:Off,pause:!f,section:0,value:0),time:(from:'2017-10-15T19:21:21-0600',mode:absolute,to:'2017-10-15T22:04:28-0600'))&amp;_a=(columns:!('Message%20ID',Summary),filters:!(),index:'emp_*',interval:auto,query:(query_string:(analyze_wildcard:!t,query:'%22rtdc.l.rtdc.4035%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584</v>
      </c>
      <c r="B138" s="7">
        <v>4042</v>
      </c>
      <c r="C138" s="21" t="s">
        <v>194</v>
      </c>
      <c r="D138" s="21" t="s">
        <v>391</v>
      </c>
      <c r="E138" s="13">
        <v>43023.826689814814</v>
      </c>
      <c r="F138" s="13">
        <v>43023.833506944444</v>
      </c>
      <c r="G138" s="7">
        <v>58</v>
      </c>
      <c r="H138" s="21" t="s">
        <v>920</v>
      </c>
      <c r="I138" s="13">
        <v>43023.858587962961</v>
      </c>
      <c r="J138" s="7">
        <v>0</v>
      </c>
      <c r="K138" s="89" t="str">
        <f>IF(ISEVEN(B138),(B138-1)&amp;"/"&amp;B138,B138&amp;"/"&amp;(B138+1))</f>
        <v>4041/4042</v>
      </c>
      <c r="L138" s="185" t="str">
        <f>VLOOKUP(A138,'Trips&amp;Operators'!$C$1:$G$99911,5,FALSE)</f>
        <v>ELBAUM MIKE</v>
      </c>
      <c r="M138" s="6">
        <f>I138-F138</f>
        <v>2.5081018517084885E-2</v>
      </c>
      <c r="N138" s="7">
        <f>24*60*SUM($M138:$M138)</f>
        <v>36.116666664602235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-15T18:50:26-0600',mode:absolute,to:'2017-10-15T21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4.6699999999999998E-2</v>
      </c>
      <c r="Z138" s="204">
        <f>RIGHT(H138,LEN(H138)-4)/10000</f>
        <v>23.334700000000002</v>
      </c>
      <c r="AA138" s="204">
        <f>ABS(Z138-Y138)</f>
        <v>23.288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/stypes="app*4042*20171016*"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5"/>
        <v>"%USERPROFILE%\Documents\GitHub\eaglep3\Utilities\RefineRTDCRunTimes.py" --tripid 225-15 --locoid 4042 --swversion DE.1.0.9.0 --startMP 204:467 --initTime 2017-10-15T19:50:26 --startdatetime 2017-10-15T20:00:15 --delay 58 --endMP 204:233347 --enddatetime 2017-10-15T20:36:22 --enforcementcount 0 &gt;&gt;%USERPROFILE%\Documents\GitHub\eaglep3-reporting\EC\2017-10-15-refined-times.txt</v>
      </c>
      <c r="AI138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{"issue":{"subject":"","project_id":79,"tracker_id":40,"status_id":1,"priority_id":2,"assigned_to_id":338,"start_date":"2017-10-15","description":"","custom_fields":[{"id":1,"name":"Subdivision","value":"EC"},{"id":4,"name":"Milepost","value":"23.3347"},{"id":17,"name":"Train ID","value":"225-15"},{"id":16,"name":"Locomotive ID","value":"4042"},{"id":130,"name":"Impact","value":""},{"id":150,"name":"Time of Event (Mountain Time)","value":"20:36:22"},{"id":151,"name":"Denver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7"/>
        <v>start /low /b %USERPROFILE%\Documents\GitHub\eaglep3\Utilities\DownloadLogsFromS3.py --loco 4042 --day 2017-10-15</v>
      </c>
      <c r="AN138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9"/>
        <v>https://d0f6bd738d7f1b3e5a7ca70fe4ff75f0.us-east-1.aws.found.io/app/kibana#/discover/Steve-Slow-Train-Analysis-(2080s-and-2083s)?_g=(refreshInterval:(display:Off,pause:!f,section:0,value:0),time:(from:'2017-10-15T18:50:26-0600',mode:absolute,to:'2017-10-15T21:36:22-0600'))&amp;_a=(columns:!('Message%20ID',Summary),filters:!(),index:'emp_*',interval:auto,query:(query_string:(analyze_wildcard:!t,query:'%22rtdc.l.rtdc.4042%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4041</v>
      </c>
      <c r="C139" s="21" t="s">
        <v>194</v>
      </c>
      <c r="D139" s="21" t="s">
        <v>815</v>
      </c>
      <c r="E139" s="13">
        <v>43023.859513888892</v>
      </c>
      <c r="F139" s="13">
        <v>43023.873124999998</v>
      </c>
      <c r="G139" s="7">
        <v>50</v>
      </c>
      <c r="H139" s="21" t="s">
        <v>547</v>
      </c>
      <c r="I139" s="13">
        <v>43023.898715277777</v>
      </c>
      <c r="J139" s="7">
        <v>0</v>
      </c>
      <c r="K139" s="89" t="str">
        <f>IF(ISEVEN(B139),(B139-1)&amp;"/"&amp;B139,B139&amp;"/"&amp;(B139+1))</f>
        <v>4041/4042</v>
      </c>
      <c r="L139" s="185" t="str">
        <f>VLOOKUP(A139,'Trips&amp;Operators'!$C$1:$G$99911,5,FALSE)</f>
        <v>ELBAUM MIKE</v>
      </c>
      <c r="M139" s="6">
        <f>I139-F139</f>
        <v>2.5590277778974269E-2</v>
      </c>
      <c r="N139" s="7">
        <f>24*60*SUM($M139:$M139)</f>
        <v>36.850000001722947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-15T19:37:42-0600',mode:absolute,to:'2017-10-15T22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23.302099999999999</v>
      </c>
      <c r="Z139" s="204">
        <f>RIGHT(H139,LEN(H139)-4)/10000</f>
        <v>1.41E-2</v>
      </c>
      <c r="AA139" s="204">
        <f>ABS(Z139-Y139)</f>
        <v>23.288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/stypes="app*4041*20171016*"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5"/>
        <v>"%USERPROFILE%\Documents\GitHub\eaglep3\Utilities\RefineRTDCRunTimes.py" --tripid 226-15 --locoid 4041 --swversion DE.1.0.9.0 --startMP 204:233021 --initTime 2017-10-15T20:37:42 --startdatetime 2017-10-15T20:57:18 --delay 50 --endMP 204:141 --enddatetime 2017-10-15T21:34:09 --enforcementcount 0 &gt;&gt;%USERPROFILE%\Documents\GitHub\eaglep3-reporting\EC\2017-10-15-refined-times.txt</v>
      </c>
      <c r="AI139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{"issue":{"subject":"","project_id":79,"tracker_id":40,"status_id":1,"priority_id":2,"assigned_to_id":338,"start_date":"2017-10-15","description":"","custom_fields":[{"id":1,"name":"Subdivision","value":"EC"},{"id":4,"name":"Milepost","value":"0.0141"},{"id":17,"name":"Train ID","value":"226-15"},{"id":16,"name":"Locomotive ID","value":"4041"},{"id":130,"name":"Impact","value":""},{"id":150,"name":"Time of Event (Mountain Time)","value":"21:34:09"},{"id":151,"name":"Denver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7"/>
        <v>start /low /b %USERPROFILE%\Documents\GitHub\eaglep3\Utilities\DownloadLogsFromS3.py --loco 4041 --day 2017-10-15</v>
      </c>
      <c r="AN139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9"/>
        <v>https://d0f6bd738d7f1b3e5a7ca70fe4ff75f0.us-east-1.aws.found.io/app/kibana#/discover/Steve-Slow-Train-Analysis-(2080s-and-2083s)?_g=(refreshInterval:(display:Off,pause:!f,section:0,value:0),time:(from:'2017-10-15T19:37:42-0600',mode:absolute,to:'2017-10-15T22:34:09-0600'))&amp;_a=(columns:!('Message%20ID',Summary),filters:!(),index:'emp_*',interval:auto,query:(query_string:(analyze_wildcard:!t,query:'%22rtdc.l.rtdc.4041%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586</v>
      </c>
      <c r="B140" s="7">
        <v>4016</v>
      </c>
      <c r="C140" s="21" t="s">
        <v>194</v>
      </c>
      <c r="D140" s="21" t="s">
        <v>921</v>
      </c>
      <c r="E140" s="13">
        <v>43023.851111111115</v>
      </c>
      <c r="F140" s="13">
        <v>43023.854386574072</v>
      </c>
      <c r="G140" s="7">
        <v>72</v>
      </c>
      <c r="H140" s="21" t="s">
        <v>526</v>
      </c>
      <c r="I140" s="13">
        <v>43023.87871527778</v>
      </c>
      <c r="J140" s="7">
        <v>0</v>
      </c>
      <c r="K140" s="89" t="str">
        <f>IF(ISEVEN(B140),(B140-1)&amp;"/"&amp;B140,B140&amp;"/"&amp;(B140+1))</f>
        <v>4015/4016</v>
      </c>
      <c r="L140" s="185" t="str">
        <f>VLOOKUP(A140,'Trips&amp;Operators'!$C$1:$G$99911,5,FALSE)</f>
        <v>DUNCAN SHEILA</v>
      </c>
      <c r="M140" s="6">
        <f>I140-F140</f>
        <v>2.4328703708306421E-2</v>
      </c>
      <c r="N140" s="7">
        <f>24*60*SUM($M140:$M140)</f>
        <v>35.033333339961246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-15T19:25:36-0600',mode:absolute,to:'2017-10-15T22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7.8100000000000003E-2</v>
      </c>
      <c r="Z140" s="204">
        <f>RIGHT(H140,LEN(H140)-4)/10000</f>
        <v>23.334900000000001</v>
      </c>
      <c r="AA140" s="204">
        <f>ABS(Z140-Y140)</f>
        <v>23.256800000000002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/stypes="app*4016*20171016*"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5"/>
        <v>"%USERPROFILE%\Documents\GitHub\eaglep3\Utilities\RefineRTDCRunTimes.py" --tripid 227-15 --locoid 4016 --swversion DE.1.0.9.0 --startMP 204:781 --initTime 2017-10-15T20:25:36 --startdatetime 2017-10-15T20:30:19 --delay 72 --endMP 204:233349 --enddatetime 2017-10-15T21:05:21 --enforcementcount 0 &gt;&gt;%USERPROFILE%\Documents\GitHub\eaglep3-reporting\EC\2017-10-15-refined-times.txt</v>
      </c>
      <c r="AI140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{"issue":{"subject":"","project_id":79,"tracker_id":40,"status_id":1,"priority_id":2,"assigned_to_id":338,"start_date":"2017-10-15","description":"","custom_fields":[{"id":1,"name":"Subdivision","value":"EC"},{"id":4,"name":"Milepost","value":"23.3349"},{"id":17,"name":"Train ID","value":"227-15"},{"id":16,"name":"Locomotive ID","value":"4016"},{"id":130,"name":"Impact","value":""},{"id":150,"name":"Time of Event (Mountain Time)","value":"21:05:21"},{"id":151,"name":"Denver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7"/>
        <v>start /low /b %USERPROFILE%\Documents\GitHub\eaglep3\Utilities\DownloadLogsFromS3.py --loco 4016 --day 2017-10-15</v>
      </c>
      <c r="AN140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9"/>
        <v>https://d0f6bd738d7f1b3e5a7ca70fe4ff75f0.us-east-1.aws.found.io/app/kibana#/discover/Steve-Slow-Train-Analysis-(2080s-and-2083s)?_g=(refreshInterval:(display:Off,pause:!f,section:0,value:0),time:(from:'2017-10-15T19:25:36-0600',mode:absolute,to:'2017-10-15T22:05:21-0600'))&amp;_a=(columns:!('Message%20ID',Summary),filters:!(),index:'emp_*',interval:auto,query:(query_string:(analyze_wildcard:!t,query:'%22rtdc.l.rtdc.4016%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4003</v>
      </c>
      <c r="C141" s="21" t="s">
        <v>194</v>
      </c>
      <c r="D141" s="21" t="s">
        <v>921</v>
      </c>
      <c r="E141" s="13">
        <v>43023.851111111115</v>
      </c>
      <c r="F141" s="13">
        <v>43023.894062500003</v>
      </c>
      <c r="G141" s="7">
        <v>72</v>
      </c>
      <c r="H141" s="21" t="s">
        <v>526</v>
      </c>
      <c r="I141" s="13">
        <v>43023.920138888891</v>
      </c>
      <c r="J141" s="7">
        <v>0</v>
      </c>
      <c r="K141" s="89" t="str">
        <f>IF(ISEVEN(B141),(B141-1)&amp;"/"&amp;B141,B141&amp;"/"&amp;(B141+1))</f>
        <v>4003/4004</v>
      </c>
      <c r="L141" s="185" t="str">
        <f>VLOOKUP(A141,'Trips&amp;Operators'!$C$1:$G$99911,5,FALSE)</f>
        <v>DUNCAN SHEILA</v>
      </c>
      <c r="M141" s="6">
        <f>I141-F141</f>
        <v>2.6076388887304347E-2</v>
      </c>
      <c r="N141" s="7">
        <f>24*60*SUM($M141:$M141)</f>
        <v>37.54999999771826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-15T19:25:36-0600',mode:absolute,to:'2017-10-15T23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v>23.302099999999999</v>
      </c>
      <c r="Z141" s="204">
        <v>1.41E-2</v>
      </c>
      <c r="AA141" s="204">
        <f>ABS(Z141-Y141)</f>
        <v>23.288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/stypes="app*4003*20171016*"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ref="AH141" si="2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228-15 --locoid 4003 --swversion DE.1.0.9.0 --startMP 204:781 --initTime 2017-10-15T20:25:36 --startdatetime 2017-10-15T21:27:27 --delay 72 --endMP 204:233349 --enddatetime 2017-10-15T22:05:00 --enforcementcount 0 &gt;&gt;%USERPROFILE%\Documents\GitHub\eaglep3-reporting\EC\2017-10-15-refined-times.txt</v>
      </c>
      <c r="AI141" s="96" t="str">
        <f t="shared" ref="AI141" si="2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{"issue":{"subject":"","project_id":79,"tracker_id":40,"status_id":1,"priority_id":2,"assigned_to_id":338,"start_date":"2017-10-15","description":"","custom_fields":[{"id":1,"name":"Subdivision","value":"EC"},{"id":4,"name":"Milepost","value":"0.0141"},{"id":17,"name":"Train ID","value":"228-15"},{"id":16,"name":"Locomotive ID","value":"4003"},{"id":130,"name":"Impact","value":""},{"id":150,"name":"Time of Event (Mountain Time)","value":"22:05:00"},{"id":151,"name":"Denver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" si="27">"start /low /b "&amp;dls3logs&amp;" --loco "&amp;B141&amp;" --day "&amp;TEXT(F141,"YYYY-MM-DD")</f>
        <v>start /low /b %USERPROFILE%\Documents\GitHub\eaglep3\Utilities\DownloadLogsFromS3.py --loco 4003 --day 2017-10-15</v>
      </c>
      <c r="AN141" s="151" t="str">
        <f t="shared" ref="AN141" si="28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" si="2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-15T19:25:36-0600',mode:absolute,to:'2017-10-15T23:05:00-0600'))&amp;_a=(columns:!('Message%20ID',Summary),filters:!(),index:'emp_*',interval:auto,query:(query_string:(analyze_wildcard:!t,query:'%22rtdc.l.rtdc.4003%22')),sort:!(Time.ISO8601,asc))</v>
      </c>
    </row>
    <row r="142" spans="1:91" s="20" customFormat="1" x14ac:dyDescent="0.25">
      <c r="A142" s="32" t="s">
        <v>792</v>
      </c>
      <c r="B142" s="7">
        <v>4032</v>
      </c>
      <c r="C142" s="21" t="s">
        <v>194</v>
      </c>
      <c r="D142" s="21" t="s">
        <v>922</v>
      </c>
      <c r="E142" s="13">
        <v>43023.865011574075</v>
      </c>
      <c r="F142" s="13">
        <v>43023.875543981485</v>
      </c>
      <c r="G142" s="7">
        <v>77</v>
      </c>
      <c r="H142" s="21" t="s">
        <v>923</v>
      </c>
      <c r="I142" s="13">
        <v>43023.900034722225</v>
      </c>
      <c r="J142" s="7">
        <v>0</v>
      </c>
      <c r="K142" s="89" t="str">
        <f>IF(ISEVEN(B142),(B142-1)&amp;"/"&amp;B142,B142&amp;"/"&amp;(B142+1))</f>
        <v>4031/4032</v>
      </c>
      <c r="L142" s="185" t="str">
        <f>VLOOKUP(A142,'Trips&amp;Operators'!$C$1:$G$99911,5,FALSE)</f>
        <v>STAMBAUGH JAMES</v>
      </c>
      <c r="M142" s="6">
        <f>I142-F142</f>
        <v>2.4490740739565808E-2</v>
      </c>
      <c r="N142" s="7">
        <f>24*60*SUM($M142:$M142)</f>
        <v>35.266666664974764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-15T19:45:37-0600',mode:absolute,to:'2017-10-15T22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6.0600000000000001E-2</v>
      </c>
      <c r="Z142" s="204">
        <f>RIGHT(H142,LEN(H142)-4)/10000</f>
        <v>23.345099999999999</v>
      </c>
      <c r="AA142" s="204">
        <f>ABS(Z142-Y142)</f>
        <v>23.284499999999998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/stypes="app*4032*20171016*"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5"/>
        <v>"%USERPROFILE%\Documents\GitHub\eaglep3\Utilities\RefineRTDCRunTimes.py" --tripid 229-15 --locoid 4032 --swversion DE.1.0.9.0 --startMP 204:606 --initTime 2017-10-15T20:45:37 --startdatetime 2017-10-15T21:00:47 --delay 77 --endMP 204:233451 --enddatetime 2017-10-15T21:36:03 --enforcementcount 0 &gt;&gt;%USERPROFILE%\Documents\GitHub\eaglep3-reporting\EC\2017-10-15-refined-times.txt</v>
      </c>
      <c r="AI142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{"issue":{"subject":"","project_id":79,"tracker_id":40,"status_id":1,"priority_id":2,"assigned_to_id":338,"start_date":"2017-10-15","description":"","custom_fields":[{"id":1,"name":"Subdivision","value":"EC"},{"id":4,"name":"Milepost","value":"23.3451"},{"id":17,"name":"Train ID","value":"229-15"},{"id":16,"name":"Locomotive ID","value":"4032"},{"id":130,"name":"Impact","value":""},{"id":150,"name":"Time of Event (Mountain Time)","value":"21:36:03"},{"id":151,"name":"Denver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7"/>
        <v>start /low /b %USERPROFILE%\Documents\GitHub\eaglep3\Utilities\DownloadLogsFromS3.py --loco 4032 --day 2017-10-15</v>
      </c>
      <c r="AN142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9"/>
        <v>https://d0f6bd738d7f1b3e5a7ca70fe4ff75f0.us-east-1.aws.found.io/app/kibana#/discover/Steve-Slow-Train-Analysis-(2080s-and-2083s)?_g=(refreshInterval:(display:Off,pause:!f,section:0,value:0),time:(from:'2017-10-15T19:45:37-0600',mode:absolute,to:'2017-10-15T22:36:03-0600'))&amp;_a=(columns:!('Message%20ID',Summary),filters:!(),index:'emp_*',interval:auto,query:(query_string:(analyze_wildcard:!t,query:'%22rtdc.l.rtdc.4032%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589</v>
      </c>
      <c r="B143" s="7">
        <v>4007</v>
      </c>
      <c r="C143" s="21" t="s">
        <v>194</v>
      </c>
      <c r="D143" s="21" t="s">
        <v>922</v>
      </c>
      <c r="E143" s="13">
        <v>43023.865011574075</v>
      </c>
      <c r="F143" s="13">
        <v>43023.915000000001</v>
      </c>
      <c r="G143" s="7">
        <v>77</v>
      </c>
      <c r="H143" s="21" t="s">
        <v>923</v>
      </c>
      <c r="I143" s="13">
        <v>43023.941574074073</v>
      </c>
      <c r="J143" s="7">
        <v>0</v>
      </c>
      <c r="K143" s="89" t="str">
        <f>IF(ISEVEN(B143),(B143-1)&amp;"/"&amp;B143,B143&amp;"/"&amp;(B143+1))</f>
        <v>4007/4008</v>
      </c>
      <c r="L143" s="185" t="str">
        <f>VLOOKUP(A143,'Trips&amp;Operators'!$C$1:$G$99911,5,FALSE)</f>
        <v>STAMBAUGH JAMES</v>
      </c>
      <c r="M143" s="6">
        <f>I143-F143</f>
        <v>2.6574074072414078E-2</v>
      </c>
      <c r="N143" s="7">
        <f>24*60*SUM($M143:$M143)</f>
        <v>38.266666664276272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-15T19:45:37-0600',mode:absolute,to:'2017-10-15T23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v>23.302099999999999</v>
      </c>
      <c r="Z143" s="204">
        <v>1.41E-2</v>
      </c>
      <c r="AA143" s="204">
        <f>ABS(Z143-Y143)</f>
        <v>23.288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/stypes="app*4007*20171016*"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" si="3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230-15 --locoid 4007 --swversion DE.1.0.9.0 --startMP 204:606 --initTime 2017-10-15T20:45:37 --startdatetime 2017-10-15T21:57:36 --delay 77 --endMP 204:233451 --enddatetime 2017-10-15T22:35:52 --enforcementcount 0 &gt;&gt;%USERPROFILE%\Documents\GitHub\eaglep3-reporting\EC\2017-10-15-refined-times.txt</v>
      </c>
      <c r="AI143" s="96" t="str">
        <f t="shared" ref="AI143" si="3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{"issue":{"subject":"","project_id":79,"tracker_id":40,"status_id":1,"priority_id":2,"assigned_to_id":338,"start_date":"2017-10-15","description":"","custom_fields":[{"id":1,"name":"Subdivision","value":"EC"},{"id":4,"name":"Milepost","value":"0.0141"},{"id":17,"name":"Train ID","value":"230-15"},{"id":16,"name":"Locomotive ID","value":"4007"},{"id":130,"name":"Impact","value":""},{"id":150,"name":"Time of Event (Mountain Time)","value":"22:35:52"},{"id":151,"name":"Denver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" si="32">"start /low /b "&amp;dls3logs&amp;" --loco "&amp;B143&amp;" --day "&amp;TEXT(F143,"YYYY-MM-DD")</f>
        <v>start /low /b %USERPROFILE%\Documents\GitHub\eaglep3\Utilities\DownloadLogsFromS3.py --loco 4007 --day 2017-10-15</v>
      </c>
      <c r="AN143" s="151" t="str">
        <f t="shared" ref="AN143" si="3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" si="3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-15T19:45:37-0600',mode:absolute,to:'2017-10-15T23:35:52-0600'))&amp;_a=(columns:!('Message%20ID',Summary),filters:!(),index:'emp_*',interval:auto,query:(query_string:(analyze_wildcard:!t,query:'%22rtdc.l.rtdc.4007%22')),sort:!(Time.ISO8601,asc))</v>
      </c>
    </row>
    <row r="144" spans="1:91" s="20" customFormat="1" x14ac:dyDescent="0.25">
      <c r="A144" s="32" t="s">
        <v>795</v>
      </c>
      <c r="B144" s="7">
        <v>4036</v>
      </c>
      <c r="C144" s="21" t="s">
        <v>194</v>
      </c>
      <c r="D144" s="21" t="s">
        <v>334</v>
      </c>
      <c r="E144" s="13">
        <v>43023.891770833332</v>
      </c>
      <c r="F144" s="13">
        <v>43023.896064814813</v>
      </c>
      <c r="G144" s="7">
        <v>92</v>
      </c>
      <c r="H144" s="21" t="s">
        <v>924</v>
      </c>
      <c r="I144" s="13">
        <v>43023.920474537037</v>
      </c>
      <c r="J144" s="7">
        <v>0</v>
      </c>
      <c r="K144" s="89" t="str">
        <f>IF(ISEVEN(B144),(B144-1)&amp;"/"&amp;B144,B144&amp;"/"&amp;(B144+1))</f>
        <v>4035/4036</v>
      </c>
      <c r="L144" s="185" t="str">
        <f>VLOOKUP(A144,'Trips&amp;Operators'!$C$1:$G$99911,5,FALSE)</f>
        <v>LOZA FIDEL</v>
      </c>
      <c r="M144" s="6">
        <f>I144-F144</f>
        <v>2.4409722223936114E-2</v>
      </c>
      <c r="N144" s="7">
        <f>24*60*SUM($M144:$M144)</f>
        <v>35.150000002468005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-15T20:24:09-0600',mode:absolute,to:'2017-10-15T23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4.4600000000000001E-2</v>
      </c>
      <c r="Z144" s="204">
        <f>RIGHT(H144,LEN(H144)-4)/10000</f>
        <v>23.334399999999999</v>
      </c>
      <c r="AA144" s="204">
        <f>ABS(Z144-Y144)</f>
        <v>23.2898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/stypes="app*4036*20171016*"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15"/>
        <v>"%USERPROFILE%\Documents\GitHub\eaglep3\Utilities\RefineRTDCRunTimes.py" --tripid 231-15 --locoid 4036 --swversion DE.1.0.9.0 --startMP 204:446 --initTime 2017-10-15T21:24:09 --startdatetime 2017-10-15T21:30:20 --delay 92 --endMP 204:233344 --enddatetime 2017-10-15T22:05:29 --enforcementcount 0 &gt;&gt;%USERPROFILE%\Documents\GitHub\eaglep3-reporting\EC\2017-10-15-refined-times.txt</v>
      </c>
      <c r="AI144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{"issue":{"subject":"","project_id":79,"tracker_id":40,"status_id":1,"priority_id":2,"assigned_to_id":338,"start_date":"2017-10-15","description":"","custom_fields":[{"id":1,"name":"Subdivision","value":"EC"},{"id":4,"name":"Milepost","value":"23.3344"},{"id":17,"name":"Train ID","value":"231-15"},{"id":16,"name":"Locomotive ID","value":"4036"},{"id":130,"name":"Impact","value":""},{"id":150,"name":"Time of Event (Mountain Time)","value":"22:05:29"},{"id":151,"name":"Denver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7"/>
        <v>start /low /b %USERPROFILE%\Documents\GitHub\eaglep3\Utilities\DownloadLogsFromS3.py --loco 4036 --day 2017-10-15</v>
      </c>
      <c r="AN144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19"/>
        <v>https://d0f6bd738d7f1b3e5a7ca70fe4ff75f0.us-east-1.aws.found.io/app/kibana#/discover/Steve-Slow-Train-Analysis-(2080s-and-2083s)?_g=(refreshInterval:(display:Off,pause:!f,section:0,value:0),time:(from:'2017-10-15T20:24:09-0600',mode:absolute,to:'2017-10-15T23:05:29-0600'))&amp;_a=(columns:!('Message%20ID',Summary),filters:!(),index:'emp_*',interval:auto,query:(query_string:(analyze_wildcard:!t,query:'%22rtdc.l.rtdc.4036%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800</v>
      </c>
      <c r="B145" s="7">
        <v>4035</v>
      </c>
      <c r="C145" s="21" t="s">
        <v>194</v>
      </c>
      <c r="D145" s="21" t="s">
        <v>484</v>
      </c>
      <c r="E145" s="13">
        <v>43023.933668981481</v>
      </c>
      <c r="F145" s="13">
        <v>43023.935613425929</v>
      </c>
      <c r="G145" s="7">
        <v>54</v>
      </c>
      <c r="H145" s="21" t="s">
        <v>374</v>
      </c>
      <c r="I145" s="13">
        <v>43023.961215277777</v>
      </c>
      <c r="J145" s="7">
        <v>0</v>
      </c>
      <c r="K145" s="89" t="str">
        <f>IF(ISEVEN(B145),(B145-1)&amp;"/"&amp;B145,B145&amp;"/"&amp;(B145+1))</f>
        <v>4035/4036</v>
      </c>
      <c r="L145" s="185" t="str">
        <f>VLOOKUP(A145,'Trips&amp;Operators'!$C$1:$G$99911,5,FALSE)</f>
        <v>LOZA FIDEL</v>
      </c>
      <c r="M145" s="6">
        <f>I145-F145</f>
        <v>2.5601851848477963E-2</v>
      </c>
      <c r="N145" s="7">
        <f>24*60*SUM($M145:$M145)</f>
        <v>36.866666661808267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-15T21:24:29-0600',mode:absolute,to:'2017-10-16T00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23.3019</v>
      </c>
      <c r="Z145" s="204">
        <f>RIGHT(H145,LEN(H145)-4)/10000</f>
        <v>1.54E-2</v>
      </c>
      <c r="AA145" s="204">
        <f>ABS(Z145-Y145)</f>
        <v>23.2865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/stypes="app*4035*20171016*"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5"/>
        <v>"%USERPROFILE%\Documents\GitHub\eaglep3\Utilities\RefineRTDCRunTimes.py" --tripid 232-15 --locoid 4035 --swversion DE.1.0.9.0 --startMP 204:233019 --initTime 2017-10-15T22:24:29 --startdatetime 2017-10-15T22:27:17 --delay 54 --endMP 204:154 --enddatetime 2017-10-15T23:04:09 --enforcementcount 0 &gt;&gt;%USERPROFILE%\Documents\GitHub\eaglep3-reporting\EC\2017-10-15-refined-times.txt</v>
      </c>
      <c r="AI145" s="96" t="str">
        <f t="shared" si="16"/>
        <v>echo {"issue":{"subject":"","project_id":79,"tracker_id":40,"status_id":1,"priority_id":2,"assigned_to_id":338,"start_date":"2017-10-15","description":"","custom_fields":[{"id":1,"name":"Subdivision","value":"EC"},{"id":4,"name":"Milepost","value":"0.0154"},{"id":17,"name":"Train ID","value":"232-15"},{"id":16,"name":"Locomotive ID","value":"4035"},{"id":130,"name":"Impact","value":""},{"id":150,"name":"Time of Event (Mountain Time)","value":"23:04:09"},{"id":151,"name":"Denver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7"/>
        <v>start /low /b %USERPROFILE%\Documents\GitHub\eaglep3\Utilities\DownloadLogsFromS3.py --loco 4035 --day 2017-10-15</v>
      </c>
      <c r="AN145" s="151" t="str">
        <f t="shared" si="18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9"/>
        <v>https://d0f6bd738d7f1b3e5a7ca70fe4ff75f0.us-east-1.aws.found.io/app/kibana#/discover/Steve-Slow-Train-Analysis-(2080s-and-2083s)?_g=(refreshInterval:(display:Off,pause:!f,section:0,value:0),time:(from:'2017-10-15T21:24:29-0600',mode:absolute,to:'2017-10-16T00:04:09-0600'))&amp;_a=(columns:!('Message%20ID',Summary),filters:!(),index:'emp_*',interval:auto,query:(query_string:(analyze_wildcard:!t,query:'%22rtdc.l.rtdc.4035%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796</v>
      </c>
      <c r="B146" s="7">
        <v>4042</v>
      </c>
      <c r="C146" s="21" t="s">
        <v>194</v>
      </c>
      <c r="D146" s="21" t="s">
        <v>363</v>
      </c>
      <c r="E146" s="13">
        <v>43023.899618055555</v>
      </c>
      <c r="F146" s="13">
        <v>43023.916851851849</v>
      </c>
      <c r="G146" s="7">
        <v>76</v>
      </c>
      <c r="H146" s="21" t="s">
        <v>925</v>
      </c>
      <c r="I146" s="13">
        <v>43023.941458333335</v>
      </c>
      <c r="J146" s="7">
        <v>0</v>
      </c>
      <c r="K146" s="89" t="str">
        <f>IF(ISEVEN(B146),(B146-1)&amp;"/"&amp;B146,B146&amp;"/"&amp;(B146+1))</f>
        <v>4041/4042</v>
      </c>
      <c r="L146" s="185" t="str">
        <f>VLOOKUP(A146,'Trips&amp;Operators'!$C$1:$G$99911,5,FALSE)</f>
        <v>ELBAUM MIKE</v>
      </c>
      <c r="M146" s="6">
        <f>I146-F146</f>
        <v>2.4606481485534459E-2</v>
      </c>
      <c r="N146" s="7">
        <f>24*60*SUM($M146:$M146)</f>
        <v>35.433333339169621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-15T20:35:27-0600',mode:absolute,to:'2017-10-15T23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6" s="204" t="str">
        <f>IF(AA146&lt;VLOOKUP(AG146,Variables!$AC$3:$AD$8,2,FALSE),"Y","N")</f>
        <v>N</v>
      </c>
      <c r="X146" s="204">
        <f t="shared" ref="X146:X147" si="35">VALUE(LEFT(AD146,4))-VALUE(LEFT(AD145,4))</f>
        <v>1</v>
      </c>
      <c r="Y146" s="204">
        <f>RIGHT(D146,LEN(D146)-4)/10000</f>
        <v>4.5999999999999999E-2</v>
      </c>
      <c r="Z146" s="204">
        <f>RIGHT(H146,LEN(H146)-4)/10000</f>
        <v>23.333400000000001</v>
      </c>
      <c r="AA146" s="204">
        <f>ABS(Z146-Y146)</f>
        <v>23.287400000000002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/stypes="app*4042*20171016*"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ref="AH146:AH210" si="36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233-15 --locoid 4042 --swversion DE.1.0.9.0 --startMP 204:460 --initTime 2017-10-15T21:35:27 --startdatetime 2017-10-15T22:00:16 --delay 76 --endMP 204:233334 --enddatetime 2017-10-15T22:35:42 --enforcementcount 0 &gt;&gt;%USERPROFILE%\Documents\GitHub\eaglep3-reporting\EC\2017-10-15-refined-times.txt</v>
      </c>
      <c r="AI146" s="96" t="str">
        <f t="shared" ref="AI146:AI210" si="37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{"issue":{"subject":"","project_id":79,"tracker_id":40,"status_id":1,"priority_id":2,"assigned_to_id":338,"start_date":"2017-10-15","description":"","custom_fields":[{"id":1,"name":"Subdivision","value":"EC"},{"id":4,"name":"Milepost","value":"23.3334"},{"id":17,"name":"Train ID","value":"233-15"},{"id":16,"name":"Locomotive ID","value":"4042"},{"id":130,"name":"Impact","value":""},{"id":150,"name":"Time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:AM210" si="38">"start /low /b "&amp;dls3logs&amp;" --loco "&amp;B146&amp;" --day "&amp;TEXT(F146,"YYYY-MM-DD")</f>
        <v>start /low /b %USERPROFILE%\Documents\GitHub\eaglep3\Utilities\DownloadLogsFromS3.py --loco 4042 --day 2017-10-15</v>
      </c>
      <c r="AN146" s="151" t="str">
        <f t="shared" ref="AN146:AN210" si="39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:AO210" si="40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-15T20:35:27-0600',mode:absolute,to:'2017-10-15T23:35:42-0600'))&amp;_a=(columns:!('Message%20ID',Summary),filters:!(),index:'emp_*',interval:auto,query:(query_string:(analyze_wildcard:!t,query:'%22rtdc.l.rtdc.4042%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802</v>
      </c>
      <c r="B147" s="7">
        <v>4041</v>
      </c>
      <c r="C147" s="21" t="s">
        <v>194</v>
      </c>
      <c r="D147" s="21" t="s">
        <v>919</v>
      </c>
      <c r="E147" s="13">
        <v>43023.952164351853</v>
      </c>
      <c r="F147" s="13">
        <v>43023.956400462965</v>
      </c>
      <c r="G147" s="7">
        <v>46</v>
      </c>
      <c r="H147" s="21" t="s">
        <v>335</v>
      </c>
      <c r="I147" s="13">
        <v>43023.982245370367</v>
      </c>
      <c r="J147" s="7">
        <v>0</v>
      </c>
      <c r="K147" s="89" t="str">
        <f>IF(ISEVEN(B147),(B147-1)&amp;"/"&amp;B147,B147&amp;"/"&amp;(B147+1))</f>
        <v>4041/4042</v>
      </c>
      <c r="L147" s="185" t="str">
        <f>VLOOKUP(A147,'Trips&amp;Operators'!$C$1:$G$99911,5,FALSE)</f>
        <v>ELBAUM MIKE</v>
      </c>
      <c r="M147" s="6">
        <f>I147-F147</f>
        <v>2.5844907402643003E-2</v>
      </c>
      <c r="N147" s="7">
        <f>24*60*SUM($M147:$M147)</f>
        <v>37.216666659805924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-15T21:51:07-0600',mode:absolute,to:'2017-10-16T00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7" s="204" t="str">
        <f>IF(AA147&lt;VLOOKUP(AG147,Variables!$AC$3:$AD$8,2,FALSE),"Y","N")</f>
        <v>N</v>
      </c>
      <c r="X147" s="204">
        <f t="shared" si="35"/>
        <v>1</v>
      </c>
      <c r="Y147" s="204">
        <f>RIGHT(D147,LEN(D147)-4)/10000</f>
        <v>23.301300000000001</v>
      </c>
      <c r="Z147" s="204">
        <f>RIGHT(H147,LEN(H147)-4)/10000</f>
        <v>1.4999999999999999E-2</v>
      </c>
      <c r="AA147" s="204">
        <f>ABS(Z147-Y147)</f>
        <v>23.286300000000001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/stypes="app*4041*20171016*"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36"/>
        <v>"%USERPROFILE%\Documents\GitHub\eaglep3\Utilities\RefineRTDCRunTimes.py" --tripid 234-15 --locoid 4041 --swversion DE.1.0.9.0 --startMP 204:233013 --initTime 2017-10-15T22:51:07 --startdatetime 2017-10-15T22:57:13 --delay 46 --endMP 204:150 --enddatetime 2017-10-15T23:34:26 --enforcementcount 0 &gt;&gt;%USERPROFILE%\Documents\GitHub\eaglep3-reporting\EC\2017-10-15-refined-times.txt</v>
      </c>
      <c r="AI147" s="96" t="str">
        <f t="shared" si="37"/>
        <v>echo {"issue":{"subject":"","project_id":79,"tracker_id":40,"status_id":1,"priority_id":2,"assigned_to_id":338,"start_date":"2017-10-15","description":"","custom_fields":[{"id":1,"name":"Subdivision","value":"EC"},{"id":4,"name":"Milepost","value":"0.015"},{"id":17,"name":"Train ID","value":"234-15"},{"id":16,"name":"Locomotive ID","value":"4041"},{"id":130,"name":"Impact","value":""},{"id":150,"name":"Time of Event (Mountain Time)","value":"23:34:26"},{"id":151,"name":"Denver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38"/>
        <v>start /low /b %USERPROFILE%\Documents\GitHub\eaglep3\Utilities\DownloadLogsFromS3.py --loco 4041 --day 2017-10-15</v>
      </c>
      <c r="AN147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40"/>
        <v>https://d0f6bd738d7f1b3e5a7ca70fe4ff75f0.us-east-1.aws.found.io/app/kibana#/discover/Steve-Slow-Train-Analysis-(2080s-and-2083s)?_g=(refreshInterval:(display:Off,pause:!f,section:0,value:0),time:(from:'2017-10-15T21:51:07-0600',mode:absolute,to:'2017-10-16T00:34:26-0600'))&amp;_a=(columns:!('Message%20ID',Summary),filters:!(),index:'emp_*',interval:auto,query:(query_string:(analyze_wildcard:!t,query:'%22rtdc.l.rtdc.4041%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799</v>
      </c>
      <c r="B148" s="7">
        <v>4016</v>
      </c>
      <c r="C148" s="21" t="s">
        <v>194</v>
      </c>
      <c r="D148" s="21" t="s">
        <v>926</v>
      </c>
      <c r="E148" s="13">
        <v>43023.921851851854</v>
      </c>
      <c r="F148" s="13">
        <v>43023.9378125</v>
      </c>
      <c r="G148" s="7">
        <v>62</v>
      </c>
      <c r="H148" s="21" t="s">
        <v>910</v>
      </c>
      <c r="I148" s="13">
        <v>43023.962870370371</v>
      </c>
      <c r="J148" s="7">
        <v>0</v>
      </c>
      <c r="K148" s="89" t="str">
        <f>IF(ISEVEN(B148),(B148-1)&amp;"/"&amp;B148,B148&amp;"/"&amp;(B148+1))</f>
        <v>4015/4016</v>
      </c>
      <c r="L148" s="185" t="str">
        <f>VLOOKUP(A148,'Trips&amp;Operators'!$C$1:$G$99911,5,FALSE)</f>
        <v>DUNCAN SHEILA</v>
      </c>
      <c r="M148" s="6">
        <f>I148-F148</f>
        <v>2.5057870370801538E-2</v>
      </c>
      <c r="N148" s="7">
        <f>24*60*SUM($M148:$M148)</f>
        <v>36.083333333954215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-15T21:07:28-0600',mode:absolute,to:'2017-10-16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204" t="str">
        <f>IF(AA148&lt;VLOOKUP(AG148,Variables!$AC$3:$AD$8,2,FALSE),"Y","N")</f>
        <v>N</v>
      </c>
      <c r="X148" s="204">
        <f t="shared" ref="X148:X149" si="41">VALUE(LEFT(AD148,4))-VALUE(LEFT(AD147,4))</f>
        <v>1</v>
      </c>
      <c r="Y148" s="204">
        <f t="shared" ref="Y148:Y149" si="42">RIGHT(D148,LEN(D148)-4)/10000</f>
        <v>7.5499999999999998E-2</v>
      </c>
      <c r="Z148" s="204">
        <f>RIGHT(H148,LEN(H148)-4)/10000</f>
        <v>23.335899999999999</v>
      </c>
      <c r="AA148" s="204">
        <f>ABS(Z148-Y148)</f>
        <v>23.260399999999997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/stypes="app*4016*20171016*"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36"/>
        <v>"%USERPROFILE%\Documents\GitHub\eaglep3\Utilities\RefineRTDCRunTimes.py" --tripid 235-15 --locoid 4016 --swversion DE.1.0.9.0 --startMP 204:755 --initTime 2017-10-15T22:07:28 --startdatetime 2017-10-15T22:30:27 --delay 62 --endMP 204:233359 --enddatetime 2017-10-15T23:06:32 --enforcementcount 0 &gt;&gt;%USERPROFILE%\Documents\GitHub\eaglep3-reporting\EC\2017-10-15-refined-times.txt</v>
      </c>
      <c r="AI148" s="96" t="str">
        <f t="shared" si="37"/>
        <v>echo {"issue":{"subject":"","project_id":79,"tracker_id":40,"status_id":1,"priority_id":2,"assigned_to_id":338,"start_date":"2017-10-15","description":"","custom_fields":[{"id":1,"name":"Subdivision","value":"EC"},{"id":4,"name":"Milepost","value":"23.3359"},{"id":17,"name":"Train ID","value":"235-15"},{"id":16,"name":"Locomotive ID","value":"4016"},{"id":130,"name":"Impact","value":""},{"id":150,"name":"Time of Event (Mountain Time)","value":"23:06:32"},{"id":151,"name":"Denver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38"/>
        <v>start /low /b %USERPROFILE%\Documents\GitHub\eaglep3\Utilities\DownloadLogsFromS3.py --loco 4016 --day 2017-10-15</v>
      </c>
      <c r="AN148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40"/>
        <v>https://d0f6bd738d7f1b3e5a7ca70fe4ff75f0.us-east-1.aws.found.io/app/kibana#/discover/Steve-Slow-Train-Analysis-(2080s-and-2083s)?_g=(refreshInterval:(display:Off,pause:!f,section:0,value:0),time:(from:'2017-10-15T21:07:28-0600',mode:absolute,to:'2017-10-16T00:06:32-0600'))&amp;_a=(columns:!('Message%20ID',Summary),filters:!(),index:'emp_*',interval:auto,query:(query_string:(analyze_wildcard:!t,query:'%22rtdc.l.rtdc.4016%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803</v>
      </c>
      <c r="B149" s="7">
        <v>4003</v>
      </c>
      <c r="C149" s="21" t="s">
        <v>194</v>
      </c>
      <c r="D149" s="21" t="s">
        <v>927</v>
      </c>
      <c r="E149" s="13">
        <v>43023.96466435185</v>
      </c>
      <c r="F149" s="13">
        <v>43023.977361111109</v>
      </c>
      <c r="G149" s="7">
        <v>54</v>
      </c>
      <c r="H149" s="21" t="s">
        <v>481</v>
      </c>
      <c r="I149" s="13">
        <v>43024.003240740742</v>
      </c>
      <c r="J149" s="7">
        <v>0</v>
      </c>
      <c r="K149" s="89" t="str">
        <f>IF(ISEVEN(B149),(B149-1)&amp;"/"&amp;B149,B149&amp;"/"&amp;(B149+1))</f>
        <v>4003/4004</v>
      </c>
      <c r="L149" s="185" t="str">
        <f>VLOOKUP(A149,'Trips&amp;Operators'!$C$1:$G$99911,5,FALSE)</f>
        <v>DUNCAN SHEILA</v>
      </c>
      <c r="M149" s="6">
        <f>I149-F149</f>
        <v>2.587962963298196E-2</v>
      </c>
      <c r="N149" s="7">
        <f>24*60*SUM($M149:$M149)</f>
        <v>37.266666671494022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-15T22:09:07-0600',mode:absolute,to:'2017-10-16T01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9" s="204" t="str">
        <f>IF(AA149&lt;VLOOKUP(AG149,Variables!$AC$3:$AD$8,2,FALSE),"Y","N")</f>
        <v>N</v>
      </c>
      <c r="X149" s="204">
        <f t="shared" si="41"/>
        <v>1</v>
      </c>
      <c r="Y149" s="204">
        <f t="shared" si="42"/>
        <v>23.274100000000001</v>
      </c>
      <c r="Z149" s="204">
        <f>RIGHT(H149,LEN(H149)-4)/10000</f>
        <v>1.38E-2</v>
      </c>
      <c r="AA149" s="204">
        <f>ABS(Z149-Y149)</f>
        <v>23.260300000000001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/stypes="app*4003*20171016*"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36"/>
        <v>"%USERPROFILE%\Documents\GitHub\eaglep3\Utilities\RefineRTDCRunTimes.py" --tripid 236-15 --locoid 4003 --swversion DE.1.0.9.0 --startMP 204:232741 --initTime 2017-10-15T23:09:07 --startdatetime 2017-10-15T23:27:24 --delay 54 --endMP 204:138 --enddatetime 2017-10-16T00:04:40 --enforcementcount 0 &gt;&gt;%USERPROFILE%\Documents\GitHub\eaglep3-reporting\EC\2017-10-15-refined-times.txt</v>
      </c>
      <c r="AI149" s="96" t="str">
        <f t="shared" si="37"/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ID","value":"236-15"},{"id":16,"name":"Locomotive ID","value":"4003"},{"id":130,"name":"Impact","value":""},{"id":150,"name":"Time of Event (Mountain Time)","value":"00:04:40"},{"id":151,"name":"Denver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8"/>
        <v>start /low /b %USERPROFILE%\Documents\GitHub\eaglep3\Utilities\DownloadLogsFromS3.py --loco 4003 --day 2017-10-15</v>
      </c>
      <c r="AN149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06:04:40"},{"id":29,"name":"Sharepoint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40"/>
        <v>https://d0f6bd738d7f1b3e5a7ca70fe4ff75f0.us-east-1.aws.found.io/app/kibana#/discover/Steve-Slow-Train-Analysis-(2080s-and-2083s)?_g=(refreshInterval:(display:Off,pause:!f,section:0,value:0),time:(from:'2017-10-15T22:09:07-0600',mode:absolute,to:'2017-10-16T01:04:40-0600'))&amp;_a=(columns:!('Message%20ID',Summary),filters:!(),index:'emp_*',interval:auto,query:(query_string:(analyze_wildcard:!t,query:'%22rtdc.l.rtdc.4003%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591</v>
      </c>
      <c r="B150" s="7">
        <v>4032</v>
      </c>
      <c r="C150" s="21" t="s">
        <v>194</v>
      </c>
      <c r="D150" s="21" t="s">
        <v>558</v>
      </c>
      <c r="E150" s="13">
        <v>43023.944120370368</v>
      </c>
      <c r="F150" s="13">
        <v>43023.958680555559</v>
      </c>
      <c r="G150" s="7">
        <v>64</v>
      </c>
      <c r="H150" s="21" t="s">
        <v>928</v>
      </c>
      <c r="I150" s="13">
        <v>43023.983912037038</v>
      </c>
      <c r="J150" s="7">
        <v>0</v>
      </c>
      <c r="K150" s="89" t="str">
        <f>IF(ISEVEN(B150),(B150-1)&amp;"/"&amp;B150,B150&amp;"/"&amp;(B150+1))</f>
        <v>4031/4032</v>
      </c>
      <c r="L150" s="185" t="str">
        <f>VLOOKUP(A150,'Trips&amp;Operators'!$C$1:$G$99911,5,FALSE)</f>
        <v>STAMBAUGH JAMES</v>
      </c>
      <c r="M150" s="6">
        <f>I150-F150</f>
        <v>2.5231481478840578E-2</v>
      </c>
      <c r="N150" s="7">
        <f>24*60*SUM($M150:$M150)</f>
        <v>36.333333329530433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-15T21:39:32-0600',mode:absolute,to:'2017-10-16T00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7.0599999999999996E-2</v>
      </c>
      <c r="Z150" s="204">
        <f>RIGHT(H150,LEN(H150)-4)/10000</f>
        <v>23.34</v>
      </c>
      <c r="AA150" s="204">
        <f>ABS(Z150-Y150)</f>
        <v>23.269400000000001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/stypes="app*4032*20171016*"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36"/>
        <v>"%USERPROFILE%\Documents\GitHub\eaglep3\Utilities\RefineRTDCRunTimes.py" --tripid 237-15 --locoid 4032 --swversion DE.1.0.9.0 --startMP 204:706 --initTime 2017-10-15T22:39:32 --startdatetime 2017-10-15T23:00:30 --delay 64 --endMP 204:233400 --enddatetime 2017-10-15T23:36:50 --enforcementcount 0 &gt;&gt;%USERPROFILE%\Documents\GitHub\eaglep3-reporting\EC\2017-10-15-refined-times.txt</v>
      </c>
      <c r="AI150" s="96" t="str">
        <f t="shared" si="37"/>
        <v>echo {"issue":{"subject":"","project_id":79,"tracker_id":40,"status_id":1,"priority_id":2,"assigned_to_id":338,"start_date":"2017-10-15","description":"","custom_fields":[{"id":1,"name":"Subdivision","value":"EC"},{"id":4,"name":"Milepost","value":"23.34"},{"id":17,"name":"Train ID","value":"237-15"},{"id":16,"name":"Locomotive ID","value":"4032"},{"id":130,"name":"Impact","value":""},{"id":150,"name":"Time of Event (Mountain Time)","value":"23:36:50"},{"id":151,"name":"Denver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38"/>
        <v>start /low /b %USERPROFILE%\Documents\GitHub\eaglep3\Utilities\DownloadLogsFromS3.py --loco 4032 --day 2017-10-15</v>
      </c>
      <c r="AN150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0"/>
        <v>https://d0f6bd738d7f1b3e5a7ca70fe4ff75f0.us-east-1.aws.found.io/app/kibana#/discover/Steve-Slow-Train-Analysis-(2080s-and-2083s)?_g=(refreshInterval:(display:Off,pause:!f,section:0,value:0),time:(from:'2017-10-15T21:39:32-0600',mode:absolute,to:'2017-10-16T00:36:50-0600'))&amp;_a=(columns:!('Message%20ID',Summary),filters:!(),index:'emp_*',interval:auto,query:(query_string:(analyze_wildcard:!t,query:'%22rtdc.l.rtdc.4032%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593</v>
      </c>
      <c r="B151" s="7">
        <v>4007</v>
      </c>
      <c r="C151" s="21" t="s">
        <v>194</v>
      </c>
      <c r="D151" s="21" t="s">
        <v>558</v>
      </c>
      <c r="E151" s="13">
        <v>43023.944120370368</v>
      </c>
      <c r="F151" s="13">
        <v>43023.998182870368</v>
      </c>
      <c r="G151" s="7">
        <v>64</v>
      </c>
      <c r="H151" s="21" t="s">
        <v>928</v>
      </c>
      <c r="I151" s="13">
        <v>43024.024444444447</v>
      </c>
      <c r="J151" s="7">
        <v>0</v>
      </c>
      <c r="K151" s="89" t="str">
        <f>IF(ISEVEN(B151),(B151-1)&amp;"/"&amp;B151,B151&amp;"/"&amp;(B151+1))</f>
        <v>4007/4008</v>
      </c>
      <c r="L151" s="185" t="str">
        <f>VLOOKUP(A151,'Trips&amp;Operators'!$C$1:$G$99911,5,FALSE)</f>
        <v>STAMBAUGH JAMES</v>
      </c>
      <c r="M151" s="6">
        <f>I151-F151</f>
        <v>2.6261574079398997E-2</v>
      </c>
      <c r="N151" s="7">
        <f>24*60*SUM($M151:$M151)</f>
        <v>37.816666674334556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-15T21:39:32-0600',mode:absolute,to:'2017-10-16T01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v>23.274100000000001</v>
      </c>
      <c r="Z151" s="204">
        <v>1.38E-2</v>
      </c>
      <c r="AA151" s="204">
        <f>ABS(Z151-Y151)</f>
        <v>23.260300000000001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/stypes="app*4007*20171016*"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ref="AH151" si="43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238-15 --locoid 4007 --swversion DE.1.0.9.0 --startMP 204:706 --initTime 2017-10-15T22:39:32 --startdatetime 2017-10-15T23:57:23 --delay 64 --endMP 204:233400 --enddatetime 2017-10-16T00:35:12 --enforcementcount 0 &gt;&gt;%USERPROFILE%\Documents\GitHub\eaglep3-reporting\EC\2017-10-15-refined-times.txt</v>
      </c>
      <c r="AI151" s="96" t="str">
        <f t="shared" ref="AI151" si="44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{"issue":{"subject":"","project_id":79,"tracker_id":40,"status_id":1,"priority_id":2,"assigned_to_id":338,"start_date":"2017-10-16","description":"","custom_fields":[{"id":1,"name":"Subdivision","value":"EC"},{"id":4,"name":"Milepost","value":"0.0138"},{"id":17,"name":"Train ID","value":"238-15"},{"id":16,"name":"Locomotive ID","value":"4007"},{"id":130,"name":"Impact","value":""},{"id":150,"name":"Time of Event (Mountain Time)","value":"00:35:12"},{"id":151,"name":"Denver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ref="AM151" si="45">"start /low /b "&amp;dls3logs&amp;" --loco "&amp;B151&amp;" --day "&amp;TEXT(F151,"YYYY-MM-DD")</f>
        <v>start /low /b %USERPROFILE%\Documents\GitHub\eaglep3\Utilities\DownloadLogsFromS3.py --loco 4007 --day 2017-10-15</v>
      </c>
      <c r="AN151" s="151" t="str">
        <f t="shared" ref="AN151" si="46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06:35:12"},{"id":29,"name":"Sharepoint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ref="AO151" si="47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-15T21:39:32-0600',mode:absolute,to:'2017-10-16T01:35:12-0600'))&amp;_a=(columns:!('Message%20ID',Summary),filters:!(),index:'emp_*',interval:auto,query:(query_string:(analyze_wildcard:!t,query:'%22rtdc.l.rtdc.4007%22')),sort:!(Time.ISO8601,asc))</v>
      </c>
    </row>
    <row r="152" spans="1:91" s="20" customFormat="1" x14ac:dyDescent="0.25">
      <c r="A152" s="32" t="s">
        <v>804</v>
      </c>
      <c r="B152" s="7">
        <v>4036</v>
      </c>
      <c r="C152" s="21" t="s">
        <v>194</v>
      </c>
      <c r="D152" s="21" t="s">
        <v>540</v>
      </c>
      <c r="E152" s="13">
        <v>43023.977430555555</v>
      </c>
      <c r="F152" s="13">
        <v>43023.979351851849</v>
      </c>
      <c r="G152" s="7">
        <v>58</v>
      </c>
      <c r="H152" s="21" t="s">
        <v>545</v>
      </c>
      <c r="I152" s="13">
        <v>43024.00340277778</v>
      </c>
      <c r="J152" s="7">
        <v>0</v>
      </c>
      <c r="K152" s="89" t="str">
        <f>IF(ISEVEN(B152),(B152-1)&amp;"/"&amp;B152,B152&amp;"/"&amp;(B152+1))</f>
        <v>4035/4036</v>
      </c>
      <c r="L152" s="185" t="str">
        <f>VLOOKUP(A152,'Trips&amp;Operators'!$C$1:$G$99911,5,FALSE)</f>
        <v>LOZA FIDEL</v>
      </c>
      <c r="M152" s="6">
        <f>I152-F152</f>
        <v>2.4050925931078382E-2</v>
      </c>
      <c r="N152" s="7">
        <f>24*60*SUM($M152:$M152)</f>
        <v>34.63333334075287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-15T22:27:30-0600',mode:absolute,to:'2017-10-16T01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4.3499999999999997E-2</v>
      </c>
      <c r="Z152" s="204">
        <f>RIGHT(H152,LEN(H152)-4)/10000</f>
        <v>23.332899999999999</v>
      </c>
      <c r="AA152" s="204">
        <f>ABS(Z152-Y152)</f>
        <v>23.289399999999997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/stypes="app*4036*20171016*"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36"/>
        <v>"%USERPROFILE%\Documents\GitHub\eaglep3\Utilities\RefineRTDCRunTimes.py" --tripid 239-15 --locoid 4036 --swversion DE.1.0.9.0 --startMP 204:435 --initTime 2017-10-15T23:27:30 --startdatetime 2017-10-15T23:30:16 --delay 58 --endMP 204:233329 --enddatetime 2017-10-16T00:04:54 --enforcementcount 0 &gt;&gt;%USERPROFILE%\Documents\GitHub\eaglep3-reporting\EC\2017-10-15-refined-times.txt</v>
      </c>
      <c r="AI152" s="96" t="str">
        <f t="shared" si="37"/>
        <v>echo {"issue":{"subject":"","project_id":79,"tracker_id":40,"status_id":1,"priority_id":2,"assigned_to_id":338,"start_date":"2017-10-16","description":"","custom_fields":[{"id":1,"name":"Subdivision","value":"EC"},{"id":4,"name":"Milepost","value":"23.3329"},{"id":17,"name":"Train ID","value":"239-15"},{"id":16,"name":"Locomotive ID","value":"4036"},{"id":130,"name":"Impact","value":""},{"id":150,"name":"Time of Event (Mountain Time)","value":"00:04:54"},{"id":151,"name":"Denver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8"/>
        <v>start /low /b %USERPROFILE%\Documents\GitHub\eaglep3\Utilities\DownloadLogsFromS3.py --loco 4036 --day 2017-10-15</v>
      </c>
      <c r="AN152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40"/>
        <v>https://d0f6bd738d7f1b3e5a7ca70fe4ff75f0.us-east-1.aws.found.io/app/kibana#/discover/Steve-Slow-Train-Analysis-(2080s-and-2083s)?_g=(refreshInterval:(display:Off,pause:!f,section:0,value:0),time:(from:'2017-10-15T22:27:30-0600',mode:absolute,to:'2017-10-16T01:04:54-0600'))&amp;_a=(columns:!('Message%20ID',Summary),filters:!(),index:'emp_*',interval:auto,query:(query_string:(analyze_wildcard:!t,query:'%22rtdc.l.rtdc.4036%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807</v>
      </c>
      <c r="B153" s="7">
        <v>4035</v>
      </c>
      <c r="C153" s="21" t="s">
        <v>194</v>
      </c>
      <c r="D153" s="21" t="s">
        <v>919</v>
      </c>
      <c r="E153" s="13">
        <v>43024.016481481478</v>
      </c>
      <c r="F153" s="13">
        <v>43024.018935185188</v>
      </c>
      <c r="G153" s="7">
        <v>59</v>
      </c>
      <c r="H153" s="21" t="s">
        <v>339</v>
      </c>
      <c r="I153" s="13">
        <v>43024.044074074074</v>
      </c>
      <c r="J153" s="7">
        <v>0</v>
      </c>
      <c r="K153" s="89" t="str">
        <f>IF(ISEVEN(B153),(B153-1)&amp;"/"&amp;B153,B153&amp;"/"&amp;(B153+1))</f>
        <v>4035/4036</v>
      </c>
      <c r="L153" s="185" t="str">
        <f>VLOOKUP(A153,'Trips&amp;Operators'!$C$1:$G$99911,5,FALSE)</f>
        <v>LOZA FIDEL</v>
      </c>
      <c r="M153" s="6">
        <f>I153-F153</f>
        <v>2.5138888886431232E-2</v>
      </c>
      <c r="N153" s="7">
        <f>24*60*SUM($M153:$M153)</f>
        <v>36.199999996460974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-15T23:23:44-0600',mode:absolute,to:'2017-10-16T02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23.301300000000001</v>
      </c>
      <c r="Z153" s="204">
        <f>RIGHT(H153,LEN(H153)-4)/10000</f>
        <v>1.47E-2</v>
      </c>
      <c r="AA153" s="204">
        <f>ABS(Z153-Y153)</f>
        <v>23.2866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 &amp; 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/stypes="app*4035*20171016*"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36"/>
        <v>"%USERPROFILE%\Documents\GitHub\eaglep3\Utilities\RefineRTDCRunTimes.py" --tripid 240-15 --locoid 4035 --swversion DE.1.0.9.0 --startMP 204:233013 --initTime 2017-10-16T00:23:44 --startdatetime 2017-10-16T00:27:16 --delay 59 --endMP 204:147 --enddatetime 2017-10-16T01:03:28 --enforcementcount 0 &gt;&gt;%USERPROFILE%\Documents\GitHub\eaglep3-reporting\EC\2017-10-15-refined-times.txt</v>
      </c>
      <c r="AI153" s="96" t="str">
        <f t="shared" si="37"/>
        <v>echo {"issue":{"subject":"","project_id":79,"tracker_id":40,"status_id":1,"priority_id":2,"assigned_to_id":338,"start_date":"2017-10-16","description":"","custom_fields":[{"id":1,"name":"Subdivision","value":"EC"},{"id":4,"name":"Milepost","value":"0.0147"},{"id":17,"name":"Train ID","value":"240-15"},{"id":16,"name":"Locomotive ID","value":"4035"},{"id":130,"name":"Impact","value":""},{"id":150,"name":"Time of Event (Mountain Time)","value":"01:03:28"},{"id":151,"name":"Denver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38"/>
        <v>start /low /b %USERPROFILE%\Documents\GitHub\eaglep3\Utilities\DownloadLogsFromS3.py --loco 4035 --day 2017-10-16</v>
      </c>
      <c r="AN153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07:03:28"},{"id":29,"name":"Sharepoint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40"/>
        <v>https://d0f6bd738d7f1b3e5a7ca70fe4ff75f0.us-east-1.aws.found.io/app/kibana#/discover/Steve-Slow-Train-Analysis-(2080s-and-2083s)?_g=(refreshInterval:(display:Off,pause:!f,section:0,value:0),time:(from:'2017-10-15T23:23:44-0600',mode:absolute,to:'2017-10-16T02:03:28-0600'))&amp;_a=(columns:!('Message%20ID',Summary),filters:!(),index:'emp_*',interval:auto,query:(query_string:(analyze_wildcard:!t,query:'%22rtdc.l.rtdc.4035%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805</v>
      </c>
      <c r="B154" s="7">
        <v>4042</v>
      </c>
      <c r="C154" s="21" t="s">
        <v>194</v>
      </c>
      <c r="D154" s="21" t="s">
        <v>919</v>
      </c>
      <c r="E154" s="13">
        <v>43024.016481481478</v>
      </c>
      <c r="F154" s="13">
        <v>43024.000196759262</v>
      </c>
      <c r="G154" s="7">
        <v>59</v>
      </c>
      <c r="H154" s="21" t="s">
        <v>339</v>
      </c>
      <c r="I154" s="13">
        <v>43024.024108796293</v>
      </c>
      <c r="J154" s="7">
        <v>0</v>
      </c>
      <c r="K154" s="89" t="str">
        <f>IF(ISEVEN(B154),(B154-1)&amp;"/"&amp;B154,B154&amp;"/"&amp;(B154+1))</f>
        <v>4041/4042</v>
      </c>
      <c r="L154" s="185" t="str">
        <f>VLOOKUP(A154,'Trips&amp;Operators'!$C$1:$G$99911,5,FALSE)</f>
        <v>ELBAUM MIKE</v>
      </c>
      <c r="M154" s="6">
        <f>I154-F154</f>
        <v>2.3912037031550426E-2</v>
      </c>
      <c r="N154" s="7">
        <f>24*60*SUM($M154:$M154)</f>
        <v>34.433333325432613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-15T23:23:44-0600',mode:absolute,to:'2017-10-16T01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v>4.3499999999999997E-2</v>
      </c>
      <c r="Z154" s="204">
        <v>23.332899999999999</v>
      </c>
      <c r="AA154" s="204">
        <f>ABS(Z154-Y154)</f>
        <v>23.289399999999997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 &amp; aws s3 cp s3://rtdc.mdm.uploadarchive.raw/RTDC4042/ "%USERPROFILE%\AppData\Local\Temp\OnboardLogs"\RTDC4042\2017-10-17 --exclude "*" --recursive --include "*20171017*" &amp; "%USERPROFILE%\Documents\GitHub\mrs-test-scripts\Headless Mode &amp; Sideloading\WalkAndUnGZ.bat" "%USERPROFILE%\AppData\Local\Temp\OnboardLogs"\RTDC4042\2017-10-17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/stypes="app*4042*20171016*"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ref="AH154" si="48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241-15 --locoid 4042 --swversion DE.1.0.9.0 --startMP 204:233013 --initTime 2017-10-16T00:23:44 --startdatetime 2017-10-16T00:00:17 --delay 59 --endMP 204:147 --enddatetime 2017-10-16T00:34:43 --enforcementcount 0 &gt;&gt;%USERPROFILE%\Documents\GitHub\eaglep3-reporting\EC\2017-10-15-refined-times.txt</v>
      </c>
      <c r="AI154" s="96" t="str">
        <f t="shared" ref="AI154" si="49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{"issue":{"subject":"","project_id":79,"tracker_id":40,"status_id":1,"priority_id":2,"assigned_to_id":338,"start_date":"2017-10-16","description":"","custom_fields":[{"id":1,"name":"Subdivision","value":"EC"},{"id":4,"name":"Milepost","value":"23.3329"},{"id":17,"name":"Train ID","value":"241-15"},{"id":16,"name":"Locomotive ID","value":"4042"},{"id":130,"name":"Impact","value":""},{"id":150,"name":"Time of Event (Mountain Time)","value":"00:34:43"},{"id":151,"name":"Denver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ref="AM154" si="50">"start /low /b "&amp;dls3logs&amp;" --loco "&amp;B154&amp;" --day "&amp;TEXT(F154,"YYYY-MM-DD")</f>
        <v>start /low /b %USERPROFILE%\Documents\GitHub\eaglep3\Utilities\DownloadLogsFromS3.py --loco 4042 --day 2017-10-16</v>
      </c>
      <c r="AN154" s="151" t="str">
        <f t="shared" ref="AN154" si="51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06:34:43"},{"id":29,"name":"Sharepoint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ref="AO154" si="52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-15T23:23:44-0600',mode:absolute,to:'2017-10-16T01:34:43-0600'))&amp;_a=(columns:!('Message%20ID',Summary),filters:!(),index:'emp_*',interval:auto,query:(query_string:(analyze_wildcard:!t,query:'%22rtdc.l.rtdc.4042%22')),sort:!(Time.ISO8601,asc))</v>
      </c>
    </row>
    <row r="155" spans="1:91" s="20" customFormat="1" x14ac:dyDescent="0.25">
      <c r="A155" s="32" t="s">
        <v>808</v>
      </c>
      <c r="B155" s="7">
        <v>4041</v>
      </c>
      <c r="C155" s="21" t="s">
        <v>194</v>
      </c>
      <c r="D155" s="21" t="s">
        <v>548</v>
      </c>
      <c r="E155" s="13">
        <v>43024.025185185186</v>
      </c>
      <c r="F155" s="13">
        <v>43024.039837962962</v>
      </c>
      <c r="G155" s="7">
        <v>62</v>
      </c>
      <c r="H155" s="21" t="s">
        <v>358</v>
      </c>
      <c r="I155" s="13">
        <v>43024.065451388888</v>
      </c>
      <c r="J155" s="7">
        <v>0</v>
      </c>
      <c r="K155" s="89" t="str">
        <f>IF(ISEVEN(B155),(B155-1)&amp;"/"&amp;B155,B155&amp;"/"&amp;(B155+1))</f>
        <v>4041/4042</v>
      </c>
      <c r="L155" s="185" t="str">
        <f>VLOOKUP(A155,'Trips&amp;Operators'!$C$1:$G$99911,5,FALSE)</f>
        <v>ELBAUM MIKE</v>
      </c>
      <c r="M155" s="6">
        <f>I155-F155</f>
        <v>2.5613425925257616E-2</v>
      </c>
      <c r="N155" s="7">
        <f>24*60*SUM($M155:$M155)</f>
        <v>36.883333332370967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-15T23:36:16-0600',mode:absolute,to:'2017-10-16T02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23.301500000000001</v>
      </c>
      <c r="Z155" s="204">
        <f>RIGHT(H155,LEN(H155)-4)/10000</f>
        <v>1.5599999999999999E-2</v>
      </c>
      <c r="AA155" s="204">
        <f>ABS(Z155-Y155)</f>
        <v>23.285900000000002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 &amp; aws s3 cp s3://rtdc.mdm.uploadarchive.raw/RTDC4041/ "%USERPROFILE%\AppData\Local\Temp\OnboardLogs"\RTDC4041\2017-10-17 --exclude "*" --recursive --include "*20171017*" &amp; "%USERPROFILE%\Documents\GitHub\mrs-test-scripts\Headless Mode &amp; Sideloading\WalkAndUnGZ.bat" "%USERPROFILE%\AppData\Local\Temp\OnboardLogs"\RTDC4041\2017-10-17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/stypes="app*4041*20171016*"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36"/>
        <v>"%USERPROFILE%\Documents\GitHub\eaglep3\Utilities\RefineRTDCRunTimes.py" --tripid 242-15 --locoid 4041 --swversion DE.1.0.9.0 --startMP 204:233015 --initTime 2017-10-16T00:36:16 --startdatetime 2017-10-16T00:57:22 --delay 62 --endMP 204:156 --enddatetime 2017-10-16T01:34:15 --enforcementcount 0 &gt;&gt;%USERPROFILE%\Documents\GitHub\eaglep3-reporting\EC\2017-10-15-refined-times.txt</v>
      </c>
      <c r="AI155" s="96" t="str">
        <f t="shared" si="37"/>
        <v>echo {"issue":{"subject":"","project_id":79,"tracker_id":40,"status_id":1,"priority_id":2,"assigned_to_id":338,"start_date":"2017-10-16","description":"","custom_fields":[{"id":1,"name":"Subdivision","value":"EC"},{"id":4,"name":"Milepost","value":"0.0156"},{"id":17,"name":"Train ID","value":"242-15"},{"id":16,"name":"Locomotive ID","value":"4041"},{"id":130,"name":"Impact","value":""},{"id":150,"name":"Time of Event (Mountain Time)","value":"01:34:15"},{"id":151,"name":"Denver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38"/>
        <v>start /low /b %USERPROFILE%\Documents\GitHub\eaglep3\Utilities\DownloadLogsFromS3.py --loco 4041 --day 2017-10-16</v>
      </c>
      <c r="AN155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40"/>
        <v>https://d0f6bd738d7f1b3e5a7ca70fe4ff75f0.us-east-1.aws.found.io/app/kibana#/discover/Steve-Slow-Train-Analysis-(2080s-and-2083s)?_g=(refreshInterval:(display:Off,pause:!f,section:0,value:0),time:(from:'2017-10-15T23:36:16-0600',mode:absolute,to:'2017-10-16T02:34:15-0600'))&amp;_a=(columns:!('Message%20ID',Summary),filters:!(),index:'emp_*',interval:auto,query:(query_string:(analyze_wildcard:!t,query:'%22rtdc.l.rtdc.4041%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806</v>
      </c>
      <c r="B156" s="7">
        <v>4016</v>
      </c>
      <c r="C156" s="21" t="s">
        <v>194</v>
      </c>
      <c r="D156" s="21" t="s">
        <v>929</v>
      </c>
      <c r="E156" s="13">
        <v>43024.009398148148</v>
      </c>
      <c r="F156" s="13">
        <v>43024.02103009259</v>
      </c>
      <c r="G156" s="7">
        <v>147</v>
      </c>
      <c r="H156" s="21" t="s">
        <v>930</v>
      </c>
      <c r="I156" s="13">
        <v>43024.046585648146</v>
      </c>
      <c r="J156" s="7">
        <v>0</v>
      </c>
      <c r="K156" s="89" t="str">
        <f>IF(ISEVEN(B156),(B156-1)&amp;"/"&amp;B156,B156&amp;"/"&amp;(B156+1))</f>
        <v>4015/4016</v>
      </c>
      <c r="L156" s="185" t="str">
        <f>VLOOKUP(A156,'Trips&amp;Operators'!$C$1:$G$99911,5,FALSE)</f>
        <v>DUNCAN SHEILA</v>
      </c>
      <c r="M156" s="6">
        <f>I156-F156</f>
        <v>2.5555555555911269E-2</v>
      </c>
      <c r="N156" s="7">
        <f>24*60*SUM($M156:$M156)</f>
        <v>36.800000000512227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-15T23:13:32-0600',mode:absolute,to:'2017-10-16T02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7.46E-2</v>
      </c>
      <c r="Z156" s="204">
        <f>RIGHT(H156,LEN(H156)-4)/10000</f>
        <v>23.336600000000001</v>
      </c>
      <c r="AA156" s="204">
        <f>ABS(Z156-Y156)</f>
        <v>23.262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 &amp; 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/stypes="app*4016*20171016*"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36"/>
        <v>"%USERPROFILE%\Documents\GitHub\eaglep3\Utilities\RefineRTDCRunTimes.py" --tripid 243-15 --locoid 4016 --swversion DE.1.0.9.0 --startMP 204:746 --initTime 2017-10-16T00:13:32 --startdatetime 2017-10-16T00:30:17 --delay 147 --endMP 204:233366 --enddatetime 2017-10-16T01:07:05 --enforcementcount 0 &gt;&gt;%USERPROFILE%\Documents\GitHub\eaglep3-reporting\EC\2017-10-15-refined-times.txt</v>
      </c>
      <c r="AI156" s="96" t="str">
        <f t="shared" si="37"/>
        <v>echo {"issue":{"subject":"","project_id":79,"tracker_id":40,"status_id":1,"priority_id":2,"assigned_to_id":338,"start_date":"2017-10-16","description":"","custom_fields":[{"id":1,"name":"Subdivision","value":"EC"},{"id":4,"name":"Milepost","value":"23.3366"},{"id":17,"name":"Train ID","value":"243-15"},{"id":16,"name":"Locomotive ID","value":"4016"},{"id":130,"name":"Impact","value":""},{"id":150,"name":"Time of Event (Mountain Time)","value":"01:07:05"},{"id":151,"name":"Denver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38"/>
        <v>start /low /b %USERPROFILE%\Documents\GitHub\eaglep3\Utilities\DownloadLogsFromS3.py --loco 4016 --day 2017-10-16</v>
      </c>
      <c r="AN156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07:07:05"},{"id":29,"name":"Sharepoint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40"/>
        <v>https://d0f6bd738d7f1b3e5a7ca70fe4ff75f0.us-east-1.aws.found.io/app/kibana#/discover/Steve-Slow-Train-Analysis-(2080s-and-2083s)?_g=(refreshInterval:(display:Off,pause:!f,section:0,value:0),time:(from:'2017-10-15T23:13:32-0600',mode:absolute,to:'2017-10-16T02:07:05-0600'))&amp;_a=(columns:!('Message%20ID',Summary),filters:!(),index:'emp_*',interval:auto,query:(query_string:(analyze_wildcard:!t,query:'%22rtdc.l.rtdc.4016%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595</v>
      </c>
      <c r="B157" s="7">
        <v>4003</v>
      </c>
      <c r="C157" s="21" t="s">
        <v>194</v>
      </c>
      <c r="D157" s="21" t="s">
        <v>929</v>
      </c>
      <c r="E157" s="13">
        <v>43024.009398148148</v>
      </c>
      <c r="F157" s="13">
        <v>43024.06077546296</v>
      </c>
      <c r="G157" s="7">
        <v>147</v>
      </c>
      <c r="H157" s="21" t="s">
        <v>930</v>
      </c>
      <c r="I157" s="13">
        <v>43024.086516203701</v>
      </c>
      <c r="J157" s="7">
        <v>0</v>
      </c>
      <c r="K157" s="89" t="str">
        <f>IF(ISEVEN(B157),(B157-1)&amp;"/"&amp;B157,B157&amp;"/"&amp;(B157+1))</f>
        <v>4003/4004</v>
      </c>
      <c r="L157" s="185" t="str">
        <f>VLOOKUP(A157,'Trips&amp;Operators'!$C$1:$G$99911,5,FALSE)</f>
        <v>DUNCAN SHEILA</v>
      </c>
      <c r="M157" s="6">
        <f>I157-F157</f>
        <v>2.5740740740729962E-2</v>
      </c>
      <c r="N157" s="7">
        <f>24*60*SUM($M157:$M157)</f>
        <v>37.066666666651145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-15T23:13:32-0600',mode:absolute,to:'2017-10-16T03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v>23.301500000000001</v>
      </c>
      <c r="Z157" s="204">
        <v>1.5599999999999999E-2</v>
      </c>
      <c r="AA157" s="204">
        <f>ABS(Z157-Y157)</f>
        <v>23.285900000000002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 &amp; 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/stypes="app*4003*20171016*"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ref="AH157" si="53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244-15 --locoid 4003 --swversion DE.1.0.9.0 --startMP 204:746 --initTime 2017-10-16T00:13:32 --startdatetime 2017-10-16T01:27:31 --delay 147 --endMP 204:233366 --enddatetime 2017-10-16T02:04:35 --enforcementcount 0 &gt;&gt;%USERPROFILE%\Documents\GitHub\eaglep3-reporting\EC\2017-10-15-refined-times.txt</v>
      </c>
      <c r="AI157" s="96" t="str">
        <f t="shared" ref="AI157" si="54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{"issue":{"subject":"","project_id":79,"tracker_id":40,"status_id":1,"priority_id":2,"assigned_to_id":338,"start_date":"2017-10-16","description":"","custom_fields":[{"id":1,"name":"Subdivision","value":"EC"},{"id":4,"name":"Milepost","value":"0.0156"},{"id":17,"name":"Train ID","value":"244-15"},{"id":16,"name":"Locomotive ID","value":"4003"},{"id":130,"name":"Impact","value":""},{"id":150,"name":"Time of Event (Mountain Time)","value":"02:04:35"},{"id":151,"name":"Denver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ref="AM157" si="55">"start /low /b "&amp;dls3logs&amp;" --loco "&amp;B157&amp;" --day "&amp;TEXT(F157,"YYYY-MM-DD")</f>
        <v>start /low /b %USERPROFILE%\Documents\GitHub\eaglep3\Utilities\DownloadLogsFromS3.py --loco 4003 --day 2017-10-16</v>
      </c>
      <c r="AN157" s="151" t="str">
        <f t="shared" ref="AN157" si="56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57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-15T23:13:32-0600',mode:absolute,to:'2017-10-16T03:04:35-0600'))&amp;_a=(columns:!('Message%20ID',Summary),filters:!(),index:'emp_*',interval:auto,query:(query_string:(analyze_wildcard:!t,query:'%22rtdc.l.rtdc.4003%22')),sort:!(Time.ISO8601,asc))</v>
      </c>
    </row>
    <row r="158" spans="1:91" s="20" customFormat="1" x14ac:dyDescent="0.25">
      <c r="A158" s="32" t="s">
        <v>635</v>
      </c>
      <c r="B158" s="7">
        <v>4001</v>
      </c>
      <c r="C158" s="21" t="s">
        <v>194</v>
      </c>
      <c r="D158" s="21" t="s">
        <v>847</v>
      </c>
      <c r="E158" s="13">
        <v>43023.235694444447</v>
      </c>
      <c r="F158" s="13">
        <v>43023.237083333333</v>
      </c>
      <c r="G158" s="7">
        <v>70</v>
      </c>
      <c r="H158" s="21" t="s">
        <v>848</v>
      </c>
      <c r="I158" s="13">
        <v>43023.247256944444</v>
      </c>
      <c r="J158" s="7">
        <v>0</v>
      </c>
      <c r="K158" s="89" t="str">
        <f>IF(ISEVEN(B158),(B158-1)&amp;"/"&amp;B158,B158&amp;"/"&amp;(B158+1))</f>
        <v>4001/4002</v>
      </c>
      <c r="L158" s="185" t="str">
        <f>VLOOKUP(A158,'Trips&amp;Operators'!$C$1:$G$99911,5,FALSE)</f>
        <v>MACDONALD THOMAS</v>
      </c>
      <c r="M158" s="6">
        <f>I158-F158</f>
        <v>1.0173611110076308E-2</v>
      </c>
      <c r="N158" s="7">
        <f>24*60*SUM($M158:$M158)</f>
        <v>14.649999998509884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-15T04:39:24-0600',mode:absolute,to:'2017-10-15T06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1556</v>
      </c>
      <c r="Y158" s="204">
        <f>RIGHT(D158,LEN(D158)-4)/10000</f>
        <v>5.8596000000000004</v>
      </c>
      <c r="Z158" s="204">
        <f>RIGHT(H158,LEN(H158)-4)/10000</f>
        <v>7.1300000000000002E-2</v>
      </c>
      <c r="AA158" s="204">
        <f>ABS(Z158-Y158)</f>
        <v>5.7883000000000004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1800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/stypes="app*4001*20171015*"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36"/>
        <v>"%USERPROFILE%\Documents\GitHub\eaglep3\Utilities\RefineRTDCRunTimes.py" --tripid 1800-15 --locoid 4001 --swversion DE.1.0.9.0 --startMP 300:58596 --initTime 2017-10-15T05:39:24 --startdatetime 2017-10-15T05:41:24 --delay 70 --endMP 204:713 --enddatetime 2017-10-15T05:56:03 --enforcementcount 0 &gt;&gt;%USERPROFILE%\Documents\GitHub\eaglep3-reporting\EC\2017-10-15-refined-times.txt</v>
      </c>
      <c r="AI158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{"issue":{"subject":"","project_id":79,"tracker_id":40,"status_id":1,"priority_id":2,"assigned_to_id":338,"start_date":"2017-10-15","description":"","custom_fields":[{"id":1,"name":"Subdivision","value":"NW"},{"id":4,"name":"Milepost","value":"0.0713"},{"id":17,"name":"Train ID","value":"1800-15"},{"id":16,"name":"Locomotive ID","value":"4001"},{"id":130,"name":"Impact","value":""},{"id":150,"name":"Time of Event (Mountain Time)","value":"05:56:03"},{"id":151,"name":"Denver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38"/>
        <v>start /low /b %USERPROFILE%\Documents\GitHub\eaglep3\Utilities\DownloadLogsFromS3.py --loco 4001 --day 2017-10-15</v>
      </c>
      <c r="AN158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40"/>
        <v>https://d0f6bd738d7f1b3e5a7ca70fe4ff75f0.us-east-1.aws.found.io/app/kibana#/discover/Steve-Slow-Train-Analysis-(2080s-and-2083s)?_g=(refreshInterval:(display:Off,pause:!f,section:0,value:0),time:(from:'2017-10-15T04:39:24-0600',mode:absolute,to:'2017-10-15T06:56:03-0600'))&amp;_a=(columns:!('Message%20ID',Summary),filters:!(),index:'emp_*',interval:auto,query:(query_string:(analyze_wildcard:!t,query:'%22rtdc.l.rtdc.4001%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638</v>
      </c>
      <c r="B159" s="7">
        <v>4002</v>
      </c>
      <c r="C159" s="21" t="s">
        <v>194</v>
      </c>
      <c r="D159" s="21" t="s">
        <v>849</v>
      </c>
      <c r="E159" s="13">
        <v>43023.250138888892</v>
      </c>
      <c r="F159" s="13">
        <v>43023.256724537037</v>
      </c>
      <c r="G159" s="7">
        <v>391</v>
      </c>
      <c r="H159" s="21" t="s">
        <v>850</v>
      </c>
      <c r="I159" s="13">
        <v>43023.266250000001</v>
      </c>
      <c r="J159" s="7">
        <v>0</v>
      </c>
      <c r="K159" s="89" t="str">
        <f>IF(ISEVEN(B159),(B159-1)&amp;"/"&amp;B159,B159&amp;"/"&amp;(B159+1))</f>
        <v>4001/4002</v>
      </c>
      <c r="L159" s="185" t="str">
        <f>VLOOKUP(A159,'Trips&amp;Operators'!$C$1:$G$99911,5,FALSE)</f>
        <v>MACDONALD THOMAS</v>
      </c>
      <c r="M159" s="6">
        <f>I159-F159</f>
        <v>9.5254629632108845E-3</v>
      </c>
      <c r="N159" s="7">
        <f>24*60*SUM($M159:$M159)</f>
        <v>13.716666667023674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-15T05:00:12-0600',mode:absolute,to:'2017-10-15T07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9.8799999999999999E-2</v>
      </c>
      <c r="Z159" s="204">
        <f>RIGHT(H159,LEN(H159)-4)/10000</f>
        <v>5.8912000000000004</v>
      </c>
      <c r="AA159" s="204">
        <f>ABS(Z159-Y159)</f>
        <v>5.7924000000000007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1801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/stypes="app*4002*20171015*" /stext=" 12:.+((SYSTEM_STATE.+slice.+state.+changed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36"/>
        <v>"%USERPROFILE%\Documents\GitHub\eaglep3\Utilities\RefineRTDCRunTimes.py" --tripid 1801-15 --locoid 4002 --swversion DE.1.0.9.0 --startMP 204:988 --initTime 2017-10-15T06:00:12 --startdatetime 2017-10-15T06:09:41 --delay 391 --endMP 300:58912 --enddatetime 2017-10-15T06:23:24 --enforcementcount 0 &gt;&gt;%USERPROFILE%\Documents\GitHub\eaglep3-reporting\EC\2017-10-15-refined-times.txt</v>
      </c>
      <c r="AI159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{"issue":{"subject":"","project_id":79,"tracker_id":40,"status_id":1,"priority_id":2,"assigned_to_id":338,"start_date":"2017-10-15","description":"","custom_fields":[{"id":1,"name":"Subdivision","value":"NW"},{"id":4,"name":"Milepost","value":"5.8912"},{"id":17,"name":"Train ID","value":"1801-15"},{"id":16,"name":"Locomotive ID","value":"4002"},{"id":130,"name":"Impact","value":""},{"id":150,"name":"Time of Event (Mountain Time)","value":"06:23:24"},{"id":151,"name":"Denver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38"/>
        <v>start /low /b %USERPROFILE%\Documents\GitHub\eaglep3\Utilities\DownloadLogsFromS3.py --loco 4002 --day 2017-10-15</v>
      </c>
      <c r="AN159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40"/>
        <v>https://d0f6bd738d7f1b3e5a7ca70fe4ff75f0.us-east-1.aws.found.io/app/kibana#/discover/Steve-Slow-Train-Analysis-(2080s-and-2083s)?_g=(refreshInterval:(display:Off,pause:!f,section:0,value:0),time:(from:'2017-10-15T05:00:12-0600',mode:absolute,to:'2017-10-15T07:23:24-0600'))&amp;_a=(columns:!('Message%20ID',Summary),filters:!(),index:'emp_*',interval:auto,query:(query_string:(analyze_wildcard:!t,query:'%22rtdc.l.rtdc.4002%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568</v>
      </c>
      <c r="B160" s="7">
        <v>4001</v>
      </c>
      <c r="C160" s="21" t="s">
        <v>194</v>
      </c>
      <c r="D160" s="21" t="s">
        <v>851</v>
      </c>
      <c r="E160" s="13">
        <v>43023.269375000003</v>
      </c>
      <c r="F160" s="13">
        <v>43023.28052083333</v>
      </c>
      <c r="G160" s="7">
        <v>38</v>
      </c>
      <c r="H160" s="21" t="s">
        <v>553</v>
      </c>
      <c r="I160" s="13">
        <v>43023.290509259263</v>
      </c>
      <c r="J160" s="7">
        <v>0</v>
      </c>
      <c r="K160" s="89" t="str">
        <f>IF(ISEVEN(B160),(B160-1)&amp;"/"&amp;B160,B160&amp;"/"&amp;(B160+1))</f>
        <v>4001/4002</v>
      </c>
      <c r="L160" s="185" t="str">
        <f>VLOOKUP(A160,'Trips&amp;Operators'!$C$1:$G$99911,5,FALSE)</f>
        <v>MACDONALD THOMAS</v>
      </c>
      <c r="M160" s="6">
        <f>I160-F160</f>
        <v>9.9884259325335734E-3</v>
      </c>
      <c r="N160" s="7">
        <f>24*60*SUM($M160:$M160)</f>
        <v>14.383333342848346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-15T05:27:54-0600',mode:absolute,to:'2017-10-15T07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204" t="str">
        <f>IF(AA160&lt;VLOOKUP(AG160,Variables!$AC$3:$AD$8,2,FALSE),"Y","N")</f>
        <v>N</v>
      </c>
      <c r="X160" s="204">
        <f t="shared" ref="X160:X161" si="58">VALUE(LEFT(AD160,4))-VALUE(LEFT(AD159,4))</f>
        <v>1</v>
      </c>
      <c r="Y160" s="204">
        <f>RIGHT(D160,LEN(D160)-4)/10000</f>
        <v>5.7233000000000001</v>
      </c>
      <c r="Z160" s="204">
        <f>RIGHT(H160,LEN(H160)-4)/10000</f>
        <v>7.0999999999999994E-2</v>
      </c>
      <c r="AA160" s="204">
        <f>ABS(Z160-Y160)</f>
        <v>5.6523000000000003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1802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/stypes="app*4001*20171015*"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36"/>
        <v>"%USERPROFILE%\Documents\GitHub\eaglep3\Utilities\RefineRTDCRunTimes.py" --tripid 1802-15 --locoid 4001 --swversion DE.1.0.9.0 --startMP 300:57233 --initTime 2017-10-15T06:27:54 --startdatetime 2017-10-15T06:43:57 --delay 38 --endMP 204:710 --enddatetime 2017-10-15T06:58:20 --enforcementcount 0 &gt;&gt;%USERPROFILE%\Documents\GitHub\eaglep3-reporting\EC\2017-10-15-refined-times.txt</v>
      </c>
      <c r="AI160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{"issue":{"subject":"","project_id":79,"tracker_id":40,"status_id":1,"priority_id":2,"assigned_to_id":338,"start_date":"2017-10-15","description":"","custom_fields":[{"id":1,"name":"Subdivision","value":"NW"},{"id":4,"name":"Milepost","value":"0.071"},{"id":17,"name":"Train ID","value":"1802-15"},{"id":16,"name":"Locomotive ID","value":"4001"},{"id":130,"name":"Impact","value":""},{"id":150,"name":"Time of Event (Mountain Time)","value":"06:58:20"},{"id":151,"name":"Denver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8"/>
        <v>start /low /b %USERPROFILE%\Documents\GitHub\eaglep3\Utilities\DownloadLogsFromS3.py --loco 4001 --day 2017-10-15</v>
      </c>
      <c r="AN160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12:58:20"},{"id":29,"name":"Sharepoint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40"/>
        <v>https://d0f6bd738d7f1b3e5a7ca70fe4ff75f0.us-east-1.aws.found.io/app/kibana#/discover/Steve-Slow-Train-Analysis-(2080s-and-2083s)?_g=(refreshInterval:(display:Off,pause:!f,section:0,value:0),time:(from:'2017-10-15T05:27:54-0600',mode:absolute,to:'2017-10-15T07:58:20-0600'))&amp;_a=(columns:!('Message%20ID',Summary),filters:!(),index:'emp_*',interval:auto,query:(query_string:(analyze_wildcard:!t,query:'%22rtdc.l.rtdc.4001%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647</v>
      </c>
      <c r="B161" s="7">
        <v>4002</v>
      </c>
      <c r="C161" s="21" t="s">
        <v>194</v>
      </c>
      <c r="D161" s="21" t="s">
        <v>852</v>
      </c>
      <c r="E161" s="13">
        <v>43023.296840277777</v>
      </c>
      <c r="F161" s="13">
        <v>43023.299467592595</v>
      </c>
      <c r="G161" s="7">
        <v>54</v>
      </c>
      <c r="H161" s="21" t="s">
        <v>853</v>
      </c>
      <c r="I161" s="13">
        <v>43023.308483796296</v>
      </c>
      <c r="J161" s="7">
        <v>0</v>
      </c>
      <c r="K161" s="89" t="str">
        <f>IF(ISEVEN(B161),(B161-1)&amp;"/"&amp;B161,B161&amp;"/"&amp;(B161+1))</f>
        <v>4001/4002</v>
      </c>
      <c r="L161" s="185" t="str">
        <f>VLOOKUP(A161,'Trips&amp;Operators'!$C$1:$G$99911,5,FALSE)</f>
        <v>MACDONALD THOMAS</v>
      </c>
      <c r="M161" s="6">
        <f>I161-F161</f>
        <v>9.0162037013215013E-3</v>
      </c>
      <c r="N161" s="7">
        <f>24*60*SUM($M161:$M161)</f>
        <v>12.983333329902962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-15T06:07:27-0600',mode:absolute,to:'2017-10-15T08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04" t="str">
        <f>IF(AA161&lt;VLOOKUP(AG161,Variables!$AC$3:$AD$8,2,FALSE),"Y","N")</f>
        <v>N</v>
      </c>
      <c r="X161" s="204">
        <f t="shared" si="58"/>
        <v>1</v>
      </c>
      <c r="Y161" s="204">
        <f>RIGHT(D161,LEN(D161)-4)/10000</f>
        <v>0.10059999999999999</v>
      </c>
      <c r="Z161" s="204">
        <f>RIGHT(H161,LEN(H161)-4)/10000</f>
        <v>5.8917999999999999</v>
      </c>
      <c r="AA161" s="204">
        <f>ABS(Z161-Y161)</f>
        <v>5.7911999999999999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1803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/stypes="app*4002*20171015*" /stext=" 13:.+((SYSTEM_STATE.+slice.+state.+changed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36"/>
        <v>"%USERPROFILE%\Documents\GitHub\eaglep3\Utilities\RefineRTDCRunTimes.py" --tripid 1803-15 --locoid 4002 --swversion DE.1.0.9.0 --startMP 204:1006 --initTime 2017-10-15T07:07:27 --startdatetime 2017-10-15T07:11:14 --delay 54 --endMP 300:58918 --enddatetime 2017-10-15T07:24:13 --enforcementcount 0 &gt;&gt;%USERPROFILE%\Documents\GitHub\eaglep3-reporting\EC\2017-10-15-refined-times.txt</v>
      </c>
      <c r="AI161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{"issue":{"subject":"","project_id":79,"tracker_id":40,"status_id":1,"priority_id":2,"assigned_to_id":338,"start_date":"2017-10-15","description":"","custom_fields":[{"id":1,"name":"Subdivision","value":"NW"},{"id":4,"name":"Milepost","value":"5.8918"},{"id":17,"name":"Train ID","value":"1803-15"},{"id":16,"name":"Locomotive ID","value":"4002"},{"id":130,"name":"Impact","value":""},{"id":150,"name":"Time of Event (Mountain Time)","value":"07:24:13"},{"id":151,"name":"Denver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38"/>
        <v>start /low /b %USERPROFILE%\Documents\GitHub\eaglep3\Utilities\DownloadLogsFromS3.py --loco 4002 --day 2017-10-15</v>
      </c>
      <c r="AN161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40"/>
        <v>https://d0f6bd738d7f1b3e5a7ca70fe4ff75f0.us-east-1.aws.found.io/app/kibana#/discover/Steve-Slow-Train-Analysis-(2080s-and-2083s)?_g=(refreshInterval:(display:Off,pause:!f,section:0,value:0),time:(from:'2017-10-15T06:07:27-0600',mode:absolute,to:'2017-10-15T08:24:13-0600'))&amp;_a=(columns:!('Message%20ID',Summary),filters:!(),index:'emp_*',interval:auto,query:(query_string:(analyze_wildcard:!t,query:'%22rtdc.l.rtdc.4002%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651</v>
      </c>
      <c r="B162" s="7">
        <v>4001</v>
      </c>
      <c r="C162" s="21" t="s">
        <v>194</v>
      </c>
      <c r="D162" s="21" t="s">
        <v>560</v>
      </c>
      <c r="E162" s="13">
        <v>43023.309247685182</v>
      </c>
      <c r="F162" s="13">
        <v>43023.321527777778</v>
      </c>
      <c r="G162" s="7">
        <v>80</v>
      </c>
      <c r="H162" s="21" t="s">
        <v>854</v>
      </c>
      <c r="I162" s="13">
        <v>43023.33</v>
      </c>
      <c r="J162" s="7">
        <v>0</v>
      </c>
      <c r="K162" s="89" t="str">
        <f>IF(ISEVEN(B162),(B162-1)&amp;"/"&amp;B162,B162&amp;"/"&amp;(B162+1))</f>
        <v>4001/4002</v>
      </c>
      <c r="L162" s="185" t="str">
        <f>VLOOKUP(A162,'Trips&amp;Operators'!$C$1:$G$99911,5,FALSE)</f>
        <v>MACDONALD THOMAS</v>
      </c>
      <c r="M162" s="6">
        <f>I162-F162</f>
        <v>8.4722222236450762E-3</v>
      </c>
      <c r="N162" s="7">
        <f>24*60*SUM($M162:$M162)</f>
        <v>12.20000000204891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-15T06:25:19-0600',mode:absolute,to:'2017-10-15T08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5.8616999999999999</v>
      </c>
      <c r="Z162" s="204">
        <f>RIGHT(H162,LEN(H162)-4)/10000</f>
        <v>7.3099999999999998E-2</v>
      </c>
      <c r="AA162" s="204">
        <f>ABS(Z162-Y162)</f>
        <v>5.7885999999999997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1804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/stypes="app*4001*20171015*"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36"/>
        <v>"%USERPROFILE%\Documents\GitHub\eaglep3\Utilities\RefineRTDCRunTimes.py" --tripid 1804-15 --locoid 4001 --swversion DE.1.0.9.0 --startMP 300:58617 --initTime 2017-10-15T07:25:19 --startdatetime 2017-10-15T07:43:00 --delay 80 --endMP 204:731 --enddatetime 2017-10-15T07:55:12 --enforcementcount 0 &gt;&gt;%USERPROFILE%\Documents\GitHub\eaglep3-reporting\EC\2017-10-15-refined-times.txt</v>
      </c>
      <c r="AI162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{"issue":{"subject":"","project_id":79,"tracker_id":40,"status_id":1,"priority_id":2,"assigned_to_id":338,"start_date":"2017-10-15","description":"","custom_fields":[{"id":1,"name":"Subdivision","value":"NW"},{"id":4,"name":"Milepost","value":"0.0731"},{"id":17,"name":"Train ID","value":"1804-15"},{"id":16,"name":"Locomotive ID","value":"4001"},{"id":130,"name":"Impact","value":""},{"id":150,"name":"Time of Event (Mountain Time)","value":"07:55:12"},{"id":151,"name":"Denver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8"/>
        <v>start /low /b %USERPROFILE%\Documents\GitHub\eaglep3\Utilities\DownloadLogsFromS3.py --loco 4001 --day 2017-10-15</v>
      </c>
      <c r="AN162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40"/>
        <v>https://d0f6bd738d7f1b3e5a7ca70fe4ff75f0.us-east-1.aws.found.io/app/kibana#/discover/Steve-Slow-Train-Analysis-(2080s-and-2083s)?_g=(refreshInterval:(display:Off,pause:!f,section:0,value:0),time:(from:'2017-10-15T06:25:19-0600',mode:absolute,to:'2017-10-15T08:55:12-0600'))&amp;_a=(columns:!('Message%20ID',Summary),filters:!(),index:'emp_*',interval:auto,query:(query_string:(analyze_wildcard:!t,query:'%22rtdc.l.rtdc.4001%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658</v>
      </c>
      <c r="B163" s="7">
        <v>4002</v>
      </c>
      <c r="C163" s="21" t="s">
        <v>194</v>
      </c>
      <c r="D163" s="21" t="s">
        <v>489</v>
      </c>
      <c r="E163" s="13">
        <v>43023.339328703703</v>
      </c>
      <c r="F163" s="13">
        <v>43023.340243055558</v>
      </c>
      <c r="G163" s="7">
        <v>47</v>
      </c>
      <c r="H163" s="21" t="s">
        <v>855</v>
      </c>
      <c r="I163" s="13">
        <v>43023.349421296298</v>
      </c>
      <c r="J163" s="7">
        <v>0</v>
      </c>
      <c r="K163" s="89" t="str">
        <f>IF(ISEVEN(B163),(B163-1)&amp;"/"&amp;B163,B163&amp;"/"&amp;(B163+1))</f>
        <v>4001/4002</v>
      </c>
      <c r="L163" s="185" t="str">
        <f>VLOOKUP(A163,'Trips&amp;Operators'!$C$1:$G$99911,5,FALSE)</f>
        <v>MACDONALD THOMAS</v>
      </c>
      <c r="M163" s="6">
        <f>I163-F163</f>
        <v>9.1782407398568466E-3</v>
      </c>
      <c r="N163" s="7">
        <f>24*60*SUM($M163:$M163)</f>
        <v>13.216666665393859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-15T07:08:38-0600',mode:absolute,to:'2017-10-15T09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0.1004</v>
      </c>
      <c r="Z163" s="204">
        <f>RIGHT(H163,LEN(H163)-4)/10000</f>
        <v>5.8905000000000003</v>
      </c>
      <c r="AA163" s="204">
        <f>ABS(Z163-Y163)</f>
        <v>5.7901000000000007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1805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/stypes="app*4002*20171015*" /stext=" 14:.+((SYSTEM_STATE.+slice.+state.+changed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36"/>
        <v>"%USERPROFILE%\Documents\GitHub\eaglep3\Utilities\RefineRTDCRunTimes.py" --tripid 1805-15 --locoid 4002 --swversion DE.1.0.9.0 --startMP 204:1004 --initTime 2017-10-15T08:08:38 --startdatetime 2017-10-15T08:09:57 --delay 47 --endMP 300:58905 --enddatetime 2017-10-15T08:23:10 --enforcementcount 0 &gt;&gt;%USERPROFILE%\Documents\GitHub\eaglep3-reporting\EC\2017-10-15-refined-times.txt</v>
      </c>
      <c r="AI163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{"issue":{"subject":"","project_id":79,"tracker_id":40,"status_id":1,"priority_id":2,"assigned_to_id":338,"start_date":"2017-10-15","description":"","custom_fields":[{"id":1,"name":"Subdivision","value":"NW"},{"id":4,"name":"Milepost","value":"5.8905"},{"id":17,"name":"Train ID","value":"1805-15"},{"id":16,"name":"Locomotive ID","value":"4002"},{"id":130,"name":"Impact","value":""},{"id":150,"name":"Time of Event (Mountain Time)","value":"08:23:10"},{"id":151,"name":"Denver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8"/>
        <v>start /low /b %USERPROFILE%\Documents\GitHub\eaglep3\Utilities\DownloadLogsFromS3.py --loco 4002 --day 2017-10-15</v>
      </c>
      <c r="AN163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40"/>
        <v>https://d0f6bd738d7f1b3e5a7ca70fe4ff75f0.us-east-1.aws.found.io/app/kibana#/discover/Steve-Slow-Train-Analysis-(2080s-and-2083s)?_g=(refreshInterval:(display:Off,pause:!f,section:0,value:0),time:(from:'2017-10-15T07:08:38-0600',mode:absolute,to:'2017-10-15T09:23:10-0600'))&amp;_a=(columns:!('Message%20ID',Summary),filters:!(),index:'emp_*',interval:auto,query:(query_string:(analyze_wildcard:!t,query:'%22rtdc.l.rtdc.4002%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661</v>
      </c>
      <c r="B164" s="7">
        <v>4001</v>
      </c>
      <c r="C164" s="21" t="s">
        <v>194</v>
      </c>
      <c r="D164" s="21" t="s">
        <v>856</v>
      </c>
      <c r="E164" s="13">
        <v>43023.350081018521</v>
      </c>
      <c r="F164" s="13">
        <v>43023.363194444442</v>
      </c>
      <c r="G164" s="7">
        <v>48</v>
      </c>
      <c r="H164" s="21" t="s">
        <v>854</v>
      </c>
      <c r="I164" s="13">
        <v>43023.372465277775</v>
      </c>
      <c r="J164" s="7">
        <v>0</v>
      </c>
      <c r="K164" s="89" t="str">
        <f>IF(ISEVEN(B164),(B164-1)&amp;"/"&amp;B164,B164&amp;"/"&amp;(B164+1))</f>
        <v>4001/4002</v>
      </c>
      <c r="L164" s="185" t="str">
        <f>VLOOKUP(A164,'Trips&amp;Operators'!$C$1:$G$99911,5,FALSE)</f>
        <v>MACDONALD THOMAS</v>
      </c>
      <c r="M164" s="6">
        <f>I164-F164</f>
        <v>9.2708333322661929E-3</v>
      </c>
      <c r="N164" s="7">
        <f>24*60*SUM($M164:$M164)</f>
        <v>13.349999998463318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-15T07:24:07-0600',mode:absolute,to:'2017-10-15T09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5.8589000000000002</v>
      </c>
      <c r="Z164" s="204">
        <f>RIGHT(H164,LEN(H164)-4)/10000</f>
        <v>7.3099999999999998E-2</v>
      </c>
      <c r="AA164" s="204">
        <f>ABS(Z164-Y164)</f>
        <v>5.7858000000000001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1806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/stypes="app*4001*20171015*" /stext=" 14:.+((SYSTEM_STATE.+slice.+state.+changed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36"/>
        <v>"%USERPROFILE%\Documents\GitHub\eaglep3\Utilities\RefineRTDCRunTimes.py" --tripid 1806-15 --locoid 4001 --swversion DE.1.0.9.0 --startMP 300:58589 --initTime 2017-10-15T08:24:07 --startdatetime 2017-10-15T08:43:00 --delay 48 --endMP 204:731 --enddatetime 2017-10-15T08:56:21 --enforcementcount 0 &gt;&gt;%USERPROFILE%\Documents\GitHub\eaglep3-reporting\EC\2017-10-15-refined-times.txt</v>
      </c>
      <c r="AI164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{"issue":{"subject":"","project_id":79,"tracker_id":40,"status_id":1,"priority_id":2,"assigned_to_id":338,"start_date":"2017-10-15","description":"","custom_fields":[{"id":1,"name":"Subdivision","value":"NW"},{"id":4,"name":"Milepost","value":"0.0731"},{"id":17,"name":"Train ID","value":"1806-15"},{"id":16,"name":"Locomotive ID","value":"4001"},{"id":130,"name":"Impact","value":""},{"id":150,"name":"Time of Event (Mountain Time)","value":"08:56:21"},{"id":151,"name":"Denver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8"/>
        <v>start /low /b %USERPROFILE%\Documents\GitHub\eaglep3\Utilities\DownloadLogsFromS3.py --loco 4001 --day 2017-10-15</v>
      </c>
      <c r="AN164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14:56:21"},{"id":29,"name":"Sharepoint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40"/>
        <v>https://d0f6bd738d7f1b3e5a7ca70fe4ff75f0.us-east-1.aws.found.io/app/kibana#/discover/Steve-Slow-Train-Analysis-(2080s-and-2083s)?_g=(refreshInterval:(display:Off,pause:!f,section:0,value:0),time:(from:'2017-10-15T07:24:07-0600',mode:absolute,to:'2017-10-15T09:56:21-0600'))&amp;_a=(columns:!('Message%20ID',Summary),filters:!(),index:'emp_*',interval:auto,query:(query_string:(analyze_wildcard:!t,query:'%22rtdc.l.rtdc.4001%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667</v>
      </c>
      <c r="B165" s="7">
        <v>4002</v>
      </c>
      <c r="C165" s="21" t="s">
        <v>194</v>
      </c>
      <c r="D165" s="21" t="s">
        <v>857</v>
      </c>
      <c r="E165" s="13">
        <v>43023.380208333336</v>
      </c>
      <c r="F165" s="13">
        <v>43023.382071759261</v>
      </c>
      <c r="G165" s="7">
        <v>91</v>
      </c>
      <c r="H165" s="21" t="s">
        <v>858</v>
      </c>
      <c r="I165" s="13">
        <v>43023.392025462963</v>
      </c>
      <c r="J165" s="7">
        <v>0</v>
      </c>
      <c r="K165" s="89" t="str">
        <f>IF(ISEVEN(B165),(B165-1)&amp;"/"&amp;B165,B165&amp;"/"&amp;(B165+1))</f>
        <v>4001/4002</v>
      </c>
      <c r="L165" s="185" t="str">
        <f>VLOOKUP(A165,'Trips&amp;Operators'!$C$1:$G$99911,5,FALSE)</f>
        <v>MACDONALD THOMAS</v>
      </c>
      <c r="M165" s="6">
        <f>I165-F165</f>
        <v>9.9537037021946162E-3</v>
      </c>
      <c r="N165" s="7">
        <f>24*60*SUM($M165:$M165)</f>
        <v>14.333333331160247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-15T08:07:30-0600',mode:absolute,to:'2017-10-15T10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0.1007</v>
      </c>
      <c r="Z165" s="204">
        <f>RIGHT(H165,LEN(H165)-4)/10000</f>
        <v>5.8916000000000004</v>
      </c>
      <c r="AA165" s="204">
        <f>ABS(Z165-Y165)</f>
        <v>5.7909000000000006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1807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/stypes="app*4002*20171015*" /stext=" 15:.+((SYSTEM_STATE.+slice.+state.+changed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36"/>
        <v>"%USERPROFILE%\Documents\GitHub\eaglep3\Utilities\RefineRTDCRunTimes.py" --tripid 1807-15 --locoid 4002 --swversion DE.1.0.9.0 --startMP 204:1007 --initTime 2017-10-15T09:07:30 --startdatetime 2017-10-15T09:10:11 --delay 91 --endMP 300:58916 --enddatetime 2017-10-15T09:24:31 --enforcementcount 0 &gt;&gt;%USERPROFILE%\Documents\GitHub\eaglep3-reporting\EC\2017-10-15-refined-times.txt</v>
      </c>
      <c r="AI165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{"issue":{"subject":"","project_id":79,"tracker_id":40,"status_id":1,"priority_id":2,"assigned_to_id":338,"start_date":"2017-10-15","description":"","custom_fields":[{"id":1,"name":"Subdivision","value":"NW"},{"id":4,"name":"Milepost","value":"5.8916"},{"id":17,"name":"Train ID","value":"1807-15"},{"id":16,"name":"Locomotive ID","value":"4002"},{"id":130,"name":"Impact","value":""},{"id":150,"name":"Time of Event (Mountain Time)","value":"09:24:31"},{"id":151,"name":"Denver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8"/>
        <v>start /low /b %USERPROFILE%\Documents\GitHub\eaglep3\Utilities\DownloadLogsFromS3.py --loco 4002 --day 2017-10-15</v>
      </c>
      <c r="AN165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40"/>
        <v>https://d0f6bd738d7f1b3e5a7ca70fe4ff75f0.us-east-1.aws.found.io/app/kibana#/discover/Steve-Slow-Train-Analysis-(2080s-and-2083s)?_g=(refreshInterval:(display:Off,pause:!f,section:0,value:0),time:(from:'2017-10-15T08:07:30-0600',mode:absolute,to:'2017-10-15T10:24:31-0600'))&amp;_a=(columns:!('Message%20ID',Summary),filters:!(),index:'emp_*',interval:auto,query:(query_string:(analyze_wildcard:!t,query:'%22rtdc.l.rtdc.4002%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670</v>
      </c>
      <c r="B166" s="7">
        <v>4001</v>
      </c>
      <c r="C166" s="21" t="s">
        <v>194</v>
      </c>
      <c r="D166" s="21" t="s">
        <v>859</v>
      </c>
      <c r="E166" s="13">
        <v>43023.394236111111</v>
      </c>
      <c r="F166" s="13">
        <v>43023.404861111114</v>
      </c>
      <c r="G166" s="7">
        <v>47</v>
      </c>
      <c r="H166" s="21" t="s">
        <v>860</v>
      </c>
      <c r="I166" s="13">
        <v>43023.415069444447</v>
      </c>
      <c r="J166" s="7">
        <v>0</v>
      </c>
      <c r="K166" s="89" t="str">
        <f>IF(ISEVEN(B166),(B166-1)&amp;"/"&amp;B166,B166&amp;"/"&amp;(B166+1))</f>
        <v>4001/4002</v>
      </c>
      <c r="L166" s="185" t="str">
        <f>VLOOKUP(A166,'Trips&amp;Operators'!$C$1:$G$99911,5,FALSE)</f>
        <v>MACDONALD THOMAS</v>
      </c>
      <c r="M166" s="6">
        <f>I166-F166</f>
        <v>1.0208333333139308E-2</v>
      </c>
      <c r="N166" s="7">
        <f>24*60*SUM($M166:$M166)</f>
        <v>14.699999999720603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-15T08:27:42-0600',mode:absolute,to:'2017-10-15T10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5.8349000000000002</v>
      </c>
      <c r="Z166" s="204">
        <f>RIGHT(H166,LEN(H166)-4)/10000</f>
        <v>6.8699999999999997E-2</v>
      </c>
      <c r="AA166" s="204">
        <f>ABS(Z166-Y166)</f>
        <v>5.7662000000000004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1808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/stypes="app*4001*20171015*" /stext=" 15:.+((SYSTEM_STATE.+slice.+state.+changed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36"/>
        <v>"%USERPROFILE%\Documents\GitHub\eaglep3\Utilities\RefineRTDCRunTimes.py" --tripid 1808-15 --locoid 4001 --swversion DE.1.0.9.0 --startMP 300:58349 --initTime 2017-10-15T09:27:42 --startdatetime 2017-10-15T09:43:00 --delay 47 --endMP 204:687 --enddatetime 2017-10-15T09:57:42 --enforcementcount 0 &gt;&gt;%USERPROFILE%\Documents\GitHub\eaglep3-reporting\EC\2017-10-15-refined-times.txt</v>
      </c>
      <c r="AI166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{"issue":{"subject":"","project_id":79,"tracker_id":40,"status_id":1,"priority_id":2,"assigned_to_id":338,"start_date":"2017-10-15","description":"","custom_fields":[{"id":1,"name":"Subdivision","value":"NW"},{"id":4,"name":"Milepost","value":"0.0687"},{"id":17,"name":"Train ID","value":"1808-15"},{"id":16,"name":"Locomotive ID","value":"4001"},{"id":130,"name":"Impact","value":""},{"id":150,"name":"Time of Event (Mountain Time)","value":"09:57:42"},{"id":151,"name":"Denver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8"/>
        <v>start /low /b %USERPROFILE%\Documents\GitHub\eaglep3\Utilities\DownloadLogsFromS3.py --loco 4001 --day 2017-10-15</v>
      </c>
      <c r="AN166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40"/>
        <v>https://d0f6bd738d7f1b3e5a7ca70fe4ff75f0.us-east-1.aws.found.io/app/kibana#/discover/Steve-Slow-Train-Analysis-(2080s-and-2083s)?_g=(refreshInterval:(display:Off,pause:!f,section:0,value:0),time:(from:'2017-10-15T08:27:42-0600',mode:absolute,to:'2017-10-15T10:57:42-0600'))&amp;_a=(columns:!('Message%20ID',Summary),filters:!(),index:'emp_*',interval:auto,query:(query_string:(analyze_wildcard:!t,query:'%22rtdc.l.rtdc.4001%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676</v>
      </c>
      <c r="B167" s="7">
        <v>4002</v>
      </c>
      <c r="C167" s="21" t="s">
        <v>194</v>
      </c>
      <c r="D167" s="21" t="s">
        <v>551</v>
      </c>
      <c r="E167" s="13">
        <v>43023.418298611112</v>
      </c>
      <c r="F167" s="13">
        <v>43023.423703703702</v>
      </c>
      <c r="G167" s="7">
        <v>363</v>
      </c>
      <c r="H167" s="21" t="s">
        <v>491</v>
      </c>
      <c r="I167" s="13">
        <v>43023.433333333334</v>
      </c>
      <c r="J167" s="7">
        <v>0</v>
      </c>
      <c r="K167" s="89" t="str">
        <f>IF(ISEVEN(B167),(B167-1)&amp;"/"&amp;B167,B167&amp;"/"&amp;(B167+1))</f>
        <v>4001/4002</v>
      </c>
      <c r="L167" s="185" t="str">
        <f>VLOOKUP(A167,'Trips&amp;Operators'!$C$1:$G$99911,5,FALSE)</f>
        <v>MACDONALD THOMAS</v>
      </c>
      <c r="M167" s="6">
        <f>I167-F167</f>
        <v>9.6296296323998831E-3</v>
      </c>
      <c r="N167" s="7">
        <f>24*60*SUM($M167:$M167)</f>
        <v>13.866666670655832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-15T09:02:21-0600',mode:absolute,to:'2017-10-15T11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204" t="str">
        <f>IF(AA167&lt;VLOOKUP(AG167,Variables!$AC$3:$AD$8,2,FALSE),"Y","N")</f>
        <v>N</v>
      </c>
      <c r="X167" s="204">
        <f t="shared" ref="X167:X168" si="59">VALUE(LEFT(AD167,4))-VALUE(LEFT(AD166,4))</f>
        <v>1</v>
      </c>
      <c r="Y167" s="204">
        <f>RIGHT(D167,LEN(D167)-4)/10000</f>
        <v>9.8299999999999998E-2</v>
      </c>
      <c r="Z167" s="204">
        <f>RIGHT(H167,LEN(H167)-4)/10000</f>
        <v>5.8935000000000004</v>
      </c>
      <c r="AA167" s="204">
        <f>ABS(Z167-Y167)</f>
        <v>5.7952000000000004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1809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/stypes="app*4002*20171015*" /stext=" 16:.+((SYSTEM_STATE.+slice.+state.+changed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36"/>
        <v>"%USERPROFILE%\Documents\GitHub\eaglep3\Utilities\RefineRTDCRunTimes.py" --tripid 1809-15 --locoid 4002 --swversion DE.1.0.9.0 --startMP 204:983 --initTime 2017-10-15T10:02:21 --startdatetime 2017-10-15T10:10:08 --delay 363 --endMP 300:58935 --enddatetime 2017-10-15T10:24:00 --enforcementcount 0 &gt;&gt;%USERPROFILE%\Documents\GitHub\eaglep3-reporting\EC\2017-10-15-refined-times.txt</v>
      </c>
      <c r="AI167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{"issue":{"subject":"","project_id":79,"tracker_id":40,"status_id":1,"priority_id":2,"assigned_to_id":338,"start_date":"2017-10-15","description":"","custom_fields":[{"id":1,"name":"Subdivision","value":"NW"},{"id":4,"name":"Milepost","value":"5.8935"},{"id":17,"name":"Train ID","value":"1809-15"},{"id":16,"name":"Locomotive ID","value":"4002"},{"id":130,"name":"Impact","value":""},{"id":150,"name":"Time of Event (Mountain Time)","value":"10:24:00"},{"id":151,"name":"Denver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38"/>
        <v>start /low /b %USERPROFILE%\Documents\GitHub\eaglep3\Utilities\DownloadLogsFromS3.py --loco 4002 --day 2017-10-15</v>
      </c>
      <c r="AN167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40"/>
        <v>https://d0f6bd738d7f1b3e5a7ca70fe4ff75f0.us-east-1.aws.found.io/app/kibana#/discover/Steve-Slow-Train-Analysis-(2080s-and-2083s)?_g=(refreshInterval:(display:Off,pause:!f,section:0,value:0),time:(from:'2017-10-15T09:02:21-0600',mode:absolute,to:'2017-10-15T11:24:00-0600'))&amp;_a=(columns:!('Message%20ID',Summary),filters:!(),index:'emp_*',interval:auto,query:(query_string:(analyze_wildcard:!t,query:'%22rtdc.l.rtdc.4002%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574</v>
      </c>
      <c r="B168" s="7">
        <v>4001</v>
      </c>
      <c r="C168" s="21" t="s">
        <v>194</v>
      </c>
      <c r="D168" s="21" t="s">
        <v>862</v>
      </c>
      <c r="E168" s="13">
        <v>43023.434791666667</v>
      </c>
      <c r="F168" s="13">
        <v>43023.446527777778</v>
      </c>
      <c r="G168" s="7">
        <v>122</v>
      </c>
      <c r="H168" s="21" t="s">
        <v>863</v>
      </c>
      <c r="I168" s="13">
        <v>43023.456678240742</v>
      </c>
      <c r="J168" s="7">
        <v>0</v>
      </c>
      <c r="K168" s="89" t="str">
        <f>IF(ISEVEN(B168),(B168-1)&amp;"/"&amp;B168,B168&amp;"/"&amp;(B168+1))</f>
        <v>4001/4002</v>
      </c>
      <c r="L168" s="185" t="str">
        <f>VLOOKUP(A168,'Trips&amp;Operators'!$C$1:$G$99911,5,FALSE)</f>
        <v>MACDONALD THOMAS</v>
      </c>
      <c r="M168" s="6">
        <f>I168-F168</f>
        <v>1.0150462963792961E-2</v>
      </c>
      <c r="N168" s="7">
        <f>24*60*SUM($M168:$M168)</f>
        <v>14.616666667861864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-15T09:26:06-0600',mode:absolute,to:'2017-10-15T11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204" t="str">
        <f>IF(AA168&lt;VLOOKUP(AG168,Variables!$AC$3:$AD$8,2,FALSE),"Y","N")</f>
        <v>N</v>
      </c>
      <c r="X168" s="204">
        <f t="shared" si="59"/>
        <v>1</v>
      </c>
      <c r="Y168" s="204">
        <f>RIGHT(D168,LEN(D168)-4)/10000</f>
        <v>5.8623000000000003</v>
      </c>
      <c r="Z168" s="204">
        <f>RIGHT(H168,LEN(H168)-4)/10000</f>
        <v>7.9699999999999993E-2</v>
      </c>
      <c r="AA168" s="204">
        <f>ABS(Z168-Y168)</f>
        <v>5.7826000000000004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1810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/stypes="app*4001*20171015*" /stext=" 16:.+((SYSTEM_STATE.+slice.+state.+changed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36"/>
        <v>"%USERPROFILE%\Documents\GitHub\eaglep3\Utilities\RefineRTDCRunTimes.py" --tripid 1810-15 --locoid 4001 --swversion DE.1.0.9.0 --startMP 300:58623 --initTime 2017-10-15T10:26:06 --startdatetime 2017-10-15T10:43:00 --delay 122 --endMP 204:797 --enddatetime 2017-10-15T10:57:37 --enforcementcount 0 &gt;&gt;%USERPROFILE%\Documents\GitHub\eaglep3-reporting\EC\2017-10-15-refined-times.txt</v>
      </c>
      <c r="AI168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{"issue":{"subject":"","project_id":79,"tracker_id":40,"status_id":1,"priority_id":2,"assigned_to_id":338,"start_date":"2017-10-15","description":"","custom_fields":[{"id":1,"name":"Subdivision","value":"NW"},{"id":4,"name":"Milepost","value":"0.0797"},{"id":17,"name":"Train ID","value":"1810-15"},{"id":16,"name":"Locomotive ID","value":"4001"},{"id":130,"name":"Impact","value":""},{"id":150,"name":"Time of Event (Mountain Time)","value":"10:57:37"},{"id":151,"name":"Denver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8"/>
        <v>start /low /b %USERPROFILE%\Documents\GitHub\eaglep3\Utilities\DownloadLogsFromS3.py --loco 4001 --day 2017-10-15</v>
      </c>
      <c r="AN168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40"/>
        <v>https://d0f6bd738d7f1b3e5a7ca70fe4ff75f0.us-east-1.aws.found.io/app/kibana#/discover/Steve-Slow-Train-Analysis-(2080s-and-2083s)?_g=(refreshInterval:(display:Off,pause:!f,section:0,value:0),time:(from:'2017-10-15T09:26:06-0600',mode:absolute,to:'2017-10-15T11:57:37-0600'))&amp;_a=(columns:!('Message%20ID',Summary),filters:!(),index:'emp_*',interval:auto,query:(query_string:(analyze_wildcard:!t,query:'%22rtdc.l.rtdc.4001%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699</v>
      </c>
      <c r="B169" s="7">
        <v>4002</v>
      </c>
      <c r="C169" s="21" t="s">
        <v>194</v>
      </c>
      <c r="D169" s="21" t="s">
        <v>864</v>
      </c>
      <c r="E169" s="13">
        <v>43023.463553240741</v>
      </c>
      <c r="F169" s="13">
        <v>43023.464826388888</v>
      </c>
      <c r="G169" s="7">
        <v>55</v>
      </c>
      <c r="H169" s="21" t="s">
        <v>865</v>
      </c>
      <c r="I169" s="13">
        <v>43023.474976851852</v>
      </c>
      <c r="J169" s="7">
        <v>0</v>
      </c>
      <c r="K169" s="89" t="str">
        <f>IF(ISEVEN(B169),(B169-1)&amp;"/"&amp;B169,B169&amp;"/"&amp;(B169+1))</f>
        <v>4001/4002</v>
      </c>
      <c r="L169" s="185" t="str">
        <f>VLOOKUP(A169,'Trips&amp;Operators'!$C$1:$G$99911,5,FALSE)</f>
        <v>MACDONALD THOMAS</v>
      </c>
      <c r="M169" s="6">
        <f>I169-F169</f>
        <v>1.0150462963792961E-2</v>
      </c>
      <c r="N169" s="7">
        <f>24*60*SUM($M169:$M169)</f>
        <v>14.616666667861864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-15T10:07:31-0600',mode:absolute,to:'2017-10-15T12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0.1077</v>
      </c>
      <c r="Z169" s="204">
        <f>RIGHT(H169,LEN(H169)-4)/10000</f>
        <v>5.8936999999999999</v>
      </c>
      <c r="AA169" s="204">
        <f>ABS(Z169-Y169)</f>
        <v>5.7859999999999996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1811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/stypes="app*4002*20171015*" /stext=" 17:.+((SYSTEM_STATE.+slice.+state.+changed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36"/>
        <v>"%USERPROFILE%\Documents\GitHub\eaglep3\Utilities\RefineRTDCRunTimes.py" --tripid 1811-15 --locoid 4002 --swversion DE.1.0.9.0 --startMP 204:1077 --initTime 2017-10-15T11:07:31 --startdatetime 2017-10-15T11:09:21 --delay 55 --endMP 300:58937 --enddatetime 2017-10-15T11:23:58 --enforcementcount 0 &gt;&gt;%USERPROFILE%\Documents\GitHub\eaglep3-reporting\EC\2017-10-15-refined-times.txt</v>
      </c>
      <c r="AI169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{"issue":{"subject":"","project_id":79,"tracker_id":40,"status_id":1,"priority_id":2,"assigned_to_id":338,"start_date":"2017-10-15","description":"","custom_fields":[{"id":1,"name":"Subdivision","value":"NW"},{"id":4,"name":"Milepost","value":"5.8937"},{"id":17,"name":"Train ID","value":"1811-15"},{"id":16,"name":"Locomotive ID","value":"4002"},{"id":130,"name":"Impact","value":""},{"id":150,"name":"Time of Event (Mountain Time)","value":"11:23:58"},{"id":151,"name":"Denver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8"/>
        <v>start /low /b %USERPROFILE%\Documents\GitHub\eaglep3\Utilities\DownloadLogsFromS3.py --loco 4002 --day 2017-10-15</v>
      </c>
      <c r="AN169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40"/>
        <v>https://d0f6bd738d7f1b3e5a7ca70fe4ff75f0.us-east-1.aws.found.io/app/kibana#/discover/Steve-Slow-Train-Analysis-(2080s-and-2083s)?_g=(refreshInterval:(display:Off,pause:!f,section:0,value:0),time:(from:'2017-10-15T10:07:31-0600',mode:absolute,to:'2017-10-15T12:23:58-0600'))&amp;_a=(columns:!('Message%20ID',Summary),filters:!(),index:'emp_*',interval:auto,query:(query_string:(analyze_wildcard:!t,query:'%22rtdc.l.rtdc.4002%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705</v>
      </c>
      <c r="B170" s="7">
        <v>4001</v>
      </c>
      <c r="C170" s="21" t="s">
        <v>194</v>
      </c>
      <c r="D170" s="21" t="s">
        <v>866</v>
      </c>
      <c r="E170" s="13">
        <v>43023.475810185184</v>
      </c>
      <c r="F170" s="13">
        <v>43023.488194444442</v>
      </c>
      <c r="G170" s="7">
        <v>62</v>
      </c>
      <c r="H170" s="21" t="s">
        <v>867</v>
      </c>
      <c r="I170" s="13">
        <v>43023.497141203705</v>
      </c>
      <c r="J170" s="7">
        <v>0</v>
      </c>
      <c r="K170" s="89" t="str">
        <f>IF(ISEVEN(B170),(B170-1)&amp;"/"&amp;B170,B170&amp;"/"&amp;(B170+1))</f>
        <v>4001/4002</v>
      </c>
      <c r="L170" s="185" t="str">
        <f>VLOOKUP(A170,'Trips&amp;Operators'!$C$1:$G$99911,5,FALSE)</f>
        <v>MACDONALD THOMAS</v>
      </c>
      <c r="M170" s="6">
        <f>I170-F170</f>
        <v>8.9467592624714598E-3</v>
      </c>
      <c r="N170" s="7">
        <f>24*60*SUM($M170:$M170)</f>
        <v>12.883333337958902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-15T10:25:10-0600',mode:absolute,to:'2017-10-15T12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5.8611000000000004</v>
      </c>
      <c r="Z170" s="204">
        <f>RIGHT(H170,LEN(H170)-4)/10000</f>
        <v>7.5200000000000003E-2</v>
      </c>
      <c r="AA170" s="204">
        <f>ABS(Z170-Y170)</f>
        <v>5.7859000000000007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1812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/stypes="app*4001*20171015*" /stext=" 17:.+((SYSTEM_STATE.+slice.+state.+changed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36"/>
        <v>"%USERPROFILE%\Documents\GitHub\eaglep3\Utilities\RefineRTDCRunTimes.py" --tripid 1812-15 --locoid 4001 --swversion DE.1.0.9.0 --startMP 300:58611 --initTime 2017-10-15T11:25:10 --startdatetime 2017-10-15T11:43:00 --delay 62 --endMP 204:752 --enddatetime 2017-10-15T11:55:53 --enforcementcount 0 &gt;&gt;%USERPROFILE%\Documents\GitHub\eaglep3-reporting\EC\2017-10-15-refined-times.txt</v>
      </c>
      <c r="AI170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{"issue":{"subject":"","project_id":79,"tracker_id":40,"status_id":1,"priority_id":2,"assigned_to_id":338,"start_date":"2017-10-15","description":"","custom_fields":[{"id":1,"name":"Subdivision","value":"NW"},{"id":4,"name":"Milepost","value":"0.0752"},{"id":17,"name":"Train ID","value":"1812-15"},{"id":16,"name":"Locomotive ID","value":"4001"},{"id":130,"name":"Impact","value":""},{"id":150,"name":"Time of Event (Mountain Time)","value":"11:55:53"},{"id":151,"name":"Denver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8"/>
        <v>start /low /b %USERPROFILE%\Documents\GitHub\eaglep3\Utilities\DownloadLogsFromS3.py --loco 4001 --day 2017-10-15</v>
      </c>
      <c r="AN170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40"/>
        <v>https://d0f6bd738d7f1b3e5a7ca70fe4ff75f0.us-east-1.aws.found.io/app/kibana#/discover/Steve-Slow-Train-Analysis-(2080s-and-2083s)?_g=(refreshInterval:(display:Off,pause:!f,section:0,value:0),time:(from:'2017-10-15T10:25:10-0600',mode:absolute,to:'2017-10-15T12:55:53-0600'))&amp;_a=(columns:!('Message%20ID',Summary),filters:!(),index:'emp_*',interval:auto,query:(query_string:(analyze_wildcard:!t,query:'%22rtdc.l.rtdc.4001%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712</v>
      </c>
      <c r="B171" s="7">
        <v>4002</v>
      </c>
      <c r="C171" s="21" t="s">
        <v>194</v>
      </c>
      <c r="D171" s="21" t="s">
        <v>868</v>
      </c>
      <c r="E171" s="13">
        <v>43023.504652777781</v>
      </c>
      <c r="F171" s="13">
        <v>43023.506851851853</v>
      </c>
      <c r="G171" s="7">
        <v>66</v>
      </c>
      <c r="H171" s="21" t="s">
        <v>559</v>
      </c>
      <c r="I171" s="13">
        <v>43023.516504629632</v>
      </c>
      <c r="J171" s="7">
        <v>0</v>
      </c>
      <c r="K171" s="89" t="str">
        <f>IF(ISEVEN(B171),(B171-1)&amp;"/"&amp;B171,B171&amp;"/"&amp;(B171+1))</f>
        <v>4001/4002</v>
      </c>
      <c r="L171" s="185" t="str">
        <f>VLOOKUP(A171,'Trips&amp;Operators'!$C$1:$G$99911,5,FALSE)</f>
        <v>MACDONALD THOMAS</v>
      </c>
      <c r="M171" s="6">
        <f>I171-F171</f>
        <v>9.6527777786832303E-3</v>
      </c>
      <c r="N171" s="7">
        <f>24*60*SUM($M171:$M171)</f>
        <v>13.900000001303852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-15T11:06:42-0600',mode:absolute,to:'2017-10-15T13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0.1023</v>
      </c>
      <c r="Z171" s="204">
        <f>RIGHT(H171,LEN(H171)-4)/10000</f>
        <v>5.8921999999999999</v>
      </c>
      <c r="AA171" s="204">
        <f>ABS(Z171-Y171)</f>
        <v>5.7899000000000003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1813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/stypes="app*4002*20171015*" /stext=" 18:.+((SYSTEM_STATE.+slice.+state.+changed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36"/>
        <v>"%USERPROFILE%\Documents\GitHub\eaglep3\Utilities\RefineRTDCRunTimes.py" --tripid 1813-15 --locoid 4002 --swversion DE.1.0.9.0 --startMP 204:1023 --initTime 2017-10-15T12:06:42 --startdatetime 2017-10-15T12:09:52 --delay 66 --endMP 300:58922 --enddatetime 2017-10-15T12:23:46 --enforcementcount 0 &gt;&gt;%USERPROFILE%\Documents\GitHub\eaglep3-reporting\EC\2017-10-15-refined-times.txt</v>
      </c>
      <c r="AI171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{"issue":{"subject":"","project_id":79,"tracker_id":40,"status_id":1,"priority_id":2,"assigned_to_id":338,"start_date":"2017-10-15","description":"","custom_fields":[{"id":1,"name":"Subdivision","value":"NW"},{"id":4,"name":"Milepost","value":"5.8922"},{"id":17,"name":"Train ID","value":"1813-15"},{"id":16,"name":"Locomotive ID","value":"4002"},{"id":130,"name":"Impact","value":""},{"id":150,"name":"Time of Event (Mountain Time)","value":"12:23:46"},{"id":151,"name":"Denver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8"/>
        <v>start /low /b %USERPROFILE%\Documents\GitHub\eaglep3\Utilities\DownloadLogsFromS3.py --loco 4002 --day 2017-10-15</v>
      </c>
      <c r="AN171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40"/>
        <v>https://d0f6bd738d7f1b3e5a7ca70fe4ff75f0.us-east-1.aws.found.io/app/kibana#/discover/Steve-Slow-Train-Analysis-(2080s-and-2083s)?_g=(refreshInterval:(display:Off,pause:!f,section:0,value:0),time:(from:'2017-10-15T11:06:42-0600',mode:absolute,to:'2017-10-15T13:23:46-0600'))&amp;_a=(columns:!('Message%20ID',Summary),filters:!(),index:'emp_*',interval:auto,query:(query_string:(analyze_wildcard:!t,query:'%22rtdc.l.rtdc.4002%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719</v>
      </c>
      <c r="B172" s="7">
        <v>4001</v>
      </c>
      <c r="C172" s="21" t="s">
        <v>194</v>
      </c>
      <c r="D172" s="21" t="s">
        <v>869</v>
      </c>
      <c r="E172" s="13">
        <v>43023.518877314818</v>
      </c>
      <c r="F172" s="13">
        <v>43023.529861111114</v>
      </c>
      <c r="G172" s="7">
        <v>45</v>
      </c>
      <c r="H172" s="21" t="s">
        <v>870</v>
      </c>
      <c r="I172" s="13">
        <v>43023.540914351855</v>
      </c>
      <c r="J172" s="7">
        <v>0</v>
      </c>
      <c r="K172" s="89" t="str">
        <f>IF(ISEVEN(B172),(B172-1)&amp;"/"&amp;B172,B172&amp;"/"&amp;(B172+1))</f>
        <v>4001/4002</v>
      </c>
      <c r="L172" s="185" t="str">
        <f>VLOOKUP(A172,'Trips&amp;Operators'!$C$1:$G$99911,5,FALSE)</f>
        <v>MACDONALD THOMAS</v>
      </c>
      <c r="M172" s="6">
        <f>I172-F172</f>
        <v>1.1053240741603076E-2</v>
      </c>
      <c r="N172" s="7">
        <f>24*60*SUM($M172:$M172)</f>
        <v>15.91666666790843</v>
      </c>
      <c r="O172" s="7"/>
      <c r="P172" s="7"/>
      <c r="Q172" s="22"/>
      <c r="R172" s="174" t="s">
        <v>988</v>
      </c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-15T11:27:11-0600',mode:absolute,to:'2017-10-15T13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5.8406000000000002</v>
      </c>
      <c r="Z172" s="204">
        <f>RIGHT(H172,LEN(H172)-4)/10000</f>
        <v>6.6600000000000006E-2</v>
      </c>
      <c r="AA172" s="204">
        <f>ABS(Z172-Y172)</f>
        <v>5.774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1814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/stypes="app*4001*20171015*" /stext=" 18:.+((SYSTEM_STATE.+slice.+state.+changed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36"/>
        <v>"%USERPROFILE%\Documents\GitHub\eaglep3\Utilities\RefineRTDCRunTimes.py" --tripid 1814-15 --locoid 4001 --swversion DE.1.0.9.0 --startMP 300:58406 --initTime 2017-10-15T12:27:11 --startdatetime 2017-10-15T12:43:00 --delay 45 --endMP 204:666 --enddatetime 2017-10-15T12:58:55 --enforcementcount 0 &gt;&gt;%USERPROFILE%\Documents\GitHub\eaglep3-reporting\EC\2017-10-15-refined-times.txt</v>
      </c>
      <c r="AI172" s="96" t="str">
        <f t="shared" si="37"/>
        <v>echo {"issue":{"subject":"Observed TRACK WARRANT red fence due to reverser handle in neutral","project_id":79,"tracker_id":40,"status_id":1,"priority_id":2,"assigned_to_id":338,"start_date":"2017-10-15","description":"","custom_fields":[{"id":1,"name":"Subdivision","value":"NW"},{"id":4,"name":"Milepost","value":"0.0666"},{"id":17,"name":"Train ID","value":"1814-15"},{"id":16,"name":"Locomotive ID","value":"4001"},{"id":130,"name":"Impact","value":""},{"id":150,"name":"Time of Event (Mountain Time)","value":"12:58:55"},{"id":151,"name":"Denver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8"/>
        <v>start /low /b %USERPROFILE%\Documents\GitHub\eaglep3\Utilities\DownloadLogsFromS3.py --loco 4001 --day 2017-10-15</v>
      </c>
      <c r="AN172" s="151" t="str">
        <f t="shared" si="39"/>
        <v>echo {"issue":{"subject":"Observed TRACK WARRANT red fence due to reverser handle in neutral","project_id":30,"tracker_id":4,"status_id":1,"priority_id":1,"assigned_to_id":10,"start_date":"2017-10-15","description":"","custom_fields":[{"id":30,"name":"Category","value":"Issue"},{"id":3,"name":"Functional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18:58:55"},{"id":29,"name":"Sharepoint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40"/>
        <v>https://d0f6bd738d7f1b3e5a7ca70fe4ff75f0.us-east-1.aws.found.io/app/kibana#/discover/Steve-Slow-Train-Analysis-(2080s-and-2083s)?_g=(refreshInterval:(display:Off,pause:!f,section:0,value:0),time:(from:'2017-10-15T11:27:11-0600',mode:absolute,to:'2017-10-15T13:58:55-0600'))&amp;_a=(columns:!('Message%20ID',Summary),filters:!(),index:'emp_*',interval:auto,query:(query_string:(analyze_wildcard:!t,query:'%22rtdc.l.rtdc.4001%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725</v>
      </c>
      <c r="B173" s="7">
        <v>4002</v>
      </c>
      <c r="C173" s="21" t="s">
        <v>194</v>
      </c>
      <c r="D173" s="21" t="s">
        <v>557</v>
      </c>
      <c r="E173" s="13">
        <v>43023.546469907407</v>
      </c>
      <c r="F173" s="13">
        <v>43023.549270833333</v>
      </c>
      <c r="G173" s="7">
        <v>59</v>
      </c>
      <c r="H173" s="21" t="s">
        <v>871</v>
      </c>
      <c r="I173" s="13">
        <v>43023.558831018519</v>
      </c>
      <c r="J173" s="7">
        <v>0</v>
      </c>
      <c r="K173" s="89" t="str">
        <f>IF(ISEVEN(B173),(B173-1)&amp;"/"&amp;B173,B173&amp;"/"&amp;(B173+1))</f>
        <v>4001/4002</v>
      </c>
      <c r="L173" s="185" t="str">
        <f>VLOOKUP(A173,'Trips&amp;Operators'!$C$1:$G$99911,5,FALSE)</f>
        <v>MACDONALD THOMAS</v>
      </c>
      <c r="M173" s="6">
        <f>I173-F173</f>
        <v>9.560185186273884E-3</v>
      </c>
      <c r="N173" s="7">
        <f>24*60*SUM($M173:$M173)</f>
        <v>13.766666668234393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-15T12:06:55-0600',mode:absolute,to:'2017-10-15T14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204" t="str">
        <f>IF(AA173&lt;VLOOKUP(AG173,Variables!$AC$3:$AD$8,2,FALSE),"Y","N")</f>
        <v>N</v>
      </c>
      <c r="X173" s="204">
        <f t="shared" ref="X173:X176" si="60">VALUE(LEFT(AD173,4))-VALUE(LEFT(AD172,4))</f>
        <v>1</v>
      </c>
      <c r="Y173" s="204">
        <f>RIGHT(D173,LEN(D173)-4)/10000</f>
        <v>9.74E-2</v>
      </c>
      <c r="Z173" s="204">
        <f>RIGHT(H173,LEN(H173)-4)/10000</f>
        <v>5.8895999999999997</v>
      </c>
      <c r="AA173" s="204">
        <f>ABS(Z173-Y173)</f>
        <v>5.7921999999999993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1815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/stypes="app*4002*20171015*" /stext=" 19:.+((SYSTEM_STATE.+slice.+state.+changed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36"/>
        <v>"%USERPROFILE%\Documents\GitHub\eaglep3\Utilities\RefineRTDCRunTimes.py" --tripid 1815-15 --locoid 4002 --swversion DE.1.0.9.0 --startMP 204:974 --initTime 2017-10-15T13:06:55 --startdatetime 2017-10-15T13:10:57 --delay 59 --endMP 300:58896 --enddatetime 2017-10-15T13:24:43 --enforcementcount 0 &gt;&gt;%USERPROFILE%\Documents\GitHub\eaglep3-reporting\EC\2017-10-15-refined-times.txt</v>
      </c>
      <c r="AI173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{"issue":{"subject":"","project_id":79,"tracker_id":40,"status_id":1,"priority_id":2,"assigned_to_id":338,"start_date":"2017-10-15","description":"","custom_fields":[{"id":1,"name":"Subdivision","value":"NW"},{"id":4,"name":"Milepost","value":"5.8896"},{"id":17,"name":"Train ID","value":"1815-15"},{"id":16,"name":"Locomotive ID","value":"4002"},{"id":130,"name":"Impact","value":""},{"id":150,"name":"Time of Event (Mountain Time)","value":"13:24:43"},{"id":151,"name":"Denver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8"/>
        <v>start /low /b %USERPROFILE%\Documents\GitHub\eaglep3\Utilities\DownloadLogsFromS3.py --loco 4002 --day 2017-10-15</v>
      </c>
      <c r="AN173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40"/>
        <v>https://d0f6bd738d7f1b3e5a7ca70fe4ff75f0.us-east-1.aws.found.io/app/kibana#/discover/Steve-Slow-Train-Analysis-(2080s-and-2083s)?_g=(refreshInterval:(display:Off,pause:!f,section:0,value:0),time:(from:'2017-10-15T12:06:55-0600',mode:absolute,to:'2017-10-15T14:24:43-0600'))&amp;_a=(columns:!('Message%20ID',Summary),filters:!(),index:'emp_*',interval:auto,query:(query_string:(analyze_wildcard:!t,query:'%22rtdc.l.rtdc.4002%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729</v>
      </c>
      <c r="B174" s="7">
        <v>4001</v>
      </c>
      <c r="C174" s="21" t="s">
        <v>194</v>
      </c>
      <c r="D174" s="21" t="s">
        <v>872</v>
      </c>
      <c r="E174" s="13">
        <v>43023.560358796298</v>
      </c>
      <c r="F174" s="13">
        <v>43023.571527777778</v>
      </c>
      <c r="G174" s="7">
        <v>57</v>
      </c>
      <c r="H174" s="21" t="s">
        <v>873</v>
      </c>
      <c r="I174" s="13">
        <v>43023.580289351848</v>
      </c>
      <c r="J174" s="7">
        <v>0</v>
      </c>
      <c r="K174" s="89" t="str">
        <f>IF(ISEVEN(B174),(B174-1)&amp;"/"&amp;B174,B174&amp;"/"&amp;(B174+1))</f>
        <v>4001/4002</v>
      </c>
      <c r="L174" s="185" t="str">
        <f>VLOOKUP(A174,'Trips&amp;Operators'!$C$1:$G$99911,5,FALSE)</f>
        <v>MACDONALD THOMAS</v>
      </c>
      <c r="M174" s="6">
        <f>I174-F174</f>
        <v>8.7615740703768097E-3</v>
      </c>
      <c r="N174" s="7">
        <f>24*60*SUM($M174:$M174)</f>
        <v>12.616666661342606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-15T12:26:55-0600',mode:absolute,to:'2017-10-15T14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204" t="str">
        <f>IF(AA174&lt;VLOOKUP(AG174,Variables!$AC$3:$AD$8,2,FALSE),"Y","N")</f>
        <v>N</v>
      </c>
      <c r="X174" s="204">
        <f t="shared" si="60"/>
        <v>1</v>
      </c>
      <c r="Y174" s="204">
        <f>RIGHT(D174,LEN(D174)-4)/10000</f>
        <v>5.8577000000000004</v>
      </c>
      <c r="Z174" s="204">
        <f>RIGHT(H174,LEN(H174)-4)/10000</f>
        <v>7.3300000000000004E-2</v>
      </c>
      <c r="AA174" s="204">
        <f>ABS(Z174-Y174)</f>
        <v>5.7844000000000007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1816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/stypes="app*4001*20171015*" /stext=" 19:.+((SYSTEM_STATE.+slice.+state.+changed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36"/>
        <v>"%USERPROFILE%\Documents\GitHub\eaglep3\Utilities\RefineRTDCRunTimes.py" --tripid 1816-15 --locoid 4001 --swversion DE.1.0.9.0 --startMP 300:58577 --initTime 2017-10-15T13:26:55 --startdatetime 2017-10-15T13:43:00 --delay 57 --endMP 204:733 --enddatetime 2017-10-15T13:55:37 --enforcementcount 0 &gt;&gt;%USERPROFILE%\Documents\GitHub\eaglep3-reporting\EC\2017-10-15-refined-times.txt</v>
      </c>
      <c r="AI174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{"issue":{"subject":"","project_id":79,"tracker_id":40,"status_id":1,"priority_id":2,"assigned_to_id":338,"start_date":"2017-10-15","description":"","custom_fields":[{"id":1,"name":"Subdivision","value":"NW"},{"id":4,"name":"Milepost","value":"0.0733"},{"id":17,"name":"Train ID","value":"1816-15"},{"id":16,"name":"Locomotive ID","value":"4001"},{"id":130,"name":"Impact","value":""},{"id":150,"name":"Time of Event (Mountain Time)","value":"13:55:37"},{"id":151,"name":"Denver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8"/>
        <v>start /low /b %USERPROFILE%\Documents\GitHub\eaglep3\Utilities\DownloadLogsFromS3.py --loco 4001 --day 2017-10-15</v>
      </c>
      <c r="AN174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19:55:37"},{"id":29,"name":"Sharepoint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40"/>
        <v>https://d0f6bd738d7f1b3e5a7ca70fe4ff75f0.us-east-1.aws.found.io/app/kibana#/discover/Steve-Slow-Train-Analysis-(2080s-and-2083s)?_g=(refreshInterval:(display:Off,pause:!f,section:0,value:0),time:(from:'2017-10-15T12:26:55-0600',mode:absolute,to:'2017-10-15T14:55:37-0600'))&amp;_a=(columns:!('Message%20ID',Summary),filters:!(),index:'emp_*',interval:auto,query:(query_string:(analyze_wildcard:!t,query:'%22rtdc.l.rtdc.4001%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576</v>
      </c>
      <c r="B175" s="7">
        <v>4002</v>
      </c>
      <c r="C175" s="21" t="s">
        <v>194</v>
      </c>
      <c r="D175" s="21" t="s">
        <v>872</v>
      </c>
      <c r="E175" s="13">
        <v>43023.560358796298</v>
      </c>
      <c r="F175" s="13">
        <v>43023.590127314812</v>
      </c>
      <c r="G175" s="7">
        <v>57</v>
      </c>
      <c r="H175" s="21" t="s">
        <v>873</v>
      </c>
      <c r="I175" s="13">
        <v>43023.599872685183</v>
      </c>
      <c r="J175" s="7">
        <v>0</v>
      </c>
      <c r="K175" s="89" t="str">
        <f>IF(ISEVEN(B175),(B175-1)&amp;"/"&amp;B175,B175&amp;"/"&amp;(B175+1))</f>
        <v>4001/4002</v>
      </c>
      <c r="L175" s="185" t="str">
        <f>VLOOKUP(A175,'Trips&amp;Operators'!$C$1:$G$99911,5,FALSE)</f>
        <v>KILLION DAVID</v>
      </c>
      <c r="M175" s="6">
        <f>I175-F175</f>
        <v>9.7453703710925765E-3</v>
      </c>
      <c r="N175" s="7">
        <f>24*60*SUM($M175:$M175)</f>
        <v>14.03333333437331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-15T12:26:55-0600',mode:absolute,to:'2017-10-15T15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204" t="str">
        <f>IF(AA175&lt;VLOOKUP(AG175,Variables!$AC$3:$AD$8,2,FALSE),"Y","N")</f>
        <v>N</v>
      </c>
      <c r="X175" s="204">
        <f t="shared" si="60"/>
        <v>1</v>
      </c>
      <c r="Y175" s="204">
        <v>9.74E-2</v>
      </c>
      <c r="Z175" s="204">
        <v>5.8895999999999997</v>
      </c>
      <c r="AA175" s="204">
        <f>ABS(Z175-Y175)</f>
        <v>5.7921999999999993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1817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/stypes="app*4002*20171015*" /stext=" 20:.+((SYSTEM_STATE.+slice.+state.+changed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ref="AH175" si="61"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1817-15 --locoid 4002 --swversion DE.1.0.9.0 --startMP 300:58577 --initTime 2017-10-15T13:26:55 --startdatetime 2017-10-15T14:09:47 --delay 57 --endMP 204:733 --enddatetime 2017-10-15T14:23:49 --enforcementcount 0 &gt;&gt;%USERPROFILE%\Documents\GitHub\eaglep3-reporting\EC\2017-10-15-refined-times.txt</v>
      </c>
      <c r="AI175" s="96" t="str">
        <f t="shared" ref="AI175" si="62"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{"issue":{"subject":"","project_id":79,"tracker_id":40,"status_id":1,"priority_id":2,"assigned_to_id":338,"start_date":"2017-10-15","description":"","custom_fields":[{"id":1,"name":"Subdivision","value":"NW"},{"id":4,"name":"Milepost","value":"5.8896"},{"id":17,"name":"Train ID","value":"1817-15"},{"id":16,"name":"Locomotive ID","value":"4002"},{"id":130,"name":"Impact","value":""},{"id":150,"name":"Time of Event (Mountain Time)","value":"14:23:49"},{"id":151,"name":"Denver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ref="AM175" si="63">"start /low /b "&amp;dls3logs&amp;" --loco "&amp;B175&amp;" --day "&amp;TEXT(F175,"YYYY-MM-DD")</f>
        <v>start /low /b %USERPROFILE%\Documents\GitHub\eaglep3\Utilities\DownloadLogsFromS3.py --loco 4002 --day 2017-10-15</v>
      </c>
      <c r="AN175" s="151" t="str">
        <f t="shared" ref="AN175" si="64"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ref="AO175" si="65"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Message%20ID',Summary),filters:!(),index:'emp_*',interval:auto,query:"&amp;"(query_string:(analyze_wildcard:!t,query:'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-15T12:26:55-0600',mode:absolute,to:'2017-10-15T15:23:49-0600'))&amp;_a=(columns:!('Message%20ID',Summary),filters:!(),index:'emp_*',interval:auto,query:(query_string:(analyze_wildcard:!t,query:'%22rtdc.l.rtdc.4002%22')),sort:!(Time.ISO8601,asc))</v>
      </c>
    </row>
    <row r="176" spans="1:91" s="20" customFormat="1" x14ac:dyDescent="0.25">
      <c r="A176" s="32" t="s">
        <v>740</v>
      </c>
      <c r="B176" s="7">
        <v>4001</v>
      </c>
      <c r="C176" s="21" t="s">
        <v>194</v>
      </c>
      <c r="D176" s="21" t="s">
        <v>874</v>
      </c>
      <c r="E176" s="13">
        <v>43023.60837962963</v>
      </c>
      <c r="F176" s="13">
        <v>43023.610324074078</v>
      </c>
      <c r="G176" s="7">
        <v>70</v>
      </c>
      <c r="H176" s="21" t="s">
        <v>558</v>
      </c>
      <c r="I176" s="13">
        <v>43023.62190972222</v>
      </c>
      <c r="J176" s="7">
        <v>0</v>
      </c>
      <c r="K176" s="89" t="str">
        <f>IF(ISEVEN(B176),(B176-1)&amp;"/"&amp;B176,B176&amp;"/"&amp;(B176+1))</f>
        <v>4001/4002</v>
      </c>
      <c r="L176" s="185" t="str">
        <f>VLOOKUP(A176,'Trips&amp;Operators'!$C$1:$G$99911,5,FALSE)</f>
        <v>KILLION DAVID</v>
      </c>
      <c r="M176" s="6">
        <f>I176-F176</f>
        <v>1.1585648142499849E-2</v>
      </c>
      <c r="N176" s="7">
        <f>24*60*SUM($M176:$M176)</f>
        <v>16.683333325199783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-15T13:36:04-0600',mode:absolute,to:'2017-10-15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204" t="str">
        <f>IF(AA176&lt;VLOOKUP(AG176,Variables!$AC$3:$AD$8,2,FALSE),"Y","N")</f>
        <v>N</v>
      </c>
      <c r="X176" s="204">
        <f t="shared" si="60"/>
        <v>1</v>
      </c>
      <c r="Y176" s="204">
        <f>RIGHT(D176,LEN(D176)-4)/10000</f>
        <v>5.8707000000000003</v>
      </c>
      <c r="Z176" s="204">
        <f>RIGHT(H176,LEN(H176)-4)/10000</f>
        <v>7.0599999999999996E-2</v>
      </c>
      <c r="AA176" s="204">
        <f>ABS(Z176-Y176)</f>
        <v>5.8001000000000005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1818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/stypes="app*4001*20171015*" /stext=" 20:.+((SYSTEM_STATE.+slice.+state.+changed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36"/>
        <v>"%USERPROFILE%\Documents\GitHub\eaglep3\Utilities\RefineRTDCRunTimes.py" --tripid 1818-15 --locoid 4001 --swversion DE.1.0.9.0 --startMP 300:58707 --initTime 2017-10-15T14:36:04 --startdatetime 2017-10-15T14:38:52 --delay 70 --endMP 204:706 --enddatetime 2017-10-15T14:55:33 --enforcementcount 0 &gt;&gt;%USERPROFILE%\Documents\GitHub\eaglep3-reporting\EC\2017-10-15-refined-times.txt</v>
      </c>
      <c r="AI176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{"issue":{"subject":"","project_id":79,"tracker_id":40,"status_id":1,"priority_id":2,"assigned_to_id":338,"start_date":"2017-10-15","description":"","custom_fields":[{"id":1,"name":"Subdivision","value":"NW"},{"id":4,"name":"Milepost","value":"0.0706"},{"id":17,"name":"Train ID","value":"1818-15"},{"id":16,"name":"Locomotive ID","value":"4001"},{"id":130,"name":"Impact","value":""},{"id":150,"name":"Time of Event (Mountain Time)","value":"14:55:33"},{"id":151,"name":"Denver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8"/>
        <v>start /low /b %USERPROFILE%\Documents\GitHub\eaglep3\Utilities\DownloadLogsFromS3.py --loco 4001 --day 2017-10-15</v>
      </c>
      <c r="AN176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40"/>
        <v>https://d0f6bd738d7f1b3e5a7ca70fe4ff75f0.us-east-1.aws.found.io/app/kibana#/discover/Steve-Slow-Train-Analysis-(2080s-and-2083s)?_g=(refreshInterval:(display:Off,pause:!f,section:0,value:0),time:(from:'2017-10-15T13:36:04-0600',mode:absolute,to:'2017-10-15T15:55:33-0600'))&amp;_a=(columns:!('Message%20ID',Summary),filters:!(),index:'emp_*',interval:auto,query:(query_string:(analyze_wildcard:!t,query:'%22rtdc.l.rtdc.4001%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578</v>
      </c>
      <c r="B177" s="7">
        <v>4002</v>
      </c>
      <c r="C177" s="21" t="s">
        <v>194</v>
      </c>
      <c r="D177" s="21" t="s">
        <v>875</v>
      </c>
      <c r="E177" s="13">
        <v>43023.624189814815</v>
      </c>
      <c r="F177" s="13">
        <v>43023.631435185183</v>
      </c>
      <c r="G177" s="7">
        <v>65</v>
      </c>
      <c r="H177" s="21" t="s">
        <v>876</v>
      </c>
      <c r="I177" s="13">
        <v>43023.642060185186</v>
      </c>
      <c r="J177" s="7">
        <v>0</v>
      </c>
      <c r="K177" s="89" t="str">
        <f>IF(ISEVEN(B177),(B177-1)&amp;"/"&amp;B177,B177&amp;"/"&amp;(B177+1))</f>
        <v>4001/4002</v>
      </c>
      <c r="L177" s="185" t="str">
        <f>VLOOKUP(A177,'Trips&amp;Operators'!$C$1:$G$99911,5,FALSE)</f>
        <v>KILLION DAVID</v>
      </c>
      <c r="M177" s="6">
        <f>I177-F177</f>
        <v>1.0625000002619345E-2</v>
      </c>
      <c r="N177" s="7">
        <f>24*60*SUM($M177:$M177)</f>
        <v>15.300000003771856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-15T13:58:50-0600',mode:absolute,to:'2017-10-15T16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9.8500000000000004E-2</v>
      </c>
      <c r="Z177" s="204">
        <f>RIGHT(H177,LEN(H177)-4)/10000</f>
        <v>5.8998999999999997</v>
      </c>
      <c r="AA177" s="204">
        <f>ABS(Z177-Y177)</f>
        <v>5.8014000000000001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1819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/stypes="app*4002*20171015*" /stext=" 21:.+((SYSTEM_STATE.+slice.+state.+changed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36"/>
        <v>"%USERPROFILE%\Documents\GitHub\eaglep3\Utilities\RefineRTDCRunTimes.py" --tripid 1819-15 --locoid 4002 --swversion DE.1.0.9.0 --startMP 204:985 --initTime 2017-10-15T14:58:50 --startdatetime 2017-10-15T15:09:16 --delay 65 --endMP 300:58999 --enddatetime 2017-10-15T15:24:34 --enforcementcount 0 &gt;&gt;%USERPROFILE%\Documents\GitHub\eaglep3-reporting\EC\2017-10-15-refined-times.txt</v>
      </c>
      <c r="AI177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{"issue":{"subject":"","project_id":79,"tracker_id":40,"status_id":1,"priority_id":2,"assigned_to_id":338,"start_date":"2017-10-15","description":"","custom_fields":[{"id":1,"name":"Subdivision","value":"NW"},{"id":4,"name":"Milepost","value":"5.8999"},{"id":17,"name":"Train ID","value":"1819-15"},{"id":16,"name":"Locomotive ID","value":"4002"},{"id":130,"name":"Impact","value":""},{"id":150,"name":"Time of Event (Mountain Time)","value":"15:24:34"},{"id":151,"name":"Denver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8"/>
        <v>start /low /b %USERPROFILE%\Documents\GitHub\eaglep3\Utilities\DownloadLogsFromS3.py --loco 4002 --day 2017-10-15</v>
      </c>
      <c r="AN177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40"/>
        <v>https://d0f6bd738d7f1b3e5a7ca70fe4ff75f0.us-east-1.aws.found.io/app/kibana#/discover/Steve-Slow-Train-Analysis-(2080s-and-2083s)?_g=(refreshInterval:(display:Off,pause:!f,section:0,value:0),time:(from:'2017-10-15T13:58:50-0600',mode:absolute,to:'2017-10-15T16:24:34-0600'))&amp;_a=(columns:!('Message%20ID',Summary),filters:!(),index:'emp_*',interval:auto,query:(query_string:(analyze_wildcard:!t,query:'%22rtdc.l.rtdc.4002%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749</v>
      </c>
      <c r="B178" s="7">
        <v>4001</v>
      </c>
      <c r="C178" s="21" t="s">
        <v>194</v>
      </c>
      <c r="D178" s="21" t="s">
        <v>874</v>
      </c>
      <c r="E178" s="13">
        <v>43023.650335648148</v>
      </c>
      <c r="F178" s="13">
        <v>43023.651782407411</v>
      </c>
      <c r="G178" s="7">
        <v>65</v>
      </c>
      <c r="H178" s="21" t="s">
        <v>877</v>
      </c>
      <c r="I178" s="13">
        <v>43023.663055555553</v>
      </c>
      <c r="J178" s="7">
        <v>0</v>
      </c>
      <c r="K178" s="89" t="str">
        <f>IF(ISEVEN(B178),(B178-1)&amp;"/"&amp;B178,B178&amp;"/"&amp;(B178+1))</f>
        <v>4001/4002</v>
      </c>
      <c r="L178" s="185" t="str">
        <f>VLOOKUP(A178,'Trips&amp;Operators'!$C$1:$G$99911,5,FALSE)</f>
        <v>KILLION DAVID</v>
      </c>
      <c r="M178" s="6">
        <f>I178-F178</f>
        <v>1.1273148142208811E-2</v>
      </c>
      <c r="N178" s="7">
        <f>24*60*SUM($M178:$M178)</f>
        <v>16.233333324780688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-15T14:36:29-0600',mode:absolute,to:'2017-10-15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5.8707000000000003</v>
      </c>
      <c r="Z178" s="204">
        <f>RIGHT(H178,LEN(H178)-4)/10000</f>
        <v>8.8700000000000001E-2</v>
      </c>
      <c r="AA178" s="204">
        <f>ABS(Z178-Y178)</f>
        <v>5.782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1820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/stypes="app*4001*20171015*" /stext=" 21:.+((SYSTEM_STATE.+slice.+state.+changed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36"/>
        <v>"%USERPROFILE%\Documents\GitHub\eaglep3\Utilities\RefineRTDCRunTimes.py" --tripid 1820-15 --locoid 4001 --swversion DE.1.0.9.0 --startMP 300:58707 --initTime 2017-10-15T15:36:29 --startdatetime 2017-10-15T15:38:34 --delay 65 --endMP 204:887 --enddatetime 2017-10-15T15:54:48 --enforcementcount 0 &gt;&gt;%USERPROFILE%\Documents\GitHub\eaglep3-reporting\EC\2017-10-15-refined-times.txt</v>
      </c>
      <c r="AI178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{"issue":{"subject":"","project_id":79,"tracker_id":40,"status_id":1,"priority_id":2,"assigned_to_id":338,"start_date":"2017-10-15","description":"","custom_fields":[{"id":1,"name":"Subdivision","value":"NW"},{"id":4,"name":"Milepost","value":"0.0887"},{"id":17,"name":"Train ID","value":"1820-15"},{"id":16,"name":"Locomotive ID","value":"4001"},{"id":130,"name":"Impact","value":""},{"id":150,"name":"Time of Event (Mountain Time)","value":"15:54:48"},{"id":151,"name":"Denver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8"/>
        <v>start /low /b %USERPROFILE%\Documents\GitHub\eaglep3\Utilities\DownloadLogsFromS3.py --loco 4001 --day 2017-10-15</v>
      </c>
      <c r="AN178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40"/>
        <v>https://d0f6bd738d7f1b3e5a7ca70fe4ff75f0.us-east-1.aws.found.io/app/kibana#/discover/Steve-Slow-Train-Analysis-(2080s-and-2083s)?_g=(refreshInterval:(display:Off,pause:!f,section:0,value:0),time:(from:'2017-10-15T14:36:29-0600',mode:absolute,to:'2017-10-15T16:54:48-0600'))&amp;_a=(columns:!('Message%20ID',Summary),filters:!(),index:'emp_*',interval:auto,query:(query_string:(analyze_wildcard:!t,query:'%22rtdc.l.rtdc.4001%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579</v>
      </c>
      <c r="B179" s="7">
        <v>4002</v>
      </c>
      <c r="C179" s="21" t="s">
        <v>194</v>
      </c>
      <c r="D179" s="21" t="s">
        <v>874</v>
      </c>
      <c r="E179" s="13">
        <v>43023.650335648148</v>
      </c>
      <c r="F179" s="13">
        <v>43023.673125000001</v>
      </c>
      <c r="G179" s="7">
        <v>65</v>
      </c>
      <c r="H179" s="21" t="s">
        <v>877</v>
      </c>
      <c r="I179" s="13">
        <v>43023.682893518519</v>
      </c>
      <c r="J179" s="7">
        <v>0</v>
      </c>
      <c r="K179" s="89" t="str">
        <f>IF(ISEVEN(B179),(B179-1)&amp;"/"&amp;B179,B179&amp;"/"&amp;(B179+1))</f>
        <v>4001/4002</v>
      </c>
      <c r="L179" s="185" t="str">
        <f>VLOOKUP(A179,'Trips&amp;Operators'!$C$1:$G$99911,5,FALSE)</f>
        <v>KILLION DAVID</v>
      </c>
      <c r="M179" s="6">
        <f>I179-F179</f>
        <v>9.7685185173759237E-3</v>
      </c>
      <c r="N179" s="7">
        <f>24*60*SUM($M179:$M179)</f>
        <v>14.06666666502133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-15T14:36:29-0600',mode:absolute,to:'2017-10-15T17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v>9.8500000000000004E-2</v>
      </c>
      <c r="Z179" s="204">
        <v>5.8998999999999997</v>
      </c>
      <c r="AA179" s="204">
        <f>ABS(Z179-Y179)</f>
        <v>5.8014000000000001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1821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/stypes="app*4002*20171015*" /stext=" 22:.+((SYSTEM_STATE.+slice.+state.+changed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ref="AH179" si="66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1821-15 --locoid 4002 --swversion DE.1.0.9.0 --startMP 300:58707 --initTime 2017-10-15T15:36:29 --startdatetime 2017-10-15T16:09:18 --delay 65 --endMP 204:887 --enddatetime 2017-10-15T16:23:22 --enforcementcount 0 &gt;&gt;%USERPROFILE%\Documents\GitHub\eaglep3-reporting\EC\2017-10-15-refined-times.txt</v>
      </c>
      <c r="AI179" s="96" t="str">
        <f t="shared" ref="AI179" si="67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{"issue":{"subject":"","project_id":79,"tracker_id":40,"status_id":1,"priority_id":2,"assigned_to_id":338,"start_date":"2017-10-15","description":"","custom_fields":[{"id":1,"name":"Subdivision","value":"NW"},{"id":4,"name":"Milepost","value":"5.8999"},{"id":17,"name":"Train ID","value":"1821-15"},{"id":16,"name":"Locomotive ID","value":"4002"},{"id":130,"name":"Impact","value":""},{"id":150,"name":"Time of Event (Mountain Time)","value":"16:23:22"},{"id":151,"name":"Denver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ref="AM179" si="68">"start /low /b "&amp;dls3logs&amp;" --loco "&amp;B179&amp;" --day "&amp;TEXT(F179,"YYYY-MM-DD")</f>
        <v>start /low /b %USERPROFILE%\Documents\GitHub\eaglep3\Utilities\DownloadLogsFromS3.py --loco 4002 --day 2017-10-15</v>
      </c>
      <c r="AN179" s="151" t="str">
        <f t="shared" ref="AN179" si="69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ref="AO179" si="70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-15T14:36:29-0600',mode:absolute,to:'2017-10-15T17:23:22-0600'))&amp;_a=(columns:!('Message%20ID',Summary),filters:!(),index:'emp_*',interval:auto,query:(query_string:(analyze_wildcard:!t,query:'%22rtdc.l.rtdc.4002%22')),sort:!(Time.ISO8601,asc))</v>
      </c>
    </row>
    <row r="180" spans="1:91" s="20" customFormat="1" x14ac:dyDescent="0.25">
      <c r="A180" s="32" t="s">
        <v>758</v>
      </c>
      <c r="B180" s="7">
        <v>4001</v>
      </c>
      <c r="C180" s="21" t="s">
        <v>194</v>
      </c>
      <c r="D180" s="21" t="s">
        <v>552</v>
      </c>
      <c r="E180" s="13">
        <v>43023.68414351852</v>
      </c>
      <c r="F180" s="13">
        <v>43023.692696759259</v>
      </c>
      <c r="G180" s="7">
        <v>60</v>
      </c>
      <c r="H180" s="21" t="s">
        <v>556</v>
      </c>
      <c r="I180" s="13">
        <v>43023.706331018519</v>
      </c>
      <c r="J180" s="7">
        <v>0</v>
      </c>
      <c r="K180" s="89" t="str">
        <f>IF(ISEVEN(B180),(B180-1)&amp;"/"&amp;B180,B180&amp;"/"&amp;(B180+1))</f>
        <v>4001/4002</v>
      </c>
      <c r="L180" s="185" t="str">
        <f>VLOOKUP(A180,'Trips&amp;Operators'!$C$1:$G$99911,5,FALSE)</f>
        <v>KILLION DAVID</v>
      </c>
      <c r="M180" s="6">
        <f>I180-F180</f>
        <v>1.3634259259561077E-2</v>
      </c>
      <c r="N180" s="7">
        <f>24*60*SUM($M180:$M180)</f>
        <v>19.633333333767951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-15T15:25:10-0600',mode:absolute,to:'2017-10-15T17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204" t="str">
        <f>IF(AA180&lt;VLOOKUP(AG180,Variables!$AC$3:$AD$8,2,FALSE),"Y","N")</f>
        <v>N</v>
      </c>
      <c r="X180" s="204">
        <f t="shared" ref="X180:X181" si="71">VALUE(LEFT(AD180,4))-VALUE(LEFT(AD179,4))</f>
        <v>1</v>
      </c>
      <c r="Y180" s="204">
        <f>RIGHT(D180,LEN(D180)-4)/10000</f>
        <v>5.8696000000000002</v>
      </c>
      <c r="Z180" s="204">
        <f>RIGHT(H180,LEN(H180)-4)/10000</f>
        <v>7.1199999999999999E-2</v>
      </c>
      <c r="AA180" s="204">
        <f>ABS(Z180-Y180)</f>
        <v>5.7984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1822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/stypes="app*4001*20171015*" /stext=" 22:.+((SYSTEM_STATE.+slice.+state.+changed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36"/>
        <v>"%USERPROFILE%\Documents\GitHub\eaglep3\Utilities\RefineRTDCRunTimes.py" --tripid 1822-15 --locoid 4001 --swversion DE.1.0.9.0 --startMP 300:58696 --initTime 2017-10-15T16:25:10 --startdatetime 2017-10-15T16:37:29 --delay 60 --endMP 204:712 --enddatetime 2017-10-15T16:57:07 --enforcementcount 0 &gt;&gt;%USERPROFILE%\Documents\GitHub\eaglep3-reporting\EC\2017-10-15-refined-times.txt</v>
      </c>
      <c r="AI180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{"issue":{"subject":"","project_id":79,"tracker_id":40,"status_id":1,"priority_id":2,"assigned_to_id":338,"start_date":"2017-10-15","description":"","custom_fields":[{"id":1,"name":"Subdivision","value":"NW"},{"id":4,"name":"Milepost","value":"0.0712"},{"id":17,"name":"Train ID","value":"1822-15"},{"id":16,"name":"Locomotive ID","value":"4001"},{"id":130,"name":"Impact","value":""},{"id":150,"name":"Time of Event (Mountain Time)","value":"16:57:07"},{"id":151,"name":"Denver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8"/>
        <v>start /low /b %USERPROFILE%\Documents\GitHub\eaglep3\Utilities\DownloadLogsFromS3.py --loco 4001 --day 2017-10-15</v>
      </c>
      <c r="AN180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40"/>
        <v>https://d0f6bd738d7f1b3e5a7ca70fe4ff75f0.us-east-1.aws.found.io/app/kibana#/discover/Steve-Slow-Train-Analysis-(2080s-and-2083s)?_g=(refreshInterval:(display:Off,pause:!f,section:0,value:0),time:(from:'2017-10-15T15:25:10-0600',mode:absolute,to:'2017-10-15T17:57:07-0600'))&amp;_a=(columns:!('Message%20ID',Summary),filters:!(),index:'emp_*',interval:auto,query:(query_string:(analyze_wildcard:!t,query:'%22rtdc.l.rtdc.4001%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580</v>
      </c>
      <c r="B181" s="7">
        <v>4002</v>
      </c>
      <c r="C181" s="21" t="s">
        <v>194</v>
      </c>
      <c r="D181" s="21" t="s">
        <v>878</v>
      </c>
      <c r="E181" s="13">
        <v>43023.709641203706</v>
      </c>
      <c r="F181" s="13">
        <v>43023.715254629627</v>
      </c>
      <c r="G181" s="7">
        <v>63</v>
      </c>
      <c r="H181" s="21" t="s">
        <v>879</v>
      </c>
      <c r="I181" s="13">
        <v>43023.725682870368</v>
      </c>
      <c r="J181" s="7">
        <v>0</v>
      </c>
      <c r="K181" s="89" t="str">
        <f>IF(ISEVEN(B181),(B181-1)&amp;"/"&amp;B181,B181&amp;"/"&amp;(B181+1))</f>
        <v>4001/4002</v>
      </c>
      <c r="L181" s="185" t="str">
        <f>VLOOKUP(A181,'Trips&amp;Operators'!$C$1:$G$99911,5,FALSE)</f>
        <v>KILLION DAVID</v>
      </c>
      <c r="M181" s="6">
        <f>I181-F181</f>
        <v>1.0428240741021E-2</v>
      </c>
      <c r="N181" s="7">
        <f>24*60*SUM($M181:$M181)</f>
        <v>15.01666666707024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-15T16:01:53-0600',mode:absolute,to:'2017-10-15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204" t="str">
        <f>IF(AA181&lt;VLOOKUP(AG181,Variables!$AC$3:$AD$8,2,FALSE),"Y","N")</f>
        <v>N</v>
      </c>
      <c r="X181" s="204">
        <f t="shared" si="71"/>
        <v>1</v>
      </c>
      <c r="Y181" s="204">
        <f>RIGHT(D181,LEN(D181)-4)/10000</f>
        <v>9.9500000000000005E-2</v>
      </c>
      <c r="Z181" s="204">
        <f>RIGHT(H181,LEN(H181)-4)/10000</f>
        <v>5.8958000000000004</v>
      </c>
      <c r="AA181" s="204">
        <f>ABS(Z181-Y181)</f>
        <v>5.7963000000000005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1823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/stypes="app*4002*20171015*" /stext=" 23:.+((SYSTEM_STATE.+slice.+state.+changed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36"/>
        <v>"%USERPROFILE%\Documents\GitHub\eaglep3\Utilities\RefineRTDCRunTimes.py" --tripid 1823-15 --locoid 4002 --swversion DE.1.0.9.0 --startMP 204:995 --initTime 2017-10-15T17:01:53 --startdatetime 2017-10-15T17:09:58 --delay 63 --endMP 300:58958 --enddatetime 2017-10-15T17:24:59 --enforcementcount 0 &gt;&gt;%USERPROFILE%\Documents\GitHub\eaglep3-reporting\EC\2017-10-15-refined-times.txt</v>
      </c>
      <c r="AI181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{"issue":{"subject":"","project_id":79,"tracker_id":40,"status_id":1,"priority_id":2,"assigned_to_id":338,"start_date":"2017-10-15","description":"","custom_fields":[{"id":1,"name":"Subdivision","value":"NW"},{"id":4,"name":"Milepost","value":"5.8958"},{"id":17,"name":"Train ID","value":"1823-15"},{"id":16,"name":"Locomotive ID","value":"4002"},{"id":130,"name":"Impact","value":""},{"id":150,"name":"Time of Event (Mountain Time)","value":"17:24:59"},{"id":151,"name":"Denver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8"/>
        <v>start /low /b %USERPROFILE%\Documents\GitHub\eaglep3\Utilities\DownloadLogsFromS3.py --loco 4002 --day 2017-10-15</v>
      </c>
      <c r="AN181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40"/>
        <v>https://d0f6bd738d7f1b3e5a7ca70fe4ff75f0.us-east-1.aws.found.io/app/kibana#/discover/Steve-Slow-Train-Analysis-(2080s-and-2083s)?_g=(refreshInterval:(display:Off,pause:!f,section:0,value:0),time:(from:'2017-10-15T16:01:53-0600',mode:absolute,to:'2017-10-15T18:24:59-0600'))&amp;_a=(columns:!('Message%20ID',Summary),filters:!(),index:'emp_*',interval:auto,query:(query_string:(analyze_wildcard:!t,query:'%22rtdc.l.rtdc.4002%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770</v>
      </c>
      <c r="B182" s="7">
        <v>4001</v>
      </c>
      <c r="C182" s="21" t="s">
        <v>194</v>
      </c>
      <c r="D182" s="21" t="s">
        <v>880</v>
      </c>
      <c r="E182" s="13">
        <v>43023.727106481485</v>
      </c>
      <c r="F182" s="13">
        <v>43023.733402777776</v>
      </c>
      <c r="G182" s="7">
        <v>52</v>
      </c>
      <c r="H182" s="21" t="s">
        <v>555</v>
      </c>
      <c r="I182" s="13">
        <v>43023.747060185182</v>
      </c>
      <c r="J182" s="7">
        <v>0</v>
      </c>
      <c r="K182" s="89" t="str">
        <f>IF(ISEVEN(B182),(B182-1)&amp;"/"&amp;B182,B182&amp;"/"&amp;(B182+1))</f>
        <v>4001/4002</v>
      </c>
      <c r="L182" s="185" t="str">
        <f>VLOOKUP(A182,'Trips&amp;Operators'!$C$1:$G$99911,5,FALSE)</f>
        <v>KILLION DAVID</v>
      </c>
      <c r="M182" s="6">
        <f>I182-F182</f>
        <v>1.3657407405844424E-2</v>
      </c>
      <c r="N182" s="7">
        <f>24*60*SUM($M182:$M182)</f>
        <v>19.66666666441597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-15T16:27:02-0600',mode:absolute,to:'2017-10-15T18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5.8712999999999997</v>
      </c>
      <c r="Z182" s="204">
        <f>RIGHT(H182,LEN(H182)-4)/10000</f>
        <v>7.2400000000000006E-2</v>
      </c>
      <c r="AA182" s="204">
        <f>ABS(Z182-Y182)</f>
        <v>5.7988999999999997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1824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/stypes="app*4001*20171015*" /stext=" 23:.+((SYSTEM_STATE.+slice.+state.+changed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36"/>
        <v>"%USERPROFILE%\Documents\GitHub\eaglep3\Utilities\RefineRTDCRunTimes.py" --tripid 1824-15 --locoid 4001 --swversion DE.1.0.9.0 --startMP 300:58713 --initTime 2017-10-15T17:27:02 --startdatetime 2017-10-15T17:36:06 --delay 52 --endMP 204:724 --enddatetime 2017-10-15T17:55:46 --enforcementcount 0 &gt;&gt;%USERPROFILE%\Documents\GitHub\eaglep3-reporting\EC\2017-10-15-refined-times.txt</v>
      </c>
      <c r="AI182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{"issue":{"subject":"","project_id":79,"tracker_id":40,"status_id":1,"priority_id":2,"assigned_to_id":338,"start_date":"2017-10-15","description":"","custom_fields":[{"id":1,"name":"Subdivision","value":"NW"},{"id":4,"name":"Milepost","value":"0.0724"},{"id":17,"name":"Train ID","value":"1824-15"},{"id":16,"name":"Locomotive ID","value":"4001"},{"id":130,"name":"Impact","value":""},{"id":150,"name":"Time of Event (Mountain Time)","value":"17:55:46"},{"id":151,"name":"Denver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38"/>
        <v>start /low /b %USERPROFILE%\Documents\GitHub\eaglep3\Utilities\DownloadLogsFromS3.py --loco 4001 --day 2017-10-15</v>
      </c>
      <c r="AN182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40"/>
        <v>https://d0f6bd738d7f1b3e5a7ca70fe4ff75f0.us-east-1.aws.found.io/app/kibana#/discover/Steve-Slow-Train-Analysis-(2080s-and-2083s)?_g=(refreshInterval:(display:Off,pause:!f,section:0,value:0),time:(from:'2017-10-15T16:27:02-0600',mode:absolute,to:'2017-10-15T18:55:46-0600'))&amp;_a=(columns:!('Message%20ID',Summary),filters:!(),index:'emp_*',interval:auto,query:(query_string:(analyze_wildcard:!t,query:'%22rtdc.l.rtdc.4001%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581</v>
      </c>
      <c r="B183" s="7">
        <v>4002</v>
      </c>
      <c r="C183" s="21" t="s">
        <v>194</v>
      </c>
      <c r="D183" s="21" t="s">
        <v>448</v>
      </c>
      <c r="E183" s="13">
        <v>43023.749351851853</v>
      </c>
      <c r="F183" s="13">
        <v>43023.756458333337</v>
      </c>
      <c r="G183" s="7">
        <v>66</v>
      </c>
      <c r="H183" s="21" t="s">
        <v>881</v>
      </c>
      <c r="I183" s="13">
        <v>43023.766712962963</v>
      </c>
      <c r="J183" s="7">
        <v>0</v>
      </c>
      <c r="K183" s="89" t="str">
        <f>IF(ISEVEN(B183),(B183-1)&amp;"/"&amp;B183,B183&amp;"/"&amp;(B183+1))</f>
        <v>4001/4002</v>
      </c>
      <c r="L183" s="185" t="str">
        <f>VLOOKUP(A183,'Trips&amp;Operators'!$C$1:$G$99911,5,FALSE)</f>
        <v>KILLION DAVID</v>
      </c>
      <c r="M183" s="6">
        <f>I183-F183</f>
        <v>1.0254629625706002E-2</v>
      </c>
      <c r="N183" s="7">
        <f>24*60*SUM($M183:$M183)</f>
        <v>14.766666661016643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-15T16:59:04-0600',mode:absolute,to:'2017-10-15T19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9.7600000000000006E-2</v>
      </c>
      <c r="Z183" s="204">
        <f>RIGHT(H183,LEN(H183)-4)/10000</f>
        <v>5.8144999999999998</v>
      </c>
      <c r="AA183" s="204">
        <f>ABS(Z183-Y183)</f>
        <v>5.7168999999999999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1825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/stypes="app*4002*20171016*" /stext=" 00:.+((SYSTEM_STATE.+slice.+state.+changed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36"/>
        <v>"%USERPROFILE%\Documents\GitHub\eaglep3\Utilities\RefineRTDCRunTimes.py" --tripid 1825-15 --locoid 4002 --swversion DE.1.0.9.0 --startMP 204:976 --initTime 2017-10-15T17:59:04 --startdatetime 2017-10-15T18:09:18 --delay 66 --endMP 300:58145 --enddatetime 2017-10-15T18:24:04 --enforcementcount 0 &gt;&gt;%USERPROFILE%\Documents\GitHub\eaglep3-reporting\EC\2017-10-15-refined-times.txt</v>
      </c>
      <c r="AI183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{"issue":{"subject":"","project_id":79,"tracker_id":40,"status_id":1,"priority_id":2,"assigned_to_id":338,"start_date":"2017-10-15","description":"","custom_fields":[{"id":1,"name":"Subdivision","value":"NW"},{"id":4,"name":"Milepost","value":"5.8145"},{"id":17,"name":"Train ID","value":"1825-15"},{"id":16,"name":"Locomotive ID","value":"4002"},{"id":130,"name":"Impact","value":""},{"id":150,"name":"Time of Event (Mountain Time)","value":"18:24:04"},{"id":151,"name":"Denver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8"/>
        <v>start /low /b %USERPROFILE%\Documents\GitHub\eaglep3\Utilities\DownloadLogsFromS3.py --loco 4002 --day 2017-10-15</v>
      </c>
      <c r="AN183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40"/>
        <v>https://d0f6bd738d7f1b3e5a7ca70fe4ff75f0.us-east-1.aws.found.io/app/kibana#/discover/Steve-Slow-Train-Analysis-(2080s-and-2083s)?_g=(refreshInterval:(display:Off,pause:!f,section:0,value:0),time:(from:'2017-10-15T16:59:04-0600',mode:absolute,to:'2017-10-15T19:24:04-0600'))&amp;_a=(columns:!('Message%20ID',Summary),filters:!(),index:'emp_*',interval:auto,query:(query_string:(analyze_wildcard:!t,query:'%22rtdc.l.rtdc.4002%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778</v>
      </c>
      <c r="B184" s="7">
        <v>4001</v>
      </c>
      <c r="C184" s="21" t="s">
        <v>194</v>
      </c>
      <c r="D184" s="21" t="s">
        <v>882</v>
      </c>
      <c r="E184" s="13">
        <v>43023.768090277779</v>
      </c>
      <c r="F184" s="13">
        <v>43023.775856481479</v>
      </c>
      <c r="G184" s="7">
        <v>62</v>
      </c>
      <c r="H184" s="21" t="s">
        <v>550</v>
      </c>
      <c r="I184" s="13">
        <v>43023.788495370369</v>
      </c>
      <c r="J184" s="7">
        <v>0</v>
      </c>
      <c r="K184" s="89" t="str">
        <f>IF(ISEVEN(B184),(B184-1)&amp;"/"&amp;B184,B184&amp;"/"&amp;(B184+1))</f>
        <v>4001/4002</v>
      </c>
      <c r="L184" s="185" t="str">
        <f>VLOOKUP(A184,'Trips&amp;Operators'!$C$1:$G$99911,5,FALSE)</f>
        <v>KILLION DAVID</v>
      </c>
      <c r="M184" s="6">
        <f>I184-F184</f>
        <v>1.2638888889341615E-2</v>
      </c>
      <c r="N184" s="7">
        <f>24*60*SUM($M184:$M184)</f>
        <v>18.200000000651926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-15T17:26:03-0600',mode:absolute,to:'2017-10-15T19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5.8704000000000001</v>
      </c>
      <c r="Z184" s="204">
        <f>RIGHT(H184,LEN(H184)-4)/10000</f>
        <v>7.17E-2</v>
      </c>
      <c r="AA184" s="204">
        <f>ABS(Z184-Y184)</f>
        <v>5.7987000000000002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1826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/stypes="app*4001*20171016*" /stext=" 00:.+((SYSTEM_STATE.+slice.+state.+changed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36"/>
        <v>"%USERPROFILE%\Documents\GitHub\eaglep3\Utilities\RefineRTDCRunTimes.py" --tripid 1826-15 --locoid 4001 --swversion DE.1.0.9.0 --startMP 300:58704 --initTime 2017-10-15T18:26:03 --startdatetime 2017-10-15T18:37:14 --delay 62 --endMP 204:717 --enddatetime 2017-10-15T18:55:26 --enforcementcount 0 &gt;&gt;%USERPROFILE%\Documents\GitHub\eaglep3-reporting\EC\2017-10-15-refined-times.txt</v>
      </c>
      <c r="AI184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{"issue":{"subject":"","project_id":79,"tracker_id":40,"status_id":1,"priority_id":2,"assigned_to_id":338,"start_date":"2017-10-15","description":"","custom_fields":[{"id":1,"name":"Subdivision","value":"NW"},{"id":4,"name":"Milepost","value":"0.0717"},{"id":17,"name":"Train ID","value":"1826-15"},{"id":16,"name":"Locomotive ID","value":"4001"},{"id":130,"name":"Impact","value":""},{"id":150,"name":"Time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8"/>
        <v>start /low /b %USERPROFILE%\Documents\GitHub\eaglep3\Utilities\DownloadLogsFromS3.py --loco 4001 --day 2017-10-15</v>
      </c>
      <c r="AN184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40"/>
        <v>https://d0f6bd738d7f1b3e5a7ca70fe4ff75f0.us-east-1.aws.found.io/app/kibana#/discover/Steve-Slow-Train-Analysis-(2080s-and-2083s)?_g=(refreshInterval:(display:Off,pause:!f,section:0,value:0),time:(from:'2017-10-15T17:26:03-0600',mode:absolute,to:'2017-10-15T19:55:26-0600'))&amp;_a=(columns:!('Message%20ID',Summary),filters:!(),index:'emp_*',interval:auto,query:(query_string:(analyze_wildcard:!t,query:'%22rtdc.l.rtdc.4001%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583</v>
      </c>
      <c r="B185" s="7">
        <v>4002</v>
      </c>
      <c r="C185" s="21" t="s">
        <v>194</v>
      </c>
      <c r="D185" s="21" t="s">
        <v>448</v>
      </c>
      <c r="E185" s="13">
        <v>43023.79378472222</v>
      </c>
      <c r="F185" s="13">
        <v>43023.798252314817</v>
      </c>
      <c r="G185" s="7">
        <v>62</v>
      </c>
      <c r="H185" s="21" t="s">
        <v>883</v>
      </c>
      <c r="I185" s="13">
        <v>43023.810023148151</v>
      </c>
      <c r="J185" s="7">
        <v>0</v>
      </c>
      <c r="K185" s="89" t="str">
        <f>IF(ISEVEN(B185),(B185-1)&amp;"/"&amp;B185,B185&amp;"/"&amp;(B185+1))</f>
        <v>4001/4002</v>
      </c>
      <c r="L185" s="185" t="str">
        <f>VLOOKUP(A185,'Trips&amp;Operators'!$C$1:$G$99911,5,FALSE)</f>
        <v>KILLION DAVID</v>
      </c>
      <c r="M185" s="6">
        <f>I185-F185</f>
        <v>1.1770833334594499E-2</v>
      </c>
      <c r="N185" s="7">
        <f>24*60*SUM($M185:$M185)</f>
        <v>16.950000001816079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-15T18:03:03-0600',mode:absolute,to:'2017-10-15T20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9.7600000000000006E-2</v>
      </c>
      <c r="Z185" s="204">
        <f>RIGHT(H185,LEN(H185)-4)/10000</f>
        <v>5.9002999999999997</v>
      </c>
      <c r="AA185" s="204">
        <f>ABS(Z185-Y185)</f>
        <v>5.8026999999999997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1827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/stypes="app*4002*20171016*" /stext=" 01:.+((SYSTEM_STATE.+slice.+state.+changed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36"/>
        <v>"%USERPROFILE%\Documents\GitHub\eaglep3\Utilities\RefineRTDCRunTimes.py" --tripid 1827-15 --locoid 4002 --swversion DE.1.0.9.0 --startMP 204:976 --initTime 2017-10-15T19:03:03 --startdatetime 2017-10-15T19:09:29 --delay 62 --endMP 300:59003 --enddatetime 2017-10-15T19:26:26 --enforcementcount 0 &gt;&gt;%USERPROFILE%\Documents\GitHub\eaglep3-reporting\EC\2017-10-15-refined-times.txt</v>
      </c>
      <c r="AI185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{"issue":{"subject":"","project_id":79,"tracker_id":40,"status_id":1,"priority_id":2,"assigned_to_id":338,"start_date":"2017-10-15","description":"","custom_fields":[{"id":1,"name":"Subdivision","value":"NW"},{"id":4,"name":"Milepost","value":"5.9003"},{"id":17,"name":"Train ID","value":"1827-15"},{"id":16,"name":"Locomotive ID","value":"4002"},{"id":130,"name":"Impact","value":""},{"id":150,"name":"Time of Event (Mountain Time)","value":"19:26:26"},{"id":151,"name":"Denver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8"/>
        <v>start /low /b %USERPROFILE%\Documents\GitHub\eaglep3\Utilities\DownloadLogsFromS3.py --loco 4002 --day 2017-10-15</v>
      </c>
      <c r="AN185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40"/>
        <v>https://d0f6bd738d7f1b3e5a7ca70fe4ff75f0.us-east-1.aws.found.io/app/kibana#/discover/Steve-Slow-Train-Analysis-(2080s-and-2083s)?_g=(refreshInterval:(display:Off,pause:!f,section:0,value:0),time:(from:'2017-10-15T18:03:03-0600',mode:absolute,to:'2017-10-15T20:26:26-0600'))&amp;_a=(columns:!('Message%20ID',Summary),filters:!(),index:'emp_*',interval:auto,query:(query_string:(analyze_wildcard:!t,query:'%22rtdc.l.rtdc.4002%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787</v>
      </c>
      <c r="B186" s="7">
        <v>4001</v>
      </c>
      <c r="C186" s="21" t="s">
        <v>194</v>
      </c>
      <c r="D186" s="21" t="s">
        <v>549</v>
      </c>
      <c r="E186" s="13">
        <v>43023.811990740738</v>
      </c>
      <c r="F186" s="13">
        <v>43023.817627314813</v>
      </c>
      <c r="G186" s="7">
        <v>60</v>
      </c>
      <c r="H186" s="21" t="s">
        <v>884</v>
      </c>
      <c r="I186" s="13">
        <v>43023.827962962961</v>
      </c>
      <c r="J186" s="7">
        <v>0</v>
      </c>
      <c r="K186" s="89" t="str">
        <f>IF(ISEVEN(B186),(B186-1)&amp;"/"&amp;B186,B186&amp;"/"&amp;(B186+1))</f>
        <v>4001/4002</v>
      </c>
      <c r="L186" s="185" t="str">
        <f>VLOOKUP(A186,'Trips&amp;Operators'!$C$1:$G$99911,5,FALSE)</f>
        <v>KILLION DAVID</v>
      </c>
      <c r="M186" s="6">
        <f>I186-F186</f>
        <v>1.0335648148611654E-2</v>
      </c>
      <c r="N186" s="7"/>
      <c r="O186" s="7"/>
      <c r="P186" s="7">
        <f>24*60*SUM($M186:$M186)</f>
        <v>14.883333334000781</v>
      </c>
      <c r="Q186" s="22"/>
      <c r="R186" s="174" t="s">
        <v>989</v>
      </c>
      <c r="S186" s="221">
        <f>1/IF(AG186="EC",12,1)*SUM(U186:U186)</f>
        <v>0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-15T18:29:16-0600',mode:absolute,to:'2017-10-15T20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204" t="str">
        <f>IF(AA186&lt;VLOOKUP(AG186,Variables!$AC$3:$AD$8,2,FALSE),"Y","N")</f>
        <v>Y</v>
      </c>
      <c r="X186" s="204">
        <f>VALUE(LEFT(AD186,4))-VALUE(LEFT(AD185,4))</f>
        <v>1</v>
      </c>
      <c r="Y186" s="204">
        <f>RIGHT(D186,LEN(D186)-4)/10000</f>
        <v>5.87</v>
      </c>
      <c r="Z186" s="204">
        <f>RIGHT(H186,LEN(H186)-4)/10000</f>
        <v>1.1379999999999999</v>
      </c>
      <c r="AA186" s="204">
        <f>ABS(Z186-Y186)</f>
        <v>4.7320000000000002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1828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/stypes="app*4001*20171016*" /stext=" 01:.+((SYSTEM_STATE.+slice.+state.+changed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36"/>
        <v>"%USERPROFILE%\Documents\GitHub\eaglep3\Utilities\RefineRTDCRunTimes.py" --tripid 1828-15 --locoid 4001 --swversion DE.1.0.9.0 --startMP 300:58700 --initTime 2017-10-15T19:29:16 --startdatetime 2017-10-15T19:37:23 --delay 60 --endMP 300:11380 --enddatetime 2017-10-15T19:52:16 --enforcementcount 0 &gt;&gt;%USERPROFILE%\Documents\GitHub\eaglep3-reporting\EC\2017-10-15-refined-times.txt</v>
      </c>
      <c r="AI186" s="96" t="str">
        <f t="shared" si="37"/>
        <v>echo {"issue":{"subject":"Stopped under I-25 overpass, pressed Acknowledge button for location unknown","project_id":79,"tracker_id":40,"status_id":1,"priority_id":2,"assigned_to_id":338,"start_date":"2017-10-15","description":"","custom_fields":[{"id":1,"name":"Subdivision","value":"NW"},{"id":4,"name":"Milepost","value":"1.138"},{"id":17,"name":"Train ID","value":"1828-15"},{"id":16,"name":"Locomotive ID","value":"4001"},{"id":130,"name":"Impact","value":""},{"id":150,"name":"Time of Event (Mountain Time)","value":"19:52:16"},{"id":151,"name":"Denver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8"/>
        <v>start /low /b %USERPROFILE%\Documents\GitHub\eaglep3\Utilities\DownloadLogsFromS3.py --loco 4001 --day 2017-10-15</v>
      </c>
      <c r="AN186" s="151" t="str">
        <f t="shared" si="39"/>
        <v>echo {"issue":{"subject":"Stopped under I-25 overpass, pressed Acknowledge button for location unknown","project_id":30,"tracker_id":4,"status_id":1,"priority_id":1,"assigned_to_id":10,"start_date":"2017-10-16","description":"","custom_fields":[{"id":30,"name":"Category","value":"Issue"},{"id":3,"name":"Functional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01:52:16"},{"id":29,"name":"Sharepoint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40"/>
        <v>https://d0f6bd738d7f1b3e5a7ca70fe4ff75f0.us-east-1.aws.found.io/app/kibana#/discover/Steve-Slow-Train-Analysis-(2080s-and-2083s)?_g=(refreshInterval:(display:Off,pause:!f,section:0,value:0),time:(from:'2017-10-15T18:29:16-0600',mode:absolute,to:'2017-10-15T20:52:16-0600'))&amp;_a=(columns:!('Message%20ID',Summary),filters:!(),index:'emp_*',interval:auto,query:(query_string:(analyze_wildcard:!t,query:'%22rtdc.l.rtdc.4001%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585</v>
      </c>
      <c r="B187" s="7">
        <v>4002</v>
      </c>
      <c r="C187" s="21" t="s">
        <v>194</v>
      </c>
      <c r="D187" s="21" t="s">
        <v>490</v>
      </c>
      <c r="E187" s="13">
        <v>43023.840138888889</v>
      </c>
      <c r="F187" s="13">
        <v>43023.842604166668</v>
      </c>
      <c r="G187" s="7">
        <v>67</v>
      </c>
      <c r="H187" s="21" t="s">
        <v>885</v>
      </c>
      <c r="I187" s="13">
        <v>43023.851898148147</v>
      </c>
      <c r="J187" s="7">
        <v>0</v>
      </c>
      <c r="K187" s="89" t="str">
        <f>IF(ISEVEN(B187),(B187-1)&amp;"/"&amp;B187,B187&amp;"/"&amp;(B187+1))</f>
        <v>4001/4002</v>
      </c>
      <c r="L187" s="185" t="str">
        <f>VLOOKUP(A187,'Trips&amp;Operators'!$C$1:$G$99911,5,FALSE)</f>
        <v>KILLION DAVID</v>
      </c>
      <c r="M187" s="6">
        <f>I187-F187</f>
        <v>9.29398147854954E-3</v>
      </c>
      <c r="N187" s="7">
        <f>24*60*SUM($M187:$M187)</f>
        <v>13.383333329111338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9.6199999999999994E-2</v>
      </c>
      <c r="Z187" s="204">
        <f>RIGHT(H187,LEN(H187)-4)/10000</f>
        <v>5.8872999999999998</v>
      </c>
      <c r="AA187" s="204">
        <f>ABS(Z187-Y187)</f>
        <v>5.7911000000000001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1829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/stypes="app*4002*20171016*" /stext=" 02:.+((SYSTEM_STATE.+slice.+state.+changed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36"/>
        <v>"%USERPROFILE%\Documents\GitHub\eaglep3\Utilities\RefineRTDCRunTimes.py" --tripid 1829-15 --locoid 4002 --swversion DE.1.0.9.0 --startMP 204:962 --initTime 2017-10-15T20:09:48 --startdatetime 2017-10-15T20:13:21 --delay 67 --endMP 300:58873 --enddatetime 2017-10-15T20:26:44 --enforcementcount 0 &gt;&gt;%USERPROFILE%\Documents\GitHub\eaglep3-reporting\EC\2017-10-15-refined-times.txt</v>
      </c>
      <c r="AI187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{"issue":{"subject":"","project_id":79,"tracker_id":40,"status_id":1,"priority_id":2,"assigned_to_id":338,"start_date":"2017-10-15","description":"","custom_fields":[{"id":1,"name":"Subdivision","value":"NW"},{"id":4,"name":"Milepost","value":"5.8873"},{"id":17,"name":"Train ID","value":"1829-15"},{"id":16,"name":"Locomotive ID","value":"4002"},{"id":130,"name":"Impact","value":""},{"id":150,"name":"Time of Event (Mountain Time)","value":"20:26:44"},{"id":151,"name":"Denver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8"/>
        <v>start /low /b %USERPROFILE%\Documents\GitHub\eaglep3\Utilities\DownloadLogsFromS3.py --loco 4002 --day 2017-10-15</v>
      </c>
      <c r="AN187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40"/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Message%20ID',Summary),filters:!(),index:'emp_*',interval:auto,query:(query_string:(analyze_wildcard:!t,query:'%22rtdc.l.rtdc.4002%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990</v>
      </c>
      <c r="B188" s="7">
        <v>4001</v>
      </c>
      <c r="C188" s="21" t="s">
        <v>194</v>
      </c>
      <c r="D188" s="21" t="s">
        <v>490</v>
      </c>
      <c r="E188" s="13">
        <v>43023.840138888889</v>
      </c>
      <c r="F188" s="13">
        <v>43023.851898148147</v>
      </c>
      <c r="G188" s="7">
        <v>67</v>
      </c>
      <c r="H188" s="21" t="s">
        <v>885</v>
      </c>
      <c r="I188" s="13">
        <v>43023.851898148147</v>
      </c>
      <c r="J188" s="7">
        <v>0</v>
      </c>
      <c r="K188" s="89" t="str">
        <f>IF(ISEVEN(B188),(B188-1)&amp;"/"&amp;B188,B188&amp;"/"&amp;(B188+1))</f>
        <v>4001/4002</v>
      </c>
      <c r="L188" s="185" t="e">
        <f>VLOOKUP(A188,'Trips&amp;Operators'!$C$1:$G$99911,5,FALSE)</f>
        <v>#N/A</v>
      </c>
      <c r="M188" s="6">
        <f>I188-F188</f>
        <v>0</v>
      </c>
      <c r="N188" s="7"/>
      <c r="O188" s="7"/>
      <c r="P188" s="7">
        <v>1</v>
      </c>
      <c r="Q188" s="22"/>
      <c r="R188" s="174" t="s">
        <v>991</v>
      </c>
      <c r="S188" s="221">
        <f>1/IF(AG188="EC",12,1)*SUM(U188:U188)</f>
        <v>0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9.6199999999999994E-2</v>
      </c>
      <c r="Z188" s="204">
        <f>RIGHT(H188,LEN(H188)-4)/10000</f>
        <v>5.8872999999999998</v>
      </c>
      <c r="AA188" s="204">
        <f>ABS(Z188-Y188)</f>
        <v>5.7911000000000001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1830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/stypes="app*4001*20171016*" /stext=" 02:.+((SYSTEM_STATE.+slice.+state.+changed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ref="AH188" si="72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1830-15 --locoid 4001 --swversion DE.1.0.9.0 --startMP 204:962 --initTime 2017-10-15T20:09:48 --startdatetime 2017-10-15T20:26:44 --delay 67 --endMP 300:58873 --enddatetime 2017-10-15T20:26:44 --enforcementcount 0 &gt;&gt;%USERPROFILE%\Documents\GitHub\eaglep3-reporting\EC\2017-10-15-refined-times.txt</v>
      </c>
      <c r="AI188" s="96" t="str">
        <f t="shared" ref="AI188" si="73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outage","project_id":79,"tracker_id":40,"status_id":1,"priority_id":2,"assigned_to_id":338,"start_date":"2017-10-15","description":"","custom_fields":[{"id":1,"name":"Subdivision","value":"NW"},{"id":4,"name":"Milepost","value":"5.8873"},{"id":17,"name":"Train ID","value":"1830-15"},{"id":16,"name":"Locomotive ID","value":"4001"},{"id":130,"name":"Impact","value":""},{"id":150,"name":"Time of Event (Mountain Time)","value":"20:26:44"},{"id":151,"name":"Denver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74">"start /low /b "&amp;dls3logs&amp;" --loco "&amp;B188&amp;" --day "&amp;TEXT(F188,"YYYY-MM-DD")</f>
        <v>start /low /b %USERPROFILE%\Documents\GitHub\eaglep3\Utilities\DownloadLogsFromS3.py --loco 4001 --day 2017-10-15</v>
      </c>
      <c r="AN188" s="151" t="str">
        <f t="shared" ref="AN188" si="75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76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Message%20ID',Summary),filters:!(),index:'emp_*',interval:auto,query:(query_string:(analyze_wildcard:!t,query:'%22rtdc.l.rtdc.4001%22')),sort:!(Time.ISO8601,asc))</v>
      </c>
    </row>
    <row r="189" spans="1:91" s="20" customFormat="1" x14ac:dyDescent="0.25">
      <c r="A189" s="32" t="s">
        <v>587</v>
      </c>
      <c r="B189" s="7">
        <v>4002</v>
      </c>
      <c r="C189" s="21" t="s">
        <v>194</v>
      </c>
      <c r="D189" s="21" t="s">
        <v>875</v>
      </c>
      <c r="E189" s="13">
        <v>43023.875381944446</v>
      </c>
      <c r="F189" s="13">
        <v>43023.881493055553</v>
      </c>
      <c r="G189" s="7">
        <v>65</v>
      </c>
      <c r="H189" s="21" t="s">
        <v>887</v>
      </c>
      <c r="I189" s="13">
        <v>43023.891793981478</v>
      </c>
      <c r="J189" s="7">
        <v>0</v>
      </c>
      <c r="K189" s="89" t="str">
        <f>IF(ISEVEN(B189),(B189-1)&amp;"/"&amp;B189,B189&amp;"/"&amp;(B189+1))</f>
        <v>4001/4002</v>
      </c>
      <c r="L189" s="185" t="str">
        <f>VLOOKUP(A189,'Trips&amp;Operators'!$C$1:$G$99911,5,FALSE)</f>
        <v>KILLION DAVID</v>
      </c>
      <c r="M189" s="6">
        <f>I189-F189</f>
        <v>1.0300925925548654E-2</v>
      </c>
      <c r="N189" s="7">
        <f>24*60*SUM($M189:$M189)</f>
        <v>14.833333332790062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-15T20:00:33-0600',mode:absolute,to:'2017-10-15T22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9.8500000000000004E-2</v>
      </c>
      <c r="Z189" s="204">
        <f>RIGHT(H189,LEN(H189)-4)/10000</f>
        <v>5.9012000000000002</v>
      </c>
      <c r="AA189" s="204">
        <f>ABS(Z189-Y189)</f>
        <v>5.8027000000000006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1831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/stypes="app*4002*20171016*" /stext=" 03:.+((SYSTEM_STATE.+slice.+state.+changed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36"/>
        <v>"%USERPROFILE%\Documents\GitHub\eaglep3\Utilities\RefineRTDCRunTimes.py" --tripid 1831-15 --locoid 4002 --swversion DE.1.0.9.0 --startMP 204:985 --initTime 2017-10-15T21:00:33 --startdatetime 2017-10-15T21:09:21 --delay 65 --endMP 300:59012 --enddatetime 2017-10-15T21:24:11 --enforcementcount 0 &gt;&gt;%USERPROFILE%\Documents\GitHub\eaglep3-reporting\EC\2017-10-15-refined-times.txt</v>
      </c>
      <c r="AI189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{"issue":{"subject":"","project_id":79,"tracker_id":40,"status_id":1,"priority_id":2,"assigned_to_id":338,"start_date":"2017-10-15","description":"","custom_fields":[{"id":1,"name":"Subdivision","value":"NW"},{"id":4,"name":"Milepost","value":"5.9012"},{"id":17,"name":"Train ID","value":"1831-15"},{"id":16,"name":"Locomotive ID","value":"4002"},{"id":130,"name":"Impact","value":""},{"id":150,"name":"Time of Event (Mountain Time)","value":"21:24:11"},{"id":151,"name":"Denver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8"/>
        <v>start /low /b %USERPROFILE%\Documents\GitHub\eaglep3\Utilities\DownloadLogsFromS3.py --loco 4002 --day 2017-10-15</v>
      </c>
      <c r="AN189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40"/>
        <v>https://d0f6bd738d7f1b3e5a7ca70fe4ff75f0.us-east-1.aws.found.io/app/kibana#/discover/Steve-Slow-Train-Analysis-(2080s-and-2083s)?_g=(refreshInterval:(display:Off,pause:!f,section:0,value:0),time:(from:'2017-10-15T20:00:33-0600',mode:absolute,to:'2017-10-15T22:24:11-0600'))&amp;_a=(columns:!('Message%20ID',Summary),filters:!(),index:'emp_*',interval:auto,query:(query_string:(analyze_wildcard:!t,query:'%22rtdc.l.rtdc.4002%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797</v>
      </c>
      <c r="B190" s="7">
        <v>4001</v>
      </c>
      <c r="C190" s="21" t="s">
        <v>194</v>
      </c>
      <c r="D190" s="21" t="s">
        <v>888</v>
      </c>
      <c r="E190" s="13">
        <v>43023.903668981482</v>
      </c>
      <c r="F190" s="13">
        <v>43023.90520833333</v>
      </c>
      <c r="G190" s="7">
        <v>77</v>
      </c>
      <c r="H190" s="21" t="s">
        <v>889</v>
      </c>
      <c r="I190" s="13">
        <v>43023.91443287037</v>
      </c>
      <c r="J190" s="7">
        <v>0</v>
      </c>
      <c r="K190" s="89" t="str">
        <f>IF(ISEVEN(B190),(B190-1)&amp;"/"&amp;B190,B190&amp;"/"&amp;(B190+1))</f>
        <v>4001/4002</v>
      </c>
      <c r="L190" s="185" t="str">
        <f>VLOOKUP(A190,'Trips&amp;Operators'!$C$1:$G$99911,5,FALSE)</f>
        <v>KILLION DAVID</v>
      </c>
      <c r="M190" s="6">
        <f>I190-F190</f>
        <v>9.2245370396994986E-3</v>
      </c>
      <c r="N190" s="7">
        <f>24*60*SUM($M190:$M190)</f>
        <v>13.283333337167278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-15T20:41:17-0600',mode:absolute,to:'2017-10-15T22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5.8704999999999998</v>
      </c>
      <c r="Z190" s="204">
        <f>RIGHT(H190,LEN(H190)-4)/10000</f>
        <v>6.9900000000000004E-2</v>
      </c>
      <c r="AA190" s="204">
        <f>ABS(Z190-Y190)</f>
        <v>5.8006000000000002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1832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/stypes="app*4001*20171016*" /stext=" 03:.+((SYSTEM_STATE.+slice.+state.+changed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36"/>
        <v>"%USERPROFILE%\Documents\GitHub\eaglep3\Utilities\RefineRTDCRunTimes.py" --tripid 1832-15 --locoid 4001 --swversion DE.1.0.9.0 --startMP 300:58705 --initTime 2017-10-15T21:41:17 --startdatetime 2017-10-15T21:43:30 --delay 77 --endMP 204:699 --enddatetime 2017-10-15T21:56:47 --enforcementcount 0 &gt;&gt;%USERPROFILE%\Documents\GitHub\eaglep3-reporting\EC\2017-10-15-refined-times.txt</v>
      </c>
      <c r="AI190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{"issue":{"subject":"","project_id":79,"tracker_id":40,"status_id":1,"priority_id":2,"assigned_to_id":338,"start_date":"2017-10-15","description":"","custom_fields":[{"id":1,"name":"Subdivision","value":"NW"},{"id":4,"name":"Milepost","value":"0.0699"},{"id":17,"name":"Train ID","value":"1832-15"},{"id":16,"name":"Locomotive ID","value":"4001"},{"id":130,"name":"Impact","value":""},{"id":150,"name":"Time of Event (Mountain Time)","value":"21:56:47"},{"id":151,"name":"Denver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38"/>
        <v>start /low /b %USERPROFILE%\Documents\GitHub\eaglep3\Utilities\DownloadLogsFromS3.py --loco 4001 --day 2017-10-15</v>
      </c>
      <c r="AN190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03:56:47"},{"id":29,"name":"Sharepoint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40"/>
        <v>https://d0f6bd738d7f1b3e5a7ca70fe4ff75f0.us-east-1.aws.found.io/app/kibana#/discover/Steve-Slow-Train-Analysis-(2080s-and-2083s)?_g=(refreshInterval:(display:Off,pause:!f,section:0,value:0),time:(from:'2017-10-15T20:41:17-0600',mode:absolute,to:'2017-10-15T22:56:47-0600'))&amp;_a=(columns:!('Message%20ID',Summary),filters:!(),index:'emp_*',interval:auto,query:(query_string:(analyze_wildcard:!t,query:'%22rtdc.l.rtdc.4001%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798</v>
      </c>
      <c r="B191" s="7">
        <v>4002</v>
      </c>
      <c r="C191" s="21" t="s">
        <v>194</v>
      </c>
      <c r="D191" s="21" t="s">
        <v>890</v>
      </c>
      <c r="E191" s="13">
        <v>43023.915671296294</v>
      </c>
      <c r="F191" s="13">
        <v>43023.923483796294</v>
      </c>
      <c r="G191" s="7">
        <v>60</v>
      </c>
      <c r="H191" s="21" t="s">
        <v>891</v>
      </c>
      <c r="I191" s="13">
        <v>43023.934155092589</v>
      </c>
      <c r="J191" s="7">
        <v>0</v>
      </c>
      <c r="K191" s="89" t="str">
        <f>IF(ISEVEN(B191),(B191-1)&amp;"/"&amp;B191,B191&amp;"/"&amp;(B191+1))</f>
        <v>4001/4002</v>
      </c>
      <c r="L191" s="185" t="str">
        <f>VLOOKUP(A191,'Trips&amp;Operators'!$C$1:$G$99911,5,FALSE)</f>
        <v>KILLION DAVID</v>
      </c>
      <c r="M191" s="6">
        <f>I191-F191</f>
        <v>1.0671296295186039E-2</v>
      </c>
      <c r="N191" s="7">
        <f>24*60*SUM($M191:$M191)</f>
        <v>15.366666665067896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-15T20:58:34-0600',mode:absolute,to:'2017-10-15T23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9.7799999999999998E-2</v>
      </c>
      <c r="Z191" s="204">
        <f>RIGHT(H191,LEN(H191)-4)/10000</f>
        <v>5.8890000000000002</v>
      </c>
      <c r="AA191" s="204">
        <f>ABS(Z191-Y191)</f>
        <v>5.7911999999999999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1833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/stypes="app*4002*20171016*" /stext=" 04:.+((SYSTEM_STATE.+slice.+state.+changed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36"/>
        <v>"%USERPROFILE%\Documents\GitHub\eaglep3\Utilities\RefineRTDCRunTimes.py" --tripid 1833-15 --locoid 4002 --swversion DE.1.0.9.0 --startMP 204:978 --initTime 2017-10-15T21:58:34 --startdatetime 2017-10-15T22:09:49 --delay 60 --endMP 300:58890 --enddatetime 2017-10-15T22:25:11 --enforcementcount 0 &gt;&gt;%USERPROFILE%\Documents\GitHub\eaglep3-reporting\EC\2017-10-15-refined-times.txt</v>
      </c>
      <c r="AI191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{"issue":{"subject":"","project_id":79,"tracker_id":40,"status_id":1,"priority_id":2,"assigned_to_id":338,"start_date":"2017-10-15","description":"","custom_fields":[{"id":1,"name":"Subdivision","value":"NW"},{"id":4,"name":"Milepost","value":"5.889"},{"id":17,"name":"Train ID","value":"1833-15"},{"id":16,"name":"Locomotive ID","value":"4002"},{"id":130,"name":"Impact","value":""},{"id":150,"name":"Time of Event (Mountain Time)","value":"22:25:11"},{"id":151,"name":"Denver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8"/>
        <v>start /low /b %USERPROFILE%\Documents\GitHub\eaglep3\Utilities\DownloadLogsFromS3.py --loco 4002 --day 2017-10-15</v>
      </c>
      <c r="AN191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40"/>
        <v>https://d0f6bd738d7f1b3e5a7ca70fe4ff75f0.us-east-1.aws.found.io/app/kibana#/discover/Steve-Slow-Train-Analysis-(2080s-and-2083s)?_g=(refreshInterval:(display:Off,pause:!f,section:0,value:0),time:(from:'2017-10-15T20:58:34-0600',mode:absolute,to:'2017-10-15T23:25:11-0600'))&amp;_a=(columns:!('Message%20ID',Summary),filters:!(),index:'emp_*',interval:auto,query:(query_string:(analyze_wildcard:!t,query:'%22rtdc.l.rtdc.4002%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801</v>
      </c>
      <c r="B192" s="7">
        <v>4001</v>
      </c>
      <c r="C192" s="21" t="s">
        <v>194</v>
      </c>
      <c r="D192" s="21" t="s">
        <v>892</v>
      </c>
      <c r="E192" s="13">
        <v>43023.935486111113</v>
      </c>
      <c r="F192" s="13">
        <v>43023.94295138889</v>
      </c>
      <c r="G192" s="7">
        <v>57</v>
      </c>
      <c r="H192" s="21" t="s">
        <v>893</v>
      </c>
      <c r="I192" s="13">
        <v>43023.955000000002</v>
      </c>
      <c r="J192" s="7">
        <v>0</v>
      </c>
      <c r="K192" s="89" t="str">
        <f>IF(ISEVEN(B192),(B192-1)&amp;"/"&amp;B192,B192&amp;"/"&amp;(B192+1))</f>
        <v>4001/4002</v>
      </c>
      <c r="L192" s="185" t="str">
        <f>VLOOKUP(A192,'Trips&amp;Operators'!$C$1:$G$99911,5,FALSE)</f>
        <v>KILLION DAVID</v>
      </c>
      <c r="M192" s="6">
        <f>I192-F192</f>
        <v>1.2048611111822538E-2</v>
      </c>
      <c r="N192" s="7">
        <f>24*60*SUM($M192:$M192)</f>
        <v>17.350000001024455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-15T21:27:06-0600',mode:absolute,to:'2017-10-15T23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5.8715000000000002</v>
      </c>
      <c r="Z192" s="204">
        <f>RIGHT(H192,LEN(H192)-4)/10000</f>
        <v>9.7199999999999995E-2</v>
      </c>
      <c r="AA192" s="204">
        <f>ABS(Z192-Y192)</f>
        <v>5.7743000000000002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1834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/stypes="app*4001*20171016*" /stext=" 04:.+((SYSTEM_STATE.+slice.+state.+changed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36"/>
        <v>"%USERPROFILE%\Documents\GitHub\eaglep3\Utilities\RefineRTDCRunTimes.py" --tripid 1834-15 --locoid 4001 --swversion DE.1.0.9.0 --startMP 300:58715 --initTime 2017-10-15T22:27:06 --startdatetime 2017-10-15T22:37:51 --delay 57 --endMP 204:972 --enddatetime 2017-10-15T22:55:12 --enforcementcount 0 &gt;&gt;%USERPROFILE%\Documents\GitHub\eaglep3-reporting\EC\2017-10-15-refined-times.txt</v>
      </c>
      <c r="AI192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{"issue":{"subject":"","project_id":79,"tracker_id":40,"status_id":1,"priority_id":2,"assigned_to_id":338,"start_date":"2017-10-15","description":"","custom_fields":[{"id":1,"name":"Subdivision","value":"NW"},{"id":4,"name":"Milepost","value":"0.0972"},{"id":17,"name":"Train ID","value":"1834-15"},{"id":16,"name":"Locomotive ID","value":"4001"},{"id":130,"name":"Impact","value":""},{"id":150,"name":"Time of Event (Mountain Time)","value":"22:55:12"},{"id":151,"name":"Denver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8"/>
        <v>start /low /b %USERPROFILE%\Documents\GitHub\eaglep3\Utilities\DownloadLogsFromS3.py --loco 4001 --day 2017-10-15</v>
      </c>
      <c r="AN192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40"/>
        <v>https://d0f6bd738d7f1b3e5a7ca70fe4ff75f0.us-east-1.aws.found.io/app/kibana#/discover/Steve-Slow-Train-Analysis-(2080s-and-2083s)?_g=(refreshInterval:(display:Off,pause:!f,section:0,value:0),time:(from:'2017-10-15T21:27:06-0600',mode:absolute,to:'2017-10-15T23:55:12-0600'))&amp;_a=(columns:!('Message%20ID',Summary),filters:!(),index:'emp_*',interval:auto,query:(query_string:(analyze_wildcard:!t,query:'%22rtdc.l.rtdc.4001%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590</v>
      </c>
      <c r="B193" s="7">
        <v>4002</v>
      </c>
      <c r="C193" s="21" t="s">
        <v>194</v>
      </c>
      <c r="D193" s="21" t="s">
        <v>894</v>
      </c>
      <c r="E193" s="13">
        <v>43023.956331018519</v>
      </c>
      <c r="F193" s="13">
        <v>43023.964791666665</v>
      </c>
      <c r="G193" s="7">
        <v>64</v>
      </c>
      <c r="H193" s="21" t="s">
        <v>554</v>
      </c>
      <c r="I193" s="13">
        <v>43023.974780092591</v>
      </c>
      <c r="J193" s="7">
        <v>0</v>
      </c>
      <c r="K193" s="89" t="str">
        <f>IF(ISEVEN(B193),(B193-1)&amp;"/"&amp;B193,B193&amp;"/"&amp;(B193+1))</f>
        <v>4001/4002</v>
      </c>
      <c r="L193" s="185" t="str">
        <f>VLOOKUP(A193,'Trips&amp;Operators'!$C$1:$G$99911,5,FALSE)</f>
        <v>KILLION DAVID</v>
      </c>
      <c r="M193" s="6">
        <f>I193-F193</f>
        <v>9.9884259252576157E-3</v>
      </c>
      <c r="N193" s="7">
        <f>24*60*SUM($M193:$M193)</f>
        <v>14.383333332370967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-15T21:57:07-0600',mode:absolute,to:'2017-10-16T00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0.1258</v>
      </c>
      <c r="Z193" s="204">
        <f>RIGHT(H193,LEN(H193)-4)/10000</f>
        <v>5.899</v>
      </c>
      <c r="AA193" s="204">
        <f>ABS(Z193-Y193)</f>
        <v>5.7732000000000001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1835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/stypes="app*4002*20171016*" /stext=" 05:.+((SYSTEM_STATE.+slice.+state.+changed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36"/>
        <v>"%USERPROFILE%\Documents\GitHub\eaglep3\Utilities\RefineRTDCRunTimes.py" --tripid 1835-15 --locoid 4002 --swversion DE.1.0.9.0 --startMP 204:1258 --initTime 2017-10-15T22:57:07 --startdatetime 2017-10-15T23:09:18 --delay 64 --endMP 300:58990 --enddatetime 2017-10-15T23:23:41 --enforcementcount 0 &gt;&gt;%USERPROFILE%\Documents\GitHub\eaglep3-reporting\EC\2017-10-15-refined-times.txt</v>
      </c>
      <c r="AI193" s="96" t="str">
        <f t="shared" si="37"/>
        <v>echo {"issue":{"subject":"","project_id":79,"tracker_id":40,"status_id":1,"priority_id":2,"assigned_to_id":338,"start_date":"2017-10-15","description":"","custom_fields":[{"id":1,"name":"Subdivision","value":"NW"},{"id":4,"name":"Milepost","value":"5.899"},{"id":17,"name":"Train ID","value":"1835-15"},{"id":16,"name":"Locomotive ID","value":"4002"},{"id":130,"name":"Impact","value":""},{"id":150,"name":"Time of Event (Mountain Time)","value":"23:23:41"},{"id":151,"name":"Denver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38"/>
        <v>start /low /b %USERPROFILE%\Documents\GitHub\eaglep3\Utilities\DownloadLogsFromS3.py --loco 4002 --day 2017-10-15</v>
      </c>
      <c r="AN193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40"/>
        <v>https://d0f6bd738d7f1b3e5a7ca70fe4ff75f0.us-east-1.aws.found.io/app/kibana#/discover/Steve-Slow-Train-Analysis-(2080s-and-2083s)?_g=(refreshInterval:(display:Off,pause:!f,section:0,value:0),time:(from:'2017-10-15T21:57:07-0600',mode:absolute,to:'2017-10-16T00:23:41-0600'))&amp;_a=(columns:!('Message%20ID',Summary),filters:!(),index:'emp_*',interval:auto,query:(query_string:(analyze_wildcard:!t,query:'%22rtdc.l.rtdc.4002%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781</v>
      </c>
      <c r="B194" s="7">
        <v>4058</v>
      </c>
      <c r="C194" s="21" t="s">
        <v>194</v>
      </c>
      <c r="D194" s="21" t="s">
        <v>488</v>
      </c>
      <c r="E194" s="13">
        <v>43023.777604166666</v>
      </c>
      <c r="F194" s="13">
        <v>43023.779675925929</v>
      </c>
      <c r="G194" s="7">
        <v>53</v>
      </c>
      <c r="H194" s="21" t="s">
        <v>931</v>
      </c>
      <c r="I194" s="13">
        <v>43023.786944444444</v>
      </c>
      <c r="J194" s="7">
        <v>0</v>
      </c>
      <c r="K194" s="89" t="str">
        <f>IF(ISEVEN(B194),(B194-1)&amp;"/"&amp;B194,B194&amp;"/"&amp;(B194+1))</f>
        <v>4057/4058</v>
      </c>
      <c r="L194" s="185" t="str">
        <f>VLOOKUP(A194,'Trips&amp;Operators'!$C$1:$G$99911,5,FALSE)</f>
        <v>GUZMAN DANNY</v>
      </c>
      <c r="M194" s="6">
        <f>I194-F194</f>
        <v>7.2685185150476173E-3</v>
      </c>
      <c r="N194" s="7">
        <f>24*60*SUM($M194:$M194)</f>
        <v>10.466666661668569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-15T17:39:45-0600',mode:absolute,to:'2017-10-15T19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204" t="str">
        <f>IF(AA194&lt;VLOOKUP(AG194,Variables!$AC$3:$AD$8,2,FALSE),"Y","N")</f>
        <v>Y</v>
      </c>
      <c r="X194" s="204">
        <f>VALUE(LEFT(AD194,4))-VALUE(LEFT(AD193,4))</f>
        <v>-1534</v>
      </c>
      <c r="Y194" s="204">
        <f>RIGHT(D194,LEN(D194)-4)/10000</f>
        <v>4.3299999999999998E-2</v>
      </c>
      <c r="Z194" s="204">
        <f>RIGHT(H194,LEN(H194)-4)/10000</f>
        <v>2.3306</v>
      </c>
      <c r="AA194" s="204">
        <f>ABS(Z194-Y194)</f>
        <v>2.2873000000000001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301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/stypes="app*4058*20171016*" /stext=" 00:.+((SYSTEM_STATE.+slice.+state.+changed )|(ment ac)|(multiple cpu faults)|(system.+state.+changed )|(\[timeout)|(PRM\|1\|D)|(kpr)|(kdp)|(train st.+moving)|(\|lc)|(penalty))"</v>
      </c>
      <c r="AG194" s="182" t="str">
        <f>DetSubdiv(A194)</f>
        <v>Other</v>
      </c>
      <c r="AH194" s="78" t="str">
        <f t="shared" si="36"/>
        <v>"%USERPROFILE%\Documents\GitHub\eaglep3\Utilities\RefineRTDCRunTimes.py" --tripid 301-15 --locoid 4058 --swversion DE.1.0.9.0 --startMP 204:433 --initTime 2017-10-15T18:39:45 --startdatetime 2017-10-15T18:42:44 --delay 53 --endMP 300:23306 --enddatetime 2017-10-15T18:53:12 --enforcementcount 0 &gt;&gt;%USERPROFILE%\Documents\GitHub\eaglep3-reporting\EC\2017-10-15-refined-times.txt</v>
      </c>
      <c r="AI194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{"issue":{"subject":"","project_id":79,"tracker_id":40,"status_id":1,"priority_id":2,"assigned_to_id":338,"start_date":"2017-10-15","description":"","custom_fields":[{"id":1,"name":"Subdivision","value":"Other"},{"id":4,"name":"Milepost","value":"2.3306"},{"id":17,"name":"Train ID","value":"301-15"},{"id":16,"name":"Locomotive ID","value":"4058"},{"id":130,"name":"Impact","value":""},{"id":150,"name":"Time of Event (Mountain Time)","value":"18:53:12"},{"id":151,"name":"Denver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8"/>
        <v>start /low /b %USERPROFILE%\Documents\GitHub\eaglep3\Utilities\DownloadLogsFromS3.py --loco 4058 --day 2017-10-15</v>
      </c>
      <c r="AN194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40"/>
        <v>https://d0f6bd738d7f1b3e5a7ca70fe4ff75f0.us-east-1.aws.found.io/app/kibana#/discover/Steve-Slow-Train-Analysis-(2080s-and-2083s)?_g=(refreshInterval:(display:Off,pause:!f,section:0,value:0),time:(from:'2017-10-15T17:39:45-0600',mode:absolute,to:'2017-10-15T19:53:12-0600'))&amp;_a=(columns:!('Message%20ID',Summary),filters:!(),index:'emp_*',interval:auto,query:(query_string:(analyze_wildcard:!t,query:'%22rtdc.l.rtdc.4058%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563</v>
      </c>
      <c r="B195" s="7">
        <v>4035</v>
      </c>
      <c r="C195" s="21" t="s">
        <v>194</v>
      </c>
      <c r="D195" s="21" t="s">
        <v>932</v>
      </c>
      <c r="E195" s="13">
        <v>43023.141493055555</v>
      </c>
      <c r="F195" s="13">
        <v>43023.14576388889</v>
      </c>
      <c r="G195" s="7">
        <v>72</v>
      </c>
      <c r="H195" s="21" t="s">
        <v>933</v>
      </c>
      <c r="I195" s="13">
        <v>43023.149768518517</v>
      </c>
      <c r="J195" s="7">
        <v>0</v>
      </c>
      <c r="K195" s="89" t="str">
        <f>IF(ISEVEN(B195),(B195-1)&amp;"/"&amp;B195,B195&amp;"/"&amp;(B195+1))</f>
        <v>4035/4036</v>
      </c>
      <c r="L195" s="185" t="str">
        <f>VLOOKUP(A195,'Trips&amp;Operators'!$C$1:$G$99911,5,FALSE)</f>
        <v>MAELZER KURT</v>
      </c>
      <c r="M195" s="6">
        <f>I195-F195</f>
        <v>4.0046296271611936E-3</v>
      </c>
      <c r="N195" s="7">
        <f>24*60*SUM($M195:$M195)</f>
        <v>5.7666666631121188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-15T02:23:45-0600',mode:absolute,to:'2017-10-15T04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5" s="204" t="str">
        <f>IF(AA195&lt;VLOOKUP(AG195,Variables!$AC$3:$AD$8,2,FALSE),"Y","N")</f>
        <v>Y</v>
      </c>
      <c r="X195" s="204">
        <f>VALUE(LEFT(AD195,4))-VALUE(LEFT(AD194,4))</f>
        <v>1</v>
      </c>
      <c r="Y195" s="204">
        <f>RIGHT(D195,LEN(D195)-4)/10000</f>
        <v>1.9585999999999999</v>
      </c>
      <c r="Z195" s="204">
        <f>RIGHT(H195,LEN(H195)-4)/10000</f>
        <v>0.44369999999999998</v>
      </c>
      <c r="AA195" s="204">
        <f>ABS(Z195-Y195)</f>
        <v>1.5148999999999999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302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/stypes="app*4035*20171015*" /stext=" 09:.+((SYSTEM_STATE.+slice.+state.+changed )|(ment ac)|(multiple cpu faults)|(system.+state.+changed )|(\[timeout)|(PRM\|1\|D)|(kpr)|(kdp)|(train st.+moving)|(\|lc)|(penalty))"</v>
      </c>
      <c r="AG195" s="182" t="str">
        <f>DetSubdiv(A195)</f>
        <v>Other</v>
      </c>
      <c r="AH195" s="78" t="str">
        <f t="shared" si="36"/>
        <v>"%USERPROFILE%\Documents\GitHub\eaglep3\Utilities\RefineRTDCRunTimes.py" --tripid 302-15 --locoid 4035 --swversion DE.1.0.9.0 --startMP 300:19586 --initTime 2017-10-15T03:23:45 --startdatetime 2017-10-15T03:29:54 --delay 72 --endMP 204:4437 --enddatetime 2017-10-15T03:35:40 --enforcementcount 0 &gt;&gt;%USERPROFILE%\Documents\GitHub\eaglep3-reporting\EC\2017-10-15-refined-times.txt</v>
      </c>
      <c r="AI195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{"issue":{"subject":"","project_id":79,"tracker_id":40,"status_id":1,"priority_id":2,"assigned_to_id":338,"start_date":"2017-10-15","description":"","custom_fields":[{"id":1,"name":"Subdivision","value":"Other"},{"id":4,"name":"Milepost","value":"0.4437"},{"id":17,"name":"Train ID","value":"302-15"},{"id":16,"name":"Locomotive ID","value":"4035"},{"id":130,"name":"Impact","value":""},{"id":150,"name":"Time of Event (Mountain Time)","value":"03:35:40"},{"id":151,"name":"Denver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8"/>
        <v>start /low /b %USERPROFILE%\Documents\GitHub\eaglep3\Utilities\DownloadLogsFromS3.py --loco 4035 --day 2017-10-15</v>
      </c>
      <c r="AN195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40"/>
        <v>https://d0f6bd738d7f1b3e5a7ca70fe4ff75f0.us-east-1.aws.found.io/app/kibana#/discover/Steve-Slow-Train-Analysis-(2080s-and-2083s)?_g=(refreshInterval:(display:Off,pause:!f,section:0,value:0),time:(from:'2017-10-15T02:23:45-0600',mode:absolute,to:'2017-10-15T04:35:40-0600'))&amp;_a=(columns:!('Message%20ID',Summary),filters:!(),index:'emp_*',interval:auto,query:(query_string:(analyze_wildcard:!t,query:'%22rtdc.l.rtdc.4035%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612</v>
      </c>
      <c r="B196" s="7">
        <v>4041</v>
      </c>
      <c r="C196" s="21" t="s">
        <v>194</v>
      </c>
      <c r="D196" s="21" t="s">
        <v>934</v>
      </c>
      <c r="E196" s="13">
        <v>43023.157060185185</v>
      </c>
      <c r="F196" s="13">
        <v>43023.161516203705</v>
      </c>
      <c r="G196" s="7">
        <v>77</v>
      </c>
      <c r="H196" s="21" t="s">
        <v>336</v>
      </c>
      <c r="I196" s="13">
        <v>43023.167129629626</v>
      </c>
      <c r="J196" s="7">
        <v>0</v>
      </c>
      <c r="K196" s="89" t="str">
        <f>IF(ISEVEN(B196),(B196-1)&amp;"/"&amp;B196,B196&amp;"/"&amp;(B196+1))</f>
        <v>4041/4042</v>
      </c>
      <c r="L196" s="185" t="str">
        <f>VLOOKUP(A196,'Trips&amp;Operators'!$C$1:$G$99911,5,FALSE)</f>
        <v>DAVIS WENDY</v>
      </c>
      <c r="M196" s="6">
        <f>I196-F196</f>
        <v>5.6134259211830795E-3</v>
      </c>
      <c r="N196" s="7">
        <f>24*60*SUM($M196:$M196)</f>
        <v>8.0833333265036345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-15T02:46:10-0600',mode:absolute,to:'2017-10-15T05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204" t="str">
        <f>IF(AA196&lt;VLOOKUP(AG196,Variables!$AC$3:$AD$8,2,FALSE),"Y","N")</f>
        <v>Y</v>
      </c>
      <c r="X196" s="204">
        <f>VALUE(LEFT(AD196,4))-VALUE(LEFT(AD195,4))</f>
        <v>2</v>
      </c>
      <c r="Y196" s="204">
        <f>RIGHT(D196,LEN(D196)-4)/10000</f>
        <v>2.1802999999999999</v>
      </c>
      <c r="Z196" s="204">
        <f>RIGHT(H196,LEN(H196)-4)/10000</f>
        <v>1.49E-2</v>
      </c>
      <c r="AA196" s="204">
        <f>ABS(Z196-Y196)</f>
        <v>2.1654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304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/stypes="app*4041*20171015*" /stext=" 10:.+((SYSTEM_STATE.+slice.+state.+changed )|(ment ac)|(multiple cpu faults)|(system.+state.+changed )|(\[timeout)|(PRM\|1\|D)|(kpr)|(kdp)|(train st.+moving)|(\|lc)|(penalty))"</v>
      </c>
      <c r="AG196" s="182" t="str">
        <f>DetSubdiv(A196)</f>
        <v>Other</v>
      </c>
      <c r="AH196" s="78" t="str">
        <f t="shared" si="36"/>
        <v>"%USERPROFILE%\Documents\GitHub\eaglep3\Utilities\RefineRTDCRunTimes.py" --tripid 304-15 --locoid 4041 --swversion DE.1.0.9.0 --startMP 300:21803 --initTime 2017-10-15T03:46:10 --startdatetime 2017-10-15T03:52:35 --delay 77 --endMP 204:149 --enddatetime 2017-10-15T04:00:40 --enforcementcount 0 &gt;&gt;%USERPROFILE%\Documents\GitHub\eaglep3-reporting\EC\2017-10-15-refined-times.txt</v>
      </c>
      <c r="AI196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{"issue":{"subject":"","project_id":79,"tracker_id":40,"status_id":1,"priority_id":2,"assigned_to_id":338,"start_date":"2017-10-15","description":"","custom_fields":[{"id":1,"name":"Subdivision","value":"Other"},{"id":4,"name":"Milepost","value":"0.0149"},{"id":17,"name":"Train ID","value":"304-15"},{"id":16,"name":"Locomotive ID","value":"4041"},{"id":130,"name":"Impact","value":""},{"id":150,"name":"Time of Event (Mountain Time)","value":"04:00:40"},{"id":151,"name":"Denver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8"/>
        <v>start /low /b %USERPROFILE%\Documents\GitHub\eaglep3\Utilities\DownloadLogsFromS3.py --loco 4041 --day 2017-10-15</v>
      </c>
      <c r="AN196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40"/>
        <v>https://d0f6bd738d7f1b3e5a7ca70fe4ff75f0.us-east-1.aws.found.io/app/kibana#/discover/Steve-Slow-Train-Analysis-(2080s-and-2083s)?_g=(refreshInterval:(display:Off,pause:!f,section:0,value:0),time:(from:'2017-10-15T02:46:10-0600',mode:absolute,to:'2017-10-15T05:00:40-0600'))&amp;_a=(columns:!('Message%20ID',Summary),filters:!(),index:'emp_*',interval:auto,query:(query_string:(analyze_wildcard:!t,query:'%22rtdc.l.rtdc.4041%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789</v>
      </c>
      <c r="B197" s="7">
        <v>4016</v>
      </c>
      <c r="C197" s="21" t="s">
        <v>194</v>
      </c>
      <c r="D197" s="21" t="s">
        <v>935</v>
      </c>
      <c r="E197" s="13">
        <v>43023.830069444448</v>
      </c>
      <c r="F197" s="13">
        <v>43023.845196759263</v>
      </c>
      <c r="G197" s="7">
        <v>77</v>
      </c>
      <c r="H197" s="21" t="s">
        <v>936</v>
      </c>
      <c r="I197" s="13">
        <v>43023.846631944441</v>
      </c>
      <c r="J197" s="7">
        <v>0</v>
      </c>
      <c r="K197" s="89" t="str">
        <f>IF(ISEVEN(B197),(B197-1)&amp;"/"&amp;B197,B197&amp;"/"&amp;(B197+1))</f>
        <v>4015/4016</v>
      </c>
      <c r="L197" s="185" t="str">
        <f>VLOOKUP(A197,'Trips&amp;Operators'!$C$1:$G$99911,5,FALSE)</f>
        <v>WEST BRYAN</v>
      </c>
      <c r="M197" s="6">
        <f>I197-F197</f>
        <v>1.4351851787068881E-3</v>
      </c>
      <c r="N197" s="7">
        <f>24*60*SUM($M197:$M197)</f>
        <v>2.0666666573379189</v>
      </c>
      <c r="O197" s="7"/>
      <c r="P197" s="7"/>
      <c r="Q197" s="22"/>
      <c r="R197" s="174"/>
      <c r="S197" s="221">
        <f>1/IF(AG197="EC",12,1)*SUM(U197:U197)</f>
        <v>0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-15T18:55:18-0600',mode:absolute,to:'2017-10-15T21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0.1462</v>
      </c>
      <c r="Z197" s="204">
        <f>RIGHT(H197,LEN(H197)-4)/10000</f>
        <v>0.40389999999999998</v>
      </c>
      <c r="AA197" s="204">
        <f>ABS(Z197-Y197)</f>
        <v>0.25769999999999998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305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/stypes="app*4016*20171016*" /stext=" 02:.+((SYSTEM_STATE.+slice.+state.+changed )|(ment ac)|(multiple cpu faults)|(system.+state.+changed )|(\[timeout)|(PRM\|1\|D)|(kpr)|(kdp)|(train st.+moving)|(\|lc)|(penalty))"</v>
      </c>
      <c r="AG197" s="182" t="str">
        <f>DetSubdiv(A197)</f>
        <v>Other</v>
      </c>
      <c r="AH197" s="78" t="str">
        <f t="shared" si="36"/>
        <v>"%USERPROFILE%\Documents\GitHub\eaglep3\Utilities\RefineRTDCRunTimes.py" --tripid 305-15 --locoid 4016 --swversion DE.1.0.9.0 --startMP 204:1462 --initTime 2017-10-15T19:55:18 --startdatetime 2017-10-15T20:17:05 --delay 77 --endMP 204:4039 --enddatetime 2017-10-15T20:19:09 --enforcementcount 0 &gt;&gt;%USERPROFILE%\Documents\GitHub\eaglep3-reporting\EC\2017-10-15-refined-times.txt</v>
      </c>
      <c r="AI197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{"issue":{"subject":"","project_id":79,"tracker_id":40,"status_id":1,"priority_id":2,"assigned_to_id":338,"start_date":"2017-10-15","description":"","custom_fields":[{"id":1,"name":"Subdivision","value":"Other"},{"id":4,"name":"Milepost","value":"0.4039"},{"id":17,"name":"Train ID","value":"305-15"},{"id":16,"name":"Locomotive ID","value":"4016"},{"id":130,"name":"Impact","value":""},{"id":150,"name":"Time of Event (Mountain Time)","value":"20:19:09"},{"id":151,"name":"Denver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8"/>
        <v>start /low /b %USERPROFILE%\Documents\GitHub\eaglep3\Utilities\DownloadLogsFromS3.py --loco 4016 --day 2017-10-15</v>
      </c>
      <c r="AN197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40"/>
        <v>https://d0f6bd738d7f1b3e5a7ca70fe4ff75f0.us-east-1.aws.found.io/app/kibana#/discover/Steve-Slow-Train-Analysis-(2080s-and-2083s)?_g=(refreshInterval:(display:Off,pause:!f,section:0,value:0),time:(from:'2017-10-15T18:55:18-0600',mode:absolute,to:'2017-10-15T21:19:09-0600'))&amp;_a=(columns:!('Message%20ID',Summary),filters:!(),index:'emp_*',interval:auto,query:(query_string:(analyze_wildcard:!t,query:'%22rtdc.l.rtdc.4016%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789</v>
      </c>
      <c r="B198" s="7">
        <v>4003</v>
      </c>
      <c r="C198" s="21" t="s">
        <v>194</v>
      </c>
      <c r="D198" s="21" t="s">
        <v>937</v>
      </c>
      <c r="E198" s="13">
        <v>43023.843807870369</v>
      </c>
      <c r="F198" s="13">
        <v>43023.845196759263</v>
      </c>
      <c r="G198" s="7">
        <v>47</v>
      </c>
      <c r="H198" s="21" t="s">
        <v>358</v>
      </c>
      <c r="I198" s="13">
        <v>43023.846631944441</v>
      </c>
      <c r="J198" s="7">
        <v>0</v>
      </c>
      <c r="K198" s="89" t="str">
        <f>IF(ISEVEN(B198),(B198-1)&amp;"/"&amp;B198,B198&amp;"/"&amp;(B198+1))</f>
        <v>4003/4004</v>
      </c>
      <c r="L198" s="185" t="str">
        <f>VLOOKUP(A198,'Trips&amp;Operators'!$C$1:$G$99911,5,FALSE)</f>
        <v>WEST BRYAN</v>
      </c>
      <c r="M198" s="6">
        <f>I198-F198</f>
        <v>1.4351851787068881E-3</v>
      </c>
      <c r="N198" s="7">
        <f>24*60*SUM($M198:$M198)</f>
        <v>2.0666666573379189</v>
      </c>
      <c r="O198" s="7"/>
      <c r="P198" s="7"/>
      <c r="Q198" s="22"/>
      <c r="R198" s="174"/>
      <c r="S198" s="221">
        <f>1/IF(AG198="EC",12,1)*SUM(U198:U198)</f>
        <v>0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-15T19:15:05-0600',mode:absolute,to:'2017-10-15T21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204" t="str">
        <f>IF(AA198&lt;VLOOKUP(AG198,Variables!$AC$3:$AD$8,2,FALSE),"Y","N")</f>
        <v>Y</v>
      </c>
      <c r="X198" s="204">
        <f>VALUE(LEFT(AD198,4))-VALUE(LEFT(AD197,4))</f>
        <v>0</v>
      </c>
      <c r="Y198" s="204">
        <f>RIGHT(D198,LEN(D198)-4)/10000</f>
        <v>0.34370000000000001</v>
      </c>
      <c r="Z198" s="204">
        <f>RIGHT(H198,LEN(H198)-4)/10000</f>
        <v>1.5599999999999999E-2</v>
      </c>
      <c r="AA198" s="204">
        <f>ABS(Z198-Y198)</f>
        <v>0.3281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305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/stypes="app*4003*20171016*" /stext=" 02:.+((SYSTEM_STATE.+slice.+state.+changed )|(ment ac)|(multiple cpu faults)|(system.+state.+changed )|(\[timeout)|(PRM\|1\|D)|(kpr)|(kdp)|(train st.+moving)|(\|lc)|(penalty))"</v>
      </c>
      <c r="AG198" s="182" t="str">
        <f>DetSubdiv(A198)</f>
        <v>Other</v>
      </c>
      <c r="AH198" s="78" t="str">
        <f t="shared" si="36"/>
        <v>"%USERPROFILE%\Documents\GitHub\eaglep3\Utilities\RefineRTDCRunTimes.py" --tripid 305-15 --locoid 4003 --swversion DE.1.0.9.0 --startMP 204:3437 --initTime 2017-10-15T20:15:05 --startdatetime 2017-10-15T20:17:05 --delay 47 --endMP 204:156 --enddatetime 2017-10-15T20:19:09 --enforcementcount 0 &gt;&gt;%USERPROFILE%\Documents\GitHub\eaglep3-reporting\EC\2017-10-15-refined-times.txt</v>
      </c>
      <c r="AI198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{"issue":{"subject":"","project_id":79,"tracker_id":40,"status_id":1,"priority_id":2,"assigned_to_id":338,"start_date":"2017-10-15","description":"","custom_fields":[{"id":1,"name":"Subdivision","value":"Other"},{"id":4,"name":"Milepost","value":"0.0156"},{"id":17,"name":"Train ID","value":"305-15"},{"id":16,"name":"Locomotive ID","value":"4003"},{"id":130,"name":"Impact","value":""},{"id":150,"name":"Time of Event (Mountain Time)","value":"20:19:09"},{"id":151,"name":"Denver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38"/>
        <v>start /low /b %USERPROFILE%\Documents\GitHub\eaglep3\Utilities\DownloadLogsFromS3.py --loco 4003 --day 2017-10-15</v>
      </c>
      <c r="AN198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02:19:09"},{"id":29,"name":"Sharepoint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40"/>
        <v>https://d0f6bd738d7f1b3e5a7ca70fe4ff75f0.us-east-1.aws.found.io/app/kibana#/discover/Steve-Slow-Train-Analysis-(2080s-and-2083s)?_g=(refreshInterval:(display:Off,pause:!f,section:0,value:0),time:(from:'2017-10-15T19:15:05-0600',mode:absolute,to:'2017-10-15T21:19:09-0600'))&amp;_a=(columns:!('Message%20ID',Summary),filters:!(),index:'emp_*',interval:auto,query:(query_string:(analyze_wildcard:!t,query:'%22rtdc.l.rtdc.4003%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613</v>
      </c>
      <c r="B199" s="7">
        <v>4013</v>
      </c>
      <c r="C199" s="21" t="s">
        <v>194</v>
      </c>
      <c r="D199" s="21" t="s">
        <v>938</v>
      </c>
      <c r="E199" s="13">
        <v>43023.169872685183</v>
      </c>
      <c r="F199" s="13">
        <v>43023.17460648148</v>
      </c>
      <c r="G199" s="7">
        <v>99</v>
      </c>
      <c r="H199" s="21" t="s">
        <v>374</v>
      </c>
      <c r="I199" s="13">
        <v>43023.180428240739</v>
      </c>
      <c r="J199" s="7">
        <v>0</v>
      </c>
      <c r="K199" s="89" t="str">
        <f>IF(ISEVEN(B199),(B199-1)&amp;"/"&amp;B199,B199&amp;"/"&amp;(B199+1))</f>
        <v>4013/4014</v>
      </c>
      <c r="L199" s="185" t="str">
        <f>VLOOKUP(A199,'Trips&amp;Operators'!$C$1:$G$99911,5,FALSE)</f>
        <v>LALONDE GREGORY</v>
      </c>
      <c r="M199" s="6">
        <f>I199-F199</f>
        <v>5.8217592595610768E-3</v>
      </c>
      <c r="N199" s="7">
        <f>24*60*SUM($M199:$M199)</f>
        <v>8.3833333337679505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-15T03:04:37-0600',mode:absolute,to:'2017-10-15T05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2.3538000000000001</v>
      </c>
      <c r="Z199" s="204">
        <f>RIGHT(H199,LEN(H199)-4)/10000</f>
        <v>1.54E-2</v>
      </c>
      <c r="AA199" s="204">
        <f>ABS(Z199-Y199)</f>
        <v>2.3384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306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 &amp; aws s3 cp s3://rtdc.mdm.uploadarchive.raw/RTDC4013/ "%USERPROFILE%\AppData\Local\Temp\OnboardLogs"\RTDC4013\2017-10-16 --exclude "*" --recursive --include "*20171016*" &amp; "%USERPROFILE%\Documents\GitHub\mrs-test-scripts\Headless Mode &amp; Sideloading\WalkAndUnGZ.bat" "%USERPROFILE%\AppData\Local\Temp\OnboardLogs"\RTDC4013\2017-10-16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/stypes="app*4013*20171015*" /stext=" 10:.+((SYSTEM_STATE.+slice.+state.+changed )|(ment ac)|(multiple cpu faults)|(system.+state.+changed )|(\[timeout)|(PRM\|1\|D)|(kpr)|(kdp)|(train st.+moving)|(\|lc)|(penalty))"</v>
      </c>
      <c r="AG199" s="182" t="str">
        <f>DetSubdiv(A199)</f>
        <v>Other</v>
      </c>
      <c r="AH199" s="78" t="str">
        <f t="shared" si="36"/>
        <v>"%USERPROFILE%\Documents\GitHub\eaglep3\Utilities\RefineRTDCRunTimes.py" --tripid 306-15 --locoid 4013 --swversion DE.1.0.9.0 --startMP 300:23538 --initTime 2017-10-15T04:04:37 --startdatetime 2017-10-15T04:11:26 --delay 99 --endMP 204:154 --enddatetime 2017-10-15T04:19:49 --enforcementcount 0 &gt;&gt;%USERPROFILE%\Documents\GitHub\eaglep3-reporting\EC\2017-10-15-refined-times.txt</v>
      </c>
      <c r="AI199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{"issue":{"subject":"","project_id":79,"tracker_id":40,"status_id":1,"priority_id":2,"assigned_to_id":338,"start_date":"2017-10-15","description":"","custom_fields":[{"id":1,"name":"Subdivision","value":"Other"},{"id":4,"name":"Milepost","value":"0.0154"},{"id":17,"name":"Train ID","value":"306-15"},{"id":16,"name":"Locomotive ID","value":"4013"},{"id":130,"name":"Impact","value":""},{"id":150,"name":"Time of Event (Mountain Time)","value":"04:19:49"},{"id":151,"name":"Denver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8"/>
        <v>start /low /b %USERPROFILE%\Documents\GitHub\eaglep3\Utilities\DownloadLogsFromS3.py --loco 4013 --day 2017-10-15</v>
      </c>
      <c r="AN199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40"/>
        <v>https://d0f6bd738d7f1b3e5a7ca70fe4ff75f0.us-east-1.aws.found.io/app/kibana#/discover/Steve-Slow-Train-Analysis-(2080s-and-2083s)?_g=(refreshInterval:(display:Off,pause:!f,section:0,value:0),time:(from:'2017-10-15T03:04:37-0600',mode:absolute,to:'2017-10-15T05:19:49-0600'))&amp;_a=(columns:!('Message%20ID',Summary),filters:!(),index:'emp_*',interval:auto,query:(query_string:(analyze_wildcard:!t,query:'%22rtdc.l.rtdc.4013%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810</v>
      </c>
      <c r="B200" s="7">
        <v>4036</v>
      </c>
      <c r="C200" s="21" t="s">
        <v>194</v>
      </c>
      <c r="D200" s="21" t="s">
        <v>391</v>
      </c>
      <c r="E200" s="13">
        <v>43024.04550925926</v>
      </c>
      <c r="F200" s="13">
        <v>43024.047013888892</v>
      </c>
      <c r="G200" s="7">
        <v>66</v>
      </c>
      <c r="H200" s="21" t="s">
        <v>939</v>
      </c>
      <c r="I200" s="13">
        <v>43024.054571759261</v>
      </c>
      <c r="J200" s="7">
        <v>0</v>
      </c>
      <c r="K200" s="89" t="str">
        <f>IF(ISEVEN(B200),(B200-1)&amp;"/"&amp;B200,B200&amp;"/"&amp;(B200+1))</f>
        <v>4035/4036</v>
      </c>
      <c r="L200" s="185" t="str">
        <f>VLOOKUP(A200,'Trips&amp;Operators'!$C$1:$G$99911,5,FALSE)</f>
        <v>LOZA FIDEL</v>
      </c>
      <c r="M200" s="6">
        <f>I200-F200</f>
        <v>7.5578703690553084E-3</v>
      </c>
      <c r="N200" s="7">
        <f>24*60*SUM($M200:$M200)</f>
        <v>10.883333331439644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-16T00:05:32-0600',mode:absolute,to:'2017-10-16T02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0" s="204" t="str">
        <f>IF(AA200&lt;VLOOKUP(AG200,Variables!$AC$3:$AD$8,2,FALSE),"Y","N")</f>
        <v>Y</v>
      </c>
      <c r="X200" s="204">
        <f>VALUE(LEFT(AD200,4))-VALUE(LEFT(AD199,4))</f>
        <v>1</v>
      </c>
      <c r="Y200" s="204">
        <f>RIGHT(D200,LEN(D200)-4)/10000</f>
        <v>4.6699999999999998E-2</v>
      </c>
      <c r="Z200" s="204">
        <f>RIGHT(H200,LEN(H200)-4)/10000</f>
        <v>2.3300999999999998</v>
      </c>
      <c r="AA200" s="204">
        <f>ABS(Z200-Y200)</f>
        <v>2.2833999999999999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307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 &amp; 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/stypes="app*4036*20171016*" /stext=" 07:.+((SYSTEM_STATE.+slice.+state.+changed )|(ment ac)|(multiple cpu faults)|(system.+state.+changed )|(\[timeout)|(PRM\|1\|D)|(kpr)|(kdp)|(train st.+moving)|(\|lc)|(penalty))"</v>
      </c>
      <c r="AG200" s="182" t="str">
        <f>DetSubdiv(A200)</f>
        <v>Other</v>
      </c>
      <c r="AH200" s="78" t="str">
        <f t="shared" si="36"/>
        <v>"%USERPROFILE%\Documents\GitHub\eaglep3\Utilities\RefineRTDCRunTimes.py" --tripid 307-15 --locoid 4036 --swversion DE.1.0.9.0 --startMP 204:467 --initTime 2017-10-16T01:05:32 --startdatetime 2017-10-16T01:07:42 --delay 66 --endMP 300:23301 --enddatetime 2017-10-16T01:18:35 --enforcementcount 0 &gt;&gt;%USERPROFILE%\Documents\GitHub\eaglep3-reporting\EC\2017-10-15-refined-times.txt</v>
      </c>
      <c r="AI200" s="96" t="str">
        <f t="shared" si="37"/>
        <v>echo {"issue":{"subject":"","project_id":79,"tracker_id":40,"status_id":1,"priority_id":2,"assigned_to_id":338,"start_date":"2017-10-16","description":"","custom_fields":[{"id":1,"name":"Subdivision","value":"Other"},{"id":4,"name":"Milepost","value":"2.3301"},{"id":17,"name":"Train ID","value":"307-15"},{"id":16,"name":"Locomotive ID","value":"4036"},{"id":130,"name":"Impact","value":""},{"id":150,"name":"Time of Event (Mountain Time)","value":"01:18:35"},{"id":151,"name":"Denver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38"/>
        <v>start /low /b %USERPROFILE%\Documents\GitHub\eaglep3\Utilities\DownloadLogsFromS3.py --loco 4036 --day 2017-10-16</v>
      </c>
      <c r="AN200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07:18:35"},{"id":29,"name":"Sharepoint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40"/>
        <v>https://d0f6bd738d7f1b3e5a7ca70fe4ff75f0.us-east-1.aws.found.io/app/kibana#/discover/Steve-Slow-Train-Analysis-(2080s-and-2083s)?_g=(refreshInterval:(display:Off,pause:!f,section:0,value:0),time:(from:'2017-10-16T00:05:32-0600',mode:absolute,to:'2017-10-16T02:18:35-0600'))&amp;_a=(columns:!('Message%20ID',Summary),filters:!(),index:'emp_*',interval:auto,query:(query_string:(analyze_wildcard:!t,query:'%22rtdc.l.rtdc.4036%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617</v>
      </c>
      <c r="B201" s="7">
        <v>4055</v>
      </c>
      <c r="C201" s="21" t="s">
        <v>194</v>
      </c>
      <c r="D201" s="21" t="s">
        <v>940</v>
      </c>
      <c r="E201" s="13">
        <v>43023.180405092593</v>
      </c>
      <c r="F201" s="13">
        <v>43023.183796296296</v>
      </c>
      <c r="G201" s="7">
        <v>68</v>
      </c>
      <c r="H201" s="21" t="s">
        <v>941</v>
      </c>
      <c r="I201" s="13">
        <v>43023.185219907406</v>
      </c>
      <c r="J201" s="7">
        <v>0</v>
      </c>
      <c r="K201" s="89" t="str">
        <f>IF(ISEVEN(B201),(B201-1)&amp;"/"&amp;B201,B201&amp;"/"&amp;(B201+1))</f>
        <v>4055/4056</v>
      </c>
      <c r="L201" s="185" t="str">
        <f>VLOOKUP(A201,'Trips&amp;Operators'!$C$1:$G$99911,5,FALSE)</f>
        <v>GEBRETEKLE DAGNEW</v>
      </c>
      <c r="M201" s="6">
        <f>I201-F201</f>
        <v>1.4236111092031933E-3</v>
      </c>
      <c r="N201" s="7">
        <f>24*60*SUM($M201:$M201)</f>
        <v>2.0499999972525984</v>
      </c>
      <c r="O201" s="7"/>
      <c r="P201" s="7"/>
      <c r="Q201" s="22"/>
      <c r="R201" s="174"/>
      <c r="S201" s="221">
        <f>1/IF(AG201="EC",12,1)*SUM(U201:U201)</f>
        <v>0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-15T03:19:47-0600',mode:absolute,to:'2017-10-15T05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204" t="str">
        <f>IF(AA201&lt;VLOOKUP(AG201,Variables!$AC$3:$AD$8,2,FALSE),"Y","N")</f>
        <v>Y</v>
      </c>
      <c r="X201" s="204">
        <f>VALUE(LEFT(AD201,4))-VALUE(LEFT(AD200,4))</f>
        <v>1</v>
      </c>
      <c r="Y201" s="204">
        <f>RIGHT(D201,LEN(D201)-4)/10000</f>
        <v>2.3631000000000002</v>
      </c>
      <c r="Z201" s="204">
        <f>RIGHT(H201,LEN(H201)-4)/10000</f>
        <v>1.8445</v>
      </c>
      <c r="AA201" s="204">
        <f>ABS(Z201-Y201)</f>
        <v>0.51860000000000017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308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s3://rtdc.mdm.uploadarchive.raw/RTDC4055/ "%USERPROFILE%\AppData\Local\Temp\OnboardLogs"\RTDC4055\2017-10-15 --exclude "*" --recursive --include "*20171015*" &amp; "%USERPROFILE%\Documents\GitHub\mrs-test-scripts\Headless Mode &amp; Sideloading\WalkAndUnGZ.bat" "%USERPROFILE%\AppData\Local\Temp\OnboardLogs"\RTDC4055\2017-10-15 &amp; aws s3 cp s3://rtdc.mdm.uploadarchive.raw/RTDC4055/ "%USERPROFILE%\AppData\Local\Temp\OnboardLogs"\RTDC4055\2017-10-16 --exclude "*" --recursive --include "*20171016*" &amp; "%USERPROFILE%\Documents\GitHub\mrs-test-scripts\Headless Mode &amp; Sideloading\WalkAndUnGZ.bat" "%USERPROFILE%\AppData\Local\Temp\OnboardLogs"\RTDC4055\2017-10-16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/stypes="app*4055*20171015*" /stext=" 10:.+((SYSTEM_STATE.+slice.+state.+changed )|(ment ac)|(multiple cpu faults)|(system.+state.+changed )|(\[timeout)|(PRM\|1\|D)|(kpr)|(kdp)|(train st.+moving)|(\|lc)|(penalty))"</v>
      </c>
      <c r="AG201" s="182" t="str">
        <f>DetSubdiv(A201)</f>
        <v>Other</v>
      </c>
      <c r="AH201" s="78" t="str">
        <f t="shared" si="36"/>
        <v>"%USERPROFILE%\Documents\GitHub\eaglep3\Utilities\RefineRTDCRunTimes.py" --tripid 308-15 --locoid 4055 --swversion DE.1.0.9.0 --startMP 300:23631 --initTime 2017-10-15T04:19:47 --startdatetime 2017-10-15T04:24:40 --delay 68 --endMP 300:18445 --enddatetime 2017-10-15T04:26:43 --enforcementcount 0 &gt;&gt;%USERPROFILE%\Documents\GitHub\eaglep3-reporting\EC\2017-10-15-refined-times.txt</v>
      </c>
      <c r="AI201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{"issue":{"subject":"","project_id":79,"tracker_id":40,"status_id":1,"priority_id":2,"assigned_to_id":338,"start_date":"2017-10-15","description":"","custom_fields":[{"id":1,"name":"Subdivision","value":"Other"},{"id":4,"name":"Milepost","value":"1.8445"},{"id":17,"name":"Train ID","value":"308-15"},{"id":16,"name":"Locomotive ID","value":"4055"},{"id":130,"name":"Impact","value":""},{"id":150,"name":"Time of Event (Mountain Time)","value":"04:26:43"},{"id":151,"name":"Denver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38"/>
        <v>start /low /b %USERPROFILE%\Documents\GitHub\eaglep3\Utilities\DownloadLogsFromS3.py --loco 4055 --day 2017-10-15</v>
      </c>
      <c r="AN201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10:26:43"},{"id":29,"name":"Sharepoint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40"/>
        <v>https://d0f6bd738d7f1b3e5a7ca70fe4ff75f0.us-east-1.aws.found.io/app/kibana#/discover/Steve-Slow-Train-Analysis-(2080s-and-2083s)?_g=(refreshInterval:(display:Off,pause:!f,section:0,value:0),time:(from:'2017-10-15T03:19:47-0600',mode:absolute,to:'2017-10-15T05:26:43-0600'))&amp;_a=(columns:!('Message%20ID',Summary),filters:!(),index:'emp_*',interval:auto,query:(query_string:(analyze_wildcard:!t,query:'%22rtdc.l.rtdc.4055%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594</v>
      </c>
      <c r="B202" s="7">
        <v>4042</v>
      </c>
      <c r="C202" s="21" t="s">
        <v>194</v>
      </c>
      <c r="D202" s="21" t="s">
        <v>396</v>
      </c>
      <c r="E202" s="13">
        <v>43024.066145833334</v>
      </c>
      <c r="F202" s="13">
        <v>43024.06795138889</v>
      </c>
      <c r="G202" s="7">
        <v>83</v>
      </c>
      <c r="H202" s="21" t="s">
        <v>942</v>
      </c>
      <c r="I202" s="13">
        <v>43024.075312499997</v>
      </c>
      <c r="J202" s="7">
        <v>0</v>
      </c>
      <c r="K202" s="89" t="str">
        <f>IF(ISEVEN(B202),(B202-1)&amp;"/"&amp;B202,B202&amp;"/"&amp;(B202+1))</f>
        <v>4041/4042</v>
      </c>
      <c r="L202" s="185" t="str">
        <f>VLOOKUP(A202,'Trips&amp;Operators'!$C$1:$G$99911,5,FALSE)</f>
        <v>ELBAUM MIKE</v>
      </c>
      <c r="M202" s="6">
        <f>I202-F202</f>
        <v>7.3611111074569635E-3</v>
      </c>
      <c r="N202" s="7">
        <f>24*60*SUM($M202:$M202)</f>
        <v>10.599999994738027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-16T00:35:15-0600',mode:absolute,to:'2017-10-16T02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204" t="str">
        <f>IF(AA202&lt;VLOOKUP(AG202,Variables!$AC$3:$AD$8,2,FALSE),"Y","N")</f>
        <v>Y</v>
      </c>
      <c r="X202" s="204">
        <f>VALUE(LEFT(AD202,4))-VALUE(LEFT(AD201,4))</f>
        <v>1</v>
      </c>
      <c r="Y202" s="204">
        <f>RIGHT(D202,LEN(D202)-4)/10000</f>
        <v>4.7500000000000001E-2</v>
      </c>
      <c r="Z202" s="204">
        <f>RIGHT(H202,LEN(H202)-4)/10000</f>
        <v>2.3313999999999999</v>
      </c>
      <c r="AA202" s="204">
        <f>ABS(Z202-Y202)</f>
        <v>2.2839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309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 &amp; aws s3 cp s3://rtdc.mdm.uploadarchive.raw/RTDC4042/ "%USERPROFILE%\AppData\Local\Temp\OnboardLogs"\RTDC4042\2017-10-17 --exclude "*" --recursive --include "*20171017*" &amp; "%USERPROFILE%\Documents\GitHub\mrs-test-scripts\Headless Mode &amp; Sideloading\WalkAndUnGZ.bat" "%USERPROFILE%\AppData\Local\Temp\OnboardLogs"\RTDC4042\2017-10-17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/stypes="app*4042*20171016*" /stext=" 07:.+((SYSTEM_STATE.+slice.+state.+changed )|(ment ac)|(multiple cpu faults)|(system.+state.+changed )|(\[timeout)|(PRM\|1\|D)|(kpr)|(kdp)|(train st.+moving)|(\|lc)|(penalty))"</v>
      </c>
      <c r="AG202" s="182" t="str">
        <f>DetSubdiv(A202)</f>
        <v>Other</v>
      </c>
      <c r="AH202" s="78" t="str">
        <f t="shared" si="36"/>
        <v>"%USERPROFILE%\Documents\GitHub\eaglep3\Utilities\RefineRTDCRunTimes.py" --tripid 309-15 --locoid 4042 --swversion DE.1.0.9.0 --startMP 204:475 --initTime 2017-10-16T01:35:15 --startdatetime 2017-10-16T01:37:51 --delay 83 --endMP 300:23314 --enddatetime 2017-10-16T01:48:27 --enforcementcount 0 &gt;&gt;%USERPROFILE%\Documents\GitHub\eaglep3-reporting\EC\2017-10-15-refined-times.txt</v>
      </c>
      <c r="AI202" s="96" t="str">
        <f t="shared" si="37"/>
        <v>echo {"issue":{"subject":"","project_id":79,"tracker_id":40,"status_id":1,"priority_id":2,"assigned_to_id":338,"start_date":"2017-10-16","description":"","custom_fields":[{"id":1,"name":"Subdivision","value":"Other"},{"id":4,"name":"Milepost","value":"2.3314"},{"id":17,"name":"Train ID","value":"309-15"},{"id":16,"name":"Locomotive ID","value":"4042"},{"id":130,"name":"Impact","value":""},{"id":150,"name":"Time of Event (Mountain Time)","value":"01:48:27"},{"id":151,"name":"Denver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38"/>
        <v>start /low /b %USERPROFILE%\Documents\GitHub\eaglep3\Utilities\DownloadLogsFromS3.py --loco 4042 --day 2017-10-16</v>
      </c>
      <c r="AN202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07:48:27"},{"id":29,"name":"Sharepoint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40"/>
        <v>https://d0f6bd738d7f1b3e5a7ca70fe4ff75f0.us-east-1.aws.found.io/app/kibana#/discover/Steve-Slow-Train-Analysis-(2080s-and-2083s)?_g=(refreshInterval:(display:Off,pause:!f,section:0,value:0),time:(from:'2017-10-16T00:35:15-0600',mode:absolute,to:'2017-10-16T02:48:27-0600'))&amp;_a=(columns:!('Message%20ID',Summary),filters:!(),index:'emp_*',interval:auto,query:(query_string:(analyze_wildcard:!t,query:'%22rtdc.l.rtdc.4042%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622</v>
      </c>
      <c r="B203" s="7">
        <v>4003</v>
      </c>
      <c r="C203" s="21" t="s">
        <v>194</v>
      </c>
      <c r="D203" s="21" t="s">
        <v>943</v>
      </c>
      <c r="E203" s="13">
        <v>43023.202152777776</v>
      </c>
      <c r="F203" s="13">
        <v>43023.207673611112</v>
      </c>
      <c r="G203" s="7">
        <v>87</v>
      </c>
      <c r="H203" s="21" t="s">
        <v>358</v>
      </c>
      <c r="I203" s="13">
        <v>43023.213842592595</v>
      </c>
      <c r="J203" s="7">
        <v>0</v>
      </c>
      <c r="K203" s="89" t="str">
        <f>IF(ISEVEN(B203),(B203-1)&amp;"/"&amp;B203,B203&amp;"/"&amp;(B203+1))</f>
        <v>4003/4004</v>
      </c>
      <c r="L203" s="185" t="str">
        <f>VLOOKUP(A203,'Trips&amp;Operators'!$C$1:$G$99911,5,FALSE)</f>
        <v>WILLIAMS DONTE</v>
      </c>
      <c r="M203" s="6">
        <f>I203-F203</f>
        <v>6.1689814829151146E-3</v>
      </c>
      <c r="N203" s="7">
        <f>24*60*SUM($M203:$M203)</f>
        <v>8.883333335397765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-15T03:51:06-0600',mode:absolute,to:'2017-10-15T06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204" t="str">
        <f>IF(AA203&lt;VLOOKUP(AG203,Variables!$AC$3:$AD$8,2,FALSE),"Y","N")</f>
        <v>Y</v>
      </c>
      <c r="X203" s="204">
        <f>VALUE(LEFT(AD203,4))-VALUE(LEFT(AD202,4))</f>
        <v>1</v>
      </c>
      <c r="Y203" s="204">
        <f>RIGHT(D203,LEN(D203)-4)/10000</f>
        <v>2.3589000000000002</v>
      </c>
      <c r="Z203" s="204">
        <f>RIGHT(H203,LEN(H203)-4)/10000</f>
        <v>1.5599999999999999E-2</v>
      </c>
      <c r="AA203" s="204">
        <f>ABS(Z203-Y203)</f>
        <v>2.3433000000000002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310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s3://rtdc.mdm.uploadarchive.raw/RTDC4003/ "%USERPROFILE%\AppData\Local\Temp\OnboardLogs"\RTDC4003\2017-10-15 --exclude "*" --recursive --include "*20171015*" &amp; "%USERPROFILE%\Documents\GitHub\mrs-test-scripts\Headless Mode &amp; Sideloading\WalkAndUnGZ.bat" "%USERPROFILE%\AppData\Local\Temp\OnboardLogs"\RTDC4003\2017-10-15 &amp; 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/stypes="app*4003*20171015*" /stext=" 11:.+((SYSTEM_STATE.+slice.+state.+changed )|(ment ac)|(multiple cpu faults)|(system.+state.+changed )|(\[timeout)|(PRM\|1\|D)|(kpr)|(kdp)|(train st.+moving)|(\|lc)|(penalty))"</v>
      </c>
      <c r="AG203" s="182" t="str">
        <f>DetSubdiv(A203)</f>
        <v>Other</v>
      </c>
      <c r="AH203" s="78" t="str">
        <f t="shared" si="36"/>
        <v>"%USERPROFILE%\Documents\GitHub\eaglep3\Utilities\RefineRTDCRunTimes.py" --tripid 310-15 --locoid 4003 --swversion DE.1.0.9.0 --startMP 300:23589 --initTime 2017-10-15T04:51:06 --startdatetime 2017-10-15T04:59:03 --delay 87 --endMP 204:156 --enddatetime 2017-10-15T05:07:56 --enforcementcount 0 &gt;&gt;%USERPROFILE%\Documents\GitHub\eaglep3-reporting\EC\2017-10-15-refined-times.txt</v>
      </c>
      <c r="AI203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{"issue":{"subject":"","project_id":79,"tracker_id":40,"status_id":1,"priority_id":2,"assigned_to_id":338,"start_date":"2017-10-15","description":"","custom_fields":[{"id":1,"name":"Subdivision","value":"Other"},{"id":4,"name":"Milepost","value":"0.0156"},{"id":17,"name":"Train ID","value":"310-15"},{"id":16,"name":"Locomotive ID","value":"4003"},{"id":130,"name":"Impact","value":""},{"id":150,"name":"Time of Event (Mountain Time)","value":"05:07:56"},{"id":151,"name":"Denver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8"/>
        <v>start /low /b %USERPROFILE%\Documents\GitHub\eaglep3\Utilities\DownloadLogsFromS3.py --loco 4003 --day 2017-10-15</v>
      </c>
      <c r="AN203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40"/>
        <v>https://d0f6bd738d7f1b3e5a7ca70fe4ff75f0.us-east-1.aws.found.io/app/kibana#/discover/Steve-Slow-Train-Analysis-(2080s-and-2083s)?_g=(refreshInterval:(display:Off,pause:!f,section:0,value:0),time:(from:'2017-10-15T03:51:06-0600',mode:absolute,to:'2017-10-15T06:07:56-0600'))&amp;_a=(columns:!('Message%20ID',Summary),filters:!(),index:'emp_*',interval:auto,query:(query_string:(analyze_wildcard:!t,query:'%22rtdc.l.rtdc.4003%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811</v>
      </c>
      <c r="B204" s="7">
        <v>4016</v>
      </c>
      <c r="C204" s="21" t="s">
        <v>194</v>
      </c>
      <c r="D204" s="21" t="s">
        <v>944</v>
      </c>
      <c r="E204" s="13">
        <v>43024.088402777779</v>
      </c>
      <c r="F204" s="13">
        <v>43024.091562499998</v>
      </c>
      <c r="G204" s="7">
        <v>203</v>
      </c>
      <c r="H204" s="21" t="s">
        <v>942</v>
      </c>
      <c r="I204" s="13">
        <v>43024.100358796299</v>
      </c>
      <c r="J204" s="7">
        <v>0</v>
      </c>
      <c r="K204" s="89" t="str">
        <f>IF(ISEVEN(B204),(B204-1)&amp;"/"&amp;B204,B204&amp;"/"&amp;(B204+1))</f>
        <v>4015/4016</v>
      </c>
      <c r="L204" s="185" t="str">
        <f>VLOOKUP(A204,'Trips&amp;Operators'!$C$1:$G$99911,5,FALSE)</f>
        <v>DUNCAN SHEILA</v>
      </c>
      <c r="M204" s="6">
        <f>I204-F204</f>
        <v>8.7962963007157668E-3</v>
      </c>
      <c r="N204" s="7">
        <f>24*60*SUM($M204:$M204)</f>
        <v>12.666666673030704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-16T01:07:18-0600',mode:absolute,to:'2017-10-16T03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04" t="str">
        <f>IF(AA204&lt;VLOOKUP(AG204,Variables!$AC$3:$AD$8,2,FALSE),"Y","N")</f>
        <v>Y</v>
      </c>
      <c r="X204" s="204">
        <f>VALUE(LEFT(AD204,4))-VALUE(LEFT(AD203,4))</f>
        <v>1</v>
      </c>
      <c r="Y204" s="204">
        <f>RIGHT(D204,LEN(D204)-4)/10000</f>
        <v>7.5899999999999995E-2</v>
      </c>
      <c r="Z204" s="204">
        <f>RIGHT(H204,LEN(H204)-4)/10000</f>
        <v>2.3313999999999999</v>
      </c>
      <c r="AA204" s="204">
        <f>ABS(Z204-Y204)</f>
        <v>2.2555000000000001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311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 &amp; 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/stypes="app*4016*20171016*" /stext=" 08:.+((SYSTEM_STATE.+slice.+state.+changed )|(ment ac)|(multiple cpu faults)|(system.+state.+changed )|(\[timeout)|(PRM\|1\|D)|(kpr)|(kdp)|(train st.+moving)|(\|lc)|(penalty))"</v>
      </c>
      <c r="AG204" s="182" t="str">
        <f>DetSubdiv(A204)</f>
        <v>Other</v>
      </c>
      <c r="AH204" s="78" t="str">
        <f t="shared" si="36"/>
        <v>"%USERPROFILE%\Documents\GitHub\eaglep3\Utilities\RefineRTDCRunTimes.py" --tripid 311-15 --locoid 4016 --swversion DE.1.0.9.0 --startMP 204:759 --initTime 2017-10-16T02:07:18 --startdatetime 2017-10-16T02:11:51 --delay 203 --endMP 300:23314 --enddatetime 2017-10-16T02:24:31 --enforcementcount 0 &gt;&gt;%USERPROFILE%\Documents\GitHub\eaglep3-reporting\EC\2017-10-15-refined-times.txt</v>
      </c>
      <c r="AI204" s="96" t="str">
        <f t="shared" si="37"/>
        <v>echo {"issue":{"subject":"","project_id":79,"tracker_id":40,"status_id":1,"priority_id":2,"assigned_to_id":338,"start_date":"2017-10-16","description":"","custom_fields":[{"id":1,"name":"Subdivision","value":"Other"},{"id":4,"name":"Milepost","value":"2.3314"},{"id":17,"name":"Train ID","value":"311-15"},{"id":16,"name":"Locomotive ID","value":"4016"},{"id":130,"name":"Impact","value":""},{"id":150,"name":"Time of Event (Mountain Time)","value":"02:24:31"},{"id":151,"name":"Denver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38"/>
        <v>start /low /b %USERPROFILE%\Documents\GitHub\eaglep3\Utilities\DownloadLogsFromS3.py --loco 4016 --day 2017-10-16</v>
      </c>
      <c r="AN204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08:24:31"},{"id":29,"name":"Sharepoint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40"/>
        <v>https://d0f6bd738d7f1b3e5a7ca70fe4ff75f0.us-east-1.aws.found.io/app/kibana#/discover/Steve-Slow-Train-Analysis-(2080s-and-2083s)?_g=(refreshInterval:(display:Off,pause:!f,section:0,value:0),time:(from:'2017-10-16T01:07:18-0600',mode:absolute,to:'2017-10-16T03:24:31-0600'))&amp;_a=(columns:!('Message%20ID',Summary),filters:!(),index:'emp_*',interval:auto,query:(query_string:(analyze_wildcard:!t,query:'%22rtdc.l.rtdc.4016%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631</v>
      </c>
      <c r="B205" s="7">
        <v>4015</v>
      </c>
      <c r="C205" s="21" t="s">
        <v>194</v>
      </c>
      <c r="D205" s="21" t="s">
        <v>945</v>
      </c>
      <c r="E205" s="13">
        <v>43023.225428240738</v>
      </c>
      <c r="F205" s="13">
        <v>43023.228425925925</v>
      </c>
      <c r="G205" s="7">
        <v>82</v>
      </c>
      <c r="H205" s="21" t="s">
        <v>364</v>
      </c>
      <c r="I205" s="13">
        <v>43023.233831018515</v>
      </c>
      <c r="J205" s="7">
        <v>0</v>
      </c>
      <c r="K205" s="89" t="str">
        <f>IF(ISEVEN(B205),(B205-1)&amp;"/"&amp;B205,B205&amp;"/"&amp;(B205+1))</f>
        <v>4015/4016</v>
      </c>
      <c r="L205" s="185" t="str">
        <f>VLOOKUP(A205,'Trips&amp;Operators'!$C$1:$G$99911,5,FALSE)</f>
        <v>LAMAR NEKESHA</v>
      </c>
      <c r="M205" s="6">
        <f>I205-F205</f>
        <v>5.4050925900810398E-3</v>
      </c>
      <c r="N205" s="7">
        <f>24*60*SUM($M205:$M205)</f>
        <v>7.7833333297166973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-15T04:24:37-0600',mode:absolute,to:'2017-10-15T06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2.3224</v>
      </c>
      <c r="Z205" s="204">
        <f>RIGHT(H205,LEN(H205)-4)/10000</f>
        <v>1.5800000000000002E-2</v>
      </c>
      <c r="AA205" s="204">
        <f>ABS(Z205-Y205)</f>
        <v>2.3066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312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"%USERPROFILE%\AppData\Local\Temp\OnboardLogs"\RTDC4015\2017-10-15 --exclude "*" --recursive --include "*20171015*" &amp; "%USERPROFILE%\Documents\GitHub\mrs-test-scripts\Headless Mode &amp; Sideloading\WalkAndUnGZ.bat" "%USERPROFILE%\AppData\Local\Temp\OnboardLogs"\RTDC4015\2017-10-15 &amp; aws s3 cp s3://rtdc.mdm.uploadarchive.raw/RTDC4015/ "%USERPROFILE%\AppData\Local\Temp\OnboardLogs"\RTDC4015\2017-10-16 --exclude "*" --recursive --include "*20171016*" &amp; "%USERPROFILE%\Documents\GitHub\mrs-test-scripts\Headless Mode &amp; Sideloading\WalkAndUnGZ.bat" "%USERPROFILE%\AppData\Local\Temp\OnboardLogs"\RTDC4015\2017-10-16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/stypes="app*4015*20171015*" /stext=" 11:.+((SYSTEM_STATE.+slice.+state.+changed )|(ment ac)|(multiple cpu faults)|(system.+state.+changed )|(\[timeout)|(PRM\|1\|D)|(kpr)|(kdp)|(train st.+moving)|(\|lc)|(penalty))"</v>
      </c>
      <c r="AG205" s="182" t="str">
        <f>DetSubdiv(A205)</f>
        <v>Other</v>
      </c>
      <c r="AH205" s="78" t="str">
        <f t="shared" si="36"/>
        <v>"%USERPROFILE%\Documents\GitHub\eaglep3\Utilities\RefineRTDCRunTimes.py" --tripid 312-15 --locoid 4015 --swversion DE.1.0.9.0 --startMP 300:23224 --initTime 2017-10-15T05:24:37 --startdatetime 2017-10-15T05:28:56 --delay 82 --endMP 204:158 --enddatetime 2017-10-15T05:36:43 --enforcementcount 0 &gt;&gt;%USERPROFILE%\Documents\GitHub\eaglep3-reporting\EC\2017-10-15-refined-times.txt</v>
      </c>
      <c r="AI205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{"issue":{"subject":"","project_id":79,"tracker_id":40,"status_id":1,"priority_id":2,"assigned_to_id":338,"start_date":"2017-10-15","description":"","custom_fields":[{"id":1,"name":"Subdivision","value":"Other"},{"id":4,"name":"Milepost","value":"0.0158"},{"id":17,"name":"Train ID","value":"312-15"},{"id":16,"name":"Locomotive ID","value":"4015"},{"id":130,"name":"Impact","value":""},{"id":150,"name":"Time of Event (Mountain Time)","value":"05:36:43"},{"id":151,"name":"Denver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38"/>
        <v>start /low /b %USERPROFILE%\Documents\GitHub\eaglep3\Utilities\DownloadLogsFromS3.py --loco 4015 --day 2017-10-15</v>
      </c>
      <c r="AN205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40"/>
        <v>https://d0f6bd738d7f1b3e5a7ca70fe4ff75f0.us-east-1.aws.found.io/app/kibana#/discover/Steve-Slow-Train-Analysis-(2080s-and-2083s)?_g=(refreshInterval:(display:Off,pause:!f,section:0,value:0),time:(from:'2017-10-15T04:24:37-0600',mode:absolute,to:'2017-10-15T06:36:43-0600'))&amp;_a=(columns:!('Message%20ID',Summary),filters:!(),index:'emp_*',interval:auto,query:(query_string:(analyze_wildcard:!t,query:'%22rtdc.l.rtdc.4015%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809</v>
      </c>
      <c r="B206" s="7">
        <v>4032</v>
      </c>
      <c r="C206" s="21" t="s">
        <v>194</v>
      </c>
      <c r="D206" s="21" t="s">
        <v>944</v>
      </c>
      <c r="E206" s="13">
        <v>43024.026643518519</v>
      </c>
      <c r="F206" s="13">
        <v>43024.028622685182</v>
      </c>
      <c r="G206" s="7">
        <v>49</v>
      </c>
      <c r="H206" s="21" t="s">
        <v>931</v>
      </c>
      <c r="I206" s="13">
        <v>43024.03565972222</v>
      </c>
      <c r="J206" s="7">
        <v>0</v>
      </c>
      <c r="K206" s="89" t="str">
        <f>IF(ISEVEN(B206),(B206-1)&amp;"/"&amp;B206,B206&amp;"/"&amp;(B206+1))</f>
        <v>4031/4032</v>
      </c>
      <c r="L206" s="185" t="str">
        <f>VLOOKUP(A206,'Trips&amp;Operators'!$C$1:$G$99911,5,FALSE)</f>
        <v>STAMBAUGH JAMES</v>
      </c>
      <c r="M206" s="6">
        <f>I206-F206</f>
        <v>7.0370370376622304E-3</v>
      </c>
      <c r="N206" s="7">
        <f>24*60*SUM($M206:$M206)</f>
        <v>10.133333334233612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-15T23:38:22-0600',mode:absolute,to:'2017-10-16T01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204" t="str">
        <f>IF(AA206&lt;VLOOKUP(AG206,Variables!$AC$3:$AD$8,2,FALSE),"Y","N")</f>
        <v>Y</v>
      </c>
      <c r="X206" s="204">
        <f>VALUE(LEFT(AD206,4))-VALUE(LEFT(AD205,4))</f>
        <v>1</v>
      </c>
      <c r="Y206" s="204">
        <f>RIGHT(D206,LEN(D206)-4)/10000</f>
        <v>7.5899999999999995E-2</v>
      </c>
      <c r="Z206" s="204">
        <f>RIGHT(H206,LEN(H206)-4)/10000</f>
        <v>2.3306</v>
      </c>
      <c r="AA206" s="204">
        <f>ABS(Z206-Y206)</f>
        <v>2.2547000000000001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313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 &amp; 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/stypes="app*4032*20171016*" /stext=" 06:.+((SYSTEM_STATE.+slice.+state.+changed )|(ment ac)|(multiple cpu faults)|(system.+state.+changed )|(\[timeout)|(PRM\|1\|D)|(kpr)|(kdp)|(train st.+moving)|(\|lc)|(penalty))"</v>
      </c>
      <c r="AG206" s="182" t="str">
        <f>DetSubdiv(A206)</f>
        <v>Other</v>
      </c>
      <c r="AH206" s="78" t="str">
        <f t="shared" si="36"/>
        <v>"%USERPROFILE%\Documents\GitHub\eaglep3\Utilities\RefineRTDCRunTimes.py" --tripid 313-15 --locoid 4032 --swversion DE.1.0.9.0 --startMP 204:759 --initTime 2017-10-16T00:38:22 --startdatetime 2017-10-16T00:41:13 --delay 49 --endMP 300:23306 --enddatetime 2017-10-16T00:51:21 --enforcementcount 0 &gt;&gt;%USERPROFILE%\Documents\GitHub\eaglep3-reporting\EC\2017-10-15-refined-times.txt</v>
      </c>
      <c r="AI206" s="96" t="str">
        <f t="shared" si="37"/>
        <v>echo {"issue":{"subject":"","project_id":79,"tracker_id":40,"status_id":1,"priority_id":2,"assigned_to_id":338,"start_date":"2017-10-16","description":"","custom_fields":[{"id":1,"name":"Subdivision","value":"Other"},{"id":4,"name":"Milepost","value":"2.3306"},{"id":17,"name":"Train ID","value":"313-15"},{"id":16,"name":"Locomotive ID","value":"4032"},{"id":130,"name":"Impact","value":""},{"id":150,"name":"Time of Event (Mountain Time)","value":"00:51:21"},{"id":151,"name":"Denver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38"/>
        <v>start /low /b %USERPROFILE%\Documents\GitHub\eaglep3\Utilities\DownloadLogsFromS3.py --loco 4032 --day 2017-10-16</v>
      </c>
      <c r="AN206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06:51:21"},{"id":29,"name":"Sharepoint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40"/>
        <v>https://d0f6bd738d7f1b3e5a7ca70fe4ff75f0.us-east-1.aws.found.io/app/kibana#/discover/Steve-Slow-Train-Analysis-(2080s-and-2083s)?_g=(refreshInterval:(display:Off,pause:!f,section:0,value:0),time:(from:'2017-10-15T23:38:22-0600',mode:absolute,to:'2017-10-16T01:51:21-0600'))&amp;_a=(columns:!('Message%20ID',Summary),filters:!(),index:'emp_*',interval:auto,query:(query_string:(analyze_wildcard:!t,query:'%22rtdc.l.rtdc.4032%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627</v>
      </c>
      <c r="B207" s="7">
        <v>4002</v>
      </c>
      <c r="C207" s="21" t="s">
        <v>194</v>
      </c>
      <c r="D207" s="21" t="s">
        <v>895</v>
      </c>
      <c r="E207" s="13">
        <v>43023.22278935185</v>
      </c>
      <c r="F207" s="13">
        <v>43023.22724537037</v>
      </c>
      <c r="G207" s="7">
        <v>137</v>
      </c>
      <c r="H207" s="21" t="s">
        <v>858</v>
      </c>
      <c r="I207" s="13">
        <v>43023.232708333337</v>
      </c>
      <c r="J207" s="7">
        <v>0</v>
      </c>
      <c r="K207" s="89" t="str">
        <f>IF(ISEVEN(B207),(B207-1)&amp;"/"&amp;B207,B207&amp;"/"&amp;(B207+1))</f>
        <v>4001/4002</v>
      </c>
      <c r="L207" s="185" t="str">
        <f>VLOOKUP(A207,'Trips&amp;Operators'!$C$1:$G$99911,5,FALSE)</f>
        <v>MACDONALD THOMAS</v>
      </c>
      <c r="M207" s="6">
        <f>I207-F207</f>
        <v>5.4629629667033441E-3</v>
      </c>
      <c r="N207" s="7">
        <f>24*60*SUM($M207:$M207)</f>
        <v>7.8666666720528156</v>
      </c>
      <c r="O207" s="7"/>
      <c r="P207" s="7"/>
      <c r="Q207" s="22"/>
      <c r="R207" s="174"/>
      <c r="S207" s="221">
        <f>1/IF(AG207="EC",12,1)*SUM(U207:U207)</f>
        <v>0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-15T04:20:49-0600',mode:absolute,to:'2017-10-15T06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1588</v>
      </c>
      <c r="Y207" s="204">
        <f>RIGHT(D207,LEN(D207)-4)/10000</f>
        <v>2.9748000000000001</v>
      </c>
      <c r="Z207" s="204">
        <f>RIGHT(H207,LEN(H207)-4)/10000</f>
        <v>5.8916000000000004</v>
      </c>
      <c r="AA207" s="204">
        <f>ABS(Z207-Y207)</f>
        <v>2.9168000000000003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1901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/stypes="app*4002*20171015*" /stext=" 11:.+((SYSTEM_STATE.+slice.+state.+changed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36"/>
        <v>"%USERPROFILE%\Documents\GitHub\eaglep3\Utilities\RefineRTDCRunTimes.py" --tripid 1901-15 --locoid 4002 --swversion DE.1.0.9.0 --startMP 300:29748 --initTime 2017-10-15T05:20:49 --startdatetime 2017-10-15T05:27:14 --delay 137 --endMP 300:58916 --enddatetime 2017-10-15T05:35:06 --enforcementcount 0 &gt;&gt;%USERPROFILE%\Documents\GitHub\eaglep3-reporting\EC\2017-10-15-refined-times.txt</v>
      </c>
      <c r="AI207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{"issue":{"subject":"","project_id":79,"tracker_id":40,"status_id":1,"priority_id":2,"assigned_to_id":338,"start_date":"2017-10-15","description":"","custom_fields":[{"id":1,"name":"Subdivision","value":"Other"},{"id":4,"name":"Milepost","value":"5.8916"},{"id":17,"name":"Train ID","value":"1901-15"},{"id":16,"name":"Locomotive ID","value":"4002"},{"id":130,"name":"Impact","value":""},{"id":150,"name":"Time of Event (Mountain Time)","value":"05:35:06"},{"id":151,"name":"Denver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38"/>
        <v>start /low /b %USERPROFILE%\Documents\GitHub\eaglep3\Utilities\DownloadLogsFromS3.py --loco 4002 --day 2017-10-15</v>
      </c>
      <c r="AN207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40"/>
        <v>https://d0f6bd738d7f1b3e5a7ca70fe4ff75f0.us-east-1.aws.found.io/app/kibana#/discover/Steve-Slow-Train-Analysis-(2080s-and-2083s)?_g=(refreshInterval:(display:Off,pause:!f,section:0,value:0),time:(from:'2017-10-15T04:20:49-0600',mode:absolute,to:'2017-10-15T06:35:06-0600'))&amp;_a=(columns:!('Message%20ID',Summary),filters:!(),index:'emp_*',interval:auto,query:(query_string:(analyze_wildcard:!t,query:'%22rtdc.l.rtdc.4002%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592</v>
      </c>
      <c r="B208" s="7">
        <v>4001</v>
      </c>
      <c r="C208" s="21" t="s">
        <v>194</v>
      </c>
      <c r="D208" s="21" t="s">
        <v>882</v>
      </c>
      <c r="E208" s="13">
        <v>43023.975960648146</v>
      </c>
      <c r="F208" s="13">
        <v>43023.977361111109</v>
      </c>
      <c r="G208" s="7">
        <v>52</v>
      </c>
      <c r="H208" s="21" t="s">
        <v>896</v>
      </c>
      <c r="I208" s="13">
        <v>43023.984560185185</v>
      </c>
      <c r="J208" s="7">
        <v>0</v>
      </c>
      <c r="K208" s="89" t="str">
        <f>IF(ISEVEN(B208),(B208-1)&amp;"/"&amp;B208,B208&amp;"/"&amp;(B208+1))</f>
        <v>4001/4002</v>
      </c>
      <c r="L208" s="185" t="str">
        <f>VLOOKUP(A208,'Trips&amp;Operators'!$C$1:$G$99911,5,FALSE)</f>
        <v>KILLION DAVID</v>
      </c>
      <c r="M208" s="6">
        <f>I208-F208</f>
        <v>7.1990740761975758E-3</v>
      </c>
      <c r="N208" s="7">
        <f>24*60*SUM($M208:$M208)</f>
        <v>10.366666669724509</v>
      </c>
      <c r="O208" s="7"/>
      <c r="P208" s="7"/>
      <c r="Q208" s="22"/>
      <c r="R208" s="174"/>
      <c r="S208" s="221">
        <f>1/IF(AG208="EC",12,1)*SUM(U208:U208)</f>
        <v>0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-15T22:25:23-0600',mode:absolute,to:'2017-10-16T00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5.8704000000000001</v>
      </c>
      <c r="Z208" s="204">
        <f>RIGHT(H208,LEN(H208)-4)/10000</f>
        <v>2.7446000000000002</v>
      </c>
      <c r="AA208" s="204">
        <f>ABS(Z208-Y208)</f>
        <v>3.1257999999999999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1902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/stypes="app*4001*20171016*" /stext=" 05:.+((SYSTEM_STATE.+slice.+state.+changed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36"/>
        <v>"%USERPROFILE%\Documents\GitHub\eaglep3\Utilities\RefineRTDCRunTimes.py" --tripid 1902-15 --locoid 4001 --swversion DE.1.0.9.0 --startMP 300:58704 --initTime 2017-10-15T23:25:23 --startdatetime 2017-10-15T23:27:24 --delay 52 --endMP 300:27446 --enddatetime 2017-10-15T23:37:46 --enforcementcount 0 &gt;&gt;%USERPROFILE%\Documents\GitHub\eaglep3-reporting\EC\2017-10-15-refined-times.txt</v>
      </c>
      <c r="AI208" s="96" t="str">
        <f t="shared" si="37"/>
        <v>echo {"issue":{"subject":"","project_id":79,"tracker_id":40,"status_id":1,"priority_id":2,"assigned_to_id":338,"start_date":"2017-10-15","description":"","custom_fields":[{"id":1,"name":"Subdivision","value":"Other"},{"id":4,"name":"Milepost","value":"2.7446"},{"id":17,"name":"Train ID","value":"1902-15"},{"id":16,"name":"Locomotive ID","value":"4001"},{"id":130,"name":"Impact","value":""},{"id":150,"name":"Time of Event (Mountain Time)","value":"23:37:46"},{"id":151,"name":"Denver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38"/>
        <v>start /low /b %USERPROFILE%\Documents\GitHub\eaglep3\Utilities\DownloadLogsFromS3.py --loco 4001 --day 2017-10-15</v>
      </c>
      <c r="AN208" s="151" t="str">
        <f t="shared" si="39"/>
        <v>echo {"issue":{"subject":"","project_id":30,"tracker_id":4,"status_id":1,"priority_id":1,"assigned_to_id":10,"start_date":"2017-10-16","description":"","custom_fields":[{"id":30,"name":"Category","value":"Issue"},{"id":3,"name":"Functional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UTC","value":"2017-10-16 05:37:46"},{"id":29,"name":"Sharepoint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40"/>
        <v>https://d0f6bd738d7f1b3e5a7ca70fe4ff75f0.us-east-1.aws.found.io/app/kibana#/discover/Steve-Slow-Train-Analysis-(2080s-and-2083s)?_g=(refreshInterval:(display:Off,pause:!f,section:0,value:0),time:(from:'2017-10-15T22:25:23-0600',mode:absolute,to:'2017-10-16T00:37:46-0600'))&amp;_a=(columns:!('Message%20ID',Summary),filters:!(),index:'emp_*',interval:auto,query:(query_string:(analyze_wildcard:!t,query:'%22rtdc.l.rtdc.4001%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625</v>
      </c>
      <c r="B209" s="7">
        <v>4007</v>
      </c>
      <c r="C209" s="21" t="s">
        <v>194</v>
      </c>
      <c r="D209" s="21" t="s">
        <v>946</v>
      </c>
      <c r="E209" s="13">
        <v>43023.214456018519</v>
      </c>
      <c r="F209" s="13">
        <v>43023.22247685185</v>
      </c>
      <c r="G209" s="7">
        <v>78</v>
      </c>
      <c r="H209" s="21" t="s">
        <v>947</v>
      </c>
      <c r="I209" s="13">
        <v>43023.228217592594</v>
      </c>
      <c r="J209" s="7">
        <v>0</v>
      </c>
      <c r="K209" s="89" t="str">
        <f>IF(ISEVEN(B209),(B209-1)&amp;"/"&amp;B209,B209&amp;"/"&amp;(B209+1))</f>
        <v>4007/4008</v>
      </c>
      <c r="L209" s="185" t="str">
        <f>VLOOKUP(A209,'Trips&amp;Operators'!$C$1:$G$99911,5,FALSE)</f>
        <v>GEBRETEKLE DAGNEW</v>
      </c>
      <c r="M209" s="6">
        <f>I209-F209</f>
        <v>5.7407407439313829E-3</v>
      </c>
      <c r="N209" s="7">
        <f>24*60*SUM($M209:$M209)</f>
        <v>8.2666666712611914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-15T04:08:49-0600',mode:absolute,to:'2017-10-15T06:28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-1852</v>
      </c>
      <c r="Y209" s="204">
        <f>RIGHT(D209,LEN(D209)-4)/10000</f>
        <v>2.3258000000000001</v>
      </c>
      <c r="Z209" s="204">
        <f>RIGHT(H209,LEN(H209)-4)/10000</f>
        <v>0.1169</v>
      </c>
      <c r="AA209" s="204">
        <f>ABS(Z209-Y209)</f>
        <v>2.2088999999999999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50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/stypes="app*4007*20171015*" /stext=" 11:.+((SYSTEM_STATE.+slice.+state.+changed )|(ment ac)|(multiple cpu faults)|(system.+state.+changed )|(\[timeout)|(PRM\|1\|D)|(kpr)|(kdp)|(train st.+moving)|(\|lc)|(penalty))"</v>
      </c>
      <c r="AG209" s="182" t="str">
        <f>DetSubdiv(A209)</f>
        <v>Shuttle/Test</v>
      </c>
      <c r="AH209" s="78" t="str">
        <f t="shared" si="36"/>
        <v>"%USERPROFILE%\Documents\GitHub\eaglep3\Utilities\RefineRTDCRunTimes.py" --tripid 50-15 --locoid 4007 --swversion DE.1.0.9.0 --startMP 300:23258 --initTime 2017-10-15T05:08:49 --startdatetime 2017-10-15T05:20:22 --delay 78 --endMP 204:1169 --enddatetime 2017-10-15T05:28:38 --enforcementcount 0 &gt;&gt;%USERPROFILE%\Documents\GitHub\eaglep3-reporting\EC\2017-10-15-refined-times.txt</v>
      </c>
      <c r="AI209" s="96" t="str">
        <f t="shared" si="37"/>
        <v>echo {"issue":{"subject":"","project_id":79,"tracker_id":40,"status_id":1,"priority_id":2,"assigned_to_id":338,"start_date":"2017-10-15","description":"","custom_fields":[{"id":1,"name":"Subdivision","value":"Shuttle/Test"},{"id":4,"name":"Milepost","value":"0.1169"},{"id":17,"name":"Train ID","value":"50-15"},{"id":16,"name":"Locomotive ID","value":"4007"},{"id":130,"name":"Impact","value":""},{"id":150,"name":"Time of Event (Mountain Time)","value":"05:28:38"},{"id":151,"name":"Denver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8"/>
        <v>start /low /b %USERPROFILE%\Documents\GitHub\eaglep3\Utilities\DownloadLogsFromS3.py --loco 4007 --day 2017-10-15</v>
      </c>
      <c r="AN209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11:28:38"},{"id":29,"name":"Sharepoint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0"/>
        <v>https://d0f6bd738d7f1b3e5a7ca70fe4ff75f0.us-east-1.aws.found.io/app/kibana#/discover/Steve-Slow-Train-Analysis-(2080s-and-2083s)?_g=(refreshInterval:(display:Off,pause:!f,section:0,value:0),time:(from:'2017-10-15T04:08:49-0600',mode:absolute,to:'2017-10-15T06:28:38-0600'))&amp;_a=(columns:!('Message%20ID',Summary),filters:!(),index:'emp_*',interval:auto,query:(query_string:(analyze_wildcard:!t,query:'%22rtdc.l.rtdc.4007%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625</v>
      </c>
      <c r="B210" s="7">
        <v>4044</v>
      </c>
      <c r="C210" s="21" t="s">
        <v>194</v>
      </c>
      <c r="D210" s="21" t="s">
        <v>441</v>
      </c>
      <c r="E210" s="13">
        <v>43023.489444444444</v>
      </c>
      <c r="F210" s="13">
        <v>43023.49114583333</v>
      </c>
      <c r="G210" s="7">
        <v>84</v>
      </c>
      <c r="H210" s="21" t="s">
        <v>948</v>
      </c>
      <c r="I210" s="13">
        <v>43023.498622685183</v>
      </c>
      <c r="J210" s="7">
        <v>0</v>
      </c>
      <c r="K210" s="89" t="str">
        <f>IF(ISEVEN(B210),(B210-1)&amp;"/"&amp;B210,B210&amp;"/"&amp;(B210+1))</f>
        <v>4043/4044</v>
      </c>
      <c r="L210" s="185" t="str">
        <f>VLOOKUP(A210,'Trips&amp;Operators'!$C$1:$G$99911,5,FALSE)</f>
        <v>GEBRETEKLE DAGNEW</v>
      </c>
      <c r="M210" s="6">
        <f>I210-F210</f>
        <v>7.4768518534256145E-3</v>
      </c>
      <c r="N210" s="7">
        <f>24*60*SUM($M210:$M210)</f>
        <v>10.766666668932885</v>
      </c>
      <c r="O210" s="7"/>
      <c r="P210" s="7"/>
      <c r="Q210" s="22"/>
      <c r="R210" s="174"/>
      <c r="S210" s="221">
        <f>1/IF(AG210="EC",12,1)*SUM(U210:U210)</f>
        <v>0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-15T10:44:48-0600',mode:absolute,to:'2017-10-15T12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0</v>
      </c>
      <c r="Y210" s="204">
        <f>RIGHT(D210,LEN(D210)-4)/10000</f>
        <v>4.6199999999999998E-2</v>
      </c>
      <c r="Z210" s="204">
        <f>RIGHT(H210,LEN(H210)-4)/10000</f>
        <v>2.4224000000000001</v>
      </c>
      <c r="AA210" s="204">
        <f>ABS(Z210-Y210)</f>
        <v>2.3762000000000003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50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 &amp; aws s3 cp s3://rtdc.mdm.uploadarchive.raw/RTDC4044/ "%USERPROFILE%\AppData\Local\Temp\OnboardLogs"\RTDC4044\2017-10-16 --exclude "*" --recursive --include "*20171016*" &amp; "%USERPROFILE%\Documents\GitHub\mrs-test-scripts\Headless Mode &amp; Sideloading\WalkAndUnGZ.bat" "%USERPROFILE%\AppData\Local\Temp\OnboardLogs"\RTDC4044\2017-10-16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/stypes="app*4044*20171015*" /stext=" 17:.+((SYSTEM_STATE.+slice.+state.+changed )|(ment ac)|(multiple cpu faults)|(system.+state.+changed )|(\[timeout)|(PRM\|1\|D)|(kpr)|(kdp)|(train st.+moving)|(\|lc)|(penalty))"</v>
      </c>
      <c r="AG210" s="182" t="str">
        <f>DetSubdiv(A210)</f>
        <v>Shuttle/Test</v>
      </c>
      <c r="AH210" s="78" t="str">
        <f t="shared" si="36"/>
        <v>"%USERPROFILE%\Documents\GitHub\eaglep3\Utilities\RefineRTDCRunTimes.py" --tripid 50-15 --locoid 4044 --swversion DE.1.0.9.0 --startMP 204:462 --initTime 2017-10-15T11:44:48 --startdatetime 2017-10-15T11:47:15 --delay 84 --endMP 300:24224 --enddatetime 2017-10-15T11:58:01 --enforcementcount 0 &gt;&gt;%USERPROFILE%\Documents\GitHub\eaglep3-reporting\EC\2017-10-15-refined-times.txt</v>
      </c>
      <c r="AI210" s="96" t="str">
        <f t="shared" si="37"/>
        <v>echo {"issue":{"subject":"","project_id":79,"tracker_id":40,"status_id":1,"priority_id":2,"assigned_to_id":338,"start_date":"2017-10-15","description":"","custom_fields":[{"id":1,"name":"Subdivision","value":"Shuttle/Test"},{"id":4,"name":"Milepost","value":"2.4224"},{"id":17,"name":"Train ID","value":"50-15"},{"id":16,"name":"Locomotive ID","value":"4044"},{"id":130,"name":"Impact","value":""},{"id":150,"name":"Time of Event (Mountain Time)","value":"11:58:01"},{"id":151,"name":"Denver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8"/>
        <v>start /low /b %USERPROFILE%\Documents\GitHub\eaglep3\Utilities\DownloadLogsFromS3.py --loco 4044 --day 2017-10-15</v>
      </c>
      <c r="AN210" s="151" t="str">
        <f t="shared" si="39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0"/>
        <v>https://d0f6bd738d7f1b3e5a7ca70fe4ff75f0.us-east-1.aws.found.io/app/kibana#/discover/Steve-Slow-Train-Analysis-(2080s-and-2083s)?_g=(refreshInterval:(display:Off,pause:!f,section:0,value:0),time:(from:'2017-10-15T10:44:48-0600',mode:absolute,to:'2017-10-15T12:58:01-0600'))&amp;_a=(columns:!('Message%20ID',Summary),filters:!(),index:'emp_*',interval:auto,query:(query_string:(analyze_wildcard:!t,query:'%22rtdc.l.rtdc.4044%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608</v>
      </c>
      <c r="B211" s="7">
        <v>4058</v>
      </c>
      <c r="C211" s="21" t="s">
        <v>194</v>
      </c>
      <c r="D211" s="21" t="s">
        <v>380</v>
      </c>
      <c r="E211" s="13">
        <v>43023.124745370369</v>
      </c>
      <c r="F211" s="13">
        <v>43023.137152777781</v>
      </c>
      <c r="G211" s="7">
        <v>69</v>
      </c>
      <c r="H211" s="21" t="s">
        <v>949</v>
      </c>
      <c r="I211" s="13">
        <v>43023.138599537036</v>
      </c>
      <c r="J211" s="7">
        <v>0</v>
      </c>
      <c r="K211" s="89" t="str">
        <f>IF(ISEVEN(B211),(B211-1)&amp;"/"&amp;B211,B211&amp;"/"&amp;(B211+1))</f>
        <v>4057/4058</v>
      </c>
      <c r="L211" s="185" t="str">
        <f>VLOOKUP(A211,'Trips&amp;Operators'!$C$1:$G$99911,5,FALSE)</f>
        <v>LOPES KIMBERLY</v>
      </c>
      <c r="M211" s="6">
        <f>I211-F211</f>
        <v>1.4467592554865405E-3</v>
      </c>
      <c r="N211" s="7">
        <f>24*60*SUM($M211:$M211)</f>
        <v>2.0833333279006183</v>
      </c>
      <c r="O211" s="7"/>
      <c r="P211" s="7"/>
      <c r="Q211" s="22"/>
      <c r="R211" s="174"/>
      <c r="S211" s="221">
        <f>1/IF(AG211="EC",12,1)*SUM(U211:U211)</f>
        <v>0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-15T01:59:38-0600',mode:absolute,to:'2017-10-15T04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4.5699999999999998E-2</v>
      </c>
      <c r="Z211" s="204">
        <f>RIGHT(H211,LEN(H211)-4)/10000</f>
        <v>0.3306</v>
      </c>
      <c r="AA211" s="204">
        <f>ABS(Z211-Y211)</f>
        <v>0.28489999999999999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51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/stypes="app*4058*20171015*" /stext=" 09:.+((SYSTEM_STATE.+slice.+state.+changed )|(ment ac)|(multiple cpu faults)|(system.+state.+changed )|(\[timeout)|(PRM\|1\|D)|(kpr)|(kdp)|(train st.+moving)|(\|lc)|(penalty))"</v>
      </c>
      <c r="AG211" s="182" t="str">
        <f>DetSubdiv(A211)</f>
        <v>Shuttle/Test</v>
      </c>
      <c r="AH211" s="78" t="str">
        <f t="shared" ref="AH211:AH225" si="77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51-15 --locoid 4058 --swversion DE.1.0.9.0 --startMP 204:457 --initTime 2017-10-15T02:59:38 --startdatetime 2017-10-15T03:17:30 --delay 69 --endMP 204:3306 --enddatetime 2017-10-15T03:19:35 --enforcementcount 0 &gt;&gt;%USERPROFILE%\Documents\GitHub\eaglep3-reporting\EC\2017-10-15-refined-times.txt</v>
      </c>
      <c r="AI211" s="96" t="str">
        <f t="shared" ref="AI211:AI225" si="78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Shuttle/Test"},{"id":4,"name":"Milepost","value":"0.3306"},{"id":17,"name":"Train ID","value":"51-15"},{"id":16,"name":"Locomotive ID","value":"4058"},{"id":130,"name":"Impact","value":""},{"id":150,"name":"Time of Event (Mountain Time)","value":"03:19:35"},{"id":151,"name":"Denver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ref="AM211:AM225" si="79">"start /low /b "&amp;dls3logs&amp;" --loco "&amp;B211&amp;" --day "&amp;TEXT(F211,"YYYY-MM-DD")</f>
        <v>start /low /b %USERPROFILE%\Documents\GitHub\eaglep3\Utilities\DownloadLogsFromS3.py --loco 4058 --day 2017-10-15</v>
      </c>
      <c r="AN211" s="151" t="str">
        <f t="shared" ref="AN211:AN225" si="80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09:19:35"},{"id":29,"name":"Sharepoint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ref="AO211:AO225" si="81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-15T01:59:38-0600',mode:absolute,to:'2017-10-15T04:19:35-0600'))&amp;_a=(columns:!('Message%20ID',Summary),filters:!(),index:'emp_*',interval:auto,query:(query_string:(analyze_wildcard:!t,query:'%22rtdc.l.rtdc.4058%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608</v>
      </c>
      <c r="B212" s="7">
        <v>4066</v>
      </c>
      <c r="C212" s="21" t="s">
        <v>194</v>
      </c>
      <c r="D212" s="21" t="s">
        <v>950</v>
      </c>
      <c r="E212" s="13">
        <v>43023.416979166665</v>
      </c>
      <c r="F212" s="13">
        <v>43023.425081018519</v>
      </c>
      <c r="G212" s="7">
        <v>45</v>
      </c>
      <c r="H212" s="21" t="s">
        <v>951</v>
      </c>
      <c r="I212" s="13">
        <v>43023.432789351849</v>
      </c>
      <c r="J212" s="7">
        <v>0</v>
      </c>
      <c r="K212" s="89" t="str">
        <f>IF(ISEVEN(B212),(B212-1)&amp;"/"&amp;B212,B212&amp;"/"&amp;(B212+1))</f>
        <v>4065/4066</v>
      </c>
      <c r="L212" s="185" t="str">
        <f>VLOOKUP(A212,'Trips&amp;Operators'!$C$1:$G$99911,5,FALSE)</f>
        <v>LOPES KIMBERLY</v>
      </c>
      <c r="M212" s="6">
        <f>I212-F212</f>
        <v>7.7083333308110014E-3</v>
      </c>
      <c r="N212" s="7">
        <f>24*60*SUM($M212:$M212)</f>
        <v>11.099999996367842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-15T09:00:27-0600',mode:absolute,to:'2017-10-15T11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0</v>
      </c>
      <c r="Y212" s="204">
        <f>RIGHT(D212,LEN(D212)-4)/10000</f>
        <v>3.7900000000000003E-2</v>
      </c>
      <c r="Z212" s="204">
        <f>RIGHT(H212,LEN(H212)-4)/10000</f>
        <v>3.1294</v>
      </c>
      <c r="AA212" s="204">
        <f>ABS(Z212-Y212)</f>
        <v>3.0914999999999999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51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s3://rtdc.mdm.uploadarchive.raw/RTDC4066/ "%USERPROFILE%\AppData\Local\Temp\OnboardLogs"\RTDC4066\2017-10-15 --exclude "*" --recursive --include "*20171015*" &amp; "%USERPROFILE%\Documents\GitHub\mrs-test-scripts\Headless Mode &amp; Sideloading\WalkAndUnGZ.bat" "%USERPROFILE%\AppData\Local\Temp\OnboardLogs"\RTDC4066\2017-10-15 &amp; aws s3 cp s3://rtdc.mdm.uploadarchive.raw/RTDC4066/ "%USERPROFILE%\AppData\Local\Temp\OnboardLogs"\RTDC4066\2017-10-16 --exclude "*" --recursive --include "*20171016*" &amp; "%USERPROFILE%\Documents\GitHub\mrs-test-scripts\Headless Mode &amp; Sideloading\WalkAndUnGZ.bat" "%USERPROFILE%\AppData\Local\Temp\OnboardLogs"\RTDC4066\2017-10-16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/stypes="app*4066*20171015*" /stext=" 16:.+((SYSTEM_STATE.+slice.+state.+changed )|(ment ac)|(multiple cpu faults)|(system.+state.+changed )|(\[timeout)|(PRM\|1\|D)|(kpr)|(kdp)|(train st.+moving)|(\|lc)|(penalty))"</v>
      </c>
      <c r="AG212" s="182" t="str">
        <f>DetSubdiv(A212)</f>
        <v>Shuttle/Test</v>
      </c>
      <c r="AH212" s="78" t="str">
        <f t="shared" si="77"/>
        <v>"%USERPROFILE%\Documents\GitHub\eaglep3\Utilities\RefineRTDCRunTimes.py" --tripid 51-15 --locoid 4066 --swversion DE.1.0.9.0 --startMP 204:379 --initTime 2017-10-15T10:00:27 --startdatetime 2017-10-15T10:12:07 --delay 45 --endMP 300:31294 --enddatetime 2017-10-15T10:23:13 --enforcementcount 0 &gt;&gt;%USERPROFILE%\Documents\GitHub\eaglep3-reporting\EC\2017-10-15-refined-times.txt</v>
      </c>
      <c r="AI212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3.1294"},{"id":17,"name":"Train ID","value":"51-15"},{"id":16,"name":"Locomotive ID","value":"4066"},{"id":130,"name":"Impact","value":""},{"id":150,"name":"Time of Event (Mountain Time)","value":"10:23:13"},{"id":151,"name":"Denver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79"/>
        <v>start /low /b %USERPROFILE%\Documents\GitHub\eaglep3\Utilities\DownloadLogsFromS3.py --loco 4066 --day 2017-10-15</v>
      </c>
      <c r="AN212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81"/>
        <v>https://d0f6bd738d7f1b3e5a7ca70fe4ff75f0.us-east-1.aws.found.io/app/kibana#/discover/Steve-Slow-Train-Analysis-(2080s-and-2083s)?_g=(refreshInterval:(display:Off,pause:!f,section:0,value:0),time:(from:'2017-10-15T09:00:27-0600',mode:absolute,to:'2017-10-15T11:23:13-0600'))&amp;_a=(columns:!('Message%20ID',Summary),filters:!(),index:'emp_*',interval:auto,query:(query_string:(analyze_wildcard:!t,query:'%22rtdc.l.rtdc.4066%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610</v>
      </c>
      <c r="B213" s="7">
        <v>4057</v>
      </c>
      <c r="C213" s="21" t="s">
        <v>194</v>
      </c>
      <c r="D213" s="21" t="s">
        <v>952</v>
      </c>
      <c r="E213" s="13">
        <v>43023.139282407406</v>
      </c>
      <c r="F213" s="13">
        <v>43023.140706018516</v>
      </c>
      <c r="G213" s="7">
        <v>62</v>
      </c>
      <c r="H213" s="21" t="s">
        <v>953</v>
      </c>
      <c r="I213" s="13">
        <v>43023.141932870371</v>
      </c>
      <c r="J213" s="7">
        <v>0</v>
      </c>
      <c r="K213" s="89" t="str">
        <f>IF(ISEVEN(B213),(B213-1)&amp;"/"&amp;B213,B213&amp;"/"&amp;(B213+1))</f>
        <v>4057/4058</v>
      </c>
      <c r="L213" s="185" t="str">
        <f>VLOOKUP(A213,'Trips&amp;Operators'!$C$1:$G$99911,5,FALSE)</f>
        <v>LOPES KIMBERLY</v>
      </c>
      <c r="M213" s="6">
        <f>I213-F213</f>
        <v>1.2268518548808061E-3</v>
      </c>
      <c r="N213" s="7">
        <f>24*60*SUM($M213:$M213)</f>
        <v>1.7666666710283607</v>
      </c>
      <c r="O213" s="7"/>
      <c r="P213" s="7"/>
      <c r="Q213" s="22"/>
      <c r="R213" s="174"/>
      <c r="S213" s="221">
        <f>1/IF(AG213="EC",12,1)*SUM(U213:U213)</f>
        <v>0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-15T02:20:34-0600',mode:absolute,to:'2017-10-15T04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0.29630000000000001</v>
      </c>
      <c r="Z213" s="204">
        <f>RIGHT(H213,LEN(H213)-4)/10000</f>
        <v>0.11559999999999999</v>
      </c>
      <c r="AA213" s="204">
        <f>ABS(Z213-Y213)</f>
        <v>0.18070000000000003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52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s3://rtdc.mdm.uploadarchive.raw/RTDC4057/ "%USERPROFILE%\AppData\Local\Temp\OnboardLogs"\RTDC4057\2017-10-15 --exclude "*" --recursive --include "*20171015*" &amp; "%USERPROFILE%\Documents\GitHub\mrs-test-scripts\Headless Mode &amp; Sideloading\WalkAndUnGZ.bat" "%USERPROFILE%\AppData\Local\Temp\OnboardLogs"\RTDC4057\2017-10-15 &amp; aws s3 cp s3://rtdc.mdm.uploadarchive.raw/RTDC4057/ "%USERPROFILE%\AppData\Local\Temp\OnboardLogs"\RTDC4057\2017-10-16 --exclude "*" --recursive --include "*20171016*" &amp; "%USERPROFILE%\Documents\GitHub\mrs-test-scripts\Headless Mode &amp; Sideloading\WalkAndUnGZ.bat" "%USERPROFILE%\AppData\Local\Temp\OnboardLogs"\RTDC4057\2017-10-16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/stypes="app*4057*20171015*" /stext=" 09:.+((SYSTEM_STATE.+slice.+state.+changed )|(ment ac)|(multiple cpu faults)|(system.+state.+changed )|(\[timeout)|(PRM\|1\|D)|(kpr)|(kdp)|(train st.+moving)|(\|lc)|(penalty))"</v>
      </c>
      <c r="AG213" s="182" t="str">
        <f>DetSubdiv(A213)</f>
        <v>Shuttle/Test</v>
      </c>
      <c r="AH213" s="78" t="str">
        <f t="shared" si="77"/>
        <v>"%USERPROFILE%\Documents\GitHub\eaglep3\Utilities\RefineRTDCRunTimes.py" --tripid 52-15 --locoid 4057 --swversion DE.1.0.9.0 --startMP 204:2963 --initTime 2017-10-15T03:20:34 --startdatetime 2017-10-15T03:22:37 --delay 62 --endMP 204:1156 --enddatetime 2017-10-15T03:24:23 --enforcementcount 0 &gt;&gt;%USERPROFILE%\Documents\GitHub\eaglep3-reporting\EC\2017-10-15-refined-times.txt</v>
      </c>
      <c r="AI213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0.1156"},{"id":17,"name":"Train ID","value":"52-15"},{"id":16,"name":"Locomotive ID","value":"4057"},{"id":130,"name":"Impact","value":""},{"id":150,"name":"Time of Event (Mountain Time)","value":"03:24:23"},{"id":151,"name":"Denver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79"/>
        <v>start /low /b %USERPROFILE%\Documents\GitHub\eaglep3\Utilities\DownloadLogsFromS3.py --loco 4057 --day 2017-10-15</v>
      </c>
      <c r="AN213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09:24:23"},{"id":29,"name":"Sharepoint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81"/>
        <v>https://d0f6bd738d7f1b3e5a7ca70fe4ff75f0.us-east-1.aws.found.io/app/kibana#/discover/Steve-Slow-Train-Analysis-(2080s-and-2083s)?_g=(refreshInterval:(display:Off,pause:!f,section:0,value:0),time:(from:'2017-10-15T02:20:34-0600',mode:absolute,to:'2017-10-15T04:24:23-0600'))&amp;_a=(columns:!('Message%20ID',Summary),filters:!(),index:'emp_*',interval:auto,query:(query_string:(analyze_wildcard:!t,query:'%22rtdc.l.rtdc.4057%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620</v>
      </c>
      <c r="B214" s="7">
        <v>4058</v>
      </c>
      <c r="C214" s="21" t="s">
        <v>194</v>
      </c>
      <c r="D214" s="21" t="s">
        <v>954</v>
      </c>
      <c r="E214" s="13">
        <v>43023.1874537037</v>
      </c>
      <c r="F214" s="13">
        <v>43023.198078703703</v>
      </c>
      <c r="G214" s="7">
        <v>48</v>
      </c>
      <c r="H214" s="21" t="s">
        <v>955</v>
      </c>
      <c r="I214" s="13">
        <v>43023.222303240742</v>
      </c>
      <c r="J214" s="7">
        <v>0</v>
      </c>
      <c r="K214" s="89" t="str">
        <f>IF(ISEVEN(B214),(B214-1)&amp;"/"&amp;B214,B214&amp;"/"&amp;(B214+1))</f>
        <v>4057/4058</v>
      </c>
      <c r="L214" s="185" t="str">
        <f>VLOOKUP(A214,'Trips&amp;Operators'!$C$1:$G$99911,5,FALSE)</f>
        <v>LOPES KIMBERLY</v>
      </c>
      <c r="M214" s="6">
        <f>I214-F214</f>
        <v>2.4224537039117422E-2</v>
      </c>
      <c r="N214" s="7">
        <f>24*60*SUM($M214:$M214)</f>
        <v>34.883333336329088</v>
      </c>
      <c r="O214" s="7"/>
      <c r="P214" s="7"/>
      <c r="Q214" s="22"/>
      <c r="R214" s="174"/>
      <c r="S214" s="221">
        <f>1/IF(AG214="EC",12,1)*SUM(U214:U214)</f>
        <v>0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-15T03:29:56-0600',mode:absolute,to:'2017-10-15T06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0.1479</v>
      </c>
      <c r="Z214" s="204">
        <f>RIGHT(H214,LEN(H214)-4)/10000</f>
        <v>0.1477</v>
      </c>
      <c r="AA214" s="204">
        <f>ABS(Z214-Y214)</f>
        <v>2.0000000000000573E-4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53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s3://rtdc.mdm.uploadarchive.raw/RTDC4058/ "%USERPROFILE%\AppData\Local\Temp\OnboardLogs"\RTDC4058\2017-10-15 --exclude "*" --recursive --include "*20171015*" &amp; "%USERPROFILE%\Documents\GitHub\mrs-test-scripts\Headless Mode &amp; Sideloading\WalkAndUnGZ.bat" "%USERPROFILE%\AppData\Local\Temp\OnboardLogs"\RTDC4058\2017-10-15 &amp; aws s3 cp s3://rtdc.mdm.uploadarchive.raw/RTDC4058/ "%USERPROFILE%\AppData\Local\Temp\OnboardLogs"\RTDC4058\2017-10-16 --exclude "*" --recursive --include "*20171016*" &amp; "%USERPROFILE%\Documents\GitHub\mrs-test-scripts\Headless Mode &amp; Sideloading\WalkAndUnGZ.bat" "%USERPROFILE%\AppData\Local\Temp\OnboardLogs"\RTDC4058\2017-10-16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/stypes="app*4058*20171015*" /stext=" 11:.+((SYSTEM_STATE.+slice.+state.+changed )|(ment ac)|(multiple cpu faults)|(system.+state.+changed )|(\[timeout)|(PRM\|1\|D)|(kpr)|(kdp)|(train st.+moving)|(\|lc)|(penalty))"</v>
      </c>
      <c r="AG214" s="182" t="str">
        <f>DetSubdiv(A214)</f>
        <v>Shuttle/Test</v>
      </c>
      <c r="AH214" s="78" t="str">
        <f t="shared" si="77"/>
        <v>"%USERPROFILE%\Documents\GitHub\eaglep3\Utilities\RefineRTDCRunTimes.py" --tripid 53-15 --locoid 4058 --swversion DE.1.0.9.0 --startMP 204:1479 --initTime 2017-10-15T04:29:56 --startdatetime 2017-10-15T04:45:14 --delay 48 --endMP 204:1477 --enddatetime 2017-10-15T05:20:07 --enforcementcount 0 &gt;&gt;%USERPROFILE%\Documents\GitHub\eaglep3-reporting\EC\2017-10-15-refined-times.txt</v>
      </c>
      <c r="AI214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0.1477"},{"id":17,"name":"Train ID","value":"53-15"},{"id":16,"name":"Locomotive ID","value":"4058"},{"id":130,"name":"Impact","value":""},{"id":150,"name":"Time of Event (Mountain Time)","value":"05:20:07"},{"id":151,"name":"Denver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79"/>
        <v>start /low /b %USERPROFILE%\Documents\GitHub\eaglep3\Utilities\DownloadLogsFromS3.py --loco 4058 --day 2017-10-15</v>
      </c>
      <c r="AN214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81"/>
        <v>https://d0f6bd738d7f1b3e5a7ca70fe4ff75f0.us-east-1.aws.found.io/app/kibana#/discover/Steve-Slow-Train-Analysis-(2080s-and-2083s)?_g=(refreshInterval:(display:Off,pause:!f,section:0,value:0),time:(from:'2017-10-15T03:29:56-0600',mode:absolute,to:'2017-10-15T06:20:07-0600'))&amp;_a=(columns:!('Message%20ID',Summary),filters:!(),index:'emp_*',interval:auto,query:(query_string:(analyze_wildcard:!t,query:'%22rtdc.l.rtdc.4058%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671</v>
      </c>
      <c r="B215" s="7">
        <v>4065</v>
      </c>
      <c r="C215" s="21" t="s">
        <v>194</v>
      </c>
      <c r="D215" s="21" t="s">
        <v>956</v>
      </c>
      <c r="E215" s="13">
        <v>43023.398414351854</v>
      </c>
      <c r="F215" s="13">
        <v>43023.400995370372</v>
      </c>
      <c r="G215" s="7">
        <v>66</v>
      </c>
      <c r="H215" s="21" t="s">
        <v>957</v>
      </c>
      <c r="I215" s="13">
        <v>43023.40693287037</v>
      </c>
      <c r="J215" s="7">
        <v>0</v>
      </c>
      <c r="K215" s="89" t="str">
        <f>IF(ISEVEN(B215),(B215-1)&amp;"/"&amp;B215,B215&amp;"/"&amp;(B215+1))</f>
        <v>4065/4066</v>
      </c>
      <c r="L215" s="185" t="str">
        <f>VLOOKUP(A215,'Trips&amp;Operators'!$C$1:$G$99911,5,FALSE)</f>
        <v>MCREYNOLDS KYLE</v>
      </c>
      <c r="M215" s="6">
        <f>I215-F215</f>
        <v>5.9374999982537702E-3</v>
      </c>
      <c r="N215" s="7">
        <f>24*60*SUM($M215:$M215)</f>
        <v>8.549999997485429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-15T08:33:43-0600',mode:absolute,to:'2017-10-15T10:45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3</v>
      </c>
      <c r="Y215" s="204">
        <f>RIGHT(D215,LEN(D215)-4)/10000</f>
        <v>2.3694000000000002</v>
      </c>
      <c r="Z215" s="204">
        <f>RIGHT(H215,LEN(H215)-4)/10000</f>
        <v>6.7999999999999996E-3</v>
      </c>
      <c r="AA215" s="204">
        <f>ABS(Z215-Y215)</f>
        <v>2.3626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56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s3://rtdc.mdm.uploadarchive.raw/RTDC4065/ "%USERPROFILE%\AppData\Local\Temp\OnboardLogs"\RTDC4065\2017-10-15 --exclude "*" --recursive --include "*20171015*" &amp; "%USERPROFILE%\Documents\GitHub\mrs-test-scripts\Headless Mode &amp; Sideloading\WalkAndUnGZ.bat" "%USERPROFILE%\AppData\Local\Temp\OnboardLogs"\RTDC4065\2017-10-15 &amp; aws s3 cp s3://rtdc.mdm.uploadarchive.raw/RTDC4065/ "%USERPROFILE%\AppData\Local\Temp\OnboardLogs"\RTDC4065\2017-10-16 --exclude "*" --recursive --include "*20171016*" &amp; "%USERPROFILE%\Documents\GitHub\mrs-test-scripts\Headless Mode &amp; Sideloading\WalkAndUnGZ.bat" "%USERPROFILE%\AppData\Local\Temp\OnboardLogs"\RTDC4065\2017-10-16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/stypes="app*4065*20171015*" /stext=" 15:.+((SYSTEM_STATE.+slice.+state.+changed )|(ment ac)|(multiple cpu faults)|(system.+state.+changed )|(\[timeout)|(PRM\|1\|D)|(kpr)|(kdp)|(train st.+moving)|(\|lc)|(penalty))"</v>
      </c>
      <c r="AG215" s="182" t="str">
        <f>DetSubdiv(A215)</f>
        <v>Shuttle/Test</v>
      </c>
      <c r="AH215" s="78" t="str">
        <f t="shared" si="77"/>
        <v>"%USERPROFILE%\Documents\GitHub\eaglep3\Utilities\RefineRTDCRunTimes.py" --tripid 56-15 --locoid 4065 --swversion DE.1.0.9.0 --startMP 300:23694 --initTime 2017-10-15T09:33:43 --startdatetime 2017-10-15T09:37:26 --delay 66 --endMP 204:68 --enddatetime 2017-10-15T09:45:59 --enforcementcount 0 &gt;&gt;%USERPROFILE%\Documents\GitHub\eaglep3-reporting\EC\2017-10-15-refined-times.txt</v>
      </c>
      <c r="AI215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0.0068"},{"id":17,"name":"Train ID","value":"56-15"},{"id":16,"name":"Locomotive ID","value":"4065"},{"id":130,"name":"Impact","value":""},{"id":150,"name":"Time of Event (Mountain Time)","value":"09:45:59"},{"id":151,"name":"Denver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79"/>
        <v>start /low /b %USERPROFILE%\Documents\GitHub\eaglep3\Utilities\DownloadLogsFromS3.py --loco 4065 --day 2017-10-15</v>
      </c>
      <c r="AN215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15:45:59"},{"id":29,"name":"Sharepoint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81"/>
        <v>https://d0f6bd738d7f1b3e5a7ca70fe4ff75f0.us-east-1.aws.found.io/app/kibana#/discover/Steve-Slow-Train-Analysis-(2080s-and-2083s)?_g=(refreshInterval:(display:Off,pause:!f,section:0,value:0),time:(from:'2017-10-15T08:33:43-0600',mode:absolute,to:'2017-10-15T10:45:59-0600'))&amp;_a=(columns:!('Message%20ID',Summary),filters:!(),index:'emp_*',interval:auto,query:(query_string:(analyze_wildcard:!t,query:'%22rtdc.l.rtdc.4065%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678</v>
      </c>
      <c r="B216" s="7">
        <v>4055</v>
      </c>
      <c r="C216" s="21" t="s">
        <v>194</v>
      </c>
      <c r="D216" s="21" t="s">
        <v>958</v>
      </c>
      <c r="E216" s="13">
        <v>43023.421736111108</v>
      </c>
      <c r="F216" s="13">
        <v>43023.425868055558</v>
      </c>
      <c r="G216" s="7">
        <v>215</v>
      </c>
      <c r="H216" s="21" t="s">
        <v>364</v>
      </c>
      <c r="I216" s="13">
        <v>43023.431655092594</v>
      </c>
      <c r="J216" s="7">
        <v>0</v>
      </c>
      <c r="K216" s="89" t="str">
        <f>IF(ISEVEN(B216),(B216-1)&amp;"/"&amp;B216,B216&amp;"/"&amp;(B216+1))</f>
        <v>4055/4056</v>
      </c>
      <c r="L216" s="185" t="str">
        <f>VLOOKUP(A216,'Trips&amp;Operators'!$C$1:$G$99911,5,FALSE)</f>
        <v>RESPASS AARON</v>
      </c>
      <c r="M216" s="6">
        <f>I216-F216</f>
        <v>5.7870370364980772E-3</v>
      </c>
      <c r="N216" s="7">
        <f>24*60*SUM($M216:$M216)</f>
        <v>8.3333333325572312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-15T09:07:18-0600',mode:absolute,to:'2017-10-15T11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2</v>
      </c>
      <c r="Y216" s="204">
        <f>RIGHT(D216,LEN(D216)-4)/10000</f>
        <v>2.35</v>
      </c>
      <c r="Z216" s="204">
        <f>RIGHT(H216,LEN(H216)-4)/10000</f>
        <v>1.5800000000000002E-2</v>
      </c>
      <c r="AA216" s="204">
        <f>ABS(Z216-Y216)</f>
        <v>2.3342000000000001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58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s3://rtdc.mdm.uploadarchive.raw/RTDC4055/ "%USERPROFILE%\AppData\Local\Temp\OnboardLogs"\RTDC4055\2017-10-15 --exclude "*" --recursive --include "*20171015*" &amp; "%USERPROFILE%\Documents\GitHub\mrs-test-scripts\Headless Mode &amp; Sideloading\WalkAndUnGZ.bat" "%USERPROFILE%\AppData\Local\Temp\OnboardLogs"\RTDC4055\2017-10-15 &amp; aws s3 cp s3://rtdc.mdm.uploadarchive.raw/RTDC4055/ "%USERPROFILE%\AppData\Local\Temp\OnboardLogs"\RTDC4055\2017-10-16 --exclude "*" --recursive --include "*20171016*" &amp; "%USERPROFILE%\Documents\GitHub\mrs-test-scripts\Headless Mode &amp; Sideloading\WalkAndUnGZ.bat" "%USERPROFILE%\AppData\Local\Temp\OnboardLogs"\RTDC4055\2017-10-16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/stypes="app*4055*20171015*" /stext=" 16:.+((SYSTEM_STATE.+slice.+state.+changed )|(ment ac)|(multiple cpu faults)|(system.+state.+changed )|(\[timeout)|(PRM\|1\|D)|(kpr)|(kdp)|(train st.+moving)|(\|lc)|(penalty))"</v>
      </c>
      <c r="AG216" s="182" t="str">
        <f>DetSubdiv(A216)</f>
        <v>Shuttle/Test</v>
      </c>
      <c r="AH216" s="78" t="str">
        <f t="shared" si="77"/>
        <v>"%USERPROFILE%\Documents\GitHub\eaglep3\Utilities\RefineRTDCRunTimes.py" --tripid 58-15 --locoid 4055 --swversion DE.1.0.9.0 --startMP 300:23500 --initTime 2017-10-15T10:07:18 --startdatetime 2017-10-15T10:13:15 --delay 215 --endMP 204:158 --enddatetime 2017-10-15T10:21:35 --enforcementcount 0 &gt;&gt;%USERPROFILE%\Documents\GitHub\eaglep3-reporting\EC\2017-10-15-refined-times.txt</v>
      </c>
      <c r="AI216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0.0158"},{"id":17,"name":"Train ID","value":"58-15"},{"id":16,"name":"Locomotive ID","value":"4055"},{"id":130,"name":"Impact","value":""},{"id":150,"name":"Time of Event (Mountain Time)","value":"10:21:35"},{"id":151,"name":"Denver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79"/>
        <v>start /low /b %USERPROFILE%\Documents\GitHub\eaglep3\Utilities\DownloadLogsFromS3.py --loco 4055 --day 2017-10-15</v>
      </c>
      <c r="AN216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16:21:35"},{"id":29,"name":"Sharepoint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81"/>
        <v>https://d0f6bd738d7f1b3e5a7ca70fe4ff75f0.us-east-1.aws.found.io/app/kibana#/discover/Steve-Slow-Train-Analysis-(2080s-and-2083s)?_g=(refreshInterval:(display:Off,pause:!f,section:0,value:0),time:(from:'2017-10-15T09:07:18-0600',mode:absolute,to:'2017-10-15T11:21:35-0600'))&amp;_a=(columns:!('Message%20ID',Summary),filters:!(),index:'emp_*',interval:auto,query:(query_string:(analyze_wildcard:!t,query:'%22rtdc.l.rtdc.4055%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686</v>
      </c>
      <c r="B217" s="7">
        <v>4065</v>
      </c>
      <c r="C217" s="21" t="s">
        <v>194</v>
      </c>
      <c r="D217" s="21" t="s">
        <v>492</v>
      </c>
      <c r="E217" s="13">
        <v>43023.451793981483</v>
      </c>
      <c r="F217" s="13">
        <v>43023.454224537039</v>
      </c>
      <c r="G217" s="7">
        <v>71</v>
      </c>
      <c r="H217" s="21" t="s">
        <v>959</v>
      </c>
      <c r="I217" s="13">
        <v>43023.459803240738</v>
      </c>
      <c r="J217" s="7">
        <v>0</v>
      </c>
      <c r="K217" s="89" t="str">
        <f>IF(ISEVEN(B217),(B217-1)&amp;"/"&amp;B217,B217&amp;"/"&amp;(B217+1))</f>
        <v>4065/4066</v>
      </c>
      <c r="L217" s="185" t="str">
        <f>VLOOKUP(A217,'Trips&amp;Operators'!$C$1:$G$99911,5,FALSE)</f>
        <v>SAFIEF AEIMEN</v>
      </c>
      <c r="M217" s="6">
        <f>I217-F217</f>
        <v>5.5787036981200799E-3</v>
      </c>
      <c r="N217" s="7">
        <f>24*60*SUM($M217:$M217)</f>
        <v>8.0333333252929151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-15T09:50:35-0600',mode:absolute,to:'2017-10-15T12:02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2</v>
      </c>
      <c r="Y217" s="204">
        <f>RIGHT(D217,LEN(D217)-4)/10000</f>
        <v>2.3563000000000001</v>
      </c>
      <c r="Z217" s="204">
        <f>RIGHT(H217,LEN(H217)-4)/10000</f>
        <v>9.2299999999999993E-2</v>
      </c>
      <c r="AA217" s="204">
        <f>ABS(Z217-Y217)</f>
        <v>2.2640000000000002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60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s3://rtdc.mdm.uploadarchive.raw/RTDC4065/ "%USERPROFILE%\AppData\Local\Temp\OnboardLogs"\RTDC4065\2017-10-15 --exclude "*" --recursive --include "*20171015*" &amp; "%USERPROFILE%\Documents\GitHub\mrs-test-scripts\Headless Mode &amp; Sideloading\WalkAndUnGZ.bat" "%USERPROFILE%\AppData\Local\Temp\OnboardLogs"\RTDC4065\2017-10-15 &amp; aws s3 cp s3://rtdc.mdm.uploadarchive.raw/RTDC4065/ "%USERPROFILE%\AppData\Local\Temp\OnboardLogs"\RTDC4065\2017-10-16 --exclude "*" --recursive --include "*20171016*" &amp; "%USERPROFILE%\Documents\GitHub\mrs-test-scripts\Headless Mode &amp; Sideloading\WalkAndUnGZ.bat" "%USERPROFILE%\AppData\Local\Temp\OnboardLogs"\RTDC4065\2017-10-16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/stypes="app*4065*20171015*" /stext=" 17:.+((SYSTEM_STATE.+slice.+state.+changed )|(ment ac)|(multiple cpu faults)|(system.+state.+changed )|(\[timeout)|(PRM\|1\|D)|(kpr)|(kdp)|(train st.+moving)|(\|lc)|(penalty))"</v>
      </c>
      <c r="AG217" s="182" t="str">
        <f>DetSubdiv(A217)</f>
        <v>Shuttle/Test</v>
      </c>
      <c r="AH217" s="78" t="str">
        <f t="shared" si="77"/>
        <v>"%USERPROFILE%\Documents\GitHub\eaglep3\Utilities\RefineRTDCRunTimes.py" --tripid 60-15 --locoid 4065 --swversion DE.1.0.9.0 --startMP 300:23563 --initTime 2017-10-15T10:50:35 --startdatetime 2017-10-15T10:54:05 --delay 71 --endMP 204:923 --enddatetime 2017-10-15T11:02:07 --enforcementcount 0 &gt;&gt;%USERPROFILE%\Documents\GitHub\eaglep3-reporting\EC\2017-10-15-refined-times.txt</v>
      </c>
      <c r="AI217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0.0923"},{"id":17,"name":"Train ID","value":"60-15"},{"id":16,"name":"Locomotive ID","value":"4065"},{"id":130,"name":"Impact","value":""},{"id":150,"name":"Time of Event (Mountain Time)","value":"11:02:07"},{"id":151,"name":"Denver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79"/>
        <v>start /low /b %USERPROFILE%\Documents\GitHub\eaglep3\Utilities\DownloadLogsFromS3.py --loco 4065 --day 2017-10-15</v>
      </c>
      <c r="AN217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17:02:07"},{"id":29,"name":"Sharepoint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81"/>
        <v>https://d0f6bd738d7f1b3e5a7ca70fe4ff75f0.us-east-1.aws.found.io/app/kibana#/discover/Steve-Slow-Train-Analysis-(2080s-and-2083s)?_g=(refreshInterval:(display:Off,pause:!f,section:0,value:0),time:(from:'2017-10-15T09:50:35-0600',mode:absolute,to:'2017-10-15T12:02:07-0600'))&amp;_a=(columns:!('Message%20ID',Summary),filters:!(),index:'emp_*',interval:auto,query:(query_string:(analyze_wildcard:!t,query:'%22rtdc.l.rtdc.4065%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702</v>
      </c>
      <c r="B218" s="7">
        <v>4066</v>
      </c>
      <c r="C218" s="21" t="s">
        <v>194</v>
      </c>
      <c r="D218" s="21" t="s">
        <v>960</v>
      </c>
      <c r="E218" s="13">
        <v>43023.468981481485</v>
      </c>
      <c r="F218" s="13">
        <v>43023.480219907404</v>
      </c>
      <c r="G218" s="7">
        <v>428</v>
      </c>
      <c r="H218" s="21" t="s">
        <v>961</v>
      </c>
      <c r="I218" s="13">
        <v>43023.489756944444</v>
      </c>
      <c r="J218" s="7">
        <v>0</v>
      </c>
      <c r="K218" s="89" t="str">
        <f>IF(ISEVEN(B218),(B218-1)&amp;"/"&amp;B218,B218&amp;"/"&amp;(B218+1))</f>
        <v>4065/4066</v>
      </c>
      <c r="L218" s="185" t="str">
        <f>VLOOKUP(A218,'Trips&amp;Operators'!$C$1:$G$99911,5,FALSE)</f>
        <v>BROWN JACOB</v>
      </c>
      <c r="M218" s="6">
        <f>I218-F218</f>
        <v>9.5370370399905369E-3</v>
      </c>
      <c r="N218" s="7">
        <f>24*60*SUM($M218:$M218)</f>
        <v>13.733333337586373</v>
      </c>
      <c r="O218" s="7"/>
      <c r="P218" s="7"/>
      <c r="Q218" s="22"/>
      <c r="R218" s="174"/>
      <c r="S218" s="221">
        <f>1/IF(AG218="EC",12,1)*SUM(U218:U218)</f>
        <v>0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-15T10:15:20-0600',mode:absolute,to:'2017-10-15T12:45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2</v>
      </c>
      <c r="Y218" s="204">
        <f>RIGHT(D218,LEN(D218)-4)/10000</f>
        <v>0.1229</v>
      </c>
      <c r="Z218" s="204">
        <f>RIGHT(H218,LEN(H218)-4)/10000</f>
        <v>2.4243999999999999</v>
      </c>
      <c r="AA218" s="204">
        <f>ABS(Z218-Y218)</f>
        <v>2.3014999999999999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62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s3://rtdc.mdm.uploadarchive.raw/RTDC4066/ "%USERPROFILE%\AppData\Local\Temp\OnboardLogs"\RTDC4066\2017-10-15 --exclude "*" --recursive --include "*20171015*" &amp; "%USERPROFILE%\Documents\GitHub\mrs-test-scripts\Headless Mode &amp; Sideloading\WalkAndUnGZ.bat" "%USERPROFILE%\AppData\Local\Temp\OnboardLogs"\RTDC4066\2017-10-15 &amp; aws s3 cp s3://rtdc.mdm.uploadarchive.raw/RTDC4066/ "%USERPROFILE%\AppData\Local\Temp\OnboardLogs"\RTDC4066\2017-10-16 --exclude "*" --recursive --include "*20171016*" &amp; "%USERPROFILE%\Documents\GitHub\mrs-test-scripts\Headless Mode &amp; Sideloading\WalkAndUnGZ.bat" "%USERPROFILE%\AppData\Local\Temp\OnboardLogs"\RTDC4066\2017-10-16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/stypes="app*4066*20171015*" /stext=" 17:.+((SYSTEM_STATE.+slice.+state.+changed )|(ment ac)|(multiple cpu faults)|(system.+state.+changed )|(\[timeout)|(PRM\|1\|D)|(kpr)|(kdp)|(train st.+moving)|(\|lc)|(penalty))"</v>
      </c>
      <c r="AG218" s="182" t="str">
        <f>DetSubdiv(A218)</f>
        <v>Shuttle/Test</v>
      </c>
      <c r="AH218" s="78" t="str">
        <f t="shared" si="77"/>
        <v>"%USERPROFILE%\Documents\GitHub\eaglep3\Utilities\RefineRTDCRunTimes.py" --tripid 62-15 --locoid 4066 --swversion DE.1.0.9.0 --startMP 204:1229 --initTime 2017-10-15T11:15:20 --startdatetime 2017-10-15T11:31:31 --delay 428 --endMP 300:24244 --enddatetime 2017-10-15T11:45:15 --enforcementcount 0 &gt;&gt;%USERPROFILE%\Documents\GitHub\eaglep3-reporting\EC\2017-10-15-refined-times.txt</v>
      </c>
      <c r="AI218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2.4244"},{"id":17,"name":"Train ID","value":"62-15"},{"id":16,"name":"Locomotive ID","value":"4066"},{"id":130,"name":"Impact","value":""},{"id":150,"name":"Time of Event (Mountain Time)","value":"11:45:15"},{"id":151,"name":"Denver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79"/>
        <v>start /low /b %USERPROFILE%\Documents\GitHub\eaglep3\Utilities\DownloadLogsFromS3.py --loco 4066 --day 2017-10-15</v>
      </c>
      <c r="AN218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17:45:15"},{"id":29,"name":"Sharepoint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81"/>
        <v>https://d0f6bd738d7f1b3e5a7ca70fe4ff75f0.us-east-1.aws.found.io/app/kibana#/discover/Steve-Slow-Train-Analysis-(2080s-and-2083s)?_g=(refreshInterval:(display:Off,pause:!f,section:0,value:0),time:(from:'2017-10-15T10:15:20-0600',mode:absolute,to:'2017-10-15T12:45:15-0600'))&amp;_a=(columns:!('Message%20ID',Summary),filters:!(),index:'emp_*',interval:auto,query:(query_string:(analyze_wildcard:!t,query:'%22rtdc.l.rtdc.4066%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690</v>
      </c>
      <c r="B219" s="7">
        <v>4056</v>
      </c>
      <c r="C219" s="21" t="s">
        <v>194</v>
      </c>
      <c r="D219" s="21" t="s">
        <v>962</v>
      </c>
      <c r="E219" s="13">
        <v>43023.447511574072</v>
      </c>
      <c r="F219" s="13">
        <v>43023.459976851853</v>
      </c>
      <c r="G219" s="7">
        <v>525</v>
      </c>
      <c r="H219" s="21" t="s">
        <v>963</v>
      </c>
      <c r="I219" s="13">
        <v>43023.465243055558</v>
      </c>
      <c r="J219" s="7">
        <v>0</v>
      </c>
      <c r="K219" s="89" t="str">
        <f>IF(ISEVEN(B219),(B219-1)&amp;"/"&amp;B219,B219&amp;"/"&amp;(B219+1))</f>
        <v>4055/4056</v>
      </c>
      <c r="L219" s="185" t="str">
        <f>VLOOKUP(A219,'Trips&amp;Operators'!$C$1:$G$99911,5,FALSE)</f>
        <v>ROMERO CHAD</v>
      </c>
      <c r="M219" s="6">
        <f>I219-F219</f>
        <v>5.2662037051049992E-3</v>
      </c>
      <c r="N219" s="7">
        <f>24*60*SUM($M219:$M219)</f>
        <v>7.5833333353511989</v>
      </c>
      <c r="O219" s="7"/>
      <c r="P219" s="7"/>
      <c r="Q219" s="22"/>
      <c r="R219" s="174"/>
      <c r="S219" s="221">
        <f>1/IF(AG219="EC",12,1)*SUM(U219:U219)</f>
        <v>0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-15T09:44:25-0600',mode:absolute,to:'2017-10-15T12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4</v>
      </c>
      <c r="Y219" s="204">
        <f>RIGHT(D219,LEN(D219)-4)/10000</f>
        <v>4.5900000000000003E-2</v>
      </c>
      <c r="Z219" s="204">
        <f>RIGHT(H219,LEN(H219)-4)/10000</f>
        <v>2.4230999999999998</v>
      </c>
      <c r="AA219" s="204">
        <f>ABS(Z219-Y219)</f>
        <v>2.3771999999999998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66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s3://rtdc.mdm.uploadarchive.raw/RTDC4056/ "%USERPROFILE%\AppData\Local\Temp\OnboardLogs"\RTDC4056\2017-10-15 --exclude "*" --recursive --include "*20171015*" &amp; "%USERPROFILE%\Documents\GitHub\mrs-test-scripts\Headless Mode &amp; Sideloading\WalkAndUnGZ.bat" "%USERPROFILE%\AppData\Local\Temp\OnboardLogs"\RTDC4056\2017-10-15 &amp; aws s3 cp s3://rtdc.mdm.uploadarchive.raw/RTDC4056/ "%USERPROFILE%\AppData\Local\Temp\OnboardLogs"\RTDC4056\2017-10-16 --exclude "*" --recursive --include "*20171016*" &amp; "%USERPROFILE%\Documents\GitHub\mrs-test-scripts\Headless Mode &amp; Sideloading\WalkAndUnGZ.bat" "%USERPROFILE%\AppData\Local\Temp\OnboardLogs"\RTDC4056\2017-10-16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/stypes="app*4056*20171015*" /stext=" 17:.+((SYSTEM_STATE.+slice.+state.+changed )|(ment ac)|(multiple cpu faults)|(system.+state.+changed )|(\[timeout)|(PRM\|1\|D)|(kpr)|(kdp)|(train st.+moving)|(\|lc)|(penalty))"</v>
      </c>
      <c r="AG219" s="182" t="str">
        <f>DetSubdiv(A219)</f>
        <v>Shuttle/Test</v>
      </c>
      <c r="AH219" s="78" t="str">
        <f t="shared" si="77"/>
        <v>"%USERPROFILE%\Documents\GitHub\eaglep3\Utilities\RefineRTDCRunTimes.py" --tripid 66-15 --locoid 4056 --swversion DE.1.0.9.0 --startMP 204:459 --initTime 2017-10-15T10:44:25 --startdatetime 2017-10-15T11:02:22 --delay 525 --endMP 300:24231 --enddatetime 2017-10-15T11:09:57 --enforcementcount 0 &gt;&gt;%USERPROFILE%\Documents\GitHub\eaglep3-reporting\EC\2017-10-15-refined-times.txt</v>
      </c>
      <c r="AI219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2.4231"},{"id":17,"name":"Train ID","value":"66-15"},{"id":16,"name":"Locomotive ID","value":"4056"},{"id":130,"name":"Impact","value":""},{"id":150,"name":"Time of Event (Mountain Time)","value":"11:09:57"},{"id":151,"name":"Denver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79"/>
        <v>start /low /b %USERPROFILE%\Documents\GitHub\eaglep3\Utilities\DownloadLogsFromS3.py --loco 4056 --day 2017-10-15</v>
      </c>
      <c r="AN219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81"/>
        <v>https://d0f6bd738d7f1b3e5a7ca70fe4ff75f0.us-east-1.aws.found.io/app/kibana#/discover/Steve-Slow-Train-Analysis-(2080s-and-2083s)?_g=(refreshInterval:(display:Off,pause:!f,section:0,value:0),time:(from:'2017-10-15T09:44:25-0600',mode:absolute,to:'2017-10-15T12:09:57-0600'))&amp;_a=(columns:!('Message%20ID',Summary),filters:!(),index:'emp_*',interval:auto,query:(query_string:(analyze_wildcard:!t,query:'%22rtdc.l.rtdc.4056%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695</v>
      </c>
      <c r="B220" s="7">
        <v>4043</v>
      </c>
      <c r="C220" s="21" t="s">
        <v>194</v>
      </c>
      <c r="D220" s="21" t="s">
        <v>964</v>
      </c>
      <c r="E220" s="13">
        <v>43023.461284722223</v>
      </c>
      <c r="F220" s="13">
        <v>43023.46770833333</v>
      </c>
      <c r="G220" s="7">
        <v>82</v>
      </c>
      <c r="H220" s="21" t="s">
        <v>481</v>
      </c>
      <c r="I220" s="13">
        <v>43023.473391203705</v>
      </c>
      <c r="J220" s="7">
        <v>0</v>
      </c>
      <c r="K220" s="89" t="str">
        <f>IF(ISEVEN(B220),(B220-1)&amp;"/"&amp;B220,B220&amp;"/"&amp;(B220+1))</f>
        <v>4043/4044</v>
      </c>
      <c r="L220" s="185" t="str">
        <f>VLOOKUP(A220,'Trips&amp;Operators'!$C$1:$G$99911,5,FALSE)</f>
        <v>GUZMAN DANNY</v>
      </c>
      <c r="M220" s="6">
        <f>I220-F220</f>
        <v>5.6828703745850362E-3</v>
      </c>
      <c r="N220" s="7">
        <f>24*60*SUM($M220:$M220)</f>
        <v>8.1833333394024521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-15T10:04:15-0600',mode:absolute,to:'2017-10-15T12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4</v>
      </c>
      <c r="Y220" s="204">
        <f>RIGHT(D220,LEN(D220)-4)/10000</f>
        <v>2.3422999999999998</v>
      </c>
      <c r="Z220" s="204">
        <f>RIGHT(H220,LEN(H220)-4)/10000</f>
        <v>1.38E-2</v>
      </c>
      <c r="AA220" s="204">
        <f>ABS(Z220-Y220)</f>
        <v>2.3285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70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 &amp; aws s3 cp s3://rtdc.mdm.uploadarchive.raw/RTDC4043/ "%USERPROFILE%\AppData\Local\Temp\OnboardLogs"\RTDC4043\2017-10-16 --exclude "*" --recursive --include "*20171016*" &amp; "%USERPROFILE%\Documents\GitHub\mrs-test-scripts\Headless Mode &amp; Sideloading\WalkAndUnGZ.bat" "%USERPROFILE%\AppData\Local\Temp\OnboardLogs"\RTDC4043\2017-10-16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/stypes="app*4043*20171015*" /stext=" 17:.+((SYSTEM_STATE.+slice.+state.+changed )|(ment ac)|(multiple cpu faults)|(system.+state.+changed )|(\[timeout)|(PRM\|1\|D)|(kpr)|(kdp)|(train st.+moving)|(\|lc)|(penalty))"</v>
      </c>
      <c r="AG220" s="182" t="str">
        <f>DetSubdiv(A220)</f>
        <v>Shuttle/Test</v>
      </c>
      <c r="AH220" s="78" t="str">
        <f t="shared" si="77"/>
        <v>"%USERPROFILE%\Documents\GitHub\eaglep3\Utilities\RefineRTDCRunTimes.py" --tripid 70-15 --locoid 4043 --swversion DE.1.0.9.0 --startMP 300:23423 --initTime 2017-10-15T11:04:15 --startdatetime 2017-10-15T11:13:30 --delay 82 --endMP 204:138 --enddatetime 2017-10-15T11:21:41 --enforcementcount 0 &gt;&gt;%USERPROFILE%\Documents\GitHub\eaglep3-reporting\EC\2017-10-15-refined-times.txt</v>
      </c>
      <c r="AI220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0.0138"},{"id":17,"name":"Train ID","value":"70-15"},{"id":16,"name":"Locomotive ID","value":"4043"},{"id":130,"name":"Impact","value":""},{"id":150,"name":"Time of Event (Mountain Time)","value":"11:21:41"},{"id":151,"name":"Denver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79"/>
        <v>start /low /b %USERPROFILE%\Documents\GitHub\eaglep3\Utilities\DownloadLogsFromS3.py --loco 4043 --day 2017-10-15</v>
      </c>
      <c r="AN220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17:21:41"},{"id":29,"name":"Sharepoint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81"/>
        <v>https://d0f6bd738d7f1b3e5a7ca70fe4ff75f0.us-east-1.aws.found.io/app/kibana#/discover/Steve-Slow-Train-Analysis-(2080s-and-2083s)?_g=(refreshInterval:(display:Off,pause:!f,section:0,value:0),time:(from:'2017-10-15T10:04:15-0600',mode:absolute,to:'2017-10-15T12:21:41-0600'))&amp;_a=(columns:!('Message%20ID',Summary),filters:!(),index:'emp_*',interval:auto,query:(query_string:(analyze_wildcard:!t,query:'%22rtdc.l.rtdc.4043%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794</v>
      </c>
      <c r="B221" s="7">
        <v>4044</v>
      </c>
      <c r="C221" s="21" t="s">
        <v>194</v>
      </c>
      <c r="D221" s="21" t="s">
        <v>965</v>
      </c>
      <c r="E221" s="13">
        <v>43023.896168981482</v>
      </c>
      <c r="F221" s="13">
        <v>25568.708333333332</v>
      </c>
      <c r="G221" s="7">
        <v>126</v>
      </c>
      <c r="H221" s="21" t="s">
        <v>966</v>
      </c>
      <c r="I221" s="13">
        <v>25568.708333333332</v>
      </c>
      <c r="J221" s="7">
        <v>0</v>
      </c>
      <c r="K221" s="89" t="str">
        <f>IF(ISEVEN(B221),(B221-1)&amp;"/"&amp;B221,B221&amp;"/"&amp;(B221+1))</f>
        <v>4043/4044</v>
      </c>
      <c r="L221" s="185" t="str">
        <f>VLOOKUP(A221,'Trips&amp;Operators'!$C$1:$G$99911,5,FALSE)</f>
        <v>WEST BRYAN</v>
      </c>
      <c r="M221" s="6">
        <f>I221-F221</f>
        <v>0</v>
      </c>
      <c r="N221" s="7">
        <f>24*60*SUM($M221:$M221)</f>
        <v>0</v>
      </c>
      <c r="O221" s="7"/>
      <c r="P221" s="7"/>
      <c r="Q221" s="22"/>
      <c r="R221" s="174"/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-15T20:30:29-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3</v>
      </c>
      <c r="Y221" s="204">
        <f>RIGHT(D221,LEN(D221)-4)/10000</f>
        <v>0.12139999999999999</v>
      </c>
      <c r="Z221" s="204">
        <f>RIGHT(H221,LEN(H221)-4)/10000</f>
        <v>0.5756</v>
      </c>
      <c r="AA221" s="204">
        <f>ABS(Z221-Y221)</f>
        <v>0.45419999999999999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73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/stypes="app*4044*19691231*" /stext=" 23:.+((SYSTEM_STATE.+slice.+state.+changed )|(ment ac)|(multiple cpu faults)|(system.+state.+changed )|(\[timeout)|(PRM\|1\|D)|(kpr)|(kdp)|(train st.+moving)|(\|lc)|(penalty))"</v>
      </c>
      <c r="AG221" s="182" t="str">
        <f>DetSubdiv(A221)</f>
        <v>Shuttle/Test</v>
      </c>
      <c r="AH221" s="78" t="str">
        <f t="shared" si="77"/>
        <v>"%USERPROFILE%\Documents\GitHub\eaglep3\Utilities\RefineRTDCRunTimes.py" --tripid 73-15 --locoid 4044 --swversion DE.1.0.9.0 --startMP 204:1214 --initTime 2017-10-15T21:30:29 --startdatetime 1969-12-31T17:00:00 --delay 126 --endMP 300:5756 --enddatetime 1969-12-31T17:00:00 --enforcementcount 0 &gt;&gt;%USERPROFILE%\Documents\GitHub\eaglep3-reporting\EC\2017-10-15-refined-times.txt</v>
      </c>
      <c r="AI221" s="96" t="str">
        <f t="shared" si="78"/>
        <v>echo {"issue":{"subject":"","project_id":79,"tracker_id":40,"status_id":1,"priority_id":2,"assigned_to_id":338,"start_date":"1969-12-31","description":"","custom_fields":[{"id":1,"name":"Subdivision","value":"Shuttle/Test"},{"id":4,"name":"Milepost","value":"0.5756"},{"id":17,"name":"Train ID","value":"73-15"},{"id":16,"name":"Locomotive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79"/>
        <v>start /low /b %USERPROFILE%\Documents\GitHub\eaglep3\Utilities\DownloadLogsFromS3.py --loco 4044 --day 1969-12-31</v>
      </c>
      <c r="AN221" s="151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81"/>
        <v>https://d0f6bd738d7f1b3e5a7ca70fe4ff75f0.us-east-1.aws.found.io/app/kibana#/discover/Steve-Slow-Train-Analysis-(2080s-and-2083s)?_g=(refreshInterval:(display:Off,pause:!f,section:0,value:0),time:(from:'2017-10-15T20:30:29-0600',mode:absolute,to:'1969-12-31T18:00:00-0600'))&amp;_a=(columns:!('Message%20ID',Summary),filters:!(),index:'emp_*',interval:auto,query:(query_string:(analyze_wildcard:!t,query:'%22rtdc.l.rtdc.4044%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757</v>
      </c>
      <c r="B222" s="7">
        <v>4008</v>
      </c>
      <c r="C222" s="21" t="s">
        <v>194</v>
      </c>
      <c r="D222" s="21" t="s">
        <v>967</v>
      </c>
      <c r="E222" s="13">
        <v>43023.680879629632</v>
      </c>
      <c r="F222" s="13">
        <v>43023.696458333332</v>
      </c>
      <c r="G222" s="7">
        <v>60</v>
      </c>
      <c r="H222" s="21" t="s">
        <v>968</v>
      </c>
      <c r="I222" s="13">
        <v>43023.705543981479</v>
      </c>
      <c r="J222" s="7">
        <v>0</v>
      </c>
      <c r="K222" s="89" t="str">
        <f>IF(ISEVEN(B222),(B222-1)&amp;"/"&amp;B222,B222&amp;"/"&amp;(B222+1))</f>
        <v>4007/4008</v>
      </c>
      <c r="L222" s="185" t="str">
        <f>VLOOKUP(A222,'Trips&amp;Operators'!$C$1:$G$99911,5,FALSE)</f>
        <v>MCREYNOLDS KYLE</v>
      </c>
      <c r="M222" s="6">
        <f>I222-F222</f>
        <v>9.0856481474475004E-3</v>
      </c>
      <c r="N222" s="7">
        <f>24*60*SUM($M222:$M222)</f>
        <v>13.083333332324401</v>
      </c>
      <c r="O222" s="7"/>
      <c r="P222" s="7"/>
      <c r="Q222" s="22"/>
      <c r="R222" s="174"/>
      <c r="S222" s="221">
        <f>1/IF(AG222="EC",12,1)*SUM(U222:U222)</f>
        <v>0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-15T15:20:28-0600',mode:absolute,to:'2017-10-15T17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2</v>
      </c>
      <c r="Y222" s="204">
        <f>RIGHT(D222,LEN(D222)-4)/10000</f>
        <v>0.14879999999999999</v>
      </c>
      <c r="Z222" s="204">
        <f>RIGHT(H222,LEN(H222)-4)/10000</f>
        <v>0.34849999999999998</v>
      </c>
      <c r="AA222" s="204">
        <f>ABS(Z222-Y222)</f>
        <v>0.19969999999999999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75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s3://rtdc.mdm.uploadarchive.raw/RTDC4008/ "%USERPROFILE%\AppData\Local\Temp\OnboardLogs"\RTDC4008\2017-10-15 --exclude "*" --recursive --include "*20171015*" &amp; "%USERPROFILE%\Documents\GitHub\mrs-test-scripts\Headless Mode &amp; Sideloading\WalkAndUnGZ.bat" "%USERPROFILE%\AppData\Local\Temp\OnboardLogs"\RTDC4008\2017-10-15 &amp; aws s3 cp s3://rtdc.mdm.uploadarchive.raw/RTDC4008/ "%USERPROFILE%\AppData\Local\Temp\OnboardLogs"\RTDC4008\2017-10-16 --exclude "*" --recursive --include "*20171016*" &amp; "%USERPROFILE%\Documents\GitHub\mrs-test-scripts\Headless Mode &amp; Sideloading\WalkAndUnGZ.bat" "%USERPROFILE%\AppData\Local\Temp\OnboardLogs"\RTDC4008\2017-10-16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/stypes="app*4008*20171015*" /stext=" 22:.+((SYSTEM_STATE.+slice.+state.+changed )|(ment ac)|(multiple cpu faults)|(system.+state.+changed )|(\[timeout)|(PRM\|1\|D)|(kpr)|(kdp)|(train st.+moving)|(\|lc)|(penalty))"</v>
      </c>
      <c r="AG222" s="182" t="str">
        <f>DetSubdiv(A222)</f>
        <v>Shuttle/Test</v>
      </c>
      <c r="AH222" s="78" t="str">
        <f t="shared" si="77"/>
        <v>"%USERPROFILE%\Documents\GitHub\eaglep3\Utilities\RefineRTDCRunTimes.py" --tripid 75-15 --locoid 4008 --swversion DE.1.0.9.0 --startMP 204:1488 --initTime 2017-10-15T16:20:28 --startdatetime 2017-10-15T16:42:54 --delay 60 --endMP 204:3485 --enddatetime 2017-10-15T16:55:59 --enforcementcount 0 &gt;&gt;%USERPROFILE%\Documents\GitHub\eaglep3-reporting\EC\2017-10-15-refined-times.txt</v>
      </c>
      <c r="AI222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0.3485"},{"id":17,"name":"Train ID","value":"75-15"},{"id":16,"name":"Locomotive ID","value":"4008"},{"id":130,"name":"Impact","value":""},{"id":150,"name":"Time of Event (Mountain Time)","value":"16:55:59"},{"id":151,"name":"Denver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79"/>
        <v>start /low /b %USERPROFILE%\Documents\GitHub\eaglep3\Utilities\DownloadLogsFromS3.py --loco 4008 --day 2017-10-15</v>
      </c>
      <c r="AN222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81"/>
        <v>https://d0f6bd738d7f1b3e5a7ca70fe4ff75f0.us-east-1.aws.found.io/app/kibana#/discover/Steve-Slow-Train-Analysis-(2080s-and-2083s)?_g=(refreshInterval:(display:Off,pause:!f,section:0,value:0),time:(from:'2017-10-15T15:20:28-0600',mode:absolute,to:'2017-10-15T17:55:59-0600'))&amp;_a=(columns:!('Message%20ID',Summary),filters:!(),index:'emp_*',interval:auto,query:(query_string:(analyze_wildcard:!t,query:'%22rtdc.l.rtdc.4008%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757</v>
      </c>
      <c r="B223" s="7">
        <v>4014</v>
      </c>
      <c r="C223" s="21" t="s">
        <v>194</v>
      </c>
      <c r="D223" s="21" t="s">
        <v>488</v>
      </c>
      <c r="E223" s="13">
        <v>43023.694606481484</v>
      </c>
      <c r="F223" s="13">
        <v>43023.696458333332</v>
      </c>
      <c r="G223" s="7">
        <v>63</v>
      </c>
      <c r="H223" s="21" t="s">
        <v>447</v>
      </c>
      <c r="I223" s="13">
        <v>43023.705543981479</v>
      </c>
      <c r="J223" s="7">
        <v>0</v>
      </c>
      <c r="K223" s="89" t="str">
        <f>IF(ISEVEN(B223),(B223-1)&amp;"/"&amp;B223,B223&amp;"/"&amp;(B223+1))</f>
        <v>4013/4014</v>
      </c>
      <c r="L223" s="185" t="str">
        <f>VLOOKUP(A223,'Trips&amp;Operators'!$C$1:$G$99911,5,FALSE)</f>
        <v>MCREYNOLDS KYLE</v>
      </c>
      <c r="M223" s="6">
        <f>I223-F223</f>
        <v>9.0856481474475004E-3</v>
      </c>
      <c r="N223" s="7">
        <f>24*60*SUM($M223:$M223)</f>
        <v>13.083333332324401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-15T15:40:14-0600',mode:absolute,to:'2017-10-15T17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0</v>
      </c>
      <c r="Y223" s="204">
        <f>RIGHT(D223,LEN(D223)-4)/10000</f>
        <v>4.3299999999999998E-2</v>
      </c>
      <c r="Z223" s="204">
        <f>RIGHT(H223,LEN(H223)-4)/10000</f>
        <v>2.3346</v>
      </c>
      <c r="AA223" s="204">
        <f>ABS(Z223-Y223)</f>
        <v>2.2913000000000001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75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 &amp; aws s3 cp s3://rtdc.mdm.uploadarchive.raw/RTDC4014/ "%USERPROFILE%\AppData\Local\Temp\OnboardLogs"\RTDC4014\2017-10-16 --exclude "*" --recursive --include "*20171016*" &amp; "%USERPROFILE%\Documents\GitHub\mrs-test-scripts\Headless Mode &amp; Sideloading\WalkAndUnGZ.bat" "%USERPROFILE%\AppData\Local\Temp\OnboardLogs"\RTDC4014\2017-10-16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/stypes="app*4014*20171015*" /stext=" 22:.+((SYSTEM_STATE.+slice.+state.+changed )|(ment ac)|(multiple cpu faults)|(system.+state.+changed )|(\[timeout)|(PRM\|1\|D)|(kpr)|(kdp)|(train st.+moving)|(\|lc)|(penalty))"</v>
      </c>
      <c r="AG223" s="182" t="str">
        <f>DetSubdiv(A223)</f>
        <v>Shuttle/Test</v>
      </c>
      <c r="AH223" s="78" t="str">
        <f t="shared" si="77"/>
        <v>"%USERPROFILE%\Documents\GitHub\eaglep3\Utilities\RefineRTDCRunTimes.py" --tripid 75-15 --locoid 4014 --swversion DE.1.0.9.0 --startMP 204:433 --initTime 2017-10-15T16:40:14 --startdatetime 2017-10-15T16:42:54 --delay 63 --endMP 300:23346 --enddatetime 2017-10-15T16:55:59 --enforcementcount 0 &gt;&gt;%USERPROFILE%\Documents\GitHub\eaglep3-reporting\EC\2017-10-15-refined-times.txt</v>
      </c>
      <c r="AI223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2.3346"},{"id":17,"name":"Train ID","value":"75-15"},{"id":16,"name":"Locomotive ID","value":"4014"},{"id":130,"name":"Impact","value":""},{"id":150,"name":"Time of Event (Mountain Time)","value":"16:55:59"},{"id":151,"name":"Denver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79"/>
        <v>start /low /b %USERPROFILE%\Documents\GitHub\eaglep3\Utilities\DownloadLogsFromS3.py --loco 4014 --day 2017-10-15</v>
      </c>
      <c r="AN223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81"/>
        <v>https://d0f6bd738d7f1b3e5a7ca70fe4ff75f0.us-east-1.aws.found.io/app/kibana#/discover/Steve-Slow-Train-Analysis-(2080s-and-2083s)?_g=(refreshInterval:(display:Off,pause:!f,section:0,value:0),time:(from:'2017-10-15T15:40:14-0600',mode:absolute,to:'2017-10-15T17:55:59-0600'))&amp;_a=(columns:!('Message%20ID',Summary),filters:!(),index:'emp_*',interval:auto,query:(query_string:(analyze_wildcard:!t,query:'%22rtdc.l.rtdc.4014%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757</v>
      </c>
      <c r="B224" s="7">
        <v>4007</v>
      </c>
      <c r="C224" s="21" t="s">
        <v>194</v>
      </c>
      <c r="D224" s="21" t="s">
        <v>969</v>
      </c>
      <c r="E224" s="13">
        <v>43023.684791666667</v>
      </c>
      <c r="F224" s="13">
        <v>43023.696458333332</v>
      </c>
      <c r="G224" s="7">
        <v>63</v>
      </c>
      <c r="H224" s="21" t="s">
        <v>970</v>
      </c>
      <c r="I224" s="13">
        <v>43023.705543981479</v>
      </c>
      <c r="J224" s="7">
        <v>0</v>
      </c>
      <c r="K224" s="89" t="str">
        <f>IF(ISEVEN(B224),(B224-1)&amp;"/"&amp;B224,B224&amp;"/"&amp;(B224+1))</f>
        <v>4007/4008</v>
      </c>
      <c r="L224" s="185" t="str">
        <f>VLOOKUP(A224,'Trips&amp;Operators'!$C$1:$G$99911,5,FALSE)</f>
        <v>MCREYNOLDS KYLE</v>
      </c>
      <c r="M224" s="6">
        <f>I224-F224</f>
        <v>9.0856481474475004E-3</v>
      </c>
      <c r="N224" s="7">
        <f>24*60*SUM($M224:$M224)</f>
        <v>13.083333332324401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-15T15:26:06-0600',mode:absolute,to:'2017-10-15T17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0</v>
      </c>
      <c r="Y224" s="204">
        <f>RIGHT(D224,LEN(D224)-4)/10000</f>
        <v>0.31830000000000003</v>
      </c>
      <c r="Z224" s="204">
        <f>RIGHT(H224,LEN(H224)-4)/10000</f>
        <v>0.31890000000000002</v>
      </c>
      <c r="AA224" s="204">
        <f>ABS(Z224-Y224)</f>
        <v>5.9999999999998943E-4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75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/stypes="app*4007*20171015*" /stext=" 22:.+((SYSTEM_STATE.+slice.+state.+changed )|(ment ac)|(multiple cpu faults)|(system.+state.+changed )|(\[timeout)|(PRM\|1\|D)|(kpr)|(kdp)|(train st.+moving)|(\|lc)|(penalty))"</v>
      </c>
      <c r="AG224" s="182" t="str">
        <f>DetSubdiv(A224)</f>
        <v>Shuttle/Test</v>
      </c>
      <c r="AH224" s="78" t="str">
        <f t="shared" si="77"/>
        <v>"%USERPROFILE%\Documents\GitHub\eaglep3\Utilities\RefineRTDCRunTimes.py" --tripid 75-15 --locoid 4007 --swversion DE.1.0.9.0 --startMP 204:3183 --initTime 2017-10-15T16:26:06 --startdatetime 2017-10-15T16:42:54 --delay 63 --endMP 204:3189 --enddatetime 2017-10-15T16:55:59 --enforcementcount 0 &gt;&gt;%USERPROFILE%\Documents\GitHub\eaglep3-reporting\EC\2017-10-15-refined-times.txt</v>
      </c>
      <c r="AI224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0.3189"},{"id":17,"name":"Train ID","value":"75-15"},{"id":16,"name":"Locomotive ID","value":"4007"},{"id":130,"name":"Impact","value":""},{"id":150,"name":"Time of Event (Mountain Time)","value":"16:55:59"},{"id":151,"name":"Denver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79"/>
        <v>start /low /b %USERPROFILE%\Documents\GitHub\eaglep3\Utilities\DownloadLogsFromS3.py --loco 4007 --day 2017-10-15</v>
      </c>
      <c r="AN224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22:55:59"},{"id":29,"name":"Sharepoint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81"/>
        <v>https://d0f6bd738d7f1b3e5a7ca70fe4ff75f0.us-east-1.aws.found.io/app/kibana#/discover/Steve-Slow-Train-Analysis-(2080s-and-2083s)?_g=(refreshInterval:(display:Off,pause:!f,section:0,value:0),time:(from:'2017-10-15T15:26:06-0600',mode:absolute,to:'2017-10-15T17:55:59-0600'))&amp;_a=(columns:!('Message%20ID',Summary),filters:!(),index:'emp_*',interval:auto,query:(query_string:(analyze_wildcard:!t,query:'%22rtdc.l.rtdc.4007%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767</v>
      </c>
      <c r="B225" s="7">
        <v>4006</v>
      </c>
      <c r="C225" s="21" t="s">
        <v>194</v>
      </c>
      <c r="D225" s="21" t="s">
        <v>971</v>
      </c>
      <c r="E225" s="13">
        <v>43023.724664351852</v>
      </c>
      <c r="F225" s="13">
        <v>43023.731296296297</v>
      </c>
      <c r="G225" s="7">
        <v>79</v>
      </c>
      <c r="H225" s="21" t="s">
        <v>939</v>
      </c>
      <c r="I225" s="13">
        <v>43023.737847222219</v>
      </c>
      <c r="J225" s="7">
        <v>0</v>
      </c>
      <c r="K225" s="89" t="str">
        <f>IF(ISEVEN(B225),(B225-1)&amp;"/"&amp;B225,B225&amp;"/"&amp;(B225+1))</f>
        <v>4005/4006</v>
      </c>
      <c r="L225" s="185" t="str">
        <f>VLOOKUP(A225,'Trips&amp;Operators'!$C$1:$G$99911,5,FALSE)</f>
        <v>DAVIDSON DAVID</v>
      </c>
      <c r="M225" s="6">
        <f>I225-F225</f>
        <v>6.5509259220561944E-3</v>
      </c>
      <c r="N225" s="7">
        <f>24*60*SUM($M225:$M225)</f>
        <v>9.4333333277609199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-15T16:23:31-0600',mode:absolute,to:'2017-10-15T18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0.1145</v>
      </c>
      <c r="Z225" s="204">
        <f>RIGHT(H225,LEN(H225)-4)/10000</f>
        <v>2.3300999999999998</v>
      </c>
      <c r="AA225" s="204">
        <f>ABS(Z225-Y225)</f>
        <v>2.2155999999999998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77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s3://rtdc.mdm.uploadarchive.raw/RTDC4006/ "%USERPROFILE%\AppData\Local\Temp\OnboardLogs"\RTDC4006\2017-10-15 --exclude "*" --recursive --include "*20171015*" &amp; "%USERPROFILE%\Documents\GitHub\mrs-test-scripts\Headless Mode &amp; Sideloading\WalkAndUnGZ.bat" "%USERPROFILE%\AppData\Local\Temp\OnboardLogs"\RTDC4006\2017-10-15 &amp; aws s3 cp s3://rtdc.mdm.uploadarchive.raw/RTDC4006/ "%USERPROFILE%\AppData\Local\Temp\OnboardLogs"\RTDC4006\2017-10-16 --exclude "*" --recursive --include "*20171016*" &amp; "%USERPROFILE%\Documents\GitHub\mrs-test-scripts\Headless Mode &amp; Sideloading\WalkAndUnGZ.bat" "%USERPROFILE%\AppData\Local\Temp\OnboardLogs"\RTDC4006\2017-10-16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/stypes="app*4006*20171015*" /stext=" 23:.+((SYSTEM_STATE.+slice.+state.+changed )|(ment ac)|(multiple cpu faults)|(system.+state.+changed )|(\[timeout)|(PRM\|1\|D)|(kpr)|(kdp)|(train st.+moving)|(\|lc)|(penalty))"</v>
      </c>
      <c r="AG225" s="182" t="str">
        <f>DetSubdiv(A225)</f>
        <v>Shuttle/Test</v>
      </c>
      <c r="AH225" s="78" t="str">
        <f t="shared" si="77"/>
        <v>"%USERPROFILE%\Documents\GitHub\eaglep3\Utilities\RefineRTDCRunTimes.py" --tripid 77-15 --locoid 4006 --swversion DE.1.0.9.0 --startMP 204:1145 --initTime 2017-10-15T17:23:31 --startdatetime 2017-10-15T17:33:04 --delay 79 --endMP 300:23301 --enddatetime 2017-10-15T17:42:30 --enforcementcount 0 &gt;&gt;%USERPROFILE%\Documents\GitHub\eaglep3-reporting\EC\2017-10-15-refined-times.txt</v>
      </c>
      <c r="AI225" s="96" t="str">
        <f t="shared" si="78"/>
        <v>echo {"issue":{"subject":"","project_id":79,"tracker_id":40,"status_id":1,"priority_id":2,"assigned_to_id":338,"start_date":"2017-10-15","description":"","custom_fields":[{"id":1,"name":"Subdivision","value":"Shuttle/Test"},{"id":4,"name":"Milepost","value":"2.3301"},{"id":17,"name":"Train ID","value":"77-15"},{"id":16,"name":"Locomotive ID","value":"4006"},{"id":130,"name":"Impact","value":""},{"id":150,"name":"Time of Event (Mountain Time)","value":"17:42:30"},{"id":151,"name":"Denver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79"/>
        <v>start /low /b %USERPROFILE%\Documents\GitHub\eaglep3\Utilities\DownloadLogsFromS3.py --loco 4006 --day 2017-10-15</v>
      </c>
      <c r="AN225" s="151" t="str">
        <f t="shared" si="80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23:42:30"},{"id":29,"name":"Sharepoint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81"/>
        <v>https://d0f6bd738d7f1b3e5a7ca70fe4ff75f0.us-east-1.aws.found.io/app/kibana#/discover/Steve-Slow-Train-Analysis-(2080s-and-2083s)?_g=(refreshInterval:(display:Off,pause:!f,section:0,value:0),time:(from:'2017-10-15T16:23:31-0600',mode:absolute,to:'2017-10-15T18:42:30-0600'))&amp;_a=(columns:!('Message%20ID',Summary),filters:!(),index:'emp_*',interval:auto,query:(query_string:(analyze_wildcard:!t,query:'%22rtdc.l.rtdc.4006%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4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4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4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4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4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4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4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4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4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4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4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4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4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4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4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4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4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4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4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4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4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</sheetData>
  <autoFilter ref="A12:AG373">
    <sortState ref="A13:AG373">
      <sortCondition ref="AG13:AG225"/>
      <sortCondition ref="AD13:AD225"/>
    </sortState>
  </autoFilter>
  <sortState ref="A13:AN278">
    <sortCondition ref="AG13:AG278"/>
    <sortCondition ref="AD13:AD278"/>
  </sortState>
  <mergeCells count="1">
    <mergeCell ref="A11:P11"/>
  </mergeCells>
  <conditionalFormatting sqref="W11:W12 W379:X1048576 W13:X225">
    <cfRule type="cellIs" dxfId="12" priority="457" operator="equal">
      <formula>"Y"</formula>
    </cfRule>
  </conditionalFormatting>
  <conditionalFormatting sqref="X379:X1048576 X13:X225">
    <cfRule type="cellIs" dxfId="11" priority="440" operator="greaterThan">
      <formula>1</formula>
    </cfRule>
  </conditionalFormatting>
  <conditionalFormatting sqref="X379:X1048576 X12:X225">
    <cfRule type="cellIs" dxfId="10" priority="437" operator="equal">
      <formula>0</formula>
    </cfRule>
  </conditionalFormatting>
  <conditionalFormatting sqref="A13:S225">
    <cfRule type="expression" dxfId="9" priority="431" stopIfTrue="1">
      <formula>$P13&gt;0</formula>
    </cfRule>
    <cfRule type="expression" dxfId="8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38" sqref="P3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- 2017-10-15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43023.603090277778</v>
      </c>
      <c r="B7" s="30" t="s">
        <v>417</v>
      </c>
      <c r="C7" s="30" t="s">
        <v>577</v>
      </c>
      <c r="D7" s="30" t="s">
        <v>49</v>
      </c>
      <c r="E7" s="30" t="s">
        <v>185</v>
      </c>
      <c r="F7" s="42">
        <v>0</v>
      </c>
      <c r="G7" s="42">
        <v>477</v>
      </c>
      <c r="H7" s="42">
        <v>62524</v>
      </c>
      <c r="I7" s="42">
        <v>63772</v>
      </c>
      <c r="J7" s="30" t="s">
        <v>186</v>
      </c>
      <c r="K7" s="42">
        <v>63069</v>
      </c>
      <c r="L7" s="131" t="s">
        <v>50</v>
      </c>
      <c r="M7" s="132">
        <f>CONVERT((I7-K7)/10000,"mi","ft")*IF(L7="Increasing Mileposts (1)",-1,1)</f>
        <v>-371.18400000000003</v>
      </c>
      <c r="N7" s="133" t="str">
        <f>VLOOKUP(C7,'Trips&amp;Operators'!$C$1:$G$99911,5,FALSE)</f>
        <v>STEWART MICHAEL</v>
      </c>
      <c r="O7" s="176" t="s">
        <v>178</v>
      </c>
      <c r="P7" s="134" t="s">
        <v>357</v>
      </c>
      <c r="Q7" s="30"/>
      <c r="R7" s="81" t="str">
        <f>VLOOKUP(C7,'Train Runs'!$A$13:$AE$10032,31,0)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S7" s="84" t="str">
        <f>VLOOKUP(C7,'Train Runs'!$A$13:$AE$10032,22,0)</f>
        <v>https://d0f6bd738d7f1b3e5a7ca70fe4ff75f0.us-east-1.aws.found.io/app/kibana#/discover/Steve-Slow-Train-Analysis-(2080s-and-2083s)?_g=(refreshInterval:(display:Off,pause:!f,section:0,value:0),time:(from:'2017-10-15T13:10:34-0600',mode:absolute,to:'2017-10-15T15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/stypes="*4036*201710152*" /stext=" 20:.+((SYSTEM_STATE.+slice.+state.+changed )|(ment ac)|(multiple cpu faults)|(system.+state.+changed )|(\[timeout)|(PRM\|1\|D)|(kpr)|(kdp)|(train st.+moving)|(\|lc)|(penalty))"</v>
      </c>
      <c r="U7" s="9" t="str">
        <f>MID(B7,13,4)</f>
        <v>4036</v>
      </c>
      <c r="V7" s="31">
        <f>A7-utc_offset/24</f>
        <v>43023.853090277778</v>
      </c>
      <c r="W7" s="45" t="str">
        <f>DetSubdiv(C7)</f>
        <v>EC</v>
      </c>
      <c r="X7" s="22">
        <f>VALUE(LEFT(C7,LEN(C7)-3))</f>
        <v>185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Arrival","project_id":79,"tracker_id":40,"status_id":1,"priority_id":2,"assigned_to_id":338,"start_date":"2017-10-15","description":"","custom_fields":[{"id":1,"name":"Subdivision","value":"EC"},{"id":4,"name":"Milepost","value":"6.3069"},{"id":17,"name":"Train ID","value":"185-15"},{"id":16,"name":"Locomotive ID","value":"4036"},{"id":130,"name":"Impact","value":""},{"id":150,"name":"Time of Event (Mountain Time)","value":"14:28:27"},{"id":151,"name":"Denver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/c/Users/stu/AppData/Local/Temp/OnboardLogs/RTDC4036 --include="*4036*201710152*"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"%USERPROFILE%\AppData\Local\Temp\OnboardLogs"\RTDC4036\*4036*201710152* &gt;&gt; 2017-10-15-SliceDisagreementCheck.txt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4036 --day 2017-10-15</v>
      </c>
    </row>
    <row r="8" spans="1:32" s="1" customFormat="1" x14ac:dyDescent="0.25">
      <c r="A8" s="31">
        <v>43023.374710648146</v>
      </c>
      <c r="B8" s="30" t="s">
        <v>494</v>
      </c>
      <c r="C8" s="30" t="s">
        <v>572</v>
      </c>
      <c r="D8" s="30" t="s">
        <v>95</v>
      </c>
      <c r="E8" s="30" t="s">
        <v>185</v>
      </c>
      <c r="F8" s="42">
        <v>430</v>
      </c>
      <c r="G8" s="42">
        <v>485</v>
      </c>
      <c r="H8" s="42">
        <v>108964</v>
      </c>
      <c r="I8" s="42">
        <v>107242</v>
      </c>
      <c r="J8" s="30" t="s">
        <v>186</v>
      </c>
      <c r="K8" s="42">
        <v>109135</v>
      </c>
      <c r="L8" s="131" t="s">
        <v>51</v>
      </c>
      <c r="M8" s="132">
        <f>CONVERT((I8-K8)/10000,"mi","ft")*IF(L8="Increasing Mileposts (1)",-1,1)</f>
        <v>-999.50400000000002</v>
      </c>
      <c r="N8" s="133" t="str">
        <f>VLOOKUP(C8,'Trips&amp;Operators'!$C$1:$G$99911,5,FALSE)</f>
        <v>DAVIS WENDY</v>
      </c>
      <c r="O8" s="176" t="s">
        <v>178</v>
      </c>
      <c r="P8" s="134" t="s">
        <v>357</v>
      </c>
      <c r="Q8" s="30"/>
      <c r="R8" s="81" t="str">
        <f>VLOOKUP(C8,'Train Runs'!$A$13:$AE$10032,31,0)</f>
        <v>aws s3 cp s3://rtdc.mdm.uploadarchive.raw/RTDC4041/ "%USERPROFILE%\AppData\Local\Temp\OnboardLogs"\RTDC4041\2017-10-15 --exclude "*" --recursive --include "*20171015*" &amp; "%USERPROFILE%\Documents\GitHub\mrs-test-scripts\Headless Mode &amp; Sideloading\WalkAndUnGZ.bat" "%USERPROFILE%\AppData\Local\Temp\OnboardLogs"\RTDC4041\2017-10-15 &amp; aws s3 cp s3://rtdc.mdm.uploadarchive.raw/RTDC4041/ "%USERPROFILE%\AppData\Local\Temp\OnboardLogs"\RTDC4041\2017-10-16 --exclude "*" --recursive --include "*20171016*" &amp; "%USERPROFILE%\Documents\GitHub\mrs-test-scripts\Headless Mode &amp; Sideloading\WalkAndUnGZ.bat" "%USERPROFILE%\AppData\Local\Temp\OnboardLogs"\RTDC4041\2017-10-16</v>
      </c>
      <c r="S8" s="84" t="str">
        <f>VLOOKUP(C8,'Train Runs'!$A$13:$AE$10032,22,0)</f>
        <v>https://d0f6bd738d7f1b3e5a7ca70fe4ff75f0.us-east-1.aws.found.io/app/kibana#/discover/Steve-Slow-Train-Analysis-(2080s-and-2083s)?_g=(refreshInterval:(display:Off,pause:!f,section:0,value:0),time:(from:'2017-10-15T07:33:15-0600',mode:absolute,to:'2017-10-15T10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/stypes="*4041*201710151*" /stext=" 14:.+((SYSTEM_STATE.+slice.+state.+changed )|(ment ac)|(multiple cpu faults)|(system.+state.+changed )|(\[timeout)|(PRM\|1\|D)|(kpr)|(kdp)|(train st.+moving)|(\|lc)|(penalty))"</v>
      </c>
      <c r="U8" s="9" t="str">
        <f>MID(B8,13,4)</f>
        <v>4041</v>
      </c>
      <c r="V8" s="31">
        <f>A8-utc_offset/24</f>
        <v>43023.624710648146</v>
      </c>
      <c r="W8" s="45" t="str">
        <f>DetSubdiv(C8)</f>
        <v>EC</v>
      </c>
      <c r="X8" s="22">
        <f>VALUE(LEFT(C8,LEN(C8)-3))</f>
        <v>134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Arrival","project_id":79,"tracker_id":40,"status_id":1,"priority_id":2,"assigned_to_id":338,"start_date":"2017-10-15","description":"","custom_fields":[{"id":1,"name":"Subdivision","value":"EC"},{"id":4,"name":"Milepost","value":"10.9135"},{"id":17,"name":"Train ID","value":"134-15"},{"id":16,"name":"Locomotive ID","value":"4041"},{"id":130,"name":"Impact","value":""},{"id":150,"name":"Time of Event (Mountain Time)","value":"08:59:35"},{"id":151,"name":"Denver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/c/Users/stu/AppData/Local/Temp/OnboardLogs/RTDC4041 --include="*4041*201710151*"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"%USERPROFILE%\AppData\Local\Temp\OnboardLogs"\RTDC4041\*4041*201710151* &gt;&gt; 2017-10-15-SliceDisagreementCheck.txt</v>
      </c>
      <c r="AE8" s="145" t="str">
        <f t="shared" ref="AE8:AE40" si="1">"start /low /b "&amp;dls3logs&amp;" --loco "&amp;U8&amp;" --day "&amp;TEXT(V8,"YYYY-MM-DD")</f>
        <v>start /low /b %USERPROFILE%\Documents\GitHub\eaglep3\Utilities\DownloadLogsFromS3.py --loco 4041 --day 2017-10-15</v>
      </c>
    </row>
    <row r="9" spans="1:32" s="1" customFormat="1" x14ac:dyDescent="0.25">
      <c r="A9" s="31">
        <v>43023.284155092595</v>
      </c>
      <c r="B9" s="30" t="s">
        <v>455</v>
      </c>
      <c r="C9" s="30" t="s">
        <v>569</v>
      </c>
      <c r="D9" s="30" t="s">
        <v>49</v>
      </c>
      <c r="E9" s="30" t="s">
        <v>192</v>
      </c>
      <c r="F9" s="42">
        <v>400</v>
      </c>
      <c r="G9" s="42">
        <v>591</v>
      </c>
      <c r="H9" s="42">
        <v>14232</v>
      </c>
      <c r="I9" s="42">
        <v>17841</v>
      </c>
      <c r="J9" s="30" t="s">
        <v>193</v>
      </c>
      <c r="K9" s="42">
        <v>17867</v>
      </c>
      <c r="L9" s="131" t="s">
        <v>50</v>
      </c>
      <c r="M9" s="132">
        <f>CONVERT((I9-K9)/10000,"mi","ft")*IF(L9="Increasing Mileposts (1)",-1,1)</f>
        <v>13.728</v>
      </c>
      <c r="N9" s="133" t="str">
        <f>VLOOKUP(C9,'Trips&amp;Operators'!$C$1:$G$99911,5,FALSE)</f>
        <v>THOMPSON LESTER</v>
      </c>
      <c r="O9" s="176" t="s">
        <v>178</v>
      </c>
      <c r="P9" s="134"/>
      <c r="Q9" s="30"/>
      <c r="R9" s="81" t="str">
        <f>VLOOKUP(C9,'Train Runs'!$A$13:$AE$10032,31,0)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S9" s="84" t="str">
        <f>VLOOKUP(C9,'Train Runs'!$A$13:$AE$10032,22,0)</f>
        <v>https://d0f6bd738d7f1b3e5a7ca70fe4ff75f0.us-east-1.aws.found.io/app/kibana#/discover/Steve-Slow-Train-Analysis-(2080s-and-2083s)?_g=(refreshInterval:(display:Off,pause:!f,section:0,value:0),time:(from:'2017-10-15T05:42:12-0600',mode:absolute,to:'2017-10-15T08:14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/stypes="*4032*201710151*" /stext=" 12:.+((SYSTEM_STATE.+slice.+state.+changed )|(ment ac)|(multiple cpu faults)|(system.+state.+changed )|(\[timeout)|(PRM\|1\|D)|(kpr)|(kdp)|(train st.+moving)|(\|lc)|(penalty))"</v>
      </c>
      <c r="U9" s="9" t="str">
        <f>MID(B9,13,4)</f>
        <v>4032</v>
      </c>
      <c r="V9" s="31">
        <f>A9-utc_offset/24</f>
        <v>43023.534155092595</v>
      </c>
      <c r="W9" s="45" t="str">
        <f>DetSubdiv(C9)</f>
        <v>EC</v>
      </c>
      <c r="X9" s="22">
        <f>VALUE(LEFT(C9,LEN(C9)-3))</f>
        <v>125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{"issue":{"subject":"","project_id":79,"tracker_id":40,"status_id":1,"priority_id":2,"assigned_to_id":338,"start_date":"2017-10-15","description":"","custom_fields":[{"id":1,"name":"Subdivision","value":"EC"},{"id":4,"name":"Milepost","value":"1.7867"},{"id":17,"name":"Train ID","value":"125-15"},{"id":16,"name":"Locomotive ID","value":"4032"},{"id":130,"name":"Impact","value":""},{"id":150,"name":"Time of Event (Mountain Time)","value":"06:49:11"},{"id":151,"name":"Denver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/c/Users/stu/AppData/Local/Temp/OnboardLogs/RTDC4032 --include="*4032*201710151*"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"%USERPROFILE%\AppData\Local\Temp\OnboardLogs"\RTDC4032\*4032*201710151* &gt;&gt; 2017-10-15-SliceDisagreementCheck.txt</v>
      </c>
      <c r="AE9" s="145" t="str">
        <f t="shared" si="1"/>
        <v>start /low /b %USERPROFILE%\Documents\GitHub\eaglep3\Utilities\DownloadLogsFromS3.py --loco 4032 --day 2017-10-15</v>
      </c>
    </row>
    <row r="10" spans="1:32" s="1" customFormat="1" x14ac:dyDescent="0.25">
      <c r="A10" s="31">
        <v>43023.775902777779</v>
      </c>
      <c r="B10" s="30" t="s">
        <v>456</v>
      </c>
      <c r="C10" s="30" t="s">
        <v>582</v>
      </c>
      <c r="D10" s="30" t="s">
        <v>49</v>
      </c>
      <c r="E10" s="30" t="s">
        <v>449</v>
      </c>
      <c r="F10" s="42">
        <v>0</v>
      </c>
      <c r="G10" s="42">
        <v>288</v>
      </c>
      <c r="H10" s="42">
        <v>52222</v>
      </c>
      <c r="I10" s="42">
        <v>51658</v>
      </c>
      <c r="J10" s="30" t="s">
        <v>450</v>
      </c>
      <c r="K10" s="42">
        <v>50763</v>
      </c>
      <c r="L10" s="131" t="s">
        <v>51</v>
      </c>
      <c r="M10" s="132">
        <f>CONVERT((I10-K10)/10000,"mi","ft")*IF(L10="Increasing Mileposts (1)",-1,1)</f>
        <v>472.56</v>
      </c>
      <c r="N10" s="133" t="str">
        <f>VLOOKUP(C10,'Trips&amp;Operators'!$C$1:$G$99911,5,FALSE)</f>
        <v>STAMBAUGH JAMES</v>
      </c>
      <c r="O10" s="176" t="s">
        <v>379</v>
      </c>
      <c r="P10" s="134" t="s">
        <v>562</v>
      </c>
      <c r="Q10" s="30"/>
      <c r="R10" s="81" t="str">
        <f>VLOOKUP(C10,'Train Runs'!$A$13:$AE$10032,31,0)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S10" s="84" t="str">
        <f>VLOOKUP(C10,'Train Runs'!$A$13:$AE$10032,22,0)</f>
        <v>https://d0f6bd738d7f1b3e5a7ca70fe4ff75f0.us-east-1.aws.found.io/app/kibana#/discover/Steve-Slow-Train-Analysis-(2080s-and-2083s)?_g=(refreshInterval:(display:Off,pause:!f,section:0,value:0),time:(from:'2017-10-15T17:09:11-0600',mode:absolute,to:'2017-10-15T19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/stypes="*4031*201710160*" /stext=" 00:.+((SYSTEM_STATE.+slice.+state.+changed )|(ment ac)|(multiple cpu faults)|(system.+state.+changed )|(\[timeout)|(PRM\|1\|D)|(kpr)|(kdp)|(train st.+moving)|(\|lc)|(penalty))"</v>
      </c>
      <c r="U10" s="9" t="str">
        <f>MID(B10,13,4)</f>
        <v>4031</v>
      </c>
      <c r="V10" s="31">
        <f>A10-utc_offset/24</f>
        <v>43024.025902777779</v>
      </c>
      <c r="W10" s="45" t="str">
        <f>DetSubdiv(C10)</f>
        <v>EC</v>
      </c>
      <c r="X10" s="22">
        <f>VALUE(LEFT(C10,LEN(C10)-3))</f>
        <v>210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drop","project_id":79,"tracker_id":40,"status_id":1,"priority_id":2,"assigned_to_id":338,"start_date":"2017-10-15","description":"","custom_fields":[{"id":1,"name":"Subdivision","value":"EC"},{"id":4,"name":"Milepost","value":"5.0763"},{"id":17,"name":"Train ID","value":"210-15"},{"id":16,"name":"Locomotive ID","value":"4031"},{"id":130,"name":"Impact","value":""},{"id":150,"name":"Time of Event (Mountain Time)","value":"18:37:18"},{"id":151,"name":"Denver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/c/Users/stu/AppData/Local/Temp/OnboardLogs/RTDC4031 --include="*4031*201710160*"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"%USERPROFILE%\AppData\Local\Temp\OnboardLogs"\RTDC4031\*4031*201710160* &gt;&gt; 2017-10-15-SliceDisagreementCheck.txt</v>
      </c>
      <c r="AE10" s="145" t="str">
        <f t="shared" si="1"/>
        <v>start /low /b %USERPROFILE%\Documents\GitHub\eaglep3\Utilities\DownloadLogsFromS3.py --loco 4031 --day 2017-10-16</v>
      </c>
    </row>
    <row r="11" spans="1:32" s="1" customFormat="1" x14ac:dyDescent="0.25">
      <c r="A11" s="31">
        <v>43023.411574074074</v>
      </c>
      <c r="B11" s="30" t="s">
        <v>495</v>
      </c>
      <c r="C11" s="30" t="s">
        <v>573</v>
      </c>
      <c r="D11" s="30" t="s">
        <v>49</v>
      </c>
      <c r="E11" s="30" t="s">
        <v>499</v>
      </c>
      <c r="F11" s="42">
        <v>0</v>
      </c>
      <c r="G11" s="42">
        <v>546</v>
      </c>
      <c r="H11" s="42">
        <v>123863</v>
      </c>
      <c r="I11" s="42">
        <v>126186</v>
      </c>
      <c r="J11" s="30" t="s">
        <v>500</v>
      </c>
      <c r="K11" s="42">
        <v>126678</v>
      </c>
      <c r="L11" s="131" t="s">
        <v>50</v>
      </c>
      <c r="M11" s="132">
        <f>CONVERT((I11-K11)/10000,"mi","ft")*IF(L11="Increasing Mileposts (1)",-1,1)</f>
        <v>259.77600000000001</v>
      </c>
      <c r="N11" s="133" t="str">
        <f>VLOOKUP(C11,'Trips&amp;Operators'!$C$1:$G$99911,5,FALSE)</f>
        <v>DAVIS WENDY</v>
      </c>
      <c r="O11" s="176" t="s">
        <v>379</v>
      </c>
      <c r="P11" s="134" t="s">
        <v>562</v>
      </c>
      <c r="Q11" s="30"/>
      <c r="R11" s="81" t="str">
        <f>VLOOKUP(C11,'Train Runs'!$A$13:$AE$10032,31,0)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S11" s="84" t="str">
        <f>VLOOKUP(C11,'Train Runs'!$A$13:$AE$10032,22,0)</f>
        <v>https://d0f6bd738d7f1b3e5a7ca70fe4ff75f0.us-east-1.aws.found.io/app/kibana#/discover/Steve-Slow-Train-Analysis-(2080s-and-2083s)?_g=(refreshInterval:(display:Off,pause:!f,section:0,value:0),time:(from:'2017-10-15T08:24:25-0600',mode:absolute,to:'2017-10-15T11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/stypes="*4042*201710151*" /stext=" 15:.+((SYSTEM_STATE.+slice.+state.+changed )|(ment ac)|(multiple cpu faults)|(system.+state.+changed )|(\[timeout)|(PRM\|1\|D)|(kpr)|(kdp)|(train st.+moving)|(\|lc)|(penalty))"</v>
      </c>
      <c r="U11" s="9" t="str">
        <f>MID(B11,13,4)</f>
        <v>4042</v>
      </c>
      <c r="V11" s="31">
        <f>A11-utc_offset/24</f>
        <v>43023.661574074074</v>
      </c>
      <c r="W11" s="45" t="str">
        <f>DetSubdiv(C11)</f>
        <v>EC</v>
      </c>
      <c r="X11" s="22">
        <f>VALUE(LEFT(C11,LEN(C11)-3))</f>
        <v>147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drop","project_id":79,"tracker_id":40,"status_id":1,"priority_id":2,"assigned_to_id":338,"start_date":"2017-10-15","description":"","custom_fields":[{"id":1,"name":"Subdivision","value":"EC"},{"id":4,"name":"Milepost","value":"12.6678"},{"id":17,"name":"Train ID","value":"147-15"},{"id":16,"name":"Locomotive ID","value":"4042"},{"id":130,"name":"Impact","value":""},{"id":150,"name":"Time of Event (Mountain Time)","value":"09:52:40"},{"id":151,"name":"Denver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/c/Users/stu/AppData/Local/Temp/OnboardLogs/RTDC4042 --include="*4042*201710151*"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"%USERPROFILE%\AppData\Local\Temp\OnboardLogs"\RTDC4042\*4042*201710151* &gt;&gt; 2017-10-15-SliceDisagreementCheck.txt</v>
      </c>
      <c r="AE11" s="145" t="str">
        <f t="shared" si="1"/>
        <v>start /low /b %USERPROFILE%\Documents\GitHub\eaglep3\Utilities\DownloadLogsFromS3.py --loco 4042 --day 2017-10-15</v>
      </c>
    </row>
    <row r="12" spans="1:32" x14ac:dyDescent="0.25">
      <c r="A12" s="31">
        <v>43023.848425925928</v>
      </c>
      <c r="B12" s="30" t="s">
        <v>495</v>
      </c>
      <c r="C12" s="30" t="s">
        <v>584</v>
      </c>
      <c r="D12" s="30" t="s">
        <v>49</v>
      </c>
      <c r="E12" s="30" t="s">
        <v>499</v>
      </c>
      <c r="F12" s="42">
        <v>0</v>
      </c>
      <c r="G12" s="42">
        <v>602</v>
      </c>
      <c r="H12" s="42">
        <v>122837</v>
      </c>
      <c r="I12" s="42">
        <v>125919</v>
      </c>
      <c r="J12" s="30" t="s">
        <v>500</v>
      </c>
      <c r="K12" s="42">
        <v>126678</v>
      </c>
      <c r="L12" s="131" t="s">
        <v>50</v>
      </c>
      <c r="M12" s="132">
        <f>CONVERT((I12-K12)/10000,"mi","ft")*IF(L12="Increasing Mileposts (1)",-1,1)</f>
        <v>400.75200000000001</v>
      </c>
      <c r="N12" s="133" t="str">
        <f>VLOOKUP(C12,'Trips&amp;Operators'!$C$1:$G$99911,5,FALSE)</f>
        <v>ELBAUM MIKE</v>
      </c>
      <c r="O12" s="176" t="s">
        <v>379</v>
      </c>
      <c r="P12" s="134" t="s">
        <v>562</v>
      </c>
      <c r="Q12" s="30"/>
      <c r="R12" s="81" t="str">
        <f>VLOOKUP(C12,'Train Runs'!$A$13:$AE$10032,31,0)</f>
        <v>aws s3 cp s3://rtdc.mdm.uploadarchive.raw/RTDC4042/ "%USERPROFILE%\AppData\Local\Temp\OnboardLogs"\RTDC4042\2017-10-15 --exclude "*" --recursive --include "*20171015*" &amp; "%USERPROFILE%\Documents\GitHub\mrs-test-scripts\Headless Mode &amp; Sideloading\WalkAndUnGZ.bat" "%USERPROFILE%\AppData\Local\Temp\OnboardLogs"\RTDC4042\2017-10-15 &amp; 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</v>
      </c>
      <c r="S12" s="84" t="str">
        <f>VLOOKUP(C12,'Train Runs'!$A$13:$AE$10032,22,0)</f>
        <v>https://d0f6bd738d7f1b3e5a7ca70fe4ff75f0.us-east-1.aws.found.io/app/kibana#/discover/Steve-Slow-Train-Analysis-(2080s-and-2083s)?_g=(refreshInterval:(display:Off,pause:!f,section:0,value:0),time:(from:'2017-10-15T18:50:26-0600',mode:absolute,to:'2017-10-15T21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/stypes="*4042*201710160*" /stext=" 02:.+((SYSTEM_STATE.+slice.+state.+changed )|(ment ac)|(multiple cpu faults)|(system.+state.+changed )|(\[timeout)|(PRM\|1\|D)|(kpr)|(kdp)|(train st.+moving)|(\|lc)|(penalty))"</v>
      </c>
      <c r="U12" s="9" t="str">
        <f>MID(B12,13,4)</f>
        <v>4042</v>
      </c>
      <c r="V12" s="31">
        <f>A12-utc_offset/24</f>
        <v>43024.098425925928</v>
      </c>
      <c r="W12" s="45" t="str">
        <f>DetSubdiv(C12)</f>
        <v>EC</v>
      </c>
      <c r="X12" s="22">
        <f>VALUE(LEFT(C12,LEN(C12)-3))</f>
        <v>225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drop","project_id":79,"tracker_id":40,"status_id":1,"priority_id":2,"assigned_to_id":338,"start_date":"2017-10-15","description":"","custom_fields":[{"id":1,"name":"Subdivision","value":"EC"},{"id":4,"name":"Milepost","value":"12.6678"},{"id":17,"name":"Train ID","value":"225-15"},{"id":16,"name":"Locomotive ID","value":"4042"},{"id":130,"name":"Impact","value":""},{"id":150,"name":"Time of Event (Mountain Time)","value":"20:21:44"},{"id":151,"name":"Denver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/c/Users/stu/AppData/Local/Temp/OnboardLogs/RTDC4042 --include="*4042*201710160*"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"%USERPROFILE%\AppData\Local\Temp\OnboardLogs"\RTDC4042\*4042*201710160* &gt;&gt; 2017-10-15-SliceDisagreementCheck.txt</v>
      </c>
      <c r="AE12" s="145" t="str">
        <f t="shared" si="1"/>
        <v>start /low /b %USERPROFILE%\Documents\GitHub\eaglep3\Utilities\DownloadLogsFromS3.py --loco 4042 --day 2017-10-16</v>
      </c>
      <c r="AF12" s="1"/>
    </row>
    <row r="13" spans="1:32" x14ac:dyDescent="0.25">
      <c r="A13" s="31">
        <v>43023.340081018519</v>
      </c>
      <c r="B13" s="30" t="s">
        <v>456</v>
      </c>
      <c r="C13" s="30" t="s">
        <v>570</v>
      </c>
      <c r="D13" s="30" t="s">
        <v>95</v>
      </c>
      <c r="E13" s="30" t="s">
        <v>571</v>
      </c>
      <c r="F13" s="42">
        <v>500</v>
      </c>
      <c r="G13" s="42">
        <v>552</v>
      </c>
      <c r="H13" s="42">
        <v>40673</v>
      </c>
      <c r="I13" s="42">
        <v>38808</v>
      </c>
      <c r="J13" s="30" t="s">
        <v>186</v>
      </c>
      <c r="K13" s="42">
        <v>53900</v>
      </c>
      <c r="L13" s="131" t="s">
        <v>51</v>
      </c>
      <c r="M13" s="132">
        <f>CONVERT((I13-K13)/10000,"mi","ft")*IF(L13="Increasing Mileposts (1)",-1,1)</f>
        <v>-7968.576</v>
      </c>
      <c r="N13" s="133" t="str">
        <f>VLOOKUP(C13,'Trips&amp;Operators'!$C$1:$G$99911,5,FALSE)</f>
        <v>THOMPSON LESTER</v>
      </c>
      <c r="O13" s="176" t="s">
        <v>178</v>
      </c>
      <c r="P13" s="134"/>
      <c r="Q13" s="30"/>
      <c r="R13" s="81" t="str">
        <f>VLOOKUP(C13,'Train Runs'!$A$13:$AE$10032,31,0)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S13" s="84" t="str">
        <f>VLOOKUP(C13,'Train Runs'!$A$13:$AE$10032,22,0)</f>
        <v>https://d0f6bd738d7f1b3e5a7ca70fe4ff75f0.us-east-1.aws.found.io/app/kibana#/discover/Steve-Slow-Train-Analysis-(2080s-and-2083s)?_g=(refreshInterval:(display:Off,pause:!f,section:0,value:0),time:(from:'2017-10-15T06:38:44-0600',mode:absolute,to:'2017-10-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/stypes="*4031*201710151*" /stext=" 14:.+((SYSTEM_STATE.+slice.+state.+changed )|(ment ac)|(multiple cpu faults)|(system.+state.+changed )|(\[timeout)|(PRM\|1\|D)|(kpr)|(kdp)|(train st.+moving)|(\|lc)|(penalty))"</v>
      </c>
      <c r="U13" s="9" t="str">
        <f>MID(B13,13,4)</f>
        <v>4031</v>
      </c>
      <c r="V13" s="31">
        <f>A13-utc_offset/24</f>
        <v>43023.590081018519</v>
      </c>
      <c r="W13" s="45" t="str">
        <f>DetSubdiv(C13)</f>
        <v>EC</v>
      </c>
      <c r="X13" s="22">
        <f>VALUE(LEFT(C13,LEN(C13)-3))</f>
        <v>126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{"issue":{"subject":"","project_id":79,"tracker_id":40,"status_id":1,"priority_id":2,"assigned_to_id":338,"start_date":"2017-10-15","description":"","custom_fields":[{"id":1,"name":"Subdivision","value":"EC"},{"id":4,"name":"Milepost","value":"5.39"},{"id":17,"name":"Train ID","value":"126-15"},{"id":16,"name":"Locomotive ID","value":"4031"},{"id":130,"name":"Impact","value":""},{"id":150,"name":"Time of Event (Mountain Time)","value":"08:09:43"},{"id":151,"name":"Denver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/c/Users/stu/AppData/Local/Temp/OnboardLogs/RTDC4031 --include="*4031*201710151*"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"%USERPROFILE%\AppData\Local\Temp\OnboardLogs"\RTDC4031\*4031*201710151* &gt;&gt; 2017-10-15-SliceDisagreementCheck.txt</v>
      </c>
      <c r="AE13" s="145" t="str">
        <f t="shared" si="1"/>
        <v>start /low /b %USERPROFILE%\Documents\GitHub\eaglep3\Utilities\DownloadLogsFromS3.py --loco 4031 --day 2017-10-15</v>
      </c>
      <c r="AF13" s="1"/>
    </row>
    <row r="14" spans="1:32" x14ac:dyDescent="0.25">
      <c r="A14" s="31">
        <v>43023.202488425923</v>
      </c>
      <c r="B14" s="30" t="s">
        <v>456</v>
      </c>
      <c r="C14" s="30" t="s">
        <v>564</v>
      </c>
      <c r="D14" s="30" t="s">
        <v>49</v>
      </c>
      <c r="E14" s="30" t="s">
        <v>179</v>
      </c>
      <c r="F14" s="42">
        <v>0</v>
      </c>
      <c r="G14" s="42">
        <v>71</v>
      </c>
      <c r="H14" s="42">
        <v>187</v>
      </c>
      <c r="I14" s="42">
        <v>103</v>
      </c>
      <c r="J14" s="30" t="s">
        <v>180</v>
      </c>
      <c r="K14" s="42">
        <v>1</v>
      </c>
      <c r="L14" s="131" t="s">
        <v>51</v>
      </c>
      <c r="M14" s="132">
        <f>CONVERT((I14-K14)/10000,"mi","ft")*IF(L14="Increasing Mileposts (1)",-1,1)</f>
        <v>53.856000000000002</v>
      </c>
      <c r="N14" s="133" t="str">
        <f>VLOOKUP(C14,'Trips&amp;Operators'!$C$1:$G$99911,5,FALSE)</f>
        <v>THOMPSON LESTER</v>
      </c>
      <c r="O14" s="176" t="s">
        <v>178</v>
      </c>
      <c r="P14" s="134"/>
      <c r="Q14" s="30"/>
      <c r="R14" s="81" t="str">
        <f>VLOOKUP(C14,'Train Runs'!$A$13:$AE$10032,31,0)</f>
        <v>aws s3 cp s3://rtdc.mdm.uploadarchive.raw/RTDC4031/ "%USERPROFILE%\AppData\Local\Temp\OnboardLogs"\RTDC4031\2017-10-15 --exclude "*" --recursive --include "*20171015*" &amp; "%USERPROFILE%\Documents\GitHub\mrs-test-scripts\Headless Mode &amp; Sideloading\WalkAndUnGZ.bat" "%USERPROFILE%\AppData\Local\Temp\OnboardLogs"\RTDC4031\2017-10-15 &amp; aws s3 cp s3://rtdc.mdm.uploadarchive.raw/RTDC4031/ "%USERPROFILE%\AppData\Local\Temp\OnboardLogs"\RTDC4031\2017-10-16 --exclude "*" --recursive --include "*20171016*" &amp; "%USERPROFILE%\Documents\GitHub\mrs-test-scripts\Headless Mode &amp; Sideloading\WalkAndUnGZ.bat" "%USERPROFILE%\AppData\Local\Temp\OnboardLogs"\RTDC4031\2017-10-16</v>
      </c>
      <c r="S14" s="84" t="str">
        <f>VLOOKUP(C14,'Train Runs'!$A$13:$AE$10032,22,0)</f>
        <v>https://d0f6bd738d7f1b3e5a7ca70fe4ff75f0.us-east-1.aws.found.io/app/kibana#/discover/Steve-Slow-Train-Analysis-(2080s-and-2083s)?_g=(refreshInterval:(display:Off,pause:!f,section:0,value:0),time:(from:'2017-10-15T03:08:20-0600',mode:absolute,to:'2017-10-15T05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/stypes="*4031*201710151*" /stext=" 10:.+((SYSTEM_STATE.+slice.+state.+changed )|(ment ac)|(multiple cpu faults)|(system.+state.+changed )|(\[timeout)|(PRM\|1\|D)|(kpr)|(kdp)|(train st.+moving)|(\|lc)|(penalty))"</v>
      </c>
      <c r="U14" s="9" t="str">
        <f>MID(B14,13,4)</f>
        <v>4031</v>
      </c>
      <c r="V14" s="31">
        <f>A14-utc_offset/24</f>
        <v>43023.452488425923</v>
      </c>
      <c r="W14" s="45" t="str">
        <f>DetSubdiv(C14)</f>
        <v>EC</v>
      </c>
      <c r="X14" s="22">
        <f>VALUE(LEFT(C14,LEN(C14)-3))</f>
        <v>102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{"issue":{"subject":"","project_id":79,"tracker_id":40,"status_id":1,"priority_id":2,"assigned_to_id":338,"start_date":"2017-10-15","description":"","custom_fields":[{"id":1,"name":"Subdivision","value":"EC"},{"id":4,"name":"Milepost","value":"0.0001"},{"id":17,"name":"Train ID","value":"102-15"},{"id":16,"name":"Locomotive ID","value":"4031"},{"id":130,"name":"Impact","value":""},{"id":150,"name":"Time of Event (Mountain Time)","value":"04:51:35"},{"id":151,"name":"Denver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/c/Users/stu/AppData/Local/Temp/OnboardLogs/RTDC4031 --include="*4031*201710151*"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"%USERPROFILE%\AppData\Local\Temp\OnboardLogs"\RTDC4031\*4031*201710151* &gt;&gt; 2017-10-15-SliceDisagreementCheck.txt</v>
      </c>
      <c r="AE14" s="145" t="str">
        <f t="shared" si="1"/>
        <v>start /low /b %USERPROFILE%\Documents\GitHub\eaglep3\Utilities\DownloadLogsFromS3.py --loco 4031 --day 2017-10-15</v>
      </c>
      <c r="AF14" s="1"/>
    </row>
    <row r="15" spans="1:32" x14ac:dyDescent="0.25">
      <c r="A15" s="31">
        <v>43023.940879629627</v>
      </c>
      <c r="B15" s="30" t="s">
        <v>588</v>
      </c>
      <c r="C15" s="30" t="s">
        <v>589</v>
      </c>
      <c r="D15" s="30" t="s">
        <v>49</v>
      </c>
      <c r="E15" s="30" t="s">
        <v>179</v>
      </c>
      <c r="F15" s="42">
        <v>0</v>
      </c>
      <c r="G15" s="42">
        <v>35</v>
      </c>
      <c r="H15" s="42">
        <v>87</v>
      </c>
      <c r="I15" s="42">
        <v>52</v>
      </c>
      <c r="J15" s="30" t="s">
        <v>180</v>
      </c>
      <c r="K15" s="42">
        <v>1</v>
      </c>
      <c r="L15" s="131" t="s">
        <v>51</v>
      </c>
      <c r="M15" s="132">
        <f>CONVERT((I15-K15)/10000,"mi","ft")*IF(L15="Increasing Mileposts (1)",-1,1)</f>
        <v>26.928000000000001</v>
      </c>
      <c r="N15" s="133" t="str">
        <f>VLOOKUP(C15,'Trips&amp;Operators'!$C$1:$G$99911,5,FALSE)</f>
        <v>STAMBAUGH JAMES</v>
      </c>
      <c r="O15" s="176" t="s">
        <v>178</v>
      </c>
      <c r="P15" s="134"/>
      <c r="Q15" s="30"/>
      <c r="R15" s="81" t="str">
        <f>VLOOKUP(C15,'Train Runs'!$A$13:$AE$10032,31,0)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S15" s="84" t="str">
        <f>VLOOKUP(C15,'Train Runs'!$A$13:$AE$10032,22,0)</f>
        <v>https://d0f6bd738d7f1b3e5a7ca70fe4ff75f0.us-east-1.aws.found.io/app/kibana#/discover/Steve-Slow-Train-Analysis-(2080s-and-2083s)?_g=(refreshInterval:(display:Off,pause:!f,section:0,value:0),time:(from:'2017-10-15T19:45:37-0600',mode:absolute,to:'2017-10-15T23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/stypes="*4007*201710160*" /stext=" 04:.+((SYSTEM_STATE.+slice.+state.+changed )|(ment ac)|(multiple cpu faults)|(system.+state.+changed )|(\[timeout)|(PRM\|1\|D)|(kpr)|(kdp)|(train st.+moving)|(\|lc)|(penalty))"</v>
      </c>
      <c r="U15" s="9" t="str">
        <f>MID(B15,13,4)</f>
        <v>4007</v>
      </c>
      <c r="V15" s="31">
        <f>A15-utc_offset/24</f>
        <v>43024.190879629627</v>
      </c>
      <c r="W15" s="45" t="str">
        <f>DetSubdiv(C15)</f>
        <v>EC</v>
      </c>
      <c r="X15" s="22">
        <f>VALUE(LEFT(C15,LEN(C15)-3))</f>
        <v>230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{"issue":{"subject":"","project_id":79,"tracker_id":40,"status_id":1,"priority_id":2,"assigned_to_id":338,"start_date":"2017-10-15","description":"","custom_fields":[{"id":1,"name":"Subdivision","value":"EC"},{"id":4,"name":"Milepost","value":"0.0001"},{"id":17,"name":"Train ID","value":"230-15"},{"id":16,"name":"Locomotive ID","value":"4007"},{"id":130,"name":"Impact","value":""},{"id":150,"name":"Time of Event (Mountain Time)","value":"22:34:52"},{"id":151,"name":"Denver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/c/Users/stu/AppData/Local/Temp/OnboardLogs/RTDC4007 --include="*4007*201710160*"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"%USERPROFILE%\AppData\Local\Temp\OnboardLogs"\RTDC4007\*4007*201710160* &gt;&gt; 2017-10-15-SliceDisagreementCheck.txt</v>
      </c>
      <c r="AE15" s="145" t="str">
        <f t="shared" si="1"/>
        <v>start /low /b %USERPROFILE%\Documents\GitHub\eaglep3\Utilities\DownloadLogsFromS3.py --loco 4007 --day 2017-10-16</v>
      </c>
      <c r="AF15" s="1"/>
    </row>
    <row r="16" spans="1:32" x14ac:dyDescent="0.25">
      <c r="A16" s="31">
        <v>43024.024444444447</v>
      </c>
      <c r="B16" s="30" t="s">
        <v>588</v>
      </c>
      <c r="C16" s="30" t="s">
        <v>593</v>
      </c>
      <c r="D16" s="30" t="s">
        <v>49</v>
      </c>
      <c r="E16" s="30" t="s">
        <v>179</v>
      </c>
      <c r="F16" s="42">
        <v>0</v>
      </c>
      <c r="G16" s="42">
        <v>45</v>
      </c>
      <c r="H16" s="42">
        <v>143</v>
      </c>
      <c r="I16" s="42">
        <v>101</v>
      </c>
      <c r="J16" s="30" t="s">
        <v>180</v>
      </c>
      <c r="K16" s="42">
        <v>1</v>
      </c>
      <c r="L16" s="131" t="s">
        <v>51</v>
      </c>
      <c r="M16" s="132">
        <f>CONVERT((I16-K16)/10000,"mi","ft")*IF(L16="Increasing Mileposts (1)",-1,1)</f>
        <v>52.8</v>
      </c>
      <c r="N16" s="133" t="str">
        <f>VLOOKUP(C16,'Trips&amp;Operators'!$C$1:$G$99911,5,FALSE)</f>
        <v>STAMBAUGH JAMES</v>
      </c>
      <c r="O16" s="176" t="s">
        <v>178</v>
      </c>
      <c r="P16" s="134"/>
      <c r="Q16" s="30"/>
      <c r="R16" s="81" t="str">
        <f>VLOOKUP(C16,'Train Runs'!$A$13:$AE$10032,31,0)</f>
        <v>aws s3 cp s3://rtdc.mdm.uploadarchive.raw/RTDC4007/ "%USERPROFILE%\AppData\Local\Temp\OnboardLogs"\RTDC4007\2017-10-15 --exclude "*" --recursive --include "*20171015*" &amp; "%USERPROFILE%\Documents\GitHub\mrs-test-scripts\Headless Mode &amp; Sideloading\WalkAndUnGZ.bat" "%USERPROFILE%\AppData\Local\Temp\OnboardLogs"\RTDC4007\2017-10-15 &amp; aws s3 cp s3://rtdc.mdm.uploadarchive.raw/RTDC4007/ "%USERPROFILE%\AppData\Local\Temp\OnboardLogs"\RTDC4007\2017-10-16 --exclude "*" --recursive --include "*20171016*" &amp; "%USERPROFILE%\Documents\GitHub\mrs-test-scripts\Headless Mode &amp; Sideloading\WalkAndUnGZ.bat" "%USERPROFILE%\AppData\Local\Temp\OnboardLogs"\RTDC4007\2017-10-16</v>
      </c>
      <c r="S16" s="84" t="str">
        <f>VLOOKUP(C16,'Train Runs'!$A$13:$AE$10032,22,0)</f>
        <v>https://d0f6bd738d7f1b3e5a7ca70fe4ff75f0.us-east-1.aws.found.io/app/kibana#/discover/Steve-Slow-Train-Analysis-(2080s-and-2083s)?_g=(refreshInterval:(display:Off,pause:!f,section:0,value:0),time:(from:'2017-10-15T21:39:32-0600',mode:absolute,to:'2017-10-16T01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/stypes="*4007*201710160*" /stext=" 06:.+((SYSTEM_STATE.+slice.+state.+changed )|(ment ac)|(multiple cpu faults)|(system.+state.+changed )|(\[timeout)|(PRM\|1\|D)|(kpr)|(kdp)|(train st.+moving)|(\|lc)|(penalty))"</v>
      </c>
      <c r="U16" s="9" t="str">
        <f>MID(B16,13,4)</f>
        <v>4007</v>
      </c>
      <c r="V16" s="31">
        <f>A16-utc_offset/24</f>
        <v>43024.274444444447</v>
      </c>
      <c r="W16" s="45" t="str">
        <f>DetSubdiv(C16)</f>
        <v>EC</v>
      </c>
      <c r="X16" s="22">
        <f>VALUE(LEFT(C16,LEN(C16)-3))</f>
        <v>238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{"issue":{"subject":"","project_id":79,"tracker_id":40,"status_id":1,"priority_id":2,"assigned_to_id":338,"start_date":"2017-10-16","description":"","custom_fields":[{"id":1,"name":"Subdivision","value":"EC"},{"id":4,"name":"Milepost","value":"0.0001"},{"id":17,"name":"Train ID","value":"238-15"},{"id":16,"name":"Locomotive ID","value":"4007"},{"id":130,"name":"Impact","value":""},{"id":150,"name":"Time of Event (Mountain Time)","value":"00:35:12"},{"id":151,"name":"Denver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/c/Users/stu/AppData/Local/Temp/OnboardLogs/RTDC4007 --include="*4007*201710160*"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"%USERPROFILE%\AppData\Local\Temp\OnboardLogs"\RTDC4007\*4007*201710160* &gt;&gt; 2017-10-15-SliceDisagreementCheck.txt</v>
      </c>
      <c r="AE16" s="145" t="str">
        <f t="shared" si="1"/>
        <v>start /low /b %USERPROFILE%\Documents\GitHub\eaglep3\Utilities\DownloadLogsFromS3.py --loco 4007 --day 2017-10-16</v>
      </c>
      <c r="AF16" s="1"/>
    </row>
    <row r="17" spans="1:32" x14ac:dyDescent="0.25">
      <c r="A17" s="31">
        <v>43024.086469907408</v>
      </c>
      <c r="B17" s="30" t="s">
        <v>498</v>
      </c>
      <c r="C17" s="30" t="s">
        <v>595</v>
      </c>
      <c r="D17" s="30" t="s">
        <v>49</v>
      </c>
      <c r="E17" s="30" t="s">
        <v>179</v>
      </c>
      <c r="F17" s="42">
        <v>0</v>
      </c>
      <c r="G17" s="42">
        <v>34</v>
      </c>
      <c r="H17" s="42">
        <v>134</v>
      </c>
      <c r="I17" s="42">
        <v>114</v>
      </c>
      <c r="J17" s="30" t="s">
        <v>180</v>
      </c>
      <c r="K17" s="42">
        <v>1</v>
      </c>
      <c r="L17" s="131" t="s">
        <v>51</v>
      </c>
      <c r="M17" s="132">
        <f>CONVERT((I17-K17)/10000,"mi","ft")*IF(L17="Increasing Mileposts (1)",-1,1)</f>
        <v>59.664000000000001</v>
      </c>
      <c r="N17" s="133" t="str">
        <f>VLOOKUP(C17,'Trips&amp;Operators'!$C$1:$G$99911,5,FALSE)</f>
        <v>DUNCAN SHEILA</v>
      </c>
      <c r="O17" s="176" t="s">
        <v>178</v>
      </c>
      <c r="P17" s="134"/>
      <c r="Q17" s="30"/>
      <c r="R17" s="81" t="str">
        <f>VLOOKUP(C17,'Train Runs'!$A$13:$AE$10032,31,0)</f>
        <v>aws s3 cp s3://rtdc.mdm.uploadarchive.raw/RTDC4003/ "%USERPROFILE%\AppData\Local\Temp\OnboardLogs"\RTDC4003\2017-10-16 --exclude "*" --recursive --include "*20171016*" &amp; "%USERPROFILE%\Documents\GitHub\mrs-test-scripts\Headless Mode &amp; Sideloading\WalkAndUnGZ.bat" "%USERPROFILE%\AppData\Local\Temp\OnboardLogs"\RTDC4003\2017-10-16 &amp; 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</v>
      </c>
      <c r="S17" s="84" t="str">
        <f>VLOOKUP(C17,'Train Runs'!$A$13:$AE$10032,22,0)</f>
        <v>https://d0f6bd738d7f1b3e5a7ca70fe4ff75f0.us-east-1.aws.found.io/app/kibana#/discover/Steve-Slow-Train-Analysis-(2080s-and-2083s)?_g=(refreshInterval:(display:Off,pause:!f,section:0,value:0),time:(from:'2017-10-15T23:13:32-0600',mode:absolute,to:'2017-10-16T03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/stypes="*4003*201710160*" /stext=" 08:.+((SYSTEM_STATE.+slice.+state.+changed )|(ment ac)|(multiple cpu faults)|(system.+state.+changed )|(\[timeout)|(PRM\|1\|D)|(kpr)|(kdp)|(train st.+moving)|(\|lc)|(penalty))"</v>
      </c>
      <c r="U17" s="9" t="str">
        <f>MID(B17,13,4)</f>
        <v>4003</v>
      </c>
      <c r="V17" s="31">
        <f>A17-utc_offset/24</f>
        <v>43024.336469907408</v>
      </c>
      <c r="W17" s="45" t="str">
        <f>DetSubdiv(C17)</f>
        <v>EC</v>
      </c>
      <c r="X17" s="22">
        <f>VALUE(LEFT(C17,LEN(C17)-3))</f>
        <v>244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{"issue":{"subject":"","project_id":79,"tracker_id":40,"status_id":1,"priority_id":2,"assigned_to_id":338,"start_date":"2017-10-16","description":"","custom_fields":[{"id":1,"name":"Subdivision","value":"EC"},{"id":4,"name":"Milepost","value":"0.0001"},{"id":17,"name":"Train ID","value":"244-15"},{"id":16,"name":"Locomotive ID","value":"4003"},{"id":130,"name":"Impact","value":""},{"id":150,"name":"Time of Event (Mountain Time)","value":"02:04:31"},{"id":151,"name":"Denver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/c/Users/stu/AppData/Local/Temp/OnboardLogs/RTDC4003 --include="*4003*201710160*"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"%USERPROFILE%\AppData\Local\Temp\OnboardLogs"\RTDC4003\*4003*201710160* &gt;&gt; 2017-10-15-SliceDisagreementCheck.txt</v>
      </c>
      <c r="AE17" s="145" t="str">
        <f t="shared" si="1"/>
        <v>start /low /b %USERPROFILE%\Documents\GitHub\eaglep3\Utilities\DownloadLogsFromS3.py --loco 4003 --day 2017-10-16</v>
      </c>
      <c r="AF17" s="1"/>
    </row>
    <row r="18" spans="1:32" x14ac:dyDescent="0.25">
      <c r="A18" s="31">
        <v>43023.234097222223</v>
      </c>
      <c r="B18" s="30" t="s">
        <v>455</v>
      </c>
      <c r="C18" s="30" t="s">
        <v>565</v>
      </c>
      <c r="D18" s="30" t="s">
        <v>49</v>
      </c>
      <c r="E18" s="30" t="s">
        <v>179</v>
      </c>
      <c r="F18" s="42">
        <v>0</v>
      </c>
      <c r="G18" s="42">
        <v>118</v>
      </c>
      <c r="H18" s="42">
        <v>233013</v>
      </c>
      <c r="I18" s="42">
        <v>233166</v>
      </c>
      <c r="J18" s="30" t="s">
        <v>180</v>
      </c>
      <c r="K18" s="42">
        <v>233491</v>
      </c>
      <c r="L18" s="131" t="s">
        <v>50</v>
      </c>
      <c r="M18" s="132">
        <f>CONVERT((I18-K18)/10000,"mi","ft")*IF(L18="Increasing Mileposts (1)",-1,1)</f>
        <v>171.6</v>
      </c>
      <c r="N18" s="133" t="str">
        <f>VLOOKUP(C18,'Trips&amp;Operators'!$C$1:$G$99911,5,FALSE)</f>
        <v>THOMPSON LESTER</v>
      </c>
      <c r="O18" s="176" t="s">
        <v>178</v>
      </c>
      <c r="P18" s="134"/>
      <c r="Q18" s="30"/>
      <c r="R18" s="81" t="str">
        <f>VLOOKUP(C18,'Train Runs'!$A$13:$AE$10032,31,0)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S18" s="84" t="str">
        <f>VLOOKUP(C18,'Train Runs'!$A$13:$AE$10032,22,0)</f>
        <v>https://d0f6bd738d7f1b3e5a7ca70fe4ff75f0.us-east-1.aws.found.io/app/kibana#/discover/Steve-Slow-Train-Analysis-(2080s-and-2083s)?_g=(refreshInterval:(display:Off,pause:!f,section:0,value:0),time:(from:'2017-10-15T03:57:27-0600',mode:absolute,to:'2017-10-15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/stypes="*4032*201710151*" /stext=" 11:.+((SYSTEM_STATE.+slice.+state.+changed )|(ment ac)|(multiple cpu faults)|(system.+state.+changed )|(\[timeout)|(PRM\|1\|D)|(kpr)|(kdp)|(train st.+moving)|(\|lc)|(penalty))"</v>
      </c>
      <c r="U18" s="9" t="str">
        <f>MID(B18,13,4)</f>
        <v>4032</v>
      </c>
      <c r="V18" s="31">
        <f>A18-utc_offset/24</f>
        <v>43023.484097222223</v>
      </c>
      <c r="W18" s="45" t="str">
        <f>DetSubdiv(C18)</f>
        <v>EC</v>
      </c>
      <c r="X18" s="22">
        <f>VALUE(LEFT(C18,LEN(C18)-3))</f>
        <v>111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ID","value":"111-15"},{"id":16,"name":"Locomotive ID","value":"4032"},{"id":130,"name":"Impact","value":""},{"id":150,"name":"Time of Event (Mountain Time)","value":"05:37:06"},{"id":151,"name":"Denver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/c/Users/stu/AppData/Local/Temp/OnboardLogs/RTDC4032 --include="*4032*201710151*"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"%USERPROFILE%\AppData\Local\Temp\OnboardLogs"\RTDC4032\*4032*201710151* &gt;&gt; 2017-10-15-SliceDisagreementCheck.txt</v>
      </c>
      <c r="AE18" s="145" t="str">
        <f t="shared" si="1"/>
        <v>start /low /b %USERPROFILE%\Documents\GitHub\eaglep3\Utilities\DownloadLogsFromS3.py --loco 4032 --day 2017-10-15</v>
      </c>
      <c r="AF18" s="1"/>
    </row>
    <row r="19" spans="1:32" x14ac:dyDescent="0.25">
      <c r="A19" s="31">
        <v>43023.234548611108</v>
      </c>
      <c r="B19" s="30" t="s">
        <v>455</v>
      </c>
      <c r="C19" s="30" t="s">
        <v>565</v>
      </c>
      <c r="D19" s="30" t="s">
        <v>49</v>
      </c>
      <c r="E19" s="30" t="s">
        <v>179</v>
      </c>
      <c r="F19" s="42">
        <v>0</v>
      </c>
      <c r="G19" s="42">
        <v>49</v>
      </c>
      <c r="H19" s="42">
        <v>233274</v>
      </c>
      <c r="I19" s="42">
        <v>233327</v>
      </c>
      <c r="J19" s="30" t="s">
        <v>180</v>
      </c>
      <c r="K19" s="42">
        <v>233491</v>
      </c>
      <c r="L19" s="131" t="s">
        <v>50</v>
      </c>
      <c r="M19" s="132">
        <f>CONVERT((I19-K19)/10000,"mi","ft")*IF(L19="Increasing Mileposts (1)",-1,1)</f>
        <v>86.592000000000013</v>
      </c>
      <c r="N19" s="133" t="str">
        <f>VLOOKUP(C19,'Trips&amp;Operators'!$C$1:$G$99911,5,FALSE)</f>
        <v>THOMPSON LESTER</v>
      </c>
      <c r="O19" s="176" t="s">
        <v>178</v>
      </c>
      <c r="P19" s="134"/>
      <c r="Q19" s="30"/>
      <c r="R19" s="81" t="str">
        <f>VLOOKUP(C19,'Train Runs'!$A$13:$AE$10032,31,0)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S19" s="84" t="str">
        <f>VLOOKUP(C19,'Train Runs'!$A$13:$AE$10032,22,0)</f>
        <v>https://d0f6bd738d7f1b3e5a7ca70fe4ff75f0.us-east-1.aws.found.io/app/kibana#/discover/Steve-Slow-Train-Analysis-(2080s-and-2083s)?_g=(refreshInterval:(display:Off,pause:!f,section:0,value:0),time:(from:'2017-10-15T03:57:27-0600',mode:absolute,to:'2017-10-15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/stypes="*4032*201710151*" /stext=" 11:.+((SYSTEM_STATE.+slice.+state.+changed )|(ment ac)|(multiple cpu faults)|(system.+state.+changed )|(\[timeout)|(PRM\|1\|D)|(kpr)|(kdp)|(train st.+moving)|(\|lc)|(penalty))"</v>
      </c>
      <c r="U19" s="9" t="str">
        <f>MID(B19,13,4)</f>
        <v>4032</v>
      </c>
      <c r="V19" s="31">
        <f>A19-utc_offset/24</f>
        <v>43023.484548611108</v>
      </c>
      <c r="W19" s="45" t="str">
        <f>DetSubdiv(C19)</f>
        <v>EC</v>
      </c>
      <c r="X19" s="22">
        <f>VALUE(LEFT(C19,LEN(C19)-3))</f>
        <v>111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ID","value":"111-15"},{"id":16,"name":"Locomotive ID","value":"4032"},{"id":130,"name":"Impact","value":""},{"id":150,"name":"Time of Event (Mountain Time)","value":"05:37:45"},{"id":151,"name":"Denver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/c/Users/stu/AppData/Local/Temp/OnboardLogs/RTDC4032 --include="*4032*201710151*"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"%USERPROFILE%\AppData\Local\Temp\OnboardLogs"\RTDC4032\*4032*201710151* &gt;&gt; 2017-10-15-SliceDisagreementCheck.txt</v>
      </c>
      <c r="AE19" s="145" t="str">
        <f t="shared" si="1"/>
        <v>start /low /b %USERPROFILE%\Documents\GitHub\eaglep3\Utilities\DownloadLogsFromS3.py --loco 4032 --day 2017-10-15</v>
      </c>
      <c r="AF19" s="1"/>
    </row>
    <row r="20" spans="1:32" x14ac:dyDescent="0.25">
      <c r="A20" s="31">
        <v>43023.26394675926</v>
      </c>
      <c r="B20" s="30" t="s">
        <v>566</v>
      </c>
      <c r="C20" s="30" t="s">
        <v>567</v>
      </c>
      <c r="D20" s="30" t="s">
        <v>49</v>
      </c>
      <c r="E20" s="30" t="s">
        <v>179</v>
      </c>
      <c r="F20" s="42">
        <v>0</v>
      </c>
      <c r="G20" s="42">
        <v>51</v>
      </c>
      <c r="H20" s="42">
        <v>233311</v>
      </c>
      <c r="I20" s="42">
        <v>233374</v>
      </c>
      <c r="J20" s="30" t="s">
        <v>180</v>
      </c>
      <c r="K20" s="42">
        <v>233491</v>
      </c>
      <c r="L20" s="131" t="s">
        <v>50</v>
      </c>
      <c r="M20" s="132">
        <f>CONVERT((I20-K20)/10000,"mi","ft")*IF(L20="Increasing Mileposts (1)",-1,1)</f>
        <v>61.776000000000003</v>
      </c>
      <c r="N20" s="133" t="str">
        <f>VLOOKUP(C20,'Trips&amp;Operators'!$C$1:$G$99911,5,FALSE)</f>
        <v>LAMAR NEKESHA</v>
      </c>
      <c r="O20" s="176" t="s">
        <v>178</v>
      </c>
      <c r="P20" s="134"/>
      <c r="Q20" s="30"/>
      <c r="R20" s="81" t="str">
        <f>VLOOKUP(C20,'Train Runs'!$A$13:$AE$10032,31,0)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S20" s="84" t="str">
        <f>VLOOKUP(C20,'Train Runs'!$A$13:$AE$10032,22,0)</f>
        <v>https://d0f6bd738d7f1b3e5a7ca70fe4ff75f0.us-east-1.aws.found.io/app/kibana#/discover/Steve-Slow-Train-Analysis-(2080s-and-2083s)?_g=(refreshInterval:(display:Off,pause:!f,section:0,value:0),time:(from:'2017-10-15T04:39:13-0600',mode:absolute,to:'2017-10-15T07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/stypes="*4016*201710151*" /stext=" 12:.+((SYSTEM_STATE.+slice.+state.+changed )|(ment ac)|(multiple cpu faults)|(system.+state.+changed )|(\[timeout)|(PRM\|1\|D)|(kpr)|(kdp)|(train st.+moving)|(\|lc)|(penalty))"</v>
      </c>
      <c r="U20" s="9" t="str">
        <f>MID(B20,13,4)</f>
        <v>4016</v>
      </c>
      <c r="V20" s="31">
        <f>A20-utc_offset/24</f>
        <v>43023.51394675926</v>
      </c>
      <c r="W20" s="45" t="str">
        <f>DetSubdiv(C20)</f>
        <v>EC</v>
      </c>
      <c r="X20" s="22">
        <f>VALUE(LEFT(C20,LEN(C20)-3))</f>
        <v>117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ID","value":"117-15"},{"id":16,"name":"Locomotive ID","value":"4016"},{"id":130,"name":"Impact","value":""},{"id":150,"name":"Time of Event (Mountain Time)","value":"06:20:05"},{"id":151,"name":"Denver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/c/Users/stu/AppData/Local/Temp/OnboardLogs/RTDC4016 --include="*4016*201710151*"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"%USERPROFILE%\AppData\Local\Temp\OnboardLogs"\RTDC4016\*4016*201710151* &gt;&gt; 2017-10-15-SliceDisagreementCheck.txt</v>
      </c>
      <c r="AE20" s="145" t="str">
        <f t="shared" si="1"/>
        <v>start /low /b %USERPROFILE%\Documents\GitHub\eaglep3\Utilities\DownloadLogsFromS3.py --loco 4016 --day 2017-10-15</v>
      </c>
      <c r="AF20" s="1"/>
    </row>
    <row r="21" spans="1:32" x14ac:dyDescent="0.25">
      <c r="A21" s="31">
        <v>43023.473043981481</v>
      </c>
      <c r="B21" s="30" t="s">
        <v>417</v>
      </c>
      <c r="C21" s="30" t="s">
        <v>575</v>
      </c>
      <c r="D21" s="30" t="s">
        <v>49</v>
      </c>
      <c r="E21" s="30" t="s">
        <v>179</v>
      </c>
      <c r="F21" s="42">
        <v>0</v>
      </c>
      <c r="G21" s="42">
        <v>82</v>
      </c>
      <c r="H21" s="42">
        <v>233228</v>
      </c>
      <c r="I21" s="42">
        <v>233301</v>
      </c>
      <c r="J21" s="30" t="s">
        <v>180</v>
      </c>
      <c r="K21" s="42">
        <v>233491</v>
      </c>
      <c r="L21" s="131" t="s">
        <v>50</v>
      </c>
      <c r="M21" s="132">
        <f>CONVERT((I21-K21)/10000,"mi","ft")*IF(L21="Increasing Mileposts (1)",-1,1)</f>
        <v>100.32</v>
      </c>
      <c r="N21" s="133" t="str">
        <f>VLOOKUP(C21,'Trips&amp;Operators'!$C$1:$G$99911,5,FALSE)</f>
        <v>STEWART MICHAEL</v>
      </c>
      <c r="O21" s="176" t="s">
        <v>178</v>
      </c>
      <c r="P21" s="134"/>
      <c r="Q21" s="30"/>
      <c r="R21" s="81" t="str">
        <f>VLOOKUP(C21,'Train Runs'!$A$13:$AE$10032,31,0)</f>
        <v>aws s3 cp s3://rtdc.mdm.uploadarchive.raw/RTDC4036/ "%USERPROFILE%\AppData\Local\Temp\OnboardLogs"\RTDC4036\2017-10-15 --exclude "*" --recursive --include "*20171015*" &amp; "%USERPROFILE%\Documents\GitHub\mrs-test-scripts\Headless Mode &amp; Sideloading\WalkAndUnGZ.bat" "%USERPROFILE%\AppData\Local\Temp\OnboardLogs"\RTDC4036\2017-10-15 &amp; aws s3 cp s3://rtdc.mdm.uploadarchive.raw/RTDC4036/ "%USERPROFILE%\AppData\Local\Temp\OnboardLogs"\RTDC4036\2017-10-16 --exclude "*" --recursive --include "*20171016*" &amp; "%USERPROFILE%\Documents\GitHub\mrs-test-scripts\Headless Mode &amp; Sideloading\WalkAndUnGZ.bat" "%USERPROFILE%\AppData\Local\Temp\OnboardLogs"\RTDC4036\2017-10-16</v>
      </c>
      <c r="S21" s="84" t="str">
        <f>VLOOKUP(C21,'Train Runs'!$A$13:$AE$10032,22,0)</f>
        <v>https://d0f6bd738d7f1b3e5a7ca70fe4ff75f0.us-east-1.aws.found.io/app/kibana#/discover/Steve-Slow-Train-Analysis-(2080s-and-2083s)?_g=(refreshInterval:(display:Off,pause:!f,section:0,value:0),time:(from:'2017-10-15T09:38:21-0600',mode:absolute,to:'2017-10-15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/stypes="*4036*201710151*" /stext=" 17:.+((SYSTEM_STATE.+slice.+state.+changed )|(ment ac)|(multiple cpu faults)|(system.+state.+changed )|(\[timeout)|(PRM\|1\|D)|(kpr)|(kdp)|(train st.+moving)|(\|lc)|(penalty))"</v>
      </c>
      <c r="U21" s="9" t="str">
        <f>MID(B21,13,4)</f>
        <v>4036</v>
      </c>
      <c r="V21" s="31">
        <f>A21-utc_offset/24</f>
        <v>43023.723043981481</v>
      </c>
      <c r="W21" s="45" t="str">
        <f>DetSubdiv(C21)</f>
        <v>EC</v>
      </c>
      <c r="X21" s="22">
        <f>VALUE(LEFT(C21,LEN(C21)-3))</f>
        <v>157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ID","value":"157-15"},{"id":16,"name":"Locomotive ID","value":"4036"},{"id":130,"name":"Impact","value":""},{"id":150,"name":"Time of Event (Mountain Time)","value":"11:21:11"},{"id":151,"name":"Denver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/c/Users/stu/AppData/Local/Temp/OnboardLogs/RTDC4036 --include="*4036*201710151*"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"%USERPROFILE%\AppData\Local\Temp\OnboardLogs"\RTDC4036\*4036*201710151* &gt;&gt; 2017-10-15-SliceDisagreementCheck.txt</v>
      </c>
      <c r="AE21" s="145" t="str">
        <f t="shared" si="1"/>
        <v>start /low /b %USERPROFILE%\Documents\GitHub\eaglep3\Utilities\DownloadLogsFromS3.py --loco 4036 --day 2017-10-15</v>
      </c>
      <c r="AF21" s="1"/>
    </row>
    <row r="22" spans="1:32" x14ac:dyDescent="0.25">
      <c r="A22" s="31">
        <v>43023.87871527778</v>
      </c>
      <c r="B22" s="30" t="s">
        <v>566</v>
      </c>
      <c r="C22" s="30" t="s">
        <v>586</v>
      </c>
      <c r="D22" s="30" t="s">
        <v>49</v>
      </c>
      <c r="E22" s="30" t="s">
        <v>179</v>
      </c>
      <c r="F22" s="42">
        <v>0</v>
      </c>
      <c r="G22" s="42">
        <v>46</v>
      </c>
      <c r="H22" s="42">
        <v>233304</v>
      </c>
      <c r="I22" s="42">
        <v>233385</v>
      </c>
      <c r="J22" s="30" t="s">
        <v>180</v>
      </c>
      <c r="K22" s="42">
        <v>233491</v>
      </c>
      <c r="L22" s="131" t="s">
        <v>50</v>
      </c>
      <c r="M22" s="132">
        <f>CONVERT((I22-K22)/10000,"mi","ft")*IF(L22="Increasing Mileposts (1)",-1,1)</f>
        <v>55.968000000000004</v>
      </c>
      <c r="N22" s="133" t="str">
        <f>VLOOKUP(C22,'Trips&amp;Operators'!$C$1:$G$99911,5,FALSE)</f>
        <v>DUNCAN SHEILA</v>
      </c>
      <c r="O22" s="176" t="s">
        <v>178</v>
      </c>
      <c r="P22" s="134"/>
      <c r="Q22" s="30"/>
      <c r="R22" s="81" t="str">
        <f>VLOOKUP(C22,'Train Runs'!$A$13:$AE$10032,31,0)</f>
        <v>aws s3 cp s3://rtdc.mdm.uploadarchive.raw/RTDC4016/ "%USERPROFILE%\AppData\Local\Temp\OnboardLogs"\RTDC4016\2017-10-15 --exclude "*" --recursive --include "*20171015*" &amp; "%USERPROFILE%\Documents\GitHub\mrs-test-scripts\Headless Mode &amp; Sideloading\WalkAndUnGZ.bat" "%USERPROFILE%\AppData\Local\Temp\OnboardLogs"\RTDC4016\2017-10-15 &amp; aws s3 cp s3://rtdc.mdm.uploadarchive.raw/RTDC4016/ "%USERPROFILE%\AppData\Local\Temp\OnboardLogs"\RTDC4016\2017-10-16 --exclude "*" --recursive --include "*20171016*" &amp; "%USERPROFILE%\Documents\GitHub\mrs-test-scripts\Headless Mode &amp; Sideloading\WalkAndUnGZ.bat" "%USERPROFILE%\AppData\Local\Temp\OnboardLogs"\RTDC4016\2017-10-16</v>
      </c>
      <c r="S22" s="84" t="str">
        <f>VLOOKUP(C22,'Train Runs'!$A$13:$AE$10032,22,0)</f>
        <v>https://d0f6bd738d7f1b3e5a7ca70fe4ff75f0.us-east-1.aws.found.io/app/kibana#/discover/Steve-Slow-Train-Analysis-(2080s-and-2083s)?_g=(refreshInterval:(display:Off,pause:!f,section:0,value:0),time:(from:'2017-10-15T19:25:36-0600',mode:absolute,to:'2017-10-15T22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/stypes="*4016*201710160*" /stext=" 03:.+((SYSTEM_STATE.+slice.+state.+changed )|(ment ac)|(multiple cpu faults)|(system.+state.+changed )|(\[timeout)|(PRM\|1\|D)|(kpr)|(kdp)|(train st.+moving)|(\|lc)|(penalty))"</v>
      </c>
      <c r="U22" s="9" t="str">
        <f>MID(B22,13,4)</f>
        <v>4016</v>
      </c>
      <c r="V22" s="31">
        <f>A22-utc_offset/24</f>
        <v>43024.12871527778</v>
      </c>
      <c r="W22" s="45" t="str">
        <f>DetSubdiv(C22)</f>
        <v>EC</v>
      </c>
      <c r="X22" s="22">
        <f>VALUE(LEFT(C22,LEN(C22)-3))</f>
        <v>227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ID","value":"227-15"},{"id":16,"name":"Locomotive ID","value":"4016"},{"id":130,"name":"Impact","value":""},{"id":150,"name":"Time of Event (Mountain Time)","value":"21:05:21"},{"id":151,"name":"Denver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/c/Users/stu/AppData/Local/Temp/OnboardLogs/RTDC4016 --include="*4016*201710160*"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"%USERPROFILE%\AppData\Local\Temp\OnboardLogs"\RTDC4016\*4016*201710160* &gt;&gt; 2017-10-15-SliceDisagreementCheck.txt</v>
      </c>
      <c r="AE22" s="145" t="str">
        <f t="shared" si="1"/>
        <v>start /low /b %USERPROFILE%\Documents\GitHub\eaglep3\Utilities\DownloadLogsFromS3.py --loco 4016 --day 2017-10-16</v>
      </c>
      <c r="AF22" s="1"/>
    </row>
    <row r="23" spans="1:32" x14ac:dyDescent="0.25">
      <c r="A23" s="31">
        <v>43023.983912037038</v>
      </c>
      <c r="B23" s="30" t="s">
        <v>455</v>
      </c>
      <c r="C23" s="30" t="s">
        <v>591</v>
      </c>
      <c r="D23" s="30" t="s">
        <v>49</v>
      </c>
      <c r="E23" s="30" t="s">
        <v>179</v>
      </c>
      <c r="F23" s="42">
        <v>0</v>
      </c>
      <c r="G23" s="42">
        <v>27</v>
      </c>
      <c r="H23" s="42">
        <v>233398</v>
      </c>
      <c r="I23" s="42">
        <v>233417</v>
      </c>
      <c r="J23" s="30" t="s">
        <v>180</v>
      </c>
      <c r="K23" s="42">
        <v>233491</v>
      </c>
      <c r="L23" s="131" t="s">
        <v>50</v>
      </c>
      <c r="M23" s="132">
        <f>CONVERT((I23-K23)/10000,"mi","ft")*IF(L23="Increasing Mileposts (1)",-1,1)</f>
        <v>39.072000000000003</v>
      </c>
      <c r="N23" s="133" t="str">
        <f>VLOOKUP(C23,'Trips&amp;Operators'!$C$1:$G$99911,5,FALSE)</f>
        <v>STAMBAUGH JAMES</v>
      </c>
      <c r="O23" s="176" t="s">
        <v>178</v>
      </c>
      <c r="P23" s="134"/>
      <c r="Q23" s="30"/>
      <c r="R23" s="81" t="str">
        <f>VLOOKUP(C23,'Train Runs'!$A$13:$AE$10032,31,0)</f>
        <v>aws s3 cp s3://rtdc.mdm.uploadarchive.raw/RTDC4032/ "%USERPROFILE%\AppData\Local\Temp\OnboardLogs"\RTDC4032\2017-10-15 --exclude "*" --recursive --include "*20171015*" &amp; "%USERPROFILE%\Documents\GitHub\mrs-test-scripts\Headless Mode &amp; Sideloading\WalkAndUnGZ.bat" "%USERPROFILE%\AppData\Local\Temp\OnboardLogs"\RTDC4032\2017-10-15 &amp; aws s3 cp s3://rtdc.mdm.uploadarchive.raw/RTDC4032/ "%USERPROFILE%\AppData\Local\Temp\OnboardLogs"\RTDC4032\2017-10-16 --exclude "*" --recursive --include "*20171016*" &amp; "%USERPROFILE%\Documents\GitHub\mrs-test-scripts\Headless Mode &amp; Sideloading\WalkAndUnGZ.bat" "%USERPROFILE%\AppData\Local\Temp\OnboardLogs"\RTDC4032\2017-10-16</v>
      </c>
      <c r="S23" s="84" t="str">
        <f>VLOOKUP(C23,'Train Runs'!$A$13:$AE$10032,22,0)</f>
        <v>https://d0f6bd738d7f1b3e5a7ca70fe4ff75f0.us-east-1.aws.found.io/app/kibana#/discover/Steve-Slow-Train-Analysis-(2080s-and-2083s)?_g=(refreshInterval:(display:Off,pause:!f,section:0,value:0),time:(from:'2017-10-15T21:39:32-0600',mode:absolute,to:'2017-10-16T00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/stypes="*4032*201710160*" /stext=" 05:.+((SYSTEM_STATE.+slice.+state.+changed )|(ment ac)|(multiple cpu faults)|(system.+state.+changed )|(\[timeout)|(PRM\|1\|D)|(kpr)|(kdp)|(train st.+moving)|(\|lc)|(penalty))"</v>
      </c>
      <c r="U23" s="9" t="str">
        <f>MID(B23,13,4)</f>
        <v>4032</v>
      </c>
      <c r="V23" s="31">
        <f>A23-utc_offset/24</f>
        <v>43024.233912037038</v>
      </c>
      <c r="W23" s="45" t="str">
        <f>DetSubdiv(C23)</f>
        <v>EC</v>
      </c>
      <c r="X23" s="22">
        <f>VALUE(LEFT(C23,LEN(C23)-3))</f>
        <v>237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{"issue":{"subject":"","project_id":79,"tracker_id":40,"status_id":1,"priority_id":2,"assigned_to_id":338,"start_date":"2017-10-15","description":"","custom_fields":[{"id":1,"name":"Subdivision","value":"EC"},{"id":4,"name":"Milepost","value":"23.3491"},{"id":17,"name":"Train ID","value":"237-15"},{"id":16,"name":"Locomotive ID","value":"4032"},{"id":130,"name":"Impact","value":""},{"id":150,"name":"Time of Event (Mountain Time)","value":"23:36:50"},{"id":151,"name":"Denver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/c/Users/stu/AppData/Local/Temp/OnboardLogs/RTDC4032 --include="*4032*201710160*"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"%USERPROFILE%\AppData\Local\Temp\OnboardLogs"\RTDC4032\*4032*201710160* &gt;&gt; 2017-10-15-SliceDisagreementCheck.txt</v>
      </c>
      <c r="AE23" s="145" t="str">
        <f t="shared" si="1"/>
        <v>start /low /b %USERPROFILE%\Documents\GitHub\eaglep3\Utilities\DownloadLogsFromS3.py --loco 4032 --day 2017-10-16</v>
      </c>
      <c r="AF23" s="1"/>
    </row>
    <row r="24" spans="1:32" x14ac:dyDescent="0.25">
      <c r="A24" s="31">
        <v>43023.267951388887</v>
      </c>
      <c r="B24" s="30" t="s">
        <v>451</v>
      </c>
      <c r="C24" s="30" t="s">
        <v>568</v>
      </c>
      <c r="D24" s="30" t="s">
        <v>95</v>
      </c>
      <c r="E24" s="30" t="s">
        <v>449</v>
      </c>
      <c r="F24" s="42">
        <v>0</v>
      </c>
      <c r="G24" s="42">
        <v>163</v>
      </c>
      <c r="H24" s="42">
        <v>58154</v>
      </c>
      <c r="I24" s="42">
        <v>57840</v>
      </c>
      <c r="J24" s="30" t="s">
        <v>450</v>
      </c>
      <c r="K24" s="42">
        <v>58472</v>
      </c>
      <c r="L24" s="131" t="s">
        <v>51</v>
      </c>
      <c r="M24" s="132">
        <f>CONVERT((I24-K24)/10000,"mi","ft")*IF(L24="Increasing Mileposts (1)",-1,1)</f>
        <v>-333.69600000000003</v>
      </c>
      <c r="N24" s="133" t="str">
        <f>VLOOKUP(C24,'Trips&amp;Operators'!$C$1:$G$99911,5,FALSE)</f>
        <v>MACDONALD THOMAS</v>
      </c>
      <c r="O24" s="176" t="s">
        <v>178</v>
      </c>
      <c r="P24" s="134" t="s">
        <v>992</v>
      </c>
      <c r="Q24" s="30"/>
      <c r="R24" s="81" t="str">
        <f>VLOOKUP(C24,'Train Runs'!$A$13:$AE$10032,31,0)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S24" s="84" t="str">
        <f>VLOOKUP(C24,'Train Runs'!$A$13:$AE$10032,22,0)</f>
        <v>https://d0f6bd738d7f1b3e5a7ca70fe4ff75f0.us-east-1.aws.found.io/app/kibana#/discover/Steve-Slow-Train-Analysis-(2080s-and-2083s)?_g=(refreshInterval:(display:Off,pause:!f,section:0,value:0),time:(from:'2017-10-15T05:27:54-0600',mode:absolute,to:'2017-10-15T07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/stypes="*4001*201710151*" /stext=" 12:.+((SYSTEM_STATE.+slice.+state.+changed )|(ment ac)|(multiple cpu faults)|(system.+state.+changed )|(\[timeout)|(PRM\|1\|D)|(kpr)|(kdp)|(train st.+moving)|(\|lc)|(penalty))"</v>
      </c>
      <c r="U24" s="9" t="str">
        <f>MID(B24,13,4)</f>
        <v>4001</v>
      </c>
      <c r="V24" s="31">
        <f>A24-utc_offset/24</f>
        <v>43023.517951388887</v>
      </c>
      <c r="W24" s="45" t="str">
        <f>DetSubdiv(C24)</f>
        <v>NW</v>
      </c>
      <c r="X24" s="22">
        <f>VALUE(LEFT(C24,LEN(C24)-3))</f>
        <v>1802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{"issue":{"subject":"Went active too close to Westminster 2S","project_id":79,"tracker_id":40,"status_id":1,"priority_id":2,"assigned_to_id":338,"start_date":"2017-10-15","description":"","custom_fields":[{"id":1,"name":"Subdivision","value":"NW"},{"id":4,"name":"Milepost","value":"5.8472"},{"id":17,"name":"Train ID","value":"1802-15"},{"id":16,"name":"Locomotive ID","value":"4001"},{"id":130,"name":"Impact","value":""},{"id":150,"name":"Time of Event (Mountain Time)","value":"06:25:51"},{"id":151,"name":"Denver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/c/Users/stu/AppData/Local/Temp/OnboardLogs/RTDC4001 --include="*4001*201710151*"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"%USERPROFILE%\AppData\Local\Temp\OnboardLogs"\RTDC4001\*4001*201710151* &gt;&gt; 2017-10-15-SliceDisagreementCheck.txt</v>
      </c>
      <c r="AE24" s="145" t="str">
        <f t="shared" si="1"/>
        <v>start /low /b %USERPROFILE%\Documents\GitHub\eaglep3\Utilities\DownloadLogsFromS3.py --loco 4001 --day 2017-10-15</v>
      </c>
      <c r="AF24" s="1"/>
    </row>
    <row r="25" spans="1:32" x14ac:dyDescent="0.25">
      <c r="A25" s="31">
        <v>43023.456678240742</v>
      </c>
      <c r="B25" s="30" t="s">
        <v>451</v>
      </c>
      <c r="C25" s="30" t="s">
        <v>574</v>
      </c>
      <c r="D25" s="30" t="s">
        <v>49</v>
      </c>
      <c r="E25" s="30" t="s">
        <v>179</v>
      </c>
      <c r="F25" s="42">
        <v>0</v>
      </c>
      <c r="G25" s="42">
        <v>72</v>
      </c>
      <c r="H25" s="42">
        <v>831</v>
      </c>
      <c r="I25" s="42">
        <v>768</v>
      </c>
      <c r="J25" s="30" t="s">
        <v>180</v>
      </c>
      <c r="K25" s="42">
        <v>575</v>
      </c>
      <c r="L25" s="131" t="s">
        <v>51</v>
      </c>
      <c r="M25" s="132">
        <f>CONVERT((I25-K25)/10000,"mi","ft")*IF(L25="Increasing Mileposts (1)",-1,1)</f>
        <v>101.904</v>
      </c>
      <c r="N25" s="133" t="str">
        <f>VLOOKUP(C25,'Trips&amp;Operators'!$C$1:$G$99911,5,FALSE)</f>
        <v>MACDONALD THOMAS</v>
      </c>
      <c r="O25" s="176" t="s">
        <v>178</v>
      </c>
      <c r="P25" s="134"/>
      <c r="Q25" s="30"/>
      <c r="R25" s="81" t="str">
        <f>VLOOKUP(C25,'Train Runs'!$A$13:$AE$10032,31,0)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S25" s="84" t="str">
        <f>VLOOKUP(C25,'Train Runs'!$A$13:$AE$10032,22,0)</f>
        <v>https://d0f6bd738d7f1b3e5a7ca70fe4ff75f0.us-east-1.aws.found.io/app/kibana#/discover/Steve-Slow-Train-Analysis-(2080s-and-2083s)?_g=(refreshInterval:(display:Off,pause:!f,section:0,value:0),time:(from:'2017-10-15T09:26:06-0600',mode:absolute,to:'2017-10-15T11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/stypes="*4001*201710151*" /stext=" 16:.+((SYSTEM_STATE.+slice.+state.+changed )|(ment ac)|(multiple cpu faults)|(system.+state.+changed )|(\[timeout)|(PRM\|1\|D)|(kpr)|(kdp)|(train st.+moving)|(\|lc)|(penalty))"</v>
      </c>
      <c r="U25" s="9" t="str">
        <f>MID(B25,13,4)</f>
        <v>4001</v>
      </c>
      <c r="V25" s="31">
        <f>A25-utc_offset/24</f>
        <v>43023.706678240742</v>
      </c>
      <c r="W25" s="45" t="str">
        <f>DetSubdiv(C25)</f>
        <v>NW</v>
      </c>
      <c r="X25" s="22">
        <f>VALUE(LEFT(C25,LEN(C25)-3))</f>
        <v>1810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{"issue":{"subject":"","project_id":79,"tracker_id":40,"status_id":1,"priority_id":2,"assigned_to_id":338,"start_date":"2017-10-15","description":"","custom_fields":[{"id":1,"name":"Subdivision","value":"NW"},{"id":4,"name":"Milepost","value":"0.0575"},{"id":17,"name":"Train ID","value":"1810-15"},{"id":16,"name":"Locomotive ID","value":"4001"},{"id":130,"name":"Impact","value":""},{"id":150,"name":"Time of Event (Mountain Time)","value":"10:57:37"},{"id":151,"name":"Denver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/c/Users/stu/AppData/Local/Temp/OnboardLogs/RTDC4001 --include="*4001*201710151*"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"%USERPROFILE%\AppData\Local\Temp\OnboardLogs"\RTDC4001\*4001*201710151* &gt;&gt; 2017-10-15-SliceDisagreementCheck.txt</v>
      </c>
      <c r="AE25" s="145" t="str">
        <f t="shared" si="1"/>
        <v>start /low /b %USERPROFILE%\Documents\GitHub\eaglep3\Utilities\DownloadLogsFromS3.py --loco 4001 --day 2017-10-15</v>
      </c>
      <c r="AF25" s="1"/>
    </row>
    <row r="26" spans="1:32" x14ac:dyDescent="0.25">
      <c r="A26" s="31">
        <v>43023.599629629629</v>
      </c>
      <c r="B26" s="30" t="s">
        <v>458</v>
      </c>
      <c r="C26" s="30" t="s">
        <v>576</v>
      </c>
      <c r="D26" s="30" t="s">
        <v>49</v>
      </c>
      <c r="E26" s="30" t="s">
        <v>179</v>
      </c>
      <c r="F26" s="42">
        <v>0</v>
      </c>
      <c r="G26" s="42">
        <v>45</v>
      </c>
      <c r="H26" s="42">
        <v>58914</v>
      </c>
      <c r="I26" s="42">
        <v>58961</v>
      </c>
      <c r="J26" s="30" t="s">
        <v>180</v>
      </c>
      <c r="K26" s="42">
        <v>59048</v>
      </c>
      <c r="L26" s="131" t="s">
        <v>50</v>
      </c>
      <c r="M26" s="132">
        <f>CONVERT((I26-K26)/10000,"mi","ft")*IF(L26="Increasing Mileposts (1)",-1,1)</f>
        <v>45.936</v>
      </c>
      <c r="N26" s="133" t="str">
        <f>VLOOKUP(C26,'Trips&amp;Operators'!$C$1:$G$99911,5,FALSE)</f>
        <v>KILLION DAVID</v>
      </c>
      <c r="O26" s="176" t="s">
        <v>178</v>
      </c>
      <c r="P26" s="134"/>
      <c r="Q26" s="30"/>
      <c r="R26" s="81" t="str">
        <f>VLOOKUP(C26,'Train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26" s="84" t="str">
        <f>VLOOKUP(C26,'Train Runs'!$A$13:$AE$10032,22,0)</f>
        <v>https://d0f6bd738d7f1b3e5a7ca70fe4ff75f0.us-east-1.aws.found.io/app/kibana#/discover/Steve-Slow-Train-Analysis-(2080s-and-2083s)?_g=(refreshInterval:(display:Off,pause:!f,section:0,value:0),time:(from:'2017-10-15T12:26:55-0600',mode:absolute,to:'2017-10-15T15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/stypes="*4002*201710152*" /stext=" 20:.+((SYSTEM_STATE.+slice.+state.+changed )|(ment ac)|(multiple cpu faults)|(system.+state.+changed )|(\[timeout)|(PRM\|1\|D)|(kpr)|(kdp)|(train st.+moving)|(\|lc)|(penalty))"</v>
      </c>
      <c r="U26" s="9" t="str">
        <f>MID(B26,13,4)</f>
        <v>4002</v>
      </c>
      <c r="V26" s="31">
        <f>A26-utc_offset/24</f>
        <v>43023.849629629629</v>
      </c>
      <c r="W26" s="45" t="str">
        <f>DetSubdiv(C26)</f>
        <v>NW</v>
      </c>
      <c r="X26" s="22">
        <f>VALUE(LEFT(C26,LEN(C26)-3))</f>
        <v>1817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ID","value":"1817-15"},{"id":16,"name":"Locomotive ID","value":"4002"},{"id":130,"name":"Impact","value":""},{"id":150,"name":"Time of Event (Mountain Time)","value":"14:23:28"},{"id":151,"name":"Denver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/c/Users/stu/AppData/Local/Temp/OnboardLogs/RTDC4002 --include="*4002*201710152*"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"%USERPROFILE%\AppData\Local\Temp\OnboardLogs"\RTDC4002\*4002*201710152* &gt;&gt; 2017-10-15-SliceDisagreementCheck.txt</v>
      </c>
      <c r="AE26" s="145" t="str">
        <f t="shared" si="1"/>
        <v>start /low /b %USERPROFILE%\Documents\GitHub\eaglep3\Utilities\DownloadLogsFromS3.py --loco 4002 --day 2017-10-15</v>
      </c>
      <c r="AF26" s="1"/>
    </row>
    <row r="27" spans="1:32" x14ac:dyDescent="0.25">
      <c r="A27" s="31">
        <v>43023.600127314814</v>
      </c>
      <c r="B27" s="30" t="s">
        <v>458</v>
      </c>
      <c r="C27" s="30" t="s">
        <v>576</v>
      </c>
      <c r="D27" s="30" t="s">
        <v>95</v>
      </c>
      <c r="E27" s="30" t="s">
        <v>179</v>
      </c>
      <c r="F27" s="42">
        <v>0</v>
      </c>
      <c r="G27" s="42">
        <v>10</v>
      </c>
      <c r="H27" s="42">
        <v>59049</v>
      </c>
      <c r="I27" s="42">
        <v>0</v>
      </c>
      <c r="J27" s="30" t="s">
        <v>180</v>
      </c>
      <c r="K27" s="42">
        <v>59048</v>
      </c>
      <c r="L27" s="131" t="s">
        <v>50</v>
      </c>
      <c r="M27" s="132">
        <f>CONVERT((I27-K27)/10000,"mi","ft")*IF(L27="Increasing Mileposts (1)",-1,1)</f>
        <v>31177.344000000001</v>
      </c>
      <c r="N27" s="133" t="str">
        <f>VLOOKUP(C27,'Trips&amp;Operators'!$C$1:$G$99911,5,FALSE)</f>
        <v>KILLION DAVID</v>
      </c>
      <c r="O27" s="176" t="s">
        <v>178</v>
      </c>
      <c r="P27" s="134"/>
      <c r="Q27" s="30"/>
      <c r="R27" s="81" t="str">
        <f>VLOOKUP(C27,'Train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27" s="84" t="str">
        <f>VLOOKUP(C27,'Train Runs'!$A$13:$AE$10032,22,0)</f>
        <v>https://d0f6bd738d7f1b3e5a7ca70fe4ff75f0.us-east-1.aws.found.io/app/kibana#/discover/Steve-Slow-Train-Analysis-(2080s-and-2083s)?_g=(refreshInterval:(display:Off,pause:!f,section:0,value:0),time:(from:'2017-10-15T12:26:55-0600',mode:absolute,to:'2017-10-15T15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/stypes="*4002*201710152*" /stext=" 20:.+((SYSTEM_STATE.+slice.+state.+changed )|(ment ac)|(multiple cpu faults)|(system.+state.+changed )|(\[timeout)|(PRM\|1\|D)|(kpr)|(kdp)|(train st.+moving)|(\|lc)|(penalty))"</v>
      </c>
      <c r="U27" s="9" t="str">
        <f>MID(B27,13,4)</f>
        <v>4002</v>
      </c>
      <c r="V27" s="31">
        <f>A27-utc_offset/24</f>
        <v>43023.850127314814</v>
      </c>
      <c r="W27" s="45" t="str">
        <f>DetSubdiv(C27)</f>
        <v>NW</v>
      </c>
      <c r="X27" s="22">
        <f>VALUE(LEFT(C27,LEN(C27)-3))</f>
        <v>1817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ID","value":"1817-15"},{"id":16,"name":"Locomotive ID","value":"4002"},{"id":130,"name":"Impact","value":""},{"id":150,"name":"Time of Event (Mountain Time)","value":"14:24:11"},{"id":151,"name":"Denver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/c/Users/stu/AppData/Local/Temp/OnboardLogs/RTDC4002 --include="*4002*201710152*"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"%USERPROFILE%\AppData\Local\Temp\OnboardLogs"\RTDC4002\*4002*201710152* &gt;&gt; 2017-10-15-SliceDisagreementCheck.txt</v>
      </c>
      <c r="AE27" s="145" t="str">
        <f t="shared" si="1"/>
        <v>start /low /b %USERPROFILE%\Documents\GitHub\eaglep3\Utilities\DownloadLogsFromS3.py --loco 4002 --day 2017-10-15</v>
      </c>
      <c r="AF27" s="1"/>
    </row>
    <row r="28" spans="1:32" x14ac:dyDescent="0.25">
      <c r="A28" s="31">
        <v>43023.642210648148</v>
      </c>
      <c r="B28" s="30" t="s">
        <v>458</v>
      </c>
      <c r="C28" s="30" t="s">
        <v>578</v>
      </c>
      <c r="D28" s="30" t="s">
        <v>95</v>
      </c>
      <c r="E28" s="30" t="s">
        <v>179</v>
      </c>
      <c r="F28" s="42">
        <v>0</v>
      </c>
      <c r="G28" s="42">
        <v>10</v>
      </c>
      <c r="H28" s="42">
        <v>59049</v>
      </c>
      <c r="I28" s="42">
        <v>0</v>
      </c>
      <c r="J28" s="30" t="s">
        <v>180</v>
      </c>
      <c r="K28" s="42">
        <v>59048</v>
      </c>
      <c r="L28" s="131" t="s">
        <v>50</v>
      </c>
      <c r="M28" s="132">
        <f>CONVERT((I28-K28)/10000,"mi","ft")*IF(L28="Increasing Mileposts (1)",-1,1)</f>
        <v>31177.344000000001</v>
      </c>
      <c r="N28" s="133" t="str">
        <f>VLOOKUP(C28,'Trips&amp;Operators'!$C$1:$G$99911,5,FALSE)</f>
        <v>KILLION DAVID</v>
      </c>
      <c r="O28" s="176" t="s">
        <v>178</v>
      </c>
      <c r="P28" s="134"/>
      <c r="Q28" s="30"/>
      <c r="R28" s="81" t="str">
        <f>VLOOKUP(C28,'Train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28" s="84" t="str">
        <f>VLOOKUP(C28,'Train Runs'!$A$13:$AE$10032,22,0)</f>
        <v>https://d0f6bd738d7f1b3e5a7ca70fe4ff75f0.us-east-1.aws.found.io/app/kibana#/discover/Steve-Slow-Train-Analysis-(2080s-and-2083s)?_g=(refreshInterval:(display:Off,pause:!f,section:0,value:0),time:(from:'2017-10-15T13:58:50-0600',mode:absolute,to:'2017-10-15T16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/stypes="*4002*201710152*" /stext=" 21:.+((SYSTEM_STATE.+slice.+state.+changed )|(ment ac)|(multiple cpu faults)|(system.+state.+changed )|(\[timeout)|(PRM\|1\|D)|(kpr)|(kdp)|(train st.+moving)|(\|lc)|(penalty))"</v>
      </c>
      <c r="U28" s="9" t="str">
        <f>MID(B28,13,4)</f>
        <v>4002</v>
      </c>
      <c r="V28" s="31">
        <f>A28-utc_offset/24</f>
        <v>43023.892210648148</v>
      </c>
      <c r="W28" s="45" t="str">
        <f>DetSubdiv(C28)</f>
        <v>NW</v>
      </c>
      <c r="X28" s="22">
        <f>VALUE(LEFT(C28,LEN(C28)-3))</f>
        <v>1819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ID","value":"1819-15"},{"id":16,"name":"Locomotive ID","value":"4002"},{"id":130,"name":"Impact","value":""},{"id":150,"name":"Time of Event (Mountain Time)","value":"15:24:47"},{"id":151,"name":"Denver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/c/Users/stu/AppData/Local/Temp/OnboardLogs/RTDC4002 --include="*4002*201710152*"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"%USERPROFILE%\AppData\Local\Temp\OnboardLogs"\RTDC4002\*4002*201710152* &gt;&gt; 2017-10-15-SliceDisagreementCheck.txt</v>
      </c>
      <c r="AE28" s="145" t="str">
        <f t="shared" si="1"/>
        <v>start /low /b %USERPROFILE%\Documents\GitHub\eaglep3\Utilities\DownloadLogsFromS3.py --loco 4002 --day 2017-10-15</v>
      </c>
      <c r="AF28" s="1"/>
    </row>
    <row r="29" spans="1:32" x14ac:dyDescent="0.25">
      <c r="A29" s="31">
        <v>43023.682881944442</v>
      </c>
      <c r="B29" s="30" t="s">
        <v>458</v>
      </c>
      <c r="C29" s="30" t="s">
        <v>579</v>
      </c>
      <c r="D29" s="30" t="s">
        <v>95</v>
      </c>
      <c r="E29" s="30" t="s">
        <v>179</v>
      </c>
      <c r="F29" s="42">
        <v>0</v>
      </c>
      <c r="G29" s="42">
        <v>6</v>
      </c>
      <c r="H29" s="42">
        <v>59049</v>
      </c>
      <c r="I29" s="42">
        <v>0</v>
      </c>
      <c r="J29" s="30" t="s">
        <v>180</v>
      </c>
      <c r="K29" s="42">
        <v>59048</v>
      </c>
      <c r="L29" s="131" t="s">
        <v>50</v>
      </c>
      <c r="M29" s="132">
        <f>CONVERT((I29-K29)/10000,"mi","ft")*IF(L29="Increasing Mileposts (1)",-1,1)</f>
        <v>31177.344000000001</v>
      </c>
      <c r="N29" s="133" t="str">
        <f>VLOOKUP(C29,'Trips&amp;Operators'!$C$1:$G$99911,5,FALSE)</f>
        <v>KILLION DAVID</v>
      </c>
      <c r="O29" s="176" t="s">
        <v>178</v>
      </c>
      <c r="P29" s="134"/>
      <c r="Q29" s="30"/>
      <c r="R29" s="81" t="str">
        <f>VLOOKUP(C29,'Train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29" s="84" t="str">
        <f>VLOOKUP(C29,'Train Runs'!$A$13:$AE$10032,22,0)</f>
        <v>https://d0f6bd738d7f1b3e5a7ca70fe4ff75f0.us-east-1.aws.found.io/app/kibana#/discover/Steve-Slow-Train-Analysis-(2080s-and-2083s)?_g=(refreshInterval:(display:Off,pause:!f,section:0,value:0),time:(from:'2017-10-15T14:36:29-0600',mode:absolute,to:'2017-10-15T17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/stypes="*4002*201710152*" /stext=" 22:.+((SYSTEM_STATE.+slice.+state.+changed )|(ment ac)|(multiple cpu faults)|(system.+state.+changed )|(\[timeout)|(PRM\|1\|D)|(kpr)|(kdp)|(train st.+moving)|(\|lc)|(penalty))"</v>
      </c>
      <c r="U29" s="9" t="str">
        <f>MID(B29,13,4)</f>
        <v>4002</v>
      </c>
      <c r="V29" s="31">
        <f>A29-utc_offset/24</f>
        <v>43023.932881944442</v>
      </c>
      <c r="W29" s="45" t="str">
        <f>DetSubdiv(C29)</f>
        <v>NW</v>
      </c>
      <c r="X29" s="22">
        <f>VALUE(LEFT(C29,LEN(C29)-3))</f>
        <v>1821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ID","value":"1821-15"},{"id":16,"name":"Locomotive ID","value":"4002"},{"id":130,"name":"Impact","value":""},{"id":150,"name":"Time of Event (Mountain Time)","value":"16:23:21"},{"id":151,"name":"Denver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/c/Users/stu/AppData/Local/Temp/OnboardLogs/RTDC4002 --include="*4002*201710152*"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"%USERPROFILE%\AppData\Local\Temp\OnboardLogs"\RTDC4002\*4002*201710152* &gt;&gt; 2017-10-15-SliceDisagreementCheck.txt</v>
      </c>
      <c r="AE29" s="145" t="str">
        <f t="shared" si="1"/>
        <v>start /low /b %USERPROFILE%\Documents\GitHub\eaglep3\Utilities\DownloadLogsFromS3.py --loco 4002 --day 2017-10-15</v>
      </c>
      <c r="AF29" s="1"/>
    </row>
    <row r="30" spans="1:32" x14ac:dyDescent="0.25">
      <c r="A30" s="31">
        <v>43023.725671296299</v>
      </c>
      <c r="B30" s="30" t="s">
        <v>458</v>
      </c>
      <c r="C30" s="30" t="s">
        <v>580</v>
      </c>
      <c r="D30" s="30" t="s">
        <v>95</v>
      </c>
      <c r="E30" s="30" t="s">
        <v>179</v>
      </c>
      <c r="F30" s="42">
        <v>0</v>
      </c>
      <c r="G30" s="42">
        <v>9</v>
      </c>
      <c r="H30" s="42">
        <v>59049</v>
      </c>
      <c r="I30" s="42">
        <v>0</v>
      </c>
      <c r="J30" s="30" t="s">
        <v>180</v>
      </c>
      <c r="K30" s="42">
        <v>59048</v>
      </c>
      <c r="L30" s="131" t="s">
        <v>50</v>
      </c>
      <c r="M30" s="132">
        <f>CONVERT((I30-K30)/10000,"mi","ft")*IF(L30="Increasing Mileposts (1)",-1,1)</f>
        <v>31177.344000000001</v>
      </c>
      <c r="N30" s="133" t="str">
        <f>VLOOKUP(C30,'Trips&amp;Operators'!$C$1:$G$99911,5,FALSE)</f>
        <v>KILLION DAVID</v>
      </c>
      <c r="O30" s="176" t="s">
        <v>178</v>
      </c>
      <c r="P30" s="134"/>
      <c r="Q30" s="30"/>
      <c r="R30" s="81" t="str">
        <f>VLOOKUP(C30,'Train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0" s="84" t="str">
        <f>VLOOKUP(C30,'Train Runs'!$A$13:$AE$10032,22,0)</f>
        <v>https://d0f6bd738d7f1b3e5a7ca70fe4ff75f0.us-east-1.aws.found.io/app/kibana#/discover/Steve-Slow-Train-Analysis-(2080s-and-2083s)?_g=(refreshInterval:(display:Off,pause:!f,section:0,value:0),time:(from:'2017-10-15T16:01:53-0600',mode:absolute,to:'2017-10-15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/stypes="*4002*201710152*" /stext=" 23:.+((SYSTEM_STATE.+slice.+state.+changed )|(ment ac)|(multiple cpu faults)|(system.+state.+changed )|(\[timeout)|(PRM\|1\|D)|(kpr)|(kdp)|(train st.+moving)|(\|lc)|(penalty))"</v>
      </c>
      <c r="U30" s="9" t="str">
        <f>MID(B30,13,4)</f>
        <v>4002</v>
      </c>
      <c r="V30" s="31">
        <f>A30-utc_offset/24</f>
        <v>43023.975671296299</v>
      </c>
      <c r="W30" s="45" t="str">
        <f>DetSubdiv(C30)</f>
        <v>NW</v>
      </c>
      <c r="X30" s="22">
        <f>VALUE(LEFT(C30,LEN(C30)-3))</f>
        <v>1823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ID","value":"1823-15"},{"id":16,"name":"Locomotive ID","value":"4002"},{"id":130,"name":"Impact","value":""},{"id":150,"name":"Time of Event (Mountain Time)","value":"17:24:58"},{"id":151,"name":"Denver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/c/Users/stu/AppData/Local/Temp/OnboardLogs/RTDC4002 --include="*4002*201710152*"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"%USERPROFILE%\AppData\Local\Temp\OnboardLogs"\RTDC4002\*4002*201710152* &gt;&gt; 2017-10-15-SliceDisagreementCheck.txt</v>
      </c>
      <c r="AE30" s="145" t="str">
        <f t="shared" si="1"/>
        <v>start /low /b %USERPROFILE%\Documents\GitHub\eaglep3\Utilities\DownloadLogsFromS3.py --loco 4002 --day 2017-10-15</v>
      </c>
      <c r="AF30" s="1"/>
    </row>
    <row r="31" spans="1:32" x14ac:dyDescent="0.25">
      <c r="A31" s="31">
        <v>43023.766724537039</v>
      </c>
      <c r="B31" s="30" t="s">
        <v>458</v>
      </c>
      <c r="C31" s="30" t="s">
        <v>581</v>
      </c>
      <c r="D31" s="30" t="s">
        <v>95</v>
      </c>
      <c r="E31" s="30" t="s">
        <v>179</v>
      </c>
      <c r="F31" s="42">
        <v>0</v>
      </c>
      <c r="G31" s="42">
        <v>6</v>
      </c>
      <c r="H31" s="42">
        <v>59048</v>
      </c>
      <c r="I31" s="42">
        <v>0</v>
      </c>
      <c r="J31" s="30" t="s">
        <v>180</v>
      </c>
      <c r="K31" s="42">
        <v>59048</v>
      </c>
      <c r="L31" s="131" t="s">
        <v>50</v>
      </c>
      <c r="M31" s="132">
        <f>CONVERT((I31-K31)/10000,"mi","ft")*IF(L31="Increasing Mileposts (1)",-1,1)</f>
        <v>31177.344000000001</v>
      </c>
      <c r="N31" s="133" t="str">
        <f>VLOOKUP(C31,'Trips&amp;Operators'!$C$1:$G$99911,5,FALSE)</f>
        <v>KILLION DAVID</v>
      </c>
      <c r="O31" s="176" t="s">
        <v>178</v>
      </c>
      <c r="P31" s="134"/>
      <c r="Q31" s="30"/>
      <c r="R31" s="81" t="str">
        <f>VLOOKUP(C31,'Train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1" s="84" t="str">
        <f>VLOOKUP(C31,'Train Runs'!$A$13:$AE$10032,22,0)</f>
        <v>https://d0f6bd738d7f1b3e5a7ca70fe4ff75f0.us-east-1.aws.found.io/app/kibana#/discover/Steve-Slow-Train-Analysis-(2080s-and-2083s)?_g=(refreshInterval:(display:Off,pause:!f,section:0,value:0),time:(from:'2017-10-15T16:59:04-0600',mode:absolute,to:'2017-10-15T19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/stypes="*4002*201710160*" /stext=" 00:.+((SYSTEM_STATE.+slice.+state.+changed )|(ment ac)|(multiple cpu faults)|(system.+state.+changed )|(\[timeout)|(PRM\|1\|D)|(kpr)|(kdp)|(train st.+moving)|(\|lc)|(penalty))"</v>
      </c>
      <c r="U31" s="9" t="str">
        <f>MID(B31,13,4)</f>
        <v>4002</v>
      </c>
      <c r="V31" s="31">
        <f>A31-utc_offset/24</f>
        <v>43024.016724537039</v>
      </c>
      <c r="W31" s="45" t="str">
        <f>DetSubdiv(C31)</f>
        <v>NW</v>
      </c>
      <c r="X31" s="22">
        <f>VALUE(LEFT(C31,LEN(C31)-3))</f>
        <v>1825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ID","value":"1825-15"},{"id":16,"name":"Locomotive ID","value":"4002"},{"id":130,"name":"Impact","value":""},{"id":150,"name":"Time of Event (Mountain Time)","value":"18:24:05"},{"id":151,"name":"Denver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/c/Users/stu/AppData/Local/Temp/OnboardLogs/RTDC4002 --include="*4002*201710160*"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1" s="145" t="str">
        <f t="shared" si="1"/>
        <v>start /low /b %USERPROFILE%\Documents\GitHub\eaglep3\Utilities\DownloadLogsFromS3.py --loco 4002 --day 2017-10-16</v>
      </c>
      <c r="AF31" s="1"/>
    </row>
    <row r="32" spans="1:32" x14ac:dyDescent="0.25">
      <c r="A32" s="31">
        <v>43023.81013888889</v>
      </c>
      <c r="B32" s="30" t="s">
        <v>458</v>
      </c>
      <c r="C32" s="30" t="s">
        <v>583</v>
      </c>
      <c r="D32" s="30" t="s">
        <v>95</v>
      </c>
      <c r="E32" s="30" t="s">
        <v>179</v>
      </c>
      <c r="F32" s="42">
        <v>0</v>
      </c>
      <c r="G32" s="42">
        <v>9</v>
      </c>
      <c r="H32" s="42">
        <v>59049</v>
      </c>
      <c r="I32" s="42">
        <v>0</v>
      </c>
      <c r="J32" s="30" t="s">
        <v>180</v>
      </c>
      <c r="K32" s="42">
        <v>59048</v>
      </c>
      <c r="L32" s="131" t="s">
        <v>50</v>
      </c>
      <c r="M32" s="132">
        <f>CONVERT((I32-K32)/10000,"mi","ft")*IF(L32="Increasing Mileposts (1)",-1,1)</f>
        <v>31177.344000000001</v>
      </c>
      <c r="N32" s="133" t="str">
        <f>VLOOKUP(C32,'Trips&amp;Operators'!$C$1:$G$99911,5,FALSE)</f>
        <v>KILLION DAVID</v>
      </c>
      <c r="O32" s="176" t="s">
        <v>178</v>
      </c>
      <c r="P32" s="134"/>
      <c r="Q32" s="30"/>
      <c r="R32" s="81" t="str">
        <f>VLOOKUP(C32,'Train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2" s="84" t="str">
        <f>VLOOKUP(C32,'Train Runs'!$A$13:$AE$10032,22,0)</f>
        <v>https://d0f6bd738d7f1b3e5a7ca70fe4ff75f0.us-east-1.aws.found.io/app/kibana#/discover/Steve-Slow-Train-Analysis-(2080s-and-2083s)?_g=(refreshInterval:(display:Off,pause:!f,section:0,value:0),time:(from:'2017-10-15T18:03:03-0600',mode:absolute,to:'2017-10-15T20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/stypes="*4002*201710160*" /stext=" 01:.+((SYSTEM_STATE.+slice.+state.+changed )|(ment ac)|(multiple cpu faults)|(system.+state.+changed )|(\[timeout)|(PRM\|1\|D)|(kpr)|(kdp)|(train st.+moving)|(\|lc)|(penalty))"</v>
      </c>
      <c r="U32" s="9" t="str">
        <f>MID(B32,13,4)</f>
        <v>4002</v>
      </c>
      <c r="V32" s="31">
        <f>A32-utc_offset/24</f>
        <v>43024.06013888889</v>
      </c>
      <c r="W32" s="45" t="str">
        <f>DetSubdiv(C32)</f>
        <v>NW</v>
      </c>
      <c r="X32" s="22">
        <f>VALUE(LEFT(C32,LEN(C32)-3))</f>
        <v>1827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ID","value":"1827-15"},{"id":16,"name":"Locomotive ID","value":"4002"},{"id":130,"name":"Impact","value":""},{"id":150,"name":"Time of Event (Mountain Time)","value":"19:26:36"},{"id":151,"name":"Denver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/c/Users/stu/AppData/Local/Temp/OnboardLogs/RTDC4002 --include="*4002*201710160*"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2" s="145" t="str">
        <f t="shared" si="1"/>
        <v>start /low /b %USERPROFILE%\Documents\GitHub\eaglep3\Utilities\DownloadLogsFromS3.py --loco 4002 --day 2017-10-16</v>
      </c>
      <c r="AF32" s="1"/>
    </row>
    <row r="33" spans="1:32" x14ac:dyDescent="0.25">
      <c r="A33" s="31">
        <v>43023.851909722223</v>
      </c>
      <c r="B33" s="30" t="s">
        <v>458</v>
      </c>
      <c r="C33" s="30" t="s">
        <v>585</v>
      </c>
      <c r="D33" s="30" t="s">
        <v>49</v>
      </c>
      <c r="E33" s="30" t="s">
        <v>179</v>
      </c>
      <c r="F33" s="42">
        <v>0</v>
      </c>
      <c r="G33" s="42">
        <v>74</v>
      </c>
      <c r="H33" s="42">
        <v>58816</v>
      </c>
      <c r="I33" s="42">
        <v>58897</v>
      </c>
      <c r="J33" s="30" t="s">
        <v>180</v>
      </c>
      <c r="K33" s="42">
        <v>59048</v>
      </c>
      <c r="L33" s="131" t="s">
        <v>50</v>
      </c>
      <c r="M33" s="132">
        <f>CONVERT((I33-K33)/10000,"mi","ft")*IF(L33="Increasing Mileposts (1)",-1,1)</f>
        <v>79.727999999999994</v>
      </c>
      <c r="N33" s="133" t="str">
        <f>VLOOKUP(C33,'Trips&amp;Operators'!$C$1:$G$99911,5,FALSE)</f>
        <v>KILLION DAVID</v>
      </c>
      <c r="O33" s="176" t="s">
        <v>178</v>
      </c>
      <c r="P33" s="134"/>
      <c r="Q33" s="30"/>
      <c r="R33" s="81" t="str">
        <f>VLOOKUP(C33,'Train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3" s="84" t="str">
        <f>VLOOKUP(C33,'Train Runs'!$A$13:$AE$10032,22,0)</f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/stypes="*4002*201710160*" /stext=" 02:.+((SYSTEM_STATE.+slice.+state.+changed )|(ment ac)|(multiple cpu faults)|(system.+state.+changed )|(\[timeout)|(PRM\|1\|D)|(kpr)|(kdp)|(train st.+moving)|(\|lc)|(penalty))"</v>
      </c>
      <c r="U33" s="9" t="str">
        <f>MID(B33,13,4)</f>
        <v>4002</v>
      </c>
      <c r="V33" s="31">
        <f>A33-utc_offset/24</f>
        <v>43024.101909722223</v>
      </c>
      <c r="W33" s="45" t="str">
        <f>DetSubdiv(C33)</f>
        <v>NW</v>
      </c>
      <c r="X33" s="22">
        <f>VALUE(LEFT(C33,LEN(C33)-3))</f>
        <v>1829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ID","value":"1829-15"},{"id":16,"name":"Locomotive ID","value":"4002"},{"id":130,"name":"Impact","value":""},{"id":150,"name":"Time of Event (Mountain Time)","value":"20:26:45"},{"id":151,"name":"Denver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/c/Users/stu/AppData/Local/Temp/OnboardLogs/RTDC4002 --include="*4002*201710160*"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3" s="145" t="str">
        <f t="shared" si="1"/>
        <v>start /low /b %USERPROFILE%\Documents\GitHub\eaglep3\Utilities\DownloadLogsFromS3.py --loco 4002 --day 2017-10-16</v>
      </c>
      <c r="AF33" s="1"/>
    </row>
    <row r="34" spans="1:32" x14ac:dyDescent="0.25">
      <c r="A34" s="31">
        <v>43023.852696759262</v>
      </c>
      <c r="B34" s="30" t="s">
        <v>458</v>
      </c>
      <c r="C34" s="30" t="s">
        <v>585</v>
      </c>
      <c r="D34" s="30" t="s">
        <v>95</v>
      </c>
      <c r="E34" s="30" t="s">
        <v>179</v>
      </c>
      <c r="F34" s="42">
        <v>0</v>
      </c>
      <c r="G34" s="42">
        <v>9</v>
      </c>
      <c r="H34" s="42">
        <v>59048</v>
      </c>
      <c r="I34" s="42">
        <v>0</v>
      </c>
      <c r="J34" s="30" t="s">
        <v>180</v>
      </c>
      <c r="K34" s="42">
        <v>59048</v>
      </c>
      <c r="L34" s="131" t="s">
        <v>50</v>
      </c>
      <c r="M34" s="132">
        <f>CONVERT((I34-K34)/10000,"mi","ft")*IF(L34="Increasing Mileposts (1)",-1,1)</f>
        <v>31177.344000000001</v>
      </c>
      <c r="N34" s="133" t="str">
        <f>VLOOKUP(C34,'Trips&amp;Operators'!$C$1:$G$99911,5,FALSE)</f>
        <v>KILLION DAVID</v>
      </c>
      <c r="O34" s="176" t="s">
        <v>178</v>
      </c>
      <c r="P34" s="134"/>
      <c r="Q34" s="30"/>
      <c r="R34" s="81" t="str">
        <f>VLOOKUP(C34,'Train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4" s="84" t="str">
        <f>VLOOKUP(C34,'Train Runs'!$A$13:$AE$10032,22,0)</f>
        <v>https://d0f6bd738d7f1b3e5a7ca70fe4ff75f0.us-east-1.aws.found.io/app/kibana#/discover/Steve-Slow-Train-Analysis-(2080s-and-2083s)?_g=(refreshInterval:(display:Off,pause:!f,section:0,value:0),time:(from:'2017-10-15T19:09:48-0600',mode:absolute,to:'2017-10-15T21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/stypes="*4002*201710160*" /stext=" 02:.+((SYSTEM_STATE.+slice.+state.+changed )|(ment ac)|(multiple cpu faults)|(system.+state.+changed )|(\[timeout)|(PRM\|1\|D)|(kpr)|(kdp)|(train st.+moving)|(\|lc)|(penalty))"</v>
      </c>
      <c r="U34" s="9" t="str">
        <f>MID(B34,13,4)</f>
        <v>4002</v>
      </c>
      <c r="V34" s="31">
        <f>A34-utc_offset/24</f>
        <v>43024.102696759262</v>
      </c>
      <c r="W34" s="45" t="str">
        <f>DetSubdiv(C34)</f>
        <v>NW</v>
      </c>
      <c r="X34" s="22">
        <f>VALUE(LEFT(C34,LEN(C34)-3))</f>
        <v>1829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ID","value":"1829-15"},{"id":16,"name":"Locomotive ID","value":"4002"},{"id":130,"name":"Impact","value":""},{"id":150,"name":"Time of Event (Mountain Time)","value":"20:27:53"},{"id":151,"name":"Denver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/c/Users/stu/AppData/Local/Temp/OnboardLogs/RTDC4002 --include="*4002*201710160*"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4" s="145" t="str">
        <f t="shared" si="1"/>
        <v>start /low /b %USERPROFILE%\Documents\GitHub\eaglep3\Utilities\DownloadLogsFromS3.py --loco 4002 --day 2017-10-16</v>
      </c>
      <c r="AF34" s="1"/>
    </row>
    <row r="35" spans="1:32" x14ac:dyDescent="0.25">
      <c r="A35" s="31">
        <v>43023.891793981478</v>
      </c>
      <c r="B35" s="30" t="s">
        <v>458</v>
      </c>
      <c r="C35" s="30" t="s">
        <v>587</v>
      </c>
      <c r="D35" s="30" t="s">
        <v>95</v>
      </c>
      <c r="E35" s="30" t="s">
        <v>179</v>
      </c>
      <c r="F35" s="42">
        <v>0</v>
      </c>
      <c r="G35" s="42">
        <v>10</v>
      </c>
      <c r="H35" s="42">
        <v>59049</v>
      </c>
      <c r="I35" s="42">
        <v>0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31177.344000000001</v>
      </c>
      <c r="N35" s="133" t="str">
        <f>VLOOKUP(C35,'Trips&amp;Operators'!$C$1:$G$99911,5,FALSE)</f>
        <v>KILLION DAVID</v>
      </c>
      <c r="O35" s="176" t="s">
        <v>178</v>
      </c>
      <c r="P35" s="134"/>
      <c r="Q35" s="30"/>
      <c r="R35" s="81" t="str">
        <f>VLOOKUP(C35,'Train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5" s="84" t="str">
        <f>VLOOKUP(C35,'Train Runs'!$A$13:$AE$10032,22,0)</f>
        <v>https://d0f6bd738d7f1b3e5a7ca70fe4ff75f0.us-east-1.aws.found.io/app/kibana#/discover/Steve-Slow-Train-Analysis-(2080s-and-2083s)?_g=(refreshInterval:(display:Off,pause:!f,section:0,value:0),time:(from:'2017-10-15T20:00:33-0600',mode:absolute,to:'2017-10-15T22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/stypes="*4002*201710160*" /stext=" 03:.+((SYSTEM_STATE.+slice.+state.+changed )|(ment ac)|(multiple cpu faults)|(system.+state.+changed )|(\[timeout)|(PRM\|1\|D)|(kpr)|(kdp)|(train st.+moving)|(\|lc)|(penalty))"</v>
      </c>
      <c r="U35" s="9" t="str">
        <f>MID(B35,13,4)</f>
        <v>4002</v>
      </c>
      <c r="V35" s="31">
        <f>A35-utc_offset/24</f>
        <v>43024.141793981478</v>
      </c>
      <c r="W35" s="45" t="str">
        <f>DetSubdiv(C35)</f>
        <v>NW</v>
      </c>
      <c r="X35" s="22">
        <f>VALUE(LEFT(C35,LEN(C35)-3))</f>
        <v>1831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ID","value":"1831-15"},{"id":16,"name":"Locomotive ID","value":"4002"},{"id":130,"name":"Impact","value":""},{"id":150,"name":"Time of Event (Mountain Time)","value":"21:24:11"},{"id":151,"name":"Denver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/c/Users/stu/AppData/Local/Temp/OnboardLogs/RTDC4002 --include="*4002*201710160*"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5" s="145" t="str">
        <f t="shared" si="1"/>
        <v>start /low /b %USERPROFILE%\Documents\GitHub\eaglep3\Utilities\DownloadLogsFromS3.py --loco 4002 --day 2017-10-16</v>
      </c>
      <c r="AF35" s="1"/>
    </row>
    <row r="36" spans="1:32" x14ac:dyDescent="0.25">
      <c r="A36" s="31">
        <v>43023.974780092591</v>
      </c>
      <c r="B36" s="30" t="s">
        <v>458</v>
      </c>
      <c r="C36" s="30" t="s">
        <v>590</v>
      </c>
      <c r="D36" s="30" t="s">
        <v>95</v>
      </c>
      <c r="E36" s="30" t="s">
        <v>179</v>
      </c>
      <c r="F36" s="42">
        <v>0</v>
      </c>
      <c r="G36" s="42">
        <v>10</v>
      </c>
      <c r="H36" s="42">
        <v>59048</v>
      </c>
      <c r="I36" s="42">
        <v>0</v>
      </c>
      <c r="J36" s="30" t="s">
        <v>180</v>
      </c>
      <c r="K36" s="42">
        <v>59048</v>
      </c>
      <c r="L36" s="131" t="s">
        <v>50</v>
      </c>
      <c r="M36" s="132">
        <f>CONVERT((I36-K36)/10000,"mi","ft")*IF(L36="Increasing Mileposts (1)",-1,1)</f>
        <v>31177.344000000001</v>
      </c>
      <c r="N36" s="133" t="str">
        <f>VLOOKUP(C36,'Trips&amp;Operators'!$C$1:$G$99911,5,FALSE)</f>
        <v>KILLION DAVID</v>
      </c>
      <c r="O36" s="176" t="s">
        <v>178</v>
      </c>
      <c r="P36" s="134"/>
      <c r="Q36" s="30"/>
      <c r="R36" s="81" t="str">
        <f>VLOOKUP(C36,'Train Runs'!$A$13:$AE$10032,31,0)</f>
        <v>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 &amp; aws s3 cp s3://rtdc.mdm.uploadarchive.raw/RTDC4002/ "%USERPROFILE%\AppData\Local\Temp\OnboardLogs"\RTDC4002\2017-10-16 --exclude "*" --recursive --include "*20171016*" &amp; "%USERPROFILE%\Documents\GitHub\mrs-test-scripts\Headless Mode &amp; Sideloading\WalkAndUnGZ.bat" "%USERPROFILE%\AppData\Local\Temp\OnboardLogs"\RTDC4002\2017-10-16</v>
      </c>
      <c r="S36" s="84" t="str">
        <f>VLOOKUP(C36,'Train Runs'!$A$13:$AE$10032,22,0)</f>
        <v>https://d0f6bd738d7f1b3e5a7ca70fe4ff75f0.us-east-1.aws.found.io/app/kibana#/discover/Steve-Slow-Train-Analysis-(2080s-and-2083s)?_g=(refreshInterval:(display:Off,pause:!f,section:0,value:0),time:(from:'2017-10-15T21:57:07-0600',mode:absolute,to:'2017-10-16T00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/stypes="*4002*201710160*" /stext=" 05:.+((SYSTEM_STATE.+slice.+state.+changed )|(ment ac)|(multiple cpu faults)|(system.+state.+changed )|(\[timeout)|(PRM\|1\|D)|(kpr)|(kdp)|(train st.+moving)|(\|lc)|(penalty))"</v>
      </c>
      <c r="U36" s="9" t="str">
        <f>MID(B36,13,4)</f>
        <v>4002</v>
      </c>
      <c r="V36" s="31">
        <f>A36-utc_offset/24</f>
        <v>43024.224780092591</v>
      </c>
      <c r="W36" s="45" t="str">
        <f>DetSubdiv(C36)</f>
        <v>NW</v>
      </c>
      <c r="X36" s="22">
        <f>VALUE(LEFT(C36,LEN(C36)-3))</f>
        <v>1835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{"issue":{"subject":"","project_id":79,"tracker_id":40,"status_id":1,"priority_id":2,"assigned_to_id":338,"start_date":"2017-10-15","description":"","custom_fields":[{"id":1,"name":"Subdivision","value":"NW"},{"id":4,"name":"Milepost","value":"5.9048"},{"id":17,"name":"Train ID","value":"1835-15"},{"id":16,"name":"Locomotive ID","value":"4002"},{"id":130,"name":"Impact","value":""},{"id":150,"name":"Time of Event (Mountain Time)","value":"23:23:41"},{"id":151,"name":"Denver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/c/Users/stu/AppData/Local/Temp/OnboardLogs/RTDC4002 --include="*4002*201710160*"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"%USERPROFILE%\AppData\Local\Temp\OnboardLogs"\RTDC4002\*4002*201710160* &gt;&gt; 2017-10-15-SliceDisagreementCheck.txt</v>
      </c>
      <c r="AE36" s="145" t="str">
        <f t="shared" si="1"/>
        <v>start /low /b %USERPROFILE%\Documents\GitHub\eaglep3\Utilities\DownloadLogsFromS3.py --loco 4002 --day 2017-10-16</v>
      </c>
      <c r="AF36" s="1"/>
    </row>
    <row r="37" spans="1:32" x14ac:dyDescent="0.25">
      <c r="A37" s="31">
        <v>43024.0702662037</v>
      </c>
      <c r="B37" s="30" t="s">
        <v>495</v>
      </c>
      <c r="C37" s="30" t="s">
        <v>594</v>
      </c>
      <c r="D37" s="30" t="s">
        <v>49</v>
      </c>
      <c r="E37" s="30" t="s">
        <v>185</v>
      </c>
      <c r="F37" s="42">
        <v>0</v>
      </c>
      <c r="G37" s="42">
        <v>244</v>
      </c>
      <c r="H37" s="42">
        <v>10522</v>
      </c>
      <c r="I37" s="42">
        <v>11113</v>
      </c>
      <c r="J37" s="30" t="s">
        <v>186</v>
      </c>
      <c r="K37" s="42">
        <v>10716</v>
      </c>
      <c r="L37" s="131" t="s">
        <v>50</v>
      </c>
      <c r="M37" s="132">
        <f>CONVERT((I37-K37)/10000,"mi","ft")*IF(L37="Increasing Mileposts (1)",-1,1)</f>
        <v>-209.61600000000001</v>
      </c>
      <c r="N37" s="133" t="str">
        <f>VLOOKUP(C37,'Trips&amp;Operators'!$C$1:$G$99911,5,FALSE)</f>
        <v>ELBAUM MIKE</v>
      </c>
      <c r="O37" s="176" t="s">
        <v>178</v>
      </c>
      <c r="P37" s="134"/>
      <c r="Q37" s="30"/>
      <c r="R37" s="81" t="str">
        <f>VLOOKUP(C37,'Train Runs'!$A$13:$AE$10032,31,0)</f>
        <v>aws s3 cp s3://rtdc.mdm.uploadarchive.raw/RTDC4042/ "%USERPROFILE%\AppData\Local\Temp\OnboardLogs"\RTDC4042\2017-10-16 --exclude "*" --recursive --include "*20171016*" &amp; "%USERPROFILE%\Documents\GitHub\mrs-test-scripts\Headless Mode &amp; Sideloading\WalkAndUnGZ.bat" "%USERPROFILE%\AppData\Local\Temp\OnboardLogs"\RTDC4042\2017-10-16 &amp; aws s3 cp s3://rtdc.mdm.uploadarchive.raw/RTDC4042/ "%USERPROFILE%\AppData\Local\Temp\OnboardLogs"\RTDC4042\2017-10-17 --exclude "*" --recursive --include "*20171017*" &amp; "%USERPROFILE%\Documents\GitHub\mrs-test-scripts\Headless Mode &amp; Sideloading\WalkAndUnGZ.bat" "%USERPROFILE%\AppData\Local\Temp\OnboardLogs"\RTDC4042\2017-10-17</v>
      </c>
      <c r="S37" s="84" t="str">
        <f>VLOOKUP(C37,'Train Runs'!$A$13:$AE$10032,22,0)</f>
        <v>https://d0f6bd738d7f1b3e5a7ca70fe4ff75f0.us-east-1.aws.found.io/app/kibana#/discover/Steve-Slow-Train-Analysis-(2080s-and-2083s)?_g=(refreshInterval:(display:Off,pause:!f,section:0,value:0),time:(from:'2017-10-16T00:35:15-0600',mode:absolute,to:'2017-10-16T02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/stypes="*4042*201710160*" /stext=" 07:.+((SYSTEM_STATE.+slice.+state.+changed )|(ment ac)|(multiple cpu faults)|(system.+state.+changed )|(\[timeout)|(PRM\|1\|D)|(kpr)|(kdp)|(train st.+moving)|(\|lc)|(penalty))"</v>
      </c>
      <c r="U37" s="9" t="str">
        <f>MID(B37,13,4)</f>
        <v>4042</v>
      </c>
      <c r="V37" s="31">
        <f>A37-utc_offset/24</f>
        <v>43024.3202662037</v>
      </c>
      <c r="W37" s="45" t="str">
        <f>DetSubdiv(C37)</f>
        <v>Other</v>
      </c>
      <c r="X37" s="22">
        <f>VALUE(LEFT(C37,LEN(C37)-3))</f>
        <v>309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{"issue":{"subject":"","project_id":79,"tracker_id":40,"status_id":1,"priority_id":2,"assigned_to_id":338,"start_date":"2017-10-16","description":"","custom_fields":[{"id":1,"name":"Subdivision","value":"Other"},{"id":4,"name":"Milepost","value":"1.0716"},{"id":17,"name":"Train ID","value":"309-15"},{"id":16,"name":"Locomotive ID","value":"4042"},{"id":130,"name":"Impact","value":""},{"id":150,"name":"Time of Event (Mountain Time)","value":"01:41:11"},{"id":151,"name":"Denver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/c/Users/stu/AppData/Local/Temp/OnboardLogs/RTDC4042 --include="*4042*201710160*"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"%USERPROFILE%\AppData\Local\Temp\OnboardLogs"\RTDC4042\*4042*201710160* &gt;&gt; 2017-10-15-SliceDisagreementCheck.txt</v>
      </c>
      <c r="AE37" s="145" t="str">
        <f t="shared" si="1"/>
        <v>start /low /b %USERPROFILE%\Documents\GitHub\eaglep3\Utilities\DownloadLogsFromS3.py --loco 4042 --day 2017-10-16</v>
      </c>
      <c r="AF37" s="1"/>
    </row>
    <row r="38" spans="1:32" x14ac:dyDescent="0.25">
      <c r="A38" s="31">
        <v>43023.149224537039</v>
      </c>
      <c r="B38" s="30" t="s">
        <v>431</v>
      </c>
      <c r="C38" s="30" t="s">
        <v>563</v>
      </c>
      <c r="D38" s="30" t="s">
        <v>95</v>
      </c>
      <c r="E38" s="30" t="s">
        <v>449</v>
      </c>
      <c r="F38" s="42">
        <v>0</v>
      </c>
      <c r="G38" s="42">
        <v>90</v>
      </c>
      <c r="H38" s="42">
        <v>4785</v>
      </c>
      <c r="I38" s="42">
        <v>4643</v>
      </c>
      <c r="J38" s="30" t="s">
        <v>450</v>
      </c>
      <c r="K38" s="42">
        <v>4798</v>
      </c>
      <c r="L38" s="131" t="s">
        <v>51</v>
      </c>
      <c r="M38" s="132">
        <f>CONVERT((I38-K38)/10000,"mi","ft")*IF(L38="Increasing Mileposts (1)",-1,1)</f>
        <v>-81.84</v>
      </c>
      <c r="N38" s="133" t="str">
        <f>VLOOKUP(C38,'Trips&amp;Operators'!$C$1:$G$99911,5,FALSE)</f>
        <v>MAELZER KURT</v>
      </c>
      <c r="O38" s="176" t="s">
        <v>379</v>
      </c>
      <c r="P38" s="134" t="s">
        <v>993</v>
      </c>
      <c r="Q38" s="30"/>
      <c r="R38" s="81" t="str">
        <f>VLOOKUP(C38,'Train Runs'!$A$13:$AE$10032,31,0)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S38" s="84" t="str">
        <f>VLOOKUP(C38,'Train Runs'!$A$13:$AE$10032,22,0)</f>
        <v>https://d0f6bd738d7f1b3e5a7ca70fe4ff75f0.us-east-1.aws.found.io/app/kibana#/discover/Steve-Slow-Train-Analysis-(2080s-and-2083s)?_g=(refreshInterval:(display:Off,pause:!f,section:0,value:0),time:(from:'2017-10-15T02:23:45-0600',mode:absolute,to:'2017-10-15T04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/stypes="*4035*201710150*" /stext=" 09:.+((SYSTEM_STATE.+slice.+state.+changed )|(ment ac)|(multiple cpu faults)|(system.+state.+changed )|(\[timeout)|(PRM\|1\|D)|(kpr)|(kdp)|(train st.+moving)|(\|lc)|(penalty))"</v>
      </c>
      <c r="U38" s="9" t="str">
        <f>MID(B38,13,4)</f>
        <v>4035</v>
      </c>
      <c r="V38" s="31">
        <f>A38-utc_offset/24</f>
        <v>43023.399224537039</v>
      </c>
      <c r="W38" s="45" t="str">
        <f>DetSubdiv(C38)</f>
        <v>Other</v>
      </c>
      <c r="X38" s="22">
        <f>VALUE(LEFT(C38,LEN(C38)-3))</f>
        <v>302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{"issue":{"subject":"Poor GPS under Wawetta St overpass","project_id":79,"tracker_id":40,"status_id":1,"priority_id":2,"assigned_to_id":338,"start_date":"2017-10-15","description":"","custom_fields":[{"id":1,"name":"Subdivision","value":"Other"},{"id":4,"name":"Milepost","value":"0.4798"},{"id":17,"name":"Train ID","value":"302-15"},{"id":16,"name":"Locomotive ID","value":"4035"},{"id":130,"name":"Impact","value":""},{"id":150,"name":"Time of Event (Mountain Time)","value":"03:34:53"},{"id":151,"name":"Denver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/c/Users/stu/AppData/Local/Temp/OnboardLogs/RTDC4035 --include="*4035*201710150*"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"%USERPROFILE%\AppData\Local\Temp\OnboardLogs"\RTDC4035\*4035*201710150* &gt;&gt; 2017-10-15-SliceDisagreementCheck.txt</v>
      </c>
      <c r="AE38" s="145" t="str">
        <f t="shared" si="1"/>
        <v>start /low /b %USERPROFILE%\Documents\GitHub\eaglep3\Utilities\DownloadLogsFromS3.py --loco 4035 --day 2017-10-15</v>
      </c>
      <c r="AF38" s="1"/>
    </row>
    <row r="39" spans="1:32" x14ac:dyDescent="0.25">
      <c r="A39" s="31">
        <v>43023.149768518517</v>
      </c>
      <c r="B39" s="30" t="s">
        <v>431</v>
      </c>
      <c r="C39" s="30" t="s">
        <v>563</v>
      </c>
      <c r="D39" s="30" t="s">
        <v>95</v>
      </c>
      <c r="E39" s="30" t="s">
        <v>449</v>
      </c>
      <c r="F39" s="42">
        <v>0</v>
      </c>
      <c r="G39" s="42">
        <v>13</v>
      </c>
      <c r="H39" s="42">
        <v>4488</v>
      </c>
      <c r="I39" s="42">
        <v>4406</v>
      </c>
      <c r="J39" s="30" t="s">
        <v>450</v>
      </c>
      <c r="K39" s="42">
        <v>4798</v>
      </c>
      <c r="L39" s="131" t="s">
        <v>51</v>
      </c>
      <c r="M39" s="132">
        <f>CONVERT((I39-K39)/10000,"mi","ft")*IF(L39="Increasing Mileposts (1)",-1,1)</f>
        <v>-206.976</v>
      </c>
      <c r="N39" s="133" t="str">
        <f>VLOOKUP(C39,'Trips&amp;Operators'!$C$1:$G$99911,5,FALSE)</f>
        <v>MAELZER KURT</v>
      </c>
      <c r="O39" s="176" t="s">
        <v>178</v>
      </c>
      <c r="P39" s="134"/>
      <c r="Q39" s="30"/>
      <c r="R39" s="81" t="str">
        <f>VLOOKUP(C39,'Train Runs'!$A$13:$AE$10032,31,0)</f>
        <v>aws s3 cp s3://rtdc.mdm.uploadarchive.raw/RTDC4035/ "%USERPROFILE%\AppData\Local\Temp\OnboardLogs"\RTDC4035\2017-10-15 --exclude "*" --recursive --include "*20171015*" &amp; "%USERPROFILE%\Documents\GitHub\mrs-test-scripts\Headless Mode &amp; Sideloading\WalkAndUnGZ.bat" "%USERPROFILE%\AppData\Local\Temp\OnboardLogs"\RTDC4035\2017-10-15 &amp; aws s3 cp s3://rtdc.mdm.uploadarchive.raw/RTDC4035/ "%USERPROFILE%\AppData\Local\Temp\OnboardLogs"\RTDC4035\2017-10-16 --exclude "*" --recursive --include "*20171016*" &amp; "%USERPROFILE%\Documents\GitHub\mrs-test-scripts\Headless Mode &amp; Sideloading\WalkAndUnGZ.bat" "%USERPROFILE%\AppData\Local\Temp\OnboardLogs"\RTDC4035\2017-10-16</v>
      </c>
      <c r="S39" s="84" t="str">
        <f>VLOOKUP(C39,'Train Runs'!$A$13:$AE$10032,22,0)</f>
        <v>https://d0f6bd738d7f1b3e5a7ca70fe4ff75f0.us-east-1.aws.found.io/app/kibana#/discover/Steve-Slow-Train-Analysis-(2080s-and-2083s)?_g=(refreshInterval:(display:Off,pause:!f,section:0,value:0),time:(from:'2017-10-15T02:23:45-0600',mode:absolute,to:'2017-10-15T04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/stypes="*4035*201710150*" /stext=" 09:.+((SYSTEM_STATE.+slice.+state.+changed )|(ment ac)|(multiple cpu faults)|(system.+state.+changed )|(\[timeout)|(PRM\|1\|D)|(kpr)|(kdp)|(train st.+moving)|(\|lc)|(penalty))"</v>
      </c>
      <c r="U39" s="9" t="str">
        <f>MID(B39,13,4)</f>
        <v>4035</v>
      </c>
      <c r="V39" s="31">
        <f>A39-utc_offset/24</f>
        <v>43023.399768518517</v>
      </c>
      <c r="W39" s="45" t="str">
        <f>DetSubdiv(C39)</f>
        <v>Other</v>
      </c>
      <c r="X39" s="22">
        <f>VALUE(LEFT(C39,LEN(C39)-3))</f>
        <v>302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{"issue":{"subject":"","project_id":79,"tracker_id":40,"status_id":1,"priority_id":2,"assigned_to_id":338,"start_date":"2017-10-15","description":"","custom_fields":[{"id":1,"name":"Subdivision","value":"Other"},{"id":4,"name":"Milepost","value":"0.4798"},{"id":17,"name":"Train ID","value":"302-15"},{"id":16,"name":"Locomotive ID","value":"4035"},{"id":130,"name":"Impact","value":""},{"id":150,"name":"Time of Event (Mountain Time)","value":"03:35:40"},{"id":151,"name":"Denver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/c/Users/stu/AppData/Local/Temp/OnboardLogs/RTDC4035 --include="*4035*201710150*"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"%USERPROFILE%\AppData\Local\Temp\OnboardLogs"\RTDC4035\*4035*201710150* &gt;&gt; 2017-10-15-SliceDisagreementCheck.txt</v>
      </c>
      <c r="AE39" s="145" t="str">
        <f t="shared" si="1"/>
        <v>start /low /b %USERPROFILE%\Documents\GitHub\eaglep3\Utilities\DownloadLogsFromS3.py --loco 4035 --day 2017-10-15</v>
      </c>
      <c r="AF39" s="1"/>
    </row>
    <row r="40" spans="1:32" x14ac:dyDescent="0.25">
      <c r="A40" s="31">
        <v>43023.985891203702</v>
      </c>
      <c r="B40" s="30" t="s">
        <v>451</v>
      </c>
      <c r="C40" s="30" t="s">
        <v>592</v>
      </c>
      <c r="D40" s="30" t="s">
        <v>49</v>
      </c>
      <c r="E40" s="30" t="s">
        <v>449</v>
      </c>
      <c r="F40" s="42">
        <v>0</v>
      </c>
      <c r="G40" s="42">
        <v>69</v>
      </c>
      <c r="H40" s="42">
        <v>27515</v>
      </c>
      <c r="I40" s="42">
        <v>27414</v>
      </c>
      <c r="J40" s="30" t="s">
        <v>450</v>
      </c>
      <c r="K40" s="42">
        <v>27253</v>
      </c>
      <c r="L40" s="131" t="s">
        <v>51</v>
      </c>
      <c r="M40" s="132">
        <f>CONVERT((I40-K40)/10000,"mi","ft")*IF(L40="Increasing Mileposts (1)",-1,1)</f>
        <v>85.007999999999996</v>
      </c>
      <c r="N40" s="133" t="str">
        <f>VLOOKUP(C40,'Trips&amp;Operators'!$C$1:$G$99911,5,FALSE)</f>
        <v>KILLION DAVID</v>
      </c>
      <c r="O40" s="176" t="s">
        <v>178</v>
      </c>
      <c r="P40" s="134"/>
      <c r="Q40" s="30"/>
      <c r="R40" s="81" t="str">
        <f>VLOOKUP(C40,'Train Runs'!$A$13:$AE$10032,31,0)</f>
        <v>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 &amp; aws s3 cp s3://rtdc.mdm.uploadarchive.raw/RTDC4001/ "%USERPROFILE%\AppData\Local\Temp\OnboardLogs"\RTDC4001\2017-10-16 --exclude "*" --recursive --include "*20171016*" &amp; "%USERPROFILE%\Documents\GitHub\mrs-test-scripts\Headless Mode &amp; Sideloading\WalkAndUnGZ.bat" "%USERPROFILE%\AppData\Local\Temp\OnboardLogs"\RTDC4001\2017-10-16</v>
      </c>
      <c r="S40" s="84" t="str">
        <f>VLOOKUP(C40,'Train Runs'!$A$13:$AE$10032,22,0)</f>
        <v>https://d0f6bd738d7f1b3e5a7ca70fe4ff75f0.us-east-1.aws.found.io/app/kibana#/discover/Steve-Slow-Train-Analysis-(2080s-and-2083s)?_g=(refreshInterval:(display:Off,pause:!f,section:0,value:0),time:(from:'2017-10-15T22:25:23-0600',mode:absolute,to:'2017-10-16T00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/stypes="*4001*201710160*" /stext=" 05:.+((SYSTEM_STATE.+slice.+state.+changed )|(ment ac)|(multiple cpu faults)|(system.+state.+changed )|(\[timeout)|(PRM\|1\|D)|(kpr)|(kdp)|(train st.+moving)|(\|lc)|(penalty))"</v>
      </c>
      <c r="U40" s="9" t="str">
        <f>MID(B40,13,4)</f>
        <v>4001</v>
      </c>
      <c r="V40" s="31">
        <f>A40-utc_offset/24</f>
        <v>43024.235891203702</v>
      </c>
      <c r="W40" s="45" t="str">
        <f>DetSubdiv(C40)</f>
        <v>Other</v>
      </c>
      <c r="X40" s="22">
        <f>VALUE(LEFT(C40,LEN(C40)-3))</f>
        <v>1902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{"issue":{"subject":"","project_id":79,"tracker_id":40,"status_id":1,"priority_id":2,"assigned_to_id":338,"start_date":"2017-10-15","description":"","custom_fields":[{"id":1,"name":"Subdivision","value":"Other"},{"id":4,"name":"Milepost","value":"2.7253"},{"id":17,"name":"Train ID","value":"1902-15"},{"id":16,"name":"Locomotive ID","value":"4001"},{"id":130,"name":"Impact","value":""},{"id":150,"name":"Time of Event (Mountain Time)","value":"23:39:41"},{"id":151,"name":"Denver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/c/Users/stu/AppData/Local/Temp/OnboardLogs/RTDC4001 --include="*4001*201710160*"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"%USERPROFILE%\AppData\Local\Temp\OnboardLogs"\RTDC4001\*4001*201710160* &gt;&gt; 2017-10-15-SliceDisagreementCheck.txt</v>
      </c>
      <c r="AE40" s="145" t="str">
        <f t="shared" si="1"/>
        <v>start /low /b %USERPROFILE%\Documents\GitHub\eaglep3\Utilities\DownloadLogsFromS3.py --loco 4001 --day 2017-10-16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40"/>
      <sortCondition ref="E7:E40"/>
      <sortCondition ref="K7:K40"/>
      <sortCondition ref="F7:F40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">
    <cfRule type="cellIs" dxfId="5" priority="42" operator="equal">
      <formula>"Y"</formula>
    </cfRule>
  </conditionalFormatting>
  <conditionalFormatting sqref="O2:O3">
    <cfRule type="cellIs" dxfId="4" priority="33" operator="equal">
      <formula>"Y"</formula>
    </cfRule>
  </conditionalFormatting>
  <conditionalFormatting sqref="A7:N40">
    <cfRule type="expression" dxfId="3" priority="26">
      <formula>$O7="Y"</formula>
    </cfRule>
  </conditionalFormatting>
  <conditionalFormatting sqref="O7:O40">
    <cfRule type="cellIs" dxfId="2" priority="2" operator="equal">
      <formula>"Y"</formula>
    </cfRule>
  </conditionalFormatting>
  <conditionalFormatting sqref="O7:P40">
    <cfRule type="expression" dxfId="1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2017-10-15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-15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Runs'!$A$13:$A$100029,1,FALSE)</f>
        <v>#N/A</v>
      </c>
    </row>
    <row r="4" spans="1:10" x14ac:dyDescent="0.25">
      <c r="A4" s="198"/>
      <c r="B4" s="42" t="str">
        <f>A4&amp;"-"&amp;IF(DAY(Variables!$A$2)&lt;10,0,"")&amp;DAY(Variables!$A$2)</f>
        <v>-15</v>
      </c>
      <c r="C4" s="135"/>
      <c r="D4" s="225">
        <v>4053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Runs'!$A$13:$A$100029,1,FALSE)</f>
        <v>#N/A</v>
      </c>
    </row>
    <row r="5" spans="1:10" x14ac:dyDescent="0.25">
      <c r="A5" s="198"/>
      <c r="B5" s="42" t="str">
        <f>A5&amp;"-"&amp;IF(DAY(Variables!$A$2)&lt;10,0,"")&amp;DAY(Variables!$A$2)</f>
        <v>-15</v>
      </c>
      <c r="C5" s="135"/>
      <c r="D5" s="225">
        <v>4026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Runs'!$A$13:$A$100029,1,FALSE)</f>
        <v>#N/A</v>
      </c>
    </row>
    <row r="6" spans="1:10" x14ac:dyDescent="0.25">
      <c r="A6" s="198"/>
      <c r="B6" s="42" t="str">
        <f>A6&amp;"-"&amp;IF(DAY(Variables!$A$2)&lt;10,0,"")&amp;DAY(Variables!$A$2)</f>
        <v>-15</v>
      </c>
      <c r="C6" s="135"/>
      <c r="D6" s="225">
        <v>4025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Runs'!$A$13:$A$100029,1,FALSE)</f>
        <v>#N/A</v>
      </c>
    </row>
    <row r="7" spans="1:10" x14ac:dyDescent="0.25">
      <c r="A7" s="198"/>
      <c r="B7" s="42" t="str">
        <f>A7&amp;"-"&amp;IF(DAY(Variables!$A$2)&lt;10,0,"")&amp;DAY(Variables!$A$2)</f>
        <v>-15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Runs'!$A$13:$A$100029,1,FALSE)</f>
        <v>#N/A</v>
      </c>
    </row>
    <row r="8" spans="1:10" x14ac:dyDescent="0.25">
      <c r="A8" s="198"/>
      <c r="B8" s="42" t="str">
        <f>A8&amp;"-"&amp;IF(DAY(Variables!$A$2)&lt;10,0,"")&amp;DAY(Variables!$A$2)</f>
        <v>-15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Runs'!$A$13:$A$100029,1,FALSE)</f>
        <v>#N/A</v>
      </c>
    </row>
    <row r="9" spans="1:10" x14ac:dyDescent="0.25">
      <c r="A9" s="198"/>
      <c r="B9" s="42" t="str">
        <f>A9&amp;"-"&amp;IF(DAY(Variables!$A$2)&lt;10,0,"")&amp;DAY(Variables!$A$2)</f>
        <v>-15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Runs'!$A$13:$A$100029,1,FALSE)</f>
        <v>#N/A</v>
      </c>
    </row>
    <row r="10" spans="1:10" x14ac:dyDescent="0.25">
      <c r="A10" s="198"/>
      <c r="B10" s="42" t="str">
        <f>A10&amp;"-"&amp;IF(DAY(Variables!$A$2)&lt;10,0,"")&amp;DAY(Variables!$A$2)</f>
        <v>-15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Runs'!$A$13:$A$100029,1,FALSE)</f>
        <v>#N/A</v>
      </c>
    </row>
    <row r="11" spans="1:10" x14ac:dyDescent="0.25">
      <c r="A11" s="198"/>
      <c r="B11" s="42" t="str">
        <f>A11&amp;"-"&amp;IF(DAY(Variables!$A$2)&lt;10,0,"")&amp;DAY(Variables!$A$2)</f>
        <v>-15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Runs'!$A$13:$A$100029,1,FALSE)</f>
        <v>#N/A</v>
      </c>
    </row>
    <row r="12" spans="1:10" x14ac:dyDescent="0.25">
      <c r="A12" s="198"/>
      <c r="B12" s="42" t="str">
        <f>A12&amp;"-"&amp;IF(DAY(Variables!$A$2)&lt;10,0,"")&amp;DAY(Variables!$A$2)</f>
        <v>-15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Runs'!$A$13:$A$100029,1,FALSE)</f>
        <v>#N/A</v>
      </c>
    </row>
    <row r="13" spans="1:10" x14ac:dyDescent="0.25">
      <c r="A13" s="198"/>
      <c r="B13" s="42" t="str">
        <f>A13&amp;"-"&amp;IF(DAY(Variables!$A$2)&lt;10,0,"")&amp;DAY(Variables!$A$2)</f>
        <v>-15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Runs'!$A$13:$A$100029,1,FALSE)</f>
        <v>#N/A</v>
      </c>
    </row>
    <row r="14" spans="1:10" x14ac:dyDescent="0.25">
      <c r="A14" s="198"/>
      <c r="B14" s="42" t="str">
        <f>A14&amp;"-"&amp;IF(DAY(Variables!$A$2)&lt;10,0,"")&amp;DAY(Variables!$A$2)</f>
        <v>-15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Runs'!$A$13:$A$100029,1,FALSE)</f>
        <v>#N/A</v>
      </c>
    </row>
    <row r="15" spans="1:10" x14ac:dyDescent="0.25">
      <c r="A15" s="198"/>
      <c r="B15" s="42" t="str">
        <f>A15&amp;"-"&amp;IF(DAY(Variables!$A$2)&lt;10,0,"")&amp;DAY(Variables!$A$2)</f>
        <v>-15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Runs'!$A$13:$A$100029,1,FALSE)</f>
        <v>#N/A</v>
      </c>
    </row>
    <row r="16" spans="1:10" x14ac:dyDescent="0.25">
      <c r="A16" s="198"/>
      <c r="B16" s="42" t="str">
        <f>A16&amp;"-"&amp;IF(DAY(Variables!$A$2)&lt;10,0,"")&amp;DAY(Variables!$A$2)</f>
        <v>-15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Runs'!$A$13:$A$100029,1,FALSE)</f>
        <v>#N/A</v>
      </c>
    </row>
    <row r="17" spans="1:10" x14ac:dyDescent="0.25">
      <c r="A17" s="198"/>
      <c r="B17" s="42" t="str">
        <f>A17&amp;"-"&amp;IF(DAY(Variables!$A$2)&lt;10,0,"")&amp;DAY(Variables!$A$2)</f>
        <v>-15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Runs'!$A$13:$A$100029,1,FALSE)</f>
        <v>#N/A</v>
      </c>
    </row>
    <row r="18" spans="1:10" x14ac:dyDescent="0.25">
      <c r="A18" s="198"/>
      <c r="B18" s="42" t="str">
        <f>A18&amp;"-"&amp;IF(DAY(Variables!$A$2)&lt;10,0,"")&amp;DAY(Variables!$A$2)</f>
        <v>-15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Runs'!$A$13:$A$100029,1,FALSE)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43023.047708333332</v>
      </c>
      <c r="B2" s="20" t="s">
        <v>596</v>
      </c>
      <c r="C2" s="20" t="s">
        <v>597</v>
      </c>
      <c r="D2" s="138">
        <v>3000000</v>
      </c>
      <c r="E2" s="20" t="s">
        <v>432</v>
      </c>
      <c r="F2" s="20" t="s">
        <v>433</v>
      </c>
      <c r="G2" s="8" t="str">
        <f>E2&amp;" "&amp;F2</f>
        <v>FORTUNATO FRANK</v>
      </c>
      <c r="H2" t="str">
        <f>MID(B2,13,4)</f>
        <v>4018</v>
      </c>
    </row>
    <row r="3" spans="1:8" x14ac:dyDescent="0.25">
      <c r="A3" s="8">
        <v>43023.054155092592</v>
      </c>
      <c r="B3" s="20" t="s">
        <v>497</v>
      </c>
      <c r="C3" s="20" t="s">
        <v>598</v>
      </c>
      <c r="D3" s="138">
        <v>3310000</v>
      </c>
      <c r="E3" s="20" t="s">
        <v>388</v>
      </c>
      <c r="F3" s="20" t="s">
        <v>389</v>
      </c>
      <c r="G3" s="8" t="str">
        <f t="shared" ref="G3:G66" si="0">E3&amp;" "&amp;F3</f>
        <v>ANDERS STEVEN</v>
      </c>
      <c r="H3" s="20" t="str">
        <f t="shared" ref="H3:H66" si="1">MID(B3,13,4)</f>
        <v>4025</v>
      </c>
    </row>
    <row r="4" spans="1:8" x14ac:dyDescent="0.25">
      <c r="A4" s="8">
        <v>43023.066874999997</v>
      </c>
      <c r="B4" s="20" t="s">
        <v>493</v>
      </c>
      <c r="C4" s="20" t="s">
        <v>599</v>
      </c>
      <c r="D4" s="138">
        <v>3340000</v>
      </c>
      <c r="E4" s="20" t="s">
        <v>518</v>
      </c>
      <c r="F4" s="20" t="s">
        <v>519</v>
      </c>
      <c r="G4" s="8" t="str">
        <f t="shared" si="0"/>
        <v>ELBAUM MIKE</v>
      </c>
      <c r="H4" s="20" t="str">
        <f t="shared" si="1"/>
        <v>4030</v>
      </c>
    </row>
    <row r="5" spans="1:8" x14ac:dyDescent="0.25">
      <c r="A5" s="8">
        <v>43023.07403935185</v>
      </c>
      <c r="B5" s="20" t="s">
        <v>393</v>
      </c>
      <c r="C5" s="20" t="s">
        <v>600</v>
      </c>
      <c r="D5" s="138">
        <v>3510000</v>
      </c>
      <c r="E5" s="20" t="s">
        <v>601</v>
      </c>
      <c r="F5" s="20" t="s">
        <v>602</v>
      </c>
      <c r="G5" s="8" t="str">
        <f t="shared" si="0"/>
        <v>BARRON PERLA</v>
      </c>
      <c r="H5" s="20" t="str">
        <f t="shared" si="1"/>
        <v>4061</v>
      </c>
    </row>
    <row r="6" spans="1:8" x14ac:dyDescent="0.25">
      <c r="A6" s="8">
        <v>43023.089062500003</v>
      </c>
      <c r="B6" s="20" t="s">
        <v>504</v>
      </c>
      <c r="C6" s="20" t="s">
        <v>603</v>
      </c>
      <c r="D6" s="138">
        <v>3310000</v>
      </c>
      <c r="E6" s="20" t="s">
        <v>388</v>
      </c>
      <c r="F6" s="20" t="s">
        <v>389</v>
      </c>
      <c r="G6" s="8" t="str">
        <f t="shared" si="0"/>
        <v>ANDERS STEVEN</v>
      </c>
      <c r="H6" s="20" t="str">
        <f t="shared" si="1"/>
        <v>4026</v>
      </c>
    </row>
    <row r="7" spans="1:8" x14ac:dyDescent="0.25">
      <c r="A7" s="8">
        <v>43023.11105324074</v>
      </c>
      <c r="B7" s="20" t="s">
        <v>496</v>
      </c>
      <c r="C7" s="20" t="s">
        <v>604</v>
      </c>
      <c r="D7" s="138">
        <v>3120000</v>
      </c>
      <c r="E7" s="20" t="s">
        <v>605</v>
      </c>
      <c r="F7" s="20" t="s">
        <v>606</v>
      </c>
      <c r="G7" s="8" t="str">
        <f t="shared" si="0"/>
        <v>THOMPSON LESTER</v>
      </c>
      <c r="H7" s="20" t="str">
        <f t="shared" si="1"/>
        <v>4057</v>
      </c>
    </row>
    <row r="8" spans="1:8" x14ac:dyDescent="0.25">
      <c r="A8" s="8">
        <v>43023.111701388887</v>
      </c>
      <c r="B8" s="20" t="s">
        <v>501</v>
      </c>
      <c r="C8" s="20" t="s">
        <v>607</v>
      </c>
      <c r="D8" s="138">
        <v>3510000</v>
      </c>
      <c r="E8" s="20" t="s">
        <v>601</v>
      </c>
      <c r="F8" s="20" t="s">
        <v>602</v>
      </c>
      <c r="G8" s="8" t="str">
        <f t="shared" si="0"/>
        <v>BARRON PERLA</v>
      </c>
      <c r="H8" s="20" t="str">
        <f t="shared" si="1"/>
        <v>4062</v>
      </c>
    </row>
    <row r="9" spans="1:8" ht="15.75" thickBot="1" x14ac:dyDescent="0.3">
      <c r="A9" s="24">
        <v>43023.125324074077</v>
      </c>
      <c r="B9" s="20" t="s">
        <v>512</v>
      </c>
      <c r="C9" s="20" t="s">
        <v>608</v>
      </c>
      <c r="D9" s="138">
        <v>2440000</v>
      </c>
      <c r="E9" s="20" t="s">
        <v>463</v>
      </c>
      <c r="F9" s="20" t="s">
        <v>464</v>
      </c>
      <c r="G9" s="8" t="str">
        <f t="shared" si="0"/>
        <v>LOPES KIMBERLY</v>
      </c>
      <c r="H9" s="20" t="str">
        <f t="shared" si="1"/>
        <v>4058</v>
      </c>
    </row>
    <row r="10" spans="1:8" x14ac:dyDescent="0.25">
      <c r="A10" s="8">
        <v>43023.125752314816</v>
      </c>
      <c r="B10" s="20" t="s">
        <v>455</v>
      </c>
      <c r="C10" s="20" t="s">
        <v>609</v>
      </c>
      <c r="D10" s="138">
        <v>3120000</v>
      </c>
      <c r="E10" s="20" t="s">
        <v>605</v>
      </c>
      <c r="F10" s="20" t="s">
        <v>606</v>
      </c>
      <c r="G10" s="8" t="str">
        <f t="shared" si="0"/>
        <v>THOMPSON LESTER</v>
      </c>
      <c r="H10" s="20" t="str">
        <f t="shared" si="1"/>
        <v>4032</v>
      </c>
    </row>
    <row r="11" spans="1:8" x14ac:dyDescent="0.25">
      <c r="A11" s="8">
        <v>43023.139791666668</v>
      </c>
      <c r="B11" s="20" t="s">
        <v>496</v>
      </c>
      <c r="C11" s="20" t="s">
        <v>610</v>
      </c>
      <c r="D11" s="138">
        <v>2440000</v>
      </c>
      <c r="E11" s="20" t="s">
        <v>463</v>
      </c>
      <c r="F11" s="20" t="s">
        <v>464</v>
      </c>
      <c r="G11" s="8" t="str">
        <f t="shared" si="0"/>
        <v>LOPES KIMBERLY</v>
      </c>
      <c r="H11" s="20" t="str">
        <f t="shared" si="1"/>
        <v>4057</v>
      </c>
    </row>
    <row r="12" spans="1:8" x14ac:dyDescent="0.25">
      <c r="A12" s="8">
        <v>43023.142025462963</v>
      </c>
      <c r="B12" s="20" t="s">
        <v>431</v>
      </c>
      <c r="C12" s="20" t="s">
        <v>563</v>
      </c>
      <c r="D12" s="138">
        <v>2010000</v>
      </c>
      <c r="E12" s="20" t="s">
        <v>502</v>
      </c>
      <c r="F12" s="20" t="s">
        <v>503</v>
      </c>
      <c r="G12" s="8" t="str">
        <f t="shared" si="0"/>
        <v>MAELZER KURT</v>
      </c>
      <c r="H12" s="20" t="str">
        <f t="shared" si="1"/>
        <v>4035</v>
      </c>
    </row>
    <row r="13" spans="1:8" x14ac:dyDescent="0.25">
      <c r="A13" s="8">
        <v>43023.153784722221</v>
      </c>
      <c r="B13" s="20" t="s">
        <v>417</v>
      </c>
      <c r="C13" s="20" t="s">
        <v>611</v>
      </c>
      <c r="D13" s="138">
        <v>2010000</v>
      </c>
      <c r="E13" s="20" t="s">
        <v>502</v>
      </c>
      <c r="F13" s="20" t="s">
        <v>503</v>
      </c>
      <c r="G13" s="8" t="str">
        <f t="shared" si="0"/>
        <v>MAELZER KURT</v>
      </c>
      <c r="H13" s="20" t="str">
        <f t="shared" si="1"/>
        <v>4036</v>
      </c>
    </row>
    <row r="14" spans="1:8" x14ac:dyDescent="0.25">
      <c r="A14" s="8">
        <v>43023.157673611109</v>
      </c>
      <c r="B14" s="20" t="s">
        <v>494</v>
      </c>
      <c r="C14" s="20" t="s">
        <v>612</v>
      </c>
      <c r="D14" s="138">
        <v>1990000</v>
      </c>
      <c r="E14" s="20" t="s">
        <v>341</v>
      </c>
      <c r="F14" s="20" t="s">
        <v>457</v>
      </c>
      <c r="G14" s="8" t="str">
        <f t="shared" si="0"/>
        <v>DAVIS WENDY</v>
      </c>
      <c r="H14" s="20" t="str">
        <f t="shared" si="1"/>
        <v>4041</v>
      </c>
    </row>
    <row r="15" spans="1:8" x14ac:dyDescent="0.25">
      <c r="A15" s="8">
        <v>43023.170752314814</v>
      </c>
      <c r="B15" s="20" t="s">
        <v>452</v>
      </c>
      <c r="C15" s="20" t="s">
        <v>613</v>
      </c>
      <c r="D15" s="138">
        <v>2530000</v>
      </c>
      <c r="E15" s="20" t="s">
        <v>614</v>
      </c>
      <c r="F15" s="20" t="s">
        <v>615</v>
      </c>
      <c r="G15" s="8" t="str">
        <f t="shared" si="0"/>
        <v>LALONDE GREGORY</v>
      </c>
      <c r="H15" s="20" t="str">
        <f t="shared" si="1"/>
        <v>4013</v>
      </c>
    </row>
    <row r="16" spans="1:8" x14ac:dyDescent="0.25">
      <c r="A16" s="8">
        <v>43023.173055555555</v>
      </c>
      <c r="B16" s="20" t="s">
        <v>456</v>
      </c>
      <c r="C16" s="20" t="s">
        <v>564</v>
      </c>
      <c r="D16" s="138">
        <v>3120000</v>
      </c>
      <c r="E16" s="20" t="s">
        <v>605</v>
      </c>
      <c r="F16" s="20" t="s">
        <v>606</v>
      </c>
      <c r="G16" s="8" t="str">
        <f t="shared" si="0"/>
        <v>THOMPSON LESTER</v>
      </c>
      <c r="H16" s="20" t="str">
        <f t="shared" si="1"/>
        <v>4031</v>
      </c>
    </row>
    <row r="17" spans="1:8" x14ac:dyDescent="0.25">
      <c r="A17" s="8">
        <v>43023.17328703704</v>
      </c>
      <c r="B17" s="20" t="s">
        <v>495</v>
      </c>
      <c r="C17" s="20" t="s">
        <v>616</v>
      </c>
      <c r="D17" s="138">
        <v>2370000</v>
      </c>
      <c r="E17" s="20" t="s">
        <v>459</v>
      </c>
      <c r="F17" s="20" t="s">
        <v>460</v>
      </c>
      <c r="G17" s="8" t="str">
        <f t="shared" si="0"/>
        <v>DELGADO DIANAH</v>
      </c>
      <c r="H17" s="20" t="str">
        <f t="shared" si="1"/>
        <v>4042</v>
      </c>
    </row>
    <row r="18" spans="1:8" x14ac:dyDescent="0.25">
      <c r="A18" s="8">
        <v>43023.180995370371</v>
      </c>
      <c r="B18" s="20" t="s">
        <v>394</v>
      </c>
      <c r="C18" s="20" t="s">
        <v>617</v>
      </c>
      <c r="D18" s="138">
        <v>1100000</v>
      </c>
      <c r="E18" s="20" t="s">
        <v>434</v>
      </c>
      <c r="F18" s="20" t="s">
        <v>435</v>
      </c>
      <c r="G18" s="8" t="str">
        <f t="shared" si="0"/>
        <v>GEBRETEKLE DAGNEW</v>
      </c>
      <c r="H18" s="20" t="str">
        <f t="shared" si="1"/>
        <v>4055</v>
      </c>
    </row>
    <row r="19" spans="1:8" x14ac:dyDescent="0.25">
      <c r="A19" s="8">
        <v>43023.183611111112</v>
      </c>
      <c r="B19" s="20" t="s">
        <v>454</v>
      </c>
      <c r="C19" s="20" t="s">
        <v>618</v>
      </c>
      <c r="D19" s="138">
        <v>2530000</v>
      </c>
      <c r="E19" s="20" t="s">
        <v>614</v>
      </c>
      <c r="F19" s="20" t="s">
        <v>615</v>
      </c>
      <c r="G19" s="8" t="str">
        <f t="shared" si="0"/>
        <v>LALONDE GREGORY</v>
      </c>
      <c r="H19" s="20" t="str">
        <f t="shared" si="1"/>
        <v>4014</v>
      </c>
    </row>
    <row r="20" spans="1:8" x14ac:dyDescent="0.25">
      <c r="A20" s="8">
        <v>43023.1877662037</v>
      </c>
      <c r="B20" s="20" t="s">
        <v>431</v>
      </c>
      <c r="C20" s="20" t="s">
        <v>619</v>
      </c>
      <c r="D20" s="138">
        <v>2010000</v>
      </c>
      <c r="E20" s="20" t="s">
        <v>502</v>
      </c>
      <c r="F20" s="20" t="s">
        <v>503</v>
      </c>
      <c r="G20" s="8" t="str">
        <f t="shared" si="0"/>
        <v>MAELZER KURT</v>
      </c>
      <c r="H20" s="20" t="str">
        <f t="shared" si="1"/>
        <v>4035</v>
      </c>
    </row>
    <row r="21" spans="1:8" x14ac:dyDescent="0.25">
      <c r="A21" s="8">
        <v>43023.187777777777</v>
      </c>
      <c r="B21" s="20" t="s">
        <v>512</v>
      </c>
      <c r="C21" s="20" t="s">
        <v>620</v>
      </c>
      <c r="D21" s="138">
        <v>2440000</v>
      </c>
      <c r="E21" s="20" t="s">
        <v>463</v>
      </c>
      <c r="F21" s="20" t="s">
        <v>464</v>
      </c>
      <c r="G21" s="8" t="str">
        <f t="shared" si="0"/>
        <v>LOPES KIMBERLY</v>
      </c>
      <c r="H21" s="20" t="str">
        <f t="shared" si="1"/>
        <v>4058</v>
      </c>
    </row>
    <row r="22" spans="1:8" x14ac:dyDescent="0.25">
      <c r="A22" s="26">
        <v>43023.189629629633</v>
      </c>
      <c r="B22" s="20" t="s">
        <v>512</v>
      </c>
      <c r="C22" s="20" t="s">
        <v>621</v>
      </c>
      <c r="D22" s="138">
        <v>2440000</v>
      </c>
      <c r="E22" s="20" t="s">
        <v>463</v>
      </c>
      <c r="F22" s="20" t="s">
        <v>464</v>
      </c>
      <c r="G22" s="8" t="str">
        <f t="shared" si="0"/>
        <v>LOPES KIMBERLY</v>
      </c>
      <c r="H22" s="20" t="str">
        <f t="shared" si="1"/>
        <v>4058</v>
      </c>
    </row>
    <row r="23" spans="1:8" x14ac:dyDescent="0.25">
      <c r="A23" s="8">
        <v>43023.190162037034</v>
      </c>
      <c r="B23" s="20" t="s">
        <v>512</v>
      </c>
      <c r="C23" s="20" t="s">
        <v>621</v>
      </c>
      <c r="D23" s="138">
        <v>2440000</v>
      </c>
      <c r="E23" s="20" t="s">
        <v>463</v>
      </c>
      <c r="F23" s="20" t="s">
        <v>464</v>
      </c>
      <c r="G23" s="8" t="str">
        <f t="shared" si="0"/>
        <v>LOPES KIMBERLY</v>
      </c>
      <c r="H23" s="20" t="str">
        <f t="shared" si="1"/>
        <v>4058</v>
      </c>
    </row>
    <row r="24" spans="1:8" x14ac:dyDescent="0.25">
      <c r="A24" s="8">
        <v>43023.191168981481</v>
      </c>
      <c r="B24" s="20" t="s">
        <v>512</v>
      </c>
      <c r="C24" s="20" t="s">
        <v>621</v>
      </c>
      <c r="D24" s="138">
        <v>2440000</v>
      </c>
      <c r="E24" s="20" t="s">
        <v>463</v>
      </c>
      <c r="F24" s="20" t="s">
        <v>464</v>
      </c>
      <c r="G24" s="8" t="str">
        <f t="shared" si="0"/>
        <v>LOPES KIMBERLY</v>
      </c>
      <c r="H24" s="20" t="str">
        <f t="shared" si="1"/>
        <v>4058</v>
      </c>
    </row>
    <row r="25" spans="1:8" x14ac:dyDescent="0.25">
      <c r="A25" s="8">
        <v>43023.202939814815</v>
      </c>
      <c r="B25" s="20" t="s">
        <v>498</v>
      </c>
      <c r="C25" s="20" t="s">
        <v>622</v>
      </c>
      <c r="D25" s="138">
        <v>3040000</v>
      </c>
      <c r="E25" s="20" t="s">
        <v>505</v>
      </c>
      <c r="F25" s="20" t="s">
        <v>506</v>
      </c>
      <c r="G25" s="8" t="str">
        <f t="shared" si="0"/>
        <v>WILLIAMS DONTE</v>
      </c>
      <c r="H25" s="20" t="str">
        <f t="shared" si="1"/>
        <v>4003</v>
      </c>
    </row>
    <row r="26" spans="1:8" x14ac:dyDescent="0.25">
      <c r="A26" s="8">
        <v>43023.203831018516</v>
      </c>
      <c r="B26" s="20" t="s">
        <v>494</v>
      </c>
      <c r="C26" s="20" t="s">
        <v>623</v>
      </c>
      <c r="D26" s="138">
        <v>2370000</v>
      </c>
      <c r="E26" s="20" t="s">
        <v>459</v>
      </c>
      <c r="F26" s="20" t="s">
        <v>460</v>
      </c>
      <c r="G26" s="8" t="str">
        <f t="shared" si="0"/>
        <v>DELGADO DIANAH</v>
      </c>
      <c r="H26" s="20" t="str">
        <f t="shared" si="1"/>
        <v>4041</v>
      </c>
    </row>
    <row r="27" spans="1:8" x14ac:dyDescent="0.25">
      <c r="A27" s="8">
        <v>43023.206956018519</v>
      </c>
      <c r="B27" s="20" t="s">
        <v>455</v>
      </c>
      <c r="C27" s="20" t="s">
        <v>565</v>
      </c>
      <c r="D27" s="138">
        <v>3120000</v>
      </c>
      <c r="E27" s="20" t="s">
        <v>605</v>
      </c>
      <c r="F27" s="20" t="s">
        <v>606</v>
      </c>
      <c r="G27" s="8" t="str">
        <f t="shared" si="0"/>
        <v>THOMPSON LESTER</v>
      </c>
      <c r="H27" s="20" t="str">
        <f t="shared" si="1"/>
        <v>4032</v>
      </c>
    </row>
    <row r="28" spans="1:8" x14ac:dyDescent="0.25">
      <c r="A28" s="8">
        <v>43023.213287037041</v>
      </c>
      <c r="B28" s="20" t="s">
        <v>452</v>
      </c>
      <c r="C28" s="20" t="s">
        <v>624</v>
      </c>
      <c r="D28" s="138">
        <v>2530000</v>
      </c>
      <c r="E28" s="20" t="s">
        <v>614</v>
      </c>
      <c r="F28" s="20" t="s">
        <v>615</v>
      </c>
      <c r="G28" s="8" t="str">
        <f t="shared" si="0"/>
        <v>LALONDE GREGORY</v>
      </c>
      <c r="H28" s="20" t="str">
        <f t="shared" si="1"/>
        <v>4013</v>
      </c>
    </row>
    <row r="29" spans="1:8" x14ac:dyDescent="0.25">
      <c r="A29" s="8">
        <v>43023.214965277781</v>
      </c>
      <c r="B29" s="20" t="s">
        <v>588</v>
      </c>
      <c r="C29" s="20" t="s">
        <v>625</v>
      </c>
      <c r="D29" s="138">
        <v>1100000</v>
      </c>
      <c r="E29" s="20" t="s">
        <v>434</v>
      </c>
      <c r="F29" s="20" t="s">
        <v>435</v>
      </c>
      <c r="G29" s="8" t="str">
        <f t="shared" si="0"/>
        <v>GEBRETEKLE DAGNEW</v>
      </c>
      <c r="H29" s="20" t="str">
        <f t="shared" si="1"/>
        <v>4007</v>
      </c>
    </row>
    <row r="30" spans="1:8" x14ac:dyDescent="0.25">
      <c r="A30" s="8">
        <v>43023.217210648145</v>
      </c>
      <c r="B30" s="20" t="s">
        <v>509</v>
      </c>
      <c r="C30" s="20" t="s">
        <v>626</v>
      </c>
      <c r="D30" s="138">
        <v>3040000</v>
      </c>
      <c r="E30" s="20" t="s">
        <v>505</v>
      </c>
      <c r="F30" s="20" t="s">
        <v>506</v>
      </c>
      <c r="G30" s="8" t="str">
        <f t="shared" si="0"/>
        <v>WILLIAMS DONTE</v>
      </c>
      <c r="H30" s="20" t="str">
        <f t="shared" si="1"/>
        <v>4004</v>
      </c>
    </row>
    <row r="31" spans="1:8" x14ac:dyDescent="0.25">
      <c r="A31" s="8">
        <v>43023.224166666667</v>
      </c>
      <c r="B31" s="20" t="s">
        <v>458</v>
      </c>
      <c r="C31" s="20" t="s">
        <v>627</v>
      </c>
      <c r="D31" s="138">
        <v>2560000</v>
      </c>
      <c r="E31" s="20" t="s">
        <v>628</v>
      </c>
      <c r="F31" s="20" t="s">
        <v>515</v>
      </c>
      <c r="G31" s="8" t="str">
        <f t="shared" si="0"/>
        <v>MACDONALD THOMAS</v>
      </c>
      <c r="H31" s="20" t="str">
        <f t="shared" si="1"/>
        <v>4002</v>
      </c>
    </row>
    <row r="32" spans="1:8" x14ac:dyDescent="0.25">
      <c r="A32" s="8">
        <v>43023.224629629629</v>
      </c>
      <c r="B32" s="20" t="s">
        <v>417</v>
      </c>
      <c r="C32" s="20" t="s">
        <v>629</v>
      </c>
      <c r="D32" s="138">
        <v>2010000</v>
      </c>
      <c r="E32" s="20" t="s">
        <v>502</v>
      </c>
      <c r="F32" s="20" t="s">
        <v>503</v>
      </c>
      <c r="G32" s="8" t="str">
        <f t="shared" si="0"/>
        <v>MAELZER KURT</v>
      </c>
      <c r="H32" s="20" t="str">
        <f t="shared" si="1"/>
        <v>4036</v>
      </c>
    </row>
    <row r="33" spans="1:8" x14ac:dyDescent="0.25">
      <c r="A33" s="8">
        <v>43023.226157407407</v>
      </c>
      <c r="B33" s="20" t="s">
        <v>630</v>
      </c>
      <c r="C33" s="20" t="s">
        <v>631</v>
      </c>
      <c r="D33" s="138">
        <v>3090000</v>
      </c>
      <c r="E33" s="20" t="s">
        <v>632</v>
      </c>
      <c r="F33" s="20" t="s">
        <v>633</v>
      </c>
      <c r="G33" s="8" t="str">
        <f t="shared" si="0"/>
        <v>LAMAR NEKESHA</v>
      </c>
      <c r="H33" s="20" t="str">
        <f t="shared" si="1"/>
        <v>4015</v>
      </c>
    </row>
    <row r="34" spans="1:8" x14ac:dyDescent="0.25">
      <c r="A34" s="8">
        <v>43023.227141203701</v>
      </c>
      <c r="B34" s="20" t="s">
        <v>496</v>
      </c>
      <c r="C34" s="20" t="s">
        <v>634</v>
      </c>
      <c r="D34" s="138">
        <v>2440000</v>
      </c>
      <c r="E34" s="20" t="s">
        <v>463</v>
      </c>
      <c r="F34" s="20" t="s">
        <v>464</v>
      </c>
      <c r="G34" s="8" t="str">
        <f t="shared" si="0"/>
        <v>LOPES KIMBERLY</v>
      </c>
      <c r="H34" s="20" t="str">
        <f t="shared" si="1"/>
        <v>4057</v>
      </c>
    </row>
    <row r="35" spans="1:8" x14ac:dyDescent="0.25">
      <c r="A35" s="8">
        <v>43023.236087962963</v>
      </c>
      <c r="B35" s="20" t="s">
        <v>566</v>
      </c>
      <c r="C35" s="20" t="s">
        <v>567</v>
      </c>
      <c r="D35" s="138">
        <v>3090000</v>
      </c>
      <c r="E35" s="20" t="s">
        <v>632</v>
      </c>
      <c r="F35" s="20" t="s">
        <v>633</v>
      </c>
      <c r="G35" s="8" t="str">
        <f t="shared" si="0"/>
        <v>LAMAR NEKESHA</v>
      </c>
      <c r="H35" s="20" t="str">
        <f t="shared" si="1"/>
        <v>4016</v>
      </c>
    </row>
    <row r="36" spans="1:8" x14ac:dyDescent="0.25">
      <c r="A36" s="8">
        <v>43023.236296296294</v>
      </c>
      <c r="B36" s="20" t="s">
        <v>451</v>
      </c>
      <c r="C36" s="20" t="s">
        <v>635</v>
      </c>
      <c r="D36" s="138">
        <v>2560000</v>
      </c>
      <c r="E36" s="20" t="s">
        <v>628</v>
      </c>
      <c r="F36" s="20" t="s">
        <v>515</v>
      </c>
      <c r="G36" s="8" t="str">
        <f t="shared" si="0"/>
        <v>MACDONALD THOMAS</v>
      </c>
      <c r="H36" s="20" t="str">
        <f t="shared" si="1"/>
        <v>4001</v>
      </c>
    </row>
    <row r="37" spans="1:8" x14ac:dyDescent="0.25">
      <c r="A37" s="8">
        <v>43023.245752314811</v>
      </c>
      <c r="B37" s="20" t="s">
        <v>456</v>
      </c>
      <c r="C37" s="20" t="s">
        <v>636</v>
      </c>
      <c r="D37" s="138">
        <v>3120000</v>
      </c>
      <c r="E37" s="20" t="s">
        <v>605</v>
      </c>
      <c r="F37" s="20" t="s">
        <v>606</v>
      </c>
      <c r="G37" s="8" t="str">
        <f t="shared" si="0"/>
        <v>THOMPSON LESTER</v>
      </c>
      <c r="H37" s="20" t="str">
        <f t="shared" si="1"/>
        <v>4031</v>
      </c>
    </row>
    <row r="38" spans="1:8" x14ac:dyDescent="0.25">
      <c r="A38" s="8">
        <v>43023.24628472222</v>
      </c>
      <c r="B38" s="20" t="s">
        <v>495</v>
      </c>
      <c r="C38" s="20" t="s">
        <v>637</v>
      </c>
      <c r="D38" s="138">
        <v>1990000</v>
      </c>
      <c r="E38" s="20" t="s">
        <v>341</v>
      </c>
      <c r="F38" s="20" t="s">
        <v>457</v>
      </c>
      <c r="G38" s="8" t="str">
        <f t="shared" si="0"/>
        <v>DAVIS WENDY</v>
      </c>
      <c r="H38" s="20" t="str">
        <f t="shared" si="1"/>
        <v>4042</v>
      </c>
    </row>
    <row r="39" spans="1:8" x14ac:dyDescent="0.25">
      <c r="A39" s="8">
        <v>43023.253298611111</v>
      </c>
      <c r="B39" s="20" t="s">
        <v>458</v>
      </c>
      <c r="C39" s="20" t="s">
        <v>638</v>
      </c>
      <c r="D39" s="138">
        <v>2560000</v>
      </c>
      <c r="E39" s="20" t="s">
        <v>628</v>
      </c>
      <c r="F39" s="20" t="s">
        <v>515</v>
      </c>
      <c r="G39" s="8" t="str">
        <f t="shared" si="0"/>
        <v>MACDONALD THOMAS</v>
      </c>
      <c r="H39" s="20" t="str">
        <f t="shared" si="1"/>
        <v>4002</v>
      </c>
    </row>
    <row r="40" spans="1:8" x14ac:dyDescent="0.25">
      <c r="A40" s="8">
        <v>43023.254016203704</v>
      </c>
      <c r="B40" s="25" t="s">
        <v>498</v>
      </c>
      <c r="C40" s="20" t="s">
        <v>639</v>
      </c>
      <c r="D40" s="138">
        <v>3040000</v>
      </c>
      <c r="E40" s="20" t="s">
        <v>505</v>
      </c>
      <c r="F40" s="20" t="s">
        <v>506</v>
      </c>
      <c r="G40" s="8" t="str">
        <f t="shared" si="0"/>
        <v>WILLIAMS DONTE</v>
      </c>
      <c r="H40" s="20" t="str">
        <f t="shared" si="1"/>
        <v>4003</v>
      </c>
    </row>
    <row r="41" spans="1:8" x14ac:dyDescent="0.25">
      <c r="A41" s="8">
        <v>43023.254930555559</v>
      </c>
      <c r="B41" s="20" t="s">
        <v>454</v>
      </c>
      <c r="C41" s="20" t="s">
        <v>640</v>
      </c>
      <c r="D41" s="138">
        <v>2530000</v>
      </c>
      <c r="E41" s="20" t="s">
        <v>614</v>
      </c>
      <c r="F41" s="20" t="s">
        <v>615</v>
      </c>
      <c r="G41" s="8" t="str">
        <f t="shared" si="0"/>
        <v>LALONDE GREGORY</v>
      </c>
      <c r="H41" s="20" t="str">
        <f t="shared" si="1"/>
        <v>4014</v>
      </c>
    </row>
    <row r="42" spans="1:8" x14ac:dyDescent="0.25">
      <c r="A42" s="8">
        <v>43023.263287037036</v>
      </c>
      <c r="B42" s="20" t="s">
        <v>431</v>
      </c>
      <c r="C42" s="20" t="s">
        <v>641</v>
      </c>
      <c r="D42" s="138">
        <v>2010000</v>
      </c>
      <c r="E42" s="20" t="s">
        <v>502</v>
      </c>
      <c r="F42" s="20" t="s">
        <v>503</v>
      </c>
      <c r="G42" s="8" t="str">
        <f t="shared" si="0"/>
        <v>MAELZER KURT</v>
      </c>
      <c r="H42" s="20" t="str">
        <f t="shared" si="1"/>
        <v>4035</v>
      </c>
    </row>
    <row r="43" spans="1:8" x14ac:dyDescent="0.25">
      <c r="A43" s="8">
        <v>43023.267210648148</v>
      </c>
      <c r="B43" s="20" t="s">
        <v>451</v>
      </c>
      <c r="C43" s="20" t="s">
        <v>568</v>
      </c>
      <c r="D43" s="138">
        <v>2560000</v>
      </c>
      <c r="E43" s="20" t="s">
        <v>628</v>
      </c>
      <c r="F43" s="20" t="s">
        <v>515</v>
      </c>
      <c r="G43" s="8" t="str">
        <f t="shared" si="0"/>
        <v>MACDONALD THOMAS</v>
      </c>
      <c r="H43" s="20" t="str">
        <f t="shared" si="1"/>
        <v>4001</v>
      </c>
    </row>
    <row r="44" spans="1:8" x14ac:dyDescent="0.25">
      <c r="A44" s="8">
        <v>43023.26803240741</v>
      </c>
      <c r="B44" s="20" t="s">
        <v>512</v>
      </c>
      <c r="C44" s="20" t="s">
        <v>642</v>
      </c>
      <c r="D44" s="138">
        <v>1100000</v>
      </c>
      <c r="E44" s="20" t="s">
        <v>434</v>
      </c>
      <c r="F44" s="20" t="s">
        <v>435</v>
      </c>
      <c r="G44" s="8" t="str">
        <f t="shared" si="0"/>
        <v>GEBRETEKLE DAGNEW</v>
      </c>
      <c r="H44" s="20" t="str">
        <f t="shared" si="1"/>
        <v>4058</v>
      </c>
    </row>
    <row r="45" spans="1:8" x14ac:dyDescent="0.25">
      <c r="A45" s="8">
        <v>43023.269594907404</v>
      </c>
      <c r="B45" s="20" t="s">
        <v>451</v>
      </c>
      <c r="C45" s="20" t="s">
        <v>568</v>
      </c>
      <c r="D45" s="138">
        <v>2560000</v>
      </c>
      <c r="E45" s="20" t="s">
        <v>628</v>
      </c>
      <c r="F45" s="20" t="s">
        <v>515</v>
      </c>
      <c r="G45" s="8" t="str">
        <f t="shared" si="0"/>
        <v>MACDONALD THOMAS</v>
      </c>
      <c r="H45" s="20" t="str">
        <f t="shared" si="1"/>
        <v>4001</v>
      </c>
    </row>
    <row r="46" spans="1:8" x14ac:dyDescent="0.25">
      <c r="A46" s="8">
        <v>43023.274641203701</v>
      </c>
      <c r="B46" s="20" t="s">
        <v>630</v>
      </c>
      <c r="C46" s="20" t="s">
        <v>643</v>
      </c>
      <c r="D46" s="138">
        <v>3090000</v>
      </c>
      <c r="E46" s="20" t="s">
        <v>632</v>
      </c>
      <c r="F46" s="20" t="s">
        <v>633</v>
      </c>
      <c r="G46" s="8" t="str">
        <f t="shared" si="0"/>
        <v>LAMAR NEKESHA</v>
      </c>
      <c r="H46" s="20" t="str">
        <f t="shared" si="1"/>
        <v>4015</v>
      </c>
    </row>
    <row r="47" spans="1:8" x14ac:dyDescent="0.25">
      <c r="A47" s="8">
        <v>43023.278622685182</v>
      </c>
      <c r="B47" s="20" t="s">
        <v>494</v>
      </c>
      <c r="C47" s="20" t="s">
        <v>644</v>
      </c>
      <c r="D47" s="138">
        <v>1990000</v>
      </c>
      <c r="E47" s="20" t="s">
        <v>341</v>
      </c>
      <c r="F47" s="20" t="s">
        <v>457</v>
      </c>
      <c r="G47" s="8" t="str">
        <f t="shared" si="0"/>
        <v>DAVIS WENDY</v>
      </c>
      <c r="H47" s="20" t="str">
        <f t="shared" si="1"/>
        <v>4041</v>
      </c>
    </row>
    <row r="48" spans="1:8" x14ac:dyDescent="0.25">
      <c r="A48" s="8">
        <v>43023.279710648145</v>
      </c>
      <c r="B48" s="20" t="s">
        <v>455</v>
      </c>
      <c r="C48" s="20" t="s">
        <v>569</v>
      </c>
      <c r="D48" s="138">
        <v>3120000</v>
      </c>
      <c r="E48" s="20" t="s">
        <v>605</v>
      </c>
      <c r="F48" s="20" t="s">
        <v>606</v>
      </c>
      <c r="G48" s="8" t="str">
        <f t="shared" si="0"/>
        <v>THOMPSON LESTER</v>
      </c>
      <c r="H48" s="20" t="str">
        <f t="shared" si="1"/>
        <v>4032</v>
      </c>
    </row>
    <row r="49" spans="1:8" x14ac:dyDescent="0.25">
      <c r="A49" s="8">
        <v>43023.286076388889</v>
      </c>
      <c r="B49" s="20" t="s">
        <v>452</v>
      </c>
      <c r="C49" s="20" t="s">
        <v>645</v>
      </c>
      <c r="D49" s="138">
        <v>2530000</v>
      </c>
      <c r="E49" s="20" t="s">
        <v>614</v>
      </c>
      <c r="F49" s="20" t="s">
        <v>615</v>
      </c>
      <c r="G49" s="8" t="str">
        <f t="shared" si="0"/>
        <v>LALONDE GREGORY</v>
      </c>
      <c r="H49" s="20" t="str">
        <f t="shared" si="1"/>
        <v>4013</v>
      </c>
    </row>
    <row r="50" spans="1:8" x14ac:dyDescent="0.25">
      <c r="A50" s="8">
        <v>43023.288900462961</v>
      </c>
      <c r="B50" s="20" t="s">
        <v>509</v>
      </c>
      <c r="C50" s="20" t="s">
        <v>646</v>
      </c>
      <c r="D50" s="138">
        <v>3040000</v>
      </c>
      <c r="E50" s="20" t="s">
        <v>505</v>
      </c>
      <c r="F50" s="20" t="s">
        <v>506</v>
      </c>
      <c r="G50" s="8" t="str">
        <f t="shared" si="0"/>
        <v>WILLIAMS DONTE</v>
      </c>
      <c r="H50" s="20" t="str">
        <f t="shared" si="1"/>
        <v>4004</v>
      </c>
    </row>
    <row r="51" spans="1:8" x14ac:dyDescent="0.25">
      <c r="A51" s="8">
        <v>43023.29724537037</v>
      </c>
      <c r="B51" s="20" t="s">
        <v>458</v>
      </c>
      <c r="C51" s="20" t="s">
        <v>647</v>
      </c>
      <c r="D51" s="138">
        <v>2560000</v>
      </c>
      <c r="E51" s="20" t="s">
        <v>628</v>
      </c>
      <c r="F51" s="20" t="s">
        <v>515</v>
      </c>
      <c r="G51" s="8" t="str">
        <f t="shared" si="0"/>
        <v>MACDONALD THOMAS</v>
      </c>
      <c r="H51" s="20" t="str">
        <f t="shared" si="1"/>
        <v>4002</v>
      </c>
    </row>
    <row r="52" spans="1:8" x14ac:dyDescent="0.25">
      <c r="A52" s="8">
        <v>43023.297615740739</v>
      </c>
      <c r="B52" s="20" t="s">
        <v>417</v>
      </c>
      <c r="C52" s="20" t="s">
        <v>648</v>
      </c>
      <c r="D52" s="138">
        <v>2010000</v>
      </c>
      <c r="E52" s="20" t="s">
        <v>502</v>
      </c>
      <c r="F52" s="20" t="s">
        <v>503</v>
      </c>
      <c r="G52" s="8" t="str">
        <f t="shared" si="0"/>
        <v>MAELZER KURT</v>
      </c>
      <c r="H52" s="20" t="str">
        <f t="shared" si="1"/>
        <v>4036</v>
      </c>
    </row>
    <row r="53" spans="1:8" x14ac:dyDescent="0.25">
      <c r="A53" s="8">
        <v>43023.29787037037</v>
      </c>
      <c r="B53" s="20" t="s">
        <v>496</v>
      </c>
      <c r="C53" s="20" t="s">
        <v>649</v>
      </c>
      <c r="D53" s="138">
        <v>1100000</v>
      </c>
      <c r="E53" s="20" t="s">
        <v>434</v>
      </c>
      <c r="F53" s="20" t="s">
        <v>435</v>
      </c>
      <c r="G53" s="8" t="str">
        <f t="shared" si="0"/>
        <v>GEBRETEKLE DAGNEW</v>
      </c>
      <c r="H53" s="20" t="str">
        <f t="shared" si="1"/>
        <v>4057</v>
      </c>
    </row>
    <row r="54" spans="1:8" x14ac:dyDescent="0.25">
      <c r="A54" s="8">
        <v>43023.307824074072</v>
      </c>
      <c r="B54" s="20" t="s">
        <v>566</v>
      </c>
      <c r="C54" s="20" t="s">
        <v>650</v>
      </c>
      <c r="D54" s="138">
        <v>3090000</v>
      </c>
      <c r="E54" s="20" t="s">
        <v>632</v>
      </c>
      <c r="F54" s="20" t="s">
        <v>633</v>
      </c>
      <c r="G54" s="8" t="str">
        <f t="shared" si="0"/>
        <v>LAMAR NEKESHA</v>
      </c>
      <c r="H54" s="20" t="str">
        <f t="shared" si="1"/>
        <v>4016</v>
      </c>
    </row>
    <row r="55" spans="1:8" x14ac:dyDescent="0.25">
      <c r="A55" s="8">
        <v>43023.309837962966</v>
      </c>
      <c r="B55" s="20" t="s">
        <v>451</v>
      </c>
      <c r="C55" s="20" t="s">
        <v>651</v>
      </c>
      <c r="D55" s="138">
        <v>2560000</v>
      </c>
      <c r="E55" s="20" t="s">
        <v>628</v>
      </c>
      <c r="F55" s="20" t="s">
        <v>515</v>
      </c>
      <c r="G55" s="8" t="str">
        <f t="shared" si="0"/>
        <v>MACDONALD THOMAS</v>
      </c>
      <c r="H55" s="20" t="str">
        <f t="shared" si="1"/>
        <v>4001</v>
      </c>
    </row>
    <row r="56" spans="1:8" x14ac:dyDescent="0.25">
      <c r="A56" s="8">
        <v>43023.319212962961</v>
      </c>
      <c r="B56" s="20" t="s">
        <v>456</v>
      </c>
      <c r="C56" s="20" t="s">
        <v>570</v>
      </c>
      <c r="D56" s="138">
        <v>3120000</v>
      </c>
      <c r="E56" s="20" t="s">
        <v>605</v>
      </c>
      <c r="F56" s="20" t="s">
        <v>606</v>
      </c>
      <c r="G56" s="8" t="str">
        <f t="shared" si="0"/>
        <v>THOMPSON LESTER</v>
      </c>
      <c r="H56" s="20" t="str">
        <f t="shared" si="1"/>
        <v>4031</v>
      </c>
    </row>
    <row r="57" spans="1:8" x14ac:dyDescent="0.25">
      <c r="A57" s="8">
        <v>43023.3205787037</v>
      </c>
      <c r="B57" s="20" t="s">
        <v>495</v>
      </c>
      <c r="C57" s="20" t="s">
        <v>652</v>
      </c>
      <c r="D57" s="138">
        <v>1990000</v>
      </c>
      <c r="E57" s="20" t="s">
        <v>341</v>
      </c>
      <c r="F57" s="20" t="s">
        <v>457</v>
      </c>
      <c r="G57" s="8" t="str">
        <f t="shared" si="0"/>
        <v>DAVIS WENDY</v>
      </c>
      <c r="H57" s="20" t="str">
        <f t="shared" si="1"/>
        <v>4042</v>
      </c>
    </row>
    <row r="58" spans="1:8" x14ac:dyDescent="0.25">
      <c r="A58" s="8">
        <v>43023.326111111113</v>
      </c>
      <c r="B58" s="20" t="s">
        <v>498</v>
      </c>
      <c r="C58" s="20" t="s">
        <v>653</v>
      </c>
      <c r="D58" s="138">
        <v>3040000</v>
      </c>
      <c r="E58" s="20" t="s">
        <v>505</v>
      </c>
      <c r="F58" s="20" t="s">
        <v>506</v>
      </c>
      <c r="G58" s="8" t="str">
        <f t="shared" si="0"/>
        <v>WILLIAMS DONTE</v>
      </c>
      <c r="H58" s="20" t="str">
        <f t="shared" si="1"/>
        <v>4003</v>
      </c>
    </row>
    <row r="59" spans="1:8" x14ac:dyDescent="0.25">
      <c r="A59" s="8">
        <v>43023.329560185186</v>
      </c>
      <c r="B59" s="20" t="s">
        <v>454</v>
      </c>
      <c r="C59" s="20" t="s">
        <v>654</v>
      </c>
      <c r="D59" s="138">
        <v>3180000</v>
      </c>
      <c r="E59" s="20" t="s">
        <v>655</v>
      </c>
      <c r="F59" s="20" t="s">
        <v>656</v>
      </c>
      <c r="G59" s="8" t="str">
        <f t="shared" si="0"/>
        <v>HUFFSMITH MONTY</v>
      </c>
      <c r="H59" s="20" t="str">
        <f t="shared" si="1"/>
        <v>4014</v>
      </c>
    </row>
    <row r="60" spans="1:8" x14ac:dyDescent="0.25">
      <c r="A60" s="8">
        <v>43023.332337962966</v>
      </c>
      <c r="B60" s="20" t="s">
        <v>431</v>
      </c>
      <c r="C60" s="20" t="s">
        <v>657</v>
      </c>
      <c r="D60" s="138">
        <v>2010000</v>
      </c>
      <c r="E60" s="20" t="s">
        <v>502</v>
      </c>
      <c r="F60" s="20" t="s">
        <v>503</v>
      </c>
      <c r="G60" s="8" t="str">
        <f t="shared" si="0"/>
        <v>MAELZER KURT</v>
      </c>
      <c r="H60" s="20" t="str">
        <f t="shared" si="1"/>
        <v>4035</v>
      </c>
    </row>
    <row r="61" spans="1:8" x14ac:dyDescent="0.25">
      <c r="A61" s="8">
        <v>43023.33966435185</v>
      </c>
      <c r="B61" s="20" t="s">
        <v>458</v>
      </c>
      <c r="C61" s="20" t="s">
        <v>658</v>
      </c>
      <c r="D61" s="138">
        <v>2560000</v>
      </c>
      <c r="E61" s="20" t="s">
        <v>628</v>
      </c>
      <c r="F61" s="20" t="s">
        <v>515</v>
      </c>
      <c r="G61" s="8" t="str">
        <f t="shared" si="0"/>
        <v>MACDONALD THOMAS</v>
      </c>
      <c r="H61" s="20" t="str">
        <f t="shared" si="1"/>
        <v>4002</v>
      </c>
    </row>
    <row r="62" spans="1:8" x14ac:dyDescent="0.25">
      <c r="A62" s="8">
        <v>43023.339745370373</v>
      </c>
      <c r="B62" s="20" t="s">
        <v>512</v>
      </c>
      <c r="C62" s="20" t="s">
        <v>659</v>
      </c>
      <c r="D62" s="138">
        <v>1100000</v>
      </c>
      <c r="E62" s="20" t="s">
        <v>434</v>
      </c>
      <c r="F62" s="20" t="s">
        <v>435</v>
      </c>
      <c r="G62" s="8" t="str">
        <f t="shared" si="0"/>
        <v>GEBRETEKLE DAGNEW</v>
      </c>
      <c r="H62" s="20" t="str">
        <f t="shared" si="1"/>
        <v>4058</v>
      </c>
    </row>
    <row r="63" spans="1:8" x14ac:dyDescent="0.25">
      <c r="A63" s="8">
        <v>43023.350104166668</v>
      </c>
      <c r="B63" s="20" t="s">
        <v>630</v>
      </c>
      <c r="C63" s="20" t="s">
        <v>660</v>
      </c>
      <c r="D63" s="138">
        <v>3090000</v>
      </c>
      <c r="E63" s="20" t="s">
        <v>632</v>
      </c>
      <c r="F63" s="20" t="s">
        <v>633</v>
      </c>
      <c r="G63" s="8" t="str">
        <f t="shared" si="0"/>
        <v>LAMAR NEKESHA</v>
      </c>
      <c r="H63" s="20" t="str">
        <f t="shared" si="1"/>
        <v>4015</v>
      </c>
    </row>
    <row r="64" spans="1:8" x14ac:dyDescent="0.25">
      <c r="A64" s="26">
        <v>43023.350428240738</v>
      </c>
      <c r="B64" s="20" t="s">
        <v>451</v>
      </c>
      <c r="C64" s="20" t="s">
        <v>661</v>
      </c>
      <c r="D64" s="138">
        <v>2560000</v>
      </c>
      <c r="E64" s="20" t="s">
        <v>628</v>
      </c>
      <c r="F64" s="20" t="s">
        <v>515</v>
      </c>
      <c r="G64" s="8" t="str">
        <f t="shared" si="0"/>
        <v>MACDONALD THOMAS</v>
      </c>
      <c r="H64" s="20" t="str">
        <f t="shared" si="1"/>
        <v>4001</v>
      </c>
    </row>
    <row r="65" spans="1:8" x14ac:dyDescent="0.25">
      <c r="A65" s="8">
        <v>43023.352696759262</v>
      </c>
      <c r="B65" s="20" t="s">
        <v>455</v>
      </c>
      <c r="C65" s="20" t="s">
        <v>662</v>
      </c>
      <c r="D65" s="138">
        <v>3120000</v>
      </c>
      <c r="E65" s="20" t="s">
        <v>605</v>
      </c>
      <c r="F65" s="20" t="s">
        <v>606</v>
      </c>
      <c r="G65" s="8" t="str">
        <f t="shared" si="0"/>
        <v>THOMPSON LESTER</v>
      </c>
      <c r="H65" s="20" t="str">
        <f t="shared" si="1"/>
        <v>4032</v>
      </c>
    </row>
    <row r="66" spans="1:8" x14ac:dyDescent="0.25">
      <c r="A66" s="8">
        <v>43023.356759259259</v>
      </c>
      <c r="B66" s="20" t="s">
        <v>494</v>
      </c>
      <c r="C66" s="20" t="s">
        <v>572</v>
      </c>
      <c r="D66" s="138">
        <v>1990000</v>
      </c>
      <c r="E66" s="20" t="s">
        <v>341</v>
      </c>
      <c r="F66" s="20" t="s">
        <v>457</v>
      </c>
      <c r="G66" s="8" t="str">
        <f t="shared" si="0"/>
        <v>DAVIS WENDY</v>
      </c>
      <c r="H66" s="20" t="str">
        <f t="shared" si="1"/>
        <v>4041</v>
      </c>
    </row>
    <row r="67" spans="1:8" x14ac:dyDescent="0.25">
      <c r="A67" s="8">
        <v>43023.360821759263</v>
      </c>
      <c r="B67" s="20" t="s">
        <v>509</v>
      </c>
      <c r="C67" s="20" t="s">
        <v>663</v>
      </c>
      <c r="D67" s="138">
        <v>3040000</v>
      </c>
      <c r="E67" s="20" t="s">
        <v>505</v>
      </c>
      <c r="F67" s="20" t="s">
        <v>506</v>
      </c>
      <c r="G67" s="8" t="str">
        <f t="shared" ref="G67:G130" si="2">E67&amp;" "&amp;F67</f>
        <v>WILLIAMS DONTE</v>
      </c>
      <c r="H67" s="20" t="str">
        <f t="shared" ref="H67:H130" si="3">MID(B67,13,4)</f>
        <v>4004</v>
      </c>
    </row>
    <row r="68" spans="1:8" x14ac:dyDescent="0.25">
      <c r="A68" s="8">
        <v>43023.369699074072</v>
      </c>
      <c r="B68" s="20" t="s">
        <v>496</v>
      </c>
      <c r="C68" s="20" t="s">
        <v>664</v>
      </c>
      <c r="D68" s="138">
        <v>1100000</v>
      </c>
      <c r="E68" s="20" t="s">
        <v>434</v>
      </c>
      <c r="F68" s="20" t="s">
        <v>435</v>
      </c>
      <c r="G68" s="8" t="str">
        <f t="shared" si="2"/>
        <v>GEBRETEKLE DAGNEW</v>
      </c>
      <c r="H68" s="20" t="str">
        <f t="shared" si="3"/>
        <v>4057</v>
      </c>
    </row>
    <row r="69" spans="1:8" x14ac:dyDescent="0.25">
      <c r="A69" s="8">
        <v>43023.37059027778</v>
      </c>
      <c r="B69" s="20" t="s">
        <v>417</v>
      </c>
      <c r="C69" s="20" t="s">
        <v>665</v>
      </c>
      <c r="D69" s="138">
        <v>2010000</v>
      </c>
      <c r="E69" s="20" t="s">
        <v>502</v>
      </c>
      <c r="F69" s="20" t="s">
        <v>503</v>
      </c>
      <c r="G69" s="8" t="str">
        <f t="shared" si="2"/>
        <v>MAELZER KURT</v>
      </c>
      <c r="H69" s="20" t="str">
        <f t="shared" si="3"/>
        <v>4036</v>
      </c>
    </row>
    <row r="70" spans="1:8" x14ac:dyDescent="0.25">
      <c r="A70" s="8">
        <v>43023.371203703704</v>
      </c>
      <c r="B70" s="20" t="s">
        <v>452</v>
      </c>
      <c r="C70" s="20" t="s">
        <v>666</v>
      </c>
      <c r="D70" s="138">
        <v>3180000</v>
      </c>
      <c r="E70" s="20" t="s">
        <v>655</v>
      </c>
      <c r="F70" s="20" t="s">
        <v>656</v>
      </c>
      <c r="G70" s="8" t="str">
        <f t="shared" si="2"/>
        <v>HUFFSMITH MONTY</v>
      </c>
      <c r="H70" s="20" t="str">
        <f t="shared" si="3"/>
        <v>4013</v>
      </c>
    </row>
    <row r="71" spans="1:8" x14ac:dyDescent="0.25">
      <c r="A71" s="8">
        <v>43023.380972222221</v>
      </c>
      <c r="B71" s="20" t="s">
        <v>458</v>
      </c>
      <c r="C71" s="20" t="s">
        <v>667</v>
      </c>
      <c r="D71" s="138">
        <v>2560000</v>
      </c>
      <c r="E71" s="20" t="s">
        <v>628</v>
      </c>
      <c r="F71" s="20" t="s">
        <v>515</v>
      </c>
      <c r="G71" s="8" t="str">
        <f t="shared" si="2"/>
        <v>MACDONALD THOMAS</v>
      </c>
      <c r="H71" s="20" t="str">
        <f t="shared" si="3"/>
        <v>4002</v>
      </c>
    </row>
    <row r="72" spans="1:8" x14ac:dyDescent="0.25">
      <c r="A72" s="8">
        <v>43023.383414351854</v>
      </c>
      <c r="B72" s="20" t="s">
        <v>566</v>
      </c>
      <c r="C72" s="20" t="s">
        <v>668</v>
      </c>
      <c r="D72" s="138">
        <v>3090000</v>
      </c>
      <c r="E72" s="20" t="s">
        <v>632</v>
      </c>
      <c r="F72" s="20" t="s">
        <v>633</v>
      </c>
      <c r="G72" s="8" t="str">
        <f t="shared" si="2"/>
        <v>LAMAR NEKESHA</v>
      </c>
      <c r="H72" s="20" t="str">
        <f t="shared" si="3"/>
        <v>4016</v>
      </c>
    </row>
    <row r="73" spans="1:8" x14ac:dyDescent="0.25">
      <c r="A73" s="8">
        <v>43023.391446759262</v>
      </c>
      <c r="B73" s="20" t="s">
        <v>456</v>
      </c>
      <c r="C73" s="20" t="s">
        <v>669</v>
      </c>
      <c r="D73" s="138">
        <v>3120000</v>
      </c>
      <c r="E73" s="20" t="s">
        <v>605</v>
      </c>
      <c r="F73" s="20" t="s">
        <v>606</v>
      </c>
      <c r="G73" s="8" t="str">
        <f t="shared" si="2"/>
        <v>THOMPSON LESTER</v>
      </c>
      <c r="H73" s="20" t="str">
        <f t="shared" si="3"/>
        <v>4031</v>
      </c>
    </row>
    <row r="74" spans="1:8" x14ac:dyDescent="0.25">
      <c r="A74" s="8">
        <v>43023.392407407409</v>
      </c>
      <c r="B74" s="20" t="s">
        <v>495</v>
      </c>
      <c r="C74" s="20" t="s">
        <v>573</v>
      </c>
      <c r="D74" s="138">
        <v>1990000</v>
      </c>
      <c r="E74" s="20" t="s">
        <v>341</v>
      </c>
      <c r="F74" s="20" t="s">
        <v>457</v>
      </c>
      <c r="G74" s="8" t="str">
        <f t="shared" si="2"/>
        <v>DAVIS WENDY</v>
      </c>
      <c r="H74" s="20" t="str">
        <f t="shared" si="3"/>
        <v>4042</v>
      </c>
    </row>
    <row r="75" spans="1:8" x14ac:dyDescent="0.25">
      <c r="A75" s="8">
        <v>43023.393148148149</v>
      </c>
      <c r="B75" s="20" t="s">
        <v>451</v>
      </c>
      <c r="C75" s="20" t="s">
        <v>670</v>
      </c>
      <c r="D75" s="138">
        <v>2560000</v>
      </c>
      <c r="E75" s="20" t="s">
        <v>628</v>
      </c>
      <c r="F75" s="20" t="s">
        <v>515</v>
      </c>
      <c r="G75" s="8" t="str">
        <f t="shared" si="2"/>
        <v>MACDONALD THOMAS</v>
      </c>
      <c r="H75" s="20" t="str">
        <f t="shared" si="3"/>
        <v>4001</v>
      </c>
    </row>
    <row r="76" spans="1:8" x14ac:dyDescent="0.25">
      <c r="A76" s="8">
        <v>43023.394571759258</v>
      </c>
      <c r="B76" s="20" t="s">
        <v>451</v>
      </c>
      <c r="C76" s="20" t="s">
        <v>670</v>
      </c>
      <c r="D76" s="138">
        <v>2560000</v>
      </c>
      <c r="E76" s="20" t="s">
        <v>628</v>
      </c>
      <c r="F76" s="20" t="s">
        <v>515</v>
      </c>
      <c r="G76" s="8" t="str">
        <f t="shared" si="2"/>
        <v>MACDONALD THOMAS</v>
      </c>
      <c r="H76" s="20" t="str">
        <f t="shared" si="3"/>
        <v>4001</v>
      </c>
    </row>
    <row r="77" spans="1:8" x14ac:dyDescent="0.25">
      <c r="A77" s="8">
        <v>43023.398969907408</v>
      </c>
      <c r="B77" s="20" t="s">
        <v>404</v>
      </c>
      <c r="C77" s="20" t="s">
        <v>671</v>
      </c>
      <c r="D77" s="138">
        <v>2540000</v>
      </c>
      <c r="E77" s="20" t="s">
        <v>406</v>
      </c>
      <c r="F77" s="20" t="s">
        <v>407</v>
      </c>
      <c r="G77" s="8" t="str">
        <f t="shared" si="2"/>
        <v>MCREYNOLDS KYLE</v>
      </c>
      <c r="H77" s="20" t="str">
        <f t="shared" si="3"/>
        <v>4065</v>
      </c>
    </row>
    <row r="78" spans="1:8" x14ac:dyDescent="0.25">
      <c r="A78" s="8">
        <v>43023.399571759262</v>
      </c>
      <c r="B78" s="20" t="s">
        <v>498</v>
      </c>
      <c r="C78" s="20" t="s">
        <v>672</v>
      </c>
      <c r="D78" s="138">
        <v>3040000</v>
      </c>
      <c r="E78" s="20" t="s">
        <v>505</v>
      </c>
      <c r="F78" s="20" t="s">
        <v>506</v>
      </c>
      <c r="G78" s="8" t="str">
        <f t="shared" si="2"/>
        <v>WILLIAMS DONTE</v>
      </c>
      <c r="H78" s="20" t="str">
        <f t="shared" si="3"/>
        <v>4003</v>
      </c>
    </row>
    <row r="79" spans="1:8" x14ac:dyDescent="0.25">
      <c r="A79" s="8">
        <v>43023.402291666665</v>
      </c>
      <c r="B79" s="20" t="s">
        <v>454</v>
      </c>
      <c r="C79" s="20" t="s">
        <v>673</v>
      </c>
      <c r="D79" s="138">
        <v>2530000</v>
      </c>
      <c r="E79" s="20" t="s">
        <v>614</v>
      </c>
      <c r="F79" s="20" t="s">
        <v>615</v>
      </c>
      <c r="G79" s="8" t="str">
        <f t="shared" si="2"/>
        <v>LALONDE GREGORY</v>
      </c>
      <c r="H79" s="20" t="str">
        <f t="shared" si="3"/>
        <v>4014</v>
      </c>
    </row>
    <row r="80" spans="1:8" x14ac:dyDescent="0.25">
      <c r="A80" s="8">
        <v>43023.406018518515</v>
      </c>
      <c r="B80" s="20" t="s">
        <v>431</v>
      </c>
      <c r="C80" s="20" t="s">
        <v>674</v>
      </c>
      <c r="D80" s="138">
        <v>2010000</v>
      </c>
      <c r="E80" s="20" t="s">
        <v>502</v>
      </c>
      <c r="F80" s="20" t="s">
        <v>503</v>
      </c>
      <c r="G80" s="8" t="str">
        <f t="shared" si="2"/>
        <v>MAELZER KURT</v>
      </c>
      <c r="H80" s="20" t="str">
        <f t="shared" si="3"/>
        <v>4035</v>
      </c>
    </row>
    <row r="81" spans="1:8" x14ac:dyDescent="0.25">
      <c r="A81" s="8">
        <v>43023.412997685184</v>
      </c>
      <c r="B81" s="20" t="s">
        <v>512</v>
      </c>
      <c r="C81" s="20" t="s">
        <v>675</v>
      </c>
      <c r="D81" s="138">
        <v>1100000</v>
      </c>
      <c r="E81" s="20" t="s">
        <v>434</v>
      </c>
      <c r="F81" s="20" t="s">
        <v>435</v>
      </c>
      <c r="G81" s="8" t="str">
        <f t="shared" si="2"/>
        <v>GEBRETEKLE DAGNEW</v>
      </c>
      <c r="H81" s="20" t="str">
        <f t="shared" si="3"/>
        <v>4058</v>
      </c>
    </row>
    <row r="82" spans="1:8" x14ac:dyDescent="0.25">
      <c r="A82" s="8">
        <v>43023.415798611109</v>
      </c>
      <c r="B82" s="20" t="s">
        <v>403</v>
      </c>
      <c r="C82" s="20" t="s">
        <v>608</v>
      </c>
      <c r="D82" s="138">
        <v>2440000</v>
      </c>
      <c r="E82" s="20" t="s">
        <v>463</v>
      </c>
      <c r="F82" s="20" t="s">
        <v>464</v>
      </c>
      <c r="G82" s="8" t="str">
        <f t="shared" si="2"/>
        <v>LOPES KIMBERLY</v>
      </c>
      <c r="H82" s="20" t="str">
        <f t="shared" si="3"/>
        <v>4066</v>
      </c>
    </row>
    <row r="83" spans="1:8" x14ac:dyDescent="0.25">
      <c r="A83" s="8">
        <v>43023.416388888887</v>
      </c>
      <c r="B83" s="20" t="s">
        <v>403</v>
      </c>
      <c r="C83" s="20" t="s">
        <v>608</v>
      </c>
      <c r="D83" s="138">
        <v>2440000</v>
      </c>
      <c r="E83" s="20" t="s">
        <v>463</v>
      </c>
      <c r="F83" s="20" t="s">
        <v>464</v>
      </c>
      <c r="G83" s="8" t="str">
        <f t="shared" si="2"/>
        <v>LOPES KIMBERLY</v>
      </c>
      <c r="H83" s="20" t="str">
        <f t="shared" si="3"/>
        <v>4066</v>
      </c>
    </row>
    <row r="84" spans="1:8" x14ac:dyDescent="0.25">
      <c r="A84" s="8">
        <v>43023.417280092595</v>
      </c>
      <c r="B84" s="20" t="s">
        <v>403</v>
      </c>
      <c r="C84" s="20" t="s">
        <v>608</v>
      </c>
      <c r="D84" s="138">
        <v>2440000</v>
      </c>
      <c r="E84" s="20" t="s">
        <v>463</v>
      </c>
      <c r="F84" s="20" t="s">
        <v>464</v>
      </c>
      <c r="G84" s="8" t="str">
        <f t="shared" si="2"/>
        <v>LOPES KIMBERLY</v>
      </c>
      <c r="H84" s="20" t="str">
        <f t="shared" si="3"/>
        <v>4066</v>
      </c>
    </row>
    <row r="85" spans="1:8" x14ac:dyDescent="0.25">
      <c r="A85" s="8">
        <v>43023.422256944446</v>
      </c>
      <c r="B85" s="20" t="s">
        <v>458</v>
      </c>
      <c r="C85" s="20" t="s">
        <v>676</v>
      </c>
      <c r="D85" s="138">
        <v>2560000</v>
      </c>
      <c r="E85" s="20" t="s">
        <v>628</v>
      </c>
      <c r="F85" s="20" t="s">
        <v>515</v>
      </c>
      <c r="G85" s="8" t="str">
        <f t="shared" si="2"/>
        <v>MACDONALD THOMAS</v>
      </c>
      <c r="H85" s="20" t="str">
        <f t="shared" si="3"/>
        <v>4002</v>
      </c>
    </row>
    <row r="86" spans="1:8" x14ac:dyDescent="0.25">
      <c r="A86" s="8">
        <v>43023.422939814816</v>
      </c>
      <c r="B86" s="20" t="s">
        <v>455</v>
      </c>
      <c r="C86" s="20" t="s">
        <v>677</v>
      </c>
      <c r="D86" s="138">
        <v>2550000</v>
      </c>
      <c r="E86" s="20" t="s">
        <v>513</v>
      </c>
      <c r="F86" s="20" t="s">
        <v>514</v>
      </c>
      <c r="G86" s="8" t="str">
        <f t="shared" si="2"/>
        <v>BADERTSCHER DIANE</v>
      </c>
      <c r="H86" s="20" t="str">
        <f t="shared" si="3"/>
        <v>4032</v>
      </c>
    </row>
    <row r="87" spans="1:8" x14ac:dyDescent="0.25">
      <c r="A87" s="8">
        <v>43023.423935185187</v>
      </c>
      <c r="B87" s="20" t="s">
        <v>394</v>
      </c>
      <c r="C87" s="20" t="s">
        <v>678</v>
      </c>
      <c r="D87" s="138">
        <v>3220000</v>
      </c>
      <c r="E87" s="20" t="s">
        <v>679</v>
      </c>
      <c r="F87" s="20" t="s">
        <v>680</v>
      </c>
      <c r="G87" s="8" t="str">
        <f t="shared" si="2"/>
        <v>RESPASS AARON</v>
      </c>
      <c r="H87" s="20" t="str">
        <f t="shared" si="3"/>
        <v>4055</v>
      </c>
    </row>
    <row r="88" spans="1:8" x14ac:dyDescent="0.25">
      <c r="A88" s="8">
        <v>43023.424155092594</v>
      </c>
      <c r="B88" s="20" t="s">
        <v>630</v>
      </c>
      <c r="C88" s="20" t="s">
        <v>681</v>
      </c>
      <c r="D88" s="138">
        <v>3090000</v>
      </c>
      <c r="E88" s="20" t="s">
        <v>632</v>
      </c>
      <c r="F88" s="20" t="s">
        <v>633</v>
      </c>
      <c r="G88" s="8" t="str">
        <f t="shared" si="2"/>
        <v>LAMAR NEKESHA</v>
      </c>
      <c r="H88" s="20" t="str">
        <f t="shared" si="3"/>
        <v>4015</v>
      </c>
    </row>
    <row r="89" spans="1:8" x14ac:dyDescent="0.25">
      <c r="A89" s="8">
        <v>43023.430162037039</v>
      </c>
      <c r="B89" s="20" t="s">
        <v>494</v>
      </c>
      <c r="C89" s="20" t="s">
        <v>682</v>
      </c>
      <c r="D89" s="138">
        <v>1990000</v>
      </c>
      <c r="E89" s="20" t="s">
        <v>341</v>
      </c>
      <c r="F89" s="20" t="s">
        <v>457</v>
      </c>
      <c r="G89" s="8" t="str">
        <f t="shared" si="2"/>
        <v>DAVIS WENDY</v>
      </c>
      <c r="H89" s="20" t="str">
        <f t="shared" si="3"/>
        <v>4041</v>
      </c>
    </row>
    <row r="90" spans="1:8" x14ac:dyDescent="0.25">
      <c r="A90" s="8">
        <v>43023.433032407411</v>
      </c>
      <c r="B90" s="20" t="s">
        <v>452</v>
      </c>
      <c r="C90" s="20" t="s">
        <v>683</v>
      </c>
      <c r="D90" s="138">
        <v>2530000</v>
      </c>
      <c r="E90" s="20" t="s">
        <v>614</v>
      </c>
      <c r="F90" s="20" t="s">
        <v>615</v>
      </c>
      <c r="G90" s="8" t="str">
        <f t="shared" si="2"/>
        <v>LALONDE GREGORY</v>
      </c>
      <c r="H90" s="20" t="str">
        <f t="shared" si="3"/>
        <v>4013</v>
      </c>
    </row>
    <row r="91" spans="1:8" x14ac:dyDescent="0.25">
      <c r="A91" s="8">
        <v>43023.434189814812</v>
      </c>
      <c r="B91" s="20" t="s">
        <v>509</v>
      </c>
      <c r="C91" s="20" t="s">
        <v>684</v>
      </c>
      <c r="D91" s="138">
        <v>3040000</v>
      </c>
      <c r="E91" s="20" t="s">
        <v>505</v>
      </c>
      <c r="F91" s="20" t="s">
        <v>506</v>
      </c>
      <c r="G91" s="8" t="str">
        <f t="shared" si="2"/>
        <v>WILLIAMS DONTE</v>
      </c>
      <c r="H91" s="20" t="str">
        <f t="shared" si="3"/>
        <v>4004</v>
      </c>
    </row>
    <row r="92" spans="1:8" x14ac:dyDescent="0.25">
      <c r="A92" s="8">
        <v>43023.43582175926</v>
      </c>
      <c r="B92" s="20" t="s">
        <v>451</v>
      </c>
      <c r="C92" s="20" t="s">
        <v>574</v>
      </c>
      <c r="D92" s="138">
        <v>2560000</v>
      </c>
      <c r="E92" s="20" t="s">
        <v>628</v>
      </c>
      <c r="F92" s="20" t="s">
        <v>515</v>
      </c>
      <c r="G92" s="8" t="str">
        <f t="shared" si="2"/>
        <v>MACDONALD THOMAS</v>
      </c>
      <c r="H92" s="20" t="str">
        <f t="shared" si="3"/>
        <v>4001</v>
      </c>
    </row>
    <row r="93" spans="1:8" x14ac:dyDescent="0.25">
      <c r="A93" s="8">
        <v>43023.443425925929</v>
      </c>
      <c r="B93" s="20" t="s">
        <v>496</v>
      </c>
      <c r="C93" s="20" t="s">
        <v>685</v>
      </c>
      <c r="D93" s="138">
        <v>1100000</v>
      </c>
      <c r="E93" s="20" t="s">
        <v>434</v>
      </c>
      <c r="F93" s="20" t="s">
        <v>435</v>
      </c>
      <c r="G93" s="8" t="str">
        <f t="shared" si="2"/>
        <v>GEBRETEKLE DAGNEW</v>
      </c>
      <c r="H93" s="20" t="str">
        <f t="shared" si="3"/>
        <v>4057</v>
      </c>
    </row>
    <row r="94" spans="1:8" x14ac:dyDescent="0.25">
      <c r="A94" s="8">
        <v>43023.444062499999</v>
      </c>
      <c r="B94" s="20" t="s">
        <v>417</v>
      </c>
      <c r="C94" s="20" t="s">
        <v>575</v>
      </c>
      <c r="D94" s="138">
        <v>880000</v>
      </c>
      <c r="E94" s="20" t="s">
        <v>425</v>
      </c>
      <c r="F94" s="20" t="s">
        <v>395</v>
      </c>
      <c r="G94" s="8" t="str">
        <f t="shared" si="2"/>
        <v>STEWART MICHAEL</v>
      </c>
      <c r="H94" s="20" t="str">
        <f t="shared" si="3"/>
        <v>4036</v>
      </c>
    </row>
    <row r="95" spans="1:8" x14ac:dyDescent="0.25">
      <c r="A95" s="8">
        <v>43023.452407407407</v>
      </c>
      <c r="B95" s="20" t="s">
        <v>404</v>
      </c>
      <c r="C95" s="20" t="s">
        <v>686</v>
      </c>
      <c r="D95" s="138">
        <v>2630000</v>
      </c>
      <c r="E95" s="20" t="s">
        <v>687</v>
      </c>
      <c r="F95" s="20" t="s">
        <v>688</v>
      </c>
      <c r="G95" s="8" t="str">
        <f t="shared" si="2"/>
        <v>SAFIEF AEIMEN</v>
      </c>
      <c r="H95" s="20" t="str">
        <f t="shared" si="3"/>
        <v>4065</v>
      </c>
    </row>
    <row r="96" spans="1:8" x14ac:dyDescent="0.25">
      <c r="A96" s="8">
        <v>43023.453020833331</v>
      </c>
      <c r="B96" s="20" t="s">
        <v>689</v>
      </c>
      <c r="C96" s="20" t="s">
        <v>690</v>
      </c>
      <c r="D96" s="138">
        <v>2470000</v>
      </c>
      <c r="E96" s="20" t="s">
        <v>691</v>
      </c>
      <c r="F96" s="20" t="s">
        <v>692</v>
      </c>
      <c r="G96" s="8" t="str">
        <f t="shared" si="2"/>
        <v>ROMERO CHAD</v>
      </c>
      <c r="H96" s="20" t="str">
        <f t="shared" si="3"/>
        <v>4056</v>
      </c>
    </row>
    <row r="97" spans="1:8" x14ac:dyDescent="0.25">
      <c r="A97" s="8">
        <v>43023.453981481478</v>
      </c>
      <c r="B97" s="20" t="s">
        <v>566</v>
      </c>
      <c r="C97" s="20" t="s">
        <v>693</v>
      </c>
      <c r="D97" s="138">
        <v>3090000</v>
      </c>
      <c r="E97" s="20" t="s">
        <v>632</v>
      </c>
      <c r="F97" s="20" t="s">
        <v>633</v>
      </c>
      <c r="G97" s="8" t="str">
        <f t="shared" si="2"/>
        <v>LAMAR NEKESHA</v>
      </c>
      <c r="H97" s="20" t="str">
        <f t="shared" si="3"/>
        <v>4016</v>
      </c>
    </row>
    <row r="98" spans="1:8" x14ac:dyDescent="0.25">
      <c r="A98" s="8">
        <v>43023.461875000001</v>
      </c>
      <c r="B98" s="20" t="s">
        <v>694</v>
      </c>
      <c r="C98" s="20" t="s">
        <v>695</v>
      </c>
      <c r="D98" s="138">
        <v>2970000</v>
      </c>
      <c r="E98" s="20" t="s">
        <v>696</v>
      </c>
      <c r="F98" s="20" t="s">
        <v>697</v>
      </c>
      <c r="G98" s="8" t="str">
        <f t="shared" si="2"/>
        <v>GUZMAN DANNY</v>
      </c>
      <c r="H98" s="20" t="str">
        <f t="shared" si="3"/>
        <v>4043</v>
      </c>
    </row>
    <row r="99" spans="1:8" x14ac:dyDescent="0.25">
      <c r="A99" s="8">
        <v>43023.462118055555</v>
      </c>
      <c r="B99" s="20" t="s">
        <v>456</v>
      </c>
      <c r="C99" s="20" t="s">
        <v>698</v>
      </c>
      <c r="D99" s="138">
        <v>2550000</v>
      </c>
      <c r="E99" s="20" t="s">
        <v>513</v>
      </c>
      <c r="F99" s="20" t="s">
        <v>514</v>
      </c>
      <c r="G99" s="8" t="str">
        <f t="shared" si="2"/>
        <v>BADERTSCHER DIANE</v>
      </c>
      <c r="H99" s="20" t="str">
        <f t="shared" si="3"/>
        <v>4031</v>
      </c>
    </row>
    <row r="100" spans="1:8" x14ac:dyDescent="0.25">
      <c r="A100" s="8">
        <v>43023.463923611111</v>
      </c>
      <c r="B100" s="20" t="s">
        <v>458</v>
      </c>
      <c r="C100" s="20" t="s">
        <v>699</v>
      </c>
      <c r="D100" s="138">
        <v>2560000</v>
      </c>
      <c r="E100" s="20" t="s">
        <v>628</v>
      </c>
      <c r="F100" s="20" t="s">
        <v>515</v>
      </c>
      <c r="G100" s="8" t="str">
        <f t="shared" si="2"/>
        <v>MACDONALD THOMAS</v>
      </c>
      <c r="H100" s="20" t="str">
        <f t="shared" si="3"/>
        <v>4002</v>
      </c>
    </row>
    <row r="101" spans="1:8" x14ac:dyDescent="0.25">
      <c r="A101" s="8">
        <v>43023.466932870368</v>
      </c>
      <c r="B101" s="20" t="s">
        <v>495</v>
      </c>
      <c r="C101" s="20" t="s">
        <v>700</v>
      </c>
      <c r="D101" s="138">
        <v>920000</v>
      </c>
      <c r="E101" s="20" t="s">
        <v>341</v>
      </c>
      <c r="F101" s="20" t="s">
        <v>395</v>
      </c>
      <c r="G101" s="8" t="str">
        <f t="shared" si="2"/>
        <v>DAVIS MICHAEL</v>
      </c>
      <c r="H101" s="20" t="str">
        <f t="shared" si="3"/>
        <v>4042</v>
      </c>
    </row>
    <row r="102" spans="1:8" x14ac:dyDescent="0.25">
      <c r="A102" s="8">
        <v>43023.472824074073</v>
      </c>
      <c r="B102" s="20" t="s">
        <v>498</v>
      </c>
      <c r="C102" s="20" t="s">
        <v>701</v>
      </c>
      <c r="D102" s="138">
        <v>3040000</v>
      </c>
      <c r="E102" s="20" t="s">
        <v>505</v>
      </c>
      <c r="F102" s="20" t="s">
        <v>506</v>
      </c>
      <c r="G102" s="8" t="str">
        <f t="shared" si="2"/>
        <v>WILLIAMS DONTE</v>
      </c>
      <c r="H102" s="20" t="str">
        <f t="shared" si="3"/>
        <v>4003</v>
      </c>
    </row>
    <row r="103" spans="1:8" x14ac:dyDescent="0.25">
      <c r="A103" s="8">
        <v>43023.473645833335</v>
      </c>
      <c r="B103" s="20" t="s">
        <v>403</v>
      </c>
      <c r="C103" s="20" t="s">
        <v>702</v>
      </c>
      <c r="D103" s="138">
        <v>2270000</v>
      </c>
      <c r="E103" s="20" t="s">
        <v>703</v>
      </c>
      <c r="F103" s="20" t="s">
        <v>704</v>
      </c>
      <c r="G103" s="8" t="str">
        <f t="shared" si="2"/>
        <v>BROWN JACOB</v>
      </c>
      <c r="H103" s="20" t="str">
        <f t="shared" si="3"/>
        <v>4066</v>
      </c>
    </row>
    <row r="104" spans="1:8" x14ac:dyDescent="0.25">
      <c r="A104" s="8">
        <v>43023.476307870369</v>
      </c>
      <c r="B104" s="20" t="s">
        <v>451</v>
      </c>
      <c r="C104" s="20" t="s">
        <v>705</v>
      </c>
      <c r="D104" s="138">
        <v>2560000</v>
      </c>
      <c r="E104" s="20" t="s">
        <v>628</v>
      </c>
      <c r="F104" s="20" t="s">
        <v>515</v>
      </c>
      <c r="G104" s="8" t="str">
        <f t="shared" si="2"/>
        <v>MACDONALD THOMAS</v>
      </c>
      <c r="H104" s="20" t="str">
        <f t="shared" si="3"/>
        <v>4001</v>
      </c>
    </row>
    <row r="105" spans="1:8" x14ac:dyDescent="0.25">
      <c r="A105" s="8">
        <v>43023.476898148147</v>
      </c>
      <c r="B105" s="20" t="s">
        <v>454</v>
      </c>
      <c r="C105" s="20" t="s">
        <v>706</v>
      </c>
      <c r="D105" s="138">
        <v>2630000</v>
      </c>
      <c r="E105" s="20" t="s">
        <v>687</v>
      </c>
      <c r="F105" s="20" t="s">
        <v>688</v>
      </c>
      <c r="G105" s="8" t="str">
        <f t="shared" si="2"/>
        <v>SAFIEF AEIMEN</v>
      </c>
      <c r="H105" s="20" t="str">
        <f t="shared" si="3"/>
        <v>4014</v>
      </c>
    </row>
    <row r="106" spans="1:8" x14ac:dyDescent="0.25">
      <c r="A106" s="8">
        <v>43023.483472222222</v>
      </c>
      <c r="B106" s="20" t="s">
        <v>431</v>
      </c>
      <c r="C106" s="20" t="s">
        <v>707</v>
      </c>
      <c r="D106" s="138">
        <v>880000</v>
      </c>
      <c r="E106" s="20" t="s">
        <v>425</v>
      </c>
      <c r="F106" s="20" t="s">
        <v>395</v>
      </c>
      <c r="G106" s="8" t="str">
        <f t="shared" si="2"/>
        <v>STEWART MICHAEL</v>
      </c>
      <c r="H106" s="20" t="str">
        <f t="shared" si="3"/>
        <v>4035</v>
      </c>
    </row>
    <row r="107" spans="1:8" x14ac:dyDescent="0.25">
      <c r="A107" s="8">
        <v>43023.485150462962</v>
      </c>
      <c r="B107" s="20" t="s">
        <v>512</v>
      </c>
      <c r="C107" s="20" t="s">
        <v>708</v>
      </c>
      <c r="D107" s="138">
        <v>2970000</v>
      </c>
      <c r="E107" s="20" t="s">
        <v>696</v>
      </c>
      <c r="F107" s="20" t="s">
        <v>697</v>
      </c>
      <c r="G107" s="8" t="str">
        <f t="shared" si="2"/>
        <v>GUZMAN DANNY</v>
      </c>
      <c r="H107" s="20" t="str">
        <f t="shared" si="3"/>
        <v>4058</v>
      </c>
    </row>
    <row r="108" spans="1:8" x14ac:dyDescent="0.25">
      <c r="A108" s="8">
        <v>43023.490023148152</v>
      </c>
      <c r="B108" s="20" t="s">
        <v>709</v>
      </c>
      <c r="C108" s="20" t="s">
        <v>625</v>
      </c>
      <c r="D108" s="138">
        <v>1100000</v>
      </c>
      <c r="E108" s="20" t="s">
        <v>434</v>
      </c>
      <c r="F108" s="20" t="s">
        <v>435</v>
      </c>
      <c r="G108" s="8" t="str">
        <f t="shared" si="2"/>
        <v>GEBRETEKLE DAGNEW</v>
      </c>
      <c r="H108" s="20" t="str">
        <f t="shared" si="3"/>
        <v>4044</v>
      </c>
    </row>
    <row r="109" spans="1:8" x14ac:dyDescent="0.25">
      <c r="A109" s="8">
        <v>43023.496249999997</v>
      </c>
      <c r="B109" s="20" t="s">
        <v>630</v>
      </c>
      <c r="C109" s="20" t="s">
        <v>710</v>
      </c>
      <c r="D109" s="138">
        <v>3090000</v>
      </c>
      <c r="E109" s="20" t="s">
        <v>632</v>
      </c>
      <c r="F109" s="20" t="s">
        <v>633</v>
      </c>
      <c r="G109" s="8" t="str">
        <f t="shared" si="2"/>
        <v>LAMAR NEKESHA</v>
      </c>
      <c r="H109" s="20" t="str">
        <f t="shared" si="3"/>
        <v>4015</v>
      </c>
    </row>
    <row r="110" spans="1:8" x14ac:dyDescent="0.25">
      <c r="A110" s="8">
        <v>43023.496562499997</v>
      </c>
      <c r="B110" s="20" t="s">
        <v>455</v>
      </c>
      <c r="C110" s="20" t="s">
        <v>711</v>
      </c>
      <c r="D110" s="138">
        <v>2550000</v>
      </c>
      <c r="E110" s="20" t="s">
        <v>513</v>
      </c>
      <c r="F110" s="20" t="s">
        <v>514</v>
      </c>
      <c r="G110" s="8" t="str">
        <f t="shared" si="2"/>
        <v>BADERTSCHER DIANE</v>
      </c>
      <c r="H110" s="20" t="str">
        <f t="shared" si="3"/>
        <v>4032</v>
      </c>
    </row>
    <row r="111" spans="1:8" x14ac:dyDescent="0.25">
      <c r="A111" s="8">
        <v>43023.505196759259</v>
      </c>
      <c r="B111" s="20" t="s">
        <v>458</v>
      </c>
      <c r="C111" s="20" t="s">
        <v>712</v>
      </c>
      <c r="D111" s="138">
        <v>2560000</v>
      </c>
      <c r="E111" s="20" t="s">
        <v>628</v>
      </c>
      <c r="F111" s="20" t="s">
        <v>515</v>
      </c>
      <c r="G111" s="8" t="str">
        <f t="shared" si="2"/>
        <v>MACDONALD THOMAS</v>
      </c>
      <c r="H111" s="20" t="str">
        <f t="shared" si="3"/>
        <v>4002</v>
      </c>
    </row>
    <row r="112" spans="1:8" x14ac:dyDescent="0.25">
      <c r="A112" s="8">
        <v>43023.506840277776</v>
      </c>
      <c r="B112" s="20" t="s">
        <v>494</v>
      </c>
      <c r="C112" s="20" t="s">
        <v>713</v>
      </c>
      <c r="D112" s="138">
        <v>920000</v>
      </c>
      <c r="E112" s="20" t="s">
        <v>341</v>
      </c>
      <c r="F112" s="20" t="s">
        <v>395</v>
      </c>
      <c r="G112" s="8" t="str">
        <f t="shared" si="2"/>
        <v>DAVIS MICHAEL</v>
      </c>
      <c r="H112" s="20" t="str">
        <f t="shared" si="3"/>
        <v>4041</v>
      </c>
    </row>
    <row r="113" spans="1:8" x14ac:dyDescent="0.25">
      <c r="A113" s="8">
        <v>43023.507488425923</v>
      </c>
      <c r="B113" s="20" t="s">
        <v>509</v>
      </c>
      <c r="C113" s="20" t="s">
        <v>714</v>
      </c>
      <c r="D113" s="138">
        <v>3330000</v>
      </c>
      <c r="E113" s="20" t="s">
        <v>510</v>
      </c>
      <c r="F113" s="20" t="s">
        <v>511</v>
      </c>
      <c r="G113" s="8" t="str">
        <f t="shared" si="2"/>
        <v>GONZALEZ ARMANDO</v>
      </c>
      <c r="H113" s="20" t="str">
        <f t="shared" si="3"/>
        <v>4004</v>
      </c>
    </row>
    <row r="114" spans="1:8" x14ac:dyDescent="0.25">
      <c r="A114" s="8">
        <v>43023.511469907404</v>
      </c>
      <c r="B114" s="20" t="s">
        <v>452</v>
      </c>
      <c r="C114" s="20" t="s">
        <v>715</v>
      </c>
      <c r="D114" s="138">
        <v>2630000</v>
      </c>
      <c r="E114" s="20" t="s">
        <v>687</v>
      </c>
      <c r="F114" s="20" t="s">
        <v>688</v>
      </c>
      <c r="G114" s="8" t="str">
        <f t="shared" si="2"/>
        <v>SAFIEF AEIMEN</v>
      </c>
      <c r="H114" s="20" t="str">
        <f t="shared" si="3"/>
        <v>4013</v>
      </c>
    </row>
    <row r="115" spans="1:8" x14ac:dyDescent="0.25">
      <c r="A115" s="8">
        <v>43023.516550925924</v>
      </c>
      <c r="B115" s="20" t="s">
        <v>496</v>
      </c>
      <c r="C115" s="20" t="s">
        <v>716</v>
      </c>
      <c r="D115" s="138">
        <v>2970000</v>
      </c>
      <c r="E115" s="20" t="s">
        <v>696</v>
      </c>
      <c r="F115" s="20" t="s">
        <v>697</v>
      </c>
      <c r="G115" s="8" t="str">
        <f t="shared" si="2"/>
        <v>GUZMAN DANNY</v>
      </c>
      <c r="H115" s="20" t="str">
        <f t="shared" si="3"/>
        <v>4057</v>
      </c>
    </row>
    <row r="116" spans="1:8" x14ac:dyDescent="0.25">
      <c r="A116" s="8">
        <v>43023.517627314817</v>
      </c>
      <c r="B116" s="20" t="s">
        <v>417</v>
      </c>
      <c r="C116" s="20" t="s">
        <v>717</v>
      </c>
      <c r="D116" s="138">
        <v>2600000</v>
      </c>
      <c r="E116" s="20" t="s">
        <v>718</v>
      </c>
      <c r="F116" s="20" t="s">
        <v>462</v>
      </c>
      <c r="G116" s="8" t="str">
        <f t="shared" si="2"/>
        <v>DAVIDSON DAVID</v>
      </c>
      <c r="H116" s="20" t="str">
        <f t="shared" si="3"/>
        <v>4036</v>
      </c>
    </row>
    <row r="117" spans="1:8" x14ac:dyDescent="0.25">
      <c r="A117" s="8">
        <v>43023.517974537041</v>
      </c>
      <c r="B117" s="20" t="s">
        <v>451</v>
      </c>
      <c r="C117" s="20" t="s">
        <v>719</v>
      </c>
      <c r="D117" s="138">
        <v>2560000</v>
      </c>
      <c r="E117" s="20" t="s">
        <v>628</v>
      </c>
      <c r="F117" s="20" t="s">
        <v>515</v>
      </c>
      <c r="G117" s="8" t="str">
        <f t="shared" si="2"/>
        <v>MACDONALD THOMAS</v>
      </c>
      <c r="H117" s="20" t="str">
        <f t="shared" si="3"/>
        <v>4001</v>
      </c>
    </row>
    <row r="118" spans="1:8" x14ac:dyDescent="0.25">
      <c r="A118" s="8">
        <v>43023.519189814811</v>
      </c>
      <c r="B118" s="20" t="s">
        <v>451</v>
      </c>
      <c r="C118" s="20" t="s">
        <v>719</v>
      </c>
      <c r="D118" s="138">
        <v>2560000</v>
      </c>
      <c r="E118" s="20" t="s">
        <v>628</v>
      </c>
      <c r="F118" s="20" t="s">
        <v>515</v>
      </c>
      <c r="G118" s="8" t="str">
        <f t="shared" si="2"/>
        <v>MACDONALD THOMAS</v>
      </c>
      <c r="H118" s="20" t="str">
        <f t="shared" si="3"/>
        <v>4001</v>
      </c>
    </row>
    <row r="119" spans="1:8" x14ac:dyDescent="0.25">
      <c r="A119" s="8">
        <v>43023.527407407404</v>
      </c>
      <c r="B119" s="20" t="s">
        <v>566</v>
      </c>
      <c r="C119" s="20" t="s">
        <v>720</v>
      </c>
      <c r="D119" s="138">
        <v>2230000</v>
      </c>
      <c r="E119" s="20" t="s">
        <v>721</v>
      </c>
      <c r="F119" s="20" t="s">
        <v>395</v>
      </c>
      <c r="G119" s="8" t="str">
        <f t="shared" si="2"/>
        <v>SMITH MICHAEL</v>
      </c>
      <c r="H119" s="20" t="str">
        <f t="shared" si="3"/>
        <v>4016</v>
      </c>
    </row>
    <row r="120" spans="1:8" x14ac:dyDescent="0.25">
      <c r="A120" s="8">
        <v>43023.533159722225</v>
      </c>
      <c r="B120" s="20" t="s">
        <v>456</v>
      </c>
      <c r="C120" s="20" t="s">
        <v>722</v>
      </c>
      <c r="D120" s="138">
        <v>2550000</v>
      </c>
      <c r="E120" s="20" t="s">
        <v>513</v>
      </c>
      <c r="F120" s="20" t="s">
        <v>514</v>
      </c>
      <c r="G120" s="8" t="str">
        <f t="shared" si="2"/>
        <v>BADERTSCHER DIANE</v>
      </c>
      <c r="H120" s="20" t="str">
        <f t="shared" si="3"/>
        <v>4031</v>
      </c>
    </row>
    <row r="121" spans="1:8" x14ac:dyDescent="0.25">
      <c r="A121" s="8">
        <v>43023.539363425924</v>
      </c>
      <c r="B121" s="20" t="s">
        <v>495</v>
      </c>
      <c r="C121" s="20" t="s">
        <v>723</v>
      </c>
      <c r="D121" s="138">
        <v>920000</v>
      </c>
      <c r="E121" s="20" t="s">
        <v>341</v>
      </c>
      <c r="F121" s="20" t="s">
        <v>395</v>
      </c>
      <c r="G121" s="8" t="str">
        <f t="shared" si="2"/>
        <v>DAVIS MICHAEL</v>
      </c>
      <c r="H121" s="20" t="str">
        <f t="shared" si="3"/>
        <v>4042</v>
      </c>
    </row>
    <row r="122" spans="1:8" x14ac:dyDescent="0.25">
      <c r="A122" s="8">
        <v>43023.545590277776</v>
      </c>
      <c r="B122" s="25" t="s">
        <v>498</v>
      </c>
      <c r="C122" s="20" t="s">
        <v>724</v>
      </c>
      <c r="D122" s="138">
        <v>3330000</v>
      </c>
      <c r="E122" s="20" t="s">
        <v>510</v>
      </c>
      <c r="F122" s="20" t="s">
        <v>511</v>
      </c>
      <c r="G122" s="8" t="str">
        <f t="shared" si="2"/>
        <v>GONZALEZ ARMANDO</v>
      </c>
      <c r="H122" s="20" t="str">
        <f t="shared" si="3"/>
        <v>4003</v>
      </c>
    </row>
    <row r="123" spans="1:8" x14ac:dyDescent="0.25">
      <c r="A123" s="8">
        <v>43023.546944444446</v>
      </c>
      <c r="B123" s="20" t="s">
        <v>458</v>
      </c>
      <c r="C123" s="20" t="s">
        <v>725</v>
      </c>
      <c r="D123" s="138">
        <v>2560000</v>
      </c>
      <c r="E123" s="20" t="s">
        <v>628</v>
      </c>
      <c r="F123" s="20" t="s">
        <v>515</v>
      </c>
      <c r="G123" s="8" t="str">
        <f t="shared" si="2"/>
        <v>MACDONALD THOMAS</v>
      </c>
      <c r="H123" s="20" t="str">
        <f t="shared" si="3"/>
        <v>4002</v>
      </c>
    </row>
    <row r="124" spans="1:8" x14ac:dyDescent="0.25">
      <c r="A124" s="8">
        <v>43023.549085648148</v>
      </c>
      <c r="B124" s="20" t="s">
        <v>431</v>
      </c>
      <c r="C124" s="20" t="s">
        <v>726</v>
      </c>
      <c r="D124" s="138">
        <v>2600000</v>
      </c>
      <c r="E124" s="20" t="s">
        <v>718</v>
      </c>
      <c r="F124" s="20" t="s">
        <v>462</v>
      </c>
      <c r="G124" s="8" t="str">
        <f t="shared" si="2"/>
        <v>DAVIDSON DAVID</v>
      </c>
      <c r="H124" s="20" t="str">
        <f t="shared" si="3"/>
        <v>4035</v>
      </c>
    </row>
    <row r="125" spans="1:8" x14ac:dyDescent="0.25">
      <c r="A125" s="8">
        <v>43023.549270833333</v>
      </c>
      <c r="B125" s="20" t="s">
        <v>454</v>
      </c>
      <c r="C125" s="20" t="s">
        <v>727</v>
      </c>
      <c r="D125" s="138">
        <v>2630000</v>
      </c>
      <c r="E125" s="20" t="s">
        <v>687</v>
      </c>
      <c r="F125" s="20" t="s">
        <v>688</v>
      </c>
      <c r="G125" s="8" t="str">
        <f t="shared" si="2"/>
        <v>SAFIEF AEIMEN</v>
      </c>
      <c r="H125" s="20" t="str">
        <f t="shared" si="3"/>
        <v>4014</v>
      </c>
    </row>
    <row r="126" spans="1:8" x14ac:dyDescent="0.25">
      <c r="A126" s="8">
        <v>43023.557395833333</v>
      </c>
      <c r="B126" s="20" t="s">
        <v>512</v>
      </c>
      <c r="C126" s="20" t="s">
        <v>728</v>
      </c>
      <c r="D126" s="138">
        <v>2970000</v>
      </c>
      <c r="E126" s="20" t="s">
        <v>696</v>
      </c>
      <c r="F126" s="20" t="s">
        <v>697</v>
      </c>
      <c r="G126" s="8" t="str">
        <f t="shared" si="2"/>
        <v>GUZMAN DANNY</v>
      </c>
      <c r="H126" s="20" t="str">
        <f t="shared" si="3"/>
        <v>4058</v>
      </c>
    </row>
    <row r="127" spans="1:8" x14ac:dyDescent="0.25">
      <c r="A127" s="8">
        <v>43023.560798611114</v>
      </c>
      <c r="B127" s="20" t="s">
        <v>451</v>
      </c>
      <c r="C127" s="20" t="s">
        <v>729</v>
      </c>
      <c r="D127" s="138">
        <v>2560000</v>
      </c>
      <c r="E127" s="20" t="s">
        <v>628</v>
      </c>
      <c r="F127" s="20" t="s">
        <v>515</v>
      </c>
      <c r="G127" s="8" t="str">
        <f t="shared" si="2"/>
        <v>MACDONALD THOMAS</v>
      </c>
      <c r="H127" s="20" t="str">
        <f t="shared" si="3"/>
        <v>4001</v>
      </c>
    </row>
    <row r="128" spans="1:8" x14ac:dyDescent="0.25">
      <c r="A128" s="8">
        <v>43023.562650462962</v>
      </c>
      <c r="B128" s="20" t="s">
        <v>630</v>
      </c>
      <c r="C128" s="20" t="s">
        <v>730</v>
      </c>
      <c r="D128" s="138">
        <v>2230000</v>
      </c>
      <c r="E128" s="20" t="s">
        <v>721</v>
      </c>
      <c r="F128" s="20" t="s">
        <v>395</v>
      </c>
      <c r="G128" s="8" t="str">
        <f t="shared" si="2"/>
        <v>SMITH MICHAEL</v>
      </c>
      <c r="H128" s="20" t="str">
        <f t="shared" si="3"/>
        <v>4015</v>
      </c>
    </row>
    <row r="129" spans="1:8" x14ac:dyDescent="0.25">
      <c r="A129" s="8">
        <v>43023.570729166669</v>
      </c>
      <c r="B129" s="20" t="s">
        <v>455</v>
      </c>
      <c r="C129" s="20" t="s">
        <v>731</v>
      </c>
      <c r="D129" s="138">
        <v>2480000</v>
      </c>
      <c r="E129" s="20" t="s">
        <v>732</v>
      </c>
      <c r="F129" s="20" t="s">
        <v>733</v>
      </c>
      <c r="G129" s="8" t="str">
        <f t="shared" si="2"/>
        <v>WHITED DUSTIN</v>
      </c>
      <c r="H129" s="20" t="str">
        <f t="shared" si="3"/>
        <v>4032</v>
      </c>
    </row>
    <row r="130" spans="1:8" x14ac:dyDescent="0.25">
      <c r="A130" s="8">
        <v>43023.579594907409</v>
      </c>
      <c r="B130" s="20" t="s">
        <v>494</v>
      </c>
      <c r="C130" s="20" t="s">
        <v>734</v>
      </c>
      <c r="D130" s="138">
        <v>920000</v>
      </c>
      <c r="E130" s="20" t="s">
        <v>341</v>
      </c>
      <c r="F130" s="20" t="s">
        <v>395</v>
      </c>
      <c r="G130" s="8" t="str">
        <f t="shared" si="2"/>
        <v>DAVIS MICHAEL</v>
      </c>
      <c r="H130" s="20" t="str">
        <f t="shared" si="3"/>
        <v>4041</v>
      </c>
    </row>
    <row r="131" spans="1:8" x14ac:dyDescent="0.25">
      <c r="A131" s="8">
        <v>43023.580023148148</v>
      </c>
      <c r="B131" s="20" t="s">
        <v>509</v>
      </c>
      <c r="C131" s="20" t="s">
        <v>735</v>
      </c>
      <c r="D131" s="138">
        <v>3330000</v>
      </c>
      <c r="E131" s="20" t="s">
        <v>510</v>
      </c>
      <c r="F131" s="20" t="s">
        <v>511</v>
      </c>
      <c r="G131" s="8" t="str">
        <f t="shared" ref="G131:G194" si="4">E131&amp;" "&amp;F131</f>
        <v>GONZALEZ ARMANDO</v>
      </c>
      <c r="H131" s="20" t="str">
        <f t="shared" ref="H131:H194" si="5">MID(B131,13,4)</f>
        <v>4004</v>
      </c>
    </row>
    <row r="132" spans="1:8" x14ac:dyDescent="0.25">
      <c r="A132" s="8">
        <v>43023.582326388889</v>
      </c>
      <c r="B132" s="20" t="s">
        <v>452</v>
      </c>
      <c r="C132" s="20" t="s">
        <v>736</v>
      </c>
      <c r="D132" s="138">
        <v>2630000</v>
      </c>
      <c r="E132" s="20" t="s">
        <v>687</v>
      </c>
      <c r="F132" s="20" t="s">
        <v>688</v>
      </c>
      <c r="G132" s="8" t="str">
        <f t="shared" si="4"/>
        <v>SAFIEF AEIMEN</v>
      </c>
      <c r="H132" s="20" t="str">
        <f t="shared" si="5"/>
        <v>4013</v>
      </c>
    </row>
    <row r="133" spans="1:8" x14ac:dyDescent="0.25">
      <c r="A133" s="8">
        <v>43023.58697916667</v>
      </c>
      <c r="B133" s="20" t="s">
        <v>458</v>
      </c>
      <c r="C133" s="20" t="s">
        <v>576</v>
      </c>
      <c r="D133" s="138">
        <v>2030000</v>
      </c>
      <c r="E133" s="20" t="s">
        <v>461</v>
      </c>
      <c r="F133" s="20" t="s">
        <v>462</v>
      </c>
      <c r="G133" s="8" t="str">
        <f t="shared" si="4"/>
        <v>KILLION DAVID</v>
      </c>
      <c r="H133" s="20" t="str">
        <f t="shared" si="5"/>
        <v>4002</v>
      </c>
    </row>
    <row r="134" spans="1:8" x14ac:dyDescent="0.25">
      <c r="A134" s="8">
        <v>43023.590057870373</v>
      </c>
      <c r="B134" s="20" t="s">
        <v>496</v>
      </c>
      <c r="C134" s="20" t="s">
        <v>737</v>
      </c>
      <c r="D134" s="138">
        <v>2970000</v>
      </c>
      <c r="E134" s="20" t="s">
        <v>696</v>
      </c>
      <c r="F134" s="20" t="s">
        <v>697</v>
      </c>
      <c r="G134" s="8" t="str">
        <f t="shared" si="4"/>
        <v>GUZMAN DANNY</v>
      </c>
      <c r="H134" s="20" t="str">
        <f t="shared" si="5"/>
        <v>4057</v>
      </c>
    </row>
    <row r="135" spans="1:8" x14ac:dyDescent="0.25">
      <c r="A135" s="8">
        <v>43023.591273148151</v>
      </c>
      <c r="B135" s="20" t="s">
        <v>417</v>
      </c>
      <c r="C135" s="20" t="s">
        <v>577</v>
      </c>
      <c r="D135" s="138">
        <v>880000</v>
      </c>
      <c r="E135" s="20" t="s">
        <v>425</v>
      </c>
      <c r="F135" s="20" t="s">
        <v>395</v>
      </c>
      <c r="G135" s="8" t="str">
        <f t="shared" si="4"/>
        <v>STEWART MICHAEL</v>
      </c>
      <c r="H135" s="20" t="str">
        <f t="shared" si="5"/>
        <v>4036</v>
      </c>
    </row>
    <row r="136" spans="1:8" x14ac:dyDescent="0.25">
      <c r="A136" s="8">
        <v>43023.600451388891</v>
      </c>
      <c r="B136" s="20" t="s">
        <v>566</v>
      </c>
      <c r="C136" s="20" t="s">
        <v>738</v>
      </c>
      <c r="D136" s="138">
        <v>2230000</v>
      </c>
      <c r="E136" s="20" t="s">
        <v>721</v>
      </c>
      <c r="F136" s="20" t="s">
        <v>395</v>
      </c>
      <c r="G136" s="8" t="str">
        <f t="shared" si="4"/>
        <v>SMITH MICHAEL</v>
      </c>
      <c r="H136" s="20" t="str">
        <f t="shared" si="5"/>
        <v>4016</v>
      </c>
    </row>
    <row r="137" spans="1:8" x14ac:dyDescent="0.25">
      <c r="A137" s="8">
        <v>43023.607476851852</v>
      </c>
      <c r="B137" s="20" t="s">
        <v>456</v>
      </c>
      <c r="C137" s="20" t="s">
        <v>739</v>
      </c>
      <c r="D137" s="138">
        <v>2480000</v>
      </c>
      <c r="E137" s="20" t="s">
        <v>732</v>
      </c>
      <c r="F137" s="20" t="s">
        <v>733</v>
      </c>
      <c r="G137" s="8" t="str">
        <f t="shared" si="4"/>
        <v>WHITED DUSTIN</v>
      </c>
      <c r="H137" s="20" t="str">
        <f t="shared" si="5"/>
        <v>4031</v>
      </c>
    </row>
    <row r="138" spans="1:8" x14ac:dyDescent="0.25">
      <c r="A138" s="8">
        <v>43023.608958333331</v>
      </c>
      <c r="B138" s="20" t="s">
        <v>451</v>
      </c>
      <c r="C138" s="20" t="s">
        <v>740</v>
      </c>
      <c r="D138" s="138">
        <v>2030000</v>
      </c>
      <c r="E138" s="20" t="s">
        <v>461</v>
      </c>
      <c r="F138" s="20" t="s">
        <v>462</v>
      </c>
      <c r="G138" s="8" t="str">
        <f t="shared" si="4"/>
        <v>KILLION DAVID</v>
      </c>
      <c r="H138" s="20" t="str">
        <f t="shared" si="5"/>
        <v>4001</v>
      </c>
    </row>
    <row r="139" spans="1:8" x14ac:dyDescent="0.25">
      <c r="A139" s="8">
        <v>43023.613020833334</v>
      </c>
      <c r="B139" s="20" t="s">
        <v>495</v>
      </c>
      <c r="C139" s="20" t="s">
        <v>741</v>
      </c>
      <c r="D139" s="138">
        <v>920000</v>
      </c>
      <c r="E139" s="20" t="s">
        <v>341</v>
      </c>
      <c r="F139" s="20" t="s">
        <v>395</v>
      </c>
      <c r="G139" s="8" t="str">
        <f t="shared" si="4"/>
        <v>DAVIS MICHAEL</v>
      </c>
      <c r="H139" s="20" t="str">
        <f t="shared" si="5"/>
        <v>4042</v>
      </c>
    </row>
    <row r="140" spans="1:8" x14ac:dyDescent="0.25">
      <c r="A140" s="8">
        <v>43023.618831018517</v>
      </c>
      <c r="B140" s="20" t="s">
        <v>498</v>
      </c>
      <c r="C140" s="20" t="s">
        <v>742</v>
      </c>
      <c r="D140" s="138">
        <v>3330000</v>
      </c>
      <c r="E140" s="20" t="s">
        <v>510</v>
      </c>
      <c r="F140" s="20" t="s">
        <v>511</v>
      </c>
      <c r="G140" s="8" t="str">
        <f t="shared" si="4"/>
        <v>GONZALEZ ARMANDO</v>
      </c>
      <c r="H140" s="20" t="str">
        <f t="shared" si="5"/>
        <v>4003</v>
      </c>
    </row>
    <row r="141" spans="1:8" x14ac:dyDescent="0.25">
      <c r="A141" s="8">
        <v>43023.624166666668</v>
      </c>
      <c r="B141" s="20" t="s">
        <v>454</v>
      </c>
      <c r="C141" s="20" t="s">
        <v>743</v>
      </c>
      <c r="D141" s="138">
        <v>2630000</v>
      </c>
      <c r="E141" s="20" t="s">
        <v>687</v>
      </c>
      <c r="F141" s="20" t="s">
        <v>688</v>
      </c>
      <c r="G141" s="8" t="str">
        <f t="shared" si="4"/>
        <v>SAFIEF AEIMEN</v>
      </c>
      <c r="H141" s="20" t="str">
        <f t="shared" si="5"/>
        <v>4014</v>
      </c>
    </row>
    <row r="142" spans="1:8" x14ac:dyDescent="0.25">
      <c r="A142" s="8">
        <v>43023.624710648146</v>
      </c>
      <c r="B142" s="20" t="s">
        <v>458</v>
      </c>
      <c r="C142" s="20" t="s">
        <v>578</v>
      </c>
      <c r="D142" s="138">
        <v>2030000</v>
      </c>
      <c r="E142" s="20" t="s">
        <v>461</v>
      </c>
      <c r="F142" s="20" t="s">
        <v>462</v>
      </c>
      <c r="G142" s="8" t="str">
        <f t="shared" si="4"/>
        <v>KILLION DAVID</v>
      </c>
      <c r="H142" s="20" t="str">
        <f t="shared" si="5"/>
        <v>4002</v>
      </c>
    </row>
    <row r="143" spans="1:8" x14ac:dyDescent="0.25">
      <c r="A143" s="8">
        <v>43023.63008101852</v>
      </c>
      <c r="B143" s="20" t="s">
        <v>512</v>
      </c>
      <c r="C143" s="20" t="s">
        <v>744</v>
      </c>
      <c r="D143" s="138">
        <v>2970000</v>
      </c>
      <c r="E143" s="20" t="s">
        <v>696</v>
      </c>
      <c r="F143" s="20" t="s">
        <v>697</v>
      </c>
      <c r="G143" s="8" t="str">
        <f t="shared" si="4"/>
        <v>GUZMAN DANNY</v>
      </c>
      <c r="H143" s="20" t="str">
        <f t="shared" si="5"/>
        <v>4058</v>
      </c>
    </row>
    <row r="144" spans="1:8" x14ac:dyDescent="0.25">
      <c r="A144" s="8">
        <v>43023.632430555554</v>
      </c>
      <c r="B144" s="20" t="s">
        <v>431</v>
      </c>
      <c r="C144" s="20" t="s">
        <v>745</v>
      </c>
      <c r="D144" s="138">
        <v>880000</v>
      </c>
      <c r="E144" s="20" t="s">
        <v>425</v>
      </c>
      <c r="F144" s="20" t="s">
        <v>395</v>
      </c>
      <c r="G144" s="8" t="str">
        <f t="shared" si="4"/>
        <v>STEWART MICHAEL</v>
      </c>
      <c r="H144" s="20" t="str">
        <f t="shared" si="5"/>
        <v>4035</v>
      </c>
    </row>
    <row r="145" spans="1:8" x14ac:dyDescent="0.25">
      <c r="A145" s="8">
        <v>43023.63690972222</v>
      </c>
      <c r="B145" s="20" t="s">
        <v>630</v>
      </c>
      <c r="C145" s="20" t="s">
        <v>746</v>
      </c>
      <c r="D145" s="138">
        <v>2230000</v>
      </c>
      <c r="E145" s="20" t="s">
        <v>721</v>
      </c>
      <c r="F145" s="20" t="s">
        <v>395</v>
      </c>
      <c r="G145" s="8" t="str">
        <f t="shared" si="4"/>
        <v>SMITH MICHAEL</v>
      </c>
      <c r="H145" s="20" t="str">
        <f t="shared" si="5"/>
        <v>4015</v>
      </c>
    </row>
    <row r="146" spans="1:8" x14ac:dyDescent="0.25">
      <c r="A146" s="8">
        <v>43023.64434027778</v>
      </c>
      <c r="B146" s="20" t="s">
        <v>455</v>
      </c>
      <c r="C146" s="20" t="s">
        <v>747</v>
      </c>
      <c r="D146" s="138">
        <v>2550000</v>
      </c>
      <c r="E146" s="20" t="s">
        <v>513</v>
      </c>
      <c r="F146" s="20" t="s">
        <v>514</v>
      </c>
      <c r="G146" s="8" t="str">
        <f t="shared" si="4"/>
        <v>BADERTSCHER DIANE</v>
      </c>
      <c r="H146" s="20" t="str">
        <f t="shared" si="5"/>
        <v>4032</v>
      </c>
    </row>
    <row r="147" spans="1:8" x14ac:dyDescent="0.25">
      <c r="A147" s="8">
        <v>43023.650277777779</v>
      </c>
      <c r="B147" s="20" t="s">
        <v>509</v>
      </c>
      <c r="C147" s="20" t="s">
        <v>748</v>
      </c>
      <c r="D147" s="138">
        <v>3220000</v>
      </c>
      <c r="E147" s="20" t="s">
        <v>679</v>
      </c>
      <c r="F147" s="20" t="s">
        <v>680</v>
      </c>
      <c r="G147" s="8" t="str">
        <f t="shared" si="4"/>
        <v>RESPASS AARON</v>
      </c>
      <c r="H147" s="20" t="str">
        <f t="shared" si="5"/>
        <v>4004</v>
      </c>
    </row>
    <row r="148" spans="1:8" x14ac:dyDescent="0.25">
      <c r="A148" s="8">
        <v>43023.650821759256</v>
      </c>
      <c r="B148" s="20" t="s">
        <v>451</v>
      </c>
      <c r="C148" s="20" t="s">
        <v>749</v>
      </c>
      <c r="D148" s="138">
        <v>2030000</v>
      </c>
      <c r="E148" s="20" t="s">
        <v>461</v>
      </c>
      <c r="F148" s="20" t="s">
        <v>462</v>
      </c>
      <c r="G148" s="8" t="str">
        <f t="shared" si="4"/>
        <v>KILLION DAVID</v>
      </c>
      <c r="H148" s="20" t="str">
        <f t="shared" si="5"/>
        <v>4001</v>
      </c>
    </row>
    <row r="149" spans="1:8" x14ac:dyDescent="0.25">
      <c r="A149" s="8">
        <v>43023.652245370373</v>
      </c>
      <c r="B149" s="20" t="s">
        <v>494</v>
      </c>
      <c r="C149" s="20" t="s">
        <v>750</v>
      </c>
      <c r="D149" s="138">
        <v>920000</v>
      </c>
      <c r="E149" s="20" t="s">
        <v>341</v>
      </c>
      <c r="F149" s="20" t="s">
        <v>395</v>
      </c>
      <c r="G149" s="8" t="str">
        <f t="shared" si="4"/>
        <v>DAVIS MICHAEL</v>
      </c>
      <c r="H149" s="20" t="str">
        <f t="shared" si="5"/>
        <v>4041</v>
      </c>
    </row>
    <row r="150" spans="1:8" x14ac:dyDescent="0.25">
      <c r="A150" s="8">
        <v>43023.656736111108</v>
      </c>
      <c r="B150" s="20" t="s">
        <v>452</v>
      </c>
      <c r="C150" s="20" t="s">
        <v>751</v>
      </c>
      <c r="D150" s="138">
        <v>2630000</v>
      </c>
      <c r="E150" s="20" t="s">
        <v>687</v>
      </c>
      <c r="F150" s="20" t="s">
        <v>688</v>
      </c>
      <c r="G150" s="8" t="str">
        <f t="shared" si="4"/>
        <v>SAFIEF AEIMEN</v>
      </c>
      <c r="H150" s="20" t="str">
        <f t="shared" si="5"/>
        <v>4013</v>
      </c>
    </row>
    <row r="151" spans="1:8" x14ac:dyDescent="0.25">
      <c r="A151" s="8">
        <v>43023.662962962961</v>
      </c>
      <c r="B151" s="20" t="s">
        <v>496</v>
      </c>
      <c r="C151" s="20" t="s">
        <v>752</v>
      </c>
      <c r="D151" s="138">
        <v>2970000</v>
      </c>
      <c r="E151" s="20" t="s">
        <v>696</v>
      </c>
      <c r="F151" s="20" t="s">
        <v>697</v>
      </c>
      <c r="G151" s="8" t="str">
        <f t="shared" si="4"/>
        <v>GUZMAN DANNY</v>
      </c>
      <c r="H151" s="20" t="str">
        <f t="shared" si="5"/>
        <v>4057</v>
      </c>
    </row>
    <row r="152" spans="1:8" x14ac:dyDescent="0.25">
      <c r="A152" s="8">
        <v>43023.663935185185</v>
      </c>
      <c r="B152" s="20" t="s">
        <v>417</v>
      </c>
      <c r="C152" s="20" t="s">
        <v>753</v>
      </c>
      <c r="D152" s="138">
        <v>880000</v>
      </c>
      <c r="E152" s="20" t="s">
        <v>425</v>
      </c>
      <c r="F152" s="20" t="s">
        <v>395</v>
      </c>
      <c r="G152" s="8" t="str">
        <f t="shared" si="4"/>
        <v>STEWART MICHAEL</v>
      </c>
      <c r="H152" s="20" t="str">
        <f t="shared" si="5"/>
        <v>4036</v>
      </c>
    </row>
    <row r="153" spans="1:8" x14ac:dyDescent="0.25">
      <c r="A153" s="8">
        <v>43023.671805555554</v>
      </c>
      <c r="B153" s="20" t="s">
        <v>458</v>
      </c>
      <c r="C153" s="20" t="s">
        <v>579</v>
      </c>
      <c r="D153" s="138">
        <v>2030000</v>
      </c>
      <c r="E153" s="20" t="s">
        <v>461</v>
      </c>
      <c r="F153" s="20" t="s">
        <v>462</v>
      </c>
      <c r="G153" s="8" t="str">
        <f t="shared" si="4"/>
        <v>KILLION DAVID</v>
      </c>
      <c r="H153" s="20" t="str">
        <f t="shared" si="5"/>
        <v>4002</v>
      </c>
    </row>
    <row r="154" spans="1:8" x14ac:dyDescent="0.25">
      <c r="A154" s="8">
        <v>43023.674259259256</v>
      </c>
      <c r="B154" s="20" t="s">
        <v>566</v>
      </c>
      <c r="C154" s="20" t="s">
        <v>754</v>
      </c>
      <c r="D154" s="138">
        <v>2230000</v>
      </c>
      <c r="E154" s="20" t="s">
        <v>721</v>
      </c>
      <c r="F154" s="20" t="s">
        <v>395</v>
      </c>
      <c r="G154" s="8" t="str">
        <f t="shared" si="4"/>
        <v>SMITH MICHAEL</v>
      </c>
      <c r="H154" s="20" t="str">
        <f t="shared" si="5"/>
        <v>4016</v>
      </c>
    </row>
    <row r="155" spans="1:8" x14ac:dyDescent="0.25">
      <c r="A155" s="8">
        <v>43023.675949074073</v>
      </c>
      <c r="B155" s="20" t="s">
        <v>456</v>
      </c>
      <c r="C155" s="20" t="s">
        <v>755</v>
      </c>
      <c r="D155" s="138">
        <v>2550000</v>
      </c>
      <c r="E155" s="20" t="s">
        <v>513</v>
      </c>
      <c r="F155" s="20" t="s">
        <v>514</v>
      </c>
      <c r="G155" s="8" t="str">
        <f t="shared" si="4"/>
        <v>BADERTSCHER DIANE</v>
      </c>
      <c r="H155" s="20" t="str">
        <f t="shared" si="5"/>
        <v>4031</v>
      </c>
    </row>
    <row r="156" spans="1:8" x14ac:dyDescent="0.25">
      <c r="A156" s="8">
        <v>43023.68136574074</v>
      </c>
      <c r="B156" s="20" t="s">
        <v>756</v>
      </c>
      <c r="C156" s="20" t="s">
        <v>757</v>
      </c>
      <c r="D156" s="138">
        <v>2540000</v>
      </c>
      <c r="E156" s="20" t="s">
        <v>406</v>
      </c>
      <c r="F156" s="20" t="s">
        <v>407</v>
      </c>
      <c r="G156" s="8" t="str">
        <f t="shared" si="4"/>
        <v>MCREYNOLDS KYLE</v>
      </c>
      <c r="H156" s="20" t="str">
        <f t="shared" si="5"/>
        <v>4008</v>
      </c>
    </row>
    <row r="157" spans="1:8" x14ac:dyDescent="0.25">
      <c r="A157" s="8">
        <v>43023.684618055559</v>
      </c>
      <c r="B157" s="20" t="s">
        <v>451</v>
      </c>
      <c r="C157" s="20" t="s">
        <v>758</v>
      </c>
      <c r="D157" s="138">
        <v>2030000</v>
      </c>
      <c r="E157" s="20" t="s">
        <v>461</v>
      </c>
      <c r="F157" s="20" t="s">
        <v>462</v>
      </c>
      <c r="G157" s="8" t="str">
        <f t="shared" si="4"/>
        <v>KILLION DAVID</v>
      </c>
      <c r="H157" s="20" t="str">
        <f t="shared" si="5"/>
        <v>4001</v>
      </c>
    </row>
    <row r="158" spans="1:8" x14ac:dyDescent="0.25">
      <c r="A158" s="8">
        <v>43023.685324074075</v>
      </c>
      <c r="B158" s="20" t="s">
        <v>588</v>
      </c>
      <c r="C158" s="20" t="s">
        <v>757</v>
      </c>
      <c r="D158" s="138">
        <v>2540000</v>
      </c>
      <c r="E158" s="20" t="s">
        <v>406</v>
      </c>
      <c r="F158" s="20" t="s">
        <v>407</v>
      </c>
      <c r="G158" s="8" t="str">
        <f t="shared" si="4"/>
        <v>MCREYNOLDS KYLE</v>
      </c>
      <c r="H158" s="20" t="str">
        <f t="shared" si="5"/>
        <v>4007</v>
      </c>
    </row>
    <row r="159" spans="1:8" x14ac:dyDescent="0.25">
      <c r="A159" s="8">
        <v>43023.686365740738</v>
      </c>
      <c r="B159" s="20" t="s">
        <v>495</v>
      </c>
      <c r="C159" s="20" t="s">
        <v>759</v>
      </c>
      <c r="D159" s="138">
        <v>920000</v>
      </c>
      <c r="E159" s="20" t="s">
        <v>341</v>
      </c>
      <c r="F159" s="20" t="s">
        <v>395</v>
      </c>
      <c r="G159" s="8" t="str">
        <f t="shared" si="4"/>
        <v>DAVIS MICHAEL</v>
      </c>
      <c r="H159" s="20" t="str">
        <f t="shared" si="5"/>
        <v>4042</v>
      </c>
    </row>
    <row r="160" spans="1:8" x14ac:dyDescent="0.25">
      <c r="A160" s="8">
        <v>43023.690069444441</v>
      </c>
      <c r="B160" s="20" t="s">
        <v>756</v>
      </c>
      <c r="C160" s="20" t="s">
        <v>760</v>
      </c>
      <c r="D160" s="138">
        <v>2630000</v>
      </c>
      <c r="E160" s="20" t="s">
        <v>687</v>
      </c>
      <c r="F160" s="20" t="s">
        <v>688</v>
      </c>
      <c r="G160" s="8" t="str">
        <f t="shared" si="4"/>
        <v>SAFIEF AEIMEN</v>
      </c>
      <c r="H160" s="20" t="str">
        <f t="shared" si="5"/>
        <v>4008</v>
      </c>
    </row>
    <row r="161" spans="1:8" x14ac:dyDescent="0.25">
      <c r="A161" s="8">
        <v>43023.693240740744</v>
      </c>
      <c r="B161" s="20" t="s">
        <v>498</v>
      </c>
      <c r="C161" s="20" t="s">
        <v>761</v>
      </c>
      <c r="D161" s="138">
        <v>3220000</v>
      </c>
      <c r="E161" s="20" t="s">
        <v>679</v>
      </c>
      <c r="F161" s="20" t="s">
        <v>680</v>
      </c>
      <c r="G161" s="8" t="str">
        <f t="shared" si="4"/>
        <v>RESPASS AARON</v>
      </c>
      <c r="H161" s="20" t="str">
        <f t="shared" si="5"/>
        <v>4003</v>
      </c>
    </row>
    <row r="162" spans="1:8" x14ac:dyDescent="0.25">
      <c r="A162" s="8">
        <v>43023.695127314815</v>
      </c>
      <c r="B162" s="20" t="s">
        <v>454</v>
      </c>
      <c r="C162" s="20" t="s">
        <v>757</v>
      </c>
      <c r="D162" s="138">
        <v>2540000</v>
      </c>
      <c r="E162" s="20" t="s">
        <v>406</v>
      </c>
      <c r="F162" s="20" t="s">
        <v>407</v>
      </c>
      <c r="G162" s="8" t="str">
        <f t="shared" si="4"/>
        <v>MCREYNOLDS KYLE</v>
      </c>
      <c r="H162" s="20" t="str">
        <f t="shared" si="5"/>
        <v>4014</v>
      </c>
    </row>
    <row r="163" spans="1:8" x14ac:dyDescent="0.25">
      <c r="A163" s="8">
        <v>43023.702106481483</v>
      </c>
      <c r="B163" s="20" t="s">
        <v>431</v>
      </c>
      <c r="C163" s="20" t="s">
        <v>762</v>
      </c>
      <c r="D163" s="138">
        <v>880000</v>
      </c>
      <c r="E163" s="20" t="s">
        <v>425</v>
      </c>
      <c r="F163" s="20" t="s">
        <v>395</v>
      </c>
      <c r="G163" s="8" t="str">
        <f t="shared" si="4"/>
        <v>STEWART MICHAEL</v>
      </c>
      <c r="H163" s="20" t="str">
        <f t="shared" si="5"/>
        <v>4035</v>
      </c>
    </row>
    <row r="164" spans="1:8" x14ac:dyDescent="0.25">
      <c r="A164" s="8">
        <v>43023.705011574071</v>
      </c>
      <c r="B164" s="20" t="s">
        <v>512</v>
      </c>
      <c r="C164" s="20" t="s">
        <v>763</v>
      </c>
      <c r="D164" s="138">
        <v>2970000</v>
      </c>
      <c r="E164" s="20" t="s">
        <v>696</v>
      </c>
      <c r="F164" s="20" t="s">
        <v>697</v>
      </c>
      <c r="G164" s="8" t="str">
        <f t="shared" si="4"/>
        <v>GUZMAN DANNY</v>
      </c>
      <c r="H164" s="20" t="str">
        <f t="shared" si="5"/>
        <v>4058</v>
      </c>
    </row>
    <row r="165" spans="1:8" x14ac:dyDescent="0.25">
      <c r="A165" s="8">
        <v>43023.710092592592</v>
      </c>
      <c r="B165" s="20" t="s">
        <v>458</v>
      </c>
      <c r="C165" s="20" t="s">
        <v>580</v>
      </c>
      <c r="D165" s="138">
        <v>2030000</v>
      </c>
      <c r="E165" s="20" t="s">
        <v>461</v>
      </c>
      <c r="F165" s="20" t="s">
        <v>462</v>
      </c>
      <c r="G165" s="8" t="str">
        <f t="shared" si="4"/>
        <v>KILLION DAVID</v>
      </c>
      <c r="H165" s="20" t="str">
        <f t="shared" si="5"/>
        <v>4002</v>
      </c>
    </row>
    <row r="166" spans="1:8" x14ac:dyDescent="0.25">
      <c r="A166" s="8">
        <v>43023.712731481479</v>
      </c>
      <c r="B166" s="20" t="s">
        <v>630</v>
      </c>
      <c r="C166" s="20" t="s">
        <v>764</v>
      </c>
      <c r="D166" s="138">
        <v>2230000</v>
      </c>
      <c r="E166" s="20" t="s">
        <v>721</v>
      </c>
      <c r="F166" s="20" t="s">
        <v>395</v>
      </c>
      <c r="G166" s="8" t="str">
        <f t="shared" si="4"/>
        <v>SMITH MICHAEL</v>
      </c>
      <c r="H166" s="20" t="str">
        <f t="shared" si="5"/>
        <v>4015</v>
      </c>
    </row>
    <row r="167" spans="1:8" x14ac:dyDescent="0.25">
      <c r="A167" s="8">
        <v>43023.716400462959</v>
      </c>
      <c r="B167" s="20" t="s">
        <v>455</v>
      </c>
      <c r="C167" s="20" t="s">
        <v>765</v>
      </c>
      <c r="D167" s="138">
        <v>2000000</v>
      </c>
      <c r="E167" s="20" t="s">
        <v>373</v>
      </c>
      <c r="F167" s="20" t="s">
        <v>362</v>
      </c>
      <c r="G167" s="8" t="str">
        <f t="shared" si="4"/>
        <v>STAMBAUGH JAMES</v>
      </c>
      <c r="H167" s="20" t="str">
        <f t="shared" si="5"/>
        <v>4032</v>
      </c>
    </row>
    <row r="168" spans="1:8" x14ac:dyDescent="0.25">
      <c r="A168" s="8">
        <v>43023.725324074076</v>
      </c>
      <c r="B168" s="20" t="s">
        <v>766</v>
      </c>
      <c r="C168" s="20" t="s">
        <v>767</v>
      </c>
      <c r="D168" s="138">
        <v>2600000</v>
      </c>
      <c r="E168" s="20" t="s">
        <v>718</v>
      </c>
      <c r="F168" s="20" t="s">
        <v>462</v>
      </c>
      <c r="G168" s="8" t="str">
        <f t="shared" si="4"/>
        <v>DAVIDSON DAVID</v>
      </c>
      <c r="H168" s="20" t="str">
        <f t="shared" si="5"/>
        <v>4006</v>
      </c>
    </row>
    <row r="169" spans="1:8" x14ac:dyDescent="0.25">
      <c r="A169" s="8">
        <v>43023.725706018522</v>
      </c>
      <c r="B169" s="20" t="s">
        <v>509</v>
      </c>
      <c r="C169" s="20" t="s">
        <v>768</v>
      </c>
      <c r="D169" s="138">
        <v>3330000</v>
      </c>
      <c r="E169" s="20" t="s">
        <v>510</v>
      </c>
      <c r="F169" s="20" t="s">
        <v>511</v>
      </c>
      <c r="G169" s="8" t="str">
        <f t="shared" si="4"/>
        <v>GONZALEZ ARMANDO</v>
      </c>
      <c r="H169" s="20" t="str">
        <f t="shared" si="5"/>
        <v>4004</v>
      </c>
    </row>
    <row r="170" spans="1:8" x14ac:dyDescent="0.25">
      <c r="A170" s="8">
        <v>43023.72619212963</v>
      </c>
      <c r="B170" s="20" t="s">
        <v>494</v>
      </c>
      <c r="C170" s="20" t="s">
        <v>769</v>
      </c>
      <c r="D170" s="138">
        <v>920000</v>
      </c>
      <c r="E170" s="20" t="s">
        <v>341</v>
      </c>
      <c r="F170" s="20" t="s">
        <v>395</v>
      </c>
      <c r="G170" s="8" t="str">
        <f t="shared" si="4"/>
        <v>DAVIS MICHAEL</v>
      </c>
      <c r="H170" s="20" t="str">
        <f t="shared" si="5"/>
        <v>4041</v>
      </c>
    </row>
    <row r="171" spans="1:8" x14ac:dyDescent="0.25">
      <c r="A171" s="8">
        <v>43023.727488425924</v>
      </c>
      <c r="B171" s="20" t="s">
        <v>451</v>
      </c>
      <c r="C171" s="20" t="s">
        <v>770</v>
      </c>
      <c r="D171" s="138">
        <v>2030000</v>
      </c>
      <c r="E171" s="20" t="s">
        <v>461</v>
      </c>
      <c r="F171" s="20" t="s">
        <v>462</v>
      </c>
      <c r="G171" s="8" t="str">
        <f t="shared" si="4"/>
        <v>KILLION DAVID</v>
      </c>
      <c r="H171" s="20" t="str">
        <f t="shared" si="5"/>
        <v>4001</v>
      </c>
    </row>
    <row r="172" spans="1:8" x14ac:dyDescent="0.25">
      <c r="A172" s="8">
        <v>43023.728217592594</v>
      </c>
      <c r="B172" s="20" t="s">
        <v>588</v>
      </c>
      <c r="C172" s="20" t="s">
        <v>771</v>
      </c>
      <c r="D172" s="138">
        <v>2630000</v>
      </c>
      <c r="E172" s="20" t="s">
        <v>687</v>
      </c>
      <c r="F172" s="20" t="s">
        <v>688</v>
      </c>
      <c r="G172" s="8" t="str">
        <f t="shared" si="4"/>
        <v>SAFIEF AEIMEN</v>
      </c>
      <c r="H172" s="20" t="str">
        <f t="shared" si="5"/>
        <v>4007</v>
      </c>
    </row>
    <row r="173" spans="1:8" x14ac:dyDescent="0.25">
      <c r="A173" s="8">
        <v>43023.738333333335</v>
      </c>
      <c r="B173" s="20" t="s">
        <v>496</v>
      </c>
      <c r="C173" s="20" t="s">
        <v>772</v>
      </c>
      <c r="D173" s="138">
        <v>2970000</v>
      </c>
      <c r="E173" s="20" t="s">
        <v>696</v>
      </c>
      <c r="F173" s="20" t="s">
        <v>697</v>
      </c>
      <c r="G173" s="8" t="str">
        <f t="shared" si="4"/>
        <v>GUZMAN DANNY</v>
      </c>
      <c r="H173" s="20" t="str">
        <f t="shared" si="5"/>
        <v>4057</v>
      </c>
    </row>
    <row r="174" spans="1:8" x14ac:dyDescent="0.25">
      <c r="A174" s="8">
        <v>43023.738958333335</v>
      </c>
      <c r="B174" s="20" t="s">
        <v>417</v>
      </c>
      <c r="C174" s="20" t="s">
        <v>773</v>
      </c>
      <c r="D174" s="138">
        <v>890000</v>
      </c>
      <c r="E174" s="20" t="s">
        <v>359</v>
      </c>
      <c r="F174" s="20" t="s">
        <v>360</v>
      </c>
      <c r="G174" s="8" t="str">
        <f t="shared" si="4"/>
        <v>LOZA FIDEL</v>
      </c>
      <c r="H174" s="20" t="str">
        <f t="shared" si="5"/>
        <v>4036</v>
      </c>
    </row>
    <row r="175" spans="1:8" x14ac:dyDescent="0.25">
      <c r="A175" s="8">
        <v>43023.745312500003</v>
      </c>
      <c r="B175" s="20" t="s">
        <v>566</v>
      </c>
      <c r="C175" s="20" t="s">
        <v>774</v>
      </c>
      <c r="D175" s="138">
        <v>2230000</v>
      </c>
      <c r="E175" s="20" t="s">
        <v>721</v>
      </c>
      <c r="F175" s="20" t="s">
        <v>395</v>
      </c>
      <c r="G175" s="8" t="str">
        <f t="shared" si="4"/>
        <v>SMITH MICHAEL</v>
      </c>
      <c r="H175" s="20" t="str">
        <f t="shared" si="5"/>
        <v>4016</v>
      </c>
    </row>
    <row r="176" spans="1:8" x14ac:dyDescent="0.25">
      <c r="A176" s="8">
        <v>43023.749895833331</v>
      </c>
      <c r="B176" s="20" t="s">
        <v>458</v>
      </c>
      <c r="C176" s="20" t="s">
        <v>581</v>
      </c>
      <c r="D176" s="138">
        <v>2030000</v>
      </c>
      <c r="E176" s="20" t="s">
        <v>461</v>
      </c>
      <c r="F176" s="20" t="s">
        <v>462</v>
      </c>
      <c r="G176" s="8" t="str">
        <f t="shared" si="4"/>
        <v>KILLION DAVID</v>
      </c>
      <c r="H176" s="20" t="str">
        <f t="shared" si="5"/>
        <v>4002</v>
      </c>
    </row>
    <row r="177" spans="1:8" x14ac:dyDescent="0.25">
      <c r="A177" s="8">
        <v>43023.756921296299</v>
      </c>
      <c r="B177" s="20" t="s">
        <v>456</v>
      </c>
      <c r="C177" s="20" t="s">
        <v>582</v>
      </c>
      <c r="D177" s="138">
        <v>2000000</v>
      </c>
      <c r="E177" s="20" t="s">
        <v>373</v>
      </c>
      <c r="F177" s="20" t="s">
        <v>362</v>
      </c>
      <c r="G177" s="8" t="str">
        <f t="shared" si="4"/>
        <v>STAMBAUGH JAMES</v>
      </c>
      <c r="H177" s="20" t="str">
        <f t="shared" si="5"/>
        <v>4031</v>
      </c>
    </row>
    <row r="178" spans="1:8" x14ac:dyDescent="0.25">
      <c r="A178" s="8">
        <v>43023.757245370369</v>
      </c>
      <c r="B178" s="20" t="s">
        <v>495</v>
      </c>
      <c r="C178" s="20" t="s">
        <v>775</v>
      </c>
      <c r="D178" s="138">
        <v>3340000</v>
      </c>
      <c r="E178" s="20" t="s">
        <v>518</v>
      </c>
      <c r="F178" s="20" t="s">
        <v>519</v>
      </c>
      <c r="G178" s="8" t="str">
        <f t="shared" si="4"/>
        <v>ELBAUM MIKE</v>
      </c>
      <c r="H178" s="20" t="str">
        <f t="shared" si="5"/>
        <v>4042</v>
      </c>
    </row>
    <row r="179" spans="1:8" x14ac:dyDescent="0.25">
      <c r="A179" s="8">
        <v>43023.764143518521</v>
      </c>
      <c r="B179" s="20" t="s">
        <v>498</v>
      </c>
      <c r="C179" s="20" t="s">
        <v>776</v>
      </c>
      <c r="D179" s="138">
        <v>3330000</v>
      </c>
      <c r="E179" s="20" t="s">
        <v>510</v>
      </c>
      <c r="F179" s="20" t="s">
        <v>511</v>
      </c>
      <c r="G179" s="8" t="str">
        <f t="shared" si="4"/>
        <v>GONZALEZ ARMANDO</v>
      </c>
      <c r="H179" s="20" t="str">
        <f t="shared" si="5"/>
        <v>4003</v>
      </c>
    </row>
    <row r="180" spans="1:8" x14ac:dyDescent="0.25">
      <c r="A180" s="8">
        <v>43023.765555555554</v>
      </c>
      <c r="B180" s="20" t="s">
        <v>756</v>
      </c>
      <c r="C180" s="20" t="s">
        <v>777</v>
      </c>
      <c r="D180" s="138">
        <v>2680000</v>
      </c>
      <c r="E180" s="20" t="s">
        <v>365</v>
      </c>
      <c r="F180" s="20" t="s">
        <v>366</v>
      </c>
      <c r="G180" s="8" t="str">
        <f t="shared" si="4"/>
        <v>DUNCAN SHEILA</v>
      </c>
      <c r="H180" s="20" t="str">
        <f t="shared" si="5"/>
        <v>4008</v>
      </c>
    </row>
    <row r="181" spans="1:8" x14ac:dyDescent="0.25">
      <c r="A181" s="8">
        <v>43023.768587962964</v>
      </c>
      <c r="B181" s="20" t="s">
        <v>451</v>
      </c>
      <c r="C181" s="20" t="s">
        <v>778</v>
      </c>
      <c r="D181" s="138">
        <v>2030000</v>
      </c>
      <c r="E181" s="20" t="s">
        <v>461</v>
      </c>
      <c r="F181" s="20" t="s">
        <v>462</v>
      </c>
      <c r="G181" s="8" t="str">
        <f t="shared" si="4"/>
        <v>KILLION DAVID</v>
      </c>
      <c r="H181" s="20" t="str">
        <f t="shared" si="5"/>
        <v>4001</v>
      </c>
    </row>
    <row r="182" spans="1:8" x14ac:dyDescent="0.25">
      <c r="A182" s="8">
        <v>43023.7737037037</v>
      </c>
      <c r="B182" s="20" t="s">
        <v>694</v>
      </c>
      <c r="C182" s="20" t="s">
        <v>779</v>
      </c>
      <c r="D182" s="138">
        <v>3290000</v>
      </c>
      <c r="E182" s="20" t="s">
        <v>507</v>
      </c>
      <c r="F182" s="20" t="s">
        <v>508</v>
      </c>
      <c r="G182" s="8" t="str">
        <f t="shared" si="4"/>
        <v>CASSIDY BRANDON</v>
      </c>
      <c r="H182" s="20" t="str">
        <f t="shared" si="5"/>
        <v>4043</v>
      </c>
    </row>
    <row r="183" spans="1:8" x14ac:dyDescent="0.25">
      <c r="A183" s="8">
        <v>43023.775405092594</v>
      </c>
      <c r="B183" s="20" t="s">
        <v>694</v>
      </c>
      <c r="C183" s="20" t="s">
        <v>779</v>
      </c>
      <c r="D183" s="138">
        <v>3290000</v>
      </c>
      <c r="E183" s="20" t="s">
        <v>507</v>
      </c>
      <c r="F183" s="20" t="s">
        <v>508</v>
      </c>
      <c r="G183" s="8" t="str">
        <f t="shared" si="4"/>
        <v>CASSIDY BRANDON</v>
      </c>
      <c r="H183" s="20" t="str">
        <f t="shared" si="5"/>
        <v>4043</v>
      </c>
    </row>
    <row r="184" spans="1:8" x14ac:dyDescent="0.25">
      <c r="A184" s="8">
        <v>43023.775636574072</v>
      </c>
      <c r="B184" s="20" t="s">
        <v>431</v>
      </c>
      <c r="C184" s="20" t="s">
        <v>780</v>
      </c>
      <c r="D184" s="138">
        <v>890000</v>
      </c>
      <c r="E184" s="20" t="s">
        <v>359</v>
      </c>
      <c r="F184" s="20" t="s">
        <v>360</v>
      </c>
      <c r="G184" s="8" t="str">
        <f t="shared" si="4"/>
        <v>LOZA FIDEL</v>
      </c>
      <c r="H184" s="20" t="str">
        <f t="shared" si="5"/>
        <v>4035</v>
      </c>
    </row>
    <row r="185" spans="1:8" x14ac:dyDescent="0.25">
      <c r="A185" s="8">
        <v>43023.777997685182</v>
      </c>
      <c r="B185" s="20" t="s">
        <v>512</v>
      </c>
      <c r="C185" s="20" t="s">
        <v>781</v>
      </c>
      <c r="D185" s="138">
        <v>2970000</v>
      </c>
      <c r="E185" s="20" t="s">
        <v>696</v>
      </c>
      <c r="F185" s="20" t="s">
        <v>697</v>
      </c>
      <c r="G185" s="8" t="str">
        <f t="shared" si="4"/>
        <v>GUZMAN DANNY</v>
      </c>
      <c r="H185" s="20" t="str">
        <f t="shared" si="5"/>
        <v>4058</v>
      </c>
    </row>
    <row r="186" spans="1:8" x14ac:dyDescent="0.25">
      <c r="A186" s="8">
        <v>43023.778240740743</v>
      </c>
      <c r="B186" s="20" t="s">
        <v>694</v>
      </c>
      <c r="C186" s="20" t="s">
        <v>779</v>
      </c>
      <c r="D186" s="138">
        <v>3290000</v>
      </c>
      <c r="E186" s="20" t="s">
        <v>507</v>
      </c>
      <c r="F186" s="20" t="s">
        <v>508</v>
      </c>
      <c r="G186" s="8" t="str">
        <f t="shared" si="4"/>
        <v>CASSIDY BRANDON</v>
      </c>
      <c r="H186" s="20" t="str">
        <f t="shared" si="5"/>
        <v>4043</v>
      </c>
    </row>
    <row r="187" spans="1:8" x14ac:dyDescent="0.25">
      <c r="A187" s="8">
        <v>43023.780069444445</v>
      </c>
      <c r="B187" s="20" t="s">
        <v>694</v>
      </c>
      <c r="C187" s="20" t="s">
        <v>779</v>
      </c>
      <c r="D187" s="138">
        <v>3290000</v>
      </c>
      <c r="E187" s="20" t="s">
        <v>507</v>
      </c>
      <c r="F187" s="20" t="s">
        <v>508</v>
      </c>
      <c r="G187" s="8" t="str">
        <f t="shared" si="4"/>
        <v>CASSIDY BRANDON</v>
      </c>
      <c r="H187" s="20" t="str">
        <f t="shared" si="5"/>
        <v>4043</v>
      </c>
    </row>
    <row r="188" spans="1:8" x14ac:dyDescent="0.25">
      <c r="A188" s="8">
        <v>43023.781782407408</v>
      </c>
      <c r="B188" s="20" t="s">
        <v>694</v>
      </c>
      <c r="C188" s="20" t="s">
        <v>779</v>
      </c>
      <c r="D188" s="138">
        <v>3290000</v>
      </c>
      <c r="E188" s="20" t="s">
        <v>507</v>
      </c>
      <c r="F188" s="20" t="s">
        <v>508</v>
      </c>
      <c r="G188" s="8" t="str">
        <f t="shared" si="4"/>
        <v>CASSIDY BRANDON</v>
      </c>
      <c r="H188" s="20" t="str">
        <f t="shared" si="5"/>
        <v>4043</v>
      </c>
    </row>
    <row r="189" spans="1:8" x14ac:dyDescent="0.25">
      <c r="A189" s="8">
        <v>43023.784942129627</v>
      </c>
      <c r="B189" s="20" t="s">
        <v>630</v>
      </c>
      <c r="C189" s="20" t="s">
        <v>782</v>
      </c>
      <c r="D189" s="138">
        <v>2230000</v>
      </c>
      <c r="E189" s="20" t="s">
        <v>721</v>
      </c>
      <c r="F189" s="20" t="s">
        <v>395</v>
      </c>
      <c r="G189" s="8" t="str">
        <f t="shared" si="4"/>
        <v>SMITH MICHAEL</v>
      </c>
      <c r="H189" s="20" t="str">
        <f t="shared" si="5"/>
        <v>4015</v>
      </c>
    </row>
    <row r="190" spans="1:8" x14ac:dyDescent="0.25">
      <c r="A190" s="8">
        <v>43023.787175925929</v>
      </c>
      <c r="B190" s="20" t="s">
        <v>494</v>
      </c>
      <c r="C190" s="20" t="s">
        <v>783</v>
      </c>
      <c r="D190" s="138">
        <v>3340000</v>
      </c>
      <c r="E190" s="20" t="s">
        <v>518</v>
      </c>
      <c r="F190" s="20" t="s">
        <v>519</v>
      </c>
      <c r="G190" s="8" t="str">
        <f t="shared" si="4"/>
        <v>ELBAUM MIKE</v>
      </c>
      <c r="H190" s="20" t="str">
        <f t="shared" si="5"/>
        <v>4041</v>
      </c>
    </row>
    <row r="191" spans="1:8" x14ac:dyDescent="0.25">
      <c r="A191" s="8">
        <v>43023.788275462961</v>
      </c>
      <c r="B191" s="20" t="s">
        <v>455</v>
      </c>
      <c r="C191" s="20" t="s">
        <v>784</v>
      </c>
      <c r="D191" s="138">
        <v>2000000</v>
      </c>
      <c r="E191" s="20" t="s">
        <v>373</v>
      </c>
      <c r="F191" s="20" t="s">
        <v>362</v>
      </c>
      <c r="G191" s="8" t="str">
        <f t="shared" si="4"/>
        <v>STAMBAUGH JAMES</v>
      </c>
      <c r="H191" s="20" t="str">
        <f t="shared" si="5"/>
        <v>4032</v>
      </c>
    </row>
    <row r="192" spans="1:8" x14ac:dyDescent="0.25">
      <c r="A192" s="8">
        <v>43023.794282407405</v>
      </c>
      <c r="B192" s="20" t="s">
        <v>458</v>
      </c>
      <c r="C192" s="20" t="s">
        <v>583</v>
      </c>
      <c r="D192" s="138">
        <v>2030000</v>
      </c>
      <c r="E192" s="20" t="s">
        <v>461</v>
      </c>
      <c r="F192" s="20" t="s">
        <v>462</v>
      </c>
      <c r="G192" s="8" t="str">
        <f t="shared" si="4"/>
        <v>KILLION DAVID</v>
      </c>
      <c r="H192" s="20" t="str">
        <f t="shared" si="5"/>
        <v>4002</v>
      </c>
    </row>
    <row r="193" spans="1:8" x14ac:dyDescent="0.25">
      <c r="A193" s="8">
        <v>43023.803287037037</v>
      </c>
      <c r="B193" s="20" t="s">
        <v>588</v>
      </c>
      <c r="C193" s="20" t="s">
        <v>785</v>
      </c>
      <c r="D193" s="138">
        <v>2680000</v>
      </c>
      <c r="E193" s="20" t="s">
        <v>365</v>
      </c>
      <c r="F193" s="20" t="s">
        <v>366</v>
      </c>
      <c r="G193" s="8" t="str">
        <f t="shared" si="4"/>
        <v>DUNCAN SHEILA</v>
      </c>
      <c r="H193" s="20" t="str">
        <f t="shared" si="5"/>
        <v>4007</v>
      </c>
    </row>
    <row r="194" spans="1:8" x14ac:dyDescent="0.25">
      <c r="A194" s="8">
        <v>43023.809745370374</v>
      </c>
      <c r="B194" s="20" t="s">
        <v>417</v>
      </c>
      <c r="C194" s="20" t="s">
        <v>786</v>
      </c>
      <c r="D194" s="138">
        <v>890000</v>
      </c>
      <c r="E194" s="20" t="s">
        <v>359</v>
      </c>
      <c r="F194" s="20" t="s">
        <v>360</v>
      </c>
      <c r="G194" s="8" t="str">
        <f t="shared" si="4"/>
        <v>LOZA FIDEL</v>
      </c>
      <c r="H194" s="20" t="str">
        <f t="shared" si="5"/>
        <v>4036</v>
      </c>
    </row>
    <row r="195" spans="1:8" x14ac:dyDescent="0.25">
      <c r="A195" s="8">
        <v>43023.8124537037</v>
      </c>
      <c r="B195" s="20" t="s">
        <v>451</v>
      </c>
      <c r="C195" s="20" t="s">
        <v>787</v>
      </c>
      <c r="D195" s="138">
        <v>2030000</v>
      </c>
      <c r="E195" s="20" t="s">
        <v>461</v>
      </c>
      <c r="F195" s="20" t="s">
        <v>462</v>
      </c>
      <c r="G195" s="8" t="str">
        <f t="shared" ref="G195:G258" si="6">E195&amp;" "&amp;F195</f>
        <v>KILLION DAVID</v>
      </c>
      <c r="H195" s="20" t="str">
        <f t="shared" ref="H195:H258" si="7">MID(B195,13,4)</f>
        <v>4001</v>
      </c>
    </row>
    <row r="196" spans="1:8" x14ac:dyDescent="0.25">
      <c r="A196" s="8">
        <v>43023.827152777776</v>
      </c>
      <c r="B196" s="20" t="s">
        <v>495</v>
      </c>
      <c r="C196" s="20" t="s">
        <v>584</v>
      </c>
      <c r="D196" s="138">
        <v>3340000</v>
      </c>
      <c r="E196" s="20" t="s">
        <v>518</v>
      </c>
      <c r="F196" s="20" t="s">
        <v>519</v>
      </c>
      <c r="G196" s="8" t="str">
        <f t="shared" si="6"/>
        <v>ELBAUM MIKE</v>
      </c>
      <c r="H196" s="20" t="str">
        <f t="shared" si="7"/>
        <v>4042</v>
      </c>
    </row>
    <row r="197" spans="1:8" x14ac:dyDescent="0.25">
      <c r="A197" s="8">
        <v>43023.829236111109</v>
      </c>
      <c r="B197" s="20" t="s">
        <v>456</v>
      </c>
      <c r="C197" s="20" t="s">
        <v>788</v>
      </c>
      <c r="D197" s="138">
        <v>2000000</v>
      </c>
      <c r="E197" s="20" t="s">
        <v>373</v>
      </c>
      <c r="F197" s="20" t="s">
        <v>362</v>
      </c>
      <c r="G197" s="8" t="str">
        <f t="shared" si="6"/>
        <v>STAMBAUGH JAMES</v>
      </c>
      <c r="H197" s="20" t="str">
        <f t="shared" si="7"/>
        <v>4031</v>
      </c>
    </row>
    <row r="198" spans="1:8" x14ac:dyDescent="0.25">
      <c r="A198" s="8">
        <v>43023.830706018518</v>
      </c>
      <c r="B198" s="20" t="s">
        <v>566</v>
      </c>
      <c r="C198" s="20" t="s">
        <v>789</v>
      </c>
      <c r="D198" s="138">
        <v>3490000</v>
      </c>
      <c r="E198" s="20" t="s">
        <v>516</v>
      </c>
      <c r="F198" s="20" t="s">
        <v>517</v>
      </c>
      <c r="G198" s="8" t="str">
        <f t="shared" si="6"/>
        <v>WEST BRYAN</v>
      </c>
      <c r="H198" s="20" t="str">
        <f t="shared" si="7"/>
        <v>4016</v>
      </c>
    </row>
    <row r="199" spans="1:8" x14ac:dyDescent="0.25">
      <c r="A199" s="8">
        <v>43023.840543981481</v>
      </c>
      <c r="B199" s="20" t="s">
        <v>498</v>
      </c>
      <c r="C199" s="20" t="s">
        <v>789</v>
      </c>
      <c r="D199" s="138">
        <v>3490000</v>
      </c>
      <c r="E199" s="20" t="s">
        <v>516</v>
      </c>
      <c r="F199" s="20" t="s">
        <v>517</v>
      </c>
      <c r="G199" s="8" t="str">
        <f t="shared" si="6"/>
        <v>WEST BRYAN</v>
      </c>
      <c r="H199" s="20" t="str">
        <f t="shared" si="7"/>
        <v>4003</v>
      </c>
    </row>
    <row r="200" spans="1:8" x14ac:dyDescent="0.25">
      <c r="A200" s="8">
        <v>43023.840636574074</v>
      </c>
      <c r="B200" s="20" t="s">
        <v>458</v>
      </c>
      <c r="C200" s="20" t="s">
        <v>585</v>
      </c>
      <c r="D200" s="138">
        <v>2030000</v>
      </c>
      <c r="E200" s="20" t="s">
        <v>461</v>
      </c>
      <c r="F200" s="20" t="s">
        <v>462</v>
      </c>
      <c r="G200" s="8" t="str">
        <f t="shared" si="6"/>
        <v>KILLION DAVID</v>
      </c>
      <c r="H200" s="20" t="str">
        <f t="shared" si="7"/>
        <v>4002</v>
      </c>
    </row>
    <row r="201" spans="1:8" x14ac:dyDescent="0.25">
      <c r="A201" s="8">
        <v>43023.841365740744</v>
      </c>
      <c r="B201" s="20" t="s">
        <v>498</v>
      </c>
      <c r="C201" s="20" t="s">
        <v>789</v>
      </c>
      <c r="D201" s="138">
        <v>3490000</v>
      </c>
      <c r="E201" s="20" t="s">
        <v>516</v>
      </c>
      <c r="F201" s="20" t="s">
        <v>517</v>
      </c>
      <c r="G201" s="8" t="str">
        <f t="shared" si="6"/>
        <v>WEST BRYAN</v>
      </c>
      <c r="H201" s="20" t="str">
        <f t="shared" si="7"/>
        <v>4003</v>
      </c>
    </row>
    <row r="202" spans="1:8" x14ac:dyDescent="0.25">
      <c r="A202" s="26">
        <v>43023.842314814814</v>
      </c>
      <c r="B202" s="20" t="s">
        <v>498</v>
      </c>
      <c r="C202" s="20" t="s">
        <v>789</v>
      </c>
      <c r="D202" s="138">
        <v>3490000</v>
      </c>
      <c r="E202" s="20" t="s">
        <v>516</v>
      </c>
      <c r="F202" s="20" t="s">
        <v>517</v>
      </c>
      <c r="G202" s="8" t="str">
        <f t="shared" si="6"/>
        <v>WEST BRYAN</v>
      </c>
      <c r="H202" s="20" t="str">
        <f t="shared" si="7"/>
        <v>4003</v>
      </c>
    </row>
    <row r="203" spans="1:8" x14ac:dyDescent="0.25">
      <c r="A203" s="8">
        <v>43023.844131944446</v>
      </c>
      <c r="B203" s="20" t="s">
        <v>498</v>
      </c>
      <c r="C203" s="20" t="s">
        <v>789</v>
      </c>
      <c r="D203" s="138">
        <v>3490000</v>
      </c>
      <c r="E203" s="20" t="s">
        <v>516</v>
      </c>
      <c r="F203" s="20" t="s">
        <v>517</v>
      </c>
      <c r="G203" s="8" t="str">
        <f t="shared" si="6"/>
        <v>WEST BRYAN</v>
      </c>
      <c r="H203" s="20" t="str">
        <f t="shared" si="7"/>
        <v>4003</v>
      </c>
    </row>
    <row r="204" spans="1:8" x14ac:dyDescent="0.25">
      <c r="A204" s="8">
        <v>43023.848680555559</v>
      </c>
      <c r="B204" s="20" t="s">
        <v>431</v>
      </c>
      <c r="C204" s="20" t="s">
        <v>790</v>
      </c>
      <c r="D204" s="138">
        <v>890000</v>
      </c>
      <c r="E204" s="20" t="s">
        <v>359</v>
      </c>
      <c r="F204" s="20" t="s">
        <v>360</v>
      </c>
      <c r="G204" s="8" t="str">
        <f t="shared" si="6"/>
        <v>LOZA FIDEL</v>
      </c>
      <c r="H204" s="20" t="str">
        <f t="shared" si="7"/>
        <v>4035</v>
      </c>
    </row>
    <row r="205" spans="1:8" x14ac:dyDescent="0.25">
      <c r="A205" s="8">
        <v>43023.851689814815</v>
      </c>
      <c r="B205" s="20" t="s">
        <v>566</v>
      </c>
      <c r="C205" s="20" t="s">
        <v>586</v>
      </c>
      <c r="D205" s="138">
        <v>2680000</v>
      </c>
      <c r="E205" s="20" t="s">
        <v>365</v>
      </c>
      <c r="F205" s="20" t="s">
        <v>366</v>
      </c>
      <c r="G205" s="8" t="str">
        <f t="shared" si="6"/>
        <v>DUNCAN SHEILA</v>
      </c>
      <c r="H205" s="20" t="str">
        <f t="shared" si="7"/>
        <v>4016</v>
      </c>
    </row>
    <row r="206" spans="1:8" x14ac:dyDescent="0.25">
      <c r="A206" s="8">
        <v>43023.859861111108</v>
      </c>
      <c r="B206" s="20" t="s">
        <v>494</v>
      </c>
      <c r="C206" s="20" t="s">
        <v>791</v>
      </c>
      <c r="D206" s="138">
        <v>3340000</v>
      </c>
      <c r="E206" s="20" t="s">
        <v>518</v>
      </c>
      <c r="F206" s="20" t="s">
        <v>519</v>
      </c>
      <c r="G206" s="8" t="str">
        <f t="shared" si="6"/>
        <v>ELBAUM MIKE</v>
      </c>
      <c r="H206" s="20" t="str">
        <f t="shared" si="7"/>
        <v>4041</v>
      </c>
    </row>
    <row r="207" spans="1:8" x14ac:dyDescent="0.25">
      <c r="A207" s="8">
        <v>43023.865555555552</v>
      </c>
      <c r="B207" s="20" t="s">
        <v>455</v>
      </c>
      <c r="C207" s="20" t="s">
        <v>792</v>
      </c>
      <c r="D207" s="138">
        <v>2000000</v>
      </c>
      <c r="E207" s="20" t="s">
        <v>373</v>
      </c>
      <c r="F207" s="20" t="s">
        <v>362</v>
      </c>
      <c r="G207" s="8" t="str">
        <f t="shared" si="6"/>
        <v>STAMBAUGH JAMES</v>
      </c>
      <c r="H207" s="20" t="str">
        <f t="shared" si="7"/>
        <v>4032</v>
      </c>
    </row>
    <row r="208" spans="1:8" x14ac:dyDescent="0.25">
      <c r="A208" s="8">
        <v>43023.875868055555</v>
      </c>
      <c r="B208" s="20" t="s">
        <v>458</v>
      </c>
      <c r="C208" s="20" t="s">
        <v>587</v>
      </c>
      <c r="D208" s="138">
        <v>2030000</v>
      </c>
      <c r="E208" s="20" t="s">
        <v>461</v>
      </c>
      <c r="F208" s="20" t="s">
        <v>462</v>
      </c>
      <c r="G208" s="8" t="str">
        <f t="shared" si="6"/>
        <v>KILLION DAVID</v>
      </c>
      <c r="H208" s="20" t="str">
        <f t="shared" si="7"/>
        <v>4002</v>
      </c>
    </row>
    <row r="209" spans="1:8" x14ac:dyDescent="0.25">
      <c r="A209" s="8">
        <v>43023.881921296299</v>
      </c>
      <c r="B209" s="20" t="s">
        <v>498</v>
      </c>
      <c r="C209" s="20" t="s">
        <v>793</v>
      </c>
      <c r="D209" s="138">
        <v>2680000</v>
      </c>
      <c r="E209" s="20" t="s">
        <v>365</v>
      </c>
      <c r="F209" s="20" t="s">
        <v>366</v>
      </c>
      <c r="G209" s="8" t="str">
        <f t="shared" si="6"/>
        <v>DUNCAN SHEILA</v>
      </c>
      <c r="H209" s="20" t="str">
        <f t="shared" si="7"/>
        <v>4003</v>
      </c>
    </row>
    <row r="210" spans="1:8" x14ac:dyDescent="0.25">
      <c r="A210" s="8">
        <v>43023.885416666664</v>
      </c>
      <c r="B210" s="20" t="s">
        <v>709</v>
      </c>
      <c r="C210" s="20" t="s">
        <v>794</v>
      </c>
      <c r="D210" s="138">
        <v>3490000</v>
      </c>
      <c r="E210" s="20" t="s">
        <v>516</v>
      </c>
      <c r="F210" s="20" t="s">
        <v>517</v>
      </c>
      <c r="G210" s="8" t="str">
        <f t="shared" si="6"/>
        <v>WEST BRYAN</v>
      </c>
      <c r="H210" s="20" t="str">
        <f t="shared" si="7"/>
        <v>4044</v>
      </c>
    </row>
    <row r="211" spans="1:8" x14ac:dyDescent="0.25">
      <c r="A211" s="8">
        <v>43023.887256944443</v>
      </c>
      <c r="B211" s="20" t="s">
        <v>709</v>
      </c>
      <c r="C211" s="20" t="s">
        <v>794</v>
      </c>
      <c r="D211" s="138">
        <v>3490000</v>
      </c>
      <c r="E211" s="20" t="s">
        <v>516</v>
      </c>
      <c r="F211" s="20" t="s">
        <v>517</v>
      </c>
      <c r="G211" s="8" t="str">
        <f t="shared" si="6"/>
        <v>WEST BRYAN</v>
      </c>
      <c r="H211" s="20" t="str">
        <f t="shared" si="7"/>
        <v>4044</v>
      </c>
    </row>
    <row r="212" spans="1:8" x14ac:dyDescent="0.25">
      <c r="A212" s="8">
        <v>43023.892442129632</v>
      </c>
      <c r="B212" s="20" t="s">
        <v>417</v>
      </c>
      <c r="C212" s="20" t="s">
        <v>795</v>
      </c>
      <c r="D212" s="138">
        <v>890000</v>
      </c>
      <c r="E212" s="20" t="s">
        <v>359</v>
      </c>
      <c r="F212" s="20" t="s">
        <v>360</v>
      </c>
      <c r="G212" s="8" t="str">
        <f t="shared" si="6"/>
        <v>LOZA FIDEL</v>
      </c>
      <c r="H212" s="20" t="str">
        <f t="shared" si="7"/>
        <v>4036</v>
      </c>
    </row>
    <row r="213" spans="1:8" x14ac:dyDescent="0.25">
      <c r="A213" s="8">
        <v>43023.89671296296</v>
      </c>
      <c r="B213" s="20" t="s">
        <v>709</v>
      </c>
      <c r="C213" s="20" t="s">
        <v>794</v>
      </c>
      <c r="D213" s="138">
        <v>3490000</v>
      </c>
      <c r="E213" s="20" t="s">
        <v>516</v>
      </c>
      <c r="F213" s="20" t="s">
        <v>517</v>
      </c>
      <c r="G213" s="8" t="str">
        <f t="shared" si="6"/>
        <v>WEST BRYAN</v>
      </c>
      <c r="H213" s="20" t="str">
        <f t="shared" si="7"/>
        <v>4044</v>
      </c>
    </row>
    <row r="214" spans="1:8" x14ac:dyDescent="0.25">
      <c r="A214" s="8">
        <v>43023.900289351855</v>
      </c>
      <c r="B214" s="20" t="s">
        <v>495</v>
      </c>
      <c r="C214" s="20" t="s">
        <v>796</v>
      </c>
      <c r="D214" s="138">
        <v>3340000</v>
      </c>
      <c r="E214" s="20" t="s">
        <v>518</v>
      </c>
      <c r="F214" s="20" t="s">
        <v>519</v>
      </c>
      <c r="G214" s="8" t="str">
        <f t="shared" si="6"/>
        <v>ELBAUM MIKE</v>
      </c>
      <c r="H214" s="20" t="str">
        <f t="shared" si="7"/>
        <v>4042</v>
      </c>
    </row>
    <row r="215" spans="1:8" x14ac:dyDescent="0.25">
      <c r="A215" s="8">
        <v>43023.90116898148</v>
      </c>
      <c r="B215" s="20" t="s">
        <v>495</v>
      </c>
      <c r="C215" s="20" t="s">
        <v>796</v>
      </c>
      <c r="D215" s="138">
        <v>3340000</v>
      </c>
      <c r="E215" s="20" t="s">
        <v>518</v>
      </c>
      <c r="F215" s="20" t="s">
        <v>519</v>
      </c>
      <c r="G215" s="8" t="str">
        <f t="shared" si="6"/>
        <v>ELBAUM MIKE</v>
      </c>
      <c r="H215" s="20" t="str">
        <f t="shared" si="7"/>
        <v>4042</v>
      </c>
    </row>
    <row r="216" spans="1:8" x14ac:dyDescent="0.25">
      <c r="A216" s="8">
        <v>43023.902696759258</v>
      </c>
      <c r="B216" s="20" t="s">
        <v>694</v>
      </c>
      <c r="C216" s="20" t="s">
        <v>794</v>
      </c>
      <c r="D216" s="138">
        <v>3490000</v>
      </c>
      <c r="E216" s="20" t="s">
        <v>516</v>
      </c>
      <c r="F216" s="20" t="s">
        <v>517</v>
      </c>
      <c r="G216" s="8" t="str">
        <f t="shared" si="6"/>
        <v>WEST BRYAN</v>
      </c>
      <c r="H216" s="20" t="str">
        <f t="shared" si="7"/>
        <v>4043</v>
      </c>
    </row>
    <row r="217" spans="1:8" x14ac:dyDescent="0.25">
      <c r="A217" s="8">
        <v>43023.904016203705</v>
      </c>
      <c r="B217" s="20" t="s">
        <v>694</v>
      </c>
      <c r="C217" s="20" t="s">
        <v>794</v>
      </c>
      <c r="D217" s="138">
        <v>3490000</v>
      </c>
      <c r="E217" s="20" t="s">
        <v>516</v>
      </c>
      <c r="F217" s="20" t="s">
        <v>517</v>
      </c>
      <c r="G217" s="8" t="str">
        <f t="shared" si="6"/>
        <v>WEST BRYAN</v>
      </c>
      <c r="H217" s="20" t="str">
        <f t="shared" si="7"/>
        <v>4043</v>
      </c>
    </row>
    <row r="218" spans="1:8" x14ac:dyDescent="0.25">
      <c r="A218" s="8">
        <v>43023.904340277775</v>
      </c>
      <c r="B218" s="20" t="s">
        <v>451</v>
      </c>
      <c r="C218" s="20" t="s">
        <v>797</v>
      </c>
      <c r="D218" s="138">
        <v>2030000</v>
      </c>
      <c r="E218" s="20" t="s">
        <v>461</v>
      </c>
      <c r="F218" s="20" t="s">
        <v>462</v>
      </c>
      <c r="G218" s="8" t="str">
        <f t="shared" si="6"/>
        <v>KILLION DAVID</v>
      </c>
      <c r="H218" s="20" t="str">
        <f t="shared" si="7"/>
        <v>4001</v>
      </c>
    </row>
    <row r="219" spans="1:8" x14ac:dyDescent="0.25">
      <c r="A219" s="8">
        <v>43023.905312499999</v>
      </c>
      <c r="B219" s="20" t="s">
        <v>694</v>
      </c>
      <c r="C219" s="20" t="s">
        <v>794</v>
      </c>
      <c r="D219" s="138">
        <v>3490000</v>
      </c>
      <c r="E219" s="20" t="s">
        <v>516</v>
      </c>
      <c r="F219" s="20" t="s">
        <v>517</v>
      </c>
      <c r="G219" s="8" t="str">
        <f t="shared" si="6"/>
        <v>WEST BRYAN</v>
      </c>
      <c r="H219" s="20" t="str">
        <f t="shared" si="7"/>
        <v>4043</v>
      </c>
    </row>
    <row r="220" spans="1:8" x14ac:dyDescent="0.25">
      <c r="A220" s="8">
        <v>43023.906030092592</v>
      </c>
      <c r="B220" s="20" t="s">
        <v>694</v>
      </c>
      <c r="C220" s="20" t="s">
        <v>794</v>
      </c>
      <c r="D220" s="138">
        <v>3490000</v>
      </c>
      <c r="E220" s="20" t="s">
        <v>516</v>
      </c>
      <c r="F220" s="20" t="s">
        <v>517</v>
      </c>
      <c r="G220" s="8" t="str">
        <f t="shared" si="6"/>
        <v>WEST BRYAN</v>
      </c>
      <c r="H220" s="20" t="str">
        <f t="shared" si="7"/>
        <v>4043</v>
      </c>
    </row>
    <row r="221" spans="1:8" x14ac:dyDescent="0.25">
      <c r="A221" s="8">
        <v>43023.907037037039</v>
      </c>
      <c r="B221" s="20" t="s">
        <v>694</v>
      </c>
      <c r="C221" s="20" t="s">
        <v>794</v>
      </c>
      <c r="D221" s="138">
        <v>3490000</v>
      </c>
      <c r="E221" s="20" t="s">
        <v>516</v>
      </c>
      <c r="F221" s="20" t="s">
        <v>517</v>
      </c>
      <c r="G221" s="8" t="str">
        <f t="shared" si="6"/>
        <v>WEST BRYAN</v>
      </c>
      <c r="H221" s="20" t="str">
        <f t="shared" si="7"/>
        <v>4043</v>
      </c>
    </row>
    <row r="222" spans="1:8" x14ac:dyDescent="0.25">
      <c r="A222" s="8">
        <v>43023.912604166668</v>
      </c>
      <c r="B222" s="20" t="s">
        <v>588</v>
      </c>
      <c r="C222" s="20" t="s">
        <v>589</v>
      </c>
      <c r="D222" s="138">
        <v>2000000</v>
      </c>
      <c r="E222" s="20" t="s">
        <v>373</v>
      </c>
      <c r="F222" s="20" t="s">
        <v>362</v>
      </c>
      <c r="G222" s="8" t="str">
        <f t="shared" si="6"/>
        <v>STAMBAUGH JAMES</v>
      </c>
      <c r="H222" s="20" t="str">
        <f t="shared" si="7"/>
        <v>4007</v>
      </c>
    </row>
    <row r="223" spans="1:8" x14ac:dyDescent="0.25">
      <c r="A223" s="8">
        <v>43023.916122685187</v>
      </c>
      <c r="B223" s="20" t="s">
        <v>458</v>
      </c>
      <c r="C223" s="20" t="s">
        <v>798</v>
      </c>
      <c r="D223" s="138">
        <v>2030000</v>
      </c>
      <c r="E223" s="20" t="s">
        <v>461</v>
      </c>
      <c r="F223" s="20" t="s">
        <v>462</v>
      </c>
      <c r="G223" s="8" t="str">
        <f t="shared" si="6"/>
        <v>KILLION DAVID</v>
      </c>
      <c r="H223" s="20" t="str">
        <f t="shared" si="7"/>
        <v>4002</v>
      </c>
    </row>
    <row r="224" spans="1:8" x14ac:dyDescent="0.25">
      <c r="A224" s="8">
        <v>43023.922268518516</v>
      </c>
      <c r="B224" t="s">
        <v>566</v>
      </c>
      <c r="C224" t="s">
        <v>799</v>
      </c>
      <c r="D224" s="138">
        <v>2680000</v>
      </c>
      <c r="E224" t="s">
        <v>365</v>
      </c>
      <c r="F224" s="20" t="s">
        <v>366</v>
      </c>
      <c r="G224" s="8" t="str">
        <f t="shared" si="6"/>
        <v>DUNCAN SHEILA</v>
      </c>
      <c r="H224" s="20" t="str">
        <f t="shared" si="7"/>
        <v>4016</v>
      </c>
    </row>
    <row r="225" spans="1:8" x14ac:dyDescent="0.25">
      <c r="A225" s="8">
        <v>43023.934062499997</v>
      </c>
      <c r="B225" t="s">
        <v>431</v>
      </c>
      <c r="C225" t="s">
        <v>800</v>
      </c>
      <c r="D225" s="138">
        <v>890000</v>
      </c>
      <c r="E225" t="s">
        <v>359</v>
      </c>
      <c r="F225" s="20" t="s">
        <v>360</v>
      </c>
      <c r="G225" s="8" t="str">
        <f t="shared" si="6"/>
        <v>LOZA FIDEL</v>
      </c>
      <c r="H225" s="20" t="str">
        <f t="shared" si="7"/>
        <v>4035</v>
      </c>
    </row>
    <row r="226" spans="1:8" x14ac:dyDescent="0.25">
      <c r="A226" s="8">
        <v>43023.935925925929</v>
      </c>
      <c r="B226" t="s">
        <v>451</v>
      </c>
      <c r="C226" t="s">
        <v>801</v>
      </c>
      <c r="D226" s="138">
        <v>2030000</v>
      </c>
      <c r="E226" t="s">
        <v>461</v>
      </c>
      <c r="F226" s="20" t="s">
        <v>462</v>
      </c>
      <c r="G226" s="8" t="str">
        <f t="shared" si="6"/>
        <v>KILLION DAVID</v>
      </c>
      <c r="H226" s="20" t="str">
        <f t="shared" si="7"/>
        <v>4001</v>
      </c>
    </row>
    <row r="227" spans="1:8" x14ac:dyDescent="0.25">
      <c r="A227" s="8">
        <v>43023.943113425928</v>
      </c>
      <c r="B227" t="s">
        <v>494</v>
      </c>
      <c r="C227" t="s">
        <v>802</v>
      </c>
      <c r="D227" s="138">
        <v>3340000</v>
      </c>
      <c r="E227" t="s">
        <v>518</v>
      </c>
      <c r="F227" s="20" t="s">
        <v>519</v>
      </c>
      <c r="G227" s="8" t="str">
        <f t="shared" si="6"/>
        <v>ELBAUM MIKE</v>
      </c>
      <c r="H227" s="20" t="str">
        <f t="shared" si="7"/>
        <v>4041</v>
      </c>
    </row>
    <row r="228" spans="1:8" x14ac:dyDescent="0.25">
      <c r="A228" s="8">
        <v>43023.944641203707</v>
      </c>
      <c r="B228" t="s">
        <v>455</v>
      </c>
      <c r="C228" t="s">
        <v>591</v>
      </c>
      <c r="D228" s="138">
        <v>2000000</v>
      </c>
      <c r="E228" t="s">
        <v>373</v>
      </c>
      <c r="F228" s="20" t="s">
        <v>362</v>
      </c>
      <c r="G228" s="8" t="str">
        <f t="shared" si="6"/>
        <v>STAMBAUGH JAMES</v>
      </c>
      <c r="H228" s="20" t="str">
        <f t="shared" si="7"/>
        <v>4032</v>
      </c>
    </row>
    <row r="229" spans="1:8" x14ac:dyDescent="0.25">
      <c r="A229" s="8">
        <v>43023.952476851853</v>
      </c>
      <c r="B229" t="s">
        <v>494</v>
      </c>
      <c r="C229" t="s">
        <v>802</v>
      </c>
      <c r="D229" s="138">
        <v>3340000</v>
      </c>
      <c r="E229" t="s">
        <v>518</v>
      </c>
      <c r="F229" s="20" t="s">
        <v>519</v>
      </c>
      <c r="G229" s="8" t="str">
        <f t="shared" si="6"/>
        <v>ELBAUM MIKE</v>
      </c>
      <c r="H229" s="20" t="str">
        <f t="shared" si="7"/>
        <v>4041</v>
      </c>
    </row>
    <row r="230" spans="1:8" x14ac:dyDescent="0.25">
      <c r="A230" s="8">
        <v>43023.956817129627</v>
      </c>
      <c r="B230" t="s">
        <v>458</v>
      </c>
      <c r="C230" t="s">
        <v>590</v>
      </c>
      <c r="D230" s="138">
        <v>2030000</v>
      </c>
      <c r="E230" t="s">
        <v>461</v>
      </c>
      <c r="F230" s="20" t="s">
        <v>462</v>
      </c>
      <c r="G230" s="8" t="str">
        <f t="shared" si="6"/>
        <v>KILLION DAVID</v>
      </c>
      <c r="H230" s="20" t="str">
        <f t="shared" si="7"/>
        <v>4002</v>
      </c>
    </row>
    <row r="231" spans="1:8" x14ac:dyDescent="0.25">
      <c r="A231" s="8">
        <v>43023.965046296296</v>
      </c>
      <c r="B231" t="s">
        <v>498</v>
      </c>
      <c r="C231" t="s">
        <v>803</v>
      </c>
      <c r="D231" s="138">
        <v>2680000</v>
      </c>
      <c r="E231" t="s">
        <v>365</v>
      </c>
      <c r="F231" s="20" t="s">
        <v>366</v>
      </c>
      <c r="G231" s="8" t="str">
        <f t="shared" si="6"/>
        <v>DUNCAN SHEILA</v>
      </c>
      <c r="H231" s="20" t="str">
        <f t="shared" si="7"/>
        <v>4003</v>
      </c>
    </row>
    <row r="232" spans="1:8" x14ac:dyDescent="0.25">
      <c r="A232" s="8">
        <v>43023.976342592592</v>
      </c>
      <c r="B232" t="s">
        <v>451</v>
      </c>
      <c r="C232" t="s">
        <v>592</v>
      </c>
      <c r="D232" s="138">
        <v>2030000</v>
      </c>
      <c r="E232" t="s">
        <v>461</v>
      </c>
      <c r="F232" s="20" t="s">
        <v>462</v>
      </c>
      <c r="G232" s="8" t="str">
        <f t="shared" si="6"/>
        <v>KILLION DAVID</v>
      </c>
      <c r="H232" s="20" t="str">
        <f t="shared" si="7"/>
        <v>4001</v>
      </c>
    </row>
    <row r="233" spans="1:8" x14ac:dyDescent="0.25">
      <c r="A233" s="8">
        <v>43023.977870370371</v>
      </c>
      <c r="B233" t="s">
        <v>417</v>
      </c>
      <c r="C233" t="s">
        <v>804</v>
      </c>
      <c r="D233" s="138">
        <v>890000</v>
      </c>
      <c r="E233" t="s">
        <v>359</v>
      </c>
      <c r="F233" s="20" t="s">
        <v>360</v>
      </c>
      <c r="G233" s="8" t="str">
        <f t="shared" si="6"/>
        <v>LOZA FIDEL</v>
      </c>
      <c r="H233" s="20" t="str">
        <f t="shared" si="7"/>
        <v>4036</v>
      </c>
    </row>
    <row r="234" spans="1:8" x14ac:dyDescent="0.25">
      <c r="A234" s="8">
        <v>43023.983796296299</v>
      </c>
      <c r="B234" t="s">
        <v>495</v>
      </c>
      <c r="C234" t="s">
        <v>805</v>
      </c>
      <c r="D234" s="138">
        <v>3340000</v>
      </c>
      <c r="E234" t="s">
        <v>518</v>
      </c>
      <c r="F234" s="20" t="s">
        <v>519</v>
      </c>
      <c r="G234" s="8" t="str">
        <f t="shared" si="6"/>
        <v>ELBAUM MIKE</v>
      </c>
      <c r="H234" s="20" t="str">
        <f t="shared" si="7"/>
        <v>4042</v>
      </c>
    </row>
    <row r="235" spans="1:8" x14ac:dyDescent="0.25">
      <c r="A235" s="8">
        <v>43023.995486111111</v>
      </c>
      <c r="B235" t="s">
        <v>588</v>
      </c>
      <c r="C235" t="s">
        <v>593</v>
      </c>
      <c r="D235" s="138">
        <v>2000000</v>
      </c>
      <c r="E235" t="s">
        <v>373</v>
      </c>
      <c r="F235" s="20" t="s">
        <v>362</v>
      </c>
      <c r="G235" s="8" t="str">
        <f t="shared" si="6"/>
        <v>STAMBAUGH JAMES</v>
      </c>
      <c r="H235" s="20" t="str">
        <f t="shared" si="7"/>
        <v>4007</v>
      </c>
    </row>
    <row r="236" spans="1:8" x14ac:dyDescent="0.25">
      <c r="A236" s="8">
        <v>43024.010879629626</v>
      </c>
      <c r="B236" t="s">
        <v>566</v>
      </c>
      <c r="C236" t="s">
        <v>806</v>
      </c>
      <c r="D236" s="138">
        <v>2680000</v>
      </c>
      <c r="E236" t="s">
        <v>365</v>
      </c>
      <c r="F236" s="20" t="s">
        <v>366</v>
      </c>
      <c r="G236" s="8" t="str">
        <f t="shared" si="6"/>
        <v>DUNCAN SHEILA</v>
      </c>
      <c r="H236" s="20" t="str">
        <f t="shared" si="7"/>
        <v>4016</v>
      </c>
    </row>
    <row r="237" spans="1:8" x14ac:dyDescent="0.25">
      <c r="A237" s="8">
        <v>43024.016909722224</v>
      </c>
      <c r="B237" t="s">
        <v>431</v>
      </c>
      <c r="C237" t="s">
        <v>807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4035</v>
      </c>
    </row>
    <row r="238" spans="1:8" x14ac:dyDescent="0.25">
      <c r="A238" s="8">
        <v>43024.025659722225</v>
      </c>
      <c r="B238" t="s">
        <v>494</v>
      </c>
      <c r="C238" t="s">
        <v>808</v>
      </c>
      <c r="D238" s="138">
        <v>3340000</v>
      </c>
      <c r="E238" t="s">
        <v>518</v>
      </c>
      <c r="F238" s="20" t="s">
        <v>519</v>
      </c>
      <c r="G238" s="8" t="str">
        <f t="shared" si="6"/>
        <v>ELBAUM MIKE</v>
      </c>
      <c r="H238" s="20" t="str">
        <f t="shared" si="7"/>
        <v>4041</v>
      </c>
    </row>
    <row r="239" spans="1:8" x14ac:dyDescent="0.25">
      <c r="A239" s="8">
        <v>43024.026979166665</v>
      </c>
      <c r="B239" t="s">
        <v>455</v>
      </c>
      <c r="C239" t="s">
        <v>809</v>
      </c>
      <c r="D239" s="138">
        <v>2000000</v>
      </c>
      <c r="E239" t="s">
        <v>373</v>
      </c>
      <c r="F239" s="20" t="s">
        <v>362</v>
      </c>
      <c r="G239" s="8" t="str">
        <f t="shared" si="6"/>
        <v>STAMBAUGH JAMES</v>
      </c>
      <c r="H239" s="20" t="str">
        <f t="shared" si="7"/>
        <v>4032</v>
      </c>
    </row>
    <row r="240" spans="1:8" x14ac:dyDescent="0.25">
      <c r="A240" s="8">
        <v>43024.046053240738</v>
      </c>
      <c r="B240" t="s">
        <v>417</v>
      </c>
      <c r="C240" t="s">
        <v>810</v>
      </c>
      <c r="D240" s="138">
        <v>890000</v>
      </c>
      <c r="E240" t="s">
        <v>359</v>
      </c>
      <c r="F240" s="20" t="s">
        <v>360</v>
      </c>
      <c r="G240" s="8" t="str">
        <f t="shared" si="6"/>
        <v>LOZA FIDEL</v>
      </c>
      <c r="H240" s="20" t="str">
        <f t="shared" si="7"/>
        <v>4036</v>
      </c>
    </row>
    <row r="241" spans="1:8" x14ac:dyDescent="0.25">
      <c r="A241" s="8">
        <v>43024.048819444448</v>
      </c>
      <c r="B241" t="s">
        <v>498</v>
      </c>
      <c r="C241" t="s">
        <v>595</v>
      </c>
      <c r="D241" s="138">
        <v>2680000</v>
      </c>
      <c r="E241" t="s">
        <v>365</v>
      </c>
      <c r="F241" s="20" t="s">
        <v>366</v>
      </c>
      <c r="G241" s="8" t="str">
        <f t="shared" si="6"/>
        <v>DUNCAN SHEILA</v>
      </c>
      <c r="H241" s="20" t="str">
        <f t="shared" si="7"/>
        <v>4003</v>
      </c>
    </row>
    <row r="242" spans="1:8" x14ac:dyDescent="0.25">
      <c r="A242" s="8">
        <v>43024.066874999997</v>
      </c>
      <c r="B242" t="s">
        <v>495</v>
      </c>
      <c r="C242" t="s">
        <v>594</v>
      </c>
      <c r="D242" s="138">
        <v>3340000</v>
      </c>
      <c r="E242" t="s">
        <v>518</v>
      </c>
      <c r="F242" s="20" t="s">
        <v>519</v>
      </c>
      <c r="G242" s="8" t="str">
        <f t="shared" si="6"/>
        <v>ELBAUM MIKE</v>
      </c>
      <c r="H242" s="20" t="str">
        <f t="shared" si="7"/>
        <v>4042</v>
      </c>
    </row>
    <row r="243" spans="1:8" x14ac:dyDescent="0.25">
      <c r="A243" s="8">
        <v>43024.090520833335</v>
      </c>
      <c r="B243" t="s">
        <v>566</v>
      </c>
      <c r="C243" t="s">
        <v>811</v>
      </c>
      <c r="D243" s="138">
        <v>2680000</v>
      </c>
      <c r="E243" t="s">
        <v>365</v>
      </c>
      <c r="F243" s="20" t="s">
        <v>366</v>
      </c>
      <c r="G243" s="8" t="str">
        <f t="shared" si="6"/>
        <v>DUNCAN SHEILA</v>
      </c>
      <c r="H243" s="20" t="str">
        <f t="shared" si="7"/>
        <v>4016</v>
      </c>
    </row>
    <row r="244" spans="1:8" x14ac:dyDescent="0.25">
      <c r="A244" s="8">
        <v>43021.026122685187</v>
      </c>
      <c r="B244" t="s">
        <v>451</v>
      </c>
      <c r="C244" t="s">
        <v>520</v>
      </c>
      <c r="D244" s="138">
        <v>3340000</v>
      </c>
      <c r="E244" t="s">
        <v>518</v>
      </c>
      <c r="F244" s="20" t="s">
        <v>519</v>
      </c>
      <c r="G244" s="8" t="str">
        <f t="shared" si="6"/>
        <v>ELBAUM MIKE</v>
      </c>
      <c r="H244" s="20" t="str">
        <f t="shared" si="7"/>
        <v>4001</v>
      </c>
    </row>
    <row r="245" spans="1:8" x14ac:dyDescent="0.25">
      <c r="A245" s="8">
        <v>43021.028391203705</v>
      </c>
      <c r="B245" t="s">
        <v>504</v>
      </c>
      <c r="C245" t="s">
        <v>521</v>
      </c>
      <c r="D245" s="138">
        <v>3490000</v>
      </c>
      <c r="E245" t="s">
        <v>516</v>
      </c>
      <c r="F245" s="20" t="s">
        <v>517</v>
      </c>
      <c r="G245" s="8" t="str">
        <f t="shared" si="6"/>
        <v>WEST BRYAN</v>
      </c>
      <c r="H245" s="20" t="str">
        <f t="shared" si="7"/>
        <v>4026</v>
      </c>
    </row>
    <row r="246" spans="1:8" x14ac:dyDescent="0.25">
      <c r="A246" s="8">
        <v>43021.04828703704</v>
      </c>
      <c r="B246" t="s">
        <v>385</v>
      </c>
      <c r="C246" t="s">
        <v>522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25">
      <c r="A247" s="8">
        <v>43021.056157407409</v>
      </c>
      <c r="B247" t="s">
        <v>423</v>
      </c>
      <c r="C247" t="s">
        <v>523</v>
      </c>
      <c r="D247" s="138">
        <v>2540000</v>
      </c>
      <c r="E247" t="s">
        <v>406</v>
      </c>
      <c r="F247" s="20" t="s">
        <v>407</v>
      </c>
      <c r="G247" s="8" t="str">
        <f t="shared" si="6"/>
        <v>MCREYNOLDS KYLE</v>
      </c>
      <c r="H247" s="20" t="str">
        <f t="shared" si="7"/>
        <v>4051</v>
      </c>
    </row>
    <row r="248" spans="1:8" x14ac:dyDescent="0.25">
      <c r="A248" s="8">
        <v>43021.066805555558</v>
      </c>
      <c r="B248" t="s">
        <v>458</v>
      </c>
      <c r="C248" t="s">
        <v>524</v>
      </c>
      <c r="D248" s="138">
        <v>3340000</v>
      </c>
      <c r="E248" t="s">
        <v>518</v>
      </c>
      <c r="F248" s="20" t="s">
        <v>519</v>
      </c>
      <c r="G248" s="8" t="str">
        <f t="shared" si="6"/>
        <v>ELBAUM MIKE</v>
      </c>
      <c r="H248" s="20" t="str">
        <f t="shared" si="7"/>
        <v>4002</v>
      </c>
    </row>
    <row r="249" spans="1:8" x14ac:dyDescent="0.25">
      <c r="A249" s="8">
        <v>43021.08934027778</v>
      </c>
      <c r="B249" t="s">
        <v>422</v>
      </c>
      <c r="C249" t="s">
        <v>525</v>
      </c>
      <c r="D249" s="138">
        <v>2540000</v>
      </c>
      <c r="E249" t="s">
        <v>406</v>
      </c>
      <c r="F249" s="20" t="s">
        <v>407</v>
      </c>
      <c r="G249" s="8" t="str">
        <f t="shared" si="6"/>
        <v>MCREYNOLDS KYLE</v>
      </c>
      <c r="H249" s="20" t="str">
        <f t="shared" si="7"/>
        <v>4052</v>
      </c>
    </row>
    <row r="250" spans="1:8" x14ac:dyDescent="0.25">
      <c r="A250" s="8">
        <v>43019.975057870368</v>
      </c>
      <c r="B250" t="s">
        <v>384</v>
      </c>
      <c r="C250" t="s">
        <v>465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25">
      <c r="A251" s="8">
        <v>43019.985497685186</v>
      </c>
      <c r="B251" t="s">
        <v>453</v>
      </c>
      <c r="C251" t="s">
        <v>466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25">
      <c r="A252" s="8">
        <v>43019.98809027778</v>
      </c>
      <c r="B252" t="s">
        <v>455</v>
      </c>
      <c r="C252" t="s">
        <v>467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25">
      <c r="A253" s="8">
        <v>43020.005173611113</v>
      </c>
      <c r="B253" t="s">
        <v>452</v>
      </c>
      <c r="C253" t="s">
        <v>468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25">
      <c r="A254" s="8">
        <v>43020.006828703707</v>
      </c>
      <c r="B254" t="s">
        <v>417</v>
      </c>
      <c r="C254" t="s">
        <v>469</v>
      </c>
      <c r="D254" s="138">
        <v>2440000</v>
      </c>
      <c r="E254" t="s">
        <v>463</v>
      </c>
      <c r="F254" s="20" t="s">
        <v>464</v>
      </c>
      <c r="G254" s="8" t="str">
        <f t="shared" si="6"/>
        <v>LOPES KIMBERLY</v>
      </c>
      <c r="H254" s="20" t="str">
        <f t="shared" si="7"/>
        <v>4036</v>
      </c>
    </row>
    <row r="255" spans="1:8" x14ac:dyDescent="0.25">
      <c r="A255" s="8">
        <v>43020.027303240742</v>
      </c>
      <c r="B255" t="s">
        <v>424</v>
      </c>
      <c r="C255" t="s">
        <v>470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25">
      <c r="A256" s="8">
        <v>43020.028726851851</v>
      </c>
      <c r="B256" t="s">
        <v>424</v>
      </c>
      <c r="C256" t="s">
        <v>470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25">
      <c r="A257" s="8">
        <v>43020.030185185184</v>
      </c>
      <c r="B257" t="s">
        <v>458</v>
      </c>
      <c r="C257" t="s">
        <v>471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25">
      <c r="A258" s="8">
        <v>43020.032430555555</v>
      </c>
      <c r="B258" t="s">
        <v>458</v>
      </c>
      <c r="C258" t="s">
        <v>471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25">
      <c r="A259" s="8">
        <v>43020.03837962963</v>
      </c>
      <c r="B259" t="s">
        <v>451</v>
      </c>
      <c r="C259" t="s">
        <v>472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25">
      <c r="A260" s="8">
        <v>43020.039004629631</v>
      </c>
      <c r="B260" t="s">
        <v>456</v>
      </c>
      <c r="C260" t="s">
        <v>473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25">
      <c r="A261" s="8">
        <v>43020.040671296294</v>
      </c>
      <c r="B261" t="s">
        <v>451</v>
      </c>
      <c r="C261" t="s">
        <v>472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25">
      <c r="A262" s="8">
        <v>43020.046909722223</v>
      </c>
      <c r="B262" t="s">
        <v>454</v>
      </c>
      <c r="C262" t="s">
        <v>474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25">
      <c r="A263" s="8">
        <v>43020.050694444442</v>
      </c>
      <c r="B263" t="s">
        <v>431</v>
      </c>
      <c r="C263" t="s">
        <v>475</v>
      </c>
      <c r="D263" s="138">
        <v>2440000</v>
      </c>
      <c r="E263" t="s">
        <v>463</v>
      </c>
      <c r="F263" s="20" t="s">
        <v>464</v>
      </c>
      <c r="G263" s="8" t="str">
        <f t="shared" si="8"/>
        <v>LOPES KIMBERLY</v>
      </c>
      <c r="H263" s="20" t="str">
        <f t="shared" si="9"/>
        <v>4035</v>
      </c>
    </row>
    <row r="264" spans="1:8" x14ac:dyDescent="0.25">
      <c r="A264" s="8">
        <v>43020.067916666667</v>
      </c>
      <c r="B264" t="s">
        <v>455</v>
      </c>
      <c r="C264" t="s">
        <v>476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25">
      <c r="A265" s="8">
        <v>43020.088923611111</v>
      </c>
      <c r="B265" t="s">
        <v>417</v>
      </c>
      <c r="C265" t="s">
        <v>477</v>
      </c>
      <c r="D265" s="138">
        <v>2440000</v>
      </c>
      <c r="E265" t="s">
        <v>463</v>
      </c>
      <c r="F265" s="20" t="s">
        <v>464</v>
      </c>
      <c r="G265" s="8" t="str">
        <f t="shared" si="8"/>
        <v>LOPES KIMBERLY</v>
      </c>
      <c r="H265" s="20" t="str">
        <f t="shared" si="9"/>
        <v>4036</v>
      </c>
    </row>
    <row r="266" spans="1:8" x14ac:dyDescent="0.25">
      <c r="A266" s="8">
        <v>43020.112002314818</v>
      </c>
      <c r="B266" t="s">
        <v>393</v>
      </c>
      <c r="C266" t="s">
        <v>478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25">
      <c r="A267" s="8">
        <v>43013.038958333331</v>
      </c>
      <c r="B267" t="s">
        <v>404</v>
      </c>
      <c r="C267" t="s">
        <v>408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383</v>
      </c>
      <c r="C268" t="s">
        <v>409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384</v>
      </c>
      <c r="C269" t="s">
        <v>410</v>
      </c>
      <c r="D269" s="138">
        <v>2540000</v>
      </c>
      <c r="E269" t="s">
        <v>406</v>
      </c>
      <c r="F269" s="20" t="s">
        <v>407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403</v>
      </c>
      <c r="C270" t="s">
        <v>405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385</v>
      </c>
      <c r="C271" t="s">
        <v>411</v>
      </c>
      <c r="D271" s="138">
        <v>2540000</v>
      </c>
      <c r="E271" t="s">
        <v>406</v>
      </c>
      <c r="F271" s="20" t="s">
        <v>407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394</v>
      </c>
      <c r="C272" t="s">
        <v>412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394</v>
      </c>
      <c r="C273" t="s">
        <v>412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393</v>
      </c>
      <c r="C274" t="s">
        <v>413</v>
      </c>
      <c r="D274" s="138">
        <v>1830000</v>
      </c>
      <c r="E274" t="s">
        <v>377</v>
      </c>
      <c r="F274" s="20" t="s">
        <v>378</v>
      </c>
    </row>
    <row r="275" spans="1:8" x14ac:dyDescent="0.25">
      <c r="A275" s="8">
        <v>43013.112997685188</v>
      </c>
      <c r="B275" t="s">
        <v>393</v>
      </c>
      <c r="C275" t="s">
        <v>413</v>
      </c>
      <c r="D275" s="138">
        <v>1830000</v>
      </c>
      <c r="E275" t="s">
        <v>377</v>
      </c>
      <c r="F275" s="20" t="s">
        <v>378</v>
      </c>
    </row>
    <row r="276" spans="1:8" x14ac:dyDescent="0.25">
      <c r="A276" s="8">
        <v>43013.113483796296</v>
      </c>
      <c r="B276" t="s">
        <v>393</v>
      </c>
      <c r="C276" t="s">
        <v>413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25">
      <c r="A2" s="196">
        <v>35.799999999999997</v>
      </c>
      <c r="B2" s="196">
        <v>0</v>
      </c>
      <c r="C2" s="196">
        <v>17.420000000000002</v>
      </c>
      <c r="D2" s="8">
        <v>43023</v>
      </c>
      <c r="E2" s="196">
        <v>0.47</v>
      </c>
      <c r="F2" s="196" t="s">
        <v>401</v>
      </c>
      <c r="G2" s="196">
        <v>315.42</v>
      </c>
      <c r="H2" s="196">
        <v>0</v>
      </c>
      <c r="I2" s="196">
        <v>0</v>
      </c>
      <c r="J2" s="196">
        <v>1027.3900000000001</v>
      </c>
      <c r="K2" s="196" t="s">
        <v>402</v>
      </c>
      <c r="L2" s="196">
        <v>35.799999999999997</v>
      </c>
      <c r="M2" s="196">
        <v>1508047200</v>
      </c>
      <c r="N2" s="196">
        <v>0</v>
      </c>
      <c r="O2" s="196">
        <v>3.83</v>
      </c>
      <c r="P2" s="196">
        <v>160</v>
      </c>
      <c r="Q2" s="196">
        <v>4.7300000000000004</v>
      </c>
      <c r="R2" s="196">
        <v>2.04</v>
      </c>
      <c r="S2"/>
      <c r="T2"/>
    </row>
    <row r="3" spans="1:20" x14ac:dyDescent="0.25">
      <c r="A3" s="196">
        <v>34.69</v>
      </c>
      <c r="B3" s="196">
        <v>0</v>
      </c>
      <c r="C3" s="196">
        <v>17.55</v>
      </c>
      <c r="D3" s="8">
        <v>43023.041666666664</v>
      </c>
      <c r="E3" s="196">
        <v>0.49</v>
      </c>
      <c r="F3" s="196" t="s">
        <v>401</v>
      </c>
      <c r="G3" s="196">
        <v>314.16000000000003</v>
      </c>
      <c r="H3" s="196">
        <v>0</v>
      </c>
      <c r="I3" s="196">
        <v>0</v>
      </c>
      <c r="J3" s="196">
        <v>1027.77</v>
      </c>
      <c r="K3" s="196" t="s">
        <v>402</v>
      </c>
      <c r="L3" s="196">
        <v>34.69</v>
      </c>
      <c r="M3" s="196">
        <v>1508050800</v>
      </c>
      <c r="N3" s="196">
        <v>0</v>
      </c>
      <c r="O3" s="196">
        <v>3.44</v>
      </c>
      <c r="P3" s="196">
        <v>160</v>
      </c>
      <c r="Q3" s="196">
        <v>4</v>
      </c>
      <c r="R3" s="196">
        <v>1.72</v>
      </c>
      <c r="S3"/>
      <c r="T3"/>
    </row>
    <row r="4" spans="1:20" x14ac:dyDescent="0.25">
      <c r="A4" s="196">
        <v>32.86</v>
      </c>
      <c r="B4" s="196">
        <v>0</v>
      </c>
      <c r="C4" s="196">
        <v>18.04</v>
      </c>
      <c r="D4" s="8">
        <v>43023.083333333336</v>
      </c>
      <c r="E4" s="196">
        <v>0.54</v>
      </c>
      <c r="F4" s="196" t="s">
        <v>401</v>
      </c>
      <c r="G4" s="196">
        <v>313</v>
      </c>
      <c r="H4" s="196">
        <v>0</v>
      </c>
      <c r="I4" s="196">
        <v>0</v>
      </c>
      <c r="J4" s="196">
        <v>1029.18</v>
      </c>
      <c r="K4" s="196" t="s">
        <v>402</v>
      </c>
      <c r="L4" s="196">
        <v>32.86</v>
      </c>
      <c r="M4" s="196">
        <v>1508054400</v>
      </c>
      <c r="N4" s="196">
        <v>0</v>
      </c>
      <c r="O4" s="196">
        <v>3.57</v>
      </c>
      <c r="P4" s="196">
        <v>160</v>
      </c>
      <c r="Q4" s="196">
        <v>3.46</v>
      </c>
      <c r="R4" s="196">
        <v>1.45</v>
      </c>
      <c r="S4"/>
      <c r="T4"/>
    </row>
    <row r="5" spans="1:20" x14ac:dyDescent="0.25">
      <c r="A5" s="196">
        <v>30.9</v>
      </c>
      <c r="B5" s="196">
        <v>0</v>
      </c>
      <c r="C5" s="196">
        <v>18.66</v>
      </c>
      <c r="D5" s="8">
        <v>43023.125</v>
      </c>
      <c r="E5" s="196">
        <v>0.6</v>
      </c>
      <c r="F5" s="196" t="s">
        <v>401</v>
      </c>
      <c r="G5" s="196">
        <v>311.83999999999997</v>
      </c>
      <c r="H5" s="196">
        <v>0</v>
      </c>
      <c r="I5" s="196">
        <v>0</v>
      </c>
      <c r="J5" s="196">
        <v>1028.53</v>
      </c>
      <c r="K5" s="196" t="s">
        <v>402</v>
      </c>
      <c r="L5" s="196">
        <v>30.9</v>
      </c>
      <c r="M5" s="196">
        <v>1508058000</v>
      </c>
      <c r="N5" s="196">
        <v>0</v>
      </c>
      <c r="O5" s="196">
        <v>3.65</v>
      </c>
      <c r="P5" s="196">
        <v>189</v>
      </c>
      <c r="Q5" s="196">
        <v>2.4</v>
      </c>
      <c r="R5" s="196">
        <v>0.93</v>
      </c>
      <c r="S5"/>
      <c r="T5"/>
    </row>
    <row r="6" spans="1:20" x14ac:dyDescent="0.25">
      <c r="A6" s="196">
        <v>29.8</v>
      </c>
      <c r="B6" s="196">
        <v>0</v>
      </c>
      <c r="C6" s="196">
        <v>19</v>
      </c>
      <c r="D6" s="8">
        <v>43023.166666666664</v>
      </c>
      <c r="E6" s="196">
        <v>0.64</v>
      </c>
      <c r="F6" s="196" t="s">
        <v>401</v>
      </c>
      <c r="G6" s="196">
        <v>311.20999999999998</v>
      </c>
      <c r="H6" s="196">
        <v>0</v>
      </c>
      <c r="I6" s="196">
        <v>0</v>
      </c>
      <c r="J6" s="196">
        <v>1027.79</v>
      </c>
      <c r="K6" s="196" t="s">
        <v>402</v>
      </c>
      <c r="L6" s="196">
        <v>29.8</v>
      </c>
      <c r="M6" s="196">
        <v>1508061600</v>
      </c>
      <c r="N6" s="196">
        <v>0</v>
      </c>
      <c r="O6" s="196">
        <v>3.83</v>
      </c>
      <c r="P6" s="196">
        <v>234</v>
      </c>
      <c r="Q6" s="196">
        <v>2.13</v>
      </c>
      <c r="R6" s="196">
        <v>0.45</v>
      </c>
      <c r="S6"/>
      <c r="T6"/>
    </row>
    <row r="7" spans="1:20" x14ac:dyDescent="0.25">
      <c r="A7" s="196">
        <v>28.85</v>
      </c>
      <c r="B7" s="196">
        <v>0</v>
      </c>
      <c r="C7" s="196">
        <v>19.57</v>
      </c>
      <c r="D7" s="8">
        <v>43023.208333333336</v>
      </c>
      <c r="E7" s="196">
        <v>0.68</v>
      </c>
      <c r="F7" s="196" t="s">
        <v>401</v>
      </c>
      <c r="G7" s="196">
        <v>310.57</v>
      </c>
      <c r="H7" s="196">
        <v>0</v>
      </c>
      <c r="I7" s="196">
        <v>0</v>
      </c>
      <c r="J7" s="196">
        <v>1030.0999999999999</v>
      </c>
      <c r="K7" s="196" t="s">
        <v>402</v>
      </c>
      <c r="L7" s="196">
        <v>28.85</v>
      </c>
      <c r="M7" s="196">
        <v>1508065200</v>
      </c>
      <c r="N7" s="196">
        <v>0</v>
      </c>
      <c r="O7" s="196">
        <v>3.83</v>
      </c>
      <c r="P7" s="196">
        <v>204</v>
      </c>
      <c r="Q7" s="196">
        <v>2.62</v>
      </c>
      <c r="R7" s="196">
        <v>1.0900000000000001</v>
      </c>
      <c r="S7"/>
      <c r="T7"/>
    </row>
    <row r="8" spans="1:20" x14ac:dyDescent="0.25">
      <c r="A8" s="196">
        <v>28.52</v>
      </c>
      <c r="B8" s="196">
        <v>0</v>
      </c>
      <c r="C8" s="196">
        <v>19.82</v>
      </c>
      <c r="D8" s="8">
        <v>43023.25</v>
      </c>
      <c r="E8" s="196">
        <v>0.69</v>
      </c>
      <c r="F8" s="196" t="s">
        <v>401</v>
      </c>
      <c r="G8" s="196">
        <v>311.73</v>
      </c>
      <c r="H8" s="196">
        <v>0</v>
      </c>
      <c r="I8" s="196">
        <v>0</v>
      </c>
      <c r="J8" s="196">
        <v>1029.26</v>
      </c>
      <c r="K8" s="196" t="s">
        <v>402</v>
      </c>
      <c r="L8" s="196">
        <v>28.52</v>
      </c>
      <c r="M8" s="196">
        <v>1508068800</v>
      </c>
      <c r="N8" s="196">
        <v>0</v>
      </c>
      <c r="O8" s="196">
        <v>3.65</v>
      </c>
      <c r="P8" s="196">
        <v>187</v>
      </c>
      <c r="Q8" s="196">
        <v>2.29</v>
      </c>
      <c r="R8" s="196">
        <v>0.98</v>
      </c>
      <c r="S8"/>
      <c r="T8"/>
    </row>
    <row r="9" spans="1:20" x14ac:dyDescent="0.25">
      <c r="A9" s="196">
        <v>28.27</v>
      </c>
      <c r="B9" s="196">
        <v>0</v>
      </c>
      <c r="C9" s="196">
        <v>19.72</v>
      </c>
      <c r="D9" s="8">
        <v>43023.291666666664</v>
      </c>
      <c r="E9" s="196">
        <v>0.7</v>
      </c>
      <c r="F9" s="196" t="s">
        <v>401</v>
      </c>
      <c r="G9" s="196">
        <v>311.73</v>
      </c>
      <c r="H9" s="196">
        <v>0</v>
      </c>
      <c r="I9" s="196">
        <v>0</v>
      </c>
      <c r="J9" s="196">
        <v>1030.2</v>
      </c>
      <c r="K9" s="196" t="s">
        <v>402</v>
      </c>
      <c r="L9" s="196">
        <v>28.27</v>
      </c>
      <c r="M9" s="196">
        <v>1508072400</v>
      </c>
      <c r="N9" s="196">
        <v>0</v>
      </c>
      <c r="O9" s="196">
        <v>4.78</v>
      </c>
      <c r="P9" s="196">
        <v>184</v>
      </c>
      <c r="Q9" s="196">
        <v>2.48</v>
      </c>
      <c r="R9" s="196">
        <v>1.08</v>
      </c>
      <c r="S9"/>
      <c r="T9"/>
    </row>
    <row r="10" spans="1:20" x14ac:dyDescent="0.25">
      <c r="A10" s="196">
        <v>30.4</v>
      </c>
      <c r="B10" s="196">
        <v>0</v>
      </c>
      <c r="C10" s="196">
        <v>20.81</v>
      </c>
      <c r="D10" s="8">
        <v>43023.333333333336</v>
      </c>
      <c r="E10" s="196">
        <v>0.67</v>
      </c>
      <c r="F10" s="196" t="s">
        <v>436</v>
      </c>
      <c r="G10" s="196">
        <v>311.73</v>
      </c>
      <c r="H10" s="196">
        <v>0</v>
      </c>
      <c r="I10" s="196">
        <v>0</v>
      </c>
      <c r="J10" s="196">
        <v>1030.46</v>
      </c>
      <c r="K10" s="196" t="s">
        <v>402</v>
      </c>
      <c r="L10" s="196">
        <v>30.4</v>
      </c>
      <c r="M10" s="196">
        <v>1508076000</v>
      </c>
      <c r="N10" s="196">
        <v>0</v>
      </c>
      <c r="O10" s="196">
        <v>5.1100000000000003</v>
      </c>
      <c r="P10" s="196">
        <v>185</v>
      </c>
      <c r="Q10" s="196">
        <v>3.03</v>
      </c>
      <c r="R10" s="196">
        <v>1.42</v>
      </c>
      <c r="S10"/>
      <c r="T10"/>
    </row>
    <row r="11" spans="1:20" x14ac:dyDescent="0.25">
      <c r="A11" s="196">
        <v>38.869999999999997</v>
      </c>
      <c r="B11" s="196">
        <v>0</v>
      </c>
      <c r="C11" s="196">
        <v>21.7</v>
      </c>
      <c r="D11" s="8">
        <v>43023.375</v>
      </c>
      <c r="E11" s="196">
        <v>0.5</v>
      </c>
      <c r="F11" s="196" t="s">
        <v>436</v>
      </c>
      <c r="G11" s="196">
        <v>311.73</v>
      </c>
      <c r="H11" s="196">
        <v>0</v>
      </c>
      <c r="I11" s="196">
        <v>0</v>
      </c>
      <c r="J11" s="196">
        <v>1030.47</v>
      </c>
      <c r="K11" s="196" t="s">
        <v>402</v>
      </c>
      <c r="L11" s="196">
        <v>38.869999999999997</v>
      </c>
      <c r="M11" s="196">
        <v>1508079600</v>
      </c>
      <c r="N11" s="196">
        <v>1</v>
      </c>
      <c r="O11" s="196">
        <v>4.7</v>
      </c>
      <c r="P11" s="196">
        <v>178</v>
      </c>
      <c r="Q11" s="196">
        <v>3.96</v>
      </c>
      <c r="R11" s="196">
        <v>1.21</v>
      </c>
      <c r="S11"/>
      <c r="T11"/>
    </row>
    <row r="12" spans="1:20" x14ac:dyDescent="0.25">
      <c r="A12" s="196">
        <v>45.44</v>
      </c>
      <c r="B12" s="196">
        <v>0</v>
      </c>
      <c r="C12" s="196">
        <v>21.24</v>
      </c>
      <c r="D12" s="8">
        <v>43023.416666666664</v>
      </c>
      <c r="E12" s="196">
        <v>0.38</v>
      </c>
      <c r="F12" s="196" t="s">
        <v>436</v>
      </c>
      <c r="G12" s="196">
        <v>311.52</v>
      </c>
      <c r="H12" s="196">
        <v>0</v>
      </c>
      <c r="I12" s="196">
        <v>0</v>
      </c>
      <c r="J12" s="196">
        <v>1030.54</v>
      </c>
      <c r="K12" s="196" t="s">
        <v>402</v>
      </c>
      <c r="L12" s="196">
        <v>45.44</v>
      </c>
      <c r="M12" s="196">
        <v>1508083200</v>
      </c>
      <c r="N12" s="196">
        <v>2</v>
      </c>
      <c r="O12" s="196">
        <v>4.6500000000000004</v>
      </c>
      <c r="P12" s="196">
        <v>108</v>
      </c>
      <c r="Q12" s="196">
        <v>5.14</v>
      </c>
      <c r="R12" s="196">
        <v>0.3</v>
      </c>
      <c r="S12"/>
      <c r="T12"/>
    </row>
    <row r="13" spans="1:20" x14ac:dyDescent="0.25">
      <c r="A13" s="196">
        <v>49.57</v>
      </c>
      <c r="B13" s="196">
        <v>0</v>
      </c>
      <c r="C13" s="196">
        <v>22.82</v>
      </c>
      <c r="D13" s="8">
        <v>43023.458333333336</v>
      </c>
      <c r="E13" s="196">
        <v>0.35</v>
      </c>
      <c r="F13" s="196" t="s">
        <v>436</v>
      </c>
      <c r="G13" s="196">
        <v>311.31</v>
      </c>
      <c r="H13" s="196">
        <v>0</v>
      </c>
      <c r="I13" s="196">
        <v>0</v>
      </c>
      <c r="J13" s="196">
        <v>1029.75</v>
      </c>
      <c r="K13" s="196" t="s">
        <v>402</v>
      </c>
      <c r="L13" s="196">
        <v>49.57</v>
      </c>
      <c r="M13" s="196">
        <v>1508086800</v>
      </c>
      <c r="N13" s="196">
        <v>3</v>
      </c>
      <c r="O13" s="196">
        <v>4.3</v>
      </c>
      <c r="P13" s="196">
        <v>19</v>
      </c>
      <c r="Q13" s="196">
        <v>6.4</v>
      </c>
      <c r="R13" s="196">
        <v>1.74</v>
      </c>
      <c r="S13"/>
      <c r="T13"/>
    </row>
    <row r="14" spans="1:20" x14ac:dyDescent="0.25">
      <c r="A14" s="196">
        <v>53.06</v>
      </c>
      <c r="B14" s="196">
        <v>0</v>
      </c>
      <c r="C14" s="196">
        <v>24.21</v>
      </c>
      <c r="D14" s="8">
        <v>43023.5</v>
      </c>
      <c r="E14" s="196">
        <v>0.32</v>
      </c>
      <c r="F14" s="196" t="s">
        <v>436</v>
      </c>
      <c r="G14" s="196">
        <v>310.99</v>
      </c>
      <c r="H14" s="196">
        <v>0</v>
      </c>
      <c r="I14" s="196">
        <v>0</v>
      </c>
      <c r="J14" s="196">
        <v>1028.72</v>
      </c>
      <c r="K14" s="196" t="s">
        <v>402</v>
      </c>
      <c r="L14" s="196">
        <v>53.06</v>
      </c>
      <c r="M14" s="196">
        <v>1508090400</v>
      </c>
      <c r="N14" s="196">
        <v>4</v>
      </c>
      <c r="O14" s="196">
        <v>4.38</v>
      </c>
      <c r="P14" s="196">
        <v>28</v>
      </c>
      <c r="Q14" s="196">
        <v>6.22</v>
      </c>
      <c r="R14" s="196">
        <v>2.0499999999999998</v>
      </c>
      <c r="S14"/>
      <c r="T14"/>
    </row>
    <row r="15" spans="1:20" x14ac:dyDescent="0.25">
      <c r="A15" s="196">
        <v>57.19</v>
      </c>
      <c r="B15" s="196">
        <v>0</v>
      </c>
      <c r="C15" s="196">
        <v>24.45</v>
      </c>
      <c r="D15" s="8">
        <v>43023.541666666664</v>
      </c>
      <c r="E15" s="196">
        <v>0.28000000000000003</v>
      </c>
      <c r="F15" s="196" t="s">
        <v>436</v>
      </c>
      <c r="G15" s="196">
        <v>311.10000000000002</v>
      </c>
      <c r="H15" s="196">
        <v>0</v>
      </c>
      <c r="I15" s="196">
        <v>0</v>
      </c>
      <c r="J15" s="196">
        <v>1027.8900000000001</v>
      </c>
      <c r="K15" s="196" t="s">
        <v>402</v>
      </c>
      <c r="L15" s="196">
        <v>57.19</v>
      </c>
      <c r="M15" s="196">
        <v>1508094000</v>
      </c>
      <c r="N15" s="196">
        <v>4</v>
      </c>
      <c r="O15" s="196">
        <v>4.38</v>
      </c>
      <c r="P15" s="196">
        <v>34</v>
      </c>
      <c r="Q15" s="196">
        <v>6.43</v>
      </c>
      <c r="R15" s="196">
        <v>2.17</v>
      </c>
      <c r="S15"/>
      <c r="T15"/>
    </row>
    <row r="16" spans="1:20" x14ac:dyDescent="0.25">
      <c r="A16" s="196">
        <v>60.4</v>
      </c>
      <c r="B16" s="196">
        <v>0</v>
      </c>
      <c r="C16" s="196">
        <v>24.88</v>
      </c>
      <c r="D16" s="8">
        <v>43023.583333333336</v>
      </c>
      <c r="E16" s="196">
        <v>0.25</v>
      </c>
      <c r="F16" s="196" t="s">
        <v>436</v>
      </c>
      <c r="G16" s="196">
        <v>311.31</v>
      </c>
      <c r="H16" s="196">
        <v>0</v>
      </c>
      <c r="I16" s="196">
        <v>0</v>
      </c>
      <c r="J16" s="196">
        <v>1027.1300000000001</v>
      </c>
      <c r="K16" s="196" t="s">
        <v>402</v>
      </c>
      <c r="L16" s="196">
        <v>60.4</v>
      </c>
      <c r="M16" s="196">
        <v>1508097600</v>
      </c>
      <c r="N16" s="196">
        <v>4</v>
      </c>
      <c r="O16" s="196">
        <v>4.63</v>
      </c>
      <c r="P16" s="196">
        <v>41</v>
      </c>
      <c r="Q16" s="196">
        <v>7.08</v>
      </c>
      <c r="R16" s="196">
        <v>1.62</v>
      </c>
      <c r="S16"/>
      <c r="T16"/>
    </row>
    <row r="17" spans="1:20" x14ac:dyDescent="0.25">
      <c r="A17" s="196">
        <v>61.79</v>
      </c>
      <c r="B17" s="196">
        <v>0</v>
      </c>
      <c r="C17" s="196">
        <v>25.08</v>
      </c>
      <c r="D17" s="8">
        <v>43023.625</v>
      </c>
      <c r="E17" s="196">
        <v>0.24</v>
      </c>
      <c r="F17" s="196" t="s">
        <v>436</v>
      </c>
      <c r="G17" s="196">
        <v>311.31</v>
      </c>
      <c r="H17" s="196">
        <v>0</v>
      </c>
      <c r="I17" s="196">
        <v>0</v>
      </c>
      <c r="J17" s="196">
        <v>1026.22</v>
      </c>
      <c r="K17" s="196" t="s">
        <v>402</v>
      </c>
      <c r="L17" s="196">
        <v>61.79</v>
      </c>
      <c r="M17" s="196">
        <v>1508101200</v>
      </c>
      <c r="N17" s="196">
        <v>3</v>
      </c>
      <c r="O17" s="196">
        <v>4.78</v>
      </c>
      <c r="P17" s="196">
        <v>36</v>
      </c>
      <c r="Q17" s="196">
        <v>6.93</v>
      </c>
      <c r="R17" s="196">
        <v>2.3199999999999998</v>
      </c>
      <c r="S17"/>
      <c r="T17"/>
    </row>
    <row r="18" spans="1:20" x14ac:dyDescent="0.25">
      <c r="A18" s="196">
        <v>62.89</v>
      </c>
      <c r="B18" s="196">
        <v>0</v>
      </c>
      <c r="C18" s="196">
        <v>24.53</v>
      </c>
      <c r="D18" s="8">
        <v>43023.666666666664</v>
      </c>
      <c r="E18" s="196">
        <v>0.23</v>
      </c>
      <c r="F18" s="196" t="s">
        <v>436</v>
      </c>
      <c r="G18" s="196">
        <v>311.11</v>
      </c>
      <c r="H18" s="196">
        <v>0</v>
      </c>
      <c r="I18" s="196">
        <v>0</v>
      </c>
      <c r="J18" s="196">
        <v>1025.93</v>
      </c>
      <c r="K18" s="196" t="s">
        <v>402</v>
      </c>
      <c r="L18" s="196">
        <v>62.89</v>
      </c>
      <c r="M18" s="196">
        <v>1508104800</v>
      </c>
      <c r="N18" s="196">
        <v>1</v>
      </c>
      <c r="O18" s="196">
        <v>4.37</v>
      </c>
      <c r="P18" s="196">
        <v>35</v>
      </c>
      <c r="Q18" s="196">
        <v>6.15</v>
      </c>
      <c r="R18" s="196">
        <v>2.2000000000000002</v>
      </c>
      <c r="S18"/>
      <c r="T18"/>
    </row>
    <row r="19" spans="1:20" x14ac:dyDescent="0.25">
      <c r="A19" s="196">
        <v>62.85</v>
      </c>
      <c r="B19" s="196">
        <v>0</v>
      </c>
      <c r="C19" s="196">
        <v>24.09</v>
      </c>
      <c r="D19" s="8">
        <v>43023.708333333336</v>
      </c>
      <c r="E19" s="196">
        <v>0.23</v>
      </c>
      <c r="F19" s="196" t="s">
        <v>436</v>
      </c>
      <c r="G19" s="196">
        <v>310.69</v>
      </c>
      <c r="H19" s="196">
        <v>0</v>
      </c>
      <c r="I19" s="196">
        <v>0</v>
      </c>
      <c r="J19" s="196">
        <v>1026.08</v>
      </c>
      <c r="K19" s="196" t="s">
        <v>402</v>
      </c>
      <c r="L19" s="196">
        <v>62.85</v>
      </c>
      <c r="M19" s="196">
        <v>1508108400</v>
      </c>
      <c r="N19" s="196">
        <v>1</v>
      </c>
      <c r="O19" s="196">
        <v>4.37</v>
      </c>
      <c r="P19" s="196">
        <v>24</v>
      </c>
      <c r="Q19" s="196">
        <v>5.13</v>
      </c>
      <c r="R19" s="196">
        <v>1.73</v>
      </c>
      <c r="S19"/>
      <c r="T19"/>
    </row>
    <row r="20" spans="1:20" x14ac:dyDescent="0.25">
      <c r="A20" s="196">
        <v>60.05</v>
      </c>
      <c r="B20" s="196">
        <v>0</v>
      </c>
      <c r="C20" s="196">
        <v>25.07</v>
      </c>
      <c r="D20" s="8">
        <v>43023.75</v>
      </c>
      <c r="E20" s="196">
        <v>0.26</v>
      </c>
      <c r="F20" s="196" t="s">
        <v>436</v>
      </c>
      <c r="G20" s="196">
        <v>309.62</v>
      </c>
      <c r="H20" s="196">
        <v>0</v>
      </c>
      <c r="I20" s="196">
        <v>0</v>
      </c>
      <c r="J20" s="196">
        <v>1026.6199999999999</v>
      </c>
      <c r="K20" s="196" t="s">
        <v>402</v>
      </c>
      <c r="L20" s="196">
        <v>60.05</v>
      </c>
      <c r="M20" s="196">
        <v>1508112000</v>
      </c>
      <c r="N20" s="196">
        <v>0</v>
      </c>
      <c r="O20" s="196">
        <v>4.3899999999999997</v>
      </c>
      <c r="P20" s="196">
        <v>8</v>
      </c>
      <c r="Q20" s="196">
        <v>3.83</v>
      </c>
      <c r="R20" s="196">
        <v>1.2</v>
      </c>
      <c r="S20"/>
      <c r="T20"/>
    </row>
    <row r="21" spans="1:20" x14ac:dyDescent="0.25">
      <c r="A21" s="196">
        <v>53.41</v>
      </c>
      <c r="B21" s="196">
        <v>0</v>
      </c>
      <c r="C21" s="196">
        <v>27.06</v>
      </c>
      <c r="D21" s="8">
        <v>43023.791666666664</v>
      </c>
      <c r="E21" s="196">
        <v>0.36</v>
      </c>
      <c r="F21" s="196" t="s">
        <v>401</v>
      </c>
      <c r="G21" s="196">
        <v>309.83999999999997</v>
      </c>
      <c r="H21" s="196">
        <v>0</v>
      </c>
      <c r="I21" s="196">
        <v>0</v>
      </c>
      <c r="J21" s="196">
        <v>1027.57</v>
      </c>
      <c r="K21" s="196" t="s">
        <v>402</v>
      </c>
      <c r="L21" s="196">
        <v>53.41</v>
      </c>
      <c r="M21" s="196">
        <v>1508115600</v>
      </c>
      <c r="N21" s="196">
        <v>0</v>
      </c>
      <c r="O21" s="196">
        <v>3.25</v>
      </c>
      <c r="P21" s="196">
        <v>340</v>
      </c>
      <c r="Q21" s="196">
        <v>2.7</v>
      </c>
      <c r="R21" s="196">
        <v>0.79</v>
      </c>
      <c r="S21"/>
      <c r="T21"/>
    </row>
    <row r="22" spans="1:20" x14ac:dyDescent="0.25">
      <c r="A22" s="196">
        <v>48.82</v>
      </c>
      <c r="B22" s="196">
        <v>0</v>
      </c>
      <c r="C22" s="196">
        <v>28.46</v>
      </c>
      <c r="D22" s="8">
        <v>43023.833333333336</v>
      </c>
      <c r="E22" s="196">
        <v>0.45</v>
      </c>
      <c r="F22" s="196" t="s">
        <v>401</v>
      </c>
      <c r="G22" s="196">
        <v>310.16000000000003</v>
      </c>
      <c r="H22" s="196">
        <v>0</v>
      </c>
      <c r="I22" s="196">
        <v>0</v>
      </c>
      <c r="J22" s="196">
        <v>1028.02</v>
      </c>
      <c r="K22" s="196" t="s">
        <v>402</v>
      </c>
      <c r="L22" s="196">
        <v>48.82</v>
      </c>
      <c r="M22" s="196">
        <v>1508119200</v>
      </c>
      <c r="N22" s="196">
        <v>0</v>
      </c>
      <c r="O22" s="196">
        <v>5.4</v>
      </c>
      <c r="P22" s="196">
        <v>305</v>
      </c>
      <c r="Q22" s="196">
        <v>1.93</v>
      </c>
      <c r="R22" s="196">
        <v>0.6</v>
      </c>
      <c r="S22"/>
      <c r="T22"/>
    </row>
    <row r="23" spans="1:20" x14ac:dyDescent="0.25">
      <c r="A23" s="196">
        <v>45.13</v>
      </c>
      <c r="B23" s="196">
        <v>0</v>
      </c>
      <c r="C23" s="196">
        <v>29.37</v>
      </c>
      <c r="D23" s="8">
        <v>43023.875</v>
      </c>
      <c r="E23" s="196">
        <v>0.54</v>
      </c>
      <c r="F23" s="196" t="s">
        <v>401</v>
      </c>
      <c r="G23" s="196">
        <v>310.27</v>
      </c>
      <c r="H23" s="196">
        <v>0</v>
      </c>
      <c r="I23" s="196">
        <v>0</v>
      </c>
      <c r="J23" s="196">
        <v>1028.03</v>
      </c>
      <c r="K23" s="196" t="s">
        <v>402</v>
      </c>
      <c r="L23" s="196">
        <v>45.13</v>
      </c>
      <c r="M23" s="196">
        <v>1508122800</v>
      </c>
      <c r="N23" s="196">
        <v>0</v>
      </c>
      <c r="O23" s="196">
        <v>5.24</v>
      </c>
      <c r="P23" s="196">
        <v>313</v>
      </c>
      <c r="Q23" s="196">
        <v>1.67</v>
      </c>
      <c r="R23" s="196">
        <v>0.56000000000000005</v>
      </c>
      <c r="S23"/>
      <c r="T23"/>
    </row>
    <row r="24" spans="1:20" x14ac:dyDescent="0.25">
      <c r="A24" s="196">
        <v>43.07</v>
      </c>
      <c r="B24" s="196">
        <v>0</v>
      </c>
      <c r="C24" s="196">
        <v>29.49</v>
      </c>
      <c r="D24" s="8">
        <v>43023.916666666664</v>
      </c>
      <c r="E24" s="196">
        <v>0.57999999999999996</v>
      </c>
      <c r="F24" s="196" t="s">
        <v>401</v>
      </c>
      <c r="G24" s="196">
        <v>309.83999999999997</v>
      </c>
      <c r="H24" s="196">
        <v>0</v>
      </c>
      <c r="I24" s="196">
        <v>0</v>
      </c>
      <c r="J24" s="196">
        <v>1028.0999999999999</v>
      </c>
      <c r="K24" s="196" t="s">
        <v>402</v>
      </c>
      <c r="L24" s="196">
        <v>43.07</v>
      </c>
      <c r="M24" s="196">
        <v>1508126400</v>
      </c>
      <c r="N24" s="196">
        <v>0</v>
      </c>
      <c r="O24" s="196">
        <v>2.93</v>
      </c>
      <c r="P24" s="196">
        <v>225</v>
      </c>
      <c r="Q24" s="196">
        <v>1.9</v>
      </c>
      <c r="R24" s="196">
        <v>0.21</v>
      </c>
      <c r="S24"/>
      <c r="T24"/>
    </row>
    <row r="25" spans="1:20" x14ac:dyDescent="0.25">
      <c r="A25" s="196">
        <v>41.32</v>
      </c>
      <c r="B25" s="196">
        <v>0</v>
      </c>
      <c r="C25" s="196">
        <v>29.45</v>
      </c>
      <c r="D25" s="8">
        <v>43023.958333333336</v>
      </c>
      <c r="E25" s="196">
        <v>0.62</v>
      </c>
      <c r="F25" s="196" t="s">
        <v>401</v>
      </c>
      <c r="G25" s="196">
        <v>309</v>
      </c>
      <c r="H25" s="196">
        <v>0</v>
      </c>
      <c r="I25" s="196">
        <v>0</v>
      </c>
      <c r="J25" s="196">
        <v>1027.6300000000001</v>
      </c>
      <c r="K25" s="196" t="s">
        <v>402</v>
      </c>
      <c r="L25" s="196">
        <v>41.32</v>
      </c>
      <c r="M25" s="196">
        <v>1508130000</v>
      </c>
      <c r="N25" s="196">
        <v>0</v>
      </c>
      <c r="O25" s="196">
        <v>3.03</v>
      </c>
      <c r="P25" s="196">
        <v>202</v>
      </c>
      <c r="Q25" s="196">
        <v>2.08</v>
      </c>
      <c r="R25" s="196">
        <v>0.79</v>
      </c>
      <c r="S25"/>
      <c r="T25"/>
    </row>
    <row r="26" spans="1:20" x14ac:dyDescent="0.25">
      <c r="A26" s="196">
        <v>40.03</v>
      </c>
      <c r="B26" s="196">
        <v>0</v>
      </c>
      <c r="C26" s="196">
        <v>28.85</v>
      </c>
      <c r="D26" s="8">
        <v>43024</v>
      </c>
      <c r="E26" s="196">
        <v>0.64</v>
      </c>
      <c r="F26" s="196" t="s">
        <v>401</v>
      </c>
      <c r="G26" s="196">
        <v>307.82</v>
      </c>
      <c r="H26" s="196">
        <v>0</v>
      </c>
      <c r="I26" s="196">
        <v>0</v>
      </c>
      <c r="J26" s="196">
        <v>1026.94</v>
      </c>
      <c r="K26" s="196" t="s">
        <v>402</v>
      </c>
      <c r="L26" s="196">
        <v>40.03</v>
      </c>
      <c r="M26" s="196">
        <v>1508133600</v>
      </c>
      <c r="N26" s="196">
        <v>0</v>
      </c>
      <c r="O26" s="196">
        <v>3.12</v>
      </c>
      <c r="P26" s="196">
        <v>197</v>
      </c>
      <c r="Q26" s="196">
        <v>2.29</v>
      </c>
      <c r="R26" s="196">
        <v>0.96</v>
      </c>
      <c r="S26"/>
      <c r="T26"/>
    </row>
    <row r="27" spans="1:20" x14ac:dyDescent="0.25">
      <c r="A27" s="196">
        <v>38.9</v>
      </c>
      <c r="B27" s="196">
        <v>0</v>
      </c>
      <c r="C27" s="196">
        <v>28.27</v>
      </c>
      <c r="D27" s="8">
        <v>43024.041666666664</v>
      </c>
      <c r="E27" s="196">
        <v>0.65</v>
      </c>
      <c r="F27" s="196" t="s">
        <v>401</v>
      </c>
      <c r="G27" s="196">
        <v>306.32</v>
      </c>
      <c r="H27" s="196">
        <v>0</v>
      </c>
      <c r="I27" s="196">
        <v>0</v>
      </c>
      <c r="J27" s="196">
        <v>1026.53</v>
      </c>
      <c r="K27" s="196" t="s">
        <v>402</v>
      </c>
      <c r="L27" s="196">
        <v>38.9</v>
      </c>
      <c r="M27" s="196">
        <v>1508137200</v>
      </c>
      <c r="N27" s="196">
        <v>0</v>
      </c>
      <c r="O27" s="196">
        <v>2.85</v>
      </c>
      <c r="P27" s="196">
        <v>190</v>
      </c>
      <c r="Q27" s="196">
        <v>2.66</v>
      </c>
      <c r="R27" s="196">
        <v>1.1499999999999999</v>
      </c>
      <c r="S27"/>
      <c r="T27"/>
    </row>
    <row r="28" spans="1:20" x14ac:dyDescent="0.25">
      <c r="A28" s="196">
        <v>38.36</v>
      </c>
      <c r="B28" s="196">
        <v>0</v>
      </c>
      <c r="C28" s="196">
        <v>27.44</v>
      </c>
      <c r="D28" s="8">
        <v>43024.083333333336</v>
      </c>
      <c r="E28" s="196">
        <v>0.64</v>
      </c>
      <c r="F28" s="196" t="s">
        <v>401</v>
      </c>
      <c r="G28" s="196">
        <v>304.49</v>
      </c>
      <c r="H28" s="196">
        <v>0</v>
      </c>
      <c r="I28" s="196">
        <v>0</v>
      </c>
      <c r="J28" s="196">
        <v>1026.02</v>
      </c>
      <c r="K28" s="196" t="s">
        <v>402</v>
      </c>
      <c r="L28" s="196">
        <v>38.36</v>
      </c>
      <c r="M28" s="196">
        <v>1508140800</v>
      </c>
      <c r="N28" s="196">
        <v>0</v>
      </c>
      <c r="O28" s="196">
        <v>3.96</v>
      </c>
      <c r="P28" s="196">
        <v>187</v>
      </c>
      <c r="Q28" s="196">
        <v>3.22</v>
      </c>
      <c r="R28" s="196">
        <v>1.41</v>
      </c>
      <c r="S28"/>
      <c r="T28"/>
    </row>
    <row r="29" spans="1:20" x14ac:dyDescent="0.25">
      <c r="A29" s="196">
        <v>38.42</v>
      </c>
      <c r="B29" s="196">
        <v>0.05</v>
      </c>
      <c r="C29" s="196">
        <v>26.52</v>
      </c>
      <c r="D29" s="8">
        <v>43024.125</v>
      </c>
      <c r="E29" s="196">
        <v>0.62</v>
      </c>
      <c r="F29" s="196" t="s">
        <v>401</v>
      </c>
      <c r="G29" s="196">
        <v>302.64</v>
      </c>
      <c r="H29" s="196">
        <v>0</v>
      </c>
      <c r="I29" s="196">
        <v>0</v>
      </c>
      <c r="J29" s="196">
        <v>1025</v>
      </c>
      <c r="K29" s="196" t="s">
        <v>402</v>
      </c>
      <c r="L29" s="196">
        <v>38.42</v>
      </c>
      <c r="M29" s="196">
        <v>1508144400</v>
      </c>
      <c r="N29" s="196">
        <v>0</v>
      </c>
      <c r="O29" s="196">
        <v>3.59</v>
      </c>
      <c r="P29" s="196">
        <v>188</v>
      </c>
      <c r="Q29" s="196">
        <v>3.87</v>
      </c>
      <c r="R29" s="196">
        <v>1.6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43023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973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974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975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976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977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978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979</v>
      </c>
      <c r="J25" s="140" t="s">
        <v>144</v>
      </c>
      <c r="M25" s="154" t="b">
        <v>1</v>
      </c>
    </row>
    <row r="26" spans="3:24" x14ac:dyDescent="0.25">
      <c r="C26" t="s">
        <v>980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%USERPROFILE%\Documents\GitHub\eaglep3-reporting\EC\2017-10-15-refined-times.txt</v>
      </c>
    </row>
    <row r="27" spans="3:24" x14ac:dyDescent="0.25">
      <c r="C27" t="s">
        <v>981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%USERPROFILE%\Documents\GitHub\eaglep3-reporting\EC\2017-10-15-Enforcements.txt</v>
      </c>
    </row>
    <row r="28" spans="3:24" x14ac:dyDescent="0.25">
      <c r="C28" t="s">
        <v>982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%USERPROFILE%\Documents\GitHub\eaglep3-reporting\EC\2017-10-15-Runs-refined.txt</v>
      </c>
    </row>
    <row r="29" spans="3:24" x14ac:dyDescent="0.25">
      <c r="C29" t="s">
        <v>983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%USERPROFILE%\Documents\GitHub\eaglep3-reporting\EC\2017-10-15-Trips.txt</v>
      </c>
    </row>
    <row r="30" spans="3:24" x14ac:dyDescent="0.25">
      <c r="C30" t="s">
        <v>984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%USERPROFILE%\Documents\GitHub\eaglep3-reporting\EC\2017-10-15-Weather.txt</v>
      </c>
    </row>
    <row r="31" spans="3:24" x14ac:dyDescent="0.25">
      <c r="C31" t="s">
        <v>985</v>
      </c>
      <c r="J31" s="140" t="s">
        <v>190</v>
      </c>
      <c r="M31" s="154" t="s">
        <v>191</v>
      </c>
    </row>
    <row r="32" spans="3:24" x14ac:dyDescent="0.25">
      <c r="C32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416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2017-10-16T14:48:50Z</dcterms:modified>
</cp:coreProperties>
</file>