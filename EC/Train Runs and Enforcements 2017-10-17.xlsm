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Enforcements!$A$6:$AC$41</definedName>
    <definedName name="_xlnm._FilterDatabase" localSheetId="2" hidden="1">'Missing Trips'!$A$2:$J$26</definedName>
    <definedName name="_xlnm._FilterDatabase" localSheetId="0" hidden="1">'Train Runs'!$A$12:$AG$381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62" i="1" l="1"/>
  <c r="K161" i="1"/>
  <c r="L161" i="1"/>
  <c r="M161" i="1"/>
  <c r="N161" i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P157" i="1"/>
  <c r="X155" i="1"/>
  <c r="K154" i="1"/>
  <c r="L154" i="1"/>
  <c r="M154" i="1"/>
  <c r="N154" i="1" s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X144" i="1"/>
  <c r="X145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X127" i="1"/>
  <c r="X128" i="1"/>
  <c r="K126" i="1"/>
  <c r="L126" i="1"/>
  <c r="M126" i="1"/>
  <c r="N126" i="1"/>
  <c r="V126" i="1"/>
  <c r="AA126" i="1"/>
  <c r="AB126" i="1"/>
  <c r="AC126" i="1"/>
  <c r="AD126" i="1"/>
  <c r="T126" i="1" s="1"/>
  <c r="AE126" i="1"/>
  <c r="AF126" i="1"/>
  <c r="AH126" i="1"/>
  <c r="AM126" i="1"/>
  <c r="AN126" i="1"/>
  <c r="AO126" i="1"/>
  <c r="X99" i="1"/>
  <c r="K98" i="1"/>
  <c r="L98" i="1"/>
  <c r="M98" i="1"/>
  <c r="N98" i="1"/>
  <c r="V98" i="1"/>
  <c r="AA98" i="1"/>
  <c r="AB98" i="1"/>
  <c r="AC98" i="1"/>
  <c r="AD98" i="1"/>
  <c r="T98" i="1" s="1"/>
  <c r="AE98" i="1"/>
  <c r="AF98" i="1"/>
  <c r="AH98" i="1"/>
  <c r="AM98" i="1"/>
  <c r="AN98" i="1"/>
  <c r="AO98" i="1"/>
  <c r="P84" i="1"/>
  <c r="P62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R7" i="3" s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S27" i="3" s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R17" i="3" s="1"/>
  <c r="AF34" i="1"/>
  <c r="AH34" i="1"/>
  <c r="AM34" i="1"/>
  <c r="AN34" i="1"/>
  <c r="AO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S10" i="3" s="1"/>
  <c r="Y36" i="1"/>
  <c r="Z36" i="1"/>
  <c r="AA36" i="1" s="1"/>
  <c r="AB36" i="1"/>
  <c r="AC36" i="1"/>
  <c r="AD36" i="1"/>
  <c r="AE36" i="1"/>
  <c r="R10" i="3" s="1"/>
  <c r="AF36" i="1"/>
  <c r="AH36" i="1"/>
  <c r="AM36" i="1"/>
  <c r="AN36" i="1"/>
  <c r="AO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/>
  <c r="V39" i="1"/>
  <c r="Y39" i="1"/>
  <c r="AA39" i="1" s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AA41" i="1" s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S16" i="3" s="1"/>
  <c r="Y43" i="1"/>
  <c r="Z43" i="1"/>
  <c r="AA43" i="1" s="1"/>
  <c r="AB43" i="1"/>
  <c r="AC43" i="1"/>
  <c r="AD43" i="1"/>
  <c r="AE43" i="1"/>
  <c r="R19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AA45" i="1" s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A50" i="1" s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AA55" i="1" s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T56" i="1"/>
  <c r="V56" i="1"/>
  <c r="S22" i="3" s="1"/>
  <c r="Y56" i="1"/>
  <c r="Z56" i="1"/>
  <c r="AB56" i="1"/>
  <c r="AC56" i="1"/>
  <c r="AD56" i="1"/>
  <c r="AE56" i="1"/>
  <c r="R22" i="3" s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/>
  <c r="V58" i="1"/>
  <c r="Y58" i="1"/>
  <c r="Z58" i="1"/>
  <c r="AB58" i="1"/>
  <c r="AC58" i="1"/>
  <c r="AD58" i="1"/>
  <c r="T58" i="1" s="1"/>
  <c r="AE58" i="1"/>
  <c r="R23" i="3" s="1"/>
  <c r="AF58" i="1"/>
  <c r="AH58" i="1"/>
  <c r="AM58" i="1"/>
  <c r="AN58" i="1"/>
  <c r="AO58" i="1"/>
  <c r="K59" i="1"/>
  <c r="L59" i="1"/>
  <c r="M59" i="1"/>
  <c r="N59" i="1"/>
  <c r="V59" i="1"/>
  <c r="Y59" i="1"/>
  <c r="AA59" i="1" s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T60" i="1"/>
  <c r="V60" i="1"/>
  <c r="Y60" i="1"/>
  <c r="Z60" i="1"/>
  <c r="AA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X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V62" i="1"/>
  <c r="Y62" i="1"/>
  <c r="Z62" i="1"/>
  <c r="AA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R14" i="3" s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A66" i="1" s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AO68" i="1"/>
  <c r="K69" i="1"/>
  <c r="L69" i="1"/>
  <c r="M69" i="1"/>
  <c r="N69" i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AO70" i="1"/>
  <c r="K71" i="1"/>
  <c r="L71" i="1"/>
  <c r="M71" i="1"/>
  <c r="N71" i="1" s="1"/>
  <c r="V71" i="1"/>
  <c r="X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/>
  <c r="V72" i="1"/>
  <c r="S24" i="3" s="1"/>
  <c r="Y72" i="1"/>
  <c r="Z72" i="1"/>
  <c r="AB72" i="1"/>
  <c r="AC72" i="1"/>
  <c r="AD72" i="1"/>
  <c r="X72" i="1" s="1"/>
  <c r="AE72" i="1"/>
  <c r="R25" i="3" s="1"/>
  <c r="AF72" i="1"/>
  <c r="AH72" i="1"/>
  <c r="AM72" i="1"/>
  <c r="AN72" i="1"/>
  <c r="AO72" i="1"/>
  <c r="K73" i="1"/>
  <c r="L73" i="1"/>
  <c r="M73" i="1"/>
  <c r="N73" i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S11" i="3" s="1"/>
  <c r="Y78" i="1"/>
  <c r="Z78" i="1"/>
  <c r="AB78" i="1"/>
  <c r="AC78" i="1"/>
  <c r="AD78" i="1"/>
  <c r="T78" i="1" s="1"/>
  <c r="AE78" i="1"/>
  <c r="R11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 s="1"/>
  <c r="V80" i="1"/>
  <c r="S8" i="3" s="1"/>
  <c r="Y80" i="1"/>
  <c r="Z80" i="1"/>
  <c r="AB80" i="1"/>
  <c r="AC80" i="1"/>
  <c r="AD80" i="1"/>
  <c r="T80" i="1" s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V84" i="1"/>
  <c r="Y84" i="1"/>
  <c r="Z84" i="1"/>
  <c r="AB84" i="1"/>
  <c r="AC84" i="1"/>
  <c r="AD84" i="1"/>
  <c r="AE84" i="1"/>
  <c r="R18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S28" i="3" s="1"/>
  <c r="Y89" i="1"/>
  <c r="Z89" i="1"/>
  <c r="AA89" i="1" s="1"/>
  <c r="AB89" i="1"/>
  <c r="AC89" i="1"/>
  <c r="AD89" i="1"/>
  <c r="AE89" i="1"/>
  <c r="R28" i="3" s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AO97" i="1"/>
  <c r="K99" i="1"/>
  <c r="L99" i="1"/>
  <c r="M99" i="1"/>
  <c r="N99" i="1"/>
  <c r="V99" i="1"/>
  <c r="Y99" i="1"/>
  <c r="Z99" i="1"/>
  <c r="AA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R26" i="3" s="1"/>
  <c r="AF100" i="1"/>
  <c r="AH100" i="1"/>
  <c r="AM100" i="1"/>
  <c r="AN100" i="1"/>
  <c r="AO100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/>
  <c r="V103" i="1"/>
  <c r="S29" i="3" s="1"/>
  <c r="Y103" i="1"/>
  <c r="AA103" i="1" s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T104" i="1"/>
  <c r="V104" i="1"/>
  <c r="Y104" i="1"/>
  <c r="Z104" i="1"/>
  <c r="AA104" i="1" s="1"/>
  <c r="AB104" i="1"/>
  <c r="AC104" i="1"/>
  <c r="AD104" i="1"/>
  <c r="X104" i="1" s="1"/>
  <c r="AE104" i="1"/>
  <c r="AF104" i="1"/>
  <c r="AH104" i="1"/>
  <c r="AM104" i="1"/>
  <c r="AN104" i="1"/>
  <c r="AO104" i="1"/>
  <c r="K105" i="1"/>
  <c r="L105" i="1"/>
  <c r="M105" i="1"/>
  <c r="N105" i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X106" i="1" s="1"/>
  <c r="AE106" i="1"/>
  <c r="AF106" i="1"/>
  <c r="AH106" i="1"/>
  <c r="AM106" i="1"/>
  <c r="AN106" i="1"/>
  <c r="AO106" i="1"/>
  <c r="K107" i="1"/>
  <c r="L107" i="1"/>
  <c r="M107" i="1"/>
  <c r="N107" i="1" s="1"/>
  <c r="T107" i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T108" i="1"/>
  <c r="V108" i="1"/>
  <c r="Y108" i="1"/>
  <c r="Z108" i="1"/>
  <c r="AA108" i="1" s="1"/>
  <c r="AB108" i="1"/>
  <c r="AC108" i="1"/>
  <c r="AD108" i="1"/>
  <c r="X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T111" i="1"/>
  <c r="V111" i="1"/>
  <c r="Y111" i="1"/>
  <c r="AA111" i="1" s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/>
  <c r="V114" i="1"/>
  <c r="Y114" i="1"/>
  <c r="AA114" i="1" s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T115" i="1"/>
  <c r="V115" i="1"/>
  <c r="Y115" i="1"/>
  <c r="AA115" i="1" s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AA116" i="1" s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AA118" i="1" s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AA120" i="1" s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AA121" i="1" s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AA122" i="1" s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S13" i="3" s="1"/>
  <c r="Y124" i="1"/>
  <c r="Z124" i="1"/>
  <c r="AA124" i="1" s="1"/>
  <c r="AB124" i="1"/>
  <c r="AC124" i="1"/>
  <c r="AD124" i="1"/>
  <c r="T124" i="1" s="1"/>
  <c r="AE124" i="1"/>
  <c r="R13" i="3" s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AO125" i="1"/>
  <c r="K127" i="1"/>
  <c r="L127" i="1"/>
  <c r="M127" i="1"/>
  <c r="N127" i="1"/>
  <c r="V127" i="1"/>
  <c r="Y127" i="1"/>
  <c r="AA127" i="1" s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A132" i="1" s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/>
  <c r="V134" i="1"/>
  <c r="Y134" i="1"/>
  <c r="Z134" i="1"/>
  <c r="AA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/>
  <c r="V138" i="1"/>
  <c r="Y138" i="1"/>
  <c r="AA138" i="1" s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/>
  <c r="V139" i="1"/>
  <c r="Y139" i="1"/>
  <c r="AA139" i="1" s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A141" i="1" s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A142" i="1" s="1"/>
  <c r="AB142" i="1"/>
  <c r="AC142" i="1"/>
  <c r="AD142" i="1"/>
  <c r="AE142" i="1"/>
  <c r="AF142" i="1"/>
  <c r="AH142" i="1"/>
  <c r="AM142" i="1"/>
  <c r="AN142" i="1"/>
  <c r="AO142" i="1"/>
  <c r="K145" i="1"/>
  <c r="L145" i="1"/>
  <c r="M145" i="1"/>
  <c r="N145" i="1" s="1"/>
  <c r="V145" i="1"/>
  <c r="Y145" i="1"/>
  <c r="Z145" i="1"/>
  <c r="AA145" i="1" s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AO147" i="1"/>
  <c r="K148" i="1"/>
  <c r="L148" i="1"/>
  <c r="M148" i="1"/>
  <c r="N148" i="1"/>
  <c r="V148" i="1"/>
  <c r="Y148" i="1"/>
  <c r="AA148" i="1" s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/>
  <c r="V149" i="1"/>
  <c r="Y149" i="1"/>
  <c r="Z149" i="1"/>
  <c r="AA149" i="1"/>
  <c r="AB149" i="1"/>
  <c r="AC149" i="1"/>
  <c r="AD149" i="1"/>
  <c r="AE149" i="1"/>
  <c r="AF149" i="1"/>
  <c r="AH149" i="1"/>
  <c r="AM149" i="1"/>
  <c r="AN149" i="1"/>
  <c r="AO149" i="1"/>
  <c r="K150" i="1"/>
  <c r="L150" i="1"/>
  <c r="M150" i="1"/>
  <c r="N150" i="1" s="1"/>
  <c r="V150" i="1"/>
  <c r="S9" i="3" s="1"/>
  <c r="Y150" i="1"/>
  <c r="Z150" i="1"/>
  <c r="AB150" i="1"/>
  <c r="AC150" i="1"/>
  <c r="AD150" i="1"/>
  <c r="AE150" i="1"/>
  <c r="R9" i="3" s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V156" i="1"/>
  <c r="S15" i="3" s="1"/>
  <c r="Y156" i="1"/>
  <c r="Z156" i="1"/>
  <c r="AA156" i="1" s="1"/>
  <c r="AB156" i="1"/>
  <c r="AC156" i="1"/>
  <c r="AD156" i="1"/>
  <c r="AE156" i="1"/>
  <c r="AF156" i="1"/>
  <c r="AH156" i="1"/>
  <c r="AM156" i="1"/>
  <c r="AN156" i="1"/>
  <c r="AO156" i="1"/>
  <c r="K157" i="1"/>
  <c r="L157" i="1"/>
  <c r="M157" i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208" i="1"/>
  <c r="L208" i="1"/>
  <c r="M208" i="1"/>
  <c r="N208" i="1" s="1"/>
  <c r="V208" i="1"/>
  <c r="Y208" i="1"/>
  <c r="Z208" i="1"/>
  <c r="AA208" i="1" s="1"/>
  <c r="AB208" i="1"/>
  <c r="AC208" i="1"/>
  <c r="AD208" i="1"/>
  <c r="AE208" i="1"/>
  <c r="AF208" i="1"/>
  <c r="AH158" i="1"/>
  <c r="AM158" i="1"/>
  <c r="AN158" i="1"/>
  <c r="AO15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59" i="1"/>
  <c r="AM159" i="1"/>
  <c r="AN159" i="1"/>
  <c r="AO159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160" i="1"/>
  <c r="AM160" i="1"/>
  <c r="AN160" i="1"/>
  <c r="AO16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AA214" i="1" s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AA218" i="1" s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AA219" i="1" s="1"/>
  <c r="Z219" i="1"/>
  <c r="AB219" i="1"/>
  <c r="AC219" i="1"/>
  <c r="AD219" i="1"/>
  <c r="AE219" i="1"/>
  <c r="AF219" i="1"/>
  <c r="AH170" i="1"/>
  <c r="AM170" i="1"/>
  <c r="AN170" i="1"/>
  <c r="AO170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171" i="1"/>
  <c r="AM171" i="1"/>
  <c r="AN171" i="1"/>
  <c r="AO171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2" i="1"/>
  <c r="AM172" i="1"/>
  <c r="AN172" i="1"/>
  <c r="AO172" i="1"/>
  <c r="K227" i="1"/>
  <c r="L227" i="1"/>
  <c r="M227" i="1"/>
  <c r="N227" i="1" s="1"/>
  <c r="V227" i="1"/>
  <c r="S37" i="3" s="1"/>
  <c r="Y227" i="1"/>
  <c r="Z227" i="1"/>
  <c r="AB227" i="1"/>
  <c r="AC227" i="1"/>
  <c r="AD227" i="1"/>
  <c r="AE227" i="1"/>
  <c r="R37" i="3" s="1"/>
  <c r="AF227" i="1"/>
  <c r="AH173" i="1"/>
  <c r="AM173" i="1"/>
  <c r="AN173" i="1"/>
  <c r="AO173" i="1"/>
  <c r="K228" i="1"/>
  <c r="L228" i="1"/>
  <c r="M228" i="1"/>
  <c r="N228" i="1" s="1"/>
  <c r="V228" i="1"/>
  <c r="Y228" i="1"/>
  <c r="AA228" i="1" s="1"/>
  <c r="Z228" i="1"/>
  <c r="AB228" i="1"/>
  <c r="AC228" i="1"/>
  <c r="AD228" i="1"/>
  <c r="AE228" i="1"/>
  <c r="AF228" i="1"/>
  <c r="AH174" i="1"/>
  <c r="AM174" i="1"/>
  <c r="AN174" i="1"/>
  <c r="AO174" i="1"/>
  <c r="K229" i="1"/>
  <c r="L229" i="1"/>
  <c r="M229" i="1"/>
  <c r="N229" i="1" s="1"/>
  <c r="V229" i="1"/>
  <c r="S38" i="3" s="1"/>
  <c r="Y229" i="1"/>
  <c r="Z229" i="1"/>
  <c r="AA229" i="1" s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A231" i="1"/>
  <c r="AB231" i="1"/>
  <c r="AC231" i="1"/>
  <c r="AD231" i="1"/>
  <c r="AE231" i="1"/>
  <c r="AF231" i="1"/>
  <c r="AH177" i="1"/>
  <c r="AM177" i="1"/>
  <c r="AN177" i="1"/>
  <c r="AO177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8" i="1"/>
  <c r="AM178" i="1"/>
  <c r="AN178" i="1"/>
  <c r="AO178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AO181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AO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AM184" i="1"/>
  <c r="AN184" i="1"/>
  <c r="AO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AO185" i="1"/>
  <c r="K158" i="1"/>
  <c r="L158" i="1"/>
  <c r="M158" i="1"/>
  <c r="N158" i="1"/>
  <c r="V158" i="1"/>
  <c r="Y158" i="1"/>
  <c r="Z158" i="1"/>
  <c r="AB158" i="1"/>
  <c r="AC158" i="1"/>
  <c r="AD158" i="1"/>
  <c r="T158" i="1" s="1"/>
  <c r="AE158" i="1"/>
  <c r="AF158" i="1"/>
  <c r="AH186" i="1"/>
  <c r="AM186" i="1"/>
  <c r="AN186" i="1"/>
  <c r="AO186" i="1"/>
  <c r="K159" i="1"/>
  <c r="L159" i="1"/>
  <c r="M159" i="1"/>
  <c r="N159" i="1"/>
  <c r="V159" i="1"/>
  <c r="Y159" i="1"/>
  <c r="Z159" i="1"/>
  <c r="AB159" i="1"/>
  <c r="AC159" i="1"/>
  <c r="AD159" i="1"/>
  <c r="T159" i="1" s="1"/>
  <c r="AE159" i="1"/>
  <c r="AF159" i="1"/>
  <c r="AH187" i="1"/>
  <c r="AM187" i="1"/>
  <c r="AN187" i="1"/>
  <c r="AO187" i="1"/>
  <c r="K160" i="1"/>
  <c r="L160" i="1"/>
  <c r="M160" i="1"/>
  <c r="N160" i="1"/>
  <c r="V160" i="1"/>
  <c r="Y160" i="1"/>
  <c r="Z160" i="1"/>
  <c r="AB160" i="1"/>
  <c r="AC160" i="1"/>
  <c r="AD160" i="1"/>
  <c r="T160" i="1" s="1"/>
  <c r="AE160" i="1"/>
  <c r="AF160" i="1"/>
  <c r="AH188" i="1"/>
  <c r="AM188" i="1"/>
  <c r="AN188" i="1"/>
  <c r="AO188" i="1"/>
  <c r="K162" i="1"/>
  <c r="L162" i="1"/>
  <c r="M162" i="1"/>
  <c r="N162" i="1"/>
  <c r="V162" i="1"/>
  <c r="Y162" i="1"/>
  <c r="Z162" i="1"/>
  <c r="AB162" i="1"/>
  <c r="AC162" i="1"/>
  <c r="AD162" i="1"/>
  <c r="T162" i="1" s="1"/>
  <c r="AE162" i="1"/>
  <c r="AF162" i="1"/>
  <c r="AH189" i="1"/>
  <c r="AM189" i="1"/>
  <c r="AN189" i="1"/>
  <c r="AO18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0" i="1"/>
  <c r="AM190" i="1"/>
  <c r="AN190" i="1"/>
  <c r="AO190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1" i="1"/>
  <c r="AM191" i="1"/>
  <c r="AN191" i="1"/>
  <c r="AO191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2" i="1"/>
  <c r="AM192" i="1"/>
  <c r="AN192" i="1"/>
  <c r="AO192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3" i="1"/>
  <c r="AM193" i="1"/>
  <c r="AN193" i="1"/>
  <c r="AO193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4" i="1"/>
  <c r="AM194" i="1"/>
  <c r="AN194" i="1"/>
  <c r="AO194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5" i="1"/>
  <c r="AM195" i="1"/>
  <c r="AN195" i="1"/>
  <c r="AO195" i="1"/>
  <c r="K169" i="1"/>
  <c r="L169" i="1"/>
  <c r="M169" i="1"/>
  <c r="V169" i="1"/>
  <c r="Y169" i="1"/>
  <c r="Z169" i="1"/>
  <c r="AA169" i="1" s="1"/>
  <c r="AB169" i="1"/>
  <c r="AC169" i="1"/>
  <c r="AD169" i="1"/>
  <c r="T169" i="1" s="1"/>
  <c r="AE169" i="1"/>
  <c r="AF169" i="1"/>
  <c r="AH196" i="1"/>
  <c r="AM196" i="1"/>
  <c r="AN196" i="1"/>
  <c r="AO196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97" i="1"/>
  <c r="AM197" i="1"/>
  <c r="AN197" i="1"/>
  <c r="AO197" i="1"/>
  <c r="K171" i="1"/>
  <c r="L171" i="1"/>
  <c r="M171" i="1"/>
  <c r="N171" i="1" s="1"/>
  <c r="V171" i="1"/>
  <c r="S33" i="3" s="1"/>
  <c r="Y171" i="1"/>
  <c r="Z171" i="1"/>
  <c r="AA171" i="1" s="1"/>
  <c r="AB171" i="1"/>
  <c r="AC171" i="1"/>
  <c r="AD171" i="1"/>
  <c r="T171" i="1" s="1"/>
  <c r="AE171" i="1"/>
  <c r="R33" i="3" s="1"/>
  <c r="AF171" i="1"/>
  <c r="AH198" i="1"/>
  <c r="AM198" i="1"/>
  <c r="AN198" i="1"/>
  <c r="AO198" i="1"/>
  <c r="K172" i="1"/>
  <c r="L172" i="1"/>
  <c r="M172" i="1"/>
  <c r="N172" i="1" s="1"/>
  <c r="V172" i="1"/>
  <c r="Y172" i="1"/>
  <c r="Z172" i="1"/>
  <c r="AA172" i="1" s="1"/>
  <c r="AB172" i="1"/>
  <c r="AC172" i="1"/>
  <c r="AD172" i="1"/>
  <c r="T172" i="1" s="1"/>
  <c r="AE172" i="1"/>
  <c r="AF172" i="1"/>
  <c r="AH199" i="1"/>
  <c r="AM199" i="1"/>
  <c r="AN199" i="1"/>
  <c r="AO199" i="1"/>
  <c r="K173" i="1"/>
  <c r="L173" i="1"/>
  <c r="M173" i="1"/>
  <c r="N173" i="1" s="1"/>
  <c r="V173" i="1"/>
  <c r="Y173" i="1"/>
  <c r="Z173" i="1"/>
  <c r="AA173" i="1" s="1"/>
  <c r="AB173" i="1"/>
  <c r="AC173" i="1"/>
  <c r="AD173" i="1"/>
  <c r="T173" i="1" s="1"/>
  <c r="AE173" i="1"/>
  <c r="AF173" i="1"/>
  <c r="AH200" i="1"/>
  <c r="AM200" i="1"/>
  <c r="AN200" i="1"/>
  <c r="AO200" i="1"/>
  <c r="K174" i="1"/>
  <c r="L174" i="1"/>
  <c r="M174" i="1"/>
  <c r="N174" i="1" s="1"/>
  <c r="V174" i="1"/>
  <c r="Y174" i="1"/>
  <c r="Z174" i="1"/>
  <c r="AA174" i="1" s="1"/>
  <c r="AB174" i="1"/>
  <c r="AC174" i="1"/>
  <c r="AD174" i="1"/>
  <c r="AE174" i="1"/>
  <c r="AF174" i="1"/>
  <c r="AH201" i="1"/>
  <c r="AM201" i="1"/>
  <c r="AN201" i="1"/>
  <c r="AO201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202" i="1"/>
  <c r="AM202" i="1"/>
  <c r="AN202" i="1"/>
  <c r="AO202" i="1"/>
  <c r="K176" i="1"/>
  <c r="L176" i="1"/>
  <c r="M176" i="1"/>
  <c r="N176" i="1" s="1"/>
  <c r="V176" i="1"/>
  <c r="S31" i="3" s="1"/>
  <c r="Y176" i="1"/>
  <c r="Z176" i="1"/>
  <c r="AA176" i="1" s="1"/>
  <c r="AB176" i="1"/>
  <c r="AC176" i="1"/>
  <c r="AD176" i="1"/>
  <c r="AE176" i="1"/>
  <c r="R31" i="3" s="1"/>
  <c r="AF176" i="1"/>
  <c r="AH203" i="1"/>
  <c r="AM203" i="1"/>
  <c r="AN203" i="1"/>
  <c r="AO203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204" i="1"/>
  <c r="AM204" i="1"/>
  <c r="AN204" i="1"/>
  <c r="AO204" i="1"/>
  <c r="K178" i="1"/>
  <c r="L178" i="1"/>
  <c r="M178" i="1"/>
  <c r="N178" i="1" s="1"/>
  <c r="V178" i="1"/>
  <c r="Y178" i="1"/>
  <c r="Z178" i="1"/>
  <c r="AA178" i="1" s="1"/>
  <c r="AB178" i="1"/>
  <c r="AC178" i="1"/>
  <c r="AD178" i="1"/>
  <c r="AE178" i="1"/>
  <c r="AF178" i="1"/>
  <c r="AH205" i="1"/>
  <c r="AM205" i="1"/>
  <c r="AN205" i="1"/>
  <c r="AO205" i="1"/>
  <c r="K179" i="1"/>
  <c r="L179" i="1"/>
  <c r="M179" i="1"/>
  <c r="N179" i="1" s="1"/>
  <c r="V179" i="1"/>
  <c r="S30" i="3" s="1"/>
  <c r="Y179" i="1"/>
  <c r="Z179" i="1"/>
  <c r="AA179" i="1" s="1"/>
  <c r="AB179" i="1"/>
  <c r="AC179" i="1"/>
  <c r="AD179" i="1"/>
  <c r="AE179" i="1"/>
  <c r="R30" i="3" s="1"/>
  <c r="AF179" i="1"/>
  <c r="AH206" i="1"/>
  <c r="AM206" i="1"/>
  <c r="AN206" i="1"/>
  <c r="AO206" i="1"/>
  <c r="K180" i="1"/>
  <c r="L180" i="1"/>
  <c r="M180" i="1"/>
  <c r="N180" i="1" s="1"/>
  <c r="V180" i="1"/>
  <c r="Y180" i="1"/>
  <c r="Z180" i="1"/>
  <c r="AA180" i="1" s="1"/>
  <c r="AB180" i="1"/>
  <c r="AC180" i="1"/>
  <c r="AD180" i="1"/>
  <c r="AE180" i="1"/>
  <c r="AF180" i="1"/>
  <c r="AH207" i="1"/>
  <c r="AM207" i="1"/>
  <c r="AN207" i="1"/>
  <c r="AO207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8" i="1"/>
  <c r="AM208" i="1"/>
  <c r="AN208" i="1"/>
  <c r="AO208" i="1"/>
  <c r="K182" i="1"/>
  <c r="L182" i="1"/>
  <c r="M182" i="1"/>
  <c r="N182" i="1" s="1"/>
  <c r="V182" i="1"/>
  <c r="Y182" i="1"/>
  <c r="Z182" i="1"/>
  <c r="AA182" i="1" s="1"/>
  <c r="AB182" i="1"/>
  <c r="AC182" i="1"/>
  <c r="AD182" i="1"/>
  <c r="AE182" i="1"/>
  <c r="AF182" i="1"/>
  <c r="AH209" i="1"/>
  <c r="AM209" i="1"/>
  <c r="AN209" i="1"/>
  <c r="AO20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0" i="1"/>
  <c r="AM210" i="1"/>
  <c r="AN210" i="1"/>
  <c r="AO210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11" i="1"/>
  <c r="AM211" i="1"/>
  <c r="AN211" i="1"/>
  <c r="AO211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12" i="1"/>
  <c r="AM212" i="1"/>
  <c r="AN212" i="1"/>
  <c r="AO212" i="1"/>
  <c r="K186" i="1"/>
  <c r="L186" i="1"/>
  <c r="M186" i="1"/>
  <c r="N186" i="1" s="1"/>
  <c r="V186" i="1"/>
  <c r="S34" i="3" s="1"/>
  <c r="Y186" i="1"/>
  <c r="Z186" i="1"/>
  <c r="AA186" i="1" s="1"/>
  <c r="AB186" i="1"/>
  <c r="AC186" i="1"/>
  <c r="AD186" i="1"/>
  <c r="AE186" i="1"/>
  <c r="R32" i="3" s="1"/>
  <c r="AF186" i="1"/>
  <c r="AH213" i="1"/>
  <c r="AM213" i="1"/>
  <c r="AN213" i="1"/>
  <c r="AO21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4" i="1"/>
  <c r="AM214" i="1"/>
  <c r="AN214" i="1"/>
  <c r="AO214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15" i="1"/>
  <c r="AM215" i="1"/>
  <c r="AN215" i="1"/>
  <c r="AO215" i="1"/>
  <c r="K189" i="1"/>
  <c r="L189" i="1"/>
  <c r="M189" i="1"/>
  <c r="N189" i="1" s="1"/>
  <c r="V189" i="1"/>
  <c r="Y189" i="1"/>
  <c r="Z189" i="1"/>
  <c r="AA189" i="1" s="1"/>
  <c r="AB189" i="1"/>
  <c r="AC189" i="1"/>
  <c r="AD189" i="1"/>
  <c r="AE189" i="1"/>
  <c r="AF189" i="1"/>
  <c r="AH216" i="1"/>
  <c r="AM216" i="1"/>
  <c r="AN216" i="1"/>
  <c r="AO216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17" i="1"/>
  <c r="AM217" i="1"/>
  <c r="AN217" i="1"/>
  <c r="AO217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8" i="1"/>
  <c r="AM218" i="1"/>
  <c r="AN218" i="1"/>
  <c r="AO21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9" i="1"/>
  <c r="AM219" i="1"/>
  <c r="AN219" i="1"/>
  <c r="AO219" i="1"/>
  <c r="K193" i="1"/>
  <c r="L193" i="1"/>
  <c r="M193" i="1"/>
  <c r="N193" i="1"/>
  <c r="V193" i="1"/>
  <c r="Y193" i="1"/>
  <c r="Z193" i="1"/>
  <c r="AA193" i="1"/>
  <c r="AB193" i="1"/>
  <c r="AC193" i="1"/>
  <c r="AD193" i="1"/>
  <c r="AE193" i="1"/>
  <c r="AF193" i="1"/>
  <c r="AH220" i="1"/>
  <c r="AM220" i="1"/>
  <c r="AN220" i="1"/>
  <c r="AO22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1" i="1"/>
  <c r="AM221" i="1"/>
  <c r="AN221" i="1"/>
  <c r="AO221" i="1"/>
  <c r="K195" i="1"/>
  <c r="L195" i="1"/>
  <c r="M195" i="1"/>
  <c r="N195" i="1"/>
  <c r="V195" i="1"/>
  <c r="Y195" i="1"/>
  <c r="AA195" i="1" s="1"/>
  <c r="Z195" i="1"/>
  <c r="AB195" i="1"/>
  <c r="AC195" i="1"/>
  <c r="AD195" i="1"/>
  <c r="AE195" i="1"/>
  <c r="AF195" i="1"/>
  <c r="AH222" i="1"/>
  <c r="AM222" i="1"/>
  <c r="AN222" i="1"/>
  <c r="AO222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3" i="1"/>
  <c r="AM223" i="1"/>
  <c r="AN223" i="1"/>
  <c r="AO223" i="1"/>
  <c r="K197" i="1"/>
  <c r="L197" i="1"/>
  <c r="M197" i="1"/>
  <c r="N197" i="1" s="1"/>
  <c r="V197" i="1"/>
  <c r="Y197" i="1"/>
  <c r="Z197" i="1"/>
  <c r="AA197" i="1" s="1"/>
  <c r="AB197" i="1"/>
  <c r="AC197" i="1"/>
  <c r="AD197" i="1"/>
  <c r="AE197" i="1"/>
  <c r="AF197" i="1"/>
  <c r="AH224" i="1"/>
  <c r="AM224" i="1"/>
  <c r="AN224" i="1"/>
  <c r="AO224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5" i="1"/>
  <c r="AM225" i="1"/>
  <c r="AN225" i="1"/>
  <c r="AO225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6" i="1"/>
  <c r="AM226" i="1"/>
  <c r="AN226" i="1"/>
  <c r="AO226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27" i="1"/>
  <c r="AM227" i="1"/>
  <c r="AN227" i="1"/>
  <c r="AO227" i="1"/>
  <c r="K201" i="1"/>
  <c r="L201" i="1"/>
  <c r="M201" i="1"/>
  <c r="N201" i="1"/>
  <c r="V201" i="1"/>
  <c r="Y201" i="1"/>
  <c r="Z201" i="1"/>
  <c r="AA201" i="1"/>
  <c r="AB201" i="1"/>
  <c r="AC201" i="1"/>
  <c r="AD201" i="1"/>
  <c r="AE201" i="1"/>
  <c r="AF201" i="1"/>
  <c r="AH228" i="1"/>
  <c r="AM228" i="1"/>
  <c r="AN228" i="1"/>
  <c r="AO228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29" i="1"/>
  <c r="AM229" i="1"/>
  <c r="AN229" i="1"/>
  <c r="AO229" i="1"/>
  <c r="K203" i="1"/>
  <c r="L203" i="1"/>
  <c r="M203" i="1"/>
  <c r="N203" i="1"/>
  <c r="V203" i="1"/>
  <c r="Y203" i="1"/>
  <c r="AA203" i="1" s="1"/>
  <c r="Z203" i="1"/>
  <c r="AB203" i="1"/>
  <c r="AC203" i="1"/>
  <c r="AD203" i="1"/>
  <c r="AE203" i="1"/>
  <c r="AF203" i="1"/>
  <c r="AH230" i="1"/>
  <c r="AM230" i="1"/>
  <c r="AN230" i="1"/>
  <c r="AO230" i="1"/>
  <c r="K204" i="1"/>
  <c r="L204" i="1"/>
  <c r="M204" i="1"/>
  <c r="N204" i="1"/>
  <c r="V204" i="1"/>
  <c r="Y204" i="1"/>
  <c r="Z204" i="1"/>
  <c r="AA204" i="1"/>
  <c r="AB204" i="1"/>
  <c r="AC204" i="1"/>
  <c r="AD204" i="1"/>
  <c r="AE204" i="1"/>
  <c r="AF204" i="1"/>
  <c r="AH231" i="1"/>
  <c r="AM231" i="1"/>
  <c r="AN231" i="1"/>
  <c r="AO231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232" i="1"/>
  <c r="AM232" i="1"/>
  <c r="AN232" i="1"/>
  <c r="AO232" i="1"/>
  <c r="K206" i="1"/>
  <c r="L206" i="1"/>
  <c r="M206" i="1"/>
  <c r="N206" i="1" s="1"/>
  <c r="V206" i="1"/>
  <c r="Y206" i="1"/>
  <c r="Z206" i="1"/>
  <c r="AA206" i="1" s="1"/>
  <c r="AB206" i="1"/>
  <c r="AC206" i="1"/>
  <c r="AD206" i="1"/>
  <c r="AE206" i="1"/>
  <c r="AF206" i="1"/>
  <c r="AH233" i="1"/>
  <c r="AM233" i="1"/>
  <c r="AN233" i="1"/>
  <c r="AO233" i="1"/>
  <c r="K207" i="1"/>
  <c r="L207" i="1"/>
  <c r="M207" i="1"/>
  <c r="N207" i="1"/>
  <c r="V207" i="1"/>
  <c r="S35" i="3" s="1"/>
  <c r="Y207" i="1"/>
  <c r="Z207" i="1"/>
  <c r="AB207" i="1"/>
  <c r="AC207" i="1"/>
  <c r="AD207" i="1"/>
  <c r="AE207" i="1"/>
  <c r="R35" i="3" s="1"/>
  <c r="AF207" i="1"/>
  <c r="AH234" i="1"/>
  <c r="AM234" i="1"/>
  <c r="AN234" i="1"/>
  <c r="AO234" i="1"/>
  <c r="K240" i="1"/>
  <c r="L240" i="1"/>
  <c r="M240" i="1"/>
  <c r="N240" i="1"/>
  <c r="V240" i="1"/>
  <c r="Y240" i="1"/>
  <c r="Z240" i="1"/>
  <c r="AA240" i="1"/>
  <c r="AB240" i="1"/>
  <c r="AC240" i="1"/>
  <c r="AD240" i="1"/>
  <c r="X240" i="1" s="1"/>
  <c r="AE240" i="1"/>
  <c r="AF240" i="1"/>
  <c r="AH235" i="1"/>
  <c r="AM235" i="1"/>
  <c r="AN235" i="1"/>
  <c r="AO235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236" i="1"/>
  <c r="AM236" i="1"/>
  <c r="AN236" i="1"/>
  <c r="AO236" i="1"/>
  <c r="K221" i="1"/>
  <c r="L221" i="1"/>
  <c r="M221" i="1"/>
  <c r="N221" i="1" s="1"/>
  <c r="V221" i="1"/>
  <c r="Y221" i="1"/>
  <c r="Z221" i="1"/>
  <c r="AA221" i="1" s="1"/>
  <c r="AB221" i="1"/>
  <c r="AC221" i="1"/>
  <c r="AD221" i="1"/>
  <c r="X221" i="1" s="1"/>
  <c r="AE221" i="1"/>
  <c r="AF221" i="1"/>
  <c r="AH237" i="1"/>
  <c r="AM237" i="1"/>
  <c r="AN237" i="1"/>
  <c r="AO237" i="1"/>
  <c r="K222" i="1"/>
  <c r="L222" i="1"/>
  <c r="M222" i="1"/>
  <c r="N222" i="1"/>
  <c r="V222" i="1"/>
  <c r="X222" i="1"/>
  <c r="Y222" i="1"/>
  <c r="Z222" i="1"/>
  <c r="AB222" i="1"/>
  <c r="AC222" i="1"/>
  <c r="AD222" i="1"/>
  <c r="T222" i="1" s="1"/>
  <c r="AE222" i="1"/>
  <c r="AF222" i="1"/>
  <c r="AH238" i="1"/>
  <c r="AM238" i="1"/>
  <c r="AN238" i="1"/>
  <c r="AO238" i="1"/>
  <c r="K223" i="1"/>
  <c r="L223" i="1"/>
  <c r="M223" i="1"/>
  <c r="N223" i="1"/>
  <c r="V223" i="1"/>
  <c r="Y223" i="1"/>
  <c r="Z223" i="1"/>
  <c r="AA223" i="1"/>
  <c r="AB223" i="1"/>
  <c r="AC223" i="1"/>
  <c r="AD223" i="1"/>
  <c r="X223" i="1" s="1"/>
  <c r="AE223" i="1"/>
  <c r="AF223" i="1"/>
  <c r="AH239" i="1"/>
  <c r="AM239" i="1"/>
  <c r="AN239" i="1"/>
  <c r="AO239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40" i="1"/>
  <c r="AM240" i="1"/>
  <c r="AN240" i="1"/>
  <c r="AO240" i="1"/>
  <c r="M7" i="3"/>
  <c r="S7" i="3"/>
  <c r="U7" i="3"/>
  <c r="T7" i="3" s="1"/>
  <c r="V7" i="3"/>
  <c r="X7" i="3"/>
  <c r="M27" i="3"/>
  <c r="R27" i="3"/>
  <c r="U27" i="3"/>
  <c r="AD27" i="3" s="1"/>
  <c r="V27" i="3"/>
  <c r="X27" i="3"/>
  <c r="M17" i="3"/>
  <c r="S17" i="3"/>
  <c r="U17" i="3"/>
  <c r="AC17" i="3" s="1"/>
  <c r="V17" i="3"/>
  <c r="X17" i="3"/>
  <c r="M19" i="3"/>
  <c r="U19" i="3"/>
  <c r="AC19" i="3" s="1"/>
  <c r="V19" i="3"/>
  <c r="X19" i="3"/>
  <c r="M20" i="3"/>
  <c r="U20" i="3"/>
  <c r="T20" i="3" s="1"/>
  <c r="V20" i="3"/>
  <c r="X20" i="3"/>
  <c r="M10" i="3"/>
  <c r="U10" i="3"/>
  <c r="V10" i="3"/>
  <c r="X10" i="3"/>
  <c r="M16" i="3"/>
  <c r="R16" i="3"/>
  <c r="U16" i="3"/>
  <c r="AC16" i="3" s="1"/>
  <c r="V16" i="3"/>
  <c r="X16" i="3"/>
  <c r="M33" i="3"/>
  <c r="U33" i="3"/>
  <c r="AC33" i="3" s="1"/>
  <c r="V33" i="3"/>
  <c r="X33" i="3"/>
  <c r="M12" i="3"/>
  <c r="R12" i="3"/>
  <c r="S12" i="3"/>
  <c r="U12" i="3"/>
  <c r="T12" i="3" s="1"/>
  <c r="V12" i="3"/>
  <c r="X12" i="3"/>
  <c r="M37" i="3"/>
  <c r="U37" i="3"/>
  <c r="V37" i="3"/>
  <c r="X37" i="3"/>
  <c r="M22" i="3"/>
  <c r="U22" i="3"/>
  <c r="AC22" i="3" s="1"/>
  <c r="V22" i="3"/>
  <c r="X22" i="3"/>
  <c r="M23" i="3"/>
  <c r="S23" i="3"/>
  <c r="U23" i="3"/>
  <c r="AC23" i="3" s="1"/>
  <c r="V23" i="3"/>
  <c r="X23" i="3"/>
  <c r="M38" i="3"/>
  <c r="R38" i="3"/>
  <c r="U38" i="3"/>
  <c r="T38" i="3" s="1"/>
  <c r="V38" i="3"/>
  <c r="X38" i="3"/>
  <c r="M14" i="3"/>
  <c r="S14" i="3"/>
  <c r="U14" i="3"/>
  <c r="V14" i="3"/>
  <c r="X14" i="3"/>
  <c r="M31" i="3"/>
  <c r="U31" i="3"/>
  <c r="AC31" i="3" s="1"/>
  <c r="V31" i="3"/>
  <c r="X31" i="3"/>
  <c r="M24" i="3"/>
  <c r="U24" i="3"/>
  <c r="AC24" i="3" s="1"/>
  <c r="V24" i="3"/>
  <c r="X24" i="3"/>
  <c r="M25" i="3"/>
  <c r="S25" i="3"/>
  <c r="U25" i="3"/>
  <c r="T25" i="3" s="1"/>
  <c r="V25" i="3"/>
  <c r="X25" i="3"/>
  <c r="M30" i="3"/>
  <c r="U30" i="3"/>
  <c r="V30" i="3"/>
  <c r="X30" i="3"/>
  <c r="M11" i="3"/>
  <c r="U11" i="3"/>
  <c r="AC11" i="3" s="1"/>
  <c r="V11" i="3"/>
  <c r="X11" i="3"/>
  <c r="M8" i="3"/>
  <c r="R8" i="3"/>
  <c r="U8" i="3"/>
  <c r="AC8" i="3" s="1"/>
  <c r="V8" i="3"/>
  <c r="X8" i="3"/>
  <c r="M28" i="3"/>
  <c r="U28" i="3"/>
  <c r="AD28" i="3" s="1"/>
  <c r="V28" i="3"/>
  <c r="X28" i="3"/>
  <c r="M18" i="3"/>
  <c r="S18" i="3"/>
  <c r="U18" i="3"/>
  <c r="V18" i="3"/>
  <c r="X18" i="3"/>
  <c r="M29" i="3"/>
  <c r="R29" i="3"/>
  <c r="U29" i="3"/>
  <c r="AC29" i="3" s="1"/>
  <c r="V29" i="3"/>
  <c r="X29" i="3"/>
  <c r="M32" i="3"/>
  <c r="U32" i="3"/>
  <c r="AC32" i="3" s="1"/>
  <c r="V32" i="3"/>
  <c r="X32" i="3"/>
  <c r="M34" i="3"/>
  <c r="U34" i="3"/>
  <c r="T34" i="3" s="1"/>
  <c r="V34" i="3"/>
  <c r="X34" i="3"/>
  <c r="M26" i="3"/>
  <c r="S26" i="3"/>
  <c r="U26" i="3"/>
  <c r="V26" i="3"/>
  <c r="X26" i="3"/>
  <c r="M13" i="3"/>
  <c r="U13" i="3"/>
  <c r="AC13" i="3" s="1"/>
  <c r="V13" i="3"/>
  <c r="X13" i="3"/>
  <c r="M36" i="3"/>
  <c r="R36" i="3"/>
  <c r="S36" i="3"/>
  <c r="U36" i="3"/>
  <c r="AC36" i="3" s="1"/>
  <c r="V36" i="3"/>
  <c r="X36" i="3"/>
  <c r="M35" i="3"/>
  <c r="U35" i="3"/>
  <c r="T35" i="3" s="1"/>
  <c r="V35" i="3"/>
  <c r="X35" i="3"/>
  <c r="M9" i="3"/>
  <c r="U9" i="3"/>
  <c r="AD37" i="3" s="1"/>
  <c r="V9" i="3"/>
  <c r="X9" i="3"/>
  <c r="M15" i="3"/>
  <c r="R15" i="3"/>
  <c r="U15" i="3"/>
  <c r="AC15" i="3" s="1"/>
  <c r="V15" i="3"/>
  <c r="X15" i="3"/>
  <c r="AG161" i="1"/>
  <c r="AG154" i="1"/>
  <c r="AG143" i="1"/>
  <c r="AG144" i="1"/>
  <c r="AG126" i="1"/>
  <c r="AG98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3" i="1"/>
  <c r="AG67" i="1"/>
  <c r="AG71" i="1"/>
  <c r="AG75" i="1"/>
  <c r="AG79" i="1"/>
  <c r="AG83" i="1"/>
  <c r="AG87" i="1"/>
  <c r="AG91" i="1"/>
  <c r="AG95" i="1"/>
  <c r="AG100" i="1"/>
  <c r="AG104" i="1"/>
  <c r="AG108" i="1"/>
  <c r="AG112" i="1"/>
  <c r="AG116" i="1"/>
  <c r="AG120" i="1"/>
  <c r="AG124" i="1"/>
  <c r="AG129" i="1"/>
  <c r="AG133" i="1"/>
  <c r="AG137" i="1"/>
  <c r="AG141" i="1"/>
  <c r="AG147" i="1"/>
  <c r="AG151" i="1"/>
  <c r="AG209" i="1"/>
  <c r="AG210" i="1"/>
  <c r="AG218" i="1"/>
  <c r="AG231" i="1"/>
  <c r="AG239" i="1"/>
  <c r="AG162" i="1"/>
  <c r="AG166" i="1"/>
  <c r="AG170" i="1"/>
  <c r="AG174" i="1"/>
  <c r="AG178" i="1"/>
  <c r="AG182" i="1"/>
  <c r="AG186" i="1"/>
  <c r="AG190" i="1"/>
  <c r="AG194" i="1"/>
  <c r="AG198" i="1"/>
  <c r="AG202" i="1"/>
  <c r="AG206" i="1"/>
  <c r="AG221" i="1"/>
  <c r="AG211" i="1"/>
  <c r="AG219" i="1"/>
  <c r="AG232" i="1"/>
  <c r="AG72" i="1"/>
  <c r="AG96" i="1"/>
  <c r="AG113" i="1"/>
  <c r="AG121" i="1"/>
  <c r="AG130" i="1"/>
  <c r="AG134" i="1"/>
  <c r="AG142" i="1"/>
  <c r="AG152" i="1"/>
  <c r="AG153" i="1"/>
  <c r="AG225" i="1"/>
  <c r="AG158" i="1"/>
  <c r="AG163" i="1"/>
  <c r="AG171" i="1"/>
  <c r="AG179" i="1"/>
  <c r="AG187" i="1"/>
  <c r="AG195" i="1"/>
  <c r="AG203" i="1"/>
  <c r="AG222" i="1"/>
  <c r="AG213" i="1"/>
  <c r="AG234" i="1"/>
  <c r="AG97" i="1"/>
  <c r="AG118" i="1"/>
  <c r="AG131" i="1"/>
  <c r="AG145" i="1"/>
  <c r="AG156" i="1"/>
  <c r="AG235" i="1"/>
  <c r="AG164" i="1"/>
  <c r="AG16" i="1"/>
  <c r="AG20" i="1"/>
  <c r="AG24" i="1"/>
  <c r="AG28" i="1"/>
  <c r="AG32" i="1"/>
  <c r="AG36" i="1"/>
  <c r="AG40" i="1"/>
  <c r="AG44" i="1"/>
  <c r="AG48" i="1"/>
  <c r="AG52" i="1"/>
  <c r="AG56" i="1"/>
  <c r="AG60" i="1"/>
  <c r="AG64" i="1"/>
  <c r="AG68" i="1"/>
  <c r="AG76" i="1"/>
  <c r="AG80" i="1"/>
  <c r="AG84" i="1"/>
  <c r="AG88" i="1"/>
  <c r="AG92" i="1"/>
  <c r="AG101" i="1"/>
  <c r="AG105" i="1"/>
  <c r="AG109" i="1"/>
  <c r="AG117" i="1"/>
  <c r="AG125" i="1"/>
  <c r="AG138" i="1"/>
  <c r="AG148" i="1"/>
  <c r="AG212" i="1"/>
  <c r="AG233" i="1"/>
  <c r="AG167" i="1"/>
  <c r="AG175" i="1"/>
  <c r="AG183" i="1"/>
  <c r="AG191" i="1"/>
  <c r="AG199" i="1"/>
  <c r="AG207" i="1"/>
  <c r="AG226" i="1"/>
  <c r="AG73" i="1"/>
  <c r="AG93" i="1"/>
  <c r="AG110" i="1"/>
  <c r="AG122" i="1"/>
  <c r="AG135" i="1"/>
  <c r="AG149" i="1"/>
  <c r="AG214" i="1"/>
  <c r="AG159" i="1"/>
  <c r="AG17" i="1"/>
  <c r="AG21" i="1"/>
  <c r="AG25" i="1"/>
  <c r="AG29" i="1"/>
  <c r="AG33" i="1"/>
  <c r="AG37" i="1"/>
  <c r="AG41" i="1"/>
  <c r="AG45" i="1"/>
  <c r="AG49" i="1"/>
  <c r="AG53" i="1"/>
  <c r="AG57" i="1"/>
  <c r="AG61" i="1"/>
  <c r="AG65" i="1"/>
  <c r="AG69" i="1"/>
  <c r="AG77" i="1"/>
  <c r="AG81" i="1"/>
  <c r="AG85" i="1"/>
  <c r="AG89" i="1"/>
  <c r="AG102" i="1"/>
  <c r="AG106" i="1"/>
  <c r="AG114" i="1"/>
  <c r="AG127" i="1"/>
  <c r="AG139" i="1"/>
  <c r="AG155" i="1"/>
  <c r="AG227" i="1"/>
  <c r="AG168" i="1"/>
  <c r="AG14" i="1"/>
  <c r="AG30" i="1"/>
  <c r="AG46" i="1"/>
  <c r="AG62" i="1"/>
  <c r="AG78" i="1"/>
  <c r="AG94" i="1"/>
  <c r="AG111" i="1"/>
  <c r="AG128" i="1"/>
  <c r="AG146" i="1"/>
  <c r="AG216" i="1"/>
  <c r="AG165" i="1"/>
  <c r="AG176" i="1"/>
  <c r="AG184" i="1"/>
  <c r="AG192" i="1"/>
  <c r="AG200" i="1"/>
  <c r="AG240" i="1"/>
  <c r="AG215" i="1"/>
  <c r="AG236" i="1"/>
  <c r="AG18" i="1"/>
  <c r="AG34" i="1"/>
  <c r="AG50" i="1"/>
  <c r="AG66" i="1"/>
  <c r="AG82" i="1"/>
  <c r="AG99" i="1"/>
  <c r="AG115" i="1"/>
  <c r="AG132" i="1"/>
  <c r="AG150" i="1"/>
  <c r="AG229" i="1"/>
  <c r="AG169" i="1"/>
  <c r="AG177" i="1"/>
  <c r="AG185" i="1"/>
  <c r="AG193" i="1"/>
  <c r="AG201" i="1"/>
  <c r="AG217" i="1"/>
  <c r="AG238" i="1"/>
  <c r="AG220" i="1"/>
  <c r="AG26" i="1"/>
  <c r="AG42" i="1"/>
  <c r="AG58" i="1"/>
  <c r="AG74" i="1"/>
  <c r="AG90" i="1"/>
  <c r="AG107" i="1"/>
  <c r="AG123" i="1"/>
  <c r="AG140" i="1"/>
  <c r="AG208" i="1"/>
  <c r="AG160" i="1"/>
  <c r="AG173" i="1"/>
  <c r="AG181" i="1"/>
  <c r="AG189" i="1"/>
  <c r="AG197" i="1"/>
  <c r="AG205" i="1"/>
  <c r="AG224" i="1"/>
  <c r="AG230" i="1"/>
  <c r="AG22" i="1"/>
  <c r="AG38" i="1"/>
  <c r="AG54" i="1"/>
  <c r="AG70" i="1"/>
  <c r="AG86" i="1"/>
  <c r="AG103" i="1"/>
  <c r="AG119" i="1"/>
  <c r="AG136" i="1"/>
  <c r="AG157" i="1"/>
  <c r="AG237" i="1"/>
  <c r="AG172" i="1"/>
  <c r="AG180" i="1"/>
  <c r="AG188" i="1"/>
  <c r="AG196" i="1"/>
  <c r="AG204" i="1"/>
  <c r="AG223" i="1"/>
  <c r="AG228" i="1"/>
  <c r="W37" i="3"/>
  <c r="W26" i="3"/>
  <c r="W17" i="3"/>
  <c r="W11" i="3"/>
  <c r="W19" i="3"/>
  <c r="W36" i="3"/>
  <c r="W38" i="3"/>
  <c r="W35" i="3"/>
  <c r="W14" i="3"/>
  <c r="W9" i="3"/>
  <c r="W16" i="3"/>
  <c r="W29" i="3"/>
  <c r="W23" i="3"/>
  <c r="W7" i="3"/>
  <c r="W25" i="3"/>
  <c r="W27" i="3"/>
  <c r="W30" i="3"/>
  <c r="W33" i="3"/>
  <c r="W22" i="3"/>
  <c r="W13" i="3"/>
  <c r="W24" i="3"/>
  <c r="W20" i="3"/>
  <c r="W28" i="3"/>
  <c r="W10" i="3"/>
  <c r="W18" i="3"/>
  <c r="W8" i="3"/>
  <c r="W31" i="3"/>
  <c r="W15" i="3"/>
  <c r="W32" i="3"/>
  <c r="W12" i="3"/>
  <c r="W34" i="3"/>
  <c r="U161" i="1" l="1"/>
  <c r="S161" i="1" s="1"/>
  <c r="AI161" i="1"/>
  <c r="W161" i="1"/>
  <c r="X161" i="1"/>
  <c r="S20" i="3"/>
  <c r="AD32" i="3"/>
  <c r="AE28" i="3"/>
  <c r="S19" i="3"/>
  <c r="AA144" i="1"/>
  <c r="AI154" i="1"/>
  <c r="U154" i="1"/>
  <c r="S154" i="1" s="1"/>
  <c r="W154" i="1"/>
  <c r="X154" i="1"/>
  <c r="AD17" i="3"/>
  <c r="U144" i="1"/>
  <c r="S144" i="1" s="1"/>
  <c r="AI144" i="1"/>
  <c r="U143" i="1"/>
  <c r="S143" i="1" s="1"/>
  <c r="AI143" i="1"/>
  <c r="W144" i="1"/>
  <c r="W143" i="1"/>
  <c r="X143" i="1"/>
  <c r="AC7" i="3"/>
  <c r="AD36" i="3"/>
  <c r="T36" i="3"/>
  <c r="AD31" i="3"/>
  <c r="AD29" i="3"/>
  <c r="U126" i="1"/>
  <c r="S126" i="1" s="1"/>
  <c r="AI126" i="1"/>
  <c r="W126" i="1"/>
  <c r="X126" i="1"/>
  <c r="AE20" i="3"/>
  <c r="AD12" i="3"/>
  <c r="R20" i="3"/>
  <c r="AD33" i="3"/>
  <c r="T32" i="3"/>
  <c r="AE24" i="3"/>
  <c r="AE23" i="3"/>
  <c r="AD20" i="3"/>
  <c r="AE16" i="3"/>
  <c r="AI98" i="1"/>
  <c r="U98" i="1"/>
  <c r="S98" i="1" s="1"/>
  <c r="W98" i="1"/>
  <c r="X98" i="1"/>
  <c r="S32" i="3"/>
  <c r="AE27" i="3"/>
  <c r="AD25" i="3"/>
  <c r="AD24" i="3"/>
  <c r="R24" i="3"/>
  <c r="AE19" i="3"/>
  <c r="AD16" i="3"/>
  <c r="AD35" i="3"/>
  <c r="AD19" i="3"/>
  <c r="AA199" i="1"/>
  <c r="AA187" i="1"/>
  <c r="AA183" i="1"/>
  <c r="AA48" i="1"/>
  <c r="AA46" i="1"/>
  <c r="AA33" i="1"/>
  <c r="AA29" i="1"/>
  <c r="AA25" i="1"/>
  <c r="AA21" i="1"/>
  <c r="AA17" i="1"/>
  <c r="AA224" i="1"/>
  <c r="X224" i="1"/>
  <c r="AA216" i="1"/>
  <c r="AA215" i="1"/>
  <c r="AA212" i="1"/>
  <c r="AA211" i="1"/>
  <c r="AA157" i="1"/>
  <c r="AA150" i="1"/>
  <c r="AA146" i="1"/>
  <c r="AA135" i="1"/>
  <c r="AA133" i="1"/>
  <c r="AA130" i="1"/>
  <c r="AA96" i="1"/>
  <c r="AA92" i="1"/>
  <c r="AA88" i="1"/>
  <c r="AA84" i="1"/>
  <c r="AA80" i="1"/>
  <c r="AA76" i="1"/>
  <c r="AA65" i="1"/>
  <c r="X220" i="1"/>
  <c r="AA222" i="1"/>
  <c r="AA207" i="1"/>
  <c r="AA202" i="1"/>
  <c r="AA194" i="1"/>
  <c r="AA192" i="1"/>
  <c r="AA191" i="1"/>
  <c r="AA185" i="1"/>
  <c r="AA181" i="1"/>
  <c r="AA235" i="1"/>
  <c r="AA107" i="1"/>
  <c r="AA71" i="1"/>
  <c r="AA70" i="1"/>
  <c r="X69" i="1"/>
  <c r="AA67" i="1"/>
  <c r="X66" i="1"/>
  <c r="X63" i="1"/>
  <c r="X60" i="1"/>
  <c r="AA58" i="1"/>
  <c r="AA57" i="1"/>
  <c r="AA56" i="1"/>
  <c r="AA54" i="1"/>
  <c r="AA53" i="1"/>
  <c r="AA40" i="1"/>
  <c r="AA38" i="1"/>
  <c r="AA37" i="1"/>
  <c r="AA31" i="1"/>
  <c r="AA27" i="1"/>
  <c r="AA23" i="1"/>
  <c r="AA19" i="1"/>
  <c r="AA15" i="1"/>
  <c r="AA198" i="1"/>
  <c r="AA196" i="1"/>
  <c r="AA237" i="1"/>
  <c r="AA236" i="1"/>
  <c r="AA233" i="1"/>
  <c r="AA232" i="1"/>
  <c r="AA227" i="1"/>
  <c r="AA209" i="1"/>
  <c r="AA155" i="1"/>
  <c r="AA140" i="1"/>
  <c r="AA128" i="1"/>
  <c r="AA123" i="1"/>
  <c r="AA113" i="1"/>
  <c r="AA112" i="1"/>
  <c r="X111" i="1"/>
  <c r="AA102" i="1"/>
  <c r="AA101" i="1"/>
  <c r="AA94" i="1"/>
  <c r="AA90" i="1"/>
  <c r="AA86" i="1"/>
  <c r="AA82" i="1"/>
  <c r="AA78" i="1"/>
  <c r="AA74" i="1"/>
  <c r="AA73" i="1"/>
  <c r="AA44" i="1"/>
  <c r="AA42" i="1"/>
  <c r="AA32" i="1"/>
  <c r="AA28" i="1"/>
  <c r="AA24" i="1"/>
  <c r="AA20" i="1"/>
  <c r="AA16" i="1"/>
  <c r="X113" i="1"/>
  <c r="T113" i="1"/>
  <c r="AA167" i="1"/>
  <c r="AA166" i="1"/>
  <c r="AA165" i="1"/>
  <c r="AA164" i="1"/>
  <c r="AA163" i="1"/>
  <c r="AA162" i="1"/>
  <c r="AA160" i="1"/>
  <c r="AA159" i="1"/>
  <c r="AA158" i="1"/>
  <c r="AA239" i="1"/>
  <c r="AA238" i="1"/>
  <c r="AA230" i="1"/>
  <c r="AA217" i="1"/>
  <c r="X112" i="1"/>
  <c r="X105" i="1"/>
  <c r="T105" i="1"/>
  <c r="AA234" i="1"/>
  <c r="AA226" i="1"/>
  <c r="AA213" i="1"/>
  <c r="AA147" i="1"/>
  <c r="AA137" i="1"/>
  <c r="X114" i="1"/>
  <c r="X109" i="1"/>
  <c r="T109" i="1"/>
  <c r="X110" i="1"/>
  <c r="T114" i="1"/>
  <c r="T106" i="1"/>
  <c r="X103" i="1"/>
  <c r="X73" i="1"/>
  <c r="AA72" i="1"/>
  <c r="T69" i="1"/>
  <c r="X65" i="1"/>
  <c r="AA64" i="1"/>
  <c r="X62" i="1"/>
  <c r="X59" i="1"/>
  <c r="X67" i="1"/>
  <c r="X58" i="1"/>
  <c r="X57" i="1"/>
  <c r="AA14" i="1"/>
  <c r="X115" i="1"/>
  <c r="X107" i="1"/>
  <c r="AA68" i="1"/>
  <c r="X56" i="1"/>
  <c r="AI184" i="1"/>
  <c r="AI182" i="1"/>
  <c r="AI180" i="1"/>
  <c r="AI178" i="1"/>
  <c r="AI176" i="1"/>
  <c r="AI174" i="1"/>
  <c r="AI172" i="1"/>
  <c r="AI170" i="1"/>
  <c r="AI168" i="1"/>
  <c r="AI166" i="1"/>
  <c r="AI164" i="1"/>
  <c r="AI162" i="1"/>
  <c r="U224" i="1"/>
  <c r="S224" i="1" s="1"/>
  <c r="AI240" i="1"/>
  <c r="AI239" i="1"/>
  <c r="U222" i="1"/>
  <c r="S222" i="1" s="1"/>
  <c r="AI238" i="1"/>
  <c r="AI237" i="1"/>
  <c r="U220" i="1"/>
  <c r="S220" i="1" s="1"/>
  <c r="AI236" i="1"/>
  <c r="AI235" i="1"/>
  <c r="AI234" i="1"/>
  <c r="W207" i="1"/>
  <c r="AI233" i="1"/>
  <c r="W206" i="1"/>
  <c r="AI232" i="1"/>
  <c r="W205" i="1"/>
  <c r="AI231" i="1"/>
  <c r="W204" i="1"/>
  <c r="AI230" i="1"/>
  <c r="W203" i="1"/>
  <c r="AI229" i="1"/>
  <c r="W202" i="1"/>
  <c r="AI228" i="1"/>
  <c r="W201" i="1"/>
  <c r="AI227" i="1"/>
  <c r="W200" i="1"/>
  <c r="AI226" i="1"/>
  <c r="W199" i="1"/>
  <c r="AI225" i="1"/>
  <c r="W198" i="1"/>
  <c r="AI224" i="1"/>
  <c r="W197" i="1"/>
  <c r="AI223" i="1"/>
  <c r="W196" i="1"/>
  <c r="AI222" i="1"/>
  <c r="W195" i="1"/>
  <c r="AI221" i="1"/>
  <c r="W194" i="1"/>
  <c r="AI220" i="1"/>
  <c r="W193" i="1"/>
  <c r="AI219" i="1"/>
  <c r="W192" i="1"/>
  <c r="AI218" i="1"/>
  <c r="W191" i="1"/>
  <c r="AI217" i="1"/>
  <c r="W190" i="1"/>
  <c r="AI216" i="1"/>
  <c r="W189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U173" i="1"/>
  <c r="S173" i="1" s="1"/>
  <c r="AI200" i="1"/>
  <c r="U172" i="1"/>
  <c r="S172" i="1" s="1"/>
  <c r="AI199" i="1"/>
  <c r="U171" i="1"/>
  <c r="S171" i="1" s="1"/>
  <c r="AI198" i="1"/>
  <c r="U170" i="1"/>
  <c r="S170" i="1" s="1"/>
  <c r="AI197" i="1"/>
  <c r="U169" i="1"/>
  <c r="AI196" i="1"/>
  <c r="U168" i="1"/>
  <c r="S168" i="1" s="1"/>
  <c r="AI195" i="1"/>
  <c r="U167" i="1"/>
  <c r="S167" i="1" s="1"/>
  <c r="AI194" i="1"/>
  <c r="U166" i="1"/>
  <c r="S166" i="1" s="1"/>
  <c r="AI193" i="1"/>
  <c r="U165" i="1"/>
  <c r="S165" i="1" s="1"/>
  <c r="AI192" i="1"/>
  <c r="U164" i="1"/>
  <c r="S164" i="1" s="1"/>
  <c r="AI191" i="1"/>
  <c r="U163" i="1"/>
  <c r="S163" i="1" s="1"/>
  <c r="AI190" i="1"/>
  <c r="U162" i="1"/>
  <c r="S162" i="1" s="1"/>
  <c r="AI189" i="1"/>
  <c r="U160" i="1"/>
  <c r="S160" i="1" s="1"/>
  <c r="AI188" i="1"/>
  <c r="U159" i="1"/>
  <c r="S159" i="1" s="1"/>
  <c r="AI187" i="1"/>
  <c r="U158" i="1"/>
  <c r="S158" i="1" s="1"/>
  <c r="AI186" i="1"/>
  <c r="U239" i="1"/>
  <c r="S239" i="1" s="1"/>
  <c r="AI185" i="1"/>
  <c r="AI183" i="1"/>
  <c r="AI181" i="1"/>
  <c r="AI179" i="1"/>
  <c r="AI177" i="1"/>
  <c r="AI175" i="1"/>
  <c r="AI173" i="1"/>
  <c r="AI171" i="1"/>
  <c r="AI169" i="1"/>
  <c r="AI167" i="1"/>
  <c r="AI165" i="1"/>
  <c r="AI163" i="1"/>
  <c r="AI160" i="1"/>
  <c r="AI158" i="1"/>
  <c r="W208" i="1"/>
  <c r="AI156" i="1"/>
  <c r="W156" i="1"/>
  <c r="AI153" i="1"/>
  <c r="W153" i="1"/>
  <c r="AI159" i="1"/>
  <c r="AI157" i="1"/>
  <c r="AI155" i="1"/>
  <c r="AI152" i="1"/>
  <c r="AI151" i="1"/>
  <c r="AI150" i="1"/>
  <c r="AI149" i="1"/>
  <c r="AI148" i="1"/>
  <c r="AI147" i="1"/>
  <c r="AI146" i="1"/>
  <c r="AI145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U127" i="1"/>
  <c r="S127" i="1" s="1"/>
  <c r="AI127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U121" i="1"/>
  <c r="S121" i="1" s="1"/>
  <c r="W121" i="1"/>
  <c r="AI121" i="1"/>
  <c r="U120" i="1"/>
  <c r="S120" i="1" s="1"/>
  <c r="AI120" i="1"/>
  <c r="W120" i="1"/>
  <c r="U119" i="1"/>
  <c r="S119" i="1" s="1"/>
  <c r="AI119" i="1"/>
  <c r="W119" i="1"/>
  <c r="U118" i="1"/>
  <c r="S118" i="1" s="1"/>
  <c r="W118" i="1"/>
  <c r="AI118" i="1"/>
  <c r="U117" i="1"/>
  <c r="S117" i="1" s="1"/>
  <c r="W117" i="1"/>
  <c r="AI117" i="1"/>
  <c r="U116" i="1"/>
  <c r="S116" i="1" s="1"/>
  <c r="AI116" i="1"/>
  <c r="W116" i="1"/>
  <c r="U115" i="1"/>
  <c r="S115" i="1" s="1"/>
  <c r="AI115" i="1"/>
  <c r="W115" i="1"/>
  <c r="U114" i="1"/>
  <c r="S114" i="1" s="1"/>
  <c r="AI114" i="1"/>
  <c r="U113" i="1"/>
  <c r="S113" i="1" s="1"/>
  <c r="AI113" i="1"/>
  <c r="W113" i="1"/>
  <c r="U112" i="1"/>
  <c r="S112" i="1" s="1"/>
  <c r="AI112" i="1"/>
  <c r="U111" i="1"/>
  <c r="S111" i="1" s="1"/>
  <c r="AI111" i="1"/>
  <c r="W111" i="1"/>
  <c r="U110" i="1"/>
  <c r="S110" i="1" s="1"/>
  <c r="AI110" i="1"/>
  <c r="U109" i="1"/>
  <c r="S109" i="1" s="1"/>
  <c r="AI109" i="1"/>
  <c r="W109" i="1"/>
  <c r="U108" i="1"/>
  <c r="S108" i="1" s="1"/>
  <c r="AI108" i="1"/>
  <c r="U107" i="1"/>
  <c r="S107" i="1" s="1"/>
  <c r="AI107" i="1"/>
  <c r="U106" i="1"/>
  <c r="S106" i="1" s="1"/>
  <c r="AI106" i="1"/>
  <c r="U105" i="1"/>
  <c r="S105" i="1" s="1"/>
  <c r="AI105" i="1"/>
  <c r="U104" i="1"/>
  <c r="S104" i="1" s="1"/>
  <c r="AI104" i="1"/>
  <c r="AI103" i="1"/>
  <c r="AI102" i="1"/>
  <c r="W102" i="1"/>
  <c r="AI101" i="1"/>
  <c r="W101" i="1"/>
  <c r="AI100" i="1"/>
  <c r="W100" i="1"/>
  <c r="AI99" i="1"/>
  <c r="W99" i="1"/>
  <c r="AI97" i="1"/>
  <c r="W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U80" i="1"/>
  <c r="S80" i="1" s="1"/>
  <c r="AI80" i="1"/>
  <c r="U79" i="1"/>
  <c r="S79" i="1" s="1"/>
  <c r="AI79" i="1"/>
  <c r="U78" i="1"/>
  <c r="S78" i="1" s="1"/>
  <c r="AI78" i="1"/>
  <c r="U77" i="1"/>
  <c r="S77" i="1" s="1"/>
  <c r="AI77" i="1"/>
  <c r="U76" i="1"/>
  <c r="S76" i="1" s="1"/>
  <c r="AI76" i="1"/>
  <c r="U75" i="1"/>
  <c r="S75" i="1" s="1"/>
  <c r="AI75" i="1"/>
  <c r="U74" i="1"/>
  <c r="S74" i="1" s="1"/>
  <c r="AI74" i="1"/>
  <c r="U73" i="1"/>
  <c r="S73" i="1" s="1"/>
  <c r="AI73" i="1"/>
  <c r="AI72" i="1"/>
  <c r="U71" i="1"/>
  <c r="S71" i="1" s="1"/>
  <c r="AI71" i="1"/>
  <c r="AI70" i="1"/>
  <c r="U69" i="1"/>
  <c r="S69" i="1" s="1"/>
  <c r="AI69" i="1"/>
  <c r="AI68" i="1"/>
  <c r="U67" i="1"/>
  <c r="S67" i="1" s="1"/>
  <c r="AI67" i="1"/>
  <c r="AI66" i="1"/>
  <c r="U65" i="1"/>
  <c r="S65" i="1" s="1"/>
  <c r="AI65" i="1"/>
  <c r="AI64" i="1"/>
  <c r="U63" i="1"/>
  <c r="S63" i="1" s="1"/>
  <c r="AI63" i="1"/>
  <c r="AI62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W58" i="1"/>
  <c r="U57" i="1"/>
  <c r="S57" i="1" s="1"/>
  <c r="AI57" i="1"/>
  <c r="U56" i="1"/>
  <c r="S56" i="1" s="1"/>
  <c r="AI56" i="1"/>
  <c r="W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W35" i="1"/>
  <c r="AI34" i="1"/>
  <c r="W34" i="1"/>
  <c r="AI33" i="1"/>
  <c r="AI32" i="1"/>
  <c r="AI31" i="1"/>
  <c r="AI30" i="1"/>
  <c r="AI29" i="1"/>
  <c r="AI28" i="1"/>
  <c r="AI27" i="1"/>
  <c r="AI26" i="1"/>
  <c r="AI25" i="1"/>
  <c r="AI24" i="1"/>
  <c r="AI23" i="1"/>
  <c r="U23" i="1"/>
  <c r="S23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22" i="1"/>
  <c r="W223" i="1"/>
  <c r="W221" i="1"/>
  <c r="W240" i="1"/>
  <c r="W220" i="1"/>
  <c r="W224" i="1"/>
  <c r="W237" i="1"/>
  <c r="W234" i="1"/>
  <c r="W229" i="1"/>
  <c r="W226" i="1"/>
  <c r="W216" i="1"/>
  <c r="W213" i="1"/>
  <c r="T223" i="1"/>
  <c r="U223" i="1" s="1"/>
  <c r="S223" i="1" s="1"/>
  <c r="T240" i="1"/>
  <c r="U240" i="1" s="1"/>
  <c r="S240" i="1" s="1"/>
  <c r="W188" i="1"/>
  <c r="W236" i="1"/>
  <c r="W231" i="1"/>
  <c r="W228" i="1"/>
  <c r="W218" i="1"/>
  <c r="W215" i="1"/>
  <c r="W210" i="1"/>
  <c r="W209" i="1"/>
  <c r="W157" i="1"/>
  <c r="W155" i="1"/>
  <c r="T221" i="1"/>
  <c r="U221" i="1" s="1"/>
  <c r="S221" i="1" s="1"/>
  <c r="T207" i="1"/>
  <c r="U207" i="1" s="1"/>
  <c r="S207" i="1" s="1"/>
  <c r="X207" i="1"/>
  <c r="T206" i="1"/>
  <c r="U206" i="1" s="1"/>
  <c r="S206" i="1" s="1"/>
  <c r="X206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0" i="1"/>
  <c r="W159" i="1"/>
  <c r="W158" i="1"/>
  <c r="W239" i="1"/>
  <c r="W238" i="1"/>
  <c r="W233" i="1"/>
  <c r="W230" i="1"/>
  <c r="W225" i="1"/>
  <c r="W217" i="1"/>
  <c r="W212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W235" i="1"/>
  <c r="W232" i="1"/>
  <c r="W227" i="1"/>
  <c r="W219" i="1"/>
  <c r="W214" i="1"/>
  <c r="W211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32" i="1"/>
  <c r="U232" i="1" s="1"/>
  <c r="S232" i="1" s="1"/>
  <c r="X232" i="1"/>
  <c r="T230" i="1"/>
  <c r="U230" i="1" s="1"/>
  <c r="S230" i="1" s="1"/>
  <c r="X230" i="1"/>
  <c r="T228" i="1"/>
  <c r="U228" i="1" s="1"/>
  <c r="S228" i="1" s="1"/>
  <c r="X228" i="1"/>
  <c r="T226" i="1"/>
  <c r="U226" i="1" s="1"/>
  <c r="S226" i="1" s="1"/>
  <c r="X226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X213" i="1"/>
  <c r="T211" i="1"/>
  <c r="U211" i="1" s="1"/>
  <c r="S211" i="1" s="1"/>
  <c r="X211" i="1"/>
  <c r="T208" i="1"/>
  <c r="U208" i="1" s="1"/>
  <c r="S208" i="1" s="1"/>
  <c r="X208" i="1"/>
  <c r="T156" i="1"/>
  <c r="U156" i="1" s="1"/>
  <c r="X156" i="1"/>
  <c r="T153" i="1"/>
  <c r="U153" i="1" s="1"/>
  <c r="S153" i="1" s="1"/>
  <c r="X153" i="1"/>
  <c r="W149" i="1"/>
  <c r="W145" i="1"/>
  <c r="W139" i="1"/>
  <c r="W135" i="1"/>
  <c r="W131" i="1"/>
  <c r="W127" i="1"/>
  <c r="W122" i="1"/>
  <c r="W152" i="1"/>
  <c r="W148" i="1"/>
  <c r="W142" i="1"/>
  <c r="W138" i="1"/>
  <c r="W134" i="1"/>
  <c r="W130" i="1"/>
  <c r="W125" i="1"/>
  <c r="R34" i="3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31" i="1"/>
  <c r="U231" i="1" s="1"/>
  <c r="S231" i="1" s="1"/>
  <c r="X231" i="1"/>
  <c r="T229" i="1"/>
  <c r="U229" i="1" s="1"/>
  <c r="S229" i="1" s="1"/>
  <c r="X229" i="1"/>
  <c r="T227" i="1"/>
  <c r="U227" i="1" s="1"/>
  <c r="S227" i="1" s="1"/>
  <c r="X227" i="1"/>
  <c r="T225" i="1"/>
  <c r="U225" i="1" s="1"/>
  <c r="S225" i="1" s="1"/>
  <c r="X225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10" i="1"/>
  <c r="U210" i="1" s="1"/>
  <c r="S210" i="1" s="1"/>
  <c r="X210" i="1"/>
  <c r="T209" i="1"/>
  <c r="U209" i="1" s="1"/>
  <c r="S209" i="1" s="1"/>
  <c r="X209" i="1"/>
  <c r="T157" i="1"/>
  <c r="U157" i="1" s="1"/>
  <c r="S157" i="1" s="1"/>
  <c r="X157" i="1"/>
  <c r="T155" i="1"/>
  <c r="U155" i="1" s="1"/>
  <c r="S155" i="1" s="1"/>
  <c r="W151" i="1"/>
  <c r="W147" i="1"/>
  <c r="W141" i="1"/>
  <c r="W137" i="1"/>
  <c r="W133" i="1"/>
  <c r="W129" i="1"/>
  <c r="W124" i="1"/>
  <c r="X173" i="1"/>
  <c r="X172" i="1"/>
  <c r="X171" i="1"/>
  <c r="X170" i="1"/>
  <c r="X169" i="1"/>
  <c r="X168" i="1"/>
  <c r="X167" i="1"/>
  <c r="X166" i="1"/>
  <c r="X165" i="1"/>
  <c r="X164" i="1"/>
  <c r="X163" i="1"/>
  <c r="X160" i="1"/>
  <c r="X159" i="1"/>
  <c r="X158" i="1"/>
  <c r="X239" i="1"/>
  <c r="W150" i="1"/>
  <c r="W146" i="1"/>
  <c r="W140" i="1"/>
  <c r="W136" i="1"/>
  <c r="W132" i="1"/>
  <c r="W128" i="1"/>
  <c r="W12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6" i="1"/>
  <c r="U146" i="1" s="1"/>
  <c r="S146" i="1" s="1"/>
  <c r="X146" i="1"/>
  <c r="T145" i="1"/>
  <c r="U145" i="1" s="1"/>
  <c r="S145" i="1" s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W114" i="1"/>
  <c r="W110" i="1"/>
  <c r="W104" i="1"/>
  <c r="W107" i="1"/>
  <c r="W112" i="1"/>
  <c r="W108" i="1"/>
  <c r="W105" i="1"/>
  <c r="W106" i="1"/>
  <c r="W103" i="1"/>
  <c r="W72" i="1"/>
  <c r="W71" i="1"/>
  <c r="W64" i="1"/>
  <c r="W63" i="1"/>
  <c r="W61" i="1"/>
  <c r="T103" i="1"/>
  <c r="U103" i="1" s="1"/>
  <c r="S103" i="1" s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66" i="1"/>
  <c r="W65" i="1"/>
  <c r="W59" i="1"/>
  <c r="X125" i="1"/>
  <c r="X124" i="1"/>
  <c r="X123" i="1"/>
  <c r="X122" i="1"/>
  <c r="X121" i="1"/>
  <c r="X120" i="1"/>
  <c r="X119" i="1"/>
  <c r="X118" i="1"/>
  <c r="X117" i="1"/>
  <c r="X116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T97" i="1"/>
  <c r="U97" i="1" s="1"/>
  <c r="S97" i="1" s="1"/>
  <c r="X97" i="1"/>
  <c r="T96" i="1"/>
  <c r="U96" i="1" s="1"/>
  <c r="S96" i="1" s="1"/>
  <c r="X96" i="1"/>
  <c r="T95" i="1"/>
  <c r="U95" i="1" s="1"/>
  <c r="S95" i="1" s="1"/>
  <c r="X95" i="1"/>
  <c r="T94" i="1"/>
  <c r="U94" i="1" s="1"/>
  <c r="S94" i="1" s="1"/>
  <c r="X94" i="1"/>
  <c r="T93" i="1"/>
  <c r="U93" i="1" s="1"/>
  <c r="S93" i="1" s="1"/>
  <c r="X93" i="1"/>
  <c r="T92" i="1"/>
  <c r="U92" i="1" s="1"/>
  <c r="S92" i="1" s="1"/>
  <c r="X92" i="1"/>
  <c r="T91" i="1"/>
  <c r="U91" i="1" s="1"/>
  <c r="S91" i="1" s="1"/>
  <c r="X91" i="1"/>
  <c r="T90" i="1"/>
  <c r="U90" i="1" s="1"/>
  <c r="S90" i="1" s="1"/>
  <c r="X90" i="1"/>
  <c r="T89" i="1"/>
  <c r="U89" i="1" s="1"/>
  <c r="S89" i="1" s="1"/>
  <c r="X89" i="1"/>
  <c r="T88" i="1"/>
  <c r="U88" i="1" s="1"/>
  <c r="S88" i="1" s="1"/>
  <c r="X88" i="1"/>
  <c r="T87" i="1"/>
  <c r="U87" i="1" s="1"/>
  <c r="S87" i="1" s="1"/>
  <c r="X87" i="1"/>
  <c r="T86" i="1"/>
  <c r="U86" i="1" s="1"/>
  <c r="S86" i="1" s="1"/>
  <c r="X86" i="1"/>
  <c r="T85" i="1"/>
  <c r="U85" i="1" s="1"/>
  <c r="S85" i="1" s="1"/>
  <c r="X85" i="1"/>
  <c r="T84" i="1"/>
  <c r="U84" i="1" s="1"/>
  <c r="S84" i="1" s="1"/>
  <c r="X84" i="1"/>
  <c r="T83" i="1"/>
  <c r="U83" i="1" s="1"/>
  <c r="S83" i="1" s="1"/>
  <c r="X83" i="1"/>
  <c r="T82" i="1"/>
  <c r="U82" i="1" s="1"/>
  <c r="S82" i="1" s="1"/>
  <c r="X82" i="1"/>
  <c r="T81" i="1"/>
  <c r="U81" i="1" s="1"/>
  <c r="S81" i="1" s="1"/>
  <c r="X81" i="1"/>
  <c r="W68" i="1"/>
  <c r="W67" i="1"/>
  <c r="W57" i="1"/>
  <c r="W70" i="1"/>
  <c r="W69" i="1"/>
  <c r="W62" i="1"/>
  <c r="W60" i="1"/>
  <c r="X80" i="1"/>
  <c r="X79" i="1"/>
  <c r="X78" i="1"/>
  <c r="X77" i="1"/>
  <c r="X76" i="1"/>
  <c r="X75" i="1"/>
  <c r="X74" i="1"/>
  <c r="T72" i="1"/>
  <c r="U72" i="1" s="1"/>
  <c r="S72" i="1" s="1"/>
  <c r="T70" i="1"/>
  <c r="U70" i="1" s="1"/>
  <c r="S70" i="1" s="1"/>
  <c r="T68" i="1"/>
  <c r="U68" i="1" s="1"/>
  <c r="S68" i="1" s="1"/>
  <c r="T66" i="1"/>
  <c r="U66" i="1" s="1"/>
  <c r="S66" i="1" s="1"/>
  <c r="T62" i="1"/>
  <c r="U62" i="1" s="1"/>
  <c r="S62" i="1" s="1"/>
  <c r="W54" i="1"/>
  <c r="W50" i="1"/>
  <c r="W46" i="1"/>
  <c r="W42" i="1"/>
  <c r="W38" i="1"/>
  <c r="W53" i="1"/>
  <c r="W49" i="1"/>
  <c r="W45" i="1"/>
  <c r="W41" i="1"/>
  <c r="W52" i="1"/>
  <c r="W48" i="1"/>
  <c r="W44" i="1"/>
  <c r="W40" i="1"/>
  <c r="T64" i="1"/>
  <c r="U64" i="1" s="1"/>
  <c r="S64" i="1" s="1"/>
  <c r="W55" i="1"/>
  <c r="W51" i="1"/>
  <c r="W47" i="1"/>
  <c r="W43" i="1"/>
  <c r="W39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X23" i="1"/>
  <c r="X22" i="1"/>
  <c r="X21" i="1"/>
  <c r="X20" i="1"/>
  <c r="X19" i="1"/>
  <c r="X18" i="1"/>
  <c r="X17" i="1"/>
  <c r="X16" i="1"/>
  <c r="X15" i="1"/>
  <c r="AE35" i="3"/>
  <c r="AE31" i="3"/>
  <c r="T8" i="3"/>
  <c r="AD23" i="3"/>
  <c r="T24" i="3"/>
  <c r="T23" i="3"/>
  <c r="AD15" i="3"/>
  <c r="T33" i="3"/>
  <c r="AD11" i="3"/>
  <c r="T19" i="3"/>
  <c r="AE12" i="3"/>
  <c r="AE36" i="3"/>
  <c r="AE32" i="3"/>
  <c r="AD13" i="3"/>
  <c r="AD9" i="3"/>
  <c r="AE15" i="3"/>
  <c r="AE11" i="3"/>
  <c r="AD8" i="3"/>
  <c r="AC9" i="3"/>
  <c r="AE30" i="3"/>
  <c r="T29" i="3"/>
  <c r="AC35" i="3"/>
  <c r="AC34" i="3"/>
  <c r="AC28" i="3"/>
  <c r="T28" i="3"/>
  <c r="AC25" i="3"/>
  <c r="AC38" i="3"/>
  <c r="AC12" i="3"/>
  <c r="AC20" i="3"/>
  <c r="AE34" i="3"/>
  <c r="T13" i="3"/>
  <c r="AE26" i="3"/>
  <c r="T11" i="3"/>
  <c r="AE22" i="3"/>
  <c r="T31" i="3"/>
  <c r="AE18" i="3"/>
  <c r="T22" i="3"/>
  <c r="AE14" i="3"/>
  <c r="T16" i="3"/>
  <c r="AE10" i="3"/>
  <c r="T17" i="3"/>
  <c r="Y35" i="3"/>
  <c r="Y34" i="3"/>
  <c r="Y28" i="3"/>
  <c r="Y25" i="3"/>
  <c r="Y38" i="3"/>
  <c r="Y12" i="3"/>
  <c r="Y20" i="3"/>
  <c r="Y7" i="3"/>
  <c r="Y36" i="3"/>
  <c r="Y32" i="3"/>
  <c r="Y24" i="3"/>
  <c r="Y23" i="3"/>
  <c r="Y19" i="3"/>
  <c r="Y15" i="3"/>
  <c r="Y13" i="3"/>
  <c r="Y29" i="3"/>
  <c r="Y11" i="3"/>
  <c r="Y31" i="3"/>
  <c r="Y22" i="3"/>
  <c r="Y16" i="3"/>
  <c r="Y17" i="3"/>
  <c r="Y8" i="3"/>
  <c r="Y33" i="3"/>
  <c r="Y9" i="3"/>
  <c r="Y26" i="3"/>
  <c r="Y18" i="3"/>
  <c r="Y30" i="3"/>
  <c r="Y14" i="3"/>
  <c r="Y37" i="3"/>
  <c r="Y10" i="3"/>
  <c r="Y27" i="3"/>
  <c r="AC26" i="3"/>
  <c r="AC18" i="3"/>
  <c r="AC30" i="3"/>
  <c r="AC14" i="3"/>
  <c r="AC37" i="3"/>
  <c r="AC10" i="3"/>
  <c r="AC27" i="3"/>
  <c r="AE38" i="3"/>
  <c r="T15" i="3"/>
  <c r="AD38" i="3"/>
  <c r="AE37" i="3"/>
  <c r="T9" i="3"/>
  <c r="AD34" i="3"/>
  <c r="AE33" i="3"/>
  <c r="T26" i="3"/>
  <c r="AD30" i="3"/>
  <c r="AE29" i="3"/>
  <c r="T18" i="3"/>
  <c r="AD26" i="3"/>
  <c r="AE25" i="3"/>
  <c r="T30" i="3"/>
  <c r="AD22" i="3"/>
  <c r="T14" i="3"/>
  <c r="AD18" i="3"/>
  <c r="AE17" i="3"/>
  <c r="T37" i="3"/>
  <c r="AD14" i="3"/>
  <c r="AE13" i="3"/>
  <c r="T10" i="3"/>
  <c r="AD10" i="3"/>
  <c r="AE9" i="3"/>
  <c r="T27" i="3"/>
  <c r="AE8" i="3"/>
  <c r="M21" i="3" l="1"/>
  <c r="U21" i="3"/>
  <c r="V21" i="3"/>
  <c r="X21" i="3"/>
  <c r="T21" i="3" l="1"/>
  <c r="AD21" i="3"/>
  <c r="AE21" i="3"/>
  <c r="W21" i="3"/>
  <c r="AC21" i="3" l="1"/>
  <c r="Y21" i="3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N35" i="3" s="1"/>
  <c r="G225" i="4"/>
  <c r="G226" i="4"/>
  <c r="G227" i="4"/>
  <c r="G228" i="4"/>
  <c r="N9" i="3" s="1"/>
  <c r="G229" i="4"/>
  <c r="G230" i="4"/>
  <c r="G231" i="4"/>
  <c r="G232" i="4"/>
  <c r="G233" i="4"/>
  <c r="G234" i="4"/>
  <c r="G235" i="4"/>
  <c r="G236" i="4"/>
  <c r="N15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21" i="3" s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S21" i="3" s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N7" i="3" s="1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7" i="3" s="1"/>
  <c r="G39" i="4"/>
  <c r="G40" i="4"/>
  <c r="G41" i="4"/>
  <c r="G42" i="4"/>
  <c r="G43" i="4"/>
  <c r="G44" i="4"/>
  <c r="G45" i="4"/>
  <c r="G46" i="4"/>
  <c r="G47" i="4"/>
  <c r="N17" i="3" s="1"/>
  <c r="G48" i="4"/>
  <c r="G49" i="4"/>
  <c r="G50" i="4"/>
  <c r="G51" i="4"/>
  <c r="G52" i="4"/>
  <c r="N10" i="3" s="1"/>
  <c r="G53" i="4"/>
  <c r="G54" i="4"/>
  <c r="G55" i="4"/>
  <c r="G56" i="4"/>
  <c r="G57" i="4"/>
  <c r="G58" i="4"/>
  <c r="G59" i="4"/>
  <c r="G60" i="4"/>
  <c r="G61" i="4"/>
  <c r="G62" i="4"/>
  <c r="G63" i="4"/>
  <c r="G64" i="4"/>
  <c r="N12" i="3" s="1"/>
  <c r="G65" i="4"/>
  <c r="G66" i="4"/>
  <c r="G67" i="4"/>
  <c r="N33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37" i="3" s="1"/>
  <c r="G81" i="4"/>
  <c r="N22" i="3" s="1"/>
  <c r="G82" i="4"/>
  <c r="N21" i="3" s="1"/>
  <c r="G83" i="4"/>
  <c r="G84" i="4"/>
  <c r="G85" i="4"/>
  <c r="G86" i="4"/>
  <c r="G87" i="4"/>
  <c r="N23" i="3" s="1"/>
  <c r="G88" i="4"/>
  <c r="G89" i="4"/>
  <c r="G90" i="4"/>
  <c r="G91" i="4"/>
  <c r="G92" i="4"/>
  <c r="N38" i="3" s="1"/>
  <c r="G93" i="4"/>
  <c r="G94" i="4"/>
  <c r="N14" i="3" s="1"/>
  <c r="G95" i="4"/>
  <c r="G96" i="4"/>
  <c r="N31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30" i="3" s="1"/>
  <c r="G117" i="4"/>
  <c r="N11" i="3" s="1"/>
  <c r="G118" i="4"/>
  <c r="G119" i="4"/>
  <c r="G120" i="4"/>
  <c r="N8" i="3" s="1"/>
  <c r="G121" i="4"/>
  <c r="G122" i="4"/>
  <c r="G123" i="4"/>
  <c r="G124" i="4"/>
  <c r="N28" i="3" s="1"/>
  <c r="G125" i="4"/>
  <c r="N18" i="3" s="1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N29" i="3" s="1"/>
  <c r="G145" i="4"/>
  <c r="G146" i="4"/>
  <c r="G147" i="4"/>
  <c r="G148" i="4"/>
  <c r="G149" i="4"/>
  <c r="N26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13" i="3" s="1"/>
  <c r="G189" i="4"/>
  <c r="G190" i="4"/>
  <c r="G191" i="4"/>
  <c r="G192" i="4"/>
  <c r="G193" i="4"/>
  <c r="G194" i="4"/>
  <c r="G195" i="4"/>
  <c r="G196" i="4"/>
  <c r="N36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2" i="3" l="1"/>
  <c r="N34" i="3"/>
  <c r="N20" i="3"/>
  <c r="N16" i="3"/>
  <c r="N19" i="3"/>
  <c r="N24" i="3"/>
  <c r="N25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<sst xmlns="http://schemas.openxmlformats.org/spreadsheetml/2006/main" count="2707" uniqueCount="1006">
  <si>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</si>
  <si>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</si>
  <si>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</si>
  <si>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</si>
  <si>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</si>
  <si>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</si>
  <si>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</si>
  <si>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</si>
  <si>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</si>
  <si>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</si>
  <si>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</si>
  <si>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</si>
  <si>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</si>
  <si>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</si>
  <si>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</si>
  <si>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</si>
  <si>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</si>
  <si>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</si>
  <si>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</si>
  <si>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</si>
  <si>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</si>
  <si>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</si>
  <si>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</si>
  <si>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</si>
  <si>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</si>
  <si>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</si>
  <si>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</si>
  <si>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</si>
  <si>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</si>
  <si>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</si>
  <si>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</si>
  <si>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</si>
  <si>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</si>
  <si>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</si>
  <si>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</si>
  <si>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</si>
  <si>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</si>
  <si>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</si>
  <si>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</si>
  <si>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</si>
  <si>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</si>
  <si>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</si>
  <si>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</si>
  <si>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</si>
  <si>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</si>
  <si>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</si>
  <si>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</si>
  <si>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</si>
  <si>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</si>
  <si>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</si>
  <si>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</si>
  <si>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</si>
  <si>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</si>
  <si>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</si>
  <si>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</si>
  <si>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</si>
  <si>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</si>
  <si>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</si>
  <si>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</si>
  <si>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</si>
  <si>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</si>
  <si>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</si>
  <si>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</si>
  <si>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</si>
  <si>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</si>
  <si>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</si>
  <si>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</si>
  <si>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</si>
  <si>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</si>
  <si>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</si>
  <si>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</si>
  <si>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</si>
  <si>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</si>
  <si>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</si>
  <si>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</si>
  <si>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</si>
  <si>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</si>
  <si>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</si>
  <si>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</si>
  <si>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</si>
  <si>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</si>
  <si>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</si>
  <si>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</si>
  <si>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</si>
  <si>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</si>
  <si>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</si>
  <si>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</si>
  <si>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</si>
  <si>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</si>
  <si>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</si>
  <si>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</si>
  <si>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</si>
  <si>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</si>
  <si>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</si>
  <si>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</si>
  <si>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</si>
  <si>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</si>
  <si>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</si>
  <si>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</si>
  <si>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</si>
  <si>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</si>
  <si>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</si>
  <si>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</si>
  <si>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</si>
  <si>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</si>
  <si>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</si>
  <si>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</si>
  <si>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</si>
  <si>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</si>
  <si>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</si>
  <si>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</si>
  <si>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</si>
  <si>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</si>
  <si>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</si>
  <si>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</si>
  <si>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</si>
  <si>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</si>
  <si>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</si>
  <si>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</si>
  <si>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</si>
  <si>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</si>
  <si>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</si>
  <si>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</si>
  <si>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</si>
  <si>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</si>
  <si>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</si>
  <si>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</si>
  <si>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</si>
  <si>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</si>
  <si>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</si>
  <si>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</si>
  <si>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</si>
  <si>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</si>
  <si>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</si>
  <si>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</si>
  <si>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</si>
  <si>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</si>
  <si>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</si>
  <si>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</si>
  <si>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</si>
  <si>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</si>
  <si>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</si>
  <si>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</si>
  <si>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</si>
  <si>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</si>
  <si>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</si>
  <si>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</si>
  <si>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</si>
  <si>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</si>
  <si>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</si>
  <si>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</si>
  <si>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</si>
  <si>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</si>
  <si>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</si>
  <si>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</si>
  <si>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</si>
  <si>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</si>
  <si>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</si>
  <si>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</si>
  <si>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</si>
  <si>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</si>
  <si>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</si>
  <si>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</si>
  <si>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</si>
  <si>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</si>
  <si>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</si>
  <si>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</si>
  <si>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</si>
  <si>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</si>
  <si>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</si>
  <si>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</si>
  <si>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</si>
  <si>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</si>
  <si>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</si>
  <si>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</si>
  <si>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</si>
  <si>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</si>
  <si>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</si>
  <si>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</si>
  <si>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</si>
  <si>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</si>
  <si>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</si>
  <si>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</si>
  <si>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</si>
  <si>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</si>
  <si>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</si>
  <si>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</si>
  <si>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</si>
  <si>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</si>
  <si>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</si>
  <si>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</si>
  <si>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</si>
  <si>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</si>
  <si>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</si>
  <si>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</si>
  <si>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</si>
  <si>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</si>
  <si>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</si>
  <si>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</si>
  <si>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</si>
  <si>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</si>
  <si>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</si>
  <si>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</si>
  <si>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</si>
  <si>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</si>
  <si>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</si>
  <si>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</si>
  <si>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</si>
  <si>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</si>
  <si>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</si>
  <si>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</si>
  <si>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</si>
  <si>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</si>
  <si>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</si>
  <si>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</si>
  <si>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</si>
  <si>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</si>
  <si>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</si>
  <si>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</si>
  <si>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</si>
  <si>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</si>
  <si>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</si>
  <si>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</si>
  <si>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</si>
  <si>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</si>
  <si>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</si>
  <si>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</si>
  <si>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</si>
  <si>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</si>
  <si>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</si>
  <si>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</si>
  <si>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</si>
  <si>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</si>
  <si>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</si>
  <si>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</si>
  <si>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</si>
  <si>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</si>
  <si>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</si>
  <si>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</si>
  <si>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</si>
  <si>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</si>
  <si>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</si>
  <si>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</si>
  <si>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</si>
  <si>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</si>
  <si>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</si>
  <si>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</si>
  <si>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</si>
  <si>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</si>
  <si>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</si>
  <si>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</si>
  <si>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</si>
  <si>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</si>
  <si>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</si>
  <si>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</si>
  <si>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</si>
  <si>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</si>
  <si>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</si>
  <si>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</si>
  <si>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</si>
  <si>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</si>
  <si>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</si>
  <si>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</si>
  <si>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</si>
  <si>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</si>
  <si>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</si>
  <si>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</si>
  <si>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</si>
  <si>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</si>
  <si>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</si>
  <si>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</si>
  <si>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</si>
  <si>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</si>
  <si>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</si>
  <si>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</si>
  <si>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</si>
  <si>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</si>
  <si>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</si>
  <si>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</si>
  <si>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</si>
  <si>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</si>
  <si>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</si>
  <si>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</si>
  <si>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</si>
  <si>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</si>
  <si>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</si>
  <si>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</si>
  <si>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</si>
  <si>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</si>
  <si>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</si>
  <si>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</si>
  <si>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</si>
  <si>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</si>
  <si>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</si>
  <si>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</si>
  <si>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</si>
  <si>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</si>
  <si>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</si>
  <si>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</si>
  <si>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</si>
  <si>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</si>
  <si>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</si>
  <si>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</si>
  <si>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</si>
  <si>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</si>
  <si>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</si>
  <si>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</si>
  <si>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</si>
  <si>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</si>
  <si>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</si>
  <si>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</si>
  <si>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</si>
  <si>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</si>
  <si>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</si>
  <si>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</si>
  <si>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</si>
  <si>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</si>
  <si>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</si>
  <si>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</si>
  <si>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</si>
  <si>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</si>
  <si>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</si>
  <si>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</si>
  <si>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</si>
  <si>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</si>
  <si>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</si>
  <si>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</si>
  <si>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</si>
  <si>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</si>
  <si>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</si>
  <si>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</si>
  <si>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</si>
  <si>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</si>
  <si>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</si>
  <si>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</si>
  <si>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</si>
  <si>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</si>
  <si>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</si>
  <si>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</si>
  <si>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</si>
  <si>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</si>
  <si>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</si>
  <si>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</si>
  <si>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</si>
  <si>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</si>
  <si>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</si>
  <si>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</si>
  <si>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</si>
  <si>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</si>
  <si>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</si>
  <si>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</si>
  <si>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</si>
  <si>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</si>
  <si>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</si>
  <si>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</si>
  <si>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</si>
  <si>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</si>
  <si>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</si>
  <si>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</si>
  <si>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</si>
  <si>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</si>
  <si>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</si>
  <si>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</si>
  <si>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</si>
  <si>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</si>
  <si>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</si>
  <si>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</si>
  <si>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NICHOLSON</t>
  </si>
  <si>
    <t>WESLEY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</si>
  <si>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</si>
  <si>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</si>
  <si>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</si>
  <si>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</si>
  <si>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</si>
  <si>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</si>
  <si>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</si>
  <si>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</si>
  <si>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</si>
  <si>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</si>
  <si>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</si>
  <si>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</si>
  <si>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</si>
  <si>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rtdc.l.rtdc.4063:itc</t>
  </si>
  <si>
    <t>rtdc.l.rtdc.4064:itc</t>
  </si>
  <si>
    <t>ROCHA</t>
  </si>
  <si>
    <t>YAOTL</t>
  </si>
  <si>
    <t>ANDERS</t>
  </si>
  <si>
    <t>STEVEN</t>
  </si>
  <si>
    <t>204:233291</t>
  </si>
  <si>
    <t>204:467</t>
  </si>
  <si>
    <t>204:473</t>
  </si>
  <si>
    <t>rtdc.l.rtdc.4061:itc</t>
  </si>
  <si>
    <t>rtdc.l.rtdc.4055:itc</t>
  </si>
  <si>
    <t>MICHAEL</t>
  </si>
  <si>
    <t>204:233302</t>
  </si>
  <si>
    <t>204:160</t>
  </si>
  <si>
    <t>clear-night</t>
  </si>
  <si>
    <t>Clear</t>
  </si>
  <si>
    <t>rtdc.l.rtdc.4066:itc</t>
  </si>
  <si>
    <t>rtdc.l.rtdc.4065:itc</t>
  </si>
  <si>
    <t>309-04</t>
  </si>
  <si>
    <t>MCREYNOLDS</t>
  </si>
  <si>
    <t>KYLE</t>
  </si>
  <si>
    <t>242-04</t>
  </si>
  <si>
    <t>307-04</t>
  </si>
  <si>
    <t>244-04</t>
  </si>
  <si>
    <t>311-04</t>
  </si>
  <si>
    <t>50-05</t>
  </si>
  <si>
    <t>300-05</t>
  </si>
  <si>
    <t>204:233306</t>
  </si>
  <si>
    <t>204:233314</t>
  </si>
  <si>
    <t>%REDMINEAPIKEY%</t>
  </si>
  <si>
    <t>rtdc.l.rtdc.4036:itc</t>
  </si>
  <si>
    <t>204:232977</t>
  </si>
  <si>
    <t>204:464</t>
  </si>
  <si>
    <t>204:232991</t>
  </si>
  <si>
    <t>rtdc.l.rtdc.4052:itc</t>
  </si>
  <si>
    <t>rtdc.l.rtdc.4051:itc</t>
  </si>
  <si>
    <t>rtdc.l.rtdc.4046:itc</t>
  </si>
  <si>
    <t>STEWART</t>
  </si>
  <si>
    <t>204:232985</t>
  </si>
  <si>
    <t>204:165</t>
  </si>
  <si>
    <t>204:232994</t>
  </si>
  <si>
    <t>rtdc.l.rtdc.4035:itc</t>
  </si>
  <si>
    <t>clear-day</t>
  </si>
  <si>
    <t>204:442</t>
  </si>
  <si>
    <t>204:232965</t>
  </si>
  <si>
    <t>204:449</t>
  </si>
  <si>
    <t>204:462</t>
  </si>
  <si>
    <t>204:232989</t>
  </si>
  <si>
    <t>204:233289</t>
  </si>
  <si>
    <t>204:232987</t>
  </si>
  <si>
    <t>300:23346</t>
  </si>
  <si>
    <t>SIGNAL</t>
  </si>
  <si>
    <t>Signal based authority (5)</t>
  </si>
  <si>
    <t>rtdc.l.rtdc.4001:itc</t>
  </si>
  <si>
    <t>rtdc.l.rtdc.4013:itc</t>
  </si>
  <si>
    <t>rtdc.l.rtdc.4045:itc</t>
  </si>
  <si>
    <t>rtdc.l.rtdc.4014:itc</t>
  </si>
  <si>
    <t>rtdc.l.rtdc.4032:itc</t>
  </si>
  <si>
    <t>rtdc.l.rtdc.4031:itc</t>
  </si>
  <si>
    <t>rtdc.l.rtdc.4002:itc</t>
  </si>
  <si>
    <t>KILLION</t>
  </si>
  <si>
    <t>DAVID</t>
  </si>
  <si>
    <t>LOPES</t>
  </si>
  <si>
    <t>KIMBERLY</t>
  </si>
  <si>
    <t>908-11</t>
  </si>
  <si>
    <t>238-11</t>
  </si>
  <si>
    <t>241-11</t>
  </si>
  <si>
    <t>240-11</t>
  </si>
  <si>
    <t>243-11</t>
  </si>
  <si>
    <t>313-11</t>
  </si>
  <si>
    <t>88-11</t>
  </si>
  <si>
    <t>89-11</t>
  </si>
  <si>
    <t>242-11</t>
  </si>
  <si>
    <t>307-11</t>
  </si>
  <si>
    <t>244-11</t>
  </si>
  <si>
    <t>309-11</t>
  </si>
  <si>
    <t>311-11</t>
  </si>
  <si>
    <t>300-12</t>
  </si>
  <si>
    <t>204:438</t>
  </si>
  <si>
    <t>204:138</t>
  </si>
  <si>
    <t>204:232978</t>
  </si>
  <si>
    <t>204:440</t>
  </si>
  <si>
    <t>204:233019</t>
  </si>
  <si>
    <t>204:169</t>
  </si>
  <si>
    <t>204:444</t>
  </si>
  <si>
    <t>rtdc.l.rtdc.4030:itc</t>
  </si>
  <si>
    <t>rtdc.l.rtdc.4025:itc</t>
  </si>
  <si>
    <t>rtdc.l.rtdc.4003:itc</t>
  </si>
  <si>
    <t>rtdc.l.rtdc.4026:itc</t>
  </si>
  <si>
    <t>WILLIAMS</t>
  </si>
  <si>
    <t>DONTE</t>
  </si>
  <si>
    <t>THOMAS</t>
  </si>
  <si>
    <t>ELBAUM</t>
  </si>
  <si>
    <t>MIKE</t>
  </si>
  <si>
    <t>307-12</t>
  </si>
  <si>
    <t>244-12</t>
  </si>
  <si>
    <t>309-12</t>
  </si>
  <si>
    <t>311-12</t>
  </si>
  <si>
    <t>204:233349</t>
  </si>
  <si>
    <t>204:233023</t>
  </si>
  <si>
    <t>204:233299</t>
  </si>
  <si>
    <t>204:232969</t>
  </si>
  <si>
    <t>204:482</t>
  </si>
  <si>
    <t>204:136</t>
  </si>
  <si>
    <t>204:233332</t>
  </si>
  <si>
    <t>204:232973</t>
  </si>
  <si>
    <t>204:141</t>
  </si>
  <si>
    <t>204:974</t>
  </si>
  <si>
    <t>300:58617</t>
  </si>
  <si>
    <t>Wi-MAX data drop</t>
  </si>
  <si>
    <t>rtdc.l.rtdc.4016:itc</t>
  </si>
  <si>
    <t>BARRON</t>
  </si>
  <si>
    <t>PERLA</t>
  </si>
  <si>
    <t>LALONDE</t>
  </si>
  <si>
    <t>GREGORY</t>
  </si>
  <si>
    <t>MACDONALD</t>
  </si>
  <si>
    <t>LAMAR</t>
  </si>
  <si>
    <t>NEKESHA</t>
  </si>
  <si>
    <t>RESPASS</t>
  </si>
  <si>
    <t>AARON</t>
  </si>
  <si>
    <t>GUZMAN</t>
  </si>
  <si>
    <t>DANNY</t>
  </si>
  <si>
    <t>SMITH</t>
  </si>
  <si>
    <t>rtdc.l.rtdc.4008:itc</t>
  </si>
  <si>
    <t>204:233021</t>
  </si>
  <si>
    <t>204:233274</t>
  </si>
  <si>
    <t>204:232971</t>
  </si>
  <si>
    <t>204:233027</t>
  </si>
  <si>
    <t>204:233319</t>
  </si>
  <si>
    <t>204:233006</t>
  </si>
  <si>
    <t>204:233295</t>
  </si>
  <si>
    <t>204:233297</t>
  </si>
  <si>
    <t>204:233304</t>
  </si>
  <si>
    <t>204:167</t>
  </si>
  <si>
    <t>204:232983</t>
  </si>
  <si>
    <t>204:731</t>
  </si>
  <si>
    <t>300:58937</t>
  </si>
  <si>
    <t>300:58611</t>
  </si>
  <si>
    <t>204:232979</t>
  </si>
  <si>
    <t>204:233351</t>
  </si>
  <si>
    <t>300:23301</t>
  </si>
  <si>
    <t>rtdc.l.rtdc.4029:itc</t>
  </si>
  <si>
    <t>rtdc.l.rtdc.4060:itc</t>
  </si>
  <si>
    <t>rtdc.l.rtdc.4050:itc</t>
  </si>
  <si>
    <t>rtdc.l.rtdc.4049:itc</t>
  </si>
  <si>
    <t>rtdc.l.rtdc.4020:itc</t>
  </si>
  <si>
    <t>rtdc.l.rtdc.4019:itc</t>
  </si>
  <si>
    <t>rtdc.l.rtdc.4059:itc</t>
  </si>
  <si>
    <t>rtdc.l.rtdc.4009:itc</t>
  </si>
  <si>
    <t>YANG</t>
  </si>
  <si>
    <t>JAN</t>
  </si>
  <si>
    <t>rtdc.l.rtdc.4010:itc</t>
  </si>
  <si>
    <t>rtdc.l.rtdc.4023:itc</t>
  </si>
  <si>
    <t>rtdc.l.rtdc.4024:itc</t>
  </si>
  <si>
    <t>YANAI</t>
  </si>
  <si>
    <t>IAN</t>
  </si>
  <si>
    <t>STARKS</t>
  </si>
  <si>
    <t>ANGELINA</t>
  </si>
  <si>
    <t>BEAM</t>
  </si>
  <si>
    <t>ROSS</t>
  </si>
  <si>
    <t>LEVERE</t>
  </si>
  <si>
    <t>CRAIG</t>
  </si>
  <si>
    <t>LEVIN</t>
  </si>
  <si>
    <t>SCOTT</t>
  </si>
  <si>
    <t>GUNTHIER</t>
  </si>
  <si>
    <t>ERIC</t>
  </si>
  <si>
    <t>242-16</t>
  </si>
  <si>
    <t>307-16</t>
  </si>
  <si>
    <t>244-16</t>
  </si>
  <si>
    <t>309-16</t>
  </si>
  <si>
    <t>311-16</t>
  </si>
  <si>
    <t>300-17</t>
  </si>
  <si>
    <t>partly-cloudy-day</t>
  </si>
  <si>
    <t>Partly Cloudy</t>
  </si>
  <si>
    <t>204:233011</t>
  </si>
  <si>
    <t>204:232996</t>
  </si>
  <si>
    <t>204:469</t>
  </si>
  <si>
    <t>204:233298</t>
  </si>
  <si>
    <t>204:233288</t>
  </si>
  <si>
    <t>204:233293</t>
  </si>
  <si>
    <t>204:233311</t>
  </si>
  <si>
    <t>204:232998</t>
  </si>
  <si>
    <t>204:232967</t>
  </si>
  <si>
    <t>204:232992</t>
  </si>
  <si>
    <t>204:232990</t>
  </si>
  <si>
    <t>204:437</t>
  </si>
  <si>
    <t>204:233327</t>
  </si>
  <si>
    <t>204:233059</t>
  </si>
  <si>
    <t>204:233034</t>
  </si>
  <si>
    <t>204:233287</t>
  </si>
  <si>
    <t>204:232976</t>
  </si>
  <si>
    <t>204:233305</t>
  </si>
  <si>
    <t>204:232980</t>
  </si>
  <si>
    <t>204:232964</t>
  </si>
  <si>
    <t>204:233280</t>
  </si>
  <si>
    <t>204:176</t>
  </si>
  <si>
    <t>204:233300</t>
  </si>
  <si>
    <t>204:233010</t>
  </si>
  <si>
    <t>300:23308</t>
  </si>
  <si>
    <t>204:958</t>
  </si>
  <si>
    <t>300:58931</t>
  </si>
  <si>
    <t>300:58613</t>
  </si>
  <si>
    <t>204:692</t>
  </si>
  <si>
    <t>300:58920</t>
  </si>
  <si>
    <t>300:58926</t>
  </si>
  <si>
    <t>204:705</t>
  </si>
  <si>
    <t>204:1000</t>
  </si>
  <si>
    <t>204:671</t>
  </si>
  <si>
    <t>300:58609</t>
  </si>
  <si>
    <t>204:969</t>
  </si>
  <si>
    <t>204:948</t>
  </si>
  <si>
    <t>300:58954</t>
  </si>
  <si>
    <t>300:58638</t>
  </si>
  <si>
    <t>204:964</t>
  </si>
  <si>
    <t>300:58670</t>
  </si>
  <si>
    <t>204:929</t>
  </si>
  <si>
    <t>300:58632</t>
  </si>
  <si>
    <t>204:953</t>
  </si>
  <si>
    <t>300:58952</t>
  </si>
  <si>
    <t>204:680</t>
  </si>
  <si>
    <t>300:58624</t>
  </si>
  <si>
    <t>300:58946</t>
  </si>
  <si>
    <t>300:58944</t>
  </si>
  <si>
    <t>Onboard en route failure</t>
  </si>
  <si>
    <t>Poor GPS at DUS</t>
  </si>
  <si>
    <t>101-17</t>
  </si>
  <si>
    <t>106-17</t>
  </si>
  <si>
    <t>121-17</t>
  </si>
  <si>
    <t>122-17</t>
  </si>
  <si>
    <t>131-17</t>
  </si>
  <si>
    <t>124-17</t>
  </si>
  <si>
    <t>812-17</t>
  </si>
  <si>
    <t>134-17</t>
  </si>
  <si>
    <t>rtdc.l.rtdc.4033:itc</t>
  </si>
  <si>
    <t>52-17</t>
  </si>
  <si>
    <t>144-17</t>
  </si>
  <si>
    <t>146-17</t>
  </si>
  <si>
    <t>54-17</t>
  </si>
  <si>
    <t>152-17</t>
  </si>
  <si>
    <t>817-17</t>
  </si>
  <si>
    <t>160-17</t>
  </si>
  <si>
    <t>820-17</t>
  </si>
  <si>
    <t>166-17</t>
  </si>
  <si>
    <t>rtdc.l.rtdc.4015:itc</t>
  </si>
  <si>
    <t>168-17</t>
  </si>
  <si>
    <t>177-17</t>
  </si>
  <si>
    <t>172-17</t>
  </si>
  <si>
    <t>191-17</t>
  </si>
  <si>
    <t>827-17</t>
  </si>
  <si>
    <t>188-17</t>
  </si>
  <si>
    <t>212-17</t>
  </si>
  <si>
    <t>906-17</t>
  </si>
  <si>
    <t>849-17</t>
  </si>
  <si>
    <t>238-17</t>
  </si>
  <si>
    <t>244-17</t>
  </si>
  <si>
    <t>56-17</t>
  </si>
  <si>
    <t>302-17</t>
  </si>
  <si>
    <t>BONDS</t>
  </si>
  <si>
    <t>REYNALDO</t>
  </si>
  <si>
    <t>rtdc.l.rtdc.4004:itc</t>
  </si>
  <si>
    <t>103-17</t>
  </si>
  <si>
    <t>102-17</t>
  </si>
  <si>
    <t>304-17</t>
  </si>
  <si>
    <t>306-17</t>
  </si>
  <si>
    <t>105-17</t>
  </si>
  <si>
    <t>308-17</t>
  </si>
  <si>
    <t>107-17</t>
  </si>
  <si>
    <t>104-17</t>
  </si>
  <si>
    <t>310-17</t>
  </si>
  <si>
    <t>109-17</t>
  </si>
  <si>
    <t>901-17</t>
  </si>
  <si>
    <t>111-17</t>
  </si>
  <si>
    <t>800-17</t>
  </si>
  <si>
    <t>108-17</t>
  </si>
  <si>
    <t>113-17</t>
  </si>
  <si>
    <t>312-17</t>
  </si>
  <si>
    <t>115-17</t>
  </si>
  <si>
    <t>801-17</t>
  </si>
  <si>
    <t>112-17</t>
  </si>
  <si>
    <t>110-17</t>
  </si>
  <si>
    <t>117-17</t>
  </si>
  <si>
    <t>902-17</t>
  </si>
  <si>
    <t>ROMERO</t>
  </si>
  <si>
    <t>CHAD</t>
  </si>
  <si>
    <t>114-17</t>
  </si>
  <si>
    <t>802-17</t>
  </si>
  <si>
    <t>119-17</t>
  </si>
  <si>
    <t>803-17</t>
  </si>
  <si>
    <t>123-17</t>
  </si>
  <si>
    <t>804-17</t>
  </si>
  <si>
    <t>116-17</t>
  </si>
  <si>
    <t>805-17</t>
  </si>
  <si>
    <t>125-17</t>
  </si>
  <si>
    <t>118-17</t>
  </si>
  <si>
    <t>120-17</t>
  </si>
  <si>
    <t>127-17</t>
  </si>
  <si>
    <t>806-17</t>
  </si>
  <si>
    <t>807-17</t>
  </si>
  <si>
    <t>129-17</t>
  </si>
  <si>
    <t>126-17</t>
  </si>
  <si>
    <t>808-17</t>
  </si>
  <si>
    <t>809-17</t>
  </si>
  <si>
    <t>128-17</t>
  </si>
  <si>
    <t>133-17</t>
  </si>
  <si>
    <t>810-17</t>
  </si>
  <si>
    <t>135-17</t>
  </si>
  <si>
    <t>811-17</t>
  </si>
  <si>
    <t>130-17</t>
  </si>
  <si>
    <t>137-17</t>
  </si>
  <si>
    <t>139-17</t>
  </si>
  <si>
    <t>132-17</t>
  </si>
  <si>
    <t>903-17</t>
  </si>
  <si>
    <t>136-17</t>
  </si>
  <si>
    <t>141-17</t>
  </si>
  <si>
    <t>143-17</t>
  </si>
  <si>
    <t>813-17</t>
  </si>
  <si>
    <t>145-17</t>
  </si>
  <si>
    <t>138-17</t>
  </si>
  <si>
    <t>142-17</t>
  </si>
  <si>
    <t>147-17</t>
  </si>
  <si>
    <t>814-17</t>
  </si>
  <si>
    <t>140-17</t>
  </si>
  <si>
    <t>149-17</t>
  </si>
  <si>
    <t>151-17</t>
  </si>
  <si>
    <t>815-17</t>
  </si>
  <si>
    <t>153-17</t>
  </si>
  <si>
    <t>148-17</t>
  </si>
  <si>
    <t>rtdc.l.rtdc.4034:itc</t>
  </si>
  <si>
    <t>53-17</t>
  </si>
  <si>
    <t>DE LA ROSA</t>
  </si>
  <si>
    <t>ALEX</t>
  </si>
  <si>
    <t>155-17</t>
  </si>
  <si>
    <t>150-17</t>
  </si>
  <si>
    <t>816-17</t>
  </si>
  <si>
    <t>157-17</t>
  </si>
  <si>
    <t>NEWELL</t>
  </si>
  <si>
    <t>NELSON</t>
  </si>
  <si>
    <t>ARIANE</t>
  </si>
  <si>
    <t>159-17</t>
  </si>
  <si>
    <t>154-17</t>
  </si>
  <si>
    <t>156-17</t>
  </si>
  <si>
    <t>161-17</t>
  </si>
  <si>
    <t>BRUDER</t>
  </si>
  <si>
    <t>RICHARD</t>
  </si>
  <si>
    <t>163-17</t>
  </si>
  <si>
    <t>55-17</t>
  </si>
  <si>
    <t>818-17</t>
  </si>
  <si>
    <t>158-17</t>
  </si>
  <si>
    <t>58-17</t>
  </si>
  <si>
    <t>165-17</t>
  </si>
  <si>
    <t>167-17</t>
  </si>
  <si>
    <t>ROBINSON</t>
  </si>
  <si>
    <t>KADDIBA</t>
  </si>
  <si>
    <t>819-17</t>
  </si>
  <si>
    <t>59-17</t>
  </si>
  <si>
    <t>60-17</t>
  </si>
  <si>
    <t>169-17</t>
  </si>
  <si>
    <t>162-17</t>
  </si>
  <si>
    <t>164-17</t>
  </si>
  <si>
    <t>171-17</t>
  </si>
  <si>
    <t>MOSES</t>
  </si>
  <si>
    <t>BRADLEY</t>
  </si>
  <si>
    <t>173-17</t>
  </si>
  <si>
    <t>61-17</t>
  </si>
  <si>
    <t>175-17</t>
  </si>
  <si>
    <t>170-17</t>
  </si>
  <si>
    <t>821-17</t>
  </si>
  <si>
    <t>822-17</t>
  </si>
  <si>
    <t>179-17</t>
  </si>
  <si>
    <t>174-17</t>
  </si>
  <si>
    <t>181-17</t>
  </si>
  <si>
    <t>183-17</t>
  </si>
  <si>
    <t>176-17</t>
  </si>
  <si>
    <t>50-17</t>
  </si>
  <si>
    <t>178-17</t>
  </si>
  <si>
    <t>823-17</t>
  </si>
  <si>
    <t>180-17</t>
  </si>
  <si>
    <t>185-17</t>
  </si>
  <si>
    <t>187-17</t>
  </si>
  <si>
    <t>824-17</t>
  </si>
  <si>
    <t>182-17</t>
  </si>
  <si>
    <t>189-17</t>
  </si>
  <si>
    <t>184-17</t>
  </si>
  <si>
    <t>825-17</t>
  </si>
  <si>
    <t>186-17</t>
  </si>
  <si>
    <t>193-17</t>
  </si>
  <si>
    <t>904-17</t>
  </si>
  <si>
    <t>826-17</t>
  </si>
  <si>
    <t>195-17</t>
  </si>
  <si>
    <t>190-17</t>
  </si>
  <si>
    <t>197-17</t>
  </si>
  <si>
    <t>ARNOLD</t>
  </si>
  <si>
    <t>PAUL</t>
  </si>
  <si>
    <t>192-17</t>
  </si>
  <si>
    <t>199-17</t>
  </si>
  <si>
    <t>828-17</t>
  </si>
  <si>
    <t>829-17</t>
  </si>
  <si>
    <t>194-17</t>
  </si>
  <si>
    <t>201-17</t>
  </si>
  <si>
    <t>196-17</t>
  </si>
  <si>
    <t>75-17</t>
  </si>
  <si>
    <t>203-17</t>
  </si>
  <si>
    <t>830-17</t>
  </si>
  <si>
    <t>198-17</t>
  </si>
  <si>
    <t>831-17</t>
  </si>
  <si>
    <t>200-17</t>
  </si>
  <si>
    <t>205-17</t>
  </si>
  <si>
    <t>207-17</t>
  </si>
  <si>
    <t>832-17</t>
  </si>
  <si>
    <t>833-17</t>
  </si>
  <si>
    <t>202-17</t>
  </si>
  <si>
    <t>209-17</t>
  </si>
  <si>
    <t>71-17</t>
  </si>
  <si>
    <t>204-17</t>
  </si>
  <si>
    <t>211-17</t>
  </si>
  <si>
    <t>834-17</t>
  </si>
  <si>
    <t>206-17</t>
  </si>
  <si>
    <t>835-17</t>
  </si>
  <si>
    <t>213-17</t>
  </si>
  <si>
    <t>72-17</t>
  </si>
  <si>
    <t>208-17</t>
  </si>
  <si>
    <t>215-17</t>
  </si>
  <si>
    <t>836-17</t>
  </si>
  <si>
    <t>210-17</t>
  </si>
  <si>
    <t>837-17</t>
  </si>
  <si>
    <t>217-17</t>
  </si>
  <si>
    <t>BIRKHOLZ</t>
  </si>
  <si>
    <t>NADINE</t>
  </si>
  <si>
    <t>219-17</t>
  </si>
  <si>
    <t>838-17</t>
  </si>
  <si>
    <t>839-17</t>
  </si>
  <si>
    <t>301-17</t>
  </si>
  <si>
    <t>214-17</t>
  </si>
  <si>
    <t>216-17</t>
  </si>
  <si>
    <t>221-17</t>
  </si>
  <si>
    <t>841-17</t>
  </si>
  <si>
    <t>218-17</t>
  </si>
  <si>
    <t>303-17</t>
  </si>
  <si>
    <t>220-17</t>
  </si>
  <si>
    <t>223-17</t>
  </si>
  <si>
    <t>840-17</t>
  </si>
  <si>
    <t>305-17</t>
  </si>
  <si>
    <t>222-17</t>
  </si>
  <si>
    <t>225-17</t>
  </si>
  <si>
    <t>843-17</t>
  </si>
  <si>
    <t>224-17</t>
  </si>
  <si>
    <t>842-17</t>
  </si>
  <si>
    <t>227-17</t>
  </si>
  <si>
    <t>229-17</t>
  </si>
  <si>
    <t>226-17</t>
  </si>
  <si>
    <t>845-17</t>
  </si>
  <si>
    <t>231-17</t>
  </si>
  <si>
    <t>228-17</t>
  </si>
  <si>
    <t>844-17</t>
  </si>
  <si>
    <t>230-17</t>
  </si>
  <si>
    <t>233-17</t>
  </si>
  <si>
    <t>847-17</t>
  </si>
  <si>
    <t>235-17</t>
  </si>
  <si>
    <t>232-17</t>
  </si>
  <si>
    <t>846-17</t>
  </si>
  <si>
    <t>237-17</t>
  </si>
  <si>
    <t>234-17</t>
  </si>
  <si>
    <t>236-17</t>
  </si>
  <si>
    <t>908-17</t>
  </si>
  <si>
    <t>239-17</t>
  </si>
  <si>
    <t>241-17</t>
  </si>
  <si>
    <t>243-17</t>
  </si>
  <si>
    <t>240-17</t>
  </si>
  <si>
    <t>313-17</t>
  </si>
  <si>
    <t>242-17</t>
  </si>
  <si>
    <t>89-17</t>
  </si>
  <si>
    <t>307-17</t>
  </si>
  <si>
    <t>309-17</t>
  </si>
  <si>
    <t>311-17</t>
  </si>
  <si>
    <t>204:754</t>
  </si>
  <si>
    <t>204:233002</t>
  </si>
  <si>
    <t>204:233286</t>
  </si>
  <si>
    <t>204:233340</t>
  </si>
  <si>
    <t>204:233284</t>
  </si>
  <si>
    <t>204:232993</t>
  </si>
  <si>
    <t>204:233247</t>
  </si>
  <si>
    <t>204:232915</t>
  </si>
  <si>
    <t>204:232974</t>
  </si>
  <si>
    <t>204:232957</t>
  </si>
  <si>
    <t>204:233326</t>
  </si>
  <si>
    <t>204:233331</t>
  </si>
  <si>
    <t>204:232988</t>
  </si>
  <si>
    <t>204:132</t>
  </si>
  <si>
    <t>204:480</t>
  </si>
  <si>
    <t>204:263</t>
  </si>
  <si>
    <t>204:477</t>
  </si>
  <si>
    <t>204:232959</t>
  </si>
  <si>
    <t>204:475</t>
  </si>
  <si>
    <t>204:233328</t>
  </si>
  <si>
    <t>204:233347</t>
  </si>
  <si>
    <t>204:57110</t>
  </si>
  <si>
    <t>204:573</t>
  </si>
  <si>
    <t>204:232821</t>
  </si>
  <si>
    <t>204:519</t>
  </si>
  <si>
    <t>204:233263</t>
  </si>
  <si>
    <t>204:232949</t>
  </si>
  <si>
    <t>204:233339</t>
  </si>
  <si>
    <t>204:180</t>
  </si>
  <si>
    <t>204:233325</t>
  </si>
  <si>
    <t>204:511</t>
  </si>
  <si>
    <t>204:233257</t>
  </si>
  <si>
    <t>204:232943</t>
  </si>
  <si>
    <t>204:233285</t>
  </si>
  <si>
    <t>204:232944</t>
  </si>
  <si>
    <t>204:493</t>
  </si>
  <si>
    <t>204:233036</t>
  </si>
  <si>
    <t>204:233341</t>
  </si>
  <si>
    <t>204:233385</t>
  </si>
  <si>
    <t>204:233055</t>
  </si>
  <si>
    <t>204:233283</t>
  </si>
  <si>
    <t>204:233368</t>
  </si>
  <si>
    <t>204:233038</t>
  </si>
  <si>
    <t>204:233268</t>
  </si>
  <si>
    <t>204:231926</t>
  </si>
  <si>
    <t>204:154007</t>
  </si>
  <si>
    <t>204:261</t>
  </si>
  <si>
    <t>300:23400</t>
  </si>
  <si>
    <t>300:21649</t>
  </si>
  <si>
    <t>300:23302</t>
  </si>
  <si>
    <t>300:23476</t>
  </si>
  <si>
    <t>300:23180</t>
  </si>
  <si>
    <t>300:23775</t>
  </si>
  <si>
    <t>204:560</t>
  </si>
  <si>
    <t>300:23675</t>
  </si>
  <si>
    <t>204:3249</t>
  </si>
  <si>
    <t>204:1471</t>
  </si>
  <si>
    <t>204:3574</t>
  </si>
  <si>
    <t>300:23552</t>
  </si>
  <si>
    <t>204:1270</t>
  </si>
  <si>
    <t>300:24195</t>
  </si>
  <si>
    <t>300:23179</t>
  </si>
  <si>
    <t>204:908</t>
  </si>
  <si>
    <t>204:1220</t>
  </si>
  <si>
    <t>300:24229</t>
  </si>
  <si>
    <t>204:3705</t>
  </si>
  <si>
    <t>204:3391</t>
  </si>
  <si>
    <t>204:1156</t>
  </si>
  <si>
    <t>300:21954</t>
  </si>
  <si>
    <t>204:962</t>
  </si>
  <si>
    <t>204:1276</t>
  </si>
  <si>
    <t>300:24220</t>
  </si>
  <si>
    <t>300:23434</t>
  </si>
  <si>
    <t>204:874</t>
  </si>
  <si>
    <t>204:1199</t>
  </si>
  <si>
    <t>300:24201</t>
  </si>
  <si>
    <t>300:22631</t>
  </si>
  <si>
    <t>300:19389</t>
  </si>
  <si>
    <t>204:694</t>
  </si>
  <si>
    <t>204:981</t>
  </si>
  <si>
    <t>204:685</t>
  </si>
  <si>
    <t>300:58647</t>
  </si>
  <si>
    <t>204:636</t>
  </si>
  <si>
    <t>300:58621</t>
  </si>
  <si>
    <t>204:682</t>
  </si>
  <si>
    <t>204:937</t>
  </si>
  <si>
    <t>300:58990</t>
  </si>
  <si>
    <t>300:58677</t>
  </si>
  <si>
    <t>204:684</t>
  </si>
  <si>
    <t>204:3035</t>
  </si>
  <si>
    <t>300:58675</t>
  </si>
  <si>
    <t>204:643</t>
  </si>
  <si>
    <t>204:934</t>
  </si>
  <si>
    <t>300:58992</t>
  </si>
  <si>
    <t>204:650</t>
  </si>
  <si>
    <t>204:946</t>
  </si>
  <si>
    <t>300:58681</t>
  </si>
  <si>
    <t>204:640</t>
  </si>
  <si>
    <t>300:58668</t>
  </si>
  <si>
    <t>204:930</t>
  </si>
  <si>
    <t>300:58984</t>
  </si>
  <si>
    <t>300:58928</t>
  </si>
  <si>
    <t>204:157</t>
  </si>
  <si>
    <t>204:678</t>
  </si>
  <si>
    <t>300:58630</t>
  </si>
  <si>
    <t>204:666</t>
  </si>
  <si>
    <t>204:979</t>
  </si>
  <si>
    <t>300:58619</t>
  </si>
  <si>
    <t>300:58960</t>
  </si>
  <si>
    <t>300:58641</t>
  </si>
  <si>
    <t>204:724</t>
  </si>
  <si>
    <t>300:58623</t>
  </si>
  <si>
    <t>204:661</t>
  </si>
  <si>
    <t>300:58929</t>
  </si>
  <si>
    <t>300:58958</t>
  </si>
  <si>
    <t>300:58941</t>
  </si>
  <si>
    <t>204:771</t>
  </si>
  <si>
    <t>204:967</t>
  </si>
  <si>
    <t>204:675</t>
  </si>
  <si>
    <t>204:1055</t>
  </si>
  <si>
    <t>204:691</t>
  </si>
  <si>
    <t>204:957</t>
  </si>
  <si>
    <t>204:1152</t>
  </si>
  <si>
    <t>300:24212</t>
  </si>
  <si>
    <t>300:29833</t>
  </si>
  <si>
    <t>300:23817</t>
  </si>
  <si>
    <t>204:654</t>
  </si>
  <si>
    <t>300:24237</t>
  </si>
  <si>
    <t>300:23593</t>
  </si>
  <si>
    <t>204:668</t>
  </si>
  <si>
    <t>300:21625</t>
  </si>
  <si>
    <t>start /low /b %USERPROFILE%\Documents\GitHub\eaglep3\Utilities\DownloadLogsFromS3.py --loco 4009 --day 2017-10-17</t>
  </si>
  <si>
    <t>start /low /b %USERPROFILE%\Documents\GitHub\eaglep3\Utilities\DownloadLogsFromS3.py --loco 4003 --day 2017-10-17</t>
  </si>
  <si>
    <t>start /low /b %USERPROFILE%\Documents\GitHub\eaglep3\Utilities\DownloadLogsFromS3.py --loco 4009 --day 2017-10-18</t>
  </si>
  <si>
    <t>start /low /b %USERPROFILE%\Documents\GitHub\eaglep3\Utilities\DownloadLogsFromS3.py --loco 4032 --day 2017-10-17</t>
  </si>
  <si>
    <t>start /low /b %USERPROFILE%\Documents\GitHub\eaglep3\Utilities\DownloadLogsFromS3.py --loco 4049 --day 2017-10-17</t>
  </si>
  <si>
    <t>start /low /b %USERPROFILE%\Documents\GitHub\eaglep3\Utilities\DownloadLogsFromS3.py --loco 4015 --day 2017-10-17</t>
  </si>
  <si>
    <t>start /low /b %USERPROFILE%\Documents\GitHub\eaglep3\Utilities\DownloadLogsFromS3.py --loco 4015 --day 2017-10-18</t>
  </si>
  <si>
    <t>start /low /b %USERPROFILE%\Documents\GitHub\eaglep3\Utilities\DownloadLogsFromS3.py --loco 4035 --day 2017-10-17</t>
  </si>
  <si>
    <t>start /low /b %USERPROFILE%\Documents\GitHub\eaglep3\Utilities\DownloadLogsFromS3.py --loco 4065 --day 2017-10-18</t>
  </si>
  <si>
    <t>start /low /b %USERPROFILE%\Documents\GitHub\eaglep3\Utilities\DownloadLogsFromS3.py --loco 4014 --day 2017-10-17</t>
  </si>
  <si>
    <t>start /low /b %USERPROFILE%\Documents\GitHub\eaglep3\Utilities\DownloadLogsFromS3.py --loco 4016 --day 2017-10-17</t>
  </si>
  <si>
    <t>start /low /b %USERPROFILE%\Documents\GitHub\eaglep3\Utilities\DownloadLogsFromS3.py --loco 4013 --day 2017-10-17</t>
  </si>
  <si>
    <t>start /low /b %USERPROFILE%\Documents\GitHub\eaglep3\Utilities\DownloadLogsFromS3.py --loco 4010 --day 2017-10-17</t>
  </si>
  <si>
    <t>start /low /b %USERPROFILE%\Documents\GitHub\eaglep3\Utilities\DownloadLogsFromS3.py --loco 4031 --day 2017-10-17</t>
  </si>
  <si>
    <t>start /low /b %USERPROFILE%\Documents\GitHub\eaglep3\Utilities\DownloadLogsFromS3.py --loco 4060 --day 2017-10-17</t>
  </si>
  <si>
    <t>start /low /b %USERPROFILE%\Documents\GitHub\eaglep3\Utilities\DownloadLogsFromS3.py --loco 4032 --day 2017-10-18</t>
  </si>
  <si>
    <t>Operator selected wrong track</t>
  </si>
  <si>
    <t>Mid-block init</t>
  </si>
  <si>
    <t>Wi-MAX data drop, reported as Trip 904 (Inc ID 55656)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</si>
</sst>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8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43025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43025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COUNTIFS($N$13:$N$9429,"&gt;0",$AG$13:$AG$9429,I1)</f>
        <v>141</v>
      </c>
      <c r="K5" s="39"/>
      <c r="L5" s="172"/>
      <c r="M5" s="40">
        <f>AVERAGEIFS($N$13:$N$9429,$AG$13:$AG$9429,I1)</f>
        <v>36.841843971596198</v>
      </c>
      <c r="N5" s="38">
        <f t="array" ref="N5">MIN(IF($AG$13:$AG$9429=I1,IF(ISNUMBER($N$13:$N$9429),IF($N$13:$N$9429&gt;0,$N$13:$N$9429))))</f>
        <v>33.666666657663882</v>
      </c>
      <c r="O5" s="3">
        <f t="array" ref="O5">MAX(IF($AG$13:$AG$9429=I1,IF(ISNUMBER($N$13:$N$9429),IF($N$13:$N$9429&gt;0,$N$13:$N$9429))))</f>
        <v>40.449999994598329</v>
      </c>
      <c r="P5" s="2"/>
      <c r="R5" s="163" t="s">
        <v>17</v>
      </c>
      <c r="S5" s="207">
        <f>COUNTIFS($N$13:$N$9429,"&gt;0",$AG$13:$AG$9429,R1)</f>
        <v>49</v>
      </c>
      <c r="T5" s="172"/>
      <c r="U5" s="195"/>
      <c r="V5" s="211">
        <f>AVERAGEIFS($N$13:$N$9429,$AG$13:$AG$9429,R1)</f>
        <v>13.194897959664541</v>
      </c>
      <c r="W5" s="212">
        <f t="array" ref="W5">MIN(IF($AG$13:$AG$9429=R1,IF(ISNUMBER($N$13:$N$9429),IF($N$13:$N$9429&gt;0,$N$13:$N$9429))))</f>
        <v>10.716666667722166</v>
      </c>
      <c r="X5" s="200">
        <f t="array" ref="X5">MAX(IF($AG$13:$AG$9429=R1,IF(ISNUMBER($N$13:$N$9429),IF($N$13:$N$9429&gt;0,$N$13:$N$9429))))</f>
        <v>19.833333338610828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COUNT($O$13:$O$190)</f>
        <v>0</v>
      </c>
      <c r="K6" s="39"/>
      <c r="L6" s="172"/>
      <c r="M6" s="40">
        <f>IFERROR(AVERAGE($O$13:$O$190),0)</f>
        <v>0</v>
      </c>
      <c r="N6" s="38">
        <f>MIN($O$13:$O$190)</f>
        <v>0</v>
      </c>
      <c r="O6" s="3">
        <f>MAX($O$13:$O$190)</f>
        <v>0</v>
      </c>
      <c r="P6" s="2"/>
      <c r="R6" s="164" t="s">
        <v>43</v>
      </c>
      <c r="S6" s="207">
        <f>COUNT($O$13:$O$190)</f>
        <v>0</v>
      </c>
      <c r="T6" s="172"/>
      <c r="U6" s="195"/>
      <c r="V6" s="211">
        <f>IFERROR(AVERAGE($O$13:$O$190),0)</f>
        <v>0</v>
      </c>
      <c r="W6" s="212">
        <f>MIN($O$13:$O$190)</f>
        <v>0</v>
      </c>
      <c r="X6" s="200">
        <f>MAX($O$13:$O$190)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COUNTIFS($P$13:$P$9429,"&gt;0",$AG$13:$AG$9429,I1)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COUNTIFS($P$13:$P$9429,"&gt;0",$AG$13:$AG$9429,R1)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36.841843971596198</v>
      </c>
      <c r="N8" s="38">
        <f>N5</f>
        <v>33.666666657663882</v>
      </c>
      <c r="O8" s="3">
        <f>O5</f>
        <v>40.449999994598329</v>
      </c>
      <c r="P8" s="2"/>
      <c r="R8" s="163" t="s">
        <v>16</v>
      </c>
      <c r="S8" s="207">
        <f>S5</f>
        <v>49</v>
      </c>
      <c r="T8" s="172"/>
      <c r="U8" s="195"/>
      <c r="V8" s="211">
        <f>V5</f>
        <v>13.194897959664541</v>
      </c>
      <c r="W8" s="212">
        <f>W5</f>
        <v>10.716666667722166</v>
      </c>
      <c r="X8" s="200">
        <f>X5</f>
        <v>19.833333338610828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5" t="str">
        <f>"Eagle P3 System Performance - "&amp;TEXT(Variables!A2,"yyyy-mm-dd")</f>
        <v>Eagle P3 System Performance - 2017-10-17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AVERAGE(S13:S112)</f>
        <v>0.98499999999999999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380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607</v>
      </c>
      <c r="B13" s="7">
        <v>4016</v>
      </c>
      <c r="C13" s="21" t="s">
        <v>194</v>
      </c>
      <c r="D13" s="21" t="s">
        <v>856</v>
      </c>
      <c r="E13" s="13">
        <v>43025.124988425923</v>
      </c>
      <c r="F13" s="13">
        <v>43025.135601851849</v>
      </c>
      <c r="G13" s="7">
        <v>53</v>
      </c>
      <c r="H13" s="21" t="s">
        <v>430</v>
      </c>
      <c r="I13" s="13">
        <v>43025.160127314812</v>
      </c>
      <c r="J13" s="7">
        <v>0</v>
      </c>
      <c r="K13" s="89" t="str">
        <f>IF(ISEVEN(B13),(B13-1)&amp;"/"&amp;B13,B13&amp;"/"&amp;(B13+1))</f>
        <v>4015/4016</v>
      </c>
      <c r="L13" s="185" t="str">
        <f>VLOOKUP(A13,'Trips&amp;Operators'!$C$1:$G$99911,5,FALSE)</f>
        <v>YORK EDGAR</v>
      </c>
      <c r="M13" s="6">
        <f>I13-F13</f>
        <v>2.4525462962628808E-2</v>
      </c>
      <c r="N13" s="7">
        <f>24*60*SUM($M13:$M13)</f>
        <v>35.316666666185483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-17T01:59:59-0600',mode:absolute,to:'2017-10-17T04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7.5399999999999995E-2</v>
      </c>
      <c r="Z13" s="204">
        <f>RIGHT(H13,LEN(H13)-4)/10000</f>
        <v>23.328900000000001</v>
      </c>
      <c r="AA13" s="204">
        <f>ABS(Z13-Y13)</f>
        <v>23.253500000000003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/stypes="app*4016*20171017*"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101-17 --locoid 4016 --swversion DE.1.0.9.0 --startMP 204:754 --initTime 2017-10-17T02:59:59 --startdatetime 2017-10-17T03:15:16 --delay 53 --endMP 204:233289 --enddatetime 2017-10-17T03:50:35 --enforcementcount 0 &gt;&gt;%USERPROFILE%\Documents\GitHub\eaglep3-reporting\EC\2017-10-17-refined-times.txt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{"issue":{"subject":"","project_id":79,"tracker_id":40,"status_id":1,"priority_id":2,"assigned_to_id":338,"start_date":"2017-10-17","description":"","custom_fields":[{"id":1,"name":"Subdivision","value":"EC"},{"id":4,"name":"Milepost","value":"23.3289"},{"id":17,"name":"Train ID","value":"101-17"},{"id":16,"name":"Locomotive ID","value":"4016"},{"id":130,"name":"Impact","value":""},{"id":150,"name":"Time of Event (Mountain Time)","value":"03:50:35"},{"id":151,"name":"Denver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4016 --day 2017-10-17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09:50:35"},{"id":29,"name":"Sharepoint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-17T01:59:59-0600',mode:absolute,to:'2017-10-17T04:50:35-0600'))&amp;_a=(columns:!('Message%20ID',Summary),filters:!(),index:'emp_*',interval:auto,query:(query_string:(analyze_wildcard:!t,query:'%22rtdc.l.rtdc.4016%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643</v>
      </c>
      <c r="B14" s="7">
        <v>4015</v>
      </c>
      <c r="C14" s="21" t="s">
        <v>194</v>
      </c>
      <c r="D14" s="21" t="s">
        <v>508</v>
      </c>
      <c r="E14" s="13">
        <v>43025.161030092589</v>
      </c>
      <c r="F14" s="13">
        <v>43025.175347222219</v>
      </c>
      <c r="G14" s="7">
        <v>49</v>
      </c>
      <c r="H14" s="21" t="s">
        <v>357</v>
      </c>
      <c r="I14" s="13">
        <v>43025.202245370368</v>
      </c>
      <c r="J14" s="7">
        <v>0</v>
      </c>
      <c r="K14" s="89" t="str">
        <f>IF(ISEVEN(B14),(B14-1)&amp;"/"&amp;B14,B14&amp;"/"&amp;(B14+1))</f>
        <v>4015/4016</v>
      </c>
      <c r="L14" s="185" t="str">
        <f>VLOOKUP(A14,'Trips&amp;Operators'!$C$1:$G$99911,5,FALSE)</f>
        <v>YORK EDGAR</v>
      </c>
      <c r="M14" s="6">
        <f>I14-F14</f>
        <v>2.6898148149484769E-2</v>
      </c>
      <c r="N14" s="7">
        <f>24*60*SUM($M14:$M14)</f>
        <v>38.733333335258067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-17T02:51:53-0600',mode:absolute,to:'2017-10-17T05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23.2971</v>
      </c>
      <c r="Z14" s="204">
        <f>RIGHT(H14,LEN(H14)-4)/10000</f>
        <v>1.5599999999999999E-2</v>
      </c>
      <c r="AA14" s="204">
        <f>ABS(Z14-Y14)</f>
        <v>23.281500000000001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/stypes="app*4015*20171017*"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102-17 --locoid 4015 --swversion DE.1.0.9.0 --startMP 204:232971 --initTime 2017-10-17T03:51:53 --startdatetime 2017-10-17T04:12:30 --delay 49 --endMP 204:156 --enddatetime 2017-10-17T04:51:14 --enforcementcount 0 &gt;&gt;%USERPROFILE%\Documents\GitHub\eaglep3-reporting\EC\2017-10-17-refined-times.txt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{"issue":{"subject":"","project_id":79,"tracker_id":40,"status_id":1,"priority_id":2,"assigned_to_id":338,"start_date":"2017-10-17","description":"","custom_fields":[{"id":1,"name":"Subdivision","value":"EC"},{"id":4,"name":"Milepost","value":"0.0156"},{"id":17,"name":"Train ID","value":"102-17"},{"id":16,"name":"Locomotive ID","value":"4015"},{"id":130,"name":"Impact","value":""},{"id":150,"name":"Time of Event (Mountain Time)","value":"04:51:14"},{"id":151,"name":"Denver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4015 --day 2017-10-17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-17T02:51:53-0600',mode:absolute,to:'2017-10-17T05:51:14-0600'))&amp;_a=(columns:!('Message%20ID',Summary),filters:!(),index:'emp_*',interval:auto,query:(query_string:(analyze_wildcard:!t,query:'%22rtdc.l.rtdc.4015%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642</v>
      </c>
      <c r="B15" s="7">
        <v>4004</v>
      </c>
      <c r="C15" s="21" t="s">
        <v>194</v>
      </c>
      <c r="D15" s="21" t="s">
        <v>425</v>
      </c>
      <c r="E15" s="13">
        <v>43025.149282407408</v>
      </c>
      <c r="F15" s="13">
        <v>43025.156458333331</v>
      </c>
      <c r="G15" s="7">
        <v>67</v>
      </c>
      <c r="H15" s="21" t="s">
        <v>510</v>
      </c>
      <c r="I15" s="13">
        <v>43025.181562500002</v>
      </c>
      <c r="J15" s="7">
        <v>0</v>
      </c>
      <c r="K15" s="89" t="str">
        <f>IF(ISEVEN(B15),(B15-1)&amp;"/"&amp;B15,B15&amp;"/"&amp;(B15+1))</f>
        <v>4003/4004</v>
      </c>
      <c r="L15" s="185" t="str">
        <f>VLOOKUP(A15,'Trips&amp;Operators'!$C$1:$G$99911,5,FALSE)</f>
        <v>BONDS REYNALDO</v>
      </c>
      <c r="M15" s="6">
        <f>I15-F15</f>
        <v>2.510416667064419E-2</v>
      </c>
      <c r="N15" s="7">
        <f>24*60*SUM($M15:$M15)</f>
        <v>36.150000005727634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-17T02:34:58-0600',mode:absolute,to:'2017-10-17T05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4.4200000000000003E-2</v>
      </c>
      <c r="Z15" s="204">
        <f>RIGHT(H15,LEN(H15)-4)/10000</f>
        <v>23.331900000000001</v>
      </c>
      <c r="AA15" s="204">
        <f>ABS(Z15-Y15)</f>
        <v>23.287700000000001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/stypes="app*4004*20171017*"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103-17 --locoid 4004 --swversion DE.1.0.9.0 --startMP 204:442 --initTime 2017-10-17T03:34:58 --startdatetime 2017-10-17T03:45:18 --delay 67 --endMP 204:233319 --enddatetime 2017-10-17T04:21:27 --enforcementcount 0 &gt;&gt;%USERPROFILE%\Documents\GitHub\eaglep3-reporting\EC\2017-10-17-refined-times.txt</v>
      </c>
      <c r="AI1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{"issue":{"subject":"","project_id":79,"tracker_id":40,"status_id":1,"priority_id":2,"assigned_to_id":338,"start_date":"2017-10-17","description":"","custom_fields":[{"id":1,"name":"Subdivision","value":"EC"},{"id":4,"name":"Milepost","value":"23.3319"},{"id":17,"name":"Train ID","value":"103-17"},{"id":16,"name":"Locomotive ID","value":"4004"},{"id":130,"name":"Impact","value":""},{"id":150,"name":"Time of Event (Mountain Time)","value":"04:21:27"},{"id":151,"name":"Denver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4004 --day 2017-10-17</v>
      </c>
      <c r="AN1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10:21:27"},{"id":29,"name":"Sharepoint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-17T02:34:58-0600',mode:absolute,to:'2017-10-17T05:21:27-0600'))&amp;_a=(columns:!('Message%20ID',Summary),filters:!(),index:'emp_*',interval:auto,query:(query_string:(analyze_wildcard:!t,query:'%22rtdc.l.rtdc.4004%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649</v>
      </c>
      <c r="B16" s="7">
        <v>4003</v>
      </c>
      <c r="C16" s="21" t="s">
        <v>194</v>
      </c>
      <c r="D16" s="21" t="s">
        <v>857</v>
      </c>
      <c r="E16" s="13">
        <v>43025.192442129628</v>
      </c>
      <c r="F16" s="13">
        <v>43025.19599537037</v>
      </c>
      <c r="G16" s="7">
        <v>52</v>
      </c>
      <c r="H16" s="21" t="s">
        <v>355</v>
      </c>
      <c r="I16" s="13">
        <v>43025.22283564815</v>
      </c>
      <c r="J16" s="7">
        <v>0</v>
      </c>
      <c r="K16" s="89" t="str">
        <f>IF(ISEVEN(B16),(B16-1)&amp;"/"&amp;B16,B16&amp;"/"&amp;(B16+1))</f>
        <v>4003/4004</v>
      </c>
      <c r="L16" s="185" t="str">
        <f>VLOOKUP(A16,'Trips&amp;Operators'!$C$1:$G$99911,5,FALSE)</f>
        <v>BONDS REYNALDO</v>
      </c>
      <c r="M16" s="6">
        <f>I16-F16</f>
        <v>2.6840277780138422E-2</v>
      </c>
      <c r="N16" s="7">
        <f>24*60*SUM($M16:$M16)</f>
        <v>38.650000003399327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-17T03:37:07-0600',mode:absolute,to:'2017-10-17T06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23.3002</v>
      </c>
      <c r="Z16" s="204">
        <f>RIGHT(H16,LEN(H16)-4)/10000</f>
        <v>1.4500000000000001E-2</v>
      </c>
      <c r="AA16" s="204">
        <f>ABS(Z16-Y16)</f>
        <v>23.285699999999999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/stypes="app*4003*20171017*"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104-17 --locoid 4003 --swversion DE.1.0.9.0 --startMP 204:233002 --initTime 2017-10-17T04:37:07 --startdatetime 2017-10-17T04:42:14 --delay 52 --endMP 204:145 --enddatetime 2017-10-17T05:20:53 --enforcementcount 0 &gt;&gt;%USERPROFILE%\Documents\GitHub\eaglep3-reporting\EC\2017-10-17-refined-times.txt</v>
      </c>
      <c r="AI1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ID","value":"104-17"},{"id":16,"name":"Locomotive ID","value":"4003"},{"id":130,"name":"Impact","value":""},{"id":150,"name":"Time of Event (Mountain Time)","value":"05:20:53"},{"id":151,"name":"Denver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4003 --day 2017-10-17</v>
      </c>
      <c r="AN1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-17T03:37:07-0600',mode:absolute,to:'2017-10-17T06:20:53-0600'))&amp;_a=(columns:!('Message%20ID',Summary),filters:!(),index:'emp_*',interval:auto,query:(query_string:(analyze_wildcard:!t,query:'%22rtdc.l.rtdc.4003%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646</v>
      </c>
      <c r="B17" s="7">
        <v>4050</v>
      </c>
      <c r="C17" s="21" t="s">
        <v>194</v>
      </c>
      <c r="D17" s="21" t="s">
        <v>334</v>
      </c>
      <c r="E17" s="13">
        <v>43025.172118055554</v>
      </c>
      <c r="F17" s="13">
        <v>43025.177256944444</v>
      </c>
      <c r="G17" s="7">
        <v>99</v>
      </c>
      <c r="H17" s="21" t="s">
        <v>858</v>
      </c>
      <c r="I17" s="13">
        <v>43025.201874999999</v>
      </c>
      <c r="J17" s="7">
        <v>0</v>
      </c>
      <c r="K17" s="89" t="str">
        <f>IF(ISEVEN(B17),(B17-1)&amp;"/"&amp;B17,B17&amp;"/"&amp;(B17+1))</f>
        <v>4049/4050</v>
      </c>
      <c r="L17" s="185" t="str">
        <f>VLOOKUP(A17,'Trips&amp;Operators'!$C$1:$G$99911,5,FALSE)</f>
        <v>BEAM ROSS</v>
      </c>
      <c r="M17" s="6">
        <f>I17-F17</f>
        <v>2.4618055555038154E-2</v>
      </c>
      <c r="N17" s="7">
        <f>24*60*SUM($M17:$M17)</f>
        <v>35.449999999254942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-17T03:07:51-0600',mode:absolute,to:'2017-10-17T05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4.4600000000000001E-2</v>
      </c>
      <c r="Z17" s="204">
        <f>RIGHT(H17,LEN(H17)-4)/10000</f>
        <v>23.328600000000002</v>
      </c>
      <c r="AA17" s="204">
        <f>ABS(Z17-Y17)</f>
        <v>23.284000000000002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/stypes="app*4050*20171017*"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105-17 --locoid 4050 --swversion DE.1.0.9.0 --startMP 204:446 --initTime 2017-10-17T04:07:51 --startdatetime 2017-10-17T04:15:15 --delay 99 --endMP 204:233286 --enddatetime 2017-10-17T04:50:42 --enforcementcount 0 &gt;&gt;%USERPROFILE%\Documents\GitHub\eaglep3-reporting\EC\2017-10-17-refined-times.txt</v>
      </c>
      <c r="AI1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{"issue":{"subject":"","project_id":79,"tracker_id":40,"status_id":1,"priority_id":2,"assigned_to_id":338,"start_date":"2017-10-17","description":"","custom_fields":[{"id":1,"name":"Subdivision","value":"EC"},{"id":4,"name":"Milepost","value":"23.3286"},{"id":17,"name":"Train ID","value":"105-17"},{"id":16,"name":"Locomotive ID","value":"4050"},{"id":130,"name":"Impact","value":""},{"id":150,"name":"Time of Event (Mountain Time)","value":"04:50:42"},{"id":151,"name":"Denver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4050 --day 2017-10-17</v>
      </c>
      <c r="AN1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10:50:42"},{"id":29,"name":"Sharepoint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-17T03:07:51-0600',mode:absolute,to:'2017-10-17T05:50:42-0600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608</v>
      </c>
      <c r="B18" s="7">
        <v>4049</v>
      </c>
      <c r="C18" s="21" t="s">
        <v>194</v>
      </c>
      <c r="D18" s="21" t="s">
        <v>483</v>
      </c>
      <c r="E18" s="13">
        <v>43025.202986111108</v>
      </c>
      <c r="F18" s="13">
        <v>43025.216851851852</v>
      </c>
      <c r="G18" s="7">
        <v>54</v>
      </c>
      <c r="H18" s="21" t="s">
        <v>373</v>
      </c>
      <c r="I18" s="13">
        <v>43025.243275462963</v>
      </c>
      <c r="J18" s="7">
        <v>0</v>
      </c>
      <c r="K18" s="89" t="str">
        <f>IF(ISEVEN(B18),(B18-1)&amp;"/"&amp;B18,B18&amp;"/"&amp;(B18+1))</f>
        <v>4049/4050</v>
      </c>
      <c r="L18" s="185" t="str">
        <f>VLOOKUP(A18,'Trips&amp;Operators'!$C$1:$G$99911,5,FALSE)</f>
        <v>BEAM ROSS</v>
      </c>
      <c r="M18" s="6">
        <f>I18-F18</f>
        <v>2.6423611110658385E-2</v>
      </c>
      <c r="N18" s="7">
        <f>24*60*SUM($M18:$M18)</f>
        <v>38.049999999348074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-17T03:52:18-0600',mode:absolute,to:'2017-10-17T06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23.296900000000001</v>
      </c>
      <c r="Z18" s="204">
        <f>RIGHT(H18,LEN(H18)-4)/10000</f>
        <v>1.54E-2</v>
      </c>
      <c r="AA18" s="204">
        <f>ABS(Z18-Y18)</f>
        <v>23.281500000000001</v>
      </c>
      <c r="AB18" s="54" t="str">
        <f>VLOOKUP(A18,Enforcements!$C$7:$K$11,8,0)</f>
        <v>Bulletin (2)</v>
      </c>
      <c r="AC18" s="51" t="str">
        <f>VLOOKUP(A18,Enforcements!$C$7:$E$11,3,0)</f>
        <v>GRADE CROSSING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/stypes="app*4049*20171017*"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106-17 --locoid 4049 --swversion DE.1.0.9.0 --startMP 204:232969 --initTime 2017-10-17T04:52:18 --startdatetime 2017-10-17T05:12:16 --delay 54 --endMP 204:154 --enddatetime 2017-10-17T05:50:19 --enforcementcount 0 &gt;&gt;%USERPROFILE%\Documents\GitHub\eaglep3-reporting\EC\2017-10-17-refined-times.txt</v>
      </c>
      <c r="AI18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{"issue":{"subject":"","project_id":79,"tracker_id":40,"status_id":1,"priority_id":2,"assigned_to_id":338,"start_date":"2017-10-17","description":"","custom_fields":[{"id":1,"name":"Subdivision","value":"EC"},{"id":4,"name":"Milepost","value":"0.0154"},{"id":17,"name":"Train ID","value":"106-17"},{"id":16,"name":"Locomotive ID","value":"4049"},{"id":130,"name":"Impact","value":""},{"id":150,"name":"Time of Event (Mountain Time)","value":"05:50:19"},{"id":151,"name":"Denver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4049 --day 2017-10-17</v>
      </c>
      <c r="AN18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-17T03:52:18-0600',mode:absolute,to:'2017-10-17T06:50:19-0600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648</v>
      </c>
      <c r="B19" s="7">
        <v>4010</v>
      </c>
      <c r="C19" s="21" t="s">
        <v>194</v>
      </c>
      <c r="D19" s="21" t="s">
        <v>374</v>
      </c>
      <c r="E19" s="13">
        <v>43025.183217592596</v>
      </c>
      <c r="F19" s="13">
        <v>43025.187731481485</v>
      </c>
      <c r="G19" s="7">
        <v>82</v>
      </c>
      <c r="H19" s="21" t="s">
        <v>859</v>
      </c>
      <c r="I19" s="13">
        <v>43025.211759259262</v>
      </c>
      <c r="J19" s="7">
        <v>0</v>
      </c>
      <c r="K19" s="89" t="str">
        <f>IF(ISEVEN(B19),(B19-1)&amp;"/"&amp;B19,B19&amp;"/"&amp;(B19+1))</f>
        <v>4009/4010</v>
      </c>
      <c r="L19" s="185" t="str">
        <f>VLOOKUP(A19,'Trips&amp;Operators'!$C$1:$G$99911,5,FALSE)</f>
        <v>LALONDE GREGORY</v>
      </c>
      <c r="M19" s="6">
        <f>I19-F19</f>
        <v>2.4027777777519077E-2</v>
      </c>
      <c r="N19" s="7">
        <f>24*60*SUM($M19:$M19)</f>
        <v>34.599999999627471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-17T03:23:50-0600',mode:absolute,to:'2017-10-17T06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4.4699999999999997E-2</v>
      </c>
      <c r="Z19" s="204">
        <f>RIGHT(H19,LEN(H19)-4)/10000</f>
        <v>23.334</v>
      </c>
      <c r="AA19" s="204">
        <f>ABS(Z19-Y19)</f>
        <v>23.289300000000001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/stypes="app*4010*20171017*"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107-17 --locoid 4010 --swversion DE.1.0.9.0 --startMP 204:447 --initTime 2017-10-17T04:23:50 --startdatetime 2017-10-17T04:30:20 --delay 82 --endMP 204:233340 --enddatetime 2017-10-17T05:04:56 --enforcementcount 0 &gt;&gt;%USERPROFILE%\Documents\GitHub\eaglep3-reporting\EC\2017-10-17-refined-times.txt</v>
      </c>
      <c r="AI19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{"issue":{"subject":"","project_id":79,"tracker_id":40,"status_id":1,"priority_id":2,"assigned_to_id":338,"start_date":"2017-10-17","description":"","custom_fields":[{"id":1,"name":"Subdivision","value":"EC"},{"id":4,"name":"Milepost","value":"23.334"},{"id":17,"name":"Train ID","value":"107-17"},{"id":16,"name":"Locomotive ID","value":"4010"},{"id":130,"name":"Impact","value":""},{"id":150,"name":"Time of Event (Mountain Time)","value":"05:04:56"},{"id":151,"name":"Denver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4010 --day 2017-10-17</v>
      </c>
      <c r="AN19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-17T03:23:50-0600',mode:absolute,to:'2017-10-17T06:04:56-0600'))&amp;_a=(columns:!('Message%20ID',Summary),filters:!(),index:'emp_*',interval:auto,query:(query_string:(analyze_wildcard:!t,query:'%22rtdc.l.rtdc.4010%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655</v>
      </c>
      <c r="B20" s="7">
        <v>4009</v>
      </c>
      <c r="C20" s="21" t="s">
        <v>194</v>
      </c>
      <c r="D20" s="21" t="s">
        <v>464</v>
      </c>
      <c r="E20" s="13">
        <v>43025.213113425925</v>
      </c>
      <c r="F20" s="13">
        <v>43025.22724537037</v>
      </c>
      <c r="G20" s="7">
        <v>53</v>
      </c>
      <c r="H20" s="21" t="s">
        <v>357</v>
      </c>
      <c r="I20" s="13">
        <v>43025.25304398148</v>
      </c>
      <c r="J20" s="7">
        <v>0</v>
      </c>
      <c r="K20" s="89" t="str">
        <f>IF(ISEVEN(B20),(B20-1)&amp;"/"&amp;B20,B20&amp;"/"&amp;(B20+1))</f>
        <v>4009/4010</v>
      </c>
      <c r="L20" s="185" t="str">
        <f>VLOOKUP(A20,'Trips&amp;Operators'!$C$1:$G$99911,5,FALSE)</f>
        <v>LALONDE GREGORY</v>
      </c>
      <c r="M20" s="6">
        <f>I20-F20</f>
        <v>2.5798611110076308E-2</v>
      </c>
      <c r="N20" s="7">
        <f>24*60*SUM($M20:$M20)</f>
        <v>37.149999998509884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-17T04:06:53-0600',mode:absolute,to:'2017-10-17T07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23.3019</v>
      </c>
      <c r="Z20" s="204">
        <f>RIGHT(H20,LEN(H20)-4)/10000</f>
        <v>1.5599999999999999E-2</v>
      </c>
      <c r="AA20" s="204">
        <f>ABS(Z20-Y20)</f>
        <v>23.286300000000001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/stypes="app*4009*20171017*"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108-17 --locoid 4009 --swversion DE.1.0.9.0 --startMP 204:233019 --initTime 2017-10-17T05:06:53 --startdatetime 2017-10-17T05:27:14 --delay 53 --endMP 204:156 --enddatetime 2017-10-17T06:04:23 --enforcementcount 0 &gt;&gt;%USERPROFILE%\Documents\GitHub\eaglep3-reporting\EC\2017-10-17-refined-times.txt</v>
      </c>
      <c r="AI20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{"issue":{"subject":"","project_id":79,"tracker_id":40,"status_id":1,"priority_id":2,"assigned_to_id":338,"start_date":"2017-10-17","description":"","custom_fields":[{"id":1,"name":"Subdivision","value":"EC"},{"id":4,"name":"Milepost","value":"0.0156"},{"id":17,"name":"Train ID","value":"108-17"},{"id":16,"name":"Locomotive ID","value":"4009"},{"id":130,"name":"Impact","value":""},{"id":150,"name":"Time of Event (Mountain Time)","value":"06:04:23"},{"id":151,"name":"Denver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4009 --day 2017-10-17</v>
      </c>
      <c r="AN20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-17T04:06:53-0600',mode:absolute,to:'2017-10-17T07:04:23-0600'))&amp;_a=(columns:!('Message%20ID',Summary),filters:!(),index:'emp_*',interval:auto,query:(query_string:(analyze_wildcard:!t,query:'%22rtdc.l.rtdc.4009%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651</v>
      </c>
      <c r="B21" s="7">
        <v>4036</v>
      </c>
      <c r="C21" s="21" t="s">
        <v>194</v>
      </c>
      <c r="D21" s="21" t="s">
        <v>362</v>
      </c>
      <c r="E21" s="13">
        <v>43025.195057870369</v>
      </c>
      <c r="F21" s="13">
        <v>43025.198125000003</v>
      </c>
      <c r="G21" s="7">
        <v>65</v>
      </c>
      <c r="H21" s="21" t="s">
        <v>860</v>
      </c>
      <c r="I21" s="13">
        <v>43025.223634259259</v>
      </c>
      <c r="J21" s="7">
        <v>0</v>
      </c>
      <c r="K21" s="89" t="str">
        <f>IF(ISEVEN(B21),(B21-1)&amp;"/"&amp;B21,B21&amp;"/"&amp;(B21+1))</f>
        <v>4035/4036</v>
      </c>
      <c r="L21" s="185" t="str">
        <f>VLOOKUP(A21,'Trips&amp;Operators'!$C$1:$G$99911,5,FALSE)</f>
        <v>LAMAR NEKESHA</v>
      </c>
      <c r="M21" s="6">
        <f>I21-F21</f>
        <v>2.5509259256068617E-2</v>
      </c>
      <c r="N21" s="7">
        <f>24*60*SUM($M21:$M21)</f>
        <v>36.733333328738809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-17T03:40:53-0600',mode:absolute,to:'2017-10-17T06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4.5999999999999999E-2</v>
      </c>
      <c r="Z21" s="204">
        <f>RIGHT(H21,LEN(H21)-4)/10000</f>
        <v>23.328399999999998</v>
      </c>
      <c r="AA21" s="204">
        <f>ABS(Z21-Y21)</f>
        <v>23.282399999999999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/stypes="app*4036*20171017*"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109-17 --locoid 4036 --swversion DE.1.0.9.0 --startMP 204:460 --initTime 2017-10-17T04:40:53 --startdatetime 2017-10-17T04:45:18 --delay 65 --endMP 204:233284 --enddatetime 2017-10-17T05:22:02 --enforcementcount 0 &gt;&gt;%USERPROFILE%\Documents\GitHub\eaglep3-reporting\EC\2017-10-17-refined-times.txt</v>
      </c>
      <c r="AI21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{"issue":{"subject":"","project_id":79,"tracker_id":40,"status_id":1,"priority_id":2,"assigned_to_id":338,"start_date":"2017-10-17","description":"","custom_fields":[{"id":1,"name":"Subdivision","value":"EC"},{"id":4,"name":"Milepost","value":"23.3284"},{"id":17,"name":"Train ID","value":"109-17"},{"id":16,"name":"Locomotive ID","value":"4036"},{"id":130,"name":"Impact","value":""},{"id":150,"name":"Time of Event (Mountain Time)","value":"05:22:02"},{"id":151,"name":"Denver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4036 --day 2017-10-17</v>
      </c>
      <c r="AN21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-17T03:40:53-0600',mode:absolute,to:'2017-10-17T06:22:02-0600'))&amp;_a=(columns:!('Message%20ID',Summary),filters:!(),index:'emp_*',interval:auto,query:(query_string:(analyze_wildcard:!t,query:'%22rtdc.l.rtdc.4036%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661</v>
      </c>
      <c r="B22" s="7">
        <v>4035</v>
      </c>
      <c r="C22" s="21" t="s">
        <v>194</v>
      </c>
      <c r="D22" s="21" t="s">
        <v>426</v>
      </c>
      <c r="E22" s="13">
        <v>43025.235532407409</v>
      </c>
      <c r="F22" s="13">
        <v>43025.238217592596</v>
      </c>
      <c r="G22" s="7">
        <v>52</v>
      </c>
      <c r="H22" s="21" t="s">
        <v>515</v>
      </c>
      <c r="I22" s="13">
        <v>43025.263912037037</v>
      </c>
      <c r="J22" s="7">
        <v>0</v>
      </c>
      <c r="K22" s="89" t="str">
        <f>IF(ISEVEN(B22),(B22-1)&amp;"/"&amp;B22,B22&amp;"/"&amp;(B22+1))</f>
        <v>4035/4036</v>
      </c>
      <c r="L22" s="185" t="str">
        <f>VLOOKUP(A22,'Trips&amp;Operators'!$C$1:$G$99911,5,FALSE)</f>
        <v>LAMAR NEKESHA</v>
      </c>
      <c r="M22" s="6">
        <f>I22-F22</f>
        <v>2.569444444088731E-2</v>
      </c>
      <c r="N22" s="7">
        <f>24*60*SUM($M22:$M22)</f>
        <v>36.999999994877726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-17T04:39:10-0600',mode:absolute,to:'2017-10-17T07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23.296500000000002</v>
      </c>
      <c r="Z22" s="204">
        <f>RIGHT(H22,LEN(H22)-4)/10000</f>
        <v>1.67E-2</v>
      </c>
      <c r="AA22" s="204">
        <f>ABS(Z22-Y22)</f>
        <v>23.279800000000002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/stypes="app*4035*20171017*"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110-17 --locoid 4035 --swversion DE.1.0.9.0 --startMP 204:232965 --initTime 2017-10-17T05:39:10 --startdatetime 2017-10-17T05:43:02 --delay 52 --endMP 204:167 --enddatetime 2017-10-17T06:20:02 --enforcementcount 0 &gt;&gt;%USERPROFILE%\Documents\GitHub\eaglep3-reporting\EC\2017-10-17-refined-times.txt</v>
      </c>
      <c r="AI22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{"issue":{"subject":"","project_id":79,"tracker_id":40,"status_id":1,"priority_id":2,"assigned_to_id":338,"start_date":"2017-10-17","description":"","custom_fields":[{"id":1,"name":"Subdivision","value":"EC"},{"id":4,"name":"Milepost","value":"0.0167"},{"id":17,"name":"Train ID","value":"110-17"},{"id":16,"name":"Locomotive ID","value":"4035"},{"id":130,"name":"Impact","value":""},{"id":150,"name":"Time of Event (Mountain Time)","value":"06:20:02"},{"id":151,"name":"Denver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4035 --day 2017-10-17</v>
      </c>
      <c r="AN22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-17T04:39:10-0600',mode:absolute,to:'2017-10-17T07:20:02-0600'))&amp;_a=(columns:!('Message%20ID',Summary),filters:!(),index:'emp_*',interval:auto,query:(query_string:(analyze_wildcard:!t,query:'%22rtdc.l.rtdc.4035%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653</v>
      </c>
      <c r="B23" s="7">
        <v>4016</v>
      </c>
      <c r="C23" s="21" t="s">
        <v>194</v>
      </c>
      <c r="D23" s="21" t="s">
        <v>389</v>
      </c>
      <c r="E23" s="13">
        <v>43025.203240740739</v>
      </c>
      <c r="F23" s="13">
        <v>43025.209849537037</v>
      </c>
      <c r="G23" s="7">
        <v>44</v>
      </c>
      <c r="H23" s="21" t="s">
        <v>430</v>
      </c>
      <c r="I23" s="13">
        <v>43025.233634259261</v>
      </c>
      <c r="J23" s="7">
        <v>0</v>
      </c>
      <c r="K23" s="89" t="str">
        <f>IF(ISEVEN(B23),(B23-1)&amp;"/"&amp;B23,B23&amp;"/"&amp;(B23+1))</f>
        <v>4015/4016</v>
      </c>
      <c r="L23" s="185" t="str">
        <f>VLOOKUP(A23,'Trips&amp;Operators'!$C$1:$G$99911,5,FALSE)</f>
        <v>YORK EDGAR</v>
      </c>
      <c r="M23" s="6">
        <f>I23-F23</f>
        <v>2.3784722223354038E-2</v>
      </c>
      <c r="N23" s="7">
        <f>24*60*SUM($M23:$M23)</f>
        <v>34.250000001629815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-17T03:52:40-0600',mode:absolute,to:'2017-10-17T06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4.6699999999999998E-2</v>
      </c>
      <c r="Z23" s="204">
        <f>RIGHT(H23,LEN(H23)-4)/10000</f>
        <v>23.328900000000001</v>
      </c>
      <c r="AA23" s="204">
        <f>ABS(Z23-Y23)</f>
        <v>23.2822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/stypes="app*4016*20171017*"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111-17 --locoid 4016 --swversion DE.1.0.9.0 --startMP 204:467 --initTime 2017-10-17T04:52:40 --startdatetime 2017-10-17T05:02:11 --delay 44 --endMP 204:233289 --enddatetime 2017-10-17T05:36:26 --enforcementcount 0 &gt;&gt;%USERPROFILE%\Documents\GitHub\eaglep3-reporting\EC\2017-10-17-refined-times.txt</v>
      </c>
      <c r="AI23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{"issue":{"subject":"","project_id":79,"tracker_id":40,"status_id":1,"priority_id":2,"assigned_to_id":338,"start_date":"2017-10-17","description":"","custom_fields":[{"id":1,"name":"Subdivision","value":"EC"},{"id":4,"name":"Milepost","value":"23.3289"},{"id":17,"name":"Train ID","value":"111-17"},{"id":16,"name":"Locomotive ID","value":"4016"},{"id":130,"name":"Impact","value":""},{"id":150,"name":"Time of Event (Mountain Time)","value":"05:36:26"},{"id":151,"name":"Denver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4016 --day 2017-10-17</v>
      </c>
      <c r="AN23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-17T03:52:40-0600',mode:absolute,to:'2017-10-17T06:36:26-0600'))&amp;_a=(columns:!('Message%20ID',Summary),filters:!(),index:'emp_*',interval:auto,query:(query_string:(analyze_wildcard:!t,query:'%22rtdc.l.rtdc.4016%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660</v>
      </c>
      <c r="B24" s="7">
        <v>4015</v>
      </c>
      <c r="C24" s="21" t="s">
        <v>194</v>
      </c>
      <c r="D24" s="21" t="s">
        <v>431</v>
      </c>
      <c r="E24" s="13">
        <v>43025.234606481485</v>
      </c>
      <c r="F24" s="13">
        <v>43025.248136574075</v>
      </c>
      <c r="G24" s="7">
        <v>43</v>
      </c>
      <c r="H24" s="21" t="s">
        <v>373</v>
      </c>
      <c r="I24" s="13">
        <v>43025.274375000001</v>
      </c>
      <c r="J24" s="7">
        <v>0</v>
      </c>
      <c r="K24" s="89" t="str">
        <f>IF(ISEVEN(B24),(B24-1)&amp;"/"&amp;B24,B24&amp;"/"&amp;(B24+1))</f>
        <v>4015/4016</v>
      </c>
      <c r="L24" s="185" t="str">
        <f>VLOOKUP(A24,'Trips&amp;Operators'!$C$1:$G$99911,5,FALSE)</f>
        <v>YORK EDGAR</v>
      </c>
      <c r="M24" s="6">
        <f>I24-F24</f>
        <v>2.6238425925839692E-2</v>
      </c>
      <c r="N24" s="7">
        <f>24*60*SUM($M24:$M24)</f>
        <v>37.783333333209157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-17T04:37:50-0600',mode:absolute,to:'2017-10-17T07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23.2987</v>
      </c>
      <c r="Z24" s="204">
        <f>RIGHT(H24,LEN(H24)-4)/10000</f>
        <v>1.54E-2</v>
      </c>
      <c r="AA24" s="204">
        <f>ABS(Z24-Y24)</f>
        <v>23.283300000000001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/stypes="app*4015*20171017*"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112-17 --locoid 4015 --swversion DE.1.0.9.0 --startMP 204:232987 --initTime 2017-10-17T05:37:50 --startdatetime 2017-10-17T05:57:19 --delay 43 --endMP 204:154 --enddatetime 2017-10-17T06:35:06 --enforcementcount 0 &gt;&gt;%USERPROFILE%\Documents\GitHub\eaglep3-reporting\EC\2017-10-17-refined-times.txt</v>
      </c>
      <c r="AI24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{"issue":{"subject":"","project_id":79,"tracker_id":40,"status_id":1,"priority_id":2,"assigned_to_id":338,"start_date":"2017-10-17","description":"","custom_fields":[{"id":1,"name":"Subdivision","value":"EC"},{"id":4,"name":"Milepost","value":"0.0154"},{"id":17,"name":"Train ID","value":"112-17"},{"id":16,"name":"Locomotive ID","value":"4015"},{"id":130,"name":"Impact","value":""},{"id":150,"name":"Time of Event (Mountain Time)","value":"06:35:06"},{"id":151,"name":"Denver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4015 --day 2017-10-17</v>
      </c>
      <c r="AN24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-17T04:37:50-0600',mode:absolute,to:'2017-10-17T07:35:06-0600'))&amp;_a=(columns:!('Message%20ID',Summary),filters:!(),index:'emp_*',interval:auto,query:(query_string:(analyze_wildcard:!t,query:'%22rtdc.l.rtdc.4015%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656</v>
      </c>
      <c r="B25" s="7">
        <v>4066</v>
      </c>
      <c r="C25" s="21" t="s">
        <v>194</v>
      </c>
      <c r="D25" s="21" t="s">
        <v>428</v>
      </c>
      <c r="E25" s="13">
        <v>43025.213923611111</v>
      </c>
      <c r="F25" s="13">
        <v>43025.218923611108</v>
      </c>
      <c r="G25" s="7">
        <v>68</v>
      </c>
      <c r="H25" s="21" t="s">
        <v>858</v>
      </c>
      <c r="I25" s="13">
        <v>43025.244004629632</v>
      </c>
      <c r="J25" s="7">
        <v>0</v>
      </c>
      <c r="K25" s="89" t="str">
        <f>IF(ISEVEN(B25),(B25-1)&amp;"/"&amp;B25,B25&amp;"/"&amp;(B25+1))</f>
        <v>4065/4066</v>
      </c>
      <c r="L25" s="185" t="str">
        <f>VLOOKUP(A25,'Trips&amp;Operators'!$C$1:$G$99911,5,FALSE)</f>
        <v>YANAI IAN</v>
      </c>
      <c r="M25" s="6">
        <f>I25-F25</f>
        <v>2.5081018524360843E-2</v>
      </c>
      <c r="N25" s="7">
        <f>24*60*SUM($M25:$M25)</f>
        <v>36.116666675079614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-17T04:08:03-0600',mode:absolute,to:'2017-10-17T06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4.6199999999999998E-2</v>
      </c>
      <c r="Z25" s="204">
        <f>RIGHT(H25,LEN(H25)-4)/10000</f>
        <v>23.328600000000002</v>
      </c>
      <c r="AA25" s="204">
        <f>ABS(Z25-Y25)</f>
        <v>23.282400000000003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/stypes="app*4066*20171017*"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113-17 --locoid 4066 --swversion DE.1.0.9.0 --startMP 204:462 --initTime 2017-10-17T05:08:03 --startdatetime 2017-10-17T05:15:15 --delay 68 --endMP 204:233286 --enddatetime 2017-10-17T05:51:22 --enforcementcount 0 &gt;&gt;%USERPROFILE%\Documents\GitHub\eaglep3-reporting\EC\2017-10-17-refined-times.txt</v>
      </c>
      <c r="AI2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{"issue":{"subject":"","project_id":79,"tracker_id":40,"status_id":1,"priority_id":2,"assigned_to_id":338,"start_date":"2017-10-17","description":"","custom_fields":[{"id":1,"name":"Subdivision","value":"EC"},{"id":4,"name":"Milepost","value":"23.3286"},{"id":17,"name":"Train ID","value":"113-17"},{"id":16,"name":"Locomotive ID","value":"4066"},{"id":130,"name":"Impact","value":""},{"id":150,"name":"Time of Event (Mountain Time)","value":"05:51:22"},{"id":151,"name":"Denver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4066 --day 2017-10-17</v>
      </c>
      <c r="AN2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-17T04:08:03-0600',mode:absolute,to:'2017-10-17T06:51:22-0600'))&amp;_a=(columns:!('Message%20ID',Summary),filters:!(),index:'emp_*',interval:auto,query:(query_string:(analyze_wildcard:!t,query:'%22rtdc.l.rtdc.4066%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666</v>
      </c>
      <c r="B26" s="7">
        <v>4065</v>
      </c>
      <c r="C26" s="21" t="s">
        <v>194</v>
      </c>
      <c r="D26" s="21" t="s">
        <v>483</v>
      </c>
      <c r="E26" s="13">
        <v>43025.245185185187</v>
      </c>
      <c r="F26" s="13">
        <v>43025.258506944447</v>
      </c>
      <c r="G26" s="7">
        <v>66</v>
      </c>
      <c r="H26" s="21" t="s">
        <v>339</v>
      </c>
      <c r="I26" s="13">
        <v>43025.284756944442</v>
      </c>
      <c r="J26" s="7">
        <v>0</v>
      </c>
      <c r="K26" s="89" t="str">
        <f>IF(ISEVEN(B26),(B26-1)&amp;"/"&amp;B26,B26&amp;"/"&amp;(B26+1))</f>
        <v>4065/4066</v>
      </c>
      <c r="L26" s="185" t="str">
        <f>VLOOKUP(A26,'Trips&amp;Operators'!$C$1:$G$99911,5,FALSE)</f>
        <v>YANAI IAN</v>
      </c>
      <c r="M26" s="6">
        <f>I26-F26</f>
        <v>2.6249999995343387E-2</v>
      </c>
      <c r="N26" s="7">
        <f>24*60*SUM($M26:$M26)</f>
        <v>37.799999993294477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-17T04:53:04-0600',mode:absolute,to:'2017-10-17T07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23.296900000000001</v>
      </c>
      <c r="Z26" s="204">
        <f>RIGHT(H26,LEN(H26)-4)/10000</f>
        <v>1.47E-2</v>
      </c>
      <c r="AA26" s="204">
        <f>ABS(Z26-Y26)</f>
        <v>23.2822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/stypes="app*4065*20171017*"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114-17 --locoid 4065 --swversion DE.1.0.9.0 --startMP 204:232969 --initTime 2017-10-17T05:53:04 --startdatetime 2017-10-17T06:12:15 --delay 66 --endMP 204:147 --enddatetime 2017-10-17T06:50:03 --enforcementcount 0 &gt;&gt;%USERPROFILE%\Documents\GitHub\eaglep3-reporting\EC\2017-10-17-refined-times.txt</v>
      </c>
      <c r="AI2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{"issue":{"subject":"","project_id":79,"tracker_id":40,"status_id":1,"priority_id":2,"assigned_to_id":338,"start_date":"2017-10-17","description":"","custom_fields":[{"id":1,"name":"Subdivision","value":"EC"},{"id":4,"name":"Milepost","value":"0.0147"},{"id":17,"name":"Train ID","value":"114-17"},{"id":16,"name":"Locomotive ID","value":"4065"},{"id":130,"name":"Impact","value":""},{"id":150,"name":"Time of Event (Mountain Time)","value":"06:50:03"},{"id":151,"name":"Denver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4065 --day 2017-10-17</v>
      </c>
      <c r="AN2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-17T04:53:04-0600',mode:absolute,to:'2017-10-17T07:50:03-0600'))&amp;_a=(columns:!('Message%20ID',Summary),filters:!(),index:'emp_*',interval:auto,query:(query_string:(analyze_wildcard:!t,query:'%22rtdc.l.rtdc.4065%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658</v>
      </c>
      <c r="B27" s="7">
        <v>4004</v>
      </c>
      <c r="C27" s="21" t="s">
        <v>194</v>
      </c>
      <c r="D27" s="21" t="s">
        <v>463</v>
      </c>
      <c r="E27" s="13">
        <v>43025.225358796299</v>
      </c>
      <c r="F27" s="13">
        <v>43025.229351851849</v>
      </c>
      <c r="G27" s="7">
        <v>65</v>
      </c>
      <c r="H27" s="21" t="s">
        <v>394</v>
      </c>
      <c r="I27" s="13">
        <v>43025.254918981482</v>
      </c>
      <c r="J27" s="7">
        <v>0</v>
      </c>
      <c r="K27" s="89" t="str">
        <f>IF(ISEVEN(B27),(B27-1)&amp;"/"&amp;B27,B27&amp;"/"&amp;(B27+1))</f>
        <v>4003/4004</v>
      </c>
      <c r="L27" s="185" t="str">
        <f>VLOOKUP(A27,'Trips&amp;Operators'!$C$1:$G$99911,5,FALSE)</f>
        <v>BONDS REYNALDO</v>
      </c>
      <c r="M27" s="6">
        <f>I27-F27</f>
        <v>2.5567129632690921E-2</v>
      </c>
      <c r="N27" s="7">
        <f>24*60*SUM($M27:$M27)</f>
        <v>36.816666671074927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-17T04:24:31-0600',mode:absolute,to:'2017-10-17T07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4.3999999999999997E-2</v>
      </c>
      <c r="Z27" s="204">
        <f>RIGHT(H27,LEN(H27)-4)/10000</f>
        <v>23.330200000000001</v>
      </c>
      <c r="AA27" s="204">
        <f>ABS(Z27-Y27)</f>
        <v>23.286200000000001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/stypes="app*4004*20171017*"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115-17 --locoid 4004 --swversion DE.1.0.9.0 --startMP 204:440 --initTime 2017-10-17T05:24:31 --startdatetime 2017-10-17T05:30:16 --delay 65 --endMP 204:233302 --enddatetime 2017-10-17T06:07:05 --enforcementcount 0 &gt;&gt;%USERPROFILE%\Documents\GitHub\eaglep3-reporting\EC\2017-10-17-refined-times.txt</v>
      </c>
      <c r="AI2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{"issue":{"subject":"","project_id":79,"tracker_id":40,"status_id":1,"priority_id":2,"assigned_to_id":338,"start_date":"2017-10-17","description":"","custom_fields":[{"id":1,"name":"Subdivision","value":"EC"},{"id":4,"name":"Milepost","value":"23.3302"},{"id":17,"name":"Train ID","value":"115-17"},{"id":16,"name":"Locomotive ID","value":"4004"},{"id":130,"name":"Impact","value":""},{"id":150,"name":"Time of Event (Mountain Time)","value":"06:07:05"},{"id":151,"name":"Denver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4004 --day 2017-10-17</v>
      </c>
      <c r="AN2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-17T04:24:31-0600',mode:absolute,to:'2017-10-17T07:07:05-0600'))&amp;_a=(columns:!('Message%20ID',Summary),filters:!(),index:'emp_*',interval:auto,query:(query_string:(analyze_wildcard:!t,query:'%22rtdc.l.rtdc.4004%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672</v>
      </c>
      <c r="B28" s="7">
        <v>4003</v>
      </c>
      <c r="C28" s="21" t="s">
        <v>194</v>
      </c>
      <c r="D28" s="21" t="s">
        <v>861</v>
      </c>
      <c r="E28" s="13">
        <v>43025.267743055556</v>
      </c>
      <c r="F28" s="13">
        <v>43025.269606481481</v>
      </c>
      <c r="G28" s="7">
        <v>89</v>
      </c>
      <c r="H28" s="21" t="s">
        <v>337</v>
      </c>
      <c r="I28" s="13">
        <v>43025.297106481485</v>
      </c>
      <c r="J28" s="7">
        <v>0</v>
      </c>
      <c r="K28" s="89" t="str">
        <f>IF(ISEVEN(B28),(B28-1)&amp;"/"&amp;B28,B28&amp;"/"&amp;(B28+1))</f>
        <v>4003/4004</v>
      </c>
      <c r="L28" s="185" t="str">
        <f>VLOOKUP(A28,'Trips&amp;Operators'!$C$1:$G$99911,5,FALSE)</f>
        <v>BONDS REYNALDO</v>
      </c>
      <c r="M28" s="6">
        <f>I28-F28</f>
        <v>2.7500000003783498E-2</v>
      </c>
      <c r="N28" s="7">
        <f>24*60*SUM($M28:$M28)</f>
        <v>39.600000005448237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-17T05:25:33-0600',mode:absolute,to:'2017-10-17T08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23.299299999999999</v>
      </c>
      <c r="Z28" s="204">
        <f>RIGHT(H28,LEN(H28)-4)/10000</f>
        <v>1.43E-2</v>
      </c>
      <c r="AA28" s="204">
        <f>ABS(Z28-Y28)</f>
        <v>23.285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/stypes="app*4003*20171017*"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116-17 --locoid 4003 --swversion DE.1.0.9.0 --startMP 204:232993 --initTime 2017-10-17T06:25:33 --startdatetime 2017-10-17T06:28:14 --delay 89 --endMP 204:143 --enddatetime 2017-10-17T07:07:50 --enforcementcount 0 &gt;&gt;%USERPROFILE%\Documents\GitHub\eaglep3-reporting\EC\2017-10-17-refined-times.txt</v>
      </c>
      <c r="AI28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{"issue":{"subject":"","project_id":79,"tracker_id":40,"status_id":1,"priority_id":2,"assigned_to_id":338,"start_date":"2017-10-17","description":"","custom_fields":[{"id":1,"name":"Subdivision","value":"EC"},{"id":4,"name":"Milepost","value":"0.0143"},{"id":17,"name":"Train ID","value":"116-17"},{"id":16,"name":"Locomotive ID","value":"4003"},{"id":130,"name":"Impact","value":""},{"id":150,"name":"Time of Event (Mountain Time)","value":"07:07:50"},{"id":151,"name":"Denver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4003 --day 2017-10-17</v>
      </c>
      <c r="AN28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-17T05:25:33-0600',mode:absolute,to:'2017-10-17T08:07:50-0600'))&amp;_a=(columns:!('Message%20ID',Summary),filters:!(),index:'emp_*',interval:auto,query:(query_string:(analyze_wildcard:!t,query:'%22rtdc.l.rtdc.4003%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662</v>
      </c>
      <c r="B29" s="7">
        <v>4014</v>
      </c>
      <c r="C29" s="21" t="s">
        <v>194</v>
      </c>
      <c r="D29" s="21" t="s">
        <v>558</v>
      </c>
      <c r="E29" s="13">
        <v>43025.235995370371</v>
      </c>
      <c r="F29" s="13">
        <v>43025.239953703705</v>
      </c>
      <c r="G29" s="7">
        <v>65</v>
      </c>
      <c r="H29" s="21" t="s">
        <v>576</v>
      </c>
      <c r="I29" s="13">
        <v>43025.265509259261</v>
      </c>
      <c r="J29" s="7">
        <v>0</v>
      </c>
      <c r="K29" s="89" t="str">
        <f>IF(ISEVEN(B29),(B29-1)&amp;"/"&amp;B29,B29&amp;"/"&amp;(B29+1))</f>
        <v>4013/4014</v>
      </c>
      <c r="L29" s="185" t="str">
        <f>VLOOKUP(A29,'Trips&amp;Operators'!$C$1:$G$99911,5,FALSE)</f>
        <v>MACDONALD THOMAS</v>
      </c>
      <c r="M29" s="6">
        <f>I29-F29</f>
        <v>2.5555555555911269E-2</v>
      </c>
      <c r="N29" s="7">
        <f>24*60*SUM($M29:$M29)</f>
        <v>36.800000000512227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-17T04:39:50-0600',mode:absolute,to:'2017-10-17T07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4.6899999999999997E-2</v>
      </c>
      <c r="Z29" s="204">
        <f>RIGHT(H29,LEN(H29)-4)/10000</f>
        <v>23.327999999999999</v>
      </c>
      <c r="AA29" s="204">
        <f>ABS(Z29-Y29)</f>
        <v>23.281099999999999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/stypes="app*4014*20171017*"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117-17 --locoid 4014 --swversion DE.1.0.9.0 --startMP 204:469 --initTime 2017-10-17T05:39:50 --startdatetime 2017-10-17T05:45:32 --delay 65 --endMP 204:233280 --enddatetime 2017-10-17T06:22:20 --enforcementcount 0 &gt;&gt;%USERPROFILE%\Documents\GitHub\eaglep3-reporting\EC\2017-10-17-refined-times.txt</v>
      </c>
      <c r="AI29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{"issue":{"subject":"","project_id":79,"tracker_id":40,"status_id":1,"priority_id":2,"assigned_to_id":338,"start_date":"2017-10-17","description":"","custom_fields":[{"id":1,"name":"Subdivision","value":"EC"},{"id":4,"name":"Milepost","value":"23.328"},{"id":17,"name":"Train ID","value":"117-17"},{"id":16,"name":"Locomotive ID","value":"4014"},{"id":130,"name":"Impact","value":""},{"id":150,"name":"Time of Event (Mountain Time)","value":"06:22:20"},{"id":151,"name":"Denver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4014 --day 2017-10-17</v>
      </c>
      <c r="AN29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-17T04:39:50-0600',mode:absolute,to:'2017-10-17T07:22:20-0600'))&amp;_a=(columns:!('Message%20ID',Summary),filters:!(),index:'emp_*',interval:auto,query:(query_string:(analyze_wildcard:!t,query:'%22rtdc.l.rtdc.4014%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675</v>
      </c>
      <c r="B30" s="7">
        <v>4013</v>
      </c>
      <c r="C30" s="21" t="s">
        <v>194</v>
      </c>
      <c r="D30" s="21" t="s">
        <v>574</v>
      </c>
      <c r="E30" s="13">
        <v>43025.277141203704</v>
      </c>
      <c r="F30" s="13">
        <v>43025.279513888891</v>
      </c>
      <c r="G30" s="7">
        <v>78</v>
      </c>
      <c r="H30" s="21" t="s">
        <v>515</v>
      </c>
      <c r="I30" s="13">
        <v>43025.306597222225</v>
      </c>
      <c r="J30" s="7">
        <v>0</v>
      </c>
      <c r="K30" s="89" t="str">
        <f>IF(ISEVEN(B30),(B30-1)&amp;"/"&amp;B30,B30&amp;"/"&amp;(B30+1))</f>
        <v>4013/4014</v>
      </c>
      <c r="L30" s="185" t="str">
        <f>VLOOKUP(A30,'Trips&amp;Operators'!$C$1:$G$99911,5,FALSE)</f>
        <v>MACDONALD THOMAS</v>
      </c>
      <c r="M30" s="6">
        <f>I30-F30</f>
        <v>2.7083333334303461E-2</v>
      </c>
      <c r="N30" s="7">
        <f>24*60*SUM($M30:$M30)</f>
        <v>39.000000001396984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-17T05:39:05-0600',mode:absolute,to:'2017-10-17T08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23.297999999999998</v>
      </c>
      <c r="Z30" s="204">
        <f>RIGHT(H30,LEN(H30)-4)/10000</f>
        <v>1.67E-2</v>
      </c>
      <c r="AA30" s="204">
        <f>ABS(Z30-Y30)</f>
        <v>23.281299999999998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/stypes="app*4013*20171017*"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118-17 --locoid 4013 --swversion DE.1.0.9.0 --startMP 204:232980 --initTime 2017-10-17T06:39:05 --startdatetime 2017-10-17T06:42:30 --delay 78 --endMP 204:167 --enddatetime 2017-10-17T07:21:30 --enforcementcount 0 &gt;&gt;%USERPROFILE%\Documents\GitHub\eaglep3-reporting\EC\2017-10-17-refined-times.txt</v>
      </c>
      <c r="AI30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{"issue":{"subject":"","project_id":79,"tracker_id":40,"status_id":1,"priority_id":2,"assigned_to_id":338,"start_date":"2017-10-17","description":"","custom_fields":[{"id":1,"name":"Subdivision","value":"EC"},{"id":4,"name":"Milepost","value":"0.0167"},{"id":17,"name":"Train ID","value":"118-17"},{"id":16,"name":"Locomotive ID","value":"4013"},{"id":130,"name":"Impact","value":""},{"id":150,"name":"Time of Event (Mountain Time)","value":"07:21:30"},{"id":151,"name":"Denver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4013 --day 2017-10-17</v>
      </c>
      <c r="AN30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-17T05:39:05-0600',mode:absolute,to:'2017-10-17T08:21:30-0600'))&amp;_a=(columns:!('Message%20ID',Summary),filters:!(),index:'emp_*',interval:auto,query:(query_string:(analyze_wildcard:!t,query:'%22rtdc.l.rtdc.4013%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668</v>
      </c>
      <c r="B31" s="7">
        <v>4050</v>
      </c>
      <c r="C31" s="21" t="s">
        <v>194</v>
      </c>
      <c r="D31" s="21" t="s">
        <v>334</v>
      </c>
      <c r="E31" s="13">
        <v>43025.247442129628</v>
      </c>
      <c r="F31" s="13">
        <v>43025.250254629631</v>
      </c>
      <c r="G31" s="7">
        <v>55</v>
      </c>
      <c r="H31" s="21" t="s">
        <v>578</v>
      </c>
      <c r="I31" s="13">
        <v>43025.276585648149</v>
      </c>
      <c r="J31" s="7">
        <v>0</v>
      </c>
      <c r="K31" s="89" t="str">
        <f>IF(ISEVEN(B31),(B31-1)&amp;"/"&amp;B31,B31&amp;"/"&amp;(B31+1))</f>
        <v>4049/4050</v>
      </c>
      <c r="L31" s="185" t="str">
        <f>VLOOKUP(A31,'Trips&amp;Operators'!$C$1:$G$99911,5,FALSE)</f>
        <v>BEAM ROSS</v>
      </c>
      <c r="M31" s="6">
        <f>I31-F31</f>
        <v>2.6331018518249039E-2</v>
      </c>
      <c r="N31" s="7">
        <f>24*60*SUM($M31:$M31)</f>
        <v>37.916666666278616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-17T04:56:19-0600',mode:absolute,to:'2017-10-17T07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4.4600000000000001E-2</v>
      </c>
      <c r="Z31" s="204">
        <f>RIGHT(H31,LEN(H31)-4)/10000</f>
        <v>23.33</v>
      </c>
      <c r="AA31" s="204">
        <f>ABS(Z31-Y31)</f>
        <v>23.285399999999999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/stypes="app*4050*20171017*"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119-17 --locoid 4050 --swversion DE.1.0.9.0 --startMP 204:446 --initTime 2017-10-17T05:56:19 --startdatetime 2017-10-17T06:00:22 --delay 55 --endMP 204:233300 --enddatetime 2017-10-17T06:38:17 --enforcementcount 0 &gt;&gt;%USERPROFILE%\Documents\GitHub\eaglep3-reporting\EC\2017-10-17-refined-times.txt</v>
      </c>
      <c r="AI31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{"issue":{"subject":"","project_id":79,"tracker_id":40,"status_id":1,"priority_id":2,"assigned_to_id":338,"start_date":"2017-10-17","description":"","custom_fields":[{"id":1,"name":"Subdivision","value":"EC"},{"id":4,"name":"Milepost","value":"23.33"},{"id":17,"name":"Train ID","value":"119-17"},{"id":16,"name":"Locomotive ID","value":"4050"},{"id":130,"name":"Impact","value":""},{"id":150,"name":"Time of Event (Mountain Time)","value":"06:38:17"},{"id":151,"name":"Denver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4050 --day 2017-10-17</v>
      </c>
      <c r="AN31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-17T04:56:19-0600',mode:absolute,to:'2017-10-17T07:38:17-0600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676</v>
      </c>
      <c r="B32" s="7">
        <v>4049</v>
      </c>
      <c r="C32" s="21" t="s">
        <v>194</v>
      </c>
      <c r="D32" s="21" t="s">
        <v>557</v>
      </c>
      <c r="E32" s="13">
        <v>43025.283807870372</v>
      </c>
      <c r="F32" s="13">
        <v>43025.289756944447</v>
      </c>
      <c r="G32" s="7">
        <v>60</v>
      </c>
      <c r="H32" s="21" t="s">
        <v>488</v>
      </c>
      <c r="I32" s="13">
        <v>43025.31559027778</v>
      </c>
      <c r="J32" s="7">
        <v>0</v>
      </c>
      <c r="K32" s="89" t="str">
        <f>IF(ISEVEN(B32),(B32-1)&amp;"/"&amp;B32,B32&amp;"/"&amp;(B32+1))</f>
        <v>4049/4050</v>
      </c>
      <c r="L32" s="185" t="str">
        <f>VLOOKUP(A32,'Trips&amp;Operators'!$C$1:$G$99911,5,FALSE)</f>
        <v>BEAM ROSS</v>
      </c>
      <c r="M32" s="6">
        <f>I32-F32</f>
        <v>2.5833333333139308E-2</v>
      </c>
      <c r="N32" s="7">
        <f>24*60*SUM($M32:$M32)</f>
        <v>37.199999999720603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-17T05:48:41-0600',mode:absolute,to:'2017-10-17T08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23.299600000000002</v>
      </c>
      <c r="Z32" s="204">
        <f>RIGHT(H32,LEN(H32)-4)/10000</f>
        <v>1.41E-2</v>
      </c>
      <c r="AA32" s="204">
        <f>ABS(Z32-Y32)</f>
        <v>23.285500000000003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/stypes="app*4049*20171017*"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120-17 --locoid 4049 --swversion DE.1.0.9.0 --startMP 204:232996 --initTime 2017-10-17T06:48:41 --startdatetime 2017-10-17T06:57:15 --delay 60 --endMP 204:141 --enddatetime 2017-10-17T07:34:27 --enforcementcount 0 &gt;&gt;%USERPROFILE%\Documents\GitHub\eaglep3-reporting\EC\2017-10-17-refined-times.txt</v>
      </c>
      <c r="AI32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{"issue":{"subject":"","project_id":79,"tracker_id":40,"status_id":1,"priority_id":2,"assigned_to_id":338,"start_date":"2017-10-17","description":"","custom_fields":[{"id":1,"name":"Subdivision","value":"EC"},{"id":4,"name":"Milepost","value":"0.0141"},{"id":17,"name":"Train ID","value":"120-17"},{"id":16,"name":"Locomotive ID","value":"4049"},{"id":130,"name":"Impact","value":""},{"id":150,"name":"Time of Event (Mountain Time)","value":"07:34:27"},{"id":151,"name":"Denver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4049 --day 2017-10-17</v>
      </c>
      <c r="AN32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-17T05:48:41-0600',mode:absolute,to:'2017-10-17T08:34:27-0600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609</v>
      </c>
      <c r="B33" s="7">
        <v>4010</v>
      </c>
      <c r="C33" s="21" t="s">
        <v>194</v>
      </c>
      <c r="D33" s="21" t="s">
        <v>334</v>
      </c>
      <c r="E33" s="13">
        <v>43025.254837962966</v>
      </c>
      <c r="F33" s="13">
        <v>43025.26059027778</v>
      </c>
      <c r="G33" s="7">
        <v>76</v>
      </c>
      <c r="H33" s="21" t="s">
        <v>862</v>
      </c>
      <c r="I33" s="13">
        <v>43025.284155092595</v>
      </c>
      <c r="J33" s="7">
        <v>0</v>
      </c>
      <c r="K33" s="89" t="str">
        <f>IF(ISEVEN(B33),(B33-1)&amp;"/"&amp;B33,B33&amp;"/"&amp;(B33+1))</f>
        <v>4009/4010</v>
      </c>
      <c r="L33" s="185" t="str">
        <f>VLOOKUP(A33,'Trips&amp;Operators'!$C$1:$G$99911,5,FALSE)</f>
        <v>LALONDE GREGORY</v>
      </c>
      <c r="M33" s="6">
        <f>I33-F33</f>
        <v>2.3564814815472346E-2</v>
      </c>
      <c r="N33" s="7">
        <f>24*60*SUM($M33:$M33)</f>
        <v>33.933333334280178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-17T05:06:58-0600',mode:absolute,to:'2017-10-17T07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4.4600000000000001E-2</v>
      </c>
      <c r="Z33" s="204">
        <f>RIGHT(H33,LEN(H33)-4)/10000</f>
        <v>23.3247</v>
      </c>
      <c r="AA33" s="204">
        <f>ABS(Z33-Y33)</f>
        <v>23.280100000000001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/stypes="app*4010*20171017*"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121-17 --locoid 4010 --swversion DE.1.0.9.0 --startMP 204:446 --initTime 2017-10-17T06:06:58 --startdatetime 2017-10-17T06:15:15 --delay 76 --endMP 204:233247 --enddatetime 2017-10-17T06:49:11 --enforcementcount 0 &gt;&gt;%USERPROFILE%\Documents\GitHub\eaglep3-reporting\EC\2017-10-17-refined-times.txt</v>
      </c>
      <c r="AI33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{"issue":{"subject":"","project_id":79,"tracker_id":40,"status_id":1,"priority_id":2,"assigned_to_id":338,"start_date":"2017-10-17","description":"","custom_fields":[{"id":1,"name":"Subdivision","value":"EC"},{"id":4,"name":"Milepost","value":"23.3247"},{"id":17,"name":"Train ID","value":"121-17"},{"id":16,"name":"Locomotive ID","value":"4010"},{"id":130,"name":"Impact","value":""},{"id":150,"name":"Time of Event (Mountain Time)","value":"06:49:11"},{"id":151,"name":"Denver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4010 --day 2017-10-17</v>
      </c>
      <c r="AN33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-17T05:06:58-0600',mode:absolute,to:'2017-10-17T07:49:11-0600'))&amp;_a=(columns:!('Message%20ID',Summary),filters:!(),index:'emp_*',interval:auto,query:(query_string:(analyze_wildcard:!t,query:'%22rtdc.l.rtdc.4010%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610</v>
      </c>
      <c r="B34" s="7">
        <v>4009</v>
      </c>
      <c r="C34" s="21" t="s">
        <v>194</v>
      </c>
      <c r="D34" s="21" t="s">
        <v>863</v>
      </c>
      <c r="E34" s="13">
        <v>43025.286087962966</v>
      </c>
      <c r="F34" s="13">
        <v>43025.300162037034</v>
      </c>
      <c r="G34" s="7">
        <v>81</v>
      </c>
      <c r="H34" s="21" t="s">
        <v>363</v>
      </c>
      <c r="I34" s="13">
        <v>43025.326458333337</v>
      </c>
      <c r="J34" s="7">
        <v>0</v>
      </c>
      <c r="K34" s="89" t="str">
        <f>IF(ISEVEN(B34),(B34-1)&amp;"/"&amp;B34,B34&amp;"/"&amp;(B34+1))</f>
        <v>4009/4010</v>
      </c>
      <c r="L34" s="185" t="str">
        <f>VLOOKUP(A34,'Trips&amp;Operators'!$C$1:$G$99911,5,FALSE)</f>
        <v>LALONDE GREGORY</v>
      </c>
      <c r="M34" s="6">
        <f>I34-F34</f>
        <v>2.6296296302461997E-2</v>
      </c>
      <c r="N34" s="7">
        <f>24*60*SUM($M34:$M34)</f>
        <v>37.866666675545275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-17T05:51:58-0600',mode:absolute,to:'2017-10-17T08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23.291499999999999</v>
      </c>
      <c r="Z34" s="204">
        <f>RIGHT(H34,LEN(H34)-4)/10000</f>
        <v>1.5800000000000002E-2</v>
      </c>
      <c r="AA34" s="204">
        <f>ABS(Z34-Y34)</f>
        <v>23.275700000000001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/stypes="app*4009*20171017*" /stext=" 13:.+((SYSTEM_STATE.+slice.+state.+changed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122-17 --locoid 4009 --swversion DE.1.0.9.0 --startMP 204:232915 --initTime 2017-10-17T06:51:58 --startdatetime 2017-10-17T07:12:14 --delay 81 --endMP 204:158 --enddatetime 2017-10-17T07:50:06 --enforcementcount 0 &gt;&gt;%USERPROFILE%\Documents\GitHub\eaglep3-reporting\EC\2017-10-17-refined-times.txt</v>
      </c>
      <c r="AI34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ID","value":"122-17"},{"id":16,"name":"Locomotive ID","value":"4009"},{"id":130,"name":"Impact","value":""},{"id":150,"name":"Time of Event (Mountain Time)","value":"07:50:06"},{"id":151,"name":"Denver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4009 --day 2017-10-17</v>
      </c>
      <c r="AN34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-17T05:51:58-0600',mode:absolute,to:'2017-10-17T08:50:06-0600'))&amp;_a=(columns:!('Message%20ID',Summary),filters:!(),index:'emp_*',interval:auto,query:(query_string:(analyze_wildcard:!t,query:'%22rtdc.l.rtdc.4009%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670</v>
      </c>
      <c r="B35" s="7">
        <v>4036</v>
      </c>
      <c r="C35" s="21" t="s">
        <v>194</v>
      </c>
      <c r="D35" s="21" t="s">
        <v>371</v>
      </c>
      <c r="E35" s="13">
        <v>43025.266817129632</v>
      </c>
      <c r="F35" s="13">
        <v>43025.271041666667</v>
      </c>
      <c r="G35" s="7">
        <v>59</v>
      </c>
      <c r="H35" s="21" t="s">
        <v>559</v>
      </c>
      <c r="I35" s="13">
        <v>43025.295555555553</v>
      </c>
      <c r="J35" s="7">
        <v>0</v>
      </c>
      <c r="K35" s="89" t="str">
        <f>IF(ISEVEN(B35),(B35-1)&amp;"/"&amp;B35,B35&amp;"/"&amp;(B35+1))</f>
        <v>4035/4036</v>
      </c>
      <c r="L35" s="185" t="str">
        <f>VLOOKUP(A35,'Trips&amp;Operators'!$C$1:$G$99911,5,FALSE)</f>
        <v>LAMAR NEKESHA</v>
      </c>
      <c r="M35" s="6">
        <f>I35-F35</f>
        <v>2.4513888885849155E-2</v>
      </c>
      <c r="N35" s="7">
        <f>24*60*SUM($M35:$M35)</f>
        <v>35.299999995622784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-17T05:24:13-0600',mode:absolute,to:'2017-10-17T08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4.7100000000000003E-2</v>
      </c>
      <c r="Z35" s="204">
        <f>RIGHT(H35,LEN(H35)-4)/10000</f>
        <v>23.329799999999999</v>
      </c>
      <c r="AA35" s="204">
        <f>ABS(Z35-Y35)</f>
        <v>23.282699999999998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/stypes="app*4036*20171017*"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123-17 --locoid 4036 --swversion DE.1.0.9.0 --startMP 204:471 --initTime 2017-10-17T06:24:13 --startdatetime 2017-10-17T06:30:18 --delay 59 --endMP 204:233298 --enddatetime 2017-10-17T07:05:36 --enforcementcount 0 &gt;&gt;%USERPROFILE%\Documents\GitHub\eaglep3-reporting\EC\2017-10-17-refined-times.txt</v>
      </c>
      <c r="AI3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{"issue":{"subject":"","project_id":79,"tracker_id":40,"status_id":1,"priority_id":2,"assigned_to_id":338,"start_date":"2017-10-17","description":"","custom_fields":[{"id":1,"name":"Subdivision","value":"EC"},{"id":4,"name":"Milepost","value":"23.3298"},{"id":17,"name":"Train ID","value":"123-17"},{"id":16,"name":"Locomotive ID","value":"4036"},{"id":130,"name":"Impact","value":""},{"id":150,"name":"Time of Event (Mountain Time)","value":"07:05:36"},{"id":151,"name":"Denver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4036 --day 2017-10-17</v>
      </c>
      <c r="AN3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-17T05:24:13-0600',mode:absolute,to:'2017-10-17T08:05:36-0600'))&amp;_a=(columns:!('Message%20ID',Summary),filters:!(),index:'emp_*',interval:auto,query:(query_string:(analyze_wildcard:!t,query:'%22rtdc.l.rtdc.4036%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612</v>
      </c>
      <c r="B36" s="7">
        <v>4035</v>
      </c>
      <c r="C36" s="21" t="s">
        <v>194</v>
      </c>
      <c r="D36" s="21" t="s">
        <v>864</v>
      </c>
      <c r="E36" s="13">
        <v>43025.308506944442</v>
      </c>
      <c r="F36" s="13">
        <v>43025.310613425929</v>
      </c>
      <c r="G36" s="7">
        <v>66</v>
      </c>
      <c r="H36" s="21" t="s">
        <v>465</v>
      </c>
      <c r="I36" s="13">
        <v>43025.337581018517</v>
      </c>
      <c r="J36" s="7">
        <v>0</v>
      </c>
      <c r="K36" s="89" t="str">
        <f>IF(ISEVEN(B36),(B36-1)&amp;"/"&amp;B36,B36&amp;"/"&amp;(B36+1))</f>
        <v>4035/4036</v>
      </c>
      <c r="L36" s="185" t="str">
        <f>VLOOKUP(A36,'Trips&amp;Operators'!$C$1:$G$99911,5,FALSE)</f>
        <v>LAMAR NEKESHA</v>
      </c>
      <c r="M36" s="6">
        <f>I36-F36</f>
        <v>2.696759258833481E-2</v>
      </c>
      <c r="N36" s="7">
        <f>24*60*SUM($M36:$M36)</f>
        <v>38.833333327202126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-17T06:24:15-0600',mode:absolute,to:'2017-10-17T09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23.2974</v>
      </c>
      <c r="Z36" s="204">
        <f>RIGHT(H36,LEN(H36)-4)/10000</f>
        <v>1.6899999999999998E-2</v>
      </c>
      <c r="AA36" s="204">
        <f>ABS(Z36-Y36)</f>
        <v>23.2805</v>
      </c>
      <c r="AB36" s="54" t="str">
        <f>VLOOKUP(A36,Enforcements!$C$7:$K$11,8,0)</f>
        <v>Bulletin (2)</v>
      </c>
      <c r="AC36" s="51" t="str">
        <f>VLOOKUP(A36,Enforcements!$C$7:$E$11,3,0)</f>
        <v>GRADE CROSSING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/stypes="app*4035*20171017*"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124-17 --locoid 4035 --swversion DE.1.0.9.0 --startMP 204:232974 --initTime 2017-10-17T07:24:15 --startdatetime 2017-10-17T07:27:17 --delay 66 --endMP 204:169 --enddatetime 2017-10-17T08:06:07 --enforcementcount 0 &gt;&gt;%USERPROFILE%\Documents\GitHub\eaglep3-reporting\EC\2017-10-17-refined-times.txt</v>
      </c>
      <c r="AI3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{"issue":{"subject":"","project_id":79,"tracker_id":40,"status_id":1,"priority_id":2,"assigned_to_id":338,"start_date":"2017-10-17","description":"","custom_fields":[{"id":1,"name":"Subdivision","value":"EC"},{"id":4,"name":"Milepost","value":"0.0169"},{"id":17,"name":"Train ID","value":"124-17"},{"id":16,"name":"Locomotive ID","value":"4035"},{"id":130,"name":"Impact","value":""},{"id":150,"name":"Time of Event (Mountain Time)","value":"08:06:07"},{"id":151,"name":"Denver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4035 --day 2017-10-17</v>
      </c>
      <c r="AN3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-17T06:24:15-0600',mode:absolute,to:'2017-10-17T09:06:07-0600'))&amp;_a=(columns:!('Message%20ID',Summary),filters:!(),index:'emp_*',interval:auto,query:(query_string:(analyze_wildcard:!t,query:'%22rtdc.l.rtdc.4035%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674</v>
      </c>
      <c r="B37" s="7">
        <v>4016</v>
      </c>
      <c r="C37" s="21" t="s">
        <v>194</v>
      </c>
      <c r="D37" s="21" t="s">
        <v>378</v>
      </c>
      <c r="E37" s="13">
        <v>43025.275567129633</v>
      </c>
      <c r="F37" s="13">
        <v>43025.281446759262</v>
      </c>
      <c r="G37" s="7">
        <v>44</v>
      </c>
      <c r="H37" s="21" t="s">
        <v>560</v>
      </c>
      <c r="I37" s="13">
        <v>43025.3049537037</v>
      </c>
      <c r="J37" s="7">
        <v>0</v>
      </c>
      <c r="K37" s="89" t="str">
        <f>IF(ISEVEN(B37),(B37-1)&amp;"/"&amp;B37,B37&amp;"/"&amp;(B37+1))</f>
        <v>4015/4016</v>
      </c>
      <c r="L37" s="185" t="str">
        <f>VLOOKUP(A37,'Trips&amp;Operators'!$C$1:$G$99911,5,FALSE)</f>
        <v>YORK EDGAR</v>
      </c>
      <c r="M37" s="6">
        <f>I37-F37</f>
        <v>2.3506944438850041E-2</v>
      </c>
      <c r="N37" s="7">
        <f>24*60*SUM($M37:$M37)</f>
        <v>33.84999999194406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-17T05:36:49-0600',mode:absolute,to:'2017-10-17T08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4.5699999999999998E-2</v>
      </c>
      <c r="Z37" s="204">
        <f>RIGHT(H37,LEN(H37)-4)/10000</f>
        <v>23.328800000000001</v>
      </c>
      <c r="AA37" s="204">
        <f>ABS(Z37-Y37)</f>
        <v>23.283100000000001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/stypes="app*4016*20171017*"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125-17 --locoid 4016 --swversion DE.1.0.9.0 --startMP 204:457 --initTime 2017-10-17T06:36:49 --startdatetime 2017-10-17T06:45:17 --delay 44 --endMP 204:233288 --enddatetime 2017-10-17T07:19:08 --enforcementcount 0 &gt;&gt;%USERPROFILE%\Documents\GitHub\eaglep3-reporting\EC\2017-10-17-refined-times.txt</v>
      </c>
      <c r="AI3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{"issue":{"subject":"","project_id":79,"tracker_id":40,"status_id":1,"priority_id":2,"assigned_to_id":338,"start_date":"2017-10-17","description":"","custom_fields":[{"id":1,"name":"Subdivision","value":"EC"},{"id":4,"name":"Milepost","value":"23.3288"},{"id":17,"name":"Train ID","value":"125-17"},{"id":16,"name":"Locomotive ID","value":"4016"},{"id":130,"name":"Impact","value":""},{"id":150,"name":"Time of Event (Mountain Time)","value":"07:19:08"},{"id":151,"name":"Denver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4016 --day 2017-10-17</v>
      </c>
      <c r="AN3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-17T05:36:49-0600',mode:absolute,to:'2017-10-17T08:19:08-0600'))&amp;_a=(columns:!('Message%20ID',Summary),filters:!(),index:'emp_*',interval:auto,query:(query_string:(analyze_wildcard:!t,query:'%22rtdc.l.rtdc.4016%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681</v>
      </c>
      <c r="B38" s="7">
        <v>4015</v>
      </c>
      <c r="C38" s="21" t="s">
        <v>194</v>
      </c>
      <c r="D38" s="21" t="s">
        <v>865</v>
      </c>
      <c r="E38" s="13">
        <v>43025.305775462963</v>
      </c>
      <c r="F38" s="13">
        <v>43025.321030092593</v>
      </c>
      <c r="G38" s="7">
        <v>49</v>
      </c>
      <c r="H38" s="21" t="s">
        <v>373</v>
      </c>
      <c r="I38" s="13">
        <v>43025.348344907405</v>
      </c>
      <c r="J38" s="7">
        <v>0</v>
      </c>
      <c r="K38" s="89" t="str">
        <f>IF(ISEVEN(B38),(B38-1)&amp;"/"&amp;B38,B38&amp;"/"&amp;(B38+1))</f>
        <v>4015/4016</v>
      </c>
      <c r="L38" s="185" t="str">
        <f>VLOOKUP(A38,'Trips&amp;Operators'!$C$1:$G$99911,5,FALSE)</f>
        <v>YORK EDGAR</v>
      </c>
      <c r="M38" s="6">
        <f>I38-F38</f>
        <v>2.7314814811688848E-2</v>
      </c>
      <c r="N38" s="7">
        <f>24*60*SUM($M38:$M38)</f>
        <v>39.333333328831941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-17T06:20:19-0600',mode:absolute,to:'2017-10-17T09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23.2957</v>
      </c>
      <c r="Z38" s="204">
        <f>RIGHT(H38,LEN(H38)-4)/10000</f>
        <v>1.54E-2</v>
      </c>
      <c r="AA38" s="204">
        <f>ABS(Z38-Y38)</f>
        <v>23.2803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/stypes="app*4015*20171017*" /stext=" 14:.+((SYSTEM_STATE.+slice.+state.+changed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126-17 --locoid 4015 --swversion DE.1.0.9.0 --startMP 204:232957 --initTime 2017-10-17T07:20:19 --startdatetime 2017-10-17T07:42:17 --delay 49 --endMP 204:154 --enddatetime 2017-10-17T08:21:37 --enforcementcount 0 &gt;&gt;%USERPROFILE%\Documents\GitHub\eaglep3-reporting\EC\2017-10-17-refined-times.txt</v>
      </c>
      <c r="AI38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{"issue":{"subject":"","project_id":79,"tracker_id":40,"status_id":1,"priority_id":2,"assigned_to_id":338,"start_date":"2017-10-17","description":"","custom_fields":[{"id":1,"name":"Subdivision","value":"EC"},{"id":4,"name":"Milepost","value":"0.0154"},{"id":17,"name":"Train ID","value":"126-17"},{"id":16,"name":"Locomotive ID","value":"4015"},{"id":130,"name":"Impact","value":""},{"id":150,"name":"Time of Event (Mountain Time)","value":"08:21:37"},{"id":151,"name":"Denver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4015 --day 2017-10-17</v>
      </c>
      <c r="AN38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-17T06:20:19-0600',mode:absolute,to:'2017-10-17T09:21:37-0600'))&amp;_a=(columns:!('Message%20ID',Summary),filters:!(),index:'emp_*',interval:auto,query:(query_string:(analyze_wildcard:!t,query:'%22rtdc.l.rtdc.4015%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677</v>
      </c>
      <c r="B39" s="7">
        <v>4066</v>
      </c>
      <c r="C39" s="21" t="s">
        <v>194</v>
      </c>
      <c r="D39" s="21" t="s">
        <v>353</v>
      </c>
      <c r="E39" s="13">
        <v>43025.286261574074</v>
      </c>
      <c r="F39" s="13">
        <v>43025.291828703703</v>
      </c>
      <c r="G39" s="7">
        <v>61</v>
      </c>
      <c r="H39" s="21" t="s">
        <v>512</v>
      </c>
      <c r="I39" s="13">
        <v>43025.316400462965</v>
      </c>
      <c r="J39" s="7">
        <v>0</v>
      </c>
      <c r="K39" s="89" t="str">
        <f>IF(ISEVEN(B39),(B39-1)&amp;"/"&amp;B39,B39&amp;"/"&amp;(B39+1))</f>
        <v>4065/4066</v>
      </c>
      <c r="L39" s="185" t="str">
        <f>VLOOKUP(A39,'Trips&amp;Operators'!$C$1:$G$99911,5,FALSE)</f>
        <v>YANAI IAN</v>
      </c>
      <c r="M39" s="6">
        <f>I39-F39</f>
        <v>2.457175926247146E-2</v>
      </c>
      <c r="N39" s="7">
        <f>24*60*SUM($M39:$M39)</f>
        <v>35.383333337958902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-17T05:52:13-0600',mode:absolute,to:'2017-10-17T08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4.58E-2</v>
      </c>
      <c r="Z39" s="204">
        <f>RIGHT(H39,LEN(H39)-4)/10000</f>
        <v>23.329499999999999</v>
      </c>
      <c r="AA39" s="204">
        <f>ABS(Z39-Y39)</f>
        <v>23.2837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/stypes="app*4066*20171017*" /stext=" 13:.+((SYSTEM_STATE.+slice.+state.+changed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127-17 --locoid 4066 --swversion DE.1.0.9.0 --startMP 204:458 --initTime 2017-10-17T06:52:13 --startdatetime 2017-10-17T07:00:14 --delay 61 --endMP 204:233295 --enddatetime 2017-10-17T07:35:37 --enforcementcount 0 &gt;&gt;%USERPROFILE%\Documents\GitHub\eaglep3-reporting\EC\2017-10-17-refined-times.txt</v>
      </c>
      <c r="AI39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{"issue":{"subject":"","project_id":79,"tracker_id":40,"status_id":1,"priority_id":2,"assigned_to_id":338,"start_date":"2017-10-17","description":"","custom_fields":[{"id":1,"name":"Subdivision","value":"EC"},{"id":4,"name":"Milepost","value":"23.3295"},{"id":17,"name":"Train ID","value":"127-17"},{"id":16,"name":"Locomotive ID","value":"4066"},{"id":130,"name":"Impact","value":""},{"id":150,"name":"Time of Event (Mountain Time)","value":"07:35:37"},{"id":151,"name":"Denver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4066 --day 2017-10-17</v>
      </c>
      <c r="AN39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-17T05:52:13-0600',mode:absolute,to:'2017-10-17T08:35:37-0600'))&amp;_a=(columns:!('Message%20ID',Summary),filters:!(),index:'emp_*',interval:auto,query:(query_string:(analyze_wildcard:!t,query:'%22rtdc.l.rtdc.4066%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684</v>
      </c>
      <c r="B40" s="7">
        <v>4065</v>
      </c>
      <c r="C40" s="21" t="s">
        <v>194</v>
      </c>
      <c r="D40" s="21" t="s">
        <v>520</v>
      </c>
      <c r="E40" s="13">
        <v>43025.318043981482</v>
      </c>
      <c r="F40" s="13">
        <v>43025.331400462965</v>
      </c>
      <c r="G40" s="7">
        <v>50</v>
      </c>
      <c r="H40" s="21" t="s">
        <v>373</v>
      </c>
      <c r="I40" s="13">
        <v>43025.359467592592</v>
      </c>
      <c r="J40" s="7">
        <v>0</v>
      </c>
      <c r="K40" s="89" t="str">
        <f>IF(ISEVEN(B40),(B40-1)&amp;"/"&amp;B40,B40&amp;"/"&amp;(B40+1))</f>
        <v>4065/4066</v>
      </c>
      <c r="L40" s="185" t="str">
        <f>VLOOKUP(A40,'Trips&amp;Operators'!$C$1:$G$99911,5,FALSE)</f>
        <v>YANAI IAN</v>
      </c>
      <c r="M40" s="6">
        <f>I40-F40</f>
        <v>2.806712962774327E-2</v>
      </c>
      <c r="N40" s="7">
        <f>24*60*SUM($M40:$M40)</f>
        <v>40.416666663950309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-17T06:37:59-0600',mode:absolute,to:'2017-10-17T09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23.297899999999998</v>
      </c>
      <c r="Z40" s="204">
        <f>RIGHT(H40,LEN(H40)-4)/10000</f>
        <v>1.54E-2</v>
      </c>
      <c r="AA40" s="204">
        <f>ABS(Z40-Y40)</f>
        <v>23.282499999999999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/stypes="app*4065*20171017*" /stext=" 14:.+((SYSTEM_STATE.+slice.+state.+changed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128-17 --locoid 4065 --swversion DE.1.0.9.0 --startMP 204:232979 --initTime 2017-10-17T07:37:59 --startdatetime 2017-10-17T07:57:13 --delay 50 --endMP 204:154 --enddatetime 2017-10-17T08:37:38 --enforcementcount 0 &gt;&gt;%USERPROFILE%\Documents\GitHub\eaglep3-reporting\EC\2017-10-17-refined-times.txt</v>
      </c>
      <c r="AI40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{"issue":{"subject":"","project_id":79,"tracker_id":40,"status_id":1,"priority_id":2,"assigned_to_id":338,"start_date":"2017-10-17","description":"","custom_fields":[{"id":1,"name":"Subdivision","value":"EC"},{"id":4,"name":"Milepost","value":"0.0154"},{"id":17,"name":"Train ID","value":"128-17"},{"id":16,"name":"Locomotive ID","value":"4065"},{"id":130,"name":"Impact","value":""},{"id":150,"name":"Time of Event (Mountain Time)","value":"08:37:38"},{"id":151,"name":"Denver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4065 --day 2017-10-17</v>
      </c>
      <c r="AN40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-17T06:37:59-0600',mode:absolute,to:'2017-10-17T09:37:38-0600'))&amp;_a=(columns:!('Message%20ID',Summary),filters:!(),index:'emp_*',interval:auto,query:(query_string:(analyze_wildcard:!t,query:'%22rtdc.l.rtdc.4065%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680</v>
      </c>
      <c r="B41" s="7">
        <v>4004</v>
      </c>
      <c r="C41" s="21" t="s">
        <v>194</v>
      </c>
      <c r="D41" s="21" t="s">
        <v>374</v>
      </c>
      <c r="E41" s="13">
        <v>43025.29896990741</v>
      </c>
      <c r="F41" s="13">
        <v>43025.302418981482</v>
      </c>
      <c r="G41" s="7">
        <v>48</v>
      </c>
      <c r="H41" s="21" t="s">
        <v>512</v>
      </c>
      <c r="I41" s="13">
        <v>43025.326747685183</v>
      </c>
      <c r="J41" s="7">
        <v>0</v>
      </c>
      <c r="K41" s="89" t="str">
        <f>IF(ISEVEN(B41),(B41-1)&amp;"/"&amp;B41,B41&amp;"/"&amp;(B41+1))</f>
        <v>4003/4004</v>
      </c>
      <c r="L41" s="185" t="str">
        <f>VLOOKUP(A41,'Trips&amp;Operators'!$C$1:$G$99911,5,FALSE)</f>
        <v>BONDS REYNALDO</v>
      </c>
      <c r="M41" s="6">
        <f>I41-F41</f>
        <v>2.4328703701030463E-2</v>
      </c>
      <c r="N41" s="7">
        <f>24*60*SUM($M41:$M41)</f>
        <v>35.033333329483867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-17T06:10:31-0600',mode:absolute,to:'2017-10-17T08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4.4699999999999997E-2</v>
      </c>
      <c r="Z41" s="204">
        <f>RIGHT(H41,LEN(H41)-4)/10000</f>
        <v>23.329499999999999</v>
      </c>
      <c r="AA41" s="204">
        <f>ABS(Z41-Y41)</f>
        <v>23.284800000000001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/stypes="app*4004*20171017*" /stext=" 13:.+((SYSTEM_STATE.+slice.+state.+changed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129-17 --locoid 4004 --swversion DE.1.0.9.0 --startMP 204:447 --initTime 2017-10-17T07:10:31 --startdatetime 2017-10-17T07:15:29 --delay 48 --endMP 204:233295 --enddatetime 2017-10-17T07:50:31 --enforcementcount 0 &gt;&gt;%USERPROFILE%\Documents\GitHub\eaglep3-reporting\EC\2017-10-17-refined-times.txt</v>
      </c>
      <c r="AI41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{"issue":{"subject":"","project_id":79,"tracker_id":40,"status_id":1,"priority_id":2,"assigned_to_id":338,"start_date":"2017-10-17","description":"","custom_fields":[{"id":1,"name":"Subdivision","value":"EC"},{"id":4,"name":"Milepost","value":"23.3295"},{"id":17,"name":"Train ID","value":"129-17"},{"id":16,"name":"Locomotive ID","value":"4004"},{"id":130,"name":"Impact","value":""},{"id":150,"name":"Time of Event (Mountain Time)","value":"07:50:31"},{"id":151,"name":"Denver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4004 --day 2017-10-17</v>
      </c>
      <c r="AN41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-17T06:10:31-0600',mode:absolute,to:'2017-10-17T08:50:31-0600'))&amp;_a=(columns:!('Message%20ID',Summary),filters:!(),index:'emp_*',interval:auto,query:(query_string:(analyze_wildcard:!t,query:'%22rtdc.l.rtdc.4004%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689</v>
      </c>
      <c r="B42" s="7">
        <v>4003</v>
      </c>
      <c r="C42" s="21" t="s">
        <v>194</v>
      </c>
      <c r="D42" s="21" t="s">
        <v>564</v>
      </c>
      <c r="E42" s="13">
        <v>43025.338483796295</v>
      </c>
      <c r="F42" s="13">
        <v>43025.341828703706</v>
      </c>
      <c r="G42" s="7">
        <v>58</v>
      </c>
      <c r="H42" s="21" t="s">
        <v>485</v>
      </c>
      <c r="I42" s="13">
        <v>43025.367997685185</v>
      </c>
      <c r="J42" s="7">
        <v>0</v>
      </c>
      <c r="K42" s="89" t="str">
        <f>IF(ISEVEN(B42),(B42-1)&amp;"/"&amp;B42,B42&amp;"/"&amp;(B42+1))</f>
        <v>4003/4004</v>
      </c>
      <c r="L42" s="185" t="str">
        <f>VLOOKUP(A42,'Trips&amp;Operators'!$C$1:$G$99911,5,FALSE)</f>
        <v>BONDS REYNALDO</v>
      </c>
      <c r="M42" s="6">
        <f>I42-F42</f>
        <v>2.6168981479713693E-2</v>
      </c>
      <c r="N42" s="7">
        <f>24*60*SUM($M42:$M42)</f>
        <v>37.683333330787718</v>
      </c>
      <c r="O42" s="7"/>
      <c r="P42" s="7"/>
      <c r="Q42" s="22"/>
      <c r="R42" s="174"/>
      <c r="S42" s="221">
        <f>1/IF(AG42="EC",12,1)*SUM(U42:U42)</f>
        <v>1</v>
      </c>
      <c r="T42" s="174" t="str">
        <f>IF(ISEVEN(LEFT(AD42,4)),"Southbound","NorthBound")</f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-17T07:07:25-0600',mode:absolute,to:'2017-10-17T09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23.296700000000001</v>
      </c>
      <c r="Z42" s="204">
        <f>RIGHT(H42,LEN(H42)-4)/10000</f>
        <v>1.3599999999999999E-2</v>
      </c>
      <c r="AA42" s="204">
        <f>ABS(Z42-Y42)</f>
        <v>23.283100000000001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/stypes="app*4003*20171017*"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130-17 --locoid 4003 --swversion DE.1.0.9.0 --startMP 204:232967 --initTime 2017-10-17T08:07:25 --startdatetime 2017-10-17T08:12:14 --delay 58 --endMP 204:136 --enddatetime 2017-10-17T08:49:55 --enforcementcount 0 &gt;&gt;%USERPROFILE%\Documents\GitHub\eaglep3-reporting\EC\2017-10-17-refined-times.txt</v>
      </c>
      <c r="AI42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{"issue":{"subject":"","project_id":79,"tracker_id":40,"status_id":1,"priority_id":2,"assigned_to_id":338,"start_date":"2017-10-17","description":"","custom_fields":[{"id":1,"name":"Subdivision","value":"EC"},{"id":4,"name":"Milepost","value":"0.0136"},{"id":17,"name":"Train ID","value":"130-17"},{"id":16,"name":"Locomotive ID","value":"4003"},{"id":130,"name":"Impact","value":""},{"id":150,"name":"Time of Event (Mountain Time)","value":"08:49:55"},{"id":151,"name":"Denver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4003 --day 2017-10-17</v>
      </c>
      <c r="AN42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-17T07:07:25-0600',mode:absolute,to:'2017-10-17T09:49:55-0600'))&amp;_a=(columns:!('Message%20ID',Summary),filters:!(),index:'emp_*',interval:auto,query:(query_string:(analyze_wildcard:!t,query:'%22rtdc.l.rtdc.4003%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611</v>
      </c>
      <c r="B43" s="7">
        <v>4014</v>
      </c>
      <c r="C43" s="21" t="s">
        <v>194</v>
      </c>
      <c r="D43" s="21" t="s">
        <v>344</v>
      </c>
      <c r="E43" s="13">
        <v>43025.310266203705</v>
      </c>
      <c r="F43" s="13">
        <v>43025.3128125</v>
      </c>
      <c r="G43" s="7">
        <v>51</v>
      </c>
      <c r="H43" s="21" t="s">
        <v>571</v>
      </c>
      <c r="I43" s="13">
        <v>43025.340902777774</v>
      </c>
      <c r="J43" s="7">
        <v>0</v>
      </c>
      <c r="K43" s="89" t="str">
        <f>IF(ISEVEN(B43),(B43-1)&amp;"/"&amp;B43,B43&amp;"/"&amp;(B43+1))</f>
        <v>4013/4014</v>
      </c>
      <c r="L43" s="185" t="str">
        <f>VLOOKUP(A43,'Trips&amp;Operators'!$C$1:$G$99911,5,FALSE)</f>
        <v>MACDONALD THOMAS</v>
      </c>
      <c r="M43" s="6">
        <f>I43-F43</f>
        <v>2.8090277774026617E-2</v>
      </c>
      <c r="N43" s="7">
        <f>24*60*SUM($M43:$M43)</f>
        <v>40.449999994598329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-17T06:26:47-0600',mode:absolute,to:'2017-10-17T09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4.5499999999999999E-2</v>
      </c>
      <c r="Z43" s="204">
        <f>RIGHT(H43,LEN(H43)-4)/10000</f>
        <v>23.328700000000001</v>
      </c>
      <c r="AA43" s="204">
        <f>ABS(Z43-Y43)</f>
        <v>23.283200000000001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/stypes="app*4014*20171017*"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131-17 --locoid 4014 --swversion DE.1.0.9.0 --startMP 204:455 --initTime 2017-10-17T07:26:47 --startdatetime 2017-10-17T07:30:27 --delay 51 --endMP 204:233287 --enddatetime 2017-10-17T08:10:54 --enforcementcount 0 &gt;&gt;%USERPROFILE%\Documents\GitHub\eaglep3-reporting\EC\2017-10-17-refined-times.txt</v>
      </c>
      <c r="AI43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{"issue":{"subject":"","project_id":79,"tracker_id":40,"status_id":1,"priority_id":2,"assigned_to_id":338,"start_date":"2017-10-17","description":"","custom_fields":[{"id":1,"name":"Subdivision","value":"EC"},{"id":4,"name":"Milepost","value":"23.3287"},{"id":17,"name":"Train ID","value":"131-17"},{"id":16,"name":"Locomotive ID","value":"4014"},{"id":130,"name":"Impact","value":""},{"id":150,"name":"Time of Event (Mountain Time)","value":"08:10:54"},{"id":151,"name":"Denver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4014 --day 2017-10-17</v>
      </c>
      <c r="AN43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14:10:54"},{"id":29,"name":"Sharepoint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-17T06:26:47-0600',mode:absolute,to:'2017-10-17T09:10:54-0600'))&amp;_a=(columns:!('Message%20ID',Summary),filters:!(),index:'emp_*',interval:auto,query:(query_string:(analyze_wildcard:!t,query:'%22rtdc.l.rtdc.4014%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692</v>
      </c>
      <c r="B44" s="7">
        <v>4013</v>
      </c>
      <c r="C44" s="21" t="s">
        <v>194</v>
      </c>
      <c r="D44" s="21" t="s">
        <v>575</v>
      </c>
      <c r="E44" s="13">
        <v>43025.351377314815</v>
      </c>
      <c r="F44" s="13">
        <v>43025.352430555555</v>
      </c>
      <c r="G44" s="7">
        <v>52</v>
      </c>
      <c r="H44" s="21" t="s">
        <v>395</v>
      </c>
      <c r="I44" s="13">
        <v>43025.377962962964</v>
      </c>
      <c r="J44" s="7">
        <v>0</v>
      </c>
      <c r="K44" s="89" t="str">
        <f>IF(ISEVEN(B44),(B44-1)&amp;"/"&amp;B44,B44&amp;"/"&amp;(B44+1))</f>
        <v>4013/4014</v>
      </c>
      <c r="L44" s="185" t="str">
        <f>VLOOKUP(A44,'Trips&amp;Operators'!$C$1:$G$99911,5,FALSE)</f>
        <v>MACDONALD THOMAS</v>
      </c>
      <c r="M44" s="6">
        <f>I44-F44</f>
        <v>2.5532407409627922E-2</v>
      </c>
      <c r="N44" s="7">
        <f>24*60*SUM($M44:$M44)</f>
        <v>36.766666669864208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-17T07:25:59-0600',mode:absolute,to:'2017-10-17T10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23.296399999999998</v>
      </c>
      <c r="Z44" s="204">
        <f>RIGHT(H44,LEN(H44)-4)/10000</f>
        <v>1.6E-2</v>
      </c>
      <c r="AA44" s="204">
        <f>ABS(Z44-Y44)</f>
        <v>23.2804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/stypes="app*4013*20171017*" /stext=" 15:.+((SYSTEM_STATE.+slice.+state.+changed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132-17 --locoid 4013 --swversion DE.1.0.9.0 --startMP 204:232964 --initTime 2017-10-17T08:25:59 --startdatetime 2017-10-17T08:27:30 --delay 52 --endMP 204:160 --enddatetime 2017-10-17T09:04:16 --enforcementcount 0 &gt;&gt;%USERPROFILE%\Documents\GitHub\eaglep3-reporting\EC\2017-10-17-refined-times.txt</v>
      </c>
      <c r="AI44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{"issue":{"subject":"","project_id":79,"tracker_id":40,"status_id":1,"priority_id":2,"assigned_to_id":338,"start_date":"2017-10-17","description":"","custom_fields":[{"id":1,"name":"Subdivision","value":"EC"},{"id":4,"name":"Milepost","value":"0.016"},{"id":17,"name":"Train ID","value":"132-17"},{"id":16,"name":"Locomotive ID","value":"4013"},{"id":130,"name":"Impact","value":""},{"id":150,"name":"Time of Event (Mountain Time)","value":"09:04:16"},{"id":151,"name":"Denver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4013 --day 2017-10-17</v>
      </c>
      <c r="AN44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-17T07:25:59-0600',mode:absolute,to:'2017-10-17T10:04:16-0600'))&amp;_a=(columns:!('Message%20ID',Summary),filters:!(),index:'emp_*',interval:auto,query:(query_string:(analyze_wildcard:!t,query:'%22rtdc.l.rtdc.4013%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685</v>
      </c>
      <c r="B45" s="7">
        <v>4050</v>
      </c>
      <c r="C45" s="21" t="s">
        <v>194</v>
      </c>
      <c r="D45" s="21" t="s">
        <v>378</v>
      </c>
      <c r="E45" s="13">
        <v>43025.319421296299</v>
      </c>
      <c r="F45" s="13">
        <v>43025.323171296295</v>
      </c>
      <c r="G45" s="7">
        <v>52</v>
      </c>
      <c r="H45" s="21" t="s">
        <v>482</v>
      </c>
      <c r="I45" s="13">
        <v>43025.34752314815</v>
      </c>
      <c r="J45" s="7">
        <v>0</v>
      </c>
      <c r="K45" s="89" t="str">
        <f>IF(ISEVEN(B45),(B45-1)&amp;"/"&amp;B45,B45&amp;"/"&amp;(B45+1))</f>
        <v>4049/4050</v>
      </c>
      <c r="L45" s="185" t="str">
        <f>VLOOKUP(A45,'Trips&amp;Operators'!$C$1:$G$99911,5,FALSE)</f>
        <v>BEAM ROSS</v>
      </c>
      <c r="M45" s="6">
        <f>I45-F45</f>
        <v>2.4351851854589768E-2</v>
      </c>
      <c r="N45" s="7">
        <f>24*60*SUM($M45:$M45)</f>
        <v>35.066666670609266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-17T06:39:58-0600',mode:absolute,to:'2017-10-17T09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4.5699999999999998E-2</v>
      </c>
      <c r="Z45" s="204">
        <f>RIGHT(H45,LEN(H45)-4)/10000</f>
        <v>23.329899999999999</v>
      </c>
      <c r="AA45" s="204">
        <f>ABS(Z45-Y45)</f>
        <v>23.284199999999998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/stypes="app*4050*20171017*" /stext=" 14:.+((SYSTEM_STATE.+slice.+state.+changed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133-17 --locoid 4050 --swversion DE.1.0.9.0 --startMP 204:457 --initTime 2017-10-17T07:39:58 --startdatetime 2017-10-17T07:45:22 --delay 52 --endMP 204:233299 --enddatetime 2017-10-17T08:20:26 --enforcementcount 0 &gt;&gt;%USERPROFILE%\Documents\GitHub\eaglep3-reporting\EC\2017-10-17-refined-times.txt</v>
      </c>
      <c r="AI4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{"issue":{"subject":"","project_id":79,"tracker_id":40,"status_id":1,"priority_id":2,"assigned_to_id":338,"start_date":"2017-10-17","description":"","custom_fields":[{"id":1,"name":"Subdivision","value":"EC"},{"id":4,"name":"Milepost","value":"23.3299"},{"id":17,"name":"Train ID","value":"133-17"},{"id":16,"name":"Locomotive ID","value":"4050"},{"id":130,"name":"Impact","value":""},{"id":150,"name":"Time of Event (Mountain Time)","value":"08:20:26"},{"id":151,"name":"Denver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4050 --day 2017-10-17</v>
      </c>
      <c r="AN4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-17T06:39:58-0600',mode:absolute,to:'2017-10-17T09:20:26-0600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614</v>
      </c>
      <c r="B46" s="7">
        <v>4049</v>
      </c>
      <c r="C46" s="21" t="s">
        <v>194</v>
      </c>
      <c r="D46" s="21" t="s">
        <v>483</v>
      </c>
      <c r="E46" s="13">
        <v>43025.348553240743</v>
      </c>
      <c r="F46" s="13">
        <v>43025.362662037034</v>
      </c>
      <c r="G46" s="7">
        <v>54</v>
      </c>
      <c r="H46" s="21" t="s">
        <v>366</v>
      </c>
      <c r="I46" s="13">
        <v>43025.388831018521</v>
      </c>
      <c r="J46" s="7">
        <v>0</v>
      </c>
      <c r="K46" s="89" t="str">
        <f>IF(ISEVEN(B46),(B46-1)&amp;"/"&amp;B46,B46&amp;"/"&amp;(B46+1))</f>
        <v>4049/4050</v>
      </c>
      <c r="L46" s="185" t="str">
        <f>VLOOKUP(A46,'Trips&amp;Operators'!$C$1:$G$99911,5,FALSE)</f>
        <v>BEAM ROSS</v>
      </c>
      <c r="M46" s="6">
        <f>I46-F46</f>
        <v>2.6168981486989651E-2</v>
      </c>
      <c r="N46" s="7">
        <f>24*60*SUM($M46:$M46)</f>
        <v>37.683333341265097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-17T07:21:55-0600',mode:absolute,to:'2017-10-17T10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23.296900000000001</v>
      </c>
      <c r="Z46" s="204">
        <f>RIGHT(H46,LEN(H46)-4)/10000</f>
        <v>1.3899999999999999E-2</v>
      </c>
      <c r="AA46" s="204">
        <f>ABS(Z46-Y46)</f>
        <v>23.283000000000001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/stypes="app*4049*20171017*" /stext=" 15:.+((SYSTEM_STATE.+slice.+state.+changed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134-17 --locoid 4049 --swversion DE.1.0.9.0 --startMP 204:232969 --initTime 2017-10-17T08:21:55 --startdatetime 2017-10-17T08:42:14 --delay 54 --endMP 204:139 --enddatetime 2017-10-17T09:19:55 --enforcementcount 0 &gt;&gt;%USERPROFILE%\Documents\GitHub\eaglep3-reporting\EC\2017-10-17-refined-times.txt</v>
      </c>
      <c r="AI4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{"issue":{"subject":"","project_id":79,"tracker_id":40,"status_id":1,"priority_id":2,"assigned_to_id":338,"start_date":"2017-10-17","description":"","custom_fields":[{"id":1,"name":"Subdivision","value":"EC"},{"id":4,"name":"Milepost","value":"0.0139"},{"id":17,"name":"Train ID","value":"134-17"},{"id":16,"name":"Locomotive ID","value":"4049"},{"id":130,"name":"Impact","value":""},{"id":150,"name":"Time of Event (Mountain Time)","value":"09:19:55"},{"id":151,"name":"Denver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4049 --day 2017-10-17</v>
      </c>
      <c r="AN4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-17T07:21:55-0600',mode:absolute,to:'2017-10-17T10:19:55-0600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687</v>
      </c>
      <c r="B47" s="7">
        <v>4010</v>
      </c>
      <c r="C47" s="21" t="s">
        <v>194</v>
      </c>
      <c r="D47" s="21" t="s">
        <v>369</v>
      </c>
      <c r="E47" s="13">
        <v>43025.331030092595</v>
      </c>
      <c r="F47" s="13">
        <v>43025.333645833336</v>
      </c>
      <c r="G47" s="7">
        <v>56</v>
      </c>
      <c r="H47" s="21" t="s">
        <v>486</v>
      </c>
      <c r="I47" s="13">
        <v>43025.35800925926</v>
      </c>
      <c r="J47" s="7">
        <v>0</v>
      </c>
      <c r="K47" s="89" t="str">
        <f>IF(ISEVEN(B47),(B47-1)&amp;"/"&amp;B47,B47&amp;"/"&amp;(B47+1))</f>
        <v>4009/4010</v>
      </c>
      <c r="L47" s="185" t="str">
        <f>VLOOKUP(A47,'Trips&amp;Operators'!$C$1:$G$99911,5,FALSE)</f>
        <v>LALONDE GREGORY</v>
      </c>
      <c r="M47" s="6">
        <f>I47-F47</f>
        <v>2.4363425924093463E-2</v>
      </c>
      <c r="N47" s="7">
        <f>24*60*SUM($M47:$M47)</f>
        <v>35.083333330694586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-17T06:56:41-0600',mode:absolute,to:'2017-10-17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4.5100000000000001E-2</v>
      </c>
      <c r="Z47" s="204">
        <f>RIGHT(H47,LEN(H47)-4)/10000</f>
        <v>23.333200000000001</v>
      </c>
      <c r="AA47" s="204">
        <f>ABS(Z47-Y47)</f>
        <v>23.2881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/stypes="app*4010*20171017*" /stext=" 14:.+((SYSTEM_STATE.+slice.+state.+changed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135-17 --locoid 4010 --swversion DE.1.0.9.0 --startMP 204:451 --initTime 2017-10-17T07:56:41 --startdatetime 2017-10-17T08:00:27 --delay 56 --endMP 204:233332 --enddatetime 2017-10-17T08:35:32 --enforcementcount 0 &gt;&gt;%USERPROFILE%\Documents\GitHub\eaglep3-reporting\EC\2017-10-17-refined-times.txt</v>
      </c>
      <c r="AI4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{"issue":{"subject":"","project_id":79,"tracker_id":40,"status_id":1,"priority_id":2,"assigned_to_id":338,"start_date":"2017-10-17","description":"","custom_fields":[{"id":1,"name":"Subdivision","value":"EC"},{"id":4,"name":"Milepost","value":"23.3332"},{"id":17,"name":"Train ID","value":"135-17"},{"id":16,"name":"Locomotive ID","value":"4010"},{"id":130,"name":"Impact","value":""},{"id":150,"name":"Time of Event (Mountain Time)","value":"08:35:32"},{"id":151,"name":"Denver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4010 --day 2017-10-17</v>
      </c>
      <c r="AN4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-17T06:56:41-0600',mode:absolute,to:'2017-10-17T09:35:32-0600'))&amp;_a=(columns:!('Message%20ID',Summary),filters:!(),index:'emp_*',interval:auto,query:(query_string:(analyze_wildcard:!t,query:'%22rtdc.l.rtdc.4010%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694</v>
      </c>
      <c r="B48" s="7">
        <v>4009</v>
      </c>
      <c r="C48" s="21" t="s">
        <v>194</v>
      </c>
      <c r="D48" s="21" t="s">
        <v>506</v>
      </c>
      <c r="E48" s="13">
        <v>43025.359293981484</v>
      </c>
      <c r="F48" s="13">
        <v>43025.373101851852</v>
      </c>
      <c r="G48" s="7">
        <v>60</v>
      </c>
      <c r="H48" s="21" t="s">
        <v>336</v>
      </c>
      <c r="I48" s="13">
        <v>43025.398634259262</v>
      </c>
      <c r="J48" s="7">
        <v>0</v>
      </c>
      <c r="K48" s="89" t="str">
        <f>IF(ISEVEN(B48),(B48-1)&amp;"/"&amp;B48,B48&amp;"/"&amp;(B48+1))</f>
        <v>4009/4010</v>
      </c>
      <c r="L48" s="185" t="str">
        <f>VLOOKUP(A48,'Trips&amp;Operators'!$C$1:$G$99911,5,FALSE)</f>
        <v>LALONDE GREGORY</v>
      </c>
      <c r="M48" s="6">
        <f>I48-F48</f>
        <v>2.5532407409627922E-2</v>
      </c>
      <c r="N48" s="7">
        <f>24*60*SUM($M48:$M48)</f>
        <v>36.766666669864208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-17T07:37:23-0600',mode:absolute,to:'2017-10-17T10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23.302099999999999</v>
      </c>
      <c r="Z48" s="204">
        <f>RIGHT(H48,LEN(H48)-4)/10000</f>
        <v>1.49E-2</v>
      </c>
      <c r="AA48" s="204">
        <f>ABS(Z48-Y48)</f>
        <v>23.287199999999999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/stypes="app*4009*20171017*" /stext=" 15:.+((SYSTEM_STATE.+slice.+state.+changed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136-17 --locoid 4009 --swversion DE.1.0.9.0 --startMP 204:233021 --initTime 2017-10-17T08:37:23 --startdatetime 2017-10-17T08:57:16 --delay 60 --endMP 204:149 --enddatetime 2017-10-17T09:34:02 --enforcementcount 0 &gt;&gt;%USERPROFILE%\Documents\GitHub\eaglep3-reporting\EC\2017-10-17-refined-times.txt</v>
      </c>
      <c r="AI48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{"issue":{"subject":"","project_id":79,"tracker_id":40,"status_id":1,"priority_id":2,"assigned_to_id":338,"start_date":"2017-10-17","description":"","custom_fields":[{"id":1,"name":"Subdivision","value":"EC"},{"id":4,"name":"Milepost","value":"0.0149"},{"id":17,"name":"Train ID","value":"136-17"},{"id":16,"name":"Locomotive ID","value":"4009"},{"id":130,"name":"Impact","value":""},{"id":150,"name":"Time of Event (Mountain Time)","value":"09:34:02"},{"id":151,"name":"Denver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4009 --day 2017-10-17</v>
      </c>
      <c r="AN48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-17T07:37:23-0600',mode:absolute,to:'2017-10-17T10:34:02-0600'))&amp;_a=(columns:!('Message%20ID',Summary),filters:!(),index:'emp_*',interval:auto,query:(query_string:(analyze_wildcard:!t,query:'%22rtdc.l.rtdc.4009%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690</v>
      </c>
      <c r="B49" s="7">
        <v>4036</v>
      </c>
      <c r="C49" s="21" t="s">
        <v>194</v>
      </c>
      <c r="D49" s="21" t="s">
        <v>484</v>
      </c>
      <c r="E49" s="13">
        <v>43025.339884259258</v>
      </c>
      <c r="F49" s="13">
        <v>43025.344039351854</v>
      </c>
      <c r="G49" s="7">
        <v>86</v>
      </c>
      <c r="H49" s="21" t="s">
        <v>482</v>
      </c>
      <c r="I49" s="13">
        <v>43025.368020833332</v>
      </c>
      <c r="J49" s="7">
        <v>0</v>
      </c>
      <c r="K49" s="89" t="str">
        <f>IF(ISEVEN(B49),(B49-1)&amp;"/"&amp;B49,B49&amp;"/"&amp;(B49+1))</f>
        <v>4035/4036</v>
      </c>
      <c r="L49" s="185" t="str">
        <f>VLOOKUP(A49,'Trips&amp;Operators'!$C$1:$G$99911,5,FALSE)</f>
        <v>LAMAR NEKESHA</v>
      </c>
      <c r="M49" s="6">
        <f>I49-F49</f>
        <v>2.3981481477676425E-2</v>
      </c>
      <c r="N49" s="7">
        <f>24*60*SUM($M49:$M49)</f>
        <v>34.533333327854052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-17T07:09:26-0600',mode:absolute,to:'2017-10-17T09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4.82E-2</v>
      </c>
      <c r="Z49" s="204">
        <f>RIGHT(H49,LEN(H49)-4)/10000</f>
        <v>23.329899999999999</v>
      </c>
      <c r="AA49" s="204">
        <f>ABS(Z49-Y49)</f>
        <v>23.281699999999997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/stypes="app*4036*20171017*" /stext=" 14:.+((SYSTEM_STATE.+slice.+state.+changed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137-17 --locoid 4036 --swversion DE.1.0.9.0 --startMP 204:482 --initTime 2017-10-17T08:09:26 --startdatetime 2017-10-17T08:15:25 --delay 86 --endMP 204:233299 --enddatetime 2017-10-17T08:49:57 --enforcementcount 0 &gt;&gt;%USERPROFILE%\Documents\GitHub\eaglep3-reporting\EC\2017-10-17-refined-times.txt</v>
      </c>
      <c r="AI49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{"issue":{"subject":"","project_id":79,"tracker_id":40,"status_id":1,"priority_id":2,"assigned_to_id":338,"start_date":"2017-10-17","description":"","custom_fields":[{"id":1,"name":"Subdivision","value":"EC"},{"id":4,"name":"Milepost","value":"23.3299"},{"id":17,"name":"Train ID","value":"137-17"},{"id":16,"name":"Locomotive ID","value":"4036"},{"id":130,"name":"Impact","value":""},{"id":150,"name":"Time of Event (Mountain Time)","value":"08:49:57"},{"id":151,"name":"Denver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4036 --day 2017-10-17</v>
      </c>
      <c r="AN49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-17T07:09:26-0600',mode:absolute,to:'2017-10-17T09:49:57-0600'))&amp;_a=(columns:!('Message%20ID',Summary),filters:!(),index:'emp_*',interval:auto,query:(query_string:(analyze_wildcard:!t,query:'%22rtdc.l.rtdc.4036%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699</v>
      </c>
      <c r="B50" s="7">
        <v>4035</v>
      </c>
      <c r="C50" s="21" t="s">
        <v>194</v>
      </c>
      <c r="D50" s="21" t="s">
        <v>413</v>
      </c>
      <c r="E50" s="13">
        <v>43025.381018518521</v>
      </c>
      <c r="F50" s="13">
        <v>43025.383506944447</v>
      </c>
      <c r="G50" s="7">
        <v>62</v>
      </c>
      <c r="H50" s="21" t="s">
        <v>360</v>
      </c>
      <c r="I50" s="13">
        <v>43025.410254629627</v>
      </c>
      <c r="J50" s="7">
        <v>0</v>
      </c>
      <c r="K50" s="89" t="str">
        <f>IF(ISEVEN(B50),(B50-1)&amp;"/"&amp;B50,B50&amp;"/"&amp;(B50+1))</f>
        <v>4035/4036</v>
      </c>
      <c r="L50" s="185" t="str">
        <f>VLOOKUP(A50,'Trips&amp;Operators'!$C$1:$G$99911,5,FALSE)</f>
        <v>LAMAR NEKESHA</v>
      </c>
      <c r="M50" s="6">
        <f>I50-F50</f>
        <v>2.6747685180453118E-2</v>
      </c>
      <c r="N50" s="7">
        <f>24*60*SUM($M50:$M50)</f>
        <v>38.51666665985249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-17T08:08:40-0600',mode:absolute,to:'2017-10-17T10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23.297699999999999</v>
      </c>
      <c r="Z50" s="204">
        <f>RIGHT(H50,LEN(H50)-4)/10000</f>
        <v>1.61E-2</v>
      </c>
      <c r="AA50" s="204">
        <f>ABS(Z50-Y50)</f>
        <v>23.281599999999997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/stypes="app*4035*20171017*" /stext=" 15:.+((SYSTEM_STATE.+slice.+state.+changed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138-17 --locoid 4035 --swversion DE.1.0.9.0 --startMP 204:232977 --initTime 2017-10-17T09:08:40 --startdatetime 2017-10-17T09:12:15 --delay 62 --endMP 204:161 --enddatetime 2017-10-17T09:50:46 --enforcementcount 0 &gt;&gt;%USERPROFILE%\Documents\GitHub\eaglep3-reporting\EC\2017-10-17-refined-times.txt</v>
      </c>
      <c r="AI50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{"issue":{"subject":"","project_id":79,"tracker_id":40,"status_id":1,"priority_id":2,"assigned_to_id":338,"start_date":"2017-10-17","description":"","custom_fields":[{"id":1,"name":"Subdivision","value":"EC"},{"id":4,"name":"Milepost","value":"0.0161"},{"id":17,"name":"Train ID","value":"138-17"},{"id":16,"name":"Locomotive ID","value":"4035"},{"id":130,"name":"Impact","value":""},{"id":150,"name":"Time of Event (Mountain Time)","value":"09:50:46"},{"id":151,"name":"Denver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4035 --day 2017-10-17</v>
      </c>
      <c r="AN50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-17T08:08:40-0600',mode:absolute,to:'2017-10-17T10:50:46-0600'))&amp;_a=(columns:!('Message%20ID',Summary),filters:!(),index:'emp_*',interval:auto,query:(query_string:(analyze_wildcard:!t,query:'%22rtdc.l.rtdc.4035%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691</v>
      </c>
      <c r="B51" s="7">
        <v>4016</v>
      </c>
      <c r="C51" s="21" t="s">
        <v>194</v>
      </c>
      <c r="D51" s="21" t="s">
        <v>558</v>
      </c>
      <c r="E51" s="13">
        <v>43025.349699074075</v>
      </c>
      <c r="F51" s="13">
        <v>43025.354780092595</v>
      </c>
      <c r="G51" s="7">
        <v>43</v>
      </c>
      <c r="H51" s="21" t="s">
        <v>513</v>
      </c>
      <c r="I51" s="13">
        <v>43025.379780092589</v>
      </c>
      <c r="J51" s="7">
        <v>0</v>
      </c>
      <c r="K51" s="89" t="str">
        <f>IF(ISEVEN(B51),(B51-1)&amp;"/"&amp;B51,B51&amp;"/"&amp;(B51+1))</f>
        <v>4015/4016</v>
      </c>
      <c r="L51" s="185" t="str">
        <f>VLOOKUP(A51,'Trips&amp;Operators'!$C$1:$G$99911,5,FALSE)</f>
        <v>YORK EDGAR</v>
      </c>
      <c r="M51" s="6">
        <f>I51-F51</f>
        <v>2.4999999994179234E-2</v>
      </c>
      <c r="N51" s="7">
        <f>24*60*SUM($M51:$M51)</f>
        <v>35.999999991618097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-17T07:23:34-0600',mode:absolute,to:'2017-10-17T10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4.6899999999999997E-2</v>
      </c>
      <c r="Z51" s="204">
        <f>RIGHT(H51,LEN(H51)-4)/10000</f>
        <v>23.329699999999999</v>
      </c>
      <c r="AA51" s="204">
        <f>ABS(Z51-Y51)</f>
        <v>23.282799999999998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/stypes="app*4016*20171017*"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139-17 --locoid 4016 --swversion DE.1.0.9.0 --startMP 204:469 --initTime 2017-10-17T08:23:34 --startdatetime 2017-10-17T08:30:53 --delay 43 --endMP 204:233297 --enddatetime 2017-10-17T09:06:53 --enforcementcount 0 &gt;&gt;%USERPROFILE%\Documents\GitHub\eaglep3-reporting\EC\2017-10-17-refined-times.txt</v>
      </c>
      <c r="AI51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{"issue":{"subject":"","project_id":79,"tracker_id":40,"status_id":1,"priority_id":2,"assigned_to_id":338,"start_date":"2017-10-17","description":"","custom_fields":[{"id":1,"name":"Subdivision","value":"EC"},{"id":4,"name":"Milepost","value":"23.3297"},{"id":17,"name":"Train ID","value":"139-17"},{"id":16,"name":"Locomotive ID","value":"4016"},{"id":130,"name":"Impact","value":""},{"id":150,"name":"Time of Event (Mountain Time)","value":"09:06:53"},{"id":151,"name":"Denver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4016 --day 2017-10-17</v>
      </c>
      <c r="AN51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-17T07:23:34-0600',mode:absolute,to:'2017-10-17T10:06:53-0600'))&amp;_a=(columns:!('Message%20ID',Summary),filters:!(),index:'emp_*',interval:auto,query:(query_string:(analyze_wildcard:!t,query:'%22rtdc.l.rtdc.4016%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703</v>
      </c>
      <c r="B52" s="7">
        <v>4015</v>
      </c>
      <c r="C52" s="21" t="s">
        <v>194</v>
      </c>
      <c r="D52" s="21" t="s">
        <v>520</v>
      </c>
      <c r="E52" s="13">
        <v>43025.392777777779</v>
      </c>
      <c r="F52" s="13">
        <v>43025.393969907411</v>
      </c>
      <c r="G52" s="7">
        <v>46</v>
      </c>
      <c r="H52" s="21" t="s">
        <v>355</v>
      </c>
      <c r="I52" s="13">
        <v>43025.419328703705</v>
      </c>
      <c r="J52" s="7">
        <v>0</v>
      </c>
      <c r="K52" s="89" t="str">
        <f>IF(ISEVEN(B52),(B52-1)&amp;"/"&amp;B52,B52&amp;"/"&amp;(B52+1))</f>
        <v>4015/4016</v>
      </c>
      <c r="L52" s="185" t="str">
        <f>VLOOKUP(A52,'Trips&amp;Operators'!$C$1:$G$99911,5,FALSE)</f>
        <v>YORK EDGAR</v>
      </c>
      <c r="M52" s="6">
        <f>I52-F52</f>
        <v>2.5358796294312924E-2</v>
      </c>
      <c r="N52" s="7">
        <f>24*60*SUM($M52:$M52)</f>
        <v>36.516666663810611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-17T08:25:36-0600',mode:absolute,to:'2017-10-17T11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23.297899999999998</v>
      </c>
      <c r="Z52" s="204">
        <f>RIGHT(H52,LEN(H52)-4)/10000</f>
        <v>1.4500000000000001E-2</v>
      </c>
      <c r="AA52" s="204">
        <f>ABS(Z52-Y52)</f>
        <v>23.283399999999997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/stypes="app*4015*20171017*" /stext=" 16:.+((SYSTEM_STATE.+slice.+state.+changed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140-17 --locoid 4015 --swversion DE.1.0.9.0 --startMP 204:232979 --initTime 2017-10-17T09:25:36 --startdatetime 2017-10-17T09:27:19 --delay 46 --endMP 204:145 --enddatetime 2017-10-17T10:03:50 --enforcementcount 0 &gt;&gt;%USERPROFILE%\Documents\GitHub\eaglep3-reporting\EC\2017-10-17-refined-times.txt</v>
      </c>
      <c r="AI52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ID","value":"140-17"},{"id":16,"name":"Locomotive ID","value":"4015"},{"id":130,"name":"Impact","value":""},{"id":150,"name":"Time of Event (Mountain Time)","value":"10:03:50"},{"id":151,"name":"Denver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4015 --day 2017-10-17</v>
      </c>
      <c r="AN52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-17T08:25:36-0600',mode:absolute,to:'2017-10-17T11:03:50-0600'))&amp;_a=(columns:!('Message%20ID',Summary),filters:!(),index:'emp_*',interval:auto,query:(query_string:(analyze_wildcard:!t,query:'%22rtdc.l.rtdc.4015%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695</v>
      </c>
      <c r="B53" s="7">
        <v>4066</v>
      </c>
      <c r="C53" s="21" t="s">
        <v>194</v>
      </c>
      <c r="D53" s="21" t="s">
        <v>369</v>
      </c>
      <c r="E53" s="13">
        <v>43025.361018518517</v>
      </c>
      <c r="F53" s="13">
        <v>43025.364745370367</v>
      </c>
      <c r="G53" s="7">
        <v>59</v>
      </c>
      <c r="H53" s="21" t="s">
        <v>410</v>
      </c>
      <c r="I53" s="13">
        <v>43025.388622685183</v>
      </c>
      <c r="J53" s="7">
        <v>0</v>
      </c>
      <c r="K53" s="89" t="str">
        <f>IF(ISEVEN(B53),(B53-1)&amp;"/"&amp;B53,B53&amp;"/"&amp;(B53+1))</f>
        <v>4065/4066</v>
      </c>
      <c r="L53" s="185" t="str">
        <f>VLOOKUP(A53,'Trips&amp;Operators'!$C$1:$G$99911,5,FALSE)</f>
        <v>YANAI IAN</v>
      </c>
      <c r="M53" s="6">
        <f>I53-F53</f>
        <v>2.3877314815763384E-2</v>
      </c>
      <c r="N53" s="7">
        <f>24*60*SUM($M53:$M53)</f>
        <v>34.383333334699273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-17T07:39:52-0600',mode:absolute,to:'2017-10-17T10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4.5100000000000001E-2</v>
      </c>
      <c r="Z53" s="204">
        <f>RIGHT(H53,LEN(H53)-4)/10000</f>
        <v>23.331399999999999</v>
      </c>
      <c r="AA53" s="204">
        <f>ABS(Z53-Y53)</f>
        <v>23.286299999999997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/stypes="app*4066*20171017*" /stext=" 15:.+((SYSTEM_STATE.+slice.+state.+changed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141-17 --locoid 4066 --swversion DE.1.0.9.0 --startMP 204:451 --initTime 2017-10-17T08:39:52 --startdatetime 2017-10-17T08:45:14 --delay 59 --endMP 204:233314 --enddatetime 2017-10-17T09:19:37 --enforcementcount 0 &gt;&gt;%USERPROFILE%\Documents\GitHub\eaglep3-reporting\EC\2017-10-17-refined-times.txt</v>
      </c>
      <c r="AI53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{"issue":{"subject":"","project_id":79,"tracker_id":40,"status_id":1,"priority_id":2,"assigned_to_id":338,"start_date":"2017-10-17","description":"","custom_fields":[{"id":1,"name":"Subdivision","value":"EC"},{"id":4,"name":"Milepost","value":"23.3314"},{"id":17,"name":"Train ID","value":"141-17"},{"id":16,"name":"Locomotive ID","value":"4066"},{"id":130,"name":"Impact","value":""},{"id":150,"name":"Time of Event (Mountain Time)","value":"09:19:37"},{"id":151,"name":"Denver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4066 --day 2017-10-17</v>
      </c>
      <c r="AN53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-17T07:39:52-0600',mode:absolute,to:'2017-10-17T10:19:37-0600'))&amp;_a=(columns:!('Message%20ID',Summary),filters:!(),index:'emp_*',interval:auto,query:(query_string:(analyze_wildcard:!t,query:'%22rtdc.l.rtdc.4066%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700</v>
      </c>
      <c r="B54" s="7">
        <v>4065</v>
      </c>
      <c r="C54" s="21" t="s">
        <v>194</v>
      </c>
      <c r="D54" s="21" t="s">
        <v>462</v>
      </c>
      <c r="E54" s="13">
        <v>43025.389618055553</v>
      </c>
      <c r="F54" s="13">
        <v>43025.404432870368</v>
      </c>
      <c r="G54" s="7">
        <v>45</v>
      </c>
      <c r="H54" s="21" t="s">
        <v>339</v>
      </c>
      <c r="I54" s="13">
        <v>43025.430405092593</v>
      </c>
      <c r="J54" s="7">
        <v>0</v>
      </c>
      <c r="K54" s="89" t="str">
        <f>IF(ISEVEN(B54),(B54-1)&amp;"/"&amp;B54,B54&amp;"/"&amp;(B54+1))</f>
        <v>4065/4066</v>
      </c>
      <c r="L54" s="185" t="str">
        <f>VLOOKUP(A54,'Trips&amp;Operators'!$C$1:$G$99911,5,FALSE)</f>
        <v>YANAI IAN</v>
      </c>
      <c r="M54" s="6">
        <f>I54-F54</f>
        <v>2.5972222225391306E-2</v>
      </c>
      <c r="N54" s="7">
        <f>24*60*SUM($M54:$M54)</f>
        <v>37.400000004563481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-17T08:21:03-0600',mode:absolute,to:'2017-10-17T11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23.297799999999999</v>
      </c>
      <c r="Z54" s="204">
        <f>RIGHT(H54,LEN(H54)-4)/10000</f>
        <v>1.47E-2</v>
      </c>
      <c r="AA54" s="204">
        <f>ABS(Z54-Y54)</f>
        <v>23.283099999999997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/stypes="app*4065*20171017*" /stext=" 16:.+((SYSTEM_STATE.+slice.+state.+changed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142-17 --locoid 4065 --swversion DE.1.0.9.0 --startMP 204:232978 --initTime 2017-10-17T09:21:03 --startdatetime 2017-10-17T09:42:23 --delay 45 --endMP 204:147 --enddatetime 2017-10-17T10:19:47 --enforcementcount 0 &gt;&gt;%USERPROFILE%\Documents\GitHub\eaglep3-reporting\EC\2017-10-17-refined-times.txt</v>
      </c>
      <c r="AI54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{"issue":{"subject":"","project_id":79,"tracker_id":40,"status_id":1,"priority_id":2,"assigned_to_id":338,"start_date":"2017-10-17","description":"","custom_fields":[{"id":1,"name":"Subdivision","value":"EC"},{"id":4,"name":"Milepost","value":"0.0147"},{"id":17,"name":"Train ID","value":"142-17"},{"id":16,"name":"Locomotive ID","value":"4065"},{"id":130,"name":"Impact","value":""},{"id":150,"name":"Time of Event (Mountain Time)","value":"10:19:47"},{"id":151,"name":"Denver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4065 --day 2017-10-17</v>
      </c>
      <c r="AN54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-17T08:21:03-0600',mode:absolute,to:'2017-10-17T11:19:47-0600'))&amp;_a=(columns:!('Message%20ID',Summary),filters:!(),index:'emp_*',interval:auto,query:(query_string:(analyze_wildcard:!t,query:'%22rtdc.l.rtdc.4065%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696</v>
      </c>
      <c r="B55" s="7">
        <v>4004</v>
      </c>
      <c r="C55" s="21" t="s">
        <v>194</v>
      </c>
      <c r="D55" s="21" t="s">
        <v>414</v>
      </c>
      <c r="E55" s="13">
        <v>43025.37190972222</v>
      </c>
      <c r="F55" s="13">
        <v>43025.375219907408</v>
      </c>
      <c r="G55" s="7">
        <v>53</v>
      </c>
      <c r="H55" s="21" t="s">
        <v>370</v>
      </c>
      <c r="I55" s="13">
        <v>43025.400277777779</v>
      </c>
      <c r="J55" s="7">
        <v>0</v>
      </c>
      <c r="K55" s="89" t="str">
        <f>IF(ISEVEN(B55),(B55-1)&amp;"/"&amp;B55,B55&amp;"/"&amp;(B55+1))</f>
        <v>4003/4004</v>
      </c>
      <c r="L55" s="185" t="str">
        <f>VLOOKUP(A55,'Trips&amp;Operators'!$C$1:$G$99911,5,FALSE)</f>
        <v>BONDS REYNALDO</v>
      </c>
      <c r="M55" s="6">
        <f>I55-F55</f>
        <v>2.5057870370801538E-2</v>
      </c>
      <c r="N55" s="7">
        <f>24*60*SUM($M55:$M55)</f>
        <v>36.083333333954215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-17T07:55:33-0600',mode:absolute,to:'2017-10-17T10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4.6399999999999997E-2</v>
      </c>
      <c r="Z55" s="204">
        <f>RIGHT(H55,LEN(H55)-4)/10000</f>
        <v>23.331199999999999</v>
      </c>
      <c r="AA55" s="204">
        <f>ABS(Z55-Y55)</f>
        <v>23.284800000000001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/stypes="app*4004*20171017*" /stext=" 15:.+((SYSTEM_STATE.+slice.+state.+changed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143-17 --locoid 4004 --swversion DE.1.0.9.0 --startMP 204:464 --initTime 2017-10-17T08:55:33 --startdatetime 2017-10-17T09:00:19 --delay 53 --endMP 204:233312 --enddatetime 2017-10-17T09:36:24 --enforcementcount 0 &gt;&gt;%USERPROFILE%\Documents\GitHub\eaglep3-reporting\EC\2017-10-17-refined-times.txt</v>
      </c>
      <c r="AI5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{"issue":{"subject":"","project_id":79,"tracker_id":40,"status_id":1,"priority_id":2,"assigned_to_id":338,"start_date":"2017-10-17","description":"","custom_fields":[{"id":1,"name":"Subdivision","value":"EC"},{"id":4,"name":"Milepost","value":"23.3312"},{"id":17,"name":"Train ID","value":"143-17"},{"id":16,"name":"Locomotive ID","value":"4004"},{"id":130,"name":"Impact","value":""},{"id":150,"name":"Time of Event (Mountain Time)","value":"09:36:24"},{"id":151,"name":"Denver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4004 --day 2017-10-17</v>
      </c>
      <c r="AN5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-17T07:55:33-0600',mode:absolute,to:'2017-10-17T10:36:24-0600'))&amp;_a=(columns:!('Message%20ID',Summary),filters:!(),index:'emp_*',interval:auto,query:(query_string:(analyze_wildcard:!t,query:'%22rtdc.l.rtdc.4004%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617</v>
      </c>
      <c r="B56" s="7">
        <v>4003</v>
      </c>
      <c r="C56" s="21" t="s">
        <v>194</v>
      </c>
      <c r="D56" s="21" t="s">
        <v>511</v>
      </c>
      <c r="E56" s="13">
        <v>43025.411817129629</v>
      </c>
      <c r="F56" s="13">
        <v>43025.41474537037</v>
      </c>
      <c r="G56" s="7">
        <v>64</v>
      </c>
      <c r="H56" s="21" t="s">
        <v>360</v>
      </c>
      <c r="I56" s="13">
        <v>43025.440763888888</v>
      </c>
      <c r="J56" s="7">
        <v>0</v>
      </c>
      <c r="K56" s="89" t="str">
        <f>IF(ISEVEN(B56),(B56-1)&amp;"/"&amp;B56,B56&amp;"/"&amp;(B56+1))</f>
        <v>4003/4004</v>
      </c>
      <c r="L56" s="185" t="str">
        <f>VLOOKUP(A56,'Trips&amp;Operators'!$C$1:$G$99911,5,FALSE)</f>
        <v>BONDS REYNALDO</v>
      </c>
      <c r="M56" s="6">
        <f>I56-F56</f>
        <v>2.6018518517958E-2</v>
      </c>
      <c r="N56" s="7">
        <f>24*60*SUM($M56:$M56)</f>
        <v>37.46666666585952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-17T08:53:01-0600',mode:absolute,to:'2017-10-17T11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23.300599999999999</v>
      </c>
      <c r="Z56" s="204">
        <f>RIGHT(H56,LEN(H56)-4)/10000</f>
        <v>1.61E-2</v>
      </c>
      <c r="AA56" s="204">
        <f>ABS(Z56-Y56)</f>
        <v>23.284499999999998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/stypes="app*4003*20171017*" /stext=" 16:.+((SYSTEM_STATE.+slice.+state.+changed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144-17 --locoid 4003 --swversion DE.1.0.9.0 --startMP 204:233006 --initTime 2017-10-17T09:53:01 --startdatetime 2017-10-17T09:57:14 --delay 64 --endMP 204:161 --enddatetime 2017-10-17T10:34:42 --enforcementcount 0 &gt;&gt;%USERPROFILE%\Documents\GitHub\eaglep3-reporting\EC\2017-10-17-refined-times.txt</v>
      </c>
      <c r="AI5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{"issue":{"subject":"","project_id":79,"tracker_id":40,"status_id":1,"priority_id":2,"assigned_to_id":338,"start_date":"2017-10-17","description":"","custom_fields":[{"id":1,"name":"Subdivision","value":"EC"},{"id":4,"name":"Milepost","value":"0.0161"},{"id":17,"name":"Train ID","value":"144-17"},{"id":16,"name":"Locomotive ID","value":"4003"},{"id":130,"name":"Impact","value":""},{"id":150,"name":"Time of Event (Mountain Time)","value":"10:34:42"},{"id":151,"name":"Denver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4003 --day 2017-10-17</v>
      </c>
      <c r="AN5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-17T08:53:01-0600',mode:absolute,to:'2017-10-17T11:34:42-0600'))&amp;_a=(columns:!('Message%20ID',Summary),filters:!(),index:'emp_*',interval:auto,query:(query_string:(analyze_wildcard:!t,query:'%22rtdc.l.rtdc.4003%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698</v>
      </c>
      <c r="B57" s="7">
        <v>4014</v>
      </c>
      <c r="C57" s="21" t="s">
        <v>194</v>
      </c>
      <c r="D57" s="21" t="s">
        <v>338</v>
      </c>
      <c r="E57" s="13">
        <v>43025.379340277781</v>
      </c>
      <c r="F57" s="13">
        <v>43025.385659722226</v>
      </c>
      <c r="G57" s="7">
        <v>67</v>
      </c>
      <c r="H57" s="21" t="s">
        <v>430</v>
      </c>
      <c r="I57" s="13">
        <v>43025.409039351849</v>
      </c>
      <c r="J57" s="7">
        <v>0</v>
      </c>
      <c r="K57" s="89" t="str">
        <f>IF(ISEVEN(B57),(B57-1)&amp;"/"&amp;B57,B57&amp;"/"&amp;(B57+1))</f>
        <v>4013/4014</v>
      </c>
      <c r="L57" s="185" t="str">
        <f>VLOOKUP(A57,'Trips&amp;Operators'!$C$1:$G$99911,5,FALSE)</f>
        <v>MACDONALD THOMAS</v>
      </c>
      <c r="M57" s="6">
        <f>I57-F57</f>
        <v>2.3379629623377696E-2</v>
      </c>
      <c r="N57" s="7">
        <f>24*60*SUM($M57:$M57)</f>
        <v>33.666666657663882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-17T08:06:15-0600',mode:absolute,to:'2017-10-17T10:49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4.53E-2</v>
      </c>
      <c r="Z57" s="204">
        <f>RIGHT(H57,LEN(H57)-4)/10000</f>
        <v>23.328900000000001</v>
      </c>
      <c r="AA57" s="204">
        <f>ABS(Z57-Y57)</f>
        <v>23.2836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/stypes="app*4014*20171017*" /stext=" 15:.+((SYSTEM_STATE.+slice.+state.+changed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145-17 --locoid 4014 --swversion DE.1.0.9.0 --startMP 204:453 --initTime 2017-10-17T09:06:15 --startdatetime 2017-10-17T09:15:21 --delay 67 --endMP 204:233289 --enddatetime 2017-10-17T09:49:01 --enforcementcount 0 &gt;&gt;%USERPROFILE%\Documents\GitHub\eaglep3-reporting\EC\2017-10-17-refined-times.txt</v>
      </c>
      <c r="AI5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{"issue":{"subject":"","project_id":79,"tracker_id":40,"status_id":1,"priority_id":2,"assigned_to_id":338,"start_date":"2017-10-17","description":"","custom_fields":[{"id":1,"name":"Subdivision","value":"EC"},{"id":4,"name":"Milepost","value":"23.3289"},{"id":17,"name":"Train ID","value":"145-17"},{"id":16,"name":"Locomotive ID","value":"4014"},{"id":130,"name":"Impact","value":""},{"id":150,"name":"Time of Event (Mountain Time)","value":"09:49:01"},{"id":151,"name":"Denver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4014 --day 2017-10-17</v>
      </c>
      <c r="AN5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-17T08:06:15-0600',mode:absolute,to:'2017-10-17T10:49:01-0600'))&amp;_a=(columns:!('Message%20ID',Summary),filters:!(),index:'emp_*',interval:auto,query:(query_string:(analyze_wildcard:!t,query:'%22rtdc.l.rtdc.4014%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618</v>
      </c>
      <c r="B58" s="7">
        <v>4013</v>
      </c>
      <c r="C58" s="21" t="s">
        <v>194</v>
      </c>
      <c r="D58" s="21" t="s">
        <v>574</v>
      </c>
      <c r="E58" s="13">
        <v>43025.424317129633</v>
      </c>
      <c r="F58" s="13">
        <v>43025.425243055557</v>
      </c>
      <c r="G58" s="7">
        <v>44</v>
      </c>
      <c r="H58" s="21" t="s">
        <v>363</v>
      </c>
      <c r="I58" s="13">
        <v>43025.451921296299</v>
      </c>
      <c r="J58" s="7">
        <v>0</v>
      </c>
      <c r="K58" s="89" t="str">
        <f>IF(ISEVEN(B58),(B58-1)&amp;"/"&amp;B58,B58&amp;"/"&amp;(B58+1))</f>
        <v>4013/4014</v>
      </c>
      <c r="L58" s="185" t="str">
        <f>VLOOKUP(A58,'Trips&amp;Operators'!$C$1:$G$99911,5,FALSE)</f>
        <v>MACDONALD THOMAS</v>
      </c>
      <c r="M58" s="6">
        <f>I58-F58</f>
        <v>2.6678240741603076E-2</v>
      </c>
      <c r="N58" s="7">
        <f>24*60*SUM($M58:$M58)</f>
        <v>38.41666666790843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-17T09:11:01-0600',mode:absolute,to:'2017-10-17T11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23.297999999999998</v>
      </c>
      <c r="Z58" s="204">
        <f>RIGHT(H58,LEN(H58)-4)/10000</f>
        <v>1.5800000000000002E-2</v>
      </c>
      <c r="AA58" s="204">
        <f>ABS(Z58-Y58)</f>
        <v>23.2822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/stypes="app*4013*20171017*" /stext=" 16:.+((SYSTEM_STATE.+slice.+state.+changed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146-17 --locoid 4013 --swversion DE.1.0.9.0 --startMP 204:232980 --initTime 2017-10-17T10:11:01 --startdatetime 2017-10-17T10:12:21 --delay 44 --endMP 204:158 --enddatetime 2017-10-17T10:50:46 --enforcementcount 0 &gt;&gt;%USERPROFILE%\Documents\GitHub\eaglep3-reporting\EC\2017-10-17-refined-times.txt</v>
      </c>
      <c r="AI58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ID","value":"146-17"},{"id":16,"name":"Locomotive ID","value":"4013"},{"id":130,"name":"Impact","value":""},{"id":150,"name":"Time of Event (Mountain Time)","value":"10:50:46"},{"id":151,"name":"Denver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4013 --day 2017-10-17</v>
      </c>
      <c r="AN58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-17T09:11:01-0600',mode:absolute,to:'2017-10-17T11:50:46-0600'))&amp;_a=(columns:!('Message%20ID',Summary),filters:!(),index:'emp_*',interval:auto,query:(query_string:(analyze_wildcard:!t,query:'%22rtdc.l.rtdc.4013%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701</v>
      </c>
      <c r="B59" s="7">
        <v>4050</v>
      </c>
      <c r="C59" s="21" t="s">
        <v>194</v>
      </c>
      <c r="D59" s="21" t="s">
        <v>460</v>
      </c>
      <c r="E59" s="13">
        <v>43025.391828703701</v>
      </c>
      <c r="F59" s="13">
        <v>43025.396006944444</v>
      </c>
      <c r="G59" s="7">
        <v>61</v>
      </c>
      <c r="H59" s="21" t="s">
        <v>410</v>
      </c>
      <c r="I59" s="13">
        <v>43025.42082175926</v>
      </c>
      <c r="J59" s="7">
        <v>0</v>
      </c>
      <c r="K59" s="89" t="str">
        <f>IF(ISEVEN(B59),(B59-1)&amp;"/"&amp;B59,B59&amp;"/"&amp;(B59+1))</f>
        <v>4049/4050</v>
      </c>
      <c r="L59" s="185" t="str">
        <f>VLOOKUP(A59,'Trips&amp;Operators'!$C$1:$G$99911,5,FALSE)</f>
        <v>BEAM ROSS</v>
      </c>
      <c r="M59" s="6">
        <f>I59-F59</f>
        <v>2.4814814816636499E-2</v>
      </c>
      <c r="N59" s="7">
        <f>24*60*SUM($M59:$M59)</f>
        <v>35.733333335956559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-17T08:24:14-0600',mode:absolute,to:'2017-10-17T11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4.3799999999999999E-2</v>
      </c>
      <c r="Z59" s="204">
        <f>RIGHT(H59,LEN(H59)-4)/10000</f>
        <v>23.331399999999999</v>
      </c>
      <c r="AA59" s="204">
        <f>ABS(Z59-Y59)</f>
        <v>23.287599999999998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/stypes="app*4050*20171017*"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147-17 --locoid 4050 --swversion DE.1.0.9.0 --startMP 204:438 --initTime 2017-10-17T09:24:14 --startdatetime 2017-10-17T09:30:15 --delay 61 --endMP 204:233314 --enddatetime 2017-10-17T10:05:59 --enforcementcount 0 &gt;&gt;%USERPROFILE%\Documents\GitHub\eaglep3-reporting\EC\2017-10-17-refined-times.txt</v>
      </c>
      <c r="AI59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{"issue":{"subject":"","project_id":79,"tracker_id":40,"status_id":1,"priority_id":2,"assigned_to_id":338,"start_date":"2017-10-17","description":"","custom_fields":[{"id":1,"name":"Subdivision","value":"EC"},{"id":4,"name":"Milepost","value":"23.3314"},{"id":17,"name":"Train ID","value":"147-17"},{"id":16,"name":"Locomotive ID","value":"4050"},{"id":130,"name":"Impact","value":""},{"id":150,"name":"Time of Event (Mountain Time)","value":"10:05:59"},{"id":151,"name":"Denver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4050 --day 2017-10-17</v>
      </c>
      <c r="AN59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-17T08:24:14-0600',mode:absolute,to:'2017-10-17T11:05:59-0600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708</v>
      </c>
      <c r="B60" s="7">
        <v>4049</v>
      </c>
      <c r="C60" s="21" t="s">
        <v>194</v>
      </c>
      <c r="D60" s="21" t="s">
        <v>420</v>
      </c>
      <c r="E60" s="13">
        <v>43025.421932870369</v>
      </c>
      <c r="F60" s="13">
        <v>43025.435879629629</v>
      </c>
      <c r="G60" s="7">
        <v>54</v>
      </c>
      <c r="H60" s="21" t="s">
        <v>354</v>
      </c>
      <c r="I60" s="13">
        <v>43025.461238425924</v>
      </c>
      <c r="J60" s="7">
        <v>0</v>
      </c>
      <c r="K60" s="89" t="str">
        <f>IF(ISEVEN(B60),(B60-1)&amp;"/"&amp;B60,B60&amp;"/"&amp;(B60+1))</f>
        <v>4049/4050</v>
      </c>
      <c r="L60" s="185" t="str">
        <f>VLOOKUP(A60,'Trips&amp;Operators'!$C$1:$G$99911,5,FALSE)</f>
        <v>BEAM ROSS</v>
      </c>
      <c r="M60" s="6">
        <f>I60-F60</f>
        <v>2.5358796294312924E-2</v>
      </c>
      <c r="N60" s="7">
        <f>24*60*SUM($M60:$M60)</f>
        <v>36.516666663810611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-17T09:07:35-0600',mode:absolute,to:'2017-10-17T12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23.298500000000001</v>
      </c>
      <c r="Z60" s="204">
        <f>RIGHT(H60,LEN(H60)-4)/10000</f>
        <v>1.52E-2</v>
      </c>
      <c r="AA60" s="204">
        <f>ABS(Z60-Y60)</f>
        <v>23.283300000000001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/stypes="app*4049*20171017*" /stext=" 17:.+((SYSTEM_STATE.+slice.+state.+changed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148-17 --locoid 4049 --swversion DE.1.0.9.0 --startMP 204:232985 --initTime 2017-10-17T10:07:35 --startdatetime 2017-10-17T10:27:40 --delay 54 --endMP 204:152 --enddatetime 2017-10-17T11:04:11 --enforcementcount 0 &gt;&gt;%USERPROFILE%\Documents\GitHub\eaglep3-reporting\EC\2017-10-17-refined-times.txt</v>
      </c>
      <c r="AI60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ID","value":"148-17"},{"id":16,"name":"Locomotive ID","value":"4049"},{"id":130,"name":"Impact","value":""},{"id":150,"name":"Time of Event (Mountain Time)","value":"11:04:11"},{"id":151,"name":"Denver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4049 --day 2017-10-17</v>
      </c>
      <c r="AN60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-17T09:07:35-0600',mode:absolute,to:'2017-10-17T12:04:11-0600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704</v>
      </c>
      <c r="B61" s="7">
        <v>4010</v>
      </c>
      <c r="C61" s="21" t="s">
        <v>194</v>
      </c>
      <c r="D61" s="21" t="s">
        <v>374</v>
      </c>
      <c r="E61" s="13">
        <v>43025.400856481479</v>
      </c>
      <c r="F61" s="13">
        <v>43025.406493055554</v>
      </c>
      <c r="G61" s="7">
        <v>69</v>
      </c>
      <c r="H61" s="21" t="s">
        <v>866</v>
      </c>
      <c r="I61" s="13">
        <v>43025.430324074077</v>
      </c>
      <c r="J61" s="7">
        <v>0</v>
      </c>
      <c r="K61" s="89" t="str">
        <f>IF(ISEVEN(B61),(B61-1)&amp;"/"&amp;B61,B61&amp;"/"&amp;(B61+1))</f>
        <v>4009/4010</v>
      </c>
      <c r="L61" s="185" t="str">
        <f>VLOOKUP(A61,'Trips&amp;Operators'!$C$1:$G$99911,5,FALSE)</f>
        <v>LALONDE GREGORY</v>
      </c>
      <c r="M61" s="6">
        <f>I61-F61</f>
        <v>2.383101852319669E-2</v>
      </c>
      <c r="N61" s="7">
        <f>24*60*SUM($M61:$M61)</f>
        <v>34.316666673403233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-17T08:37:14-0600',mode:absolute,to:'2017-10-17T11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4.4699999999999997E-2</v>
      </c>
      <c r="Z61" s="204">
        <f>RIGHT(H61,LEN(H61)-4)/10000</f>
        <v>23.332599999999999</v>
      </c>
      <c r="AA61" s="204">
        <f>ABS(Z61-Y61)</f>
        <v>23.2879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/stypes="app*4010*20171017*" /stext=" 16:.+((SYSTEM_STATE.+slice.+state.+changed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149-17 --locoid 4010 --swversion DE.1.0.9.0 --startMP 204:447 --initTime 2017-10-17T09:37:14 --startdatetime 2017-10-17T09:45:21 --delay 69 --endMP 204:233326 --enddatetime 2017-10-17T10:19:40 --enforcementcount 0 &gt;&gt;%USERPROFILE%\Documents\GitHub\eaglep3-reporting\EC\2017-10-17-refined-times.txt</v>
      </c>
      <c r="AI61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{"issue":{"subject":"","project_id":79,"tracker_id":40,"status_id":1,"priority_id":2,"assigned_to_id":338,"start_date":"2017-10-17","description":"","custom_fields":[{"id":1,"name":"Subdivision","value":"EC"},{"id":4,"name":"Milepost","value":"23.3326"},{"id":17,"name":"Train ID","value":"149-17"},{"id":16,"name":"Locomotive ID","value":"4010"},{"id":130,"name":"Impact","value":""},{"id":150,"name":"Time of Event (Mountain Time)","value":"10:19:40"},{"id":151,"name":"Denver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4010 --day 2017-10-17</v>
      </c>
      <c r="AN61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-17T08:37:14-0600',mode:absolute,to:'2017-10-17T11:19:40-0600'))&amp;_a=(columns:!('Message%20ID',Summary),filters:!(),index:'emp_*',interval:auto,query:(query_string:(analyze_wildcard:!t,query:'%22rtdc.l.rtdc.4010%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714</v>
      </c>
      <c r="B62" s="7">
        <v>4009</v>
      </c>
      <c r="C62" s="21" t="s">
        <v>194</v>
      </c>
      <c r="D62" s="21" t="s">
        <v>556</v>
      </c>
      <c r="E62" s="13">
        <v>43025.431921296295</v>
      </c>
      <c r="F62" s="13">
        <v>43025.520370370374</v>
      </c>
      <c r="G62" s="7">
        <v>106</v>
      </c>
      <c r="H62" s="21" t="s">
        <v>556</v>
      </c>
      <c r="I62" s="13">
        <v>43025.548090277778</v>
      </c>
      <c r="J62" s="7">
        <v>0</v>
      </c>
      <c r="K62" s="89" t="str">
        <f>IF(ISEVEN(B62),(B62-1)&amp;"/"&amp;B62,B62&amp;"/"&amp;(B62+1))</f>
        <v>4009/4010</v>
      </c>
      <c r="L62" s="185" t="str">
        <f>VLOOKUP(A62,'Trips&amp;Operators'!$C$1:$G$99911,5,FALSE)</f>
        <v>LALONDE GREGORY</v>
      </c>
      <c r="M62" s="6">
        <f>I62-F62</f>
        <v>2.7719907404389232E-2</v>
      </c>
      <c r="N62" s="7"/>
      <c r="O62" s="7"/>
      <c r="P62" s="7">
        <f>24*60*SUM($M62:$M62)</f>
        <v>39.916666662320495</v>
      </c>
      <c r="Q62" s="22"/>
      <c r="R62" s="174" t="s">
        <v>605</v>
      </c>
      <c r="S62" s="221">
        <f>1/IF(AG62="EC",12,1)*SUM(U62:U62)</f>
        <v>0</v>
      </c>
      <c r="T62" s="174" t="str">
        <f>IF(ISEVEN(LEFT(AD62,4)),"Southbound","NorthBound")</f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-17T09:21:58-0600',mode:absolute,to:'2017-10-17T14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204" t="str">
        <f>IF(AA62&lt;VLOOKUP(AG62,Variables!$AC$3:$AD$8,2,FALSE),"Y","N")</f>
        <v>Y</v>
      </c>
      <c r="X62" s="204">
        <f>VALUE(LEFT(AD62,4))-VALUE(LEFT(AD61,4))</f>
        <v>1</v>
      </c>
      <c r="Y62" s="204">
        <f>RIGHT(D62,LEN(D62)-4)/10000</f>
        <v>23.301100000000002</v>
      </c>
      <c r="Z62" s="204">
        <f>RIGHT(H62,LEN(H62)-4)/10000</f>
        <v>23.301100000000002</v>
      </c>
      <c r="AA62" s="204">
        <f>ABS(Z62-Y62)</f>
        <v>0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/stypes="app*4009*20171017*" /stext=" 19:.+((SYSTEM_STATE.+slice.+state.+changed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150-17 --locoid 4009 --swversion DE.1.0.9.0 --startMP 204:233011 --initTime 2017-10-17T10:21:58 --startdatetime 2017-10-17T12:29:20 --delay 106 --endMP 204:233011 --enddatetime 2017-10-17T13:09:15 --enforcementcount 0 &gt;&gt;%USERPROFILE%\Documents\GitHub\eaglep3-reporting\EC\2017-10-17-refined-times.txt</v>
      </c>
      <c r="AI62" s="96" t="str">
        <f t="shared" si="6"/>
        <v>echo {"issue":{"subject":"Onboard en route failure","project_id":79,"tracker_id":40,"status_id":1,"priority_id":2,"assigned_to_id":338,"start_date":"2017-10-17","description":"","custom_fields":[{"id":1,"name":"Subdivision","value":"EC"},{"id":4,"name":"Milepost","value":"23.3011"},{"id":17,"name":"Train ID","value":"150-17"},{"id":16,"name":"Locomotive ID","value":"4009"},{"id":130,"name":"Impact","value":""},{"id":150,"name":"Time of Event (Mountain Time)","value":"13:09:15"},{"id":151,"name":"Denver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4009 --day 2017-10-17</v>
      </c>
      <c r="AN62" s="151" t="str">
        <f t="shared" si="8"/>
        <v>echo {"issue":{"subject":"Onboard en route failure","project_id":30,"tracker_id":4,"status_id":1,"priority_id":1,"assigned_to_id":10,"start_date":"2017-10-17","description":"","custom_fields":[{"id":30,"name":"Category","value":"Issue"},{"id":3,"name":"Functional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-17T09:21:58-0600',mode:absolute,to:'2017-10-17T14:09:15-0600'))&amp;_a=(columns:!('Message%20ID',Summary),filters:!(),index:'emp_*',interval:auto,query:(query_string:(analyze_wildcard:!t,query:'%22rtdc.l.rtdc.4009%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705</v>
      </c>
      <c r="B63" s="7">
        <v>4036</v>
      </c>
      <c r="C63" s="21" t="s">
        <v>194</v>
      </c>
      <c r="D63" s="21" t="s">
        <v>428</v>
      </c>
      <c r="E63" s="13">
        <v>43025.412511574075</v>
      </c>
      <c r="F63" s="13">
        <v>43025.416886574072</v>
      </c>
      <c r="G63" s="7">
        <v>56</v>
      </c>
      <c r="H63" s="21" t="s">
        <v>867</v>
      </c>
      <c r="I63" s="13">
        <v>43025.441493055558</v>
      </c>
      <c r="J63" s="7">
        <v>0</v>
      </c>
      <c r="K63" s="89" t="str">
        <f>IF(ISEVEN(B63),(B63-1)&amp;"/"&amp;B63,B63&amp;"/"&amp;(B63+1))</f>
        <v>4035/4036</v>
      </c>
      <c r="L63" s="185" t="str">
        <f>VLOOKUP(A63,'Trips&amp;Operators'!$C$1:$G$99911,5,FALSE)</f>
        <v>LAMAR NEKESHA</v>
      </c>
      <c r="M63" s="6">
        <f>I63-F63</f>
        <v>2.4606481485534459E-2</v>
      </c>
      <c r="N63" s="7">
        <f>24*60*SUM($M63:$M63)</f>
        <v>35.433333339169621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-17T08:54:01-0600',mode:absolute,to:'2017-10-17T11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4.6199999999999998E-2</v>
      </c>
      <c r="Z63" s="204">
        <f>RIGHT(H63,LEN(H63)-4)/10000</f>
        <v>23.333100000000002</v>
      </c>
      <c r="AA63" s="204">
        <f>ABS(Z63-Y63)</f>
        <v>23.286900000000003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/stypes="app*4036*20171017*" /stext=" 16:.+((SYSTEM_STATE.+slice.+state.+changed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151-17 --locoid 4036 --swversion DE.1.0.9.0 --startMP 204:462 --initTime 2017-10-17T09:54:01 --startdatetime 2017-10-17T10:00:19 --delay 56 --endMP 204:233331 --enddatetime 2017-10-17T10:35:45 --enforcementcount 0 &gt;&gt;%USERPROFILE%\Documents\GitHub\eaglep3-reporting\EC\2017-10-17-refined-times.txt</v>
      </c>
      <c r="AI63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{"issue":{"subject":"","project_id":79,"tracker_id":40,"status_id":1,"priority_id":2,"assigned_to_id":338,"start_date":"2017-10-17","description":"","custom_fields":[{"id":1,"name":"Subdivision","value":"EC"},{"id":4,"name":"Milepost","value":"23.3331"},{"id":17,"name":"Train ID","value":"151-17"},{"id":16,"name":"Locomotive ID","value":"4036"},{"id":130,"name":"Impact","value":""},{"id":150,"name":"Time of Event (Mountain Time)","value":"10:35:45"},{"id":151,"name":"Denver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4036 --day 2017-10-17</v>
      </c>
      <c r="AN63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-17T08:54:01-0600',mode:absolute,to:'2017-10-17T11:35:45-0600'))&amp;_a=(columns:!('Message%20ID',Summary),filters:!(),index:'emp_*',interval:auto,query:(query_string:(analyze_wildcard:!t,query:'%22rtdc.l.rtdc.4036%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620</v>
      </c>
      <c r="B64" s="7">
        <v>4035</v>
      </c>
      <c r="C64" s="21" t="s">
        <v>194</v>
      </c>
      <c r="D64" s="21" t="s">
        <v>579</v>
      </c>
      <c r="E64" s="13">
        <v>43025.453865740739</v>
      </c>
      <c r="F64" s="13">
        <v>43025.456446759257</v>
      </c>
      <c r="G64" s="7">
        <v>88</v>
      </c>
      <c r="H64" s="21" t="s">
        <v>355</v>
      </c>
      <c r="I64" s="13">
        <v>43025.482731481483</v>
      </c>
      <c r="J64" s="7">
        <v>0</v>
      </c>
      <c r="K64" s="89" t="str">
        <f>IF(ISEVEN(B64),(B64-1)&amp;"/"&amp;B64,B64&amp;"/"&amp;(B64+1))</f>
        <v>4035/4036</v>
      </c>
      <c r="L64" s="185" t="str">
        <f>VLOOKUP(A64,'Trips&amp;Operators'!$C$1:$G$99911,5,FALSE)</f>
        <v>LAMAR NEKESHA</v>
      </c>
      <c r="M64" s="6">
        <f>I64-F64</f>
        <v>2.6284722225682344E-2</v>
      </c>
      <c r="N64" s="7">
        <f>24*60*SUM($M64:$M64)</f>
        <v>37.850000004982576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-17T09:53:34-0600',mode:absolute,to:'2017-10-17T12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23.300999999999998</v>
      </c>
      <c r="Z64" s="204">
        <f>RIGHT(H64,LEN(H64)-4)/10000</f>
        <v>1.4500000000000001E-2</v>
      </c>
      <c r="AA64" s="204">
        <f>ABS(Z64-Y64)</f>
        <v>23.286499999999997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/stypes="app*4035*20171017*" /stext=" 17:.+((SYSTEM_STATE.+slice.+state.+changed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152-17 --locoid 4035 --swversion DE.1.0.9.0 --startMP 204:233010 --initTime 2017-10-17T10:53:34 --startdatetime 2017-10-17T10:57:17 --delay 88 --endMP 204:145 --enddatetime 2017-10-17T11:35:08 --enforcementcount 0 &gt;&gt;%USERPROFILE%\Documents\GitHub\eaglep3-reporting\EC\2017-10-17-refined-times.txt</v>
      </c>
      <c r="AI64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ID","value":"152-17"},{"id":16,"name":"Locomotive ID","value":"4035"},{"id":130,"name":"Impact","value":""},{"id":150,"name":"Time of Event (Mountain Time)","value":"11:35:08"},{"id":151,"name":"Denver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4035 --day 2017-10-17</v>
      </c>
      <c r="AN64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-17T09:53:34-0600',mode:absolute,to:'2017-10-17T12:35:08-0600'))&amp;_a=(columns:!('Message%20ID',Summary),filters:!(),index:'emp_*',interval:auto,query:(query_string:(analyze_wildcard:!t,query:'%22rtdc.l.rtdc.4035%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707</v>
      </c>
      <c r="B65" s="7">
        <v>4016</v>
      </c>
      <c r="C65" s="21" t="s">
        <v>194</v>
      </c>
      <c r="D65" s="21" t="s">
        <v>390</v>
      </c>
      <c r="E65" s="13">
        <v>43025.4215625</v>
      </c>
      <c r="F65" s="13">
        <v>43025.427268518521</v>
      </c>
      <c r="G65" s="7">
        <v>79</v>
      </c>
      <c r="H65" s="21" t="s">
        <v>562</v>
      </c>
      <c r="I65" s="13">
        <v>43025.451909722222</v>
      </c>
      <c r="J65" s="7">
        <v>0</v>
      </c>
      <c r="K65" s="89" t="str">
        <f>IF(ISEVEN(B65),(B65-1)&amp;"/"&amp;B65,B65&amp;"/"&amp;(B65+1))</f>
        <v>4015/4016</v>
      </c>
      <c r="L65" s="185" t="str">
        <f>VLOOKUP(A65,'Trips&amp;Operators'!$C$1:$G$99911,5,FALSE)</f>
        <v>YANG JAN</v>
      </c>
      <c r="M65" s="6">
        <f>I65-F65</f>
        <v>2.4641203701321501E-2</v>
      </c>
      <c r="N65" s="7">
        <f>24*60*SUM($M65:$M65)</f>
        <v>35.483333329902962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-17T09:07:03-0600',mode:absolute,to:'2017-10-17T11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4.7300000000000002E-2</v>
      </c>
      <c r="Z65" s="204">
        <f>RIGHT(H65,LEN(H65)-4)/10000</f>
        <v>23.331099999999999</v>
      </c>
      <c r="AA65" s="204">
        <f>ABS(Z65-Y65)</f>
        <v>23.283799999999999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/stypes="app*4016*20171017*" /stext=" 16:.+((SYSTEM_STATE.+slice.+state.+changed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153-17 --locoid 4016 --swversion DE.1.0.9.0 --startMP 204:473 --initTime 2017-10-17T10:07:03 --startdatetime 2017-10-17T10:15:16 --delay 79 --endMP 204:233311 --enddatetime 2017-10-17T10:50:45 --enforcementcount 0 &gt;&gt;%USERPROFILE%\Documents\GitHub\eaglep3-reporting\EC\2017-10-17-refined-times.txt</v>
      </c>
      <c r="AI6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{"issue":{"subject":"","project_id":79,"tracker_id":40,"status_id":1,"priority_id":2,"assigned_to_id":338,"start_date":"2017-10-17","description":"","custom_fields":[{"id":1,"name":"Subdivision","value":"EC"},{"id":4,"name":"Milepost","value":"23.3311"},{"id":17,"name":"Train ID","value":"153-17"},{"id":16,"name":"Locomotive ID","value":"4016"},{"id":130,"name":"Impact","value":""},{"id":150,"name":"Time of Event (Mountain Time)","value":"10:50:45"},{"id":151,"name":"Denver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4016 --day 2017-10-17</v>
      </c>
      <c r="AN6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-17T09:07:03-0600',mode:absolute,to:'2017-10-17T11:50:45-0600'))&amp;_a=(columns:!('Message%20ID',Summary),filters:!(),index:'emp_*',interval:auto,query:(query_string:(analyze_wildcard:!t,query:'%22rtdc.l.rtdc.4016%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721</v>
      </c>
      <c r="B66" s="7">
        <v>4015</v>
      </c>
      <c r="C66" s="21" t="s">
        <v>194</v>
      </c>
      <c r="D66" s="21" t="s">
        <v>868</v>
      </c>
      <c r="E66" s="13">
        <v>43025.454027777778</v>
      </c>
      <c r="F66" s="13">
        <v>43025.466886574075</v>
      </c>
      <c r="G66" s="7">
        <v>75</v>
      </c>
      <c r="H66" s="21" t="s">
        <v>357</v>
      </c>
      <c r="I66" s="13">
        <v>43025.493171296293</v>
      </c>
      <c r="J66" s="7">
        <v>0</v>
      </c>
      <c r="K66" s="89" t="str">
        <f>IF(ISEVEN(B66),(B66-1)&amp;"/"&amp;B66,B66&amp;"/"&amp;(B66+1))</f>
        <v>4015/4016</v>
      </c>
      <c r="L66" s="185" t="str">
        <f>VLOOKUP(A66,'Trips&amp;Operators'!$C$1:$G$99911,5,FALSE)</f>
        <v>YANG JAN</v>
      </c>
      <c r="M66" s="6">
        <f>I66-F66</f>
        <v>2.6284722218406387E-2</v>
      </c>
      <c r="N66" s="7">
        <f>24*60*SUM($M66:$M66)</f>
        <v>37.849999994505197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-17T09:53:48-0600',mode:absolute,to:'2017-10-17T12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23.2988</v>
      </c>
      <c r="Z66" s="204">
        <f>RIGHT(H66,LEN(H66)-4)/10000</f>
        <v>1.5599999999999999E-2</v>
      </c>
      <c r="AA66" s="204">
        <f>ABS(Z66-Y66)</f>
        <v>23.283200000000001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/stypes="app*4015*20171017*" /stext=" 17:.+((SYSTEM_STATE.+slice.+state.+changed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154-17 --locoid 4015 --swversion DE.1.0.9.0 --startMP 204:232988 --initTime 2017-10-17T10:53:48 --startdatetime 2017-10-17T11:12:19 --delay 75 --endMP 204:156 --enddatetime 2017-10-17T11:50:10 --enforcementcount 0 &gt;&gt;%USERPROFILE%\Documents\GitHub\eaglep3-reporting\EC\2017-10-17-refined-times.txt</v>
      </c>
      <c r="AI6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{"issue":{"subject":"","project_id":79,"tracker_id":40,"status_id":1,"priority_id":2,"assigned_to_id":338,"start_date":"2017-10-17","description":"","custom_fields":[{"id":1,"name":"Subdivision","value":"EC"},{"id":4,"name":"Milepost","value":"0.0156"},{"id":17,"name":"Train ID","value":"154-17"},{"id":16,"name":"Locomotive ID","value":"4015"},{"id":130,"name":"Impact","value":""},{"id":150,"name":"Time of Event (Mountain Time)","value":"11:50:10"},{"id":151,"name":"Denver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4015 --day 2017-10-17</v>
      </c>
      <c r="AN6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-17T09:53:48-0600',mode:absolute,to:'2017-10-17T12:50:10-0600'))&amp;_a=(columns:!('Message%20ID',Summary),filters:!(),index:'emp_*',interval:auto,query:(query_string:(analyze_wildcard:!t,query:'%22rtdc.l.rtdc.4015%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713</v>
      </c>
      <c r="B67" s="7">
        <v>4066</v>
      </c>
      <c r="C67" s="21" t="s">
        <v>194</v>
      </c>
      <c r="D67" s="21" t="s">
        <v>338</v>
      </c>
      <c r="E67" s="13">
        <v>43025.43141203704</v>
      </c>
      <c r="F67" s="13">
        <v>43025.437673611108</v>
      </c>
      <c r="G67" s="7">
        <v>48</v>
      </c>
      <c r="H67" s="21" t="s">
        <v>394</v>
      </c>
      <c r="I67" s="13">
        <v>43025.462233796294</v>
      </c>
      <c r="J67" s="7">
        <v>0</v>
      </c>
      <c r="K67" s="89" t="str">
        <f>IF(ISEVEN(B67),(B67-1)&amp;"/"&amp;B67,B67&amp;"/"&amp;(B67+1))</f>
        <v>4065/4066</v>
      </c>
      <c r="L67" s="185" t="str">
        <f>VLOOKUP(A67,'Trips&amp;Operators'!$C$1:$G$99911,5,FALSE)</f>
        <v>YANAI IAN</v>
      </c>
      <c r="M67" s="6">
        <f>I67-F67</f>
        <v>2.4560185185691807E-2</v>
      </c>
      <c r="N67" s="7">
        <f>24*60*SUM($M67:$M67)</f>
        <v>35.366666667396203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-17T09:21:14-0600',mode:absolute,to:'2017-10-17T12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4.53E-2</v>
      </c>
      <c r="Z67" s="204">
        <f>RIGHT(H67,LEN(H67)-4)/10000</f>
        <v>23.330200000000001</v>
      </c>
      <c r="AA67" s="204">
        <f>ABS(Z67-Y67)</f>
        <v>23.2849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/stypes="app*4066*20171017*"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155-17 --locoid 4066 --swversion DE.1.0.9.0 --startMP 204:453 --initTime 2017-10-17T10:21:14 --startdatetime 2017-10-17T10:30:15 --delay 48 --endMP 204:233302 --enddatetime 2017-10-17T11:05:37 --enforcementcount 0 &gt;&gt;%USERPROFILE%\Documents\GitHub\eaglep3-reporting\EC\2017-10-17-refined-times.txt</v>
      </c>
      <c r="AI6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{"issue":{"subject":"","project_id":79,"tracker_id":40,"status_id":1,"priority_id":2,"assigned_to_id":338,"start_date":"2017-10-17","description":"","custom_fields":[{"id":1,"name":"Subdivision","value":"EC"},{"id":4,"name":"Milepost","value":"23.3302"},{"id":17,"name":"Train ID","value":"155-17"},{"id":16,"name":"Locomotive ID","value":"4066"},{"id":130,"name":"Impact","value":""},{"id":150,"name":"Time of Event (Mountain Time)","value":"11:05:37"},{"id":151,"name":"Denver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4066 --day 2017-10-17</v>
      </c>
      <c r="AN6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-17T09:21:14-0600',mode:absolute,to:'2017-10-17T12:05:37-0600'))&amp;_a=(columns:!('Message%20ID',Summary),filters:!(),index:'emp_*',interval:auto,query:(query_string:(analyze_wildcard:!t,query:'%22rtdc.l.rtdc.4066%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722</v>
      </c>
      <c r="B68" s="7">
        <v>4065</v>
      </c>
      <c r="C68" s="21" t="s">
        <v>194</v>
      </c>
      <c r="D68" s="21" t="s">
        <v>861</v>
      </c>
      <c r="E68" s="13">
        <v>43025.463379629633</v>
      </c>
      <c r="F68" s="13">
        <v>43025.477222222224</v>
      </c>
      <c r="G68" s="7">
        <v>46</v>
      </c>
      <c r="H68" s="21" t="s">
        <v>869</v>
      </c>
      <c r="I68" s="13">
        <v>43025.502627314818</v>
      </c>
      <c r="J68" s="7">
        <v>0</v>
      </c>
      <c r="K68" s="89" t="str">
        <f>IF(ISEVEN(B68),(B68-1)&amp;"/"&amp;B68,B68&amp;"/"&amp;(B68+1))</f>
        <v>4065/4066</v>
      </c>
      <c r="L68" s="185" t="str">
        <f>VLOOKUP(A68,'Trips&amp;Operators'!$C$1:$G$99911,5,FALSE)</f>
        <v>YANAI IAN</v>
      </c>
      <c r="M68" s="6">
        <f>I68-F68</f>
        <v>2.5405092594155576E-2</v>
      </c>
      <c r="N68" s="7">
        <f>24*60*SUM($M68:$M68)</f>
        <v>36.58333333558403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-17T10:07:16-0600',mode:absolute,to:'2017-10-17T13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23.299299999999999</v>
      </c>
      <c r="Z68" s="204">
        <f>RIGHT(H68,LEN(H68)-4)/10000</f>
        <v>1.32E-2</v>
      </c>
      <c r="AA68" s="204">
        <f>ABS(Z68-Y68)</f>
        <v>23.286099999999998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/stypes="app*4065*20171017*" /stext=" 18:.+((SYSTEM_STATE.+slice.+state.+changed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156-17 --locoid 4065 --swversion DE.1.0.9.0 --startMP 204:232993 --initTime 2017-10-17T11:07:16 --startdatetime 2017-10-17T11:27:12 --delay 46 --endMP 204:132 --enddatetime 2017-10-17T12:03:47 --enforcementcount 0 &gt;&gt;%USERPROFILE%\Documents\GitHub\eaglep3-reporting\EC\2017-10-17-refined-times.txt</v>
      </c>
      <c r="AI68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{"issue":{"subject":"","project_id":79,"tracker_id":40,"status_id":1,"priority_id":2,"assigned_to_id":338,"start_date":"2017-10-17","description":"","custom_fields":[{"id":1,"name":"Subdivision","value":"EC"},{"id":4,"name":"Milepost","value":"0.0132"},{"id":17,"name":"Train ID","value":"156-17"},{"id":16,"name":"Locomotive ID","value":"4065"},{"id":130,"name":"Impact","value":""},{"id":150,"name":"Time of Event (Mountain Time)","value":"12:03:47"},{"id":151,"name":"Denver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4065 --day 2017-10-17</v>
      </c>
      <c r="AN68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-17T10:07:16-0600',mode:absolute,to:'2017-10-17T13:03:47-0600'))&amp;_a=(columns:!('Message%20ID',Summary),filters:!(),index:'emp_*',interval:auto,query:(query_string:(analyze_wildcard:!t,query:'%22rtdc.l.rtdc.4065%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716</v>
      </c>
      <c r="B69" s="7">
        <v>4004</v>
      </c>
      <c r="C69" s="21" t="s">
        <v>194</v>
      </c>
      <c r="D69" s="21" t="s">
        <v>466</v>
      </c>
      <c r="E69" s="13">
        <v>43025.443182870367</v>
      </c>
      <c r="F69" s="13">
        <v>43025.448067129626</v>
      </c>
      <c r="G69" s="7">
        <v>95</v>
      </c>
      <c r="H69" s="21" t="s">
        <v>560</v>
      </c>
      <c r="I69" s="13">
        <v>43025.471678240741</v>
      </c>
      <c r="J69" s="7">
        <v>0</v>
      </c>
      <c r="K69" s="89" t="str">
        <f>IF(ISEVEN(B69),(B69-1)&amp;"/"&amp;B69,B69&amp;"/"&amp;(B69+1))</f>
        <v>4003/4004</v>
      </c>
      <c r="L69" s="185" t="str">
        <f>VLOOKUP(A69,'Trips&amp;Operators'!$C$1:$G$99911,5,FALSE)</f>
        <v>NEWELL JAMES</v>
      </c>
      <c r="M69" s="6">
        <f>I69-F69</f>
        <v>2.3611111115314998E-2</v>
      </c>
      <c r="N69" s="7">
        <f>24*60*SUM($M69:$M69)</f>
        <v>34.000000006053597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-17T09:38:11-0600',mode:absolute,to:'2017-10-17T12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4.4400000000000002E-2</v>
      </c>
      <c r="Z69" s="204">
        <f>RIGHT(H69,LEN(H69)-4)/10000</f>
        <v>23.328800000000001</v>
      </c>
      <c r="AA69" s="204">
        <f>ABS(Z69-Y69)</f>
        <v>23.284400000000002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/stypes="app*4004*20171017*"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157-17 --locoid 4004 --swversion DE.1.0.9.0 --startMP 204:444 --initTime 2017-10-17T10:38:11 --startdatetime 2017-10-17T10:45:13 --delay 95 --endMP 204:233288 --enddatetime 2017-10-17T11:19:13 --enforcementcount 0 &gt;&gt;%USERPROFILE%\Documents\GitHub\eaglep3-reporting\EC\2017-10-17-refined-times.txt</v>
      </c>
      <c r="AI69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{"issue":{"subject":"","project_id":79,"tracker_id":40,"status_id":1,"priority_id":2,"assigned_to_id":338,"start_date":"2017-10-17","description":"","custom_fields":[{"id":1,"name":"Subdivision","value":"EC"},{"id":4,"name":"Milepost","value":"23.3288"},{"id":17,"name":"Train ID","value":"157-17"},{"id":16,"name":"Locomotive ID","value":"4004"},{"id":130,"name":"Impact","value":""},{"id":150,"name":"Time of Event (Mountain Time)","value":"11:19:13"},{"id":151,"name":"Denver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4004 --day 2017-10-17</v>
      </c>
      <c r="AN69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-17T09:38:11-0600',mode:absolute,to:'2017-10-17T12:19:13-0600'))&amp;_a=(columns:!('Message%20ID',Summary),filters:!(),index:'emp_*',interval:auto,query:(query_string:(analyze_wildcard:!t,query:'%22rtdc.l.rtdc.4004%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729</v>
      </c>
      <c r="B70" s="7">
        <v>4003</v>
      </c>
      <c r="C70" s="21" t="s">
        <v>194</v>
      </c>
      <c r="D70" s="21" t="s">
        <v>574</v>
      </c>
      <c r="E70" s="13">
        <v>43025.480138888888</v>
      </c>
      <c r="F70" s="13">
        <v>43025.487650462965</v>
      </c>
      <c r="G70" s="7">
        <v>60</v>
      </c>
      <c r="H70" s="21" t="s">
        <v>335</v>
      </c>
      <c r="I70" s="13">
        <v>43025.513321759259</v>
      </c>
      <c r="J70" s="7">
        <v>0</v>
      </c>
      <c r="K70" s="89" t="str">
        <f>IF(ISEVEN(B70),(B70-1)&amp;"/"&amp;B70,B70&amp;"/"&amp;(B70+1))</f>
        <v>4003/4004</v>
      </c>
      <c r="L70" s="185" t="str">
        <f>VLOOKUP(A70,'Trips&amp;Operators'!$C$1:$G$99911,5,FALSE)</f>
        <v>NEWELL JAMES</v>
      </c>
      <c r="M70" s="6">
        <f>I70-F70</f>
        <v>2.5671296294603962E-2</v>
      </c>
      <c r="N70" s="7">
        <f>24*60*SUM($M70:$M70)</f>
        <v>36.966666664229706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-17T10:31:24-0600',mode:absolute,to:'2017-10-17T13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23.297999999999998</v>
      </c>
      <c r="Z70" s="204">
        <f>RIGHT(H70,LEN(H70)-4)/10000</f>
        <v>1.4999999999999999E-2</v>
      </c>
      <c r="AA70" s="204">
        <f>ABS(Z70-Y70)</f>
        <v>23.282999999999998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/stypes="app*4003*20171017*"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158-17 --locoid 4003 --swversion DE.1.0.9.0 --startMP 204:232980 --initTime 2017-10-17T11:31:24 --startdatetime 2017-10-17T11:42:13 --delay 60 --endMP 204:150 --enddatetime 2017-10-17T12:19:11 --enforcementcount 0 &gt;&gt;%USERPROFILE%\Documents\GitHub\eaglep3-reporting\EC\2017-10-17-refined-times.txt</v>
      </c>
      <c r="AI70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{"issue":{"subject":"","project_id":79,"tracker_id":40,"status_id":1,"priority_id":2,"assigned_to_id":338,"start_date":"2017-10-17","description":"","custom_fields":[{"id":1,"name":"Subdivision","value":"EC"},{"id":4,"name":"Milepost","value":"0.015"},{"id":17,"name":"Train ID","value":"158-17"},{"id":16,"name":"Locomotive ID","value":"4003"},{"id":130,"name":"Impact","value":""},{"id":150,"name":"Time of Event (Mountain Time)","value":"12:19:11"},{"id":151,"name":"Denver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4003 --day 2017-10-17</v>
      </c>
      <c r="AN70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-17T10:31:24-0600',mode:absolute,to:'2017-10-17T13:19:11-0600'))&amp;_a=(columns:!('Message%20ID',Summary),filters:!(),index:'emp_*',interval:auto,query:(query_string:(analyze_wildcard:!t,query:'%22rtdc.l.rtdc.4003%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720</v>
      </c>
      <c r="B71" s="7">
        <v>4014</v>
      </c>
      <c r="C71" s="21" t="s">
        <v>194</v>
      </c>
      <c r="D71" s="21" t="s">
        <v>870</v>
      </c>
      <c r="E71" s="13">
        <v>43025.453194444446</v>
      </c>
      <c r="F71" s="13">
        <v>43025.458483796298</v>
      </c>
      <c r="G71" s="7">
        <v>66</v>
      </c>
      <c r="H71" s="21" t="s">
        <v>559</v>
      </c>
      <c r="I71" s="13">
        <v>43025.482708333337</v>
      </c>
      <c r="J71" s="7">
        <v>0</v>
      </c>
      <c r="K71" s="89" t="str">
        <f>IF(ISEVEN(B71),(B71-1)&amp;"/"&amp;B71,B71&amp;"/"&amp;(B71+1))</f>
        <v>4013/4014</v>
      </c>
      <c r="L71" s="185" t="str">
        <f>VLOOKUP(A71,'Trips&amp;Operators'!$C$1:$G$99911,5,FALSE)</f>
        <v>RESPASS AARON</v>
      </c>
      <c r="M71" s="6">
        <f>I71-F71</f>
        <v>2.4224537039117422E-2</v>
      </c>
      <c r="N71" s="7">
        <f>24*60*SUM($M71:$M71)</f>
        <v>34.883333336329088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-17T09:52:36-0600',mode:absolute,to:'2017-10-17T12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4.8000000000000001E-2</v>
      </c>
      <c r="Z71" s="204">
        <f>RIGHT(H71,LEN(H71)-4)/10000</f>
        <v>23.329799999999999</v>
      </c>
      <c r="AA71" s="204">
        <f>ABS(Z71-Y71)</f>
        <v>23.2818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/stypes="app*4014*20171017*"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159-17 --locoid 4014 --swversion DE.1.0.9.0 --startMP 204:480 --initTime 2017-10-17T10:52:36 --startdatetime 2017-10-17T11:00:13 --delay 66 --endMP 204:233298 --enddatetime 2017-10-17T11:35:06 --enforcementcount 0 &gt;&gt;%USERPROFILE%\Documents\GitHub\eaglep3-reporting\EC\2017-10-17-refined-times.txt</v>
      </c>
      <c r="AI71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{"issue":{"subject":"","project_id":79,"tracker_id":40,"status_id":1,"priority_id":2,"assigned_to_id":338,"start_date":"2017-10-17","description":"","custom_fields":[{"id":1,"name":"Subdivision","value":"EC"},{"id":4,"name":"Milepost","value":"23.3298"},{"id":17,"name":"Train ID","value":"159-17"},{"id":16,"name":"Locomotive ID","value":"4014"},{"id":130,"name":"Impact","value":""},{"id":150,"name":"Time of Event (Mountain Time)","value":"11:35:06"},{"id":151,"name":"Denver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4014 --day 2017-10-17</v>
      </c>
      <c r="AN71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-17T09:52:36-0600',mode:absolute,to:'2017-10-17T12:35:06-0600'))&amp;_a=(columns:!('Message%20ID',Summary),filters:!(),index:'emp_*',interval:auto,query:(query_string:(analyze_wildcard:!t,query:'%22rtdc.l.rtdc.4014%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622</v>
      </c>
      <c r="B72" s="7">
        <v>4013</v>
      </c>
      <c r="C72" s="21" t="s">
        <v>194</v>
      </c>
      <c r="D72" s="21" t="s">
        <v>516</v>
      </c>
      <c r="E72" s="13">
        <v>43025.492824074077</v>
      </c>
      <c r="F72" s="13">
        <v>43025.498090277775</v>
      </c>
      <c r="G72" s="7">
        <v>74</v>
      </c>
      <c r="H72" s="21" t="s">
        <v>871</v>
      </c>
      <c r="I72" s="13">
        <v>43025.523344907408</v>
      </c>
      <c r="J72" s="7">
        <v>0</v>
      </c>
      <c r="K72" s="89" t="str">
        <f>IF(ISEVEN(B72),(B72-1)&amp;"/"&amp;B72,B72&amp;"/"&amp;(B72+1))</f>
        <v>4013/4014</v>
      </c>
      <c r="L72" s="185" t="str">
        <f>VLOOKUP(A72,'Trips&amp;Operators'!$C$1:$G$99911,5,FALSE)</f>
        <v>RESPASS AARON</v>
      </c>
      <c r="M72" s="6">
        <f>I72-F72</f>
        <v>2.5254629632399883E-2</v>
      </c>
      <c r="N72" s="7">
        <f>24*60*SUM($M72:$M72)</f>
        <v>36.366666670655832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-17T10:49:40-0600',mode:absolute,to:'2017-10-17T13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23.298300000000001</v>
      </c>
      <c r="Z72" s="204">
        <f>RIGHT(H72,LEN(H72)-4)/10000</f>
        <v>2.63E-2</v>
      </c>
      <c r="AA72" s="204">
        <f>ABS(Z72-Y72)</f>
        <v>23.272000000000002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/stypes="app*4013*20171017*"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160-17 --locoid 4013 --swversion DE.1.0.9.0 --startMP 204:232983 --initTime 2017-10-17T11:49:40 --startdatetime 2017-10-17T11:57:15 --delay 74 --endMP 204:263 --enddatetime 2017-10-17T12:33:37 --enforcementcount 0 &gt;&gt;%USERPROFILE%\Documents\GitHub\eaglep3-reporting\EC\2017-10-17-refined-times.txt</v>
      </c>
      <c r="AI72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{"issue":{"subject":"","project_id":79,"tracker_id":40,"status_id":1,"priority_id":2,"assigned_to_id":338,"start_date":"2017-10-17","description":"","custom_fields":[{"id":1,"name":"Subdivision","value":"EC"},{"id":4,"name":"Milepost","value":"0.0263"},{"id":17,"name":"Train ID","value":"160-17"},{"id":16,"name":"Locomotive ID","value":"4013"},{"id":130,"name":"Impact","value":""},{"id":150,"name":"Time of Event (Mountain Time)","value":"12:33:37"},{"id":151,"name":"Denver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4013 --day 2017-10-17</v>
      </c>
      <c r="AN72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18:33:37"},{"id":29,"name":"Sharepoint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-17T10:49:40-0600',mode:absolute,to:'2017-10-17T13:33:37-0600'))&amp;_a=(columns:!('Message%20ID',Summary),filters:!(),index:'emp_*',interval:auto,query:(query_string:(analyze_wildcard:!t,query:'%22rtdc.l.rtdc.4013%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723</v>
      </c>
      <c r="B73" s="7">
        <v>4050</v>
      </c>
      <c r="C73" s="21" t="s">
        <v>194</v>
      </c>
      <c r="D73" s="21" t="s">
        <v>872</v>
      </c>
      <c r="E73" s="13">
        <v>43025.464583333334</v>
      </c>
      <c r="F73" s="13">
        <v>43025.468935185185</v>
      </c>
      <c r="G73" s="7">
        <v>134</v>
      </c>
      <c r="H73" s="21" t="s">
        <v>512</v>
      </c>
      <c r="I73" s="13">
        <v>43025.493368055555</v>
      </c>
      <c r="J73" s="7">
        <v>0</v>
      </c>
      <c r="K73" s="89" t="str">
        <f>IF(ISEVEN(B73),(B73-1)&amp;"/"&amp;B73,B73&amp;"/"&amp;(B73+1))</f>
        <v>4049/4050</v>
      </c>
      <c r="L73" s="185" t="str">
        <f>VLOOKUP(A73,'Trips&amp;Operators'!$C$1:$G$99911,5,FALSE)</f>
        <v>BRUDER RICHARD</v>
      </c>
      <c r="M73" s="6">
        <f>I73-F73</f>
        <v>2.4432870370219462E-2</v>
      </c>
      <c r="N73" s="7">
        <f>24*60*SUM($M73:$M73)</f>
        <v>35.183333333116025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-17T10:09:00-0600',mode:absolute,to:'2017-10-17T12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4.7699999999999999E-2</v>
      </c>
      <c r="Z73" s="204">
        <f>RIGHT(H73,LEN(H73)-4)/10000</f>
        <v>23.329499999999999</v>
      </c>
      <c r="AA73" s="204">
        <f>ABS(Z73-Y73)</f>
        <v>23.2818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/stypes="app*4050*20171017*"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161-17 --locoid 4050 --swversion DE.1.0.9.0 --startMP 204:477 --initTime 2017-10-17T11:09:00 --startdatetime 2017-10-17T11:15:16 --delay 134 --endMP 204:233295 --enddatetime 2017-10-17T11:50:27 --enforcementcount 0 &gt;&gt;%USERPROFILE%\Documents\GitHub\eaglep3-reporting\EC\2017-10-17-refined-times.txt</v>
      </c>
      <c r="AI73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{"issue":{"subject":"","project_id":79,"tracker_id":40,"status_id":1,"priority_id":2,"assigned_to_id":338,"start_date":"2017-10-17","description":"","custom_fields":[{"id":1,"name":"Subdivision","value":"EC"},{"id":4,"name":"Milepost","value":"23.3295"},{"id":17,"name":"Train ID","value":"161-17"},{"id":16,"name":"Locomotive ID","value":"4050"},{"id":130,"name":"Impact","value":""},{"id":150,"name":"Time of Event (Mountain Time)","value":"11:50:27"},{"id":151,"name":"Denver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4050 --day 2017-10-17</v>
      </c>
      <c r="AN73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-17T10:09:00-0600',mode:absolute,to:'2017-10-17T12:50:27-0600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739</v>
      </c>
      <c r="B74" s="7">
        <v>4049</v>
      </c>
      <c r="C74" s="21" t="s">
        <v>194</v>
      </c>
      <c r="D74" s="21" t="s">
        <v>483</v>
      </c>
      <c r="E74" s="13">
        <v>43025.504513888889</v>
      </c>
      <c r="F74" s="13">
        <v>43025.508506944447</v>
      </c>
      <c r="G74" s="7">
        <v>122</v>
      </c>
      <c r="H74" s="21" t="s">
        <v>336</v>
      </c>
      <c r="I74" s="13">
        <v>43025.534675925926</v>
      </c>
      <c r="J74" s="7">
        <v>0</v>
      </c>
      <c r="K74" s="89" t="str">
        <f>IF(ISEVEN(B74),(B74-1)&amp;"/"&amp;B74,B74&amp;"/"&amp;(B74+1))</f>
        <v>4049/4050</v>
      </c>
      <c r="L74" s="185" t="str">
        <f>VLOOKUP(A74,'Trips&amp;Operators'!$C$1:$G$99911,5,FALSE)</f>
        <v>BRUDER RICHARD</v>
      </c>
      <c r="M74" s="6">
        <f>I74-F74</f>
        <v>2.6168981479713693E-2</v>
      </c>
      <c r="N74" s="7">
        <f>24*60*SUM($M74:$M74)</f>
        <v>37.683333330787718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-17T11:06:30-0600',mode:absolute,to:'2017-10-17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23.296900000000001</v>
      </c>
      <c r="Z74" s="204">
        <f>RIGHT(H74,LEN(H74)-4)/10000</f>
        <v>1.49E-2</v>
      </c>
      <c r="AA74" s="204">
        <f>ABS(Z74-Y74)</f>
        <v>23.282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/stypes="app*4049*20171017*"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162-17 --locoid 4049 --swversion DE.1.0.9.0 --startMP 204:232969 --initTime 2017-10-17T12:06:30 --startdatetime 2017-10-17T12:12:15 --delay 122 --endMP 204:149 --enddatetime 2017-10-17T12:49:56 --enforcementcount 0 &gt;&gt;%USERPROFILE%\Documents\GitHub\eaglep3-reporting\EC\2017-10-17-refined-times.txt</v>
      </c>
      <c r="AI74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{"issue":{"subject":"","project_id":79,"tracker_id":40,"status_id":1,"priority_id":2,"assigned_to_id":338,"start_date":"2017-10-17","description":"","custom_fields":[{"id":1,"name":"Subdivision","value":"EC"},{"id":4,"name":"Milepost","value":"0.0149"},{"id":17,"name":"Train ID","value":"162-17"},{"id":16,"name":"Locomotive ID","value":"4049"},{"id":130,"name":"Impact","value":""},{"id":150,"name":"Time of Event (Mountain Time)","value":"12:49:56"},{"id":151,"name":"Denver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4049 --day 2017-10-17</v>
      </c>
      <c r="AN74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-17T11:06:30-0600',mode:absolute,to:'2017-10-17T13:49:56-0600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726</v>
      </c>
      <c r="B75" s="7">
        <v>4010</v>
      </c>
      <c r="C75" s="21" t="s">
        <v>194</v>
      </c>
      <c r="D75" s="21" t="s">
        <v>344</v>
      </c>
      <c r="E75" s="13">
        <v>43025.473761574074</v>
      </c>
      <c r="F75" s="13">
        <v>43025.479363425926</v>
      </c>
      <c r="G75" s="7">
        <v>73</v>
      </c>
      <c r="H75" s="21" t="s">
        <v>513</v>
      </c>
      <c r="I75" s="13">
        <v>43025.504363425927</v>
      </c>
      <c r="J75" s="7">
        <v>0</v>
      </c>
      <c r="K75" s="89" t="str">
        <f>IF(ISEVEN(B75),(B75-1)&amp;"/"&amp;B75,B75&amp;"/"&amp;(B75+1))</f>
        <v>4009/4010</v>
      </c>
      <c r="L75" s="185" t="str">
        <f>VLOOKUP(A75,'Trips&amp;Operators'!$C$1:$G$99911,5,FALSE)</f>
        <v>STEWART MICHAEL</v>
      </c>
      <c r="M75" s="6">
        <f>I75-F75</f>
        <v>2.5000000001455192E-2</v>
      </c>
      <c r="N75" s="7">
        <f>24*60*SUM($M75:$M75)</f>
        <v>36.000000002095476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-17T10:22:13-0600',mode:absolute,to:'2017-10-17T13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4.5499999999999999E-2</v>
      </c>
      <c r="Z75" s="204">
        <f>RIGHT(H75,LEN(H75)-4)/10000</f>
        <v>23.329699999999999</v>
      </c>
      <c r="AA75" s="204">
        <f>ABS(Z75-Y75)</f>
        <v>23.284199999999998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/stypes="app*4010*20171017*"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163-17 --locoid 4010 --swversion DE.1.0.9.0 --startMP 204:455 --initTime 2017-10-17T11:22:13 --startdatetime 2017-10-17T11:30:17 --delay 73 --endMP 204:233297 --enddatetime 2017-10-17T12:06:17 --enforcementcount 0 &gt;&gt;%USERPROFILE%\Documents\GitHub\eaglep3-reporting\EC\2017-10-17-refined-times.txt</v>
      </c>
      <c r="AI75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{"issue":{"subject":"","project_id":79,"tracker_id":40,"status_id":1,"priority_id":2,"assigned_to_id":338,"start_date":"2017-10-17","description":"","custom_fields":[{"id":1,"name":"Subdivision","value":"EC"},{"id":4,"name":"Milepost","value":"23.3297"},{"id":17,"name":"Train ID","value":"163-17"},{"id":16,"name":"Locomotive ID","value":"4010"},{"id":130,"name":"Impact","value":""},{"id":150,"name":"Time of Event (Mountain Time)","value":"12:06:17"},{"id":151,"name":"Denver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4010 --day 2017-10-17</v>
      </c>
      <c r="AN75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-17T10:22:13-0600',mode:absolute,to:'2017-10-17T13:06:17-0600'))&amp;_a=(columns:!('Message%20ID',Summary),filters:!(),index:'emp_*',interval:auto,query:(query_string:(analyze_wildcard:!t,query:'%22rtdc.l.rtdc.4010%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740</v>
      </c>
      <c r="B76" s="7">
        <v>4009</v>
      </c>
      <c r="C76" s="21" t="s">
        <v>194</v>
      </c>
      <c r="D76" s="21" t="s">
        <v>873</v>
      </c>
      <c r="E76" s="13">
        <v>43025.511655092596</v>
      </c>
      <c r="F76" s="13">
        <v>43025.520370370374</v>
      </c>
      <c r="G76" s="7">
        <v>66</v>
      </c>
      <c r="H76" s="21" t="s">
        <v>354</v>
      </c>
      <c r="I76" s="13">
        <v>43025.548090277778</v>
      </c>
      <c r="J76" s="7">
        <v>0</v>
      </c>
      <c r="K76" s="89" t="str">
        <f>IF(ISEVEN(B76),(B76-1)&amp;"/"&amp;B76,B76&amp;"/"&amp;(B76+1))</f>
        <v>4009/4010</v>
      </c>
      <c r="L76" s="185" t="str">
        <f>VLOOKUP(A76,'Trips&amp;Operators'!$C$1:$G$99911,5,FALSE)</f>
        <v>STEWART MICHAEL</v>
      </c>
      <c r="M76" s="6">
        <f>I76-F76</f>
        <v>2.7719907404389232E-2</v>
      </c>
      <c r="N76" s="7">
        <f>24*60*SUM($M76:$M76)</f>
        <v>39.916666662320495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-17T11:16:47-0600',mode:absolute,to:'2017-10-17T14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23.2959</v>
      </c>
      <c r="Z76" s="204">
        <f>RIGHT(H76,LEN(H76)-4)/10000</f>
        <v>1.52E-2</v>
      </c>
      <c r="AA76" s="204">
        <f>ABS(Z76-Y76)</f>
        <v>23.2807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/stypes="app*4009*20171017*" /stext=" 19:.+((SYSTEM_STATE.+slice.+state.+changed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164-17 --locoid 4009 --swversion DE.1.0.9.0 --startMP 204:232959 --initTime 2017-10-17T12:16:47 --startdatetime 2017-10-17T12:29:20 --delay 66 --endMP 204:152 --enddatetime 2017-10-17T13:09:15 --enforcementcount 0 &gt;&gt;%USERPROFILE%\Documents\GitHub\eaglep3-reporting\EC\2017-10-17-refined-times.txt</v>
      </c>
      <c r="AI76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ID","value":"164-17"},{"id":16,"name":"Locomotive ID","value":"4009"},{"id":130,"name":"Impact","value":""},{"id":150,"name":"Time of Event (Mountain Time)","value":"13:09:15"},{"id":151,"name":"Denver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4009 --day 2017-10-17</v>
      </c>
      <c r="AN76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-17T11:16:47-0600',mode:absolute,to:'2017-10-17T14:09:15-0600'))&amp;_a=(columns:!('Message%20ID',Summary),filters:!(),index:'emp_*',interval:auto,query:(query_string:(analyze_wildcard:!t,query:'%22rtdc.l.rtdc.4009%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731</v>
      </c>
      <c r="B77" s="7">
        <v>4036</v>
      </c>
      <c r="C77" s="21" t="s">
        <v>194</v>
      </c>
      <c r="D77" s="21" t="s">
        <v>874</v>
      </c>
      <c r="E77" s="13">
        <v>43025.485196759262</v>
      </c>
      <c r="F77" s="13">
        <v>43025.489803240744</v>
      </c>
      <c r="G77" s="7">
        <v>98</v>
      </c>
      <c r="H77" s="21" t="s">
        <v>875</v>
      </c>
      <c r="I77" s="13">
        <v>43025.514050925929</v>
      </c>
      <c r="J77" s="7">
        <v>0</v>
      </c>
      <c r="K77" s="89" t="str">
        <f>IF(ISEVEN(B77),(B77-1)&amp;"/"&amp;B77,B77&amp;"/"&amp;(B77+1))</f>
        <v>4035/4036</v>
      </c>
      <c r="L77" s="185" t="str">
        <f>VLOOKUP(A77,'Trips&amp;Operators'!$C$1:$G$99911,5,FALSE)</f>
        <v>LEVIN SCOTT</v>
      </c>
      <c r="M77" s="6">
        <f>I77-F77</f>
        <v>2.4247685185400769E-2</v>
      </c>
      <c r="N77" s="7">
        <f>24*60*SUM($M77:$M77)</f>
        <v>34.916666666977108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-17T10:38:41-0600',mode:absolute,to:'2017-10-17T13:20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4.7500000000000001E-2</v>
      </c>
      <c r="Z77" s="204">
        <f>RIGHT(H77,LEN(H77)-4)/10000</f>
        <v>23.332799999999999</v>
      </c>
      <c r="AA77" s="204">
        <f>ABS(Z77-Y77)</f>
        <v>23.285299999999999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/stypes="app*4036*20171017*"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165-17 --locoid 4036 --swversion DE.1.0.9.0 --startMP 204:475 --initTime 2017-10-17T11:38:41 --startdatetime 2017-10-17T11:45:19 --delay 98 --endMP 204:233328 --enddatetime 2017-10-17T12:20:14 --enforcementcount 0 &gt;&gt;%USERPROFILE%\Documents\GitHub\eaglep3-reporting\EC\2017-10-17-refined-times.txt</v>
      </c>
      <c r="AI77" s="96" t="str">
        <f t="shared" si="6"/>
        <v>echo {"issue":{"subject":"","project_id":79,"tracker_id":40,"status_id":1,"priority_id":2,"assigned_to_id":338,"start_date":"2017-10-17","description":"","custom_fields":[{"id":1,"name":"Subdivision","value":"EC"},{"id":4,"name":"Milepost","value":"23.3328"},{"id":17,"name":"Train ID","value":"165-17"},{"id":16,"name":"Locomotive ID","value":"4036"},{"id":130,"name":"Impact","value":""},{"id":150,"name":"Time of Event (Mountain Time)","value":"12:20:14"},{"id":151,"name":"Denver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4036 --day 2017-10-17</v>
      </c>
      <c r="AN77" s="151" t="str">
        <f t="shared" si="8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18:20:14"},{"id":29,"name":"Sharepoint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-17T10:38:41-0600',mode:absolute,to:'2017-10-17T13:20:14-0600'))&amp;_a=(columns:!('Message%20ID',Summary),filters:!(),index:'emp_*',interval:auto,query:(query_string:(analyze_wildcard:!t,query:'%22rtdc.l.rtdc.4036%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624</v>
      </c>
      <c r="B78" s="7">
        <v>4035</v>
      </c>
      <c r="C78" s="21" t="s">
        <v>194</v>
      </c>
      <c r="D78" s="21" t="s">
        <v>556</v>
      </c>
      <c r="E78" s="13">
        <v>43025.522141203706</v>
      </c>
      <c r="F78" s="13">
        <v>43025.529351851852</v>
      </c>
      <c r="G78" s="7">
        <v>77</v>
      </c>
      <c r="H78" s="21" t="s">
        <v>461</v>
      </c>
      <c r="I78" s="13">
        <v>43025.556504629632</v>
      </c>
      <c r="J78" s="7">
        <v>0</v>
      </c>
      <c r="K78" s="89" t="str">
        <f>IF(ISEVEN(B78),(B78-1)&amp;"/"&amp;B78,B78&amp;"/"&amp;(B78+1))</f>
        <v>4035/4036</v>
      </c>
      <c r="L78" s="185" t="str">
        <f>VLOOKUP(A78,'Trips&amp;Operators'!$C$1:$G$99911,5,FALSE)</f>
        <v>LEVIN SCOTT</v>
      </c>
      <c r="M78" s="6">
        <f>I78-F78</f>
        <v>2.715277778042946E-2</v>
      </c>
      <c r="N78" s="7">
        <f>24*60*SUM($M78:$M78)</f>
        <v>39.100000003818423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-17T11:31:53-0600',mode:absolute,to:'2017-10-17T14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23.301100000000002</v>
      </c>
      <c r="Z78" s="204">
        <f>RIGHT(H78,LEN(H78)-4)/10000</f>
        <v>1.38E-2</v>
      </c>
      <c r="AA78" s="204">
        <f>ABS(Z78-Y78)</f>
        <v>23.287300000000002</v>
      </c>
      <c r="AB78" s="54" t="str">
        <f>VLOOKUP(A78,Enforcements!$C$7:$K$11,8,0)</f>
        <v>Bulletin (2)</v>
      </c>
      <c r="AC78" s="51" t="str">
        <f>VLOOKUP(A78,Enforcements!$C$7:$E$11,3,0)</f>
        <v>GRADE CROSSING</v>
      </c>
      <c r="AD78" s="179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/stypes="app*4035*20171017*"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5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166-17 --locoid 4035 --swversion DE.1.0.9.0 --startMP 204:233011 --initTime 2017-10-17T12:31:53 --startdatetime 2017-10-17T12:42:16 --delay 77 --endMP 204:138 --enddatetime 2017-10-17T13:21:22 --enforcementcount 0 &gt;&gt;%USERPROFILE%\Documents\GitHub\eaglep3-reporting\EC\2017-10-17-refined-times.txt</v>
      </c>
      <c r="AI78" s="96" t="str">
        <f t="shared" ref="AI78:AI145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{"issue":{"subject":"","project_id":79,"tracker_id":40,"status_id":1,"priority_id":2,"assigned_to_id":338,"start_date":"2017-10-17","description":"","custom_fields":[{"id":1,"name":"Subdivision","value":"EC"},{"id":4,"name":"Milepost","value":"0.0138"},{"id":17,"name":"Train ID","value":"166-17"},{"id":16,"name":"Locomotive ID","value":"4035"},{"id":130,"name":"Impact","value":""},{"id":150,"name":"Time of Event (Mountain Time)","value":"13:21:22"},{"id":151,"name":"Denver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5" si="12">"start /low /b "&amp;dls3logs&amp;" --loco "&amp;B78&amp;" --day "&amp;TEXT(F78,"YYYY-MM-DD")</f>
        <v>start /low /b %USERPROFILE%\Documents\GitHub\eaglep3\Utilities\DownloadLogsFromS3.py --loco 4035 --day 2017-10-17</v>
      </c>
      <c r="AN78" s="151" t="str">
        <f t="shared" ref="AN78:AN145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5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-17T11:31:53-0600',mode:absolute,to:'2017-10-17T14:21:22-0600'))&amp;_a=(columns:!('Message%20ID',Summary),filters:!(),index:'emp_*',interval:auto,query:(query_string:(analyze_wildcard:!t,query:'%22rtdc.l.rtdc.4035%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732</v>
      </c>
      <c r="B79" s="7">
        <v>4016</v>
      </c>
      <c r="C79" s="21" t="s">
        <v>194</v>
      </c>
      <c r="D79" s="21" t="s">
        <v>334</v>
      </c>
      <c r="E79" s="13">
        <v>43025.495821759258</v>
      </c>
      <c r="F79" s="13">
        <v>43025.500150462962</v>
      </c>
      <c r="G79" s="7">
        <v>84</v>
      </c>
      <c r="H79" s="21" t="s">
        <v>876</v>
      </c>
      <c r="I79" s="13">
        <v>43025.52652777778</v>
      </c>
      <c r="J79" s="7">
        <v>0</v>
      </c>
      <c r="K79" s="89" t="str">
        <f>IF(ISEVEN(B79),(B79-1)&amp;"/"&amp;B79,B79&amp;"/"&amp;(B79+1))</f>
        <v>4015/4016</v>
      </c>
      <c r="L79" s="185" t="str">
        <f>VLOOKUP(A79,'Trips&amp;Operators'!$C$1:$G$99911,5,FALSE)</f>
        <v>ROBINSON KADDIBA</v>
      </c>
      <c r="M79" s="6">
        <f>I79-F79</f>
        <v>2.6377314818091691E-2</v>
      </c>
      <c r="N79" s="7">
        <f>24*60*SUM($M79:$M79)</f>
        <v>37.983333338052034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-17T10:53:59-0600',mode:absolute,to:'2017-10-17T13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4.4600000000000001E-2</v>
      </c>
      <c r="Z79" s="204">
        <f>RIGHT(H79,LEN(H79)-4)/10000</f>
        <v>23.334700000000002</v>
      </c>
      <c r="AA79" s="204">
        <f>ABS(Z79-Y79)</f>
        <v>23.290100000000002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/stypes="app*4016*20171017*"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167-17 --locoid 4016 --swversion DE.1.0.9.0 --startMP 204:446 --initTime 2017-10-17T11:53:59 --startdatetime 2017-10-17T12:00:13 --delay 84 --endMP 204:233347 --enddatetime 2017-10-17T12:38:12 --enforcementcount 0 &gt;&gt;%USERPROFILE%\Documents\GitHub\eaglep3-reporting\EC\2017-10-17-refined-times.txt</v>
      </c>
      <c r="AI7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{"issue":{"subject":"","project_id":79,"tracker_id":40,"status_id":1,"priority_id":2,"assigned_to_id":338,"start_date":"2017-10-17","description":"","custom_fields":[{"id":1,"name":"Subdivision","value":"EC"},{"id":4,"name":"Milepost","value":"23.3347"},{"id":17,"name":"Train ID","value":"167-17"},{"id":16,"name":"Locomotive ID","value":"4016"},{"id":130,"name":"Impact","value":""},{"id":150,"name":"Time of Event (Mountain Time)","value":"12:38:12"},{"id":151,"name":"Denver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4016 --day 2017-10-17</v>
      </c>
      <c r="AN7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-17T10:53:59-0600',mode:absolute,to:'2017-10-17T13:38:12-0600'))&amp;_a=(columns:!('Message%20ID',Summary),filters:!(),index:'emp_*',interval:auto,query:(query_string:(analyze_wildcard:!t,query:'%22rtdc.l.rtdc.4016%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626</v>
      </c>
      <c r="B80" s="7">
        <v>4015</v>
      </c>
      <c r="C80" s="21" t="s">
        <v>194</v>
      </c>
      <c r="D80" s="21" t="s">
        <v>511</v>
      </c>
      <c r="E80" s="13">
        <v>43025.536469907405</v>
      </c>
      <c r="F80" s="13">
        <v>43025.539756944447</v>
      </c>
      <c r="G80" s="7">
        <v>79</v>
      </c>
      <c r="H80" s="21" t="s">
        <v>355</v>
      </c>
      <c r="I80" s="13">
        <v>43025.567025462966</v>
      </c>
      <c r="J80" s="7">
        <v>0</v>
      </c>
      <c r="K80" s="89" t="str">
        <f>IF(ISEVEN(B80),(B80-1)&amp;"/"&amp;B80,B80&amp;"/"&amp;(B80+1))</f>
        <v>4015/4016</v>
      </c>
      <c r="L80" s="185" t="str">
        <f>VLOOKUP(A80,'Trips&amp;Operators'!$C$1:$G$99911,5,FALSE)</f>
        <v>ROBINSON KADDIBA</v>
      </c>
      <c r="M80" s="6">
        <f>I80-F80</f>
        <v>2.7268518519122154E-2</v>
      </c>
      <c r="N80" s="7">
        <f>24*60*SUM($M80:$M80)</f>
        <v>39.266666667535901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-17T11:52:31-0600',mode:absolute,to:'2017-10-17T14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23.300599999999999</v>
      </c>
      <c r="Z80" s="204">
        <f>RIGHT(H80,LEN(H80)-4)/10000</f>
        <v>1.4500000000000001E-2</v>
      </c>
      <c r="AA80" s="204">
        <f>ABS(Z80-Y80)</f>
        <v>23.286099999999998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179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/stypes="app*4015*20171017*"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168-17 --locoid 4015 --swversion DE.1.0.9.0 --startMP 204:233006 --initTime 2017-10-17T12:52:31 --startdatetime 2017-10-17T12:57:15 --delay 79 --endMP 204:145 --enddatetime 2017-10-17T13:36:31 --enforcementcount 0 &gt;&gt;%USERPROFILE%\Documents\GitHub\eaglep3-reporting\EC\2017-10-17-refined-times.txt</v>
      </c>
      <c r="AI8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ID","value":"168-17"},{"id":16,"name":"Locomotive ID","value":"4015"},{"id":130,"name":"Impact","value":""},{"id":150,"name":"Time of Event (Mountain Time)","value":"13:36:31"},{"id":151,"name":"Denver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4015 --day 2017-10-17</v>
      </c>
      <c r="AN80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-17T11:52:31-0600',mode:absolute,to:'2017-10-17T14:36:31-0600'))&amp;_a=(columns:!('Message%20ID',Summary),filters:!(),index:'emp_*',interval:auto,query:(query_string:(analyze_wildcard:!t,query:'%22rtdc.l.rtdc.4015%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738</v>
      </c>
      <c r="B81" s="7">
        <v>4066</v>
      </c>
      <c r="C81" s="21" t="s">
        <v>194</v>
      </c>
      <c r="D81" s="21" t="s">
        <v>344</v>
      </c>
      <c r="E81" s="13">
        <v>43025.50439814815</v>
      </c>
      <c r="F81" s="13">
        <v>43025.510613425926</v>
      </c>
      <c r="G81" s="7">
        <v>97</v>
      </c>
      <c r="H81" s="21" t="s">
        <v>512</v>
      </c>
      <c r="I81" s="13">
        <v>43025.53465277778</v>
      </c>
      <c r="J81" s="7">
        <v>0</v>
      </c>
      <c r="K81" s="89" t="str">
        <f>IF(ISEVEN(B81),(B81-1)&amp;"/"&amp;B81,B81&amp;"/"&amp;(B81+1))</f>
        <v>4065/4066</v>
      </c>
      <c r="L81" s="185" t="str">
        <f>VLOOKUP(A81,'Trips&amp;Operators'!$C$1:$G$99911,5,FALSE)</f>
        <v>KILLION DAVID</v>
      </c>
      <c r="M81" s="6">
        <f>I81-F81</f>
        <v>2.4039351854298729E-2</v>
      </c>
      <c r="N81" s="7">
        <f>24*60*SUM($M81:$M81)</f>
        <v>34.61666667019017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-17T11:06:20-0600',mode:absolute,to:'2017-10-17T13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4.5499999999999999E-2</v>
      </c>
      <c r="Z81" s="204">
        <f>RIGHT(H81,LEN(H81)-4)/10000</f>
        <v>23.329499999999999</v>
      </c>
      <c r="AA81" s="204">
        <f>ABS(Z81-Y81)</f>
        <v>23.283999999999999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/stypes="app*4066*20171017*"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169-17 --locoid 4066 --swversion DE.1.0.9.0 --startMP 204:455 --initTime 2017-10-17T12:06:20 --startdatetime 2017-10-17T12:15:17 --delay 97 --endMP 204:233295 --enddatetime 2017-10-17T12:49:54 --enforcementcount 0 &gt;&gt;%USERPROFILE%\Documents\GitHub\eaglep3-reporting\EC\2017-10-17-refined-times.txt</v>
      </c>
      <c r="AI8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{"issue":{"subject":"","project_id":79,"tracker_id":40,"status_id":1,"priority_id":2,"assigned_to_id":338,"start_date":"2017-10-17","description":"","custom_fields":[{"id":1,"name":"Subdivision","value":"EC"},{"id":4,"name":"Milepost","value":"23.3295"},{"id":17,"name":"Train ID","value":"169-17"},{"id":16,"name":"Locomotive ID","value":"4066"},{"id":130,"name":"Impact","value":""},{"id":150,"name":"Time of Event (Mountain Time)","value":"12:49:54"},{"id":151,"name":"Denver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4066 --day 2017-10-17</v>
      </c>
      <c r="AN8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-17T11:06:20-0600',mode:absolute,to:'2017-10-17T13:49:54-0600'))&amp;_a=(columns:!('Message%20ID',Summary),filters:!(),index:'emp_*',interval:auto,query:(query_string:(analyze_wildcard:!t,query:'%22rtdc.l.rtdc.4066%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747</v>
      </c>
      <c r="B82" s="7">
        <v>4065</v>
      </c>
      <c r="C82" s="21" t="s">
        <v>194</v>
      </c>
      <c r="D82" s="21" t="s">
        <v>574</v>
      </c>
      <c r="E82" s="13">
        <v>43025.539837962962</v>
      </c>
      <c r="F82" s="13">
        <v>43025.550138888888</v>
      </c>
      <c r="G82" s="7">
        <v>74</v>
      </c>
      <c r="H82" s="21" t="s">
        <v>335</v>
      </c>
      <c r="I82" s="13">
        <v>43025.576319444444</v>
      </c>
      <c r="J82" s="7">
        <v>0</v>
      </c>
      <c r="K82" s="89" t="str">
        <f>IF(ISEVEN(B82),(B82-1)&amp;"/"&amp;B82,B82&amp;"/"&amp;(B82+1))</f>
        <v>4065/4066</v>
      </c>
      <c r="L82" s="185" t="str">
        <f>VLOOKUP(A82,'Trips&amp;Operators'!$C$1:$G$99911,5,FALSE)</f>
        <v>KILLION DAVID</v>
      </c>
      <c r="M82" s="6">
        <f>I82-F82</f>
        <v>2.6180555556493346E-2</v>
      </c>
      <c r="N82" s="7">
        <f>24*60*SUM($M82:$M82)</f>
        <v>37.700000001350418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-17T11:57:22-0600',mode:absolute,to:'2017-10-17T14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23.297999999999998</v>
      </c>
      <c r="Z82" s="204">
        <f>RIGHT(H82,LEN(H82)-4)/10000</f>
        <v>1.4999999999999999E-2</v>
      </c>
      <c r="AA82" s="204">
        <f>ABS(Z82-Y82)</f>
        <v>23.282999999999998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/stypes="app*4065*20171017*"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170-17 --locoid 4065 --swversion DE.1.0.9.0 --startMP 204:232980 --initTime 2017-10-17T12:57:22 --startdatetime 2017-10-17T13:12:12 --delay 74 --endMP 204:150 --enddatetime 2017-10-17T13:49:54 --enforcementcount 0 &gt;&gt;%USERPROFILE%\Documents\GitHub\eaglep3-reporting\EC\2017-10-17-refined-times.txt</v>
      </c>
      <c r="AI8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{"issue":{"subject":"","project_id":79,"tracker_id":40,"status_id":1,"priority_id":2,"assigned_to_id":338,"start_date":"2017-10-17","description":"","custom_fields":[{"id":1,"name":"Subdivision","value":"EC"},{"id":4,"name":"Milepost","value":"0.015"},{"id":17,"name":"Train ID","value":"170-17"},{"id":16,"name":"Locomotive ID","value":"4065"},{"id":130,"name":"Impact","value":""},{"id":150,"name":"Time of Event (Mountain Time)","value":"13:49:54"},{"id":151,"name":"Denver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4065 --day 2017-10-17</v>
      </c>
      <c r="AN82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-17T11:57:22-0600',mode:absolute,to:'2017-10-17T14:49:54-0600'))&amp;_a=(columns:!('Message%20ID',Summary),filters:!(),index:'emp_*',interval:auto,query:(query_string:(analyze_wildcard:!t,query:'%22rtdc.l.rtdc.4065%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741</v>
      </c>
      <c r="B83" s="7">
        <v>4004</v>
      </c>
      <c r="C83" s="21" t="s">
        <v>194</v>
      </c>
      <c r="D83" s="21" t="s">
        <v>362</v>
      </c>
      <c r="E83" s="13">
        <v>43025.515173611115</v>
      </c>
      <c r="F83" s="13">
        <v>43025.521006944444</v>
      </c>
      <c r="G83" s="7">
        <v>221</v>
      </c>
      <c r="H83" s="21" t="s">
        <v>510</v>
      </c>
      <c r="I83" s="13">
        <v>43025.546597222223</v>
      </c>
      <c r="J83" s="7">
        <v>0</v>
      </c>
      <c r="K83" s="89" t="str">
        <f>IF(ISEVEN(B83),(B83-1)&amp;"/"&amp;B83,B83&amp;"/"&amp;(B83+1))</f>
        <v>4003/4004</v>
      </c>
      <c r="L83" s="185" t="str">
        <f>VLOOKUP(A83,'Trips&amp;Operators'!$C$1:$G$99911,5,FALSE)</f>
        <v>MOSES BRADLEY</v>
      </c>
      <c r="M83" s="6">
        <f>I83-F83</f>
        <v>2.5590277778974269E-2</v>
      </c>
      <c r="N83" s="7">
        <f>24*60*SUM($M83:$M83)</f>
        <v>36.850000001722947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-17T11:21:51-0600',mode:absolute,to:'2017-10-17T14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4.5999999999999999E-2</v>
      </c>
      <c r="Z83" s="204">
        <f>RIGHT(H83,LEN(H83)-4)/10000</f>
        <v>23.331900000000001</v>
      </c>
      <c r="AA83" s="204">
        <f>ABS(Z83-Y83)</f>
        <v>23.285900000000002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/stypes="app*4004*20171017*"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171-17 --locoid 4004 --swversion DE.1.0.9.0 --startMP 204:460 --initTime 2017-10-17T12:21:51 --startdatetime 2017-10-17T12:30:15 --delay 221 --endMP 204:233319 --enddatetime 2017-10-17T13:07:06 --enforcementcount 0 &gt;&gt;%USERPROFILE%\Documents\GitHub\eaglep3-reporting\EC\2017-10-17-refined-times.txt</v>
      </c>
      <c r="AI83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{"issue":{"subject":"","project_id":79,"tracker_id":40,"status_id":1,"priority_id":2,"assigned_to_id":338,"start_date":"2017-10-17","description":"","custom_fields":[{"id":1,"name":"Subdivision","value":"EC"},{"id":4,"name":"Milepost","value":"23.3319"},{"id":17,"name":"Train ID","value":"171-17"},{"id":16,"name":"Locomotive ID","value":"4004"},{"id":130,"name":"Impact","value":""},{"id":150,"name":"Time of Event (Mountain Time)","value":"13:07:06"},{"id":151,"name":"Denver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4004 --day 2017-10-17</v>
      </c>
      <c r="AN83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-17T11:21:51-0600',mode:absolute,to:'2017-10-17T14:07:06-0600'))&amp;_a=(columns:!('Message%20ID',Summary),filters:!(),index:'emp_*',interval:auto,query:(query_string:(analyze_wildcard:!t,query:'%22rtdc.l.rtdc.4004%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628</v>
      </c>
      <c r="B84" s="7">
        <v>4003</v>
      </c>
      <c r="C84" s="21" t="s">
        <v>194</v>
      </c>
      <c r="D84" s="21" t="s">
        <v>557</v>
      </c>
      <c r="E84" s="13">
        <v>43025.547881944447</v>
      </c>
      <c r="F84" s="13">
        <v>43025.560624999998</v>
      </c>
      <c r="G84" s="7">
        <v>630</v>
      </c>
      <c r="H84" s="21" t="s">
        <v>877</v>
      </c>
      <c r="I84" s="13">
        <v>43025.577928240738</v>
      </c>
      <c r="J84" s="7">
        <v>0</v>
      </c>
      <c r="K84" s="89" t="str">
        <f>IF(ISEVEN(B84),(B84-1)&amp;"/"&amp;B84,B84&amp;"/"&amp;(B84+1))</f>
        <v>4003/4004</v>
      </c>
      <c r="L84" s="185" t="str">
        <f>VLOOKUP(A84,'Trips&amp;Operators'!$C$1:$G$99911,5,FALSE)</f>
        <v>MOSES BRADLEY</v>
      </c>
      <c r="M84" s="6">
        <f>I84-F84</f>
        <v>1.7303240740147885E-2</v>
      </c>
      <c r="N84" s="7"/>
      <c r="O84" s="7"/>
      <c r="P84" s="7">
        <f>24*60*SUM($M84:$M84)</f>
        <v>24.916666665812954</v>
      </c>
      <c r="Q84" s="22"/>
      <c r="R84" s="174" t="s">
        <v>605</v>
      </c>
      <c r="S84" s="221">
        <f>1/IF(AG84="EC",12,1)*SUM(U84:U84)</f>
        <v>0.5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6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-17T12:08:57-0600',mode:absolute,to:'2017-10-17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4" s="204" t="str">
        <f>IF(AA84&lt;VLOOKUP(AG84,Variables!$AC$3:$AD$8,2,FALSE),"Y","N")</f>
        <v>Y</v>
      </c>
      <c r="X84" s="204">
        <f>VALUE(LEFT(AD84,4))-VALUE(LEFT(AD83,4))</f>
        <v>1</v>
      </c>
      <c r="Y84" s="204">
        <f>RIGHT(D84,LEN(D84)-4)/10000</f>
        <v>23.299600000000002</v>
      </c>
      <c r="Z84" s="204">
        <f>RIGHT(H84,LEN(H84)-4)/10000</f>
        <v>5.7110000000000003</v>
      </c>
      <c r="AA84" s="204">
        <f>ABS(Z84-Y84)</f>
        <v>17.5886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/stypes="app*4003*20171017*"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172-17 --locoid 4003 --swversion DE.1.0.9.0 --startMP 204:232996 --initTime 2017-10-17T13:08:57 --startdatetime 2017-10-17T13:27:18 --delay 630 --endMP 204:57110 --enddatetime 2017-10-17T13:52:13 --enforcementcount 0 &gt;&gt;%USERPROFILE%\Documents\GitHub\eaglep3-reporting\EC\2017-10-17-refined-times.txt</v>
      </c>
      <c r="AI84" s="96" t="str">
        <f t="shared" si="11"/>
        <v>echo {"issue":{"subject":"Onboard en route failure","project_id":79,"tracker_id":40,"status_id":1,"priority_id":2,"assigned_to_id":338,"start_date":"2017-10-17","description":"","custom_fields":[{"id":1,"name":"Subdivision","value":"EC"},{"id":4,"name":"Milepost","value":"5.711"},{"id":17,"name":"Train ID","value":"172-17"},{"id":16,"name":"Locomotive ID","value":"4003"},{"id":130,"name":"Impact","value":""},{"id":150,"name":"Time of Event (Mountain Time)","value":"13:52:13"},{"id":151,"name":"Denver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4003 --day 2017-10-17</v>
      </c>
      <c r="AN84" s="151" t="str">
        <f t="shared" si="13"/>
        <v>echo {"issue":{"subject":"Onboard en route failure","project_id":30,"tracker_id":4,"status_id":1,"priority_id":1,"assigned_to_id":10,"start_date":"2017-10-17","description":"","custom_fields":[{"id":30,"name":"Category","value":"Issue"},{"id":3,"name":"Functional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-17T12:08:57-0600',mode:absolute,to:'2017-10-17T14:52:13-0600'))&amp;_a=(columns:!('Message%20ID',Summary),filters:!(),index:'emp_*',interval:auto,query:(query_string:(analyze_wildcard:!t,query:'%22rtdc.l.rtdc.4003%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744</v>
      </c>
      <c r="B85" s="7">
        <v>4014</v>
      </c>
      <c r="C85" s="21" t="s">
        <v>194</v>
      </c>
      <c r="D85" s="21" t="s">
        <v>878</v>
      </c>
      <c r="E85" s="13">
        <v>43025.525856481479</v>
      </c>
      <c r="F85" s="13">
        <v>43025.531458333331</v>
      </c>
      <c r="G85" s="7">
        <v>69</v>
      </c>
      <c r="H85" s="21" t="s">
        <v>573</v>
      </c>
      <c r="I85" s="13">
        <v>43025.555775462963</v>
      </c>
      <c r="J85" s="7">
        <v>0</v>
      </c>
      <c r="K85" s="89" t="str">
        <f>IF(ISEVEN(B85),(B85-1)&amp;"/"&amp;B85,B85&amp;"/"&amp;(B85+1))</f>
        <v>4013/4014</v>
      </c>
      <c r="L85" s="185" t="str">
        <f>VLOOKUP(A85,'Trips&amp;Operators'!$C$1:$G$99911,5,FALSE)</f>
        <v>SMITH MICHAEL</v>
      </c>
      <c r="M85" s="6">
        <f>I85-F85</f>
        <v>2.4317129631526768E-2</v>
      </c>
      <c r="N85" s="7">
        <f>24*60*SUM($M85:$M85)</f>
        <v>35.016666669398546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-17T11:37:14-0600',mode:absolute,to:'2017-10-17T14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5.7299999999999997E-2</v>
      </c>
      <c r="Z85" s="204">
        <f>RIGHT(H85,LEN(H85)-4)/10000</f>
        <v>23.330500000000001</v>
      </c>
      <c r="AA85" s="204">
        <f>ABS(Z85-Y85)</f>
        <v>23.273199999999999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/stypes="app*4014*20171017*"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173-17 --locoid 4014 --swversion DE.1.0.9.0 --startMP 204:573 --initTime 2017-10-17T12:37:14 --startdatetime 2017-10-17T12:45:18 --delay 69 --endMP 204:233305 --enddatetime 2017-10-17T13:20:19 --enforcementcount 0 &gt;&gt;%USERPROFILE%\Documents\GitHub\eaglep3-reporting\EC\2017-10-17-refined-times.txt</v>
      </c>
      <c r="AI8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{"issue":{"subject":"","project_id":79,"tracker_id":40,"status_id":1,"priority_id":2,"assigned_to_id":338,"start_date":"2017-10-17","description":"","custom_fields":[{"id":1,"name":"Subdivision","value":"EC"},{"id":4,"name":"Milepost","value":"23.3305"},{"id":17,"name":"Train ID","value":"173-17"},{"id":16,"name":"Locomotive ID","value":"4014"},{"id":130,"name":"Impact","value":""},{"id":150,"name":"Time of Event (Mountain Time)","value":"13:20:19"},{"id":151,"name":"Denver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4014 --day 2017-10-17</v>
      </c>
      <c r="AN85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-17T11:37:14-0600',mode:absolute,to:'2017-10-17T14:20:19-0600'))&amp;_a=(columns:!('Message%20ID',Summary),filters:!(),index:'emp_*',interval:auto,query:(query_string:(analyze_wildcard:!t,query:'%22rtdc.l.rtdc.4014%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751</v>
      </c>
      <c r="B86" s="7">
        <v>4013</v>
      </c>
      <c r="C86" s="21" t="s">
        <v>194</v>
      </c>
      <c r="D86" s="21" t="s">
        <v>566</v>
      </c>
      <c r="E86" s="13">
        <v>43025.564421296294</v>
      </c>
      <c r="F86" s="13">
        <v>43025.571053240739</v>
      </c>
      <c r="G86" s="7">
        <v>101</v>
      </c>
      <c r="H86" s="21" t="s">
        <v>515</v>
      </c>
      <c r="I86" s="13">
        <v>43025.597696759258</v>
      </c>
      <c r="J86" s="7">
        <v>0</v>
      </c>
      <c r="K86" s="89" t="str">
        <f>IF(ISEVEN(B86),(B86-1)&amp;"/"&amp;B86,B86&amp;"/"&amp;(B86+1))</f>
        <v>4013/4014</v>
      </c>
      <c r="L86" s="185" t="str">
        <f>VLOOKUP(A86,'Trips&amp;Operators'!$C$1:$G$99911,5,FALSE)</f>
        <v>SMITH MICHAEL</v>
      </c>
      <c r="M86" s="6">
        <f>I86-F86</f>
        <v>2.6643518518540077E-2</v>
      </c>
      <c r="N86" s="7">
        <f>24*60*SUM($M86:$M86)</f>
        <v>38.366666666697711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-17T12:32:46-0600',mode:absolute,to:'2017-10-17T15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23.298999999999999</v>
      </c>
      <c r="Z86" s="204">
        <f>RIGHT(H86,LEN(H86)-4)/10000</f>
        <v>1.67E-2</v>
      </c>
      <c r="AA86" s="204">
        <f>ABS(Z86-Y86)</f>
        <v>23.282299999999999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174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/stypes="app*4013*20171017*"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174-17 --locoid 4013 --swversion DE.1.0.9.0 --startMP 204:232990 --initTime 2017-10-17T13:32:46 --startdatetime 2017-10-17T13:42:19 --delay 101 --endMP 204:167 --enddatetime 2017-10-17T14:20:41 --enforcementcount 0 &gt;&gt;%USERPROFILE%\Documents\GitHub\eaglep3-reporting\EC\2017-10-17-refined-times.txt</v>
      </c>
      <c r="AI86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{"issue":{"subject":"","project_id":79,"tracker_id":40,"status_id":1,"priority_id":2,"assigned_to_id":338,"start_date":"2017-10-17","description":"","custom_fields":[{"id":1,"name":"Subdivision","value":"EC"},{"id":4,"name":"Milepost","value":"0.0167"},{"id":17,"name":"Train ID","value":"174-17"},{"id":16,"name":"Locomotive ID","value":"4013"},{"id":130,"name":"Impact","value":""},{"id":150,"name":"Time of Event (Mountain Time)","value":"14:20:41"},{"id":151,"name":"Denver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4013 --day 2017-10-17</v>
      </c>
      <c r="AN86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-17T12:32:46-0600',mode:absolute,to:'2017-10-17T15:20:41-0600'))&amp;_a=(columns:!('Message%20ID',Summary),filters:!(),index:'emp_*',interval:auto,query:(query_string:(analyze_wildcard:!t,query:'%22rtdc.l.rtdc.4013%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746</v>
      </c>
      <c r="B87" s="7">
        <v>4050</v>
      </c>
      <c r="C87" s="21" t="s">
        <v>194</v>
      </c>
      <c r="D87" s="21" t="s">
        <v>427</v>
      </c>
      <c r="E87" s="13">
        <v>43025.537303240744</v>
      </c>
      <c r="F87" s="13">
        <v>43025.54184027778</v>
      </c>
      <c r="G87" s="7">
        <v>79</v>
      </c>
      <c r="H87" s="21" t="s">
        <v>510</v>
      </c>
      <c r="I87" s="13">
        <v>43025.566550925927</v>
      </c>
      <c r="J87" s="7">
        <v>0</v>
      </c>
      <c r="K87" s="89" t="str">
        <f>IF(ISEVEN(B87),(B87-1)&amp;"/"&amp;B87,B87&amp;"/"&amp;(B87+1))</f>
        <v>4049/4050</v>
      </c>
      <c r="L87" s="185" t="str">
        <f>VLOOKUP(A87,'Trips&amp;Operators'!$C$1:$G$99911,5,FALSE)</f>
        <v>BRUDER RICHARD</v>
      </c>
      <c r="M87" s="6">
        <f>I87-F87</f>
        <v>2.47106481474475E-2</v>
      </c>
      <c r="N87" s="7">
        <f>24*60*SUM($M87:$M87)</f>
        <v>35.583333332324401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-17T11:53:43-0600',mode:absolute,to:'2017-10-17T14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4.4900000000000002E-2</v>
      </c>
      <c r="Z87" s="204">
        <f>RIGHT(H87,LEN(H87)-4)/10000</f>
        <v>23.331900000000001</v>
      </c>
      <c r="AA87" s="204">
        <f>ABS(Z87-Y87)</f>
        <v>23.287000000000003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175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/stypes="app*4050*20171017*"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175-17 --locoid 4050 --swversion DE.1.0.9.0 --startMP 204:449 --initTime 2017-10-17T12:53:43 --startdatetime 2017-10-17T13:00:15 --delay 79 --endMP 204:233319 --enddatetime 2017-10-17T13:35:50 --enforcementcount 0 &gt;&gt;%USERPROFILE%\Documents\GitHub\eaglep3-reporting\EC\2017-10-17-refined-times.txt</v>
      </c>
      <c r="AI87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{"issue":{"subject":"","project_id":79,"tracker_id":40,"status_id":1,"priority_id":2,"assigned_to_id":338,"start_date":"2017-10-17","description":"","custom_fields":[{"id":1,"name":"Subdivision","value":"EC"},{"id":4,"name":"Milepost","value":"23.3319"},{"id":17,"name":"Train ID","value":"175-17"},{"id":16,"name":"Locomotive ID","value":"4050"},{"id":130,"name":"Impact","value":""},{"id":150,"name":"Time of Event (Mountain Time)","value":"13:35:50"},{"id":151,"name":"Denver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4050 --day 2017-10-17</v>
      </c>
      <c r="AN8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-17T11:53:43-0600',mode:absolute,to:'2017-10-17T14:35:50-0600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754</v>
      </c>
      <c r="B88" s="7">
        <v>4049</v>
      </c>
      <c r="C88" s="21" t="s">
        <v>194</v>
      </c>
      <c r="D88" s="21" t="s">
        <v>516</v>
      </c>
      <c r="E88" s="13">
        <v>43025.5780787037</v>
      </c>
      <c r="F88" s="13">
        <v>43025.581412037034</v>
      </c>
      <c r="G88" s="7">
        <v>102</v>
      </c>
      <c r="H88" s="21" t="s">
        <v>363</v>
      </c>
      <c r="I88" s="13">
        <v>43025.607314814813</v>
      </c>
      <c r="J88" s="7">
        <v>0</v>
      </c>
      <c r="K88" s="89" t="str">
        <f>IF(ISEVEN(B88),(B88-1)&amp;"/"&amp;B88,B88&amp;"/"&amp;(B88+1))</f>
        <v>4049/4050</v>
      </c>
      <c r="L88" s="185" t="str">
        <f>VLOOKUP(A88,'Trips&amp;Operators'!$C$1:$G$99911,5,FALSE)</f>
        <v>BRUDER RICHARD</v>
      </c>
      <c r="M88" s="6">
        <f>I88-F88</f>
        <v>2.5902777779265307E-2</v>
      </c>
      <c r="N88" s="7">
        <f>24*60*SUM($M88:$M88)</f>
        <v>37.300000002142042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-17T12:52:26-0600',mode:absolute,to:'2017-10-17T15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23.298300000000001</v>
      </c>
      <c r="Z88" s="204">
        <f>RIGHT(H88,LEN(H88)-4)/10000</f>
        <v>1.5800000000000002E-2</v>
      </c>
      <c r="AA88" s="204">
        <f>ABS(Z88-Y88)</f>
        <v>23.282500000000002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176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/stypes="app*4049*20171017*"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176-17 --locoid 4049 --swversion DE.1.0.9.0 --startMP 204:232983 --initTime 2017-10-17T13:52:26 --startdatetime 2017-10-17T13:57:14 --delay 102 --endMP 204:158 --enddatetime 2017-10-17T14:34:32 --enforcementcount 0 &gt;&gt;%USERPROFILE%\Documents\GitHub\eaglep3-reporting\EC\2017-10-17-refined-times.txt</v>
      </c>
      <c r="AI88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ID","value":"176-17"},{"id":16,"name":"Locomotive ID","value":"4049"},{"id":130,"name":"Impact","value":""},{"id":150,"name":"Time of Event (Mountain Time)","value":"14:34:32"},{"id":151,"name":"Denver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4049 --day 2017-10-17</v>
      </c>
      <c r="AN88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-17T12:52:26-0600',mode:absolute,to:'2017-10-17T15:34:32-0600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627</v>
      </c>
      <c r="B89" s="7">
        <v>4010</v>
      </c>
      <c r="C89" s="21" t="s">
        <v>194</v>
      </c>
      <c r="D89" s="21" t="s">
        <v>427</v>
      </c>
      <c r="E89" s="13">
        <v>43025.549756944441</v>
      </c>
      <c r="F89" s="13">
        <v>43025.552442129629</v>
      </c>
      <c r="G89" s="7">
        <v>54</v>
      </c>
      <c r="H89" s="21" t="s">
        <v>879</v>
      </c>
      <c r="I89" s="13">
        <v>43025.576666666668</v>
      </c>
      <c r="J89" s="7">
        <v>0</v>
      </c>
      <c r="K89" s="89" t="str">
        <f>IF(ISEVEN(B89),(B89-1)&amp;"/"&amp;B89,B89&amp;"/"&amp;(B89+1))</f>
        <v>4009/4010</v>
      </c>
      <c r="L89" s="185" t="str">
        <f>VLOOKUP(A89,'Trips&amp;Operators'!$C$1:$G$99911,5,FALSE)</f>
        <v>STEWART MICHAEL</v>
      </c>
      <c r="M89" s="6">
        <f>I89-F89</f>
        <v>2.4224537039117422E-2</v>
      </c>
      <c r="N89" s="7">
        <f>24*60*SUM($M89:$M89)</f>
        <v>34.883333336329088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-17T12:11:39-0600',mode:absolute,to:'2017-10-17T14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4.4900000000000002E-2</v>
      </c>
      <c r="Z89" s="204">
        <f>RIGHT(H89,LEN(H89)-4)/10000</f>
        <v>23.2821</v>
      </c>
      <c r="AA89" s="204">
        <f>ABS(Z89-Y89)</f>
        <v>23.237200000000001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177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/stypes="app*4010*20171017*"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177-17 --locoid 4010 --swversion DE.1.0.9.0 --startMP 204:449 --initTime 2017-10-17T13:11:39 --startdatetime 2017-10-17T13:15:31 --delay 54 --endMP 204:232821 --enddatetime 2017-10-17T13:50:24 --enforcementcount 0 &gt;&gt;%USERPROFILE%\Documents\GitHub\eaglep3-reporting\EC\2017-10-17-refined-times.txt</v>
      </c>
      <c r="AI8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{"issue":{"subject":"","project_id":79,"tracker_id":40,"status_id":1,"priority_id":2,"assigned_to_id":338,"start_date":"2017-10-17","description":"","custom_fields":[{"id":1,"name":"Subdivision","value":"EC"},{"id":4,"name":"Milepost","value":"23.2821"},{"id":17,"name":"Train ID","value":"177-17"},{"id":16,"name":"Locomotive ID","value":"4010"},{"id":130,"name":"Impact","value":""},{"id":150,"name":"Time of Event (Mountain Time)","value":"13:50:24"},{"id":151,"name":"Denver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4010 --day 2017-10-17</v>
      </c>
      <c r="AN8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-17T12:11:39-0600',mode:absolute,to:'2017-10-17T14:50:24-0600'))&amp;_a=(columns:!('Message%20ID',Summary),filters:!(),index:'emp_*',interval:auto,query:(query_string:(analyze_wildcard:!t,query:'%22rtdc.l.rtdc.4010%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756</v>
      </c>
      <c r="B90" s="7">
        <v>4009</v>
      </c>
      <c r="C90" s="21" t="s">
        <v>194</v>
      </c>
      <c r="D90" s="21" t="s">
        <v>564</v>
      </c>
      <c r="E90" s="13">
        <v>43025.582743055558</v>
      </c>
      <c r="F90" s="13">
        <v>43025.592094907406</v>
      </c>
      <c r="G90" s="7">
        <v>53</v>
      </c>
      <c r="H90" s="21" t="s">
        <v>880</v>
      </c>
      <c r="I90" s="13">
        <v>43025.619444444441</v>
      </c>
      <c r="J90" s="7">
        <v>0</v>
      </c>
      <c r="K90" s="89" t="str">
        <f>IF(ISEVEN(B90),(B90-1)&amp;"/"&amp;B90,B90&amp;"/"&amp;(B90+1))</f>
        <v>4009/4010</v>
      </c>
      <c r="L90" s="185" t="str">
        <f>VLOOKUP(A90,'Trips&amp;Operators'!$C$1:$G$99911,5,FALSE)</f>
        <v>STEWART MICHAEL</v>
      </c>
      <c r="M90" s="6">
        <f>I90-F90</f>
        <v>2.7349537034751847E-2</v>
      </c>
      <c r="N90" s="7">
        <f>24*60*SUM($M90:$M90)</f>
        <v>39.38333333004266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-17T12:59:09-0600',mode:absolute,to:'2017-10-17T15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23.296700000000001</v>
      </c>
      <c r="Z90" s="204">
        <f>RIGHT(H90,LEN(H90)-4)/10000</f>
        <v>5.1900000000000002E-2</v>
      </c>
      <c r="AA90" s="204">
        <f>ABS(Z90-Y90)</f>
        <v>23.244800000000001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178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/stypes="app*4009*20171017*"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178-17 --locoid 4009 --swversion DE.1.0.9.0 --startMP 204:232967 --initTime 2017-10-17T13:59:09 --startdatetime 2017-10-17T14:12:37 --delay 53 --endMP 204:519 --enddatetime 2017-10-17T14:52:00 --enforcementcount 0 &gt;&gt;%USERPROFILE%\Documents\GitHub\eaglep3-reporting\EC\2017-10-17-refined-times.txt</v>
      </c>
      <c r="AI9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{"issue":{"subject":"","project_id":79,"tracker_id":40,"status_id":1,"priority_id":2,"assigned_to_id":338,"start_date":"2017-10-17","description":"","custom_fields":[{"id":1,"name":"Subdivision","value":"EC"},{"id":4,"name":"Milepost","value":"0.0519"},{"id":17,"name":"Train ID","value":"178-17"},{"id":16,"name":"Locomotive ID","value":"4009"},{"id":130,"name":"Impact","value":""},{"id":150,"name":"Time of Event (Mountain Time)","value":"14:52:00"},{"id":151,"name":"Denver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4009 --day 2017-10-17</v>
      </c>
      <c r="AN90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-17T12:59:09-0600',mode:absolute,to:'2017-10-17T15:52:00-0600'))&amp;_a=(columns:!('Message%20ID',Summary),filters:!(),index:'emp_*',interval:auto,query:(query_string:(analyze_wildcard:!t,query:'%22rtdc.l.rtdc.4009%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750</v>
      </c>
      <c r="B91" s="7">
        <v>4036</v>
      </c>
      <c r="C91" s="21" t="s">
        <v>194</v>
      </c>
      <c r="D91" s="21" t="s">
        <v>425</v>
      </c>
      <c r="E91" s="13">
        <v>43025.561354166668</v>
      </c>
      <c r="F91" s="13">
        <v>43025.562662037039</v>
      </c>
      <c r="G91" s="7">
        <v>53</v>
      </c>
      <c r="H91" s="21" t="s">
        <v>568</v>
      </c>
      <c r="I91" s="13">
        <v>43025.588437500002</v>
      </c>
      <c r="J91" s="7">
        <v>0</v>
      </c>
      <c r="K91" s="89" t="str">
        <f>IF(ISEVEN(B91),(B91-1)&amp;"/"&amp;B91,B91&amp;"/"&amp;(B91+1))</f>
        <v>4035/4036</v>
      </c>
      <c r="L91" s="185" t="str">
        <f>VLOOKUP(A91,'Trips&amp;Operators'!$C$1:$G$99911,5,FALSE)</f>
        <v>LEVIN SCOTT</v>
      </c>
      <c r="M91" s="6">
        <f>I91-F91</f>
        <v>2.5775462963792961E-2</v>
      </c>
      <c r="N91" s="7">
        <f>24*60*SUM($M91:$M91)</f>
        <v>37.116666667861864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-17T12:28:21-0600',mode:absolute,to:'2017-10-17T15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4.4200000000000003E-2</v>
      </c>
      <c r="Z91" s="204">
        <f>RIGHT(H91,LEN(H91)-4)/10000</f>
        <v>23.332699999999999</v>
      </c>
      <c r="AA91" s="204">
        <f>ABS(Z91-Y91)</f>
        <v>23.288499999999999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179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/stypes="app*4036*20171017*"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179-17 --locoid 4036 --swversion DE.1.0.9.0 --startMP 204:442 --initTime 2017-10-17T13:28:21 --startdatetime 2017-10-17T13:30:14 --delay 53 --endMP 204:233327 --enddatetime 2017-10-17T14:07:21 --enforcementcount 0 &gt;&gt;%USERPROFILE%\Documents\GitHub\eaglep3-reporting\EC\2017-10-17-refined-times.txt</v>
      </c>
      <c r="AI9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{"issue":{"subject":"","project_id":79,"tracker_id":40,"status_id":1,"priority_id":2,"assigned_to_id":338,"start_date":"2017-10-17","description":"","custom_fields":[{"id":1,"name":"Subdivision","value":"EC"},{"id":4,"name":"Milepost","value":"23.3327"},{"id":17,"name":"Train ID","value":"179-17"},{"id":16,"name":"Locomotive ID","value":"4036"},{"id":130,"name":"Impact","value":""},{"id":150,"name":"Time of Event (Mountain Time)","value":"14:07:21"},{"id":151,"name":"Denver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4036 --day 2017-10-17</v>
      </c>
      <c r="AN9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-17T12:28:21-0600',mode:absolute,to:'2017-10-17T15:07:21-0600'))&amp;_a=(columns:!('Message%20ID',Summary),filters:!(),index:'emp_*',interval:auto,query:(query_string:(analyze_wildcard:!t,query:'%22rtdc.l.rtdc.4036%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758</v>
      </c>
      <c r="B92" s="7">
        <v>4035</v>
      </c>
      <c r="C92" s="21" t="s">
        <v>194</v>
      </c>
      <c r="D92" s="21" t="s">
        <v>570</v>
      </c>
      <c r="E92" s="13">
        <v>43025.597766203704</v>
      </c>
      <c r="F92" s="13">
        <v>43025.602256944447</v>
      </c>
      <c r="G92" s="7">
        <v>102</v>
      </c>
      <c r="H92" s="21" t="s">
        <v>337</v>
      </c>
      <c r="I92" s="13">
        <v>43025.628368055557</v>
      </c>
      <c r="J92" s="7">
        <v>0</v>
      </c>
      <c r="K92" s="89" t="str">
        <f>IF(ISEVEN(B92),(B92-1)&amp;"/"&amp;B92,B92&amp;"/"&amp;(B92+1))</f>
        <v>4035/4036</v>
      </c>
      <c r="L92" s="185" t="str">
        <f>VLOOKUP(A92,'Trips&amp;Operators'!$C$1:$G$99911,5,FALSE)</f>
        <v>LEVIN SCOTT</v>
      </c>
      <c r="M92" s="6">
        <f>I92-F92</f>
        <v>2.6111111110367347E-2</v>
      </c>
      <c r="N92" s="7">
        <f>24*60*SUM($M92:$M92)</f>
        <v>37.599999998928979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-17T13:20:47-0600',mode:absolute,to:'2017-10-17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23.3034</v>
      </c>
      <c r="Z92" s="204">
        <f>RIGHT(H92,LEN(H92)-4)/10000</f>
        <v>1.43E-2</v>
      </c>
      <c r="AA92" s="204">
        <f>ABS(Z92-Y92)</f>
        <v>23.289100000000001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180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/stypes="app*4035*20171017*" /stext=" 21:.+((SYSTEM_STATE.+slice.+state.+changed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180-17 --locoid 4035 --swversion DE.1.0.9.0 --startMP 204:233034 --initTime 2017-10-17T14:20:47 --startdatetime 2017-10-17T14:27:15 --delay 102 --endMP 204:143 --enddatetime 2017-10-17T15:04:51 --enforcementcount 0 &gt;&gt;%USERPROFILE%\Documents\GitHub\eaglep3-reporting\EC\2017-10-17-refined-times.txt</v>
      </c>
      <c r="AI9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{"issue":{"subject":"","project_id":79,"tracker_id":40,"status_id":1,"priority_id":2,"assigned_to_id":338,"start_date":"2017-10-17","description":"","custom_fields":[{"id":1,"name":"Subdivision","value":"EC"},{"id":4,"name":"Milepost","value":"0.0143"},{"id":17,"name":"Train ID","value":"180-17"},{"id":16,"name":"Locomotive ID","value":"4035"},{"id":130,"name":"Impact","value":""},{"id":150,"name":"Time of Event (Mountain Time)","value":"15:04:51"},{"id":151,"name":"Denver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4035 --day 2017-10-17</v>
      </c>
      <c r="AN92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-17T13:20:47-0600',mode:absolute,to:'2017-10-17T16:04:51-0600'))&amp;_a=(columns:!('Message%20ID',Summary),filters:!(),index:'emp_*',interval:auto,query:(query_string:(analyze_wildcard:!t,query:'%22rtdc.l.rtdc.4035%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752</v>
      </c>
      <c r="B93" s="7">
        <v>4016</v>
      </c>
      <c r="C93" s="21" t="s">
        <v>194</v>
      </c>
      <c r="D93" s="21" t="s">
        <v>874</v>
      </c>
      <c r="E93" s="13">
        <v>43025.568043981482</v>
      </c>
      <c r="F93" s="13">
        <v>43025.573148148149</v>
      </c>
      <c r="G93" s="7">
        <v>99</v>
      </c>
      <c r="H93" s="21" t="s">
        <v>430</v>
      </c>
      <c r="I93" s="13">
        <v>43025.597997685189</v>
      </c>
      <c r="J93" s="7">
        <v>0</v>
      </c>
      <c r="K93" s="89" t="str">
        <f>IF(ISEVEN(B93),(B93-1)&amp;"/"&amp;B93,B93&amp;"/"&amp;(B93+1))</f>
        <v>4015/4016</v>
      </c>
      <c r="L93" s="185" t="str">
        <f>VLOOKUP(A93,'Trips&amp;Operators'!$C$1:$G$99911,5,FALSE)</f>
        <v>LEVERE CRAIG</v>
      </c>
      <c r="M93" s="6">
        <f>I93-F93</f>
        <v>2.4849537039699499E-2</v>
      </c>
      <c r="N93" s="7">
        <f>24*60*SUM($M93:$M93)</f>
        <v>35.783333337167278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-17T12:37:59-0600',mode:absolute,to:'2017-10-17T15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f>RIGHT(D93,LEN(D93)-4)/10000</f>
        <v>4.7500000000000001E-2</v>
      </c>
      <c r="Z93" s="204">
        <f>RIGHT(H93,LEN(H93)-4)/10000</f>
        <v>23.328900000000001</v>
      </c>
      <c r="AA93" s="204">
        <f>ABS(Z93-Y93)</f>
        <v>23.281400000000001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181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/stypes="app*4016*20171017*"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181-17 --locoid 4016 --swversion DE.1.0.9.0 --startMP 204:475 --initTime 2017-10-17T13:37:59 --startdatetime 2017-10-17T13:45:20 --delay 99 --endMP 204:233289 --enddatetime 2017-10-17T14:21:07 --enforcementcount 0 &gt;&gt;%USERPROFILE%\Documents\GitHub\eaglep3-reporting\EC\2017-10-17-refined-times.txt</v>
      </c>
      <c r="AI93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{"issue":{"subject":"","project_id":79,"tracker_id":40,"status_id":1,"priority_id":2,"assigned_to_id":338,"start_date":"2017-10-17","description":"","custom_fields":[{"id":1,"name":"Subdivision","value":"EC"},{"id":4,"name":"Milepost","value":"23.3289"},{"id":17,"name":"Train ID","value":"181-17"},{"id":16,"name":"Locomotive ID","value":"4016"},{"id":130,"name":"Impact","value":""},{"id":150,"name":"Time of Event (Mountain Time)","value":"14:21:07"},{"id":151,"name":"Denver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4016 --day 2017-10-17</v>
      </c>
      <c r="AN93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-17T12:37:59-0600',mode:absolute,to:'2017-10-17T15:21:07-0600'))&amp;_a=(columns:!('Message%20ID',Summary),filters:!(),index:'emp_*',interval:auto,query:(query_string:(analyze_wildcard:!t,query:'%22rtdc.l.rtdc.4016%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762</v>
      </c>
      <c r="B94" s="7">
        <v>4015</v>
      </c>
      <c r="C94" s="21" t="s">
        <v>194</v>
      </c>
      <c r="D94" s="21" t="s">
        <v>565</v>
      </c>
      <c r="E94" s="13">
        <v>43025.605844907404</v>
      </c>
      <c r="F94" s="13">
        <v>43025.612997685188</v>
      </c>
      <c r="G94" s="7">
        <v>105</v>
      </c>
      <c r="H94" s="21" t="s">
        <v>363</v>
      </c>
      <c r="I94" s="13">
        <v>43025.639479166668</v>
      </c>
      <c r="J94" s="7">
        <v>0</v>
      </c>
      <c r="K94" s="89" t="str">
        <f>IF(ISEVEN(B94),(B94-1)&amp;"/"&amp;B94,B94&amp;"/"&amp;(B94+1))</f>
        <v>4015/4016</v>
      </c>
      <c r="L94" s="185" t="str">
        <f>VLOOKUP(A94,'Trips&amp;Operators'!$C$1:$G$99911,5,FALSE)</f>
        <v>LEVERE CRAIG</v>
      </c>
      <c r="M94" s="6">
        <f>I94-F94</f>
        <v>2.6481481480004732E-2</v>
      </c>
      <c r="N94" s="7">
        <f>24*60*SUM($M94:$M94)</f>
        <v>38.133333331206813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-17T13:32:25-0600',mode:absolute,to:'2017-10-17T16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23.299199999999999</v>
      </c>
      <c r="Z94" s="204">
        <f>RIGHT(H94,LEN(H94)-4)/10000</f>
        <v>1.5800000000000002E-2</v>
      </c>
      <c r="AA94" s="204">
        <f>ABS(Z94-Y94)</f>
        <v>23.2834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182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/stypes="app*4015*20171017*" /stext=" 21:.+((SYSTEM_STATE.+slice.+state.+changed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182-17 --locoid 4015 --swversion DE.1.0.9.0 --startMP 204:232992 --initTime 2017-10-17T14:32:25 --startdatetime 2017-10-17T14:42:43 --delay 105 --endMP 204:158 --enddatetime 2017-10-17T15:20:51 --enforcementcount 0 &gt;&gt;%USERPROFILE%\Documents\GitHub\eaglep3-reporting\EC\2017-10-17-refined-times.txt</v>
      </c>
      <c r="AI94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ID","value":"182-17"},{"id":16,"name":"Locomotive ID","value":"4015"},{"id":130,"name":"Impact","value":""},{"id":150,"name":"Time of Event (Mountain Time)","value":"15:20:51"},{"id":151,"name":"Denver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4015 --day 2017-10-17</v>
      </c>
      <c r="AN94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-17T13:32:25-0600',mode:absolute,to:'2017-10-17T16:20:51-0600'))&amp;_a=(columns:!('Message%20ID',Summary),filters:!(),index:'emp_*',interval:auto,query:(query_string:(analyze_wildcard:!t,query:'%22rtdc.l.rtdc.4015%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753</v>
      </c>
      <c r="B95" s="7">
        <v>4066</v>
      </c>
      <c r="C95" s="21" t="s">
        <v>194</v>
      </c>
      <c r="D95" s="21" t="s">
        <v>338</v>
      </c>
      <c r="E95" s="13">
        <v>43025.57775462963</v>
      </c>
      <c r="F95" s="13">
        <v>43025.583553240744</v>
      </c>
      <c r="G95" s="7">
        <v>65</v>
      </c>
      <c r="H95" s="21" t="s">
        <v>370</v>
      </c>
      <c r="I95" s="13">
        <v>43025.608368055553</v>
      </c>
      <c r="J95" s="7">
        <v>0</v>
      </c>
      <c r="K95" s="89" t="str">
        <f>IF(ISEVEN(B95),(B95-1)&amp;"/"&amp;B95,B95&amp;"/"&amp;(B95+1))</f>
        <v>4065/4066</v>
      </c>
      <c r="L95" s="185" t="str">
        <f>VLOOKUP(A95,'Trips&amp;Operators'!$C$1:$G$99911,5,FALSE)</f>
        <v>KILLION DAVID</v>
      </c>
      <c r="M95" s="6">
        <f>I95-F95</f>
        <v>2.4814814809360541E-2</v>
      </c>
      <c r="N95" s="7">
        <f>24*60*SUM($M95:$M95)</f>
        <v>35.73333332547918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-17T12:51:58-0600',mode:absolute,to:'2017-10-17T15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4.53E-2</v>
      </c>
      <c r="Z95" s="204">
        <f>RIGHT(H95,LEN(H95)-4)/10000</f>
        <v>23.331199999999999</v>
      </c>
      <c r="AA95" s="204">
        <f>ABS(Z95-Y95)</f>
        <v>23.285899999999998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183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/stypes="app*4066*20171017*" /stext=" 20:.+((SYSTEM_STATE.+slice.+state.+changed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183-17 --locoid 4066 --swversion DE.1.0.9.0 --startMP 204:453 --initTime 2017-10-17T13:51:58 --startdatetime 2017-10-17T14:00:19 --delay 65 --endMP 204:233312 --enddatetime 2017-10-17T14:36:03 --enforcementcount 0 &gt;&gt;%USERPROFILE%\Documents\GitHub\eaglep3-reporting\EC\2017-10-17-refined-times.txt</v>
      </c>
      <c r="AI9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{"issue":{"subject":"","project_id":79,"tracker_id":40,"status_id":1,"priority_id":2,"assigned_to_id":338,"start_date":"2017-10-17","description":"","custom_fields":[{"id":1,"name":"Subdivision","value":"EC"},{"id":4,"name":"Milepost","value":"23.3312"},{"id":17,"name":"Train ID","value":"183-17"},{"id":16,"name":"Locomotive ID","value":"4066"},{"id":130,"name":"Impact","value":""},{"id":150,"name":"Time of Event (Mountain Time)","value":"14:36:03"},{"id":151,"name":"Denver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4066 --day 2017-10-17</v>
      </c>
      <c r="AN95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-17T12:51:58-0600',mode:absolute,to:'2017-10-17T15:36:03-0600'))&amp;_a=(columns:!('Message%20ID',Summary),filters:!(),index:'emp_*',interval:auto,query:(query_string:(analyze_wildcard:!t,query:'%22rtdc.l.rtdc.4066%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764</v>
      </c>
      <c r="B96" s="7">
        <v>4065</v>
      </c>
      <c r="C96" s="21" t="s">
        <v>194</v>
      </c>
      <c r="D96" s="21" t="s">
        <v>429</v>
      </c>
      <c r="E96" s="13">
        <v>43025.613703703704</v>
      </c>
      <c r="F96" s="13">
        <v>43025.624710648146</v>
      </c>
      <c r="G96" s="7">
        <v>54</v>
      </c>
      <c r="H96" s="21" t="s">
        <v>363</v>
      </c>
      <c r="I96" s="13">
        <v>43025.650833333333</v>
      </c>
      <c r="J96" s="7">
        <v>0</v>
      </c>
      <c r="K96" s="89" t="str">
        <f>IF(ISEVEN(B96),(B96-1)&amp;"/"&amp;B96,B96&amp;"/"&amp;(B96+1))</f>
        <v>4065/4066</v>
      </c>
      <c r="L96" s="185" t="str">
        <f>VLOOKUP(A96,'Trips&amp;Operators'!$C$1:$G$99911,5,FALSE)</f>
        <v>KILLION DAVID</v>
      </c>
      <c r="M96" s="6">
        <f>I96-F96</f>
        <v>2.6122685187146999E-2</v>
      </c>
      <c r="N96" s="7">
        <f>24*60*SUM($M96:$M96)</f>
        <v>37.616666669491678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-17T13:43:44-0600',mode:absolute,to:'2017-10-17T16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23.2989</v>
      </c>
      <c r="Z96" s="204">
        <f>RIGHT(H96,LEN(H96)-4)/10000</f>
        <v>1.5800000000000002E-2</v>
      </c>
      <c r="AA96" s="204">
        <f>ABS(Z96-Y96)</f>
        <v>23.283100000000001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184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/stypes="app*4065*20171017*" /stext=" 21:.+((SYSTEM_STATE.+slice.+state.+changed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184-17 --locoid 4065 --swversion DE.1.0.9.0 --startMP 204:232989 --initTime 2017-10-17T14:43:44 --startdatetime 2017-10-17T14:59:35 --delay 54 --endMP 204:158 --enddatetime 2017-10-17T15:37:12 --enforcementcount 0 &gt;&gt;%USERPROFILE%\Documents\GitHub\eaglep3-reporting\EC\2017-10-17-refined-times.txt</v>
      </c>
      <c r="AI96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ID","value":"184-17"},{"id":16,"name":"Locomotive ID","value":"4065"},{"id":130,"name":"Impact","value":""},{"id":150,"name":"Time of Event (Mountain Time)","value":"15:37:12"},{"id":151,"name":"Denver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4065 --day 2017-10-17</v>
      </c>
      <c r="AN96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-17T13:43:44-0600',mode:absolute,to:'2017-10-17T16:37:12-0600'))&amp;_a=(columns:!('Message%20ID',Summary),filters:!(),index:'emp_*',interval:auto,query:(query_string:(analyze_wildcard:!t,query:'%22rtdc.l.rtdc.4065%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759</v>
      </c>
      <c r="B97" s="7">
        <v>4052</v>
      </c>
      <c r="C97" s="21" t="s">
        <v>194</v>
      </c>
      <c r="D97" s="21" t="s">
        <v>466</v>
      </c>
      <c r="E97" s="13">
        <v>43025.598611111112</v>
      </c>
      <c r="F97" s="13">
        <v>43025.599849537037</v>
      </c>
      <c r="G97" s="7">
        <v>61</v>
      </c>
      <c r="H97" s="21" t="s">
        <v>388</v>
      </c>
      <c r="I97" s="13">
        <v>43025.626215277778</v>
      </c>
      <c r="J97" s="7">
        <v>0</v>
      </c>
      <c r="K97" s="89" t="str">
        <f>IF(ISEVEN(B97),(B97-1)&amp;"/"&amp;B97,B97&amp;"/"&amp;(B97+1))</f>
        <v>4051/4052</v>
      </c>
      <c r="L97" s="185" t="str">
        <f>VLOOKUP(A97,'Trips&amp;Operators'!$C$1:$G$99911,5,FALSE)</f>
        <v>NEWELL JAMES</v>
      </c>
      <c r="M97" s="6">
        <f>I97-F97</f>
        <v>2.6365740741312038E-2</v>
      </c>
      <c r="N97" s="7">
        <f>24*60*SUM($M97:$M97)</f>
        <v>37.966666667489335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-17T13:22:00-0600',mode:absolute,to:'2017-10-17T16:01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4.4400000000000002E-2</v>
      </c>
      <c r="Z97" s="204">
        <f>RIGHT(H97,LEN(H97)-4)/10000</f>
        <v>23.3291</v>
      </c>
      <c r="AA97" s="204">
        <f>ABS(Z97-Y97)</f>
        <v>23.284700000000001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185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/stypes="app*4052*20171017*"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185-17 --locoid 4052 --swversion DE.1.0.9.0 --startMP 204:444 --initTime 2017-10-17T14:22:00 --startdatetime 2017-10-17T14:23:47 --delay 61 --endMP 204:233291 --enddatetime 2017-10-17T15:01:45 --enforcementcount 0 &gt;&gt;%USERPROFILE%\Documents\GitHub\eaglep3-reporting\EC\2017-10-17-refined-times.txt</v>
      </c>
      <c r="AI97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{"issue":{"subject":"","project_id":79,"tracker_id":40,"status_id":1,"priority_id":2,"assigned_to_id":338,"start_date":"2017-10-17","description":"","custom_fields":[{"id":1,"name":"Subdivision","value":"EC"},{"id":4,"name":"Milepost","value":"23.3291"},{"id":17,"name":"Train ID","value":"185-17"},{"id":16,"name":"Locomotive ID","value":"4052"},{"id":130,"name":"Impact","value":""},{"id":150,"name":"Time of Event (Mountain Time)","value":"15:01:45"},{"id":151,"name":"Denver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4052 --day 2017-10-17</v>
      </c>
      <c r="AN9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21:01:45"},{"id":29,"name":"Sharepoint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-17T13:22:00-0600',mode:absolute,to:'2017-10-17T16:01:45-0600'))&amp;_a=(columns:!('Message%20ID',Summary),filters:!(),index:'emp_*',interval:auto,query:(query_string:(analyze_wildcard:!t,query:'%22rtdc.l.rtdc.4052%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766</v>
      </c>
      <c r="B98" s="7">
        <v>4051</v>
      </c>
      <c r="C98" s="21" t="s">
        <v>194</v>
      </c>
      <c r="D98" s="21" t="s">
        <v>466</v>
      </c>
      <c r="E98" s="13">
        <v>43025.598611111112</v>
      </c>
      <c r="F98" s="13">
        <v>43025.633483796293</v>
      </c>
      <c r="G98" s="7">
        <v>61</v>
      </c>
      <c r="H98" s="21" t="s">
        <v>388</v>
      </c>
      <c r="I98" s="13">
        <v>43025.659004629626</v>
      </c>
      <c r="J98" s="7">
        <v>0</v>
      </c>
      <c r="K98" s="89" t="str">
        <f>IF(ISEVEN(B98),(B98-1)&amp;"/"&amp;B98,B98&amp;"/"&amp;(B98+1))</f>
        <v>4051/4052</v>
      </c>
      <c r="L98" s="185" t="str">
        <f>VLOOKUP(A98,'Trips&amp;Operators'!$C$1:$G$99911,5,FALSE)</f>
        <v>NEWELL JAMES</v>
      </c>
      <c r="M98" s="6">
        <f>I98-F98</f>
        <v>2.5520833332848269E-2</v>
      </c>
      <c r="N98" s="7">
        <f>24*60*SUM($M98:$M98)</f>
        <v>36.749999999301508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-17T13:22:00-0600',mode:absolute,to:'2017-10-17T16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v>23.2989</v>
      </c>
      <c r="Z98" s="204">
        <v>1.5800000000000002E-2</v>
      </c>
      <c r="AA98" s="204">
        <f>ABS(Z98-Y98)</f>
        <v>23.283100000000001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186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/stypes="app*4051*20171017*" /stext=" 21:.+((SYSTEM_STATE.+slice.+state.+changed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ref="AH98" si="15"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"&amp;J98&amp;IF(outputrefinedruntimes," &gt;&gt;"&amp;RefinedRTDCRunTimesOutputFile,"")</f>
        <v>"%USERPROFILE%\Documents\GitHub\eaglep3\Utilities\RefineRTDCRunTimes.py" --tripid 186-17 --locoid 4051 --swversion DE.1.0.9.0 --startMP 204:444 --initTime 2017-10-17T14:22:00 --startdatetime 2017-10-17T15:12:13 --delay 61 --endMP 204:233291 --enddatetime 2017-10-17T15:48:58 --enforcementcount 0 &gt;&gt;%USERPROFILE%\Documents\GitHub\eaglep3-reporting\EC\2017-10-17-refined-times.txt</v>
      </c>
      <c r="AI98" s="96" t="str">
        <f t="shared" ref="AI98" si="16">"echo {""issue"":{""subject"":"""&amp;R98&amp;""",""project_id"":79,""tracker_id"":40,""status_id"":"&amp;redmine_status&amp;",""priority_id"":"&amp;redmine_priority&amp;",""assigned_to_id"":"&amp;redmine_assignee&amp;",""start_date"":"""&amp;TEXT(I98,"YYYY-mm-dd")&amp;""",""description"":"""&amp;AJ98&amp;""",""custom_fields"":[{""id"":1,""name"":""Subdivision"",""value"":"""&amp;AG98&amp;"""},{""id"":4,""name"":""Milepost"",""value"":"""&amp;Z98&amp;"""},{""id"":17,""name"":""Train ID"",""value"":"""&amp;A98&amp;"""},{""id"":16,""name"":""Locomotive ID"",""value"":"""&amp;B98&amp;"""},{""id"":130,""name"":""Impact"",""value"":"""&amp;AK98&amp;"""},{""id"":150,""name"":""Time of Event (Mountain Time)"",""value"":"""&amp;TEXT(I98,"hh:mm:ss")&amp;"""},{""id"":151,""name"":""Denver Issue ID"",""value"":"""&amp;"""},{""id"":178,""name"":""Operational Impact"",""value"":"""&amp;redmine_op_impact&amp;"""},{""id"":179,""name"":""Denver Segment Assigned"",""value"":"""&amp;AL98&amp;"""}]}}"&amp;"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ID","value":"186-17"},{"id":16,"name":"Locomotive ID","value":"4051"},{"id":130,"name":"Impact","value":""},{"id":150,"name":"Time of Event (Mountain Time)","value":"15:48:58"},{"id":151,"name":"Denver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ref="AM98" si="17">"start /low /b "&amp;dls3logs&amp;" --loco "&amp;B98&amp;" --day "&amp;TEXT(F98,"YYYY-MM-DD")</f>
        <v>start /low /b %USERPROFILE%\Documents\GitHub\eaglep3\Utilities\DownloadLogsFromS3.py --loco 4051 --day 2017-10-17</v>
      </c>
      <c r="AN98" s="151" t="str">
        <f t="shared" ref="AN98" si="18">"echo {""issue"":{""subject"":"""&amp;R98&amp;""",""project_id"":30,""tracker_id"":4,""status_id"":"&amp;redmine_status_wcr&amp;",""priority_id"":"&amp;redmine_priority_wcr&amp;",""assigned_to_id"":"&amp;redmine_assignee_wcr&amp;",""start_date"":"""&amp;TEXT(I98-utc_offset/24,"YYYY-mm-dd")&amp;""",""description"":"""&amp;AJ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ref="AO98" si="19"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Message%20ID',Summary),filters:!(),index:'emp_*',interval:auto,query:"&amp;"(query_string:(analyze_wildcard:!t,query:'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-17T13:22:00-0600',mode:absolute,to:'2017-10-17T16:48:58-0600'))&amp;_a=(columns:!('Message%20ID',Summary),filters:!(),index:'emp_*',interval:auto,query:(query_string:(analyze_wildcard:!t,query:'%22rtdc.l.rtdc.4051%22')),sort:!(Time.ISO8601,asc))</v>
      </c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</row>
    <row r="99" spans="1:91" s="1" customFormat="1" x14ac:dyDescent="0.3">
      <c r="A99" s="32" t="s">
        <v>760</v>
      </c>
      <c r="B99" s="7">
        <v>4014</v>
      </c>
      <c r="C99" s="21" t="s">
        <v>194</v>
      </c>
      <c r="D99" s="21" t="s">
        <v>353</v>
      </c>
      <c r="E99" s="13">
        <v>43025.599618055552</v>
      </c>
      <c r="F99" s="13">
        <v>43025.604409722226</v>
      </c>
      <c r="G99" s="7">
        <v>64</v>
      </c>
      <c r="H99" s="21" t="s">
        <v>388</v>
      </c>
      <c r="I99" s="13">
        <v>43025.629976851851</v>
      </c>
      <c r="J99" s="7">
        <v>0</v>
      </c>
      <c r="K99" s="89" t="str">
        <f>IF(ISEVEN(B99),(B99-1)&amp;"/"&amp;B99,B99&amp;"/"&amp;(B99+1))</f>
        <v>4013/4014</v>
      </c>
      <c r="L99" s="185" t="str">
        <f>VLOOKUP(A99,'Trips&amp;Operators'!$C$1:$G$99911,5,FALSE)</f>
        <v>SMITH MICHAEL</v>
      </c>
      <c r="M99" s="6">
        <f>I99-F99</f>
        <v>2.5567129625414964E-2</v>
      </c>
      <c r="N99" s="7">
        <f>24*60*SUM($M99:$M99)</f>
        <v>36.816666660597548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-17T13:23:27-0600',mode:absolute,to:'2017-10-17T16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4.58E-2</v>
      </c>
      <c r="Z99" s="204">
        <f>RIGHT(H99,LEN(H99)-4)/10000</f>
        <v>23.3291</v>
      </c>
      <c r="AA99" s="204">
        <f>ABS(Z99-Y99)</f>
        <v>23.283300000000001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187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/stypes="app*4014*20171017*"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187-17 --locoid 4014 --swversion DE.1.0.9.0 --startMP 204:458 --initTime 2017-10-17T14:23:27 --startdatetime 2017-10-17T14:30:21 --delay 64 --endMP 204:233291 --enddatetime 2017-10-17T15:07:10 --enforcementcount 0 &gt;&gt;%USERPROFILE%\Documents\GitHub\eaglep3-reporting\EC\2017-10-17-refined-times.txt</v>
      </c>
      <c r="AI9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{"issue":{"subject":"","project_id":79,"tracker_id":40,"status_id":1,"priority_id":2,"assigned_to_id":338,"start_date":"2017-10-17","description":"","custom_fields":[{"id":1,"name":"Subdivision","value":"EC"},{"id":4,"name":"Milepost","value":"23.3291"},{"id":17,"name":"Train ID","value":"187-17"},{"id":16,"name":"Locomotive ID","value":"4014"},{"id":130,"name":"Impact","value":""},{"id":150,"name":"Time of Event (Mountain Time)","value":"15:07:10"},{"id":151,"name":"Denver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4014 --day 2017-10-17</v>
      </c>
      <c r="AN9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-17T13:23:27-0600',mode:absolute,to:'2017-10-17T16:07:10-0600'))&amp;_a=(columns:!('Message%20ID',Summary),filters:!(),index:'emp_*',interval:auto,query:(query_string:(analyze_wildcard:!t,query:'%22rtdc.l.rtdc.4014%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3">
      <c r="A100" s="32" t="s">
        <v>631</v>
      </c>
      <c r="B100" s="7">
        <v>4013</v>
      </c>
      <c r="C100" s="21" t="s">
        <v>194</v>
      </c>
      <c r="D100" s="21" t="s">
        <v>864</v>
      </c>
      <c r="E100" s="13">
        <v>43025.63853009259</v>
      </c>
      <c r="F100" s="13">
        <v>43025.643969907411</v>
      </c>
      <c r="G100" s="7">
        <v>64</v>
      </c>
      <c r="H100" s="21" t="s">
        <v>355</v>
      </c>
      <c r="I100" s="13">
        <v>43025.670405092591</v>
      </c>
      <c r="J100" s="7">
        <v>0</v>
      </c>
      <c r="K100" s="89" t="str">
        <f>IF(ISEVEN(B100),(B100-1)&amp;"/"&amp;B100,B100&amp;"/"&amp;(B100+1))</f>
        <v>4013/4014</v>
      </c>
      <c r="L100" s="185" t="str">
        <f>VLOOKUP(A100,'Trips&amp;Operators'!$C$1:$G$99911,5,FALSE)</f>
        <v>SMITH MICHAEL</v>
      </c>
      <c r="M100" s="6">
        <f>I100-F100</f>
        <v>2.643518518016208E-2</v>
      </c>
      <c r="N100" s="7">
        <f>24*60*SUM($M100:$M100)</f>
        <v>38.066666659433395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-17T14:19:29-0600',mode:absolute,to:'2017-10-17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23.2974</v>
      </c>
      <c r="Z100" s="204">
        <f>RIGHT(H100,LEN(H100)-4)/10000</f>
        <v>1.4500000000000001E-2</v>
      </c>
      <c r="AA100" s="204">
        <f>ABS(Z100-Y100)</f>
        <v>23.282899999999998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188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/stypes="app*4013*20171017*" /stext=" 22:.+((SYSTEM_STATE.+slice.+state.+changed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188-17 --locoid 4013 --swversion DE.1.0.9.0 --startMP 204:232974 --initTime 2017-10-17T15:19:29 --startdatetime 2017-10-17T15:27:19 --delay 64 --endMP 204:145 --enddatetime 2017-10-17T16:05:23 --enforcementcount 0 &gt;&gt;%USERPROFILE%\Documents\GitHub\eaglep3-reporting\EC\2017-10-17-refined-times.txt</v>
      </c>
      <c r="AI10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ID","value":"188-17"},{"id":16,"name":"Locomotive ID","value":"4013"},{"id":130,"name":"Impact","value":""},{"id":150,"name":"Time of Event (Mountain Time)","value":"16:05:23"},{"id":151,"name":"Denver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4013 --day 2017-10-17</v>
      </c>
      <c r="AN100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-17T14:19:29-0600',mode:absolute,to:'2017-10-17T17:05:23-0600'))&amp;_a=(columns:!('Message%20ID',Summary),filters:!(),index:'emp_*',interval:auto,query:(query_string:(analyze_wildcard:!t,query:'%22rtdc.l.rtdc.4013%22')),sort:!(Time.ISO8601,asc))</v>
      </c>
    </row>
    <row r="101" spans="1:91" s="20" customFormat="1" x14ac:dyDescent="0.3">
      <c r="A101" s="32" t="s">
        <v>763</v>
      </c>
      <c r="B101" s="7">
        <v>4050</v>
      </c>
      <c r="C101" s="21" t="s">
        <v>194</v>
      </c>
      <c r="D101" s="21" t="s">
        <v>362</v>
      </c>
      <c r="E101" s="13">
        <v>43025.609606481485</v>
      </c>
      <c r="F101" s="13">
        <v>43025.614756944444</v>
      </c>
      <c r="G101" s="7">
        <v>69</v>
      </c>
      <c r="H101" s="21" t="s">
        <v>881</v>
      </c>
      <c r="I101" s="13">
        <v>43025.639618055553</v>
      </c>
      <c r="J101" s="7">
        <v>0</v>
      </c>
      <c r="K101" s="89" t="str">
        <f>IF(ISEVEN(B101),(B101-1)&amp;"/"&amp;B101,B101&amp;"/"&amp;(B101+1))</f>
        <v>4049/4050</v>
      </c>
      <c r="L101" s="185" t="str">
        <f>VLOOKUP(A101,'Trips&amp;Operators'!$C$1:$G$99911,5,FALSE)</f>
        <v>BRUDER RICHARD</v>
      </c>
      <c r="M101" s="6">
        <f>I101-F101</f>
        <v>2.4861111109203193E-2</v>
      </c>
      <c r="N101" s="7">
        <f>24*60*SUM($M101:$M101)</f>
        <v>35.799999997252598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-17T13:37:50-0600',mode:absolute,to:'2017-10-17T16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4.5999999999999999E-2</v>
      </c>
      <c r="Z101" s="204">
        <f>RIGHT(H101,LEN(H101)-4)/10000</f>
        <v>23.3263</v>
      </c>
      <c r="AA101" s="204">
        <f>ABS(Z101-Y101)</f>
        <v>23.2803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189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/stypes="app*4050*20171017*"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189-17 --locoid 4050 --swversion DE.1.0.9.0 --startMP 204:460 --initTime 2017-10-17T14:37:50 --startdatetime 2017-10-17T14:45:15 --delay 69 --endMP 204:233263 --enddatetime 2017-10-17T15:21:03 --enforcementcount 0 &gt;&gt;%USERPROFILE%\Documents\GitHub\eaglep3-reporting\EC\2017-10-17-refined-times.txt</v>
      </c>
      <c r="AI10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{"issue":{"subject":"","project_id":79,"tracker_id":40,"status_id":1,"priority_id":2,"assigned_to_id":338,"start_date":"2017-10-17","description":"","custom_fields":[{"id":1,"name":"Subdivision","value":"EC"},{"id":4,"name":"Milepost","value":"23.3263"},{"id":17,"name":"Train ID","value":"189-17"},{"id":16,"name":"Locomotive ID","value":"4050"},{"id":130,"name":"Impact","value":""},{"id":150,"name":"Time of Event (Mountain Time)","value":"15:21:03"},{"id":151,"name":"Denver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1" s="47"/>
      <c r="AL101" s="47"/>
      <c r="AM101" s="142" t="str">
        <f t="shared" si="12"/>
        <v>start /low /b %USERPROFILE%\Documents\GitHub\eaglep3\Utilities\DownloadLogsFromS3.py --loco 4050 --day 2017-10-17</v>
      </c>
      <c r="AN10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-17T13:37:50-0600',mode:absolute,to:'2017-10-17T16:21:03-0600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771</v>
      </c>
      <c r="B102" s="7">
        <v>4049</v>
      </c>
      <c r="C102" s="21" t="s">
        <v>194</v>
      </c>
      <c r="D102" s="21" t="s">
        <v>574</v>
      </c>
      <c r="E102" s="13">
        <v>43025.650347222225</v>
      </c>
      <c r="F102" s="13">
        <v>43025.654340277775</v>
      </c>
      <c r="G102" s="7">
        <v>88</v>
      </c>
      <c r="H102" s="21" t="s">
        <v>336</v>
      </c>
      <c r="I102" s="13">
        <v>43025.680231481485</v>
      </c>
      <c r="J102" s="7">
        <v>0</v>
      </c>
      <c r="K102" s="89" t="str">
        <f>IF(ISEVEN(B102),(B102-1)&amp;"/"&amp;B102,B102&amp;"/"&amp;(B102+1))</f>
        <v>4049/4050</v>
      </c>
      <c r="L102" s="185" t="str">
        <f>VLOOKUP(A102,'Trips&amp;Operators'!$C$1:$G$99911,5,FALSE)</f>
        <v>BRUDER RICHARD</v>
      </c>
      <c r="M102" s="6">
        <f>I102-F102</f>
        <v>2.5891203709761612E-2</v>
      </c>
      <c r="N102" s="7">
        <f>24*60*SUM($M102:$M102)</f>
        <v>37.283333342056721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-17T14:36:30-0600',mode:absolute,to:'2017-10-17T17:19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23.297999999999998</v>
      </c>
      <c r="Z102" s="204">
        <f>RIGHT(H102,LEN(H102)-4)/10000</f>
        <v>1.49E-2</v>
      </c>
      <c r="AA102" s="204">
        <f>ABS(Z102-Y102)</f>
        <v>23.283099999999997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190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/stypes="app*4049*20171017*" /stext=" 22:.+((SYSTEM_STATE.+slice.+state.+changed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190-17 --locoid 4049 --swversion DE.1.0.9.0 --startMP 204:232980 --initTime 2017-10-17T15:36:30 --startdatetime 2017-10-17T15:42:15 --delay 88 --endMP 204:149 --enddatetime 2017-10-17T16:19:32 --enforcementcount 0 &gt;&gt;%USERPROFILE%\Documents\GitHub\eaglep3-reporting\EC\2017-10-17-refined-times.txt</v>
      </c>
      <c r="AI10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{"issue":{"subject":"","project_id":79,"tracker_id":40,"status_id":1,"priority_id":2,"assigned_to_id":338,"start_date":"2017-10-17","description":"","custom_fields":[{"id":1,"name":"Subdivision","value":"EC"},{"id":4,"name":"Milepost","value":"0.0149"},{"id":17,"name":"Train ID","value":"190-17"},{"id":16,"name":"Locomotive ID","value":"4049"},{"id":130,"name":"Impact","value":""},{"id":150,"name":"Time of Event (Mountain Time)","value":"16:19:32"},{"id":151,"name":"Denver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2" s="47"/>
      <c r="AL102" s="47"/>
      <c r="AM102" s="142" t="str">
        <f t="shared" si="12"/>
        <v>start /low /b %USERPROFILE%\Documents\GitHub\eaglep3\Utilities\DownloadLogsFromS3.py --loco 4049 --day 2017-10-17</v>
      </c>
      <c r="AN102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-17T14:36:30-0600',mode:absolute,to:'2017-10-17T17:19:32-0600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629</v>
      </c>
      <c r="B103" s="7">
        <v>4010</v>
      </c>
      <c r="C103" s="21" t="s">
        <v>194</v>
      </c>
      <c r="D103" s="21" t="s">
        <v>371</v>
      </c>
      <c r="E103" s="13">
        <v>43025.621782407405</v>
      </c>
      <c r="F103" s="13">
        <v>43025.625358796293</v>
      </c>
      <c r="G103" s="7">
        <v>58</v>
      </c>
      <c r="H103" s="21" t="s">
        <v>507</v>
      </c>
      <c r="I103" s="13">
        <v>43025.650393518517</v>
      </c>
      <c r="J103" s="7">
        <v>0</v>
      </c>
      <c r="K103" s="89" t="str">
        <f>IF(ISEVEN(B103),(B103-1)&amp;"/"&amp;B103,B103&amp;"/"&amp;(B103+1))</f>
        <v>4009/4010</v>
      </c>
      <c r="L103" s="185" t="str">
        <f>VLOOKUP(A103,'Trips&amp;Operators'!$C$1:$G$99911,5,FALSE)</f>
        <v>STEWART MICHAEL</v>
      </c>
      <c r="M103" s="6">
        <f>I103-F103</f>
        <v>2.5034722224518191E-2</v>
      </c>
      <c r="N103" s="7">
        <f>24*60*SUM($M103:$M103)</f>
        <v>36.050000003306195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-17T13:55:22-0600',mode:absolute,to:'2017-10-17T16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4.7100000000000003E-2</v>
      </c>
      <c r="Z103" s="204">
        <f>RIGHT(H103,LEN(H103)-4)/10000</f>
        <v>23.327400000000001</v>
      </c>
      <c r="AA103" s="204">
        <f>ABS(Z103-Y103)</f>
        <v>23.2803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191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/stypes="app*4010*20171017*" /stext=" 21:.+((SYSTEM_STATE.+slice.+state.+changed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191-17 --locoid 4010 --swversion DE.1.0.9.0 --startMP 204:471 --initTime 2017-10-17T14:55:22 --startdatetime 2017-10-17T15:00:31 --delay 58 --endMP 204:233274 --enddatetime 2017-10-17T15:36:34 --enforcementcount 0 &gt;&gt;%USERPROFILE%\Documents\GitHub\eaglep3-reporting\EC\2017-10-17-refined-times.txt</v>
      </c>
      <c r="AI103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{"issue":{"subject":"","project_id":79,"tracker_id":40,"status_id":1,"priority_id":2,"assigned_to_id":338,"start_date":"2017-10-17","description":"","custom_fields":[{"id":1,"name":"Subdivision","value":"EC"},{"id":4,"name":"Milepost","value":"23.3274"},{"id":17,"name":"Train ID","value":"191-17"},{"id":16,"name":"Locomotive ID","value":"4010"},{"id":130,"name":"Impact","value":""},{"id":150,"name":"Time of Event (Mountain Time)","value":"15:36:34"},{"id":151,"name":"Denver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4010 --day 2017-10-17</v>
      </c>
      <c r="AN103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-17T13:55:22-0600',mode:absolute,to:'2017-10-17T16:36:34-0600'))&amp;_a=(columns:!('Message%20ID',Summary),filters:!(),index:'emp_*',interval:auto,query:(query_string:(analyze_wildcard:!t,query:'%22rtdc.l.rtdc.4010%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775</v>
      </c>
      <c r="B104" s="7">
        <v>4009</v>
      </c>
      <c r="C104" s="21" t="s">
        <v>194</v>
      </c>
      <c r="D104" s="21" t="s">
        <v>882</v>
      </c>
      <c r="E104" s="13">
        <v>43025.66065972222</v>
      </c>
      <c r="F104" s="13">
        <v>43025.664814814816</v>
      </c>
      <c r="G104" s="7">
        <v>57</v>
      </c>
      <c r="H104" s="21" t="s">
        <v>366</v>
      </c>
      <c r="I104" s="13">
        <v>43025.691990740743</v>
      </c>
      <c r="J104" s="7">
        <v>0</v>
      </c>
      <c r="K104" s="89" t="str">
        <f>IF(ISEVEN(B104),(B104-1)&amp;"/"&amp;B104,B104&amp;"/"&amp;(B104+1))</f>
        <v>4009/4010</v>
      </c>
      <c r="L104" s="185" t="str">
        <f>VLOOKUP(A104,'Trips&amp;Operators'!$C$1:$G$99911,5,FALSE)</f>
        <v>STEWART MICHAEL</v>
      </c>
      <c r="M104" s="6">
        <f>I104-F104</f>
        <v>2.7175925926712807E-2</v>
      </c>
      <c r="N104" s="7">
        <f>24*60*SUM($M104:$M104)</f>
        <v>39.133333334466442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-17T14:51:21-0600',mode:absolute,to:'2017-10-17T17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23.294899999999998</v>
      </c>
      <c r="Z104" s="204">
        <f>RIGHT(H104,LEN(H104)-4)/10000</f>
        <v>1.3899999999999999E-2</v>
      </c>
      <c r="AA104" s="204">
        <f>ABS(Z104-Y104)</f>
        <v>23.280999999999999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192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/stypes="app*4009*20171017*" /stext=" 22:.+((SYSTEM_STATE.+slice.+state.+changed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192-17 --locoid 4009 --swversion DE.1.0.9.0 --startMP 204:232949 --initTime 2017-10-17T15:51:21 --startdatetime 2017-10-17T15:57:20 --delay 57 --endMP 204:139 --enddatetime 2017-10-17T16:36:28 --enforcementcount 0 &gt;&gt;%USERPROFILE%\Documents\GitHub\eaglep3-reporting\EC\2017-10-17-refined-times.txt</v>
      </c>
      <c r="AI104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{"issue":{"subject":"","project_id":79,"tracker_id":40,"status_id":1,"priority_id":2,"assigned_to_id":338,"start_date":"2017-10-17","description":"","custom_fields":[{"id":1,"name":"Subdivision","value":"EC"},{"id":4,"name":"Milepost","value":"0.0139"},{"id":17,"name":"Train ID","value":"192-17"},{"id":16,"name":"Locomotive ID","value":"4009"},{"id":130,"name":"Impact","value":""},{"id":150,"name":"Time of Event (Mountain Time)","value":"16:36:28"},{"id":151,"name":"Denver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4009 --day 2017-10-17</v>
      </c>
      <c r="AN104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-17T14:51:21-0600',mode:absolute,to:'2017-10-17T17:36:28-0600'))&amp;_a=(columns:!('Message%20ID',Summary),filters:!(),index:'emp_*',interval:auto,query:(query_string:(analyze_wildcard:!t,query:'%22rtdc.l.rtdc.4009%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767</v>
      </c>
      <c r="B105" s="7">
        <v>4036</v>
      </c>
      <c r="C105" s="21" t="s">
        <v>194</v>
      </c>
      <c r="D105" s="21" t="s">
        <v>369</v>
      </c>
      <c r="E105" s="13">
        <v>43025.633831018517</v>
      </c>
      <c r="F105" s="13">
        <v>43025.635810185187</v>
      </c>
      <c r="G105" s="7">
        <v>46</v>
      </c>
      <c r="H105" s="21" t="s">
        <v>883</v>
      </c>
      <c r="I105" s="13">
        <v>43025.66065972222</v>
      </c>
      <c r="J105" s="7">
        <v>0</v>
      </c>
      <c r="K105" s="89" t="str">
        <f>IF(ISEVEN(B105),(B105-1)&amp;"/"&amp;B105,B105&amp;"/"&amp;(B105+1))</f>
        <v>4035/4036</v>
      </c>
      <c r="L105" s="185" t="str">
        <f>VLOOKUP(A105,'Trips&amp;Operators'!$C$1:$G$99911,5,FALSE)</f>
        <v>LEVIN SCOTT</v>
      </c>
      <c r="M105" s="6">
        <f>I105-F105</f>
        <v>2.4849537032423541E-2</v>
      </c>
      <c r="N105" s="7">
        <f>24*60*SUM($M105:$M105)</f>
        <v>35.783333326689899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-17T14:12:43-0600',mode:absolute,to:'2017-10-17T16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4.5100000000000001E-2</v>
      </c>
      <c r="Z105" s="204">
        <f>RIGHT(H105,LEN(H105)-4)/10000</f>
        <v>23.3339</v>
      </c>
      <c r="AA105" s="204">
        <f>ABS(Z105-Y105)</f>
        <v>23.288799999999998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193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/stypes="app*4036*20171017*" /stext=" 21:.+((SYSTEM_STATE.+slice.+state.+changed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193-17 --locoid 4036 --swversion DE.1.0.9.0 --startMP 204:451 --initTime 2017-10-17T15:12:43 --startdatetime 2017-10-17T15:15:34 --delay 46 --endMP 204:233339 --enddatetime 2017-10-17T15:51:21 --enforcementcount 0 &gt;&gt;%USERPROFILE%\Documents\GitHub\eaglep3-reporting\EC\2017-10-17-refined-times.txt</v>
      </c>
      <c r="AI10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{"issue":{"subject":"","project_id":79,"tracker_id":40,"status_id":1,"priority_id":2,"assigned_to_id":338,"start_date":"2017-10-17","description":"","custom_fields":[{"id":1,"name":"Subdivision","value":"EC"},{"id":4,"name":"Milepost","value":"23.3339"},{"id":17,"name":"Train ID","value":"193-17"},{"id":16,"name":"Locomotive ID","value":"4036"},{"id":130,"name":"Impact","value":""},{"id":150,"name":"Time of Event (Mountain Time)","value":"15:51:21"},{"id":151,"name":"Denver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4036 --day 2017-10-17</v>
      </c>
      <c r="AN105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-17T14:12:43-0600',mode:absolute,to:'2017-10-17T16:51:21-0600'))&amp;_a=(columns:!('Message%20ID',Summary),filters:!(),index:'emp_*',interval:auto,query:(query_string:(analyze_wildcard:!t,query:'%22rtdc.l.rtdc.4036%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779</v>
      </c>
      <c r="B106" s="7">
        <v>4035</v>
      </c>
      <c r="C106" s="21" t="s">
        <v>194</v>
      </c>
      <c r="D106" s="21" t="s">
        <v>481</v>
      </c>
      <c r="E106" s="13">
        <v>43025.672152777777</v>
      </c>
      <c r="F106" s="13">
        <v>43025.675185185188</v>
      </c>
      <c r="G106" s="7">
        <v>57</v>
      </c>
      <c r="H106" s="21" t="s">
        <v>884</v>
      </c>
      <c r="I106" s="13">
        <v>43025.701886574076</v>
      </c>
      <c r="J106" s="7">
        <v>0</v>
      </c>
      <c r="K106" s="89" t="str">
        <f>IF(ISEVEN(B106),(B106-1)&amp;"/"&amp;B106,B106&amp;"/"&amp;(B106+1))</f>
        <v>4035/4036</v>
      </c>
      <c r="L106" s="185" t="str">
        <f>VLOOKUP(A106,'Trips&amp;Operators'!$C$1:$G$99911,5,FALSE)</f>
        <v>LEVIN SCOTT</v>
      </c>
      <c r="M106" s="6">
        <f>I106-F106</f>
        <v>2.6701388887886424E-2</v>
      </c>
      <c r="N106" s="7">
        <f>24*60*SUM($M106:$M106)</f>
        <v>38.44999999855645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-17T15:07:54-0600',mode:absolute,to:'2017-10-17T17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23.302299999999999</v>
      </c>
      <c r="Z106" s="204">
        <f>RIGHT(H106,LEN(H106)-4)/10000</f>
        <v>1.7999999999999999E-2</v>
      </c>
      <c r="AA106" s="204">
        <f>ABS(Z106-Y106)</f>
        <v>23.284299999999998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194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/stypes="app*4035*20171017*" /stext=" 22:.+((SYSTEM_STATE.+slice.+state.+changed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194-17 --locoid 4035 --swversion DE.1.0.9.0 --startMP 204:233023 --initTime 2017-10-17T16:07:54 --startdatetime 2017-10-17T16:12:16 --delay 57 --endMP 204:180 --enddatetime 2017-10-17T16:50:43 --enforcementcount 0 &gt;&gt;%USERPROFILE%\Documents\GitHub\eaglep3-reporting\EC\2017-10-17-refined-times.txt</v>
      </c>
      <c r="AI106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{"issue":{"subject":"","project_id":79,"tracker_id":40,"status_id":1,"priority_id":2,"assigned_to_id":338,"start_date":"2017-10-17","description":"","custom_fields":[{"id":1,"name":"Subdivision","value":"EC"},{"id":4,"name":"Milepost","value":"0.018"},{"id":17,"name":"Train ID","value":"194-17"},{"id":16,"name":"Locomotive ID","value":"4035"},{"id":130,"name":"Impact","value":""},{"id":150,"name":"Time of Event (Mountain Time)","value":"16:50:43"},{"id":151,"name":"Denver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4035 --day 2017-10-17</v>
      </c>
      <c r="AN106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-17T15:07:54-0600',mode:absolute,to:'2017-10-17T17:50:43-0600'))&amp;_a=(columns:!('Message%20ID',Summary),filters:!(),index:'emp_*',interval:auto,query:(query_string:(analyze_wildcard:!t,query:'%22rtdc.l.rtdc.4035%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770</v>
      </c>
      <c r="B107" s="7">
        <v>4016</v>
      </c>
      <c r="C107" s="21" t="s">
        <v>194</v>
      </c>
      <c r="D107" s="21" t="s">
        <v>427</v>
      </c>
      <c r="E107" s="13">
        <v>43025.641111111108</v>
      </c>
      <c r="F107" s="13">
        <v>43025.646111111113</v>
      </c>
      <c r="G107" s="7">
        <v>203</v>
      </c>
      <c r="H107" s="21" t="s">
        <v>885</v>
      </c>
      <c r="I107" s="13">
        <v>43025.671354166669</v>
      </c>
      <c r="J107" s="7">
        <v>0</v>
      </c>
      <c r="K107" s="89" t="str">
        <f>IF(ISEVEN(B107),(B107-1)&amp;"/"&amp;B107,B107&amp;"/"&amp;(B107+1))</f>
        <v>4015/4016</v>
      </c>
      <c r="L107" s="185" t="str">
        <f>VLOOKUP(A107,'Trips&amp;Operators'!$C$1:$G$99911,5,FALSE)</f>
        <v>LEVERE CRAIG</v>
      </c>
      <c r="M107" s="6">
        <f>I107-F107</f>
        <v>2.5243055555620231E-2</v>
      </c>
      <c r="N107" s="7">
        <f>24*60*SUM($M107:$M107)</f>
        <v>36.350000000093132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-17T14:23:12-0600',mode:absolute,to:'2017-10-17T17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4.4900000000000002E-2</v>
      </c>
      <c r="Z107" s="204">
        <f>RIGHT(H107,LEN(H107)-4)/10000</f>
        <v>23.3325</v>
      </c>
      <c r="AA107" s="204">
        <f>ABS(Z107-Y107)</f>
        <v>23.287600000000001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195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/stypes="app*4016*20171017*"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0"/>
        <v>"%USERPROFILE%\Documents\GitHub\eaglep3\Utilities\RefineRTDCRunTimes.py" --tripid 195-17 --locoid 4016 --swversion DE.1.0.9.0 --startMP 204:449 --initTime 2017-10-17T15:23:12 --startdatetime 2017-10-17T15:30:24 --delay 203 --endMP 204:233325 --enddatetime 2017-10-17T16:06:45 --enforcementcount 0 &gt;&gt;%USERPROFILE%\Documents\GitHub\eaglep3-reporting\EC\2017-10-17-refined-times.txt</v>
      </c>
      <c r="AI107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{"issue":{"subject":"","project_id":79,"tracker_id":40,"status_id":1,"priority_id":2,"assigned_to_id":338,"start_date":"2017-10-17","description":"","custom_fields":[{"id":1,"name":"Subdivision","value":"EC"},{"id":4,"name":"Milepost","value":"23.3325"},{"id":17,"name":"Train ID","value":"195-17"},{"id":16,"name":"Locomotive ID","value":"4016"},{"id":130,"name":"Impact","value":""},{"id":150,"name":"Time of Event (Mountain Time)","value":"16:06:45"},{"id":151,"name":"Denver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2"/>
        <v>start /low /b %USERPROFILE%\Documents\GitHub\eaglep3\Utilities\DownloadLogsFromS3.py --loco 4016 --day 2017-10-17</v>
      </c>
      <c r="AN10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4"/>
        <v>https://d0f6bd738d7f1b3e5a7ca70fe4ff75f0.us-east-1.aws.found.io/app/kibana#/discover/Steve-Slow-Train-Analysis-(2080s-and-2083s)?_g=(refreshInterval:(display:Off,pause:!f,section:0,value:0),time:(from:'2017-10-17T14:23:12-0600',mode:absolute,to:'2017-10-17T17:06:45-0600'))&amp;_a=(columns:!('Message%20ID',Summary),filters:!(),index:'emp_*',interval:auto,query:(query_string:(analyze_wildcard:!t,query:'%22rtdc.l.rtdc.4016%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781</v>
      </c>
      <c r="B108" s="7">
        <v>4015</v>
      </c>
      <c r="C108" s="21" t="s">
        <v>194</v>
      </c>
      <c r="D108" s="21" t="s">
        <v>511</v>
      </c>
      <c r="E108" s="13">
        <v>43025.68005787037</v>
      </c>
      <c r="F108" s="13">
        <v>43025.685613425929</v>
      </c>
      <c r="G108" s="7">
        <v>73</v>
      </c>
      <c r="H108" s="21" t="s">
        <v>363</v>
      </c>
      <c r="I108" s="13">
        <v>43025.712280092594</v>
      </c>
      <c r="J108" s="7">
        <v>0</v>
      </c>
      <c r="K108" s="89" t="str">
        <f>IF(ISEVEN(B108),(B108-1)&amp;"/"&amp;B108,B108&amp;"/"&amp;(B108+1))</f>
        <v>4015/4016</v>
      </c>
      <c r="L108" s="185" t="str">
        <f>VLOOKUP(A108,'Trips&amp;Operators'!$C$1:$G$99911,5,FALSE)</f>
        <v>LEVERE CRAIG</v>
      </c>
      <c r="M108" s="6">
        <f>I108-F108</f>
        <v>2.6666666664823424E-2</v>
      </c>
      <c r="N108" s="7">
        <f>24*60*SUM($M108:$M108)</f>
        <v>38.399999997345731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-17T15:19:17-0600',mode:absolute,to:'2017-10-17T18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23.300599999999999</v>
      </c>
      <c r="Z108" s="204">
        <f>RIGHT(H108,LEN(H108)-4)/10000</f>
        <v>1.5800000000000002E-2</v>
      </c>
      <c r="AA108" s="204">
        <f>ABS(Z108-Y108)</f>
        <v>23.284800000000001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196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/stypes="app*4015*20171017*" /stext=" 23:.+((SYSTEM_STATE.+slice.+state.+changed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196-17 --locoid 4015 --swversion DE.1.0.9.0 --startMP 204:233006 --initTime 2017-10-17T16:19:17 --startdatetime 2017-10-17T16:27:17 --delay 73 --endMP 204:158 --enddatetime 2017-10-17T17:05:41 --enforcementcount 0 &gt;&gt;%USERPROFILE%\Documents\GitHub\eaglep3-reporting\EC\2017-10-17-refined-times.txt</v>
      </c>
      <c r="AI108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ID","value":"196-17"},{"id":16,"name":"Locomotive ID","value":"4015"},{"id":130,"name":"Impact","value":""},{"id":150,"name":"Time of Event (Mountain Time)","value":"17:05:41"},{"id":151,"name":"Denver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4015 --day 2017-10-17</v>
      </c>
      <c r="AN108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-17T15:19:17-0600',mode:absolute,to:'2017-10-17T18:05:41-0600'))&amp;_a=(columns:!('Message%20ID',Summary),filters:!(),index:'emp_*',interval:auto,query:(query_string:(analyze_wildcard:!t,query:'%22rtdc.l.rtdc.4015%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772</v>
      </c>
      <c r="B109" s="7">
        <v>4066</v>
      </c>
      <c r="C109" s="21" t="s">
        <v>194</v>
      </c>
      <c r="D109" s="21" t="s">
        <v>425</v>
      </c>
      <c r="E109" s="13">
        <v>43025.653784722221</v>
      </c>
      <c r="F109" s="13">
        <v>43025.656805555554</v>
      </c>
      <c r="G109" s="7">
        <v>98</v>
      </c>
      <c r="H109" s="21" t="s">
        <v>573</v>
      </c>
      <c r="I109" s="13">
        <v>43025.683078703703</v>
      </c>
      <c r="J109" s="7">
        <v>0</v>
      </c>
      <c r="K109" s="89" t="str">
        <f>IF(ISEVEN(B109),(B109-1)&amp;"/"&amp;B109,B109&amp;"/"&amp;(B109+1))</f>
        <v>4065/4066</v>
      </c>
      <c r="L109" s="185" t="str">
        <f>VLOOKUP(A109,'Trips&amp;Operators'!$C$1:$G$99911,5,FALSE)</f>
        <v>ARNOLD PAUL</v>
      </c>
      <c r="M109" s="6">
        <f>I109-F109</f>
        <v>2.6273148148902692E-2</v>
      </c>
      <c r="N109" s="7">
        <f>24*60*SUM($M109:$M109)</f>
        <v>37.833333334419876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-17T14:41:27-0600',mode:absolute,to:'2017-10-17T17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4.4200000000000003E-2</v>
      </c>
      <c r="Z109" s="204">
        <f>RIGHT(H109,LEN(H109)-4)/10000</f>
        <v>23.330500000000001</v>
      </c>
      <c r="AA109" s="204">
        <f>ABS(Z109-Y109)</f>
        <v>23.286300000000001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197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/stypes="app*4066*20171017*"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197-17 --locoid 4066 --swversion DE.1.0.9.0 --startMP 204:442 --initTime 2017-10-17T15:41:27 --startdatetime 2017-10-17T15:45:48 --delay 98 --endMP 204:233305 --enddatetime 2017-10-17T16:23:38 --enforcementcount 0 &gt;&gt;%USERPROFILE%\Documents\GitHub\eaglep3-reporting\EC\2017-10-17-refined-times.txt</v>
      </c>
      <c r="AI10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{"issue":{"subject":"","project_id":79,"tracker_id":40,"status_id":1,"priority_id":2,"assigned_to_id":338,"start_date":"2017-10-17","description":"","custom_fields":[{"id":1,"name":"Subdivision","value":"EC"},{"id":4,"name":"Milepost","value":"23.3305"},{"id":17,"name":"Train ID","value":"197-17"},{"id":16,"name":"Locomotive ID","value":"4066"},{"id":130,"name":"Impact","value":""},{"id":150,"name":"Time of Event (Mountain Time)","value":"16:23:38"},{"id":151,"name":"Denver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4066 --day 2017-10-17</v>
      </c>
      <c r="AN10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-17T14:41:27-0600',mode:absolute,to:'2017-10-17T17:23:38-0600'))&amp;_a=(columns:!('Message%20ID',Summary),filters:!(),index:'emp_*',interval:auto,query:(query_string:(analyze_wildcard:!t,query:'%22rtdc.l.rtdc.4066%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785</v>
      </c>
      <c r="B110" s="7">
        <v>4065</v>
      </c>
      <c r="C110" s="21" t="s">
        <v>194</v>
      </c>
      <c r="D110" s="21" t="s">
        <v>566</v>
      </c>
      <c r="E110" s="13">
        <v>43025.684976851851</v>
      </c>
      <c r="F110" s="13">
        <v>43025.696099537039</v>
      </c>
      <c r="G110" s="7">
        <v>90</v>
      </c>
      <c r="H110" s="21" t="s">
        <v>337</v>
      </c>
      <c r="I110" s="13">
        <v>43025.722638888888</v>
      </c>
      <c r="J110" s="7">
        <v>0</v>
      </c>
      <c r="K110" s="89" t="str">
        <f>IF(ISEVEN(B110),(B110-1)&amp;"/"&amp;B110,B110&amp;"/"&amp;(B110+1))</f>
        <v>4065/4066</v>
      </c>
      <c r="L110" s="185" t="str">
        <f>VLOOKUP(A110,'Trips&amp;Operators'!$C$1:$G$99911,5,FALSE)</f>
        <v>ARNOLD PAUL</v>
      </c>
      <c r="M110" s="6">
        <f>I110-F110</f>
        <v>2.6539351849351078E-2</v>
      </c>
      <c r="N110" s="7">
        <f>24*60*SUM($M110:$M110)</f>
        <v>38.216666663065553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-17T15:26:22-0600',mode:absolute,to:'2017-10-17T18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23.298999999999999</v>
      </c>
      <c r="Z110" s="204">
        <f>RIGHT(H110,LEN(H110)-4)/10000</f>
        <v>1.43E-2</v>
      </c>
      <c r="AA110" s="204">
        <f>ABS(Z110-Y110)</f>
        <v>23.284700000000001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198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/stypes="app*4065*20171017*" /stext=" 23:.+((SYSTEM_STATE.+slice.+state.+changed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198-17 --locoid 4065 --swversion DE.1.0.9.0 --startMP 204:232990 --initTime 2017-10-17T16:26:22 --startdatetime 2017-10-17T16:42:23 --delay 90 --endMP 204:143 --enddatetime 2017-10-17T17:20:36 --enforcementcount 0 &gt;&gt;%USERPROFILE%\Documents\GitHub\eaglep3-reporting\EC\2017-10-17-refined-times.txt</v>
      </c>
      <c r="AI11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{"issue":{"subject":"","project_id":79,"tracker_id":40,"status_id":1,"priority_id":2,"assigned_to_id":338,"start_date":"2017-10-17","description":"","custom_fields":[{"id":1,"name":"Subdivision","value":"EC"},{"id":4,"name":"Milepost","value":"0.0143"},{"id":17,"name":"Train ID","value":"198-17"},{"id":16,"name":"Locomotive ID","value":"4065"},{"id":130,"name":"Impact","value":""},{"id":150,"name":"Time of Event (Mountain Time)","value":"17:20:36"},{"id":151,"name":"Denver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4065 --day 2017-10-17</v>
      </c>
      <c r="AN110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-17T15:26:22-0600',mode:absolute,to:'2017-10-17T18:20:36-0600'))&amp;_a=(columns:!('Message%20ID',Summary),filters:!(),index:'emp_*',interval:auto,query:(query_string:(analyze_wildcard:!t,query:'%22rtdc.l.rtdc.4065%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776</v>
      </c>
      <c r="B111" s="7">
        <v>4052</v>
      </c>
      <c r="C111" s="21" t="s">
        <v>194</v>
      </c>
      <c r="D111" s="21" t="s">
        <v>886</v>
      </c>
      <c r="E111" s="13">
        <v>43025.659918981481</v>
      </c>
      <c r="F111" s="13">
        <v>43025.666828703703</v>
      </c>
      <c r="G111" s="7">
        <v>208</v>
      </c>
      <c r="H111" s="21" t="s">
        <v>887</v>
      </c>
      <c r="I111" s="13">
        <v>43025.691087962965</v>
      </c>
      <c r="J111" s="7">
        <v>0</v>
      </c>
      <c r="K111" s="89" t="str">
        <f>IF(ISEVEN(B111),(B111-1)&amp;"/"&amp;B111,B111&amp;"/"&amp;(B111+1))</f>
        <v>4051/4052</v>
      </c>
      <c r="L111" s="185" t="str">
        <f>VLOOKUP(A111,'Trips&amp;Operators'!$C$1:$G$99911,5,FALSE)</f>
        <v>NEWELL JAMES</v>
      </c>
      <c r="M111" s="6">
        <f>I111-F111</f>
        <v>2.4259259262180422E-2</v>
      </c>
      <c r="N111" s="7">
        <f>24*60*SUM($M111:$M111)</f>
        <v>34.933333337539807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-17T14:50:17-0600',mode:absolute,to:'2017-10-17T17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5.11E-2</v>
      </c>
      <c r="Z111" s="204">
        <f>RIGHT(H111,LEN(H111)-4)/10000</f>
        <v>23.325700000000001</v>
      </c>
      <c r="AA111" s="204">
        <f>ABS(Z111-Y111)</f>
        <v>23.2746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199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/stypes="app*4052*20171017*" /stext=" 22:.+((SYSTEM_STATE.+slice.+state.+changed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199-17 --locoid 4052 --swversion DE.1.0.9.0 --startMP 204:511 --initTime 2017-10-17T15:50:17 --startdatetime 2017-10-17T16:00:14 --delay 208 --endMP 204:233257 --enddatetime 2017-10-17T16:35:10 --enforcementcount 0 &gt;&gt;%USERPROFILE%\Documents\GitHub\eaglep3-reporting\EC\2017-10-17-refined-times.txt</v>
      </c>
      <c r="AI11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{"issue":{"subject":"","project_id":79,"tracker_id":40,"status_id":1,"priority_id":2,"assigned_to_id":338,"start_date":"2017-10-17","description":"","custom_fields":[{"id":1,"name":"Subdivision","value":"EC"},{"id":4,"name":"Milepost","value":"23.3257"},{"id":17,"name":"Train ID","value":"199-17"},{"id":16,"name":"Locomotive ID","value":"4052"},{"id":130,"name":"Impact","value":""},{"id":150,"name":"Time of Event (Mountain Time)","value":"16:35:10"},{"id":151,"name":"Denver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4052 --day 2017-10-17</v>
      </c>
      <c r="AN11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-17T14:50:17-0600',mode:absolute,to:'2017-10-17T17:35:10-0600'))&amp;_a=(columns:!('Message%20ID',Summary),filters:!(),index:'emp_*',interval:auto,query:(query_string:(analyze_wildcard:!t,query:'%22rtdc.l.rtdc.4052%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787</v>
      </c>
      <c r="B112" s="7">
        <v>4051</v>
      </c>
      <c r="C112" s="21" t="s">
        <v>194</v>
      </c>
      <c r="D112" s="21" t="s">
        <v>888</v>
      </c>
      <c r="E112" s="13">
        <v>43025.692407407405</v>
      </c>
      <c r="F112" s="13">
        <v>43025.706400462965</v>
      </c>
      <c r="G112" s="7">
        <v>48</v>
      </c>
      <c r="H112" s="21" t="s">
        <v>488</v>
      </c>
      <c r="I112" s="13">
        <v>43025.731921296298</v>
      </c>
      <c r="J112" s="7">
        <v>0</v>
      </c>
      <c r="K112" s="89" t="str">
        <f>IF(ISEVEN(B112),(B112-1)&amp;"/"&amp;B112,B112&amp;"/"&amp;(B112+1))</f>
        <v>4051/4052</v>
      </c>
      <c r="L112" s="185" t="str">
        <f>VLOOKUP(A112,'Trips&amp;Operators'!$C$1:$G$99911,5,FALSE)</f>
        <v>NEWELL JAMES</v>
      </c>
      <c r="M112" s="6">
        <f>I112-F112</f>
        <v>2.5520833332848269E-2</v>
      </c>
      <c r="N112" s="7">
        <f>24*60*SUM($M112:$M112)</f>
        <v>36.749999999301508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-17T15:37:04-0600',mode:absolute,to:'2017-10-17T18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23.2943</v>
      </c>
      <c r="Z112" s="204">
        <f>RIGHT(H112,LEN(H112)-4)/10000</f>
        <v>1.41E-2</v>
      </c>
      <c r="AA112" s="204">
        <f>ABS(Z112-Y112)</f>
        <v>23.280200000000001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200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/stypes="app*4051*20171017*" /stext=" 23:.+((SYSTEM_STATE.+slice.+state.+changed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200-17 --locoid 4051 --swversion DE.1.0.9.0 --startMP 204:232943 --initTime 2017-10-17T16:37:04 --startdatetime 2017-10-17T16:57:13 --delay 48 --endMP 204:141 --enddatetime 2017-10-17T17:33:58 --enforcementcount 0 &gt;&gt;%USERPROFILE%\Documents\GitHub\eaglep3-reporting\EC\2017-10-17-refined-times.txt</v>
      </c>
      <c r="AI11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{"issue":{"subject":"","project_id":79,"tracker_id":40,"status_id":1,"priority_id":2,"assigned_to_id":338,"start_date":"2017-10-17","description":"","custom_fields":[{"id":1,"name":"Subdivision","value":"EC"},{"id":4,"name":"Milepost","value":"0.0141"},{"id":17,"name":"Train ID","value":"200-17"},{"id":16,"name":"Locomotive ID","value":"4051"},{"id":130,"name":"Impact","value":""},{"id":150,"name":"Time of Event (Mountain Time)","value":"17:33:58"},{"id":151,"name":"Denver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4051 --day 2017-10-17</v>
      </c>
      <c r="AN112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-17T15:37:04-0600',mode:absolute,to:'2017-10-17T18:33:58-0600'))&amp;_a=(columns:!('Message%20ID',Summary),filters:!(),index:'emp_*',interval:auto,query:(query_string:(analyze_wildcard:!t,query:'%22rtdc.l.rtdc.4051%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780</v>
      </c>
      <c r="B113" s="7">
        <v>4014</v>
      </c>
      <c r="C113" s="21" t="s">
        <v>194</v>
      </c>
      <c r="D113" s="21" t="s">
        <v>369</v>
      </c>
      <c r="E113" s="13">
        <v>43025.672210648147</v>
      </c>
      <c r="F113" s="13">
        <v>43025.677303240744</v>
      </c>
      <c r="G113" s="7">
        <v>61</v>
      </c>
      <c r="H113" s="21" t="s">
        <v>560</v>
      </c>
      <c r="I113" s="13">
        <v>43025.70244212963</v>
      </c>
      <c r="J113" s="7">
        <v>0</v>
      </c>
      <c r="K113" s="89" t="str">
        <f>IF(ISEVEN(B113),(B113-1)&amp;"/"&amp;B113,B113&amp;"/"&amp;(B113+1))</f>
        <v>4013/4014</v>
      </c>
      <c r="L113" s="185" t="str">
        <f>VLOOKUP(A113,'Trips&amp;Operators'!$C$1:$G$99911,5,FALSE)</f>
        <v>SMITH MICHAEL</v>
      </c>
      <c r="M113" s="6">
        <f>I113-F113</f>
        <v>2.5138888886431232E-2</v>
      </c>
      <c r="N113" s="7">
        <f>24*60*SUM($M113:$M113)</f>
        <v>36.199999996460974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-17T15:07:59-0600',mode:absolute,to:'2017-10-17T17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4.5100000000000001E-2</v>
      </c>
      <c r="Z113" s="204">
        <f>RIGHT(H113,LEN(H113)-4)/10000</f>
        <v>23.328800000000001</v>
      </c>
      <c r="AA113" s="204">
        <f>ABS(Z113-Y113)</f>
        <v>23.2837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201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/stypes="app*4014*20171017*" /stext=" 22:.+((SYSTEM_STATE.+slice.+state.+changed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201-17 --locoid 4014 --swversion DE.1.0.9.0 --startMP 204:451 --initTime 2017-10-17T16:07:59 --startdatetime 2017-10-17T16:15:19 --delay 61 --endMP 204:233288 --enddatetime 2017-10-17T16:51:31 --enforcementcount 0 &gt;&gt;%USERPROFILE%\Documents\GitHub\eaglep3-reporting\EC\2017-10-17-refined-times.txt</v>
      </c>
      <c r="AI113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{"issue":{"subject":"","project_id":79,"tracker_id":40,"status_id":1,"priority_id":2,"assigned_to_id":338,"start_date":"2017-10-17","description":"","custom_fields":[{"id":1,"name":"Subdivision","value":"EC"},{"id":4,"name":"Milepost","value":"23.3288"},{"id":17,"name":"Train ID","value":"201-17"},{"id":16,"name":"Locomotive ID","value":"4014"},{"id":130,"name":"Impact","value":""},{"id":150,"name":"Time of Event (Mountain Time)","value":"16:51:31"},{"id":151,"name":"Denver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4014 --day 2017-10-17</v>
      </c>
      <c r="AN113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-17T15:07:59-0600',mode:absolute,to:'2017-10-17T17:51:31-0600'))&amp;_a=(columns:!('Message%20ID',Summary),filters:!(),index:'emp_*',interval:auto,query:(query_string:(analyze_wildcard:!t,query:'%22rtdc.l.rtdc.4014%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792</v>
      </c>
      <c r="B114" s="7">
        <v>4013</v>
      </c>
      <c r="C114" s="21" t="s">
        <v>194</v>
      </c>
      <c r="D114" s="21" t="s">
        <v>487</v>
      </c>
      <c r="E114" s="13">
        <v>43025.711319444446</v>
      </c>
      <c r="F114" s="13">
        <v>43025.716990740744</v>
      </c>
      <c r="G114" s="7">
        <v>61</v>
      </c>
      <c r="H114" s="21" t="s">
        <v>355</v>
      </c>
      <c r="I114" s="13">
        <v>43025.742708333331</v>
      </c>
      <c r="J114" s="7">
        <v>0</v>
      </c>
      <c r="K114" s="89" t="str">
        <f>IF(ISEVEN(B114),(B114-1)&amp;"/"&amp;B114,B114&amp;"/"&amp;(B114+1))</f>
        <v>4013/4014</v>
      </c>
      <c r="L114" s="185" t="str">
        <f>VLOOKUP(A114,'Trips&amp;Operators'!$C$1:$G$99911,5,FALSE)</f>
        <v>SMITH MICHAEL</v>
      </c>
      <c r="M114" s="6">
        <f>I114-F114</f>
        <v>2.5717592587170657E-2</v>
      </c>
      <c r="N114" s="7">
        <f>24*60*SUM($M114:$M114)</f>
        <v>37.033333325525746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-17T16:04:18-0600',mode:absolute,to:'2017-10-17T18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23.2973</v>
      </c>
      <c r="Z114" s="204">
        <f>RIGHT(H114,LEN(H114)-4)/10000</f>
        <v>1.4500000000000001E-2</v>
      </c>
      <c r="AA114" s="204">
        <f>ABS(Z114-Y114)</f>
        <v>23.282799999999998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202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/stypes="app*4013*20171017*" /stext=" 23:.+((SYSTEM_STATE.+slice.+state.+changed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202-17 --locoid 4013 --swversion DE.1.0.9.0 --startMP 204:232973 --initTime 2017-10-17T17:04:18 --startdatetime 2017-10-17T17:12:28 --delay 61 --endMP 204:145 --enddatetime 2017-10-17T17:49:30 --enforcementcount 0 &gt;&gt;%USERPROFILE%\Documents\GitHub\eaglep3-reporting\EC\2017-10-17-refined-times.txt</v>
      </c>
      <c r="AI114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ID","value":"202-17"},{"id":16,"name":"Locomotive ID","value":"4013"},{"id":130,"name":"Impact","value":""},{"id":150,"name":"Time of Event (Mountain Time)","value":"17:49:30"},{"id":151,"name":"Denver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4013 --day 2017-10-17</v>
      </c>
      <c r="AN114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-17T16:04:18-0600',mode:absolute,to:'2017-10-17T18:49:30-0600'))&amp;_a=(columns:!('Message%20ID',Summary),filters:!(),index:'emp_*',interval:auto,query:(query_string:(analyze_wildcard:!t,query:'%22rtdc.l.rtdc.4013%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783</v>
      </c>
      <c r="B115" s="7">
        <v>4050</v>
      </c>
      <c r="C115" s="21" t="s">
        <v>194</v>
      </c>
      <c r="D115" s="21" t="s">
        <v>558</v>
      </c>
      <c r="E115" s="13">
        <v>43025.682534722226</v>
      </c>
      <c r="F115" s="13">
        <v>43025.687731481485</v>
      </c>
      <c r="G115" s="7">
        <v>56</v>
      </c>
      <c r="H115" s="21" t="s">
        <v>889</v>
      </c>
      <c r="I115" s="13">
        <v>43025.712719907409</v>
      </c>
      <c r="J115" s="7">
        <v>0</v>
      </c>
      <c r="K115" s="89" t="str">
        <f>IF(ISEVEN(B115),(B115-1)&amp;"/"&amp;B115,B115&amp;"/"&amp;(B115+1))</f>
        <v>4049/4050</v>
      </c>
      <c r="L115" s="185" t="str">
        <f>VLOOKUP(A115,'Trips&amp;Operators'!$C$1:$G$99911,5,FALSE)</f>
        <v>BRUDER RICHARD</v>
      </c>
      <c r="M115" s="6">
        <f>I115-F115</f>
        <v>2.4988425924675539E-2</v>
      </c>
      <c r="N115" s="7">
        <f>24*60*SUM($M115:$M115)</f>
        <v>35.983333331532776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-17T15:22:51-0600',mode:absolute,to:'2017-10-17T18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4.6899999999999997E-2</v>
      </c>
      <c r="Z115" s="204">
        <f>RIGHT(H115,LEN(H115)-4)/10000</f>
        <v>23.328499999999998</v>
      </c>
      <c r="AA115" s="204">
        <f>ABS(Z115-Y115)</f>
        <v>23.281599999999997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203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/stypes="app*4050*20171017*"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203-17 --locoid 4050 --swversion DE.1.0.9.0 --startMP 204:469 --initTime 2017-10-17T16:22:51 --startdatetime 2017-10-17T16:30:20 --delay 56 --endMP 204:233285 --enddatetime 2017-10-17T17:06:19 --enforcementcount 0 &gt;&gt;%USERPROFILE%\Documents\GitHub\eaglep3-reporting\EC\2017-10-17-refined-times.txt</v>
      </c>
      <c r="AI11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{"issue":{"subject":"","project_id":79,"tracker_id":40,"status_id":1,"priority_id":2,"assigned_to_id":338,"start_date":"2017-10-17","description":"","custom_fields":[{"id":1,"name":"Subdivision","value":"EC"},{"id":4,"name":"Milepost","value":"23.3285"},{"id":17,"name":"Train ID","value":"203-17"},{"id":16,"name":"Locomotive ID","value":"4050"},{"id":130,"name":"Impact","value":""},{"id":150,"name":"Time of Event (Mountain Time)","value":"17:06:19"},{"id":151,"name":"Denver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4050 --day 2017-10-17</v>
      </c>
      <c r="AN115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-17T15:22:51-0600',mode:absolute,to:'2017-10-17T18:06:19-0600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795</v>
      </c>
      <c r="B116" s="7">
        <v>4049</v>
      </c>
      <c r="C116" s="21" t="s">
        <v>194</v>
      </c>
      <c r="D116" s="21" t="s">
        <v>429</v>
      </c>
      <c r="E116" s="13">
        <v>43025.723796296297</v>
      </c>
      <c r="F116" s="13">
        <v>43025.72724537037</v>
      </c>
      <c r="G116" s="7">
        <v>48</v>
      </c>
      <c r="H116" s="21" t="s">
        <v>515</v>
      </c>
      <c r="I116" s="13">
        <v>43025.752835648149</v>
      </c>
      <c r="J116" s="7">
        <v>0</v>
      </c>
      <c r="K116" s="89" t="str">
        <f>IF(ISEVEN(B116),(B116-1)&amp;"/"&amp;B116,B116&amp;"/"&amp;(B116+1))</f>
        <v>4049/4050</v>
      </c>
      <c r="L116" s="185" t="str">
        <f>VLOOKUP(A116,'Trips&amp;Operators'!$C$1:$G$99911,5,FALSE)</f>
        <v>BRUDER RICHARD</v>
      </c>
      <c r="M116" s="6">
        <f>I116-F116</f>
        <v>2.5590277778974269E-2</v>
      </c>
      <c r="N116" s="7">
        <f>24*60*SUM($M116:$M116)</f>
        <v>36.850000001722947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-17T16:22:16-0600',mode:absolute,to:'2017-10-17T19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23.2989</v>
      </c>
      <c r="Z116" s="204">
        <f>RIGHT(H116,LEN(H116)-4)/10000</f>
        <v>1.67E-2</v>
      </c>
      <c r="AA116" s="204">
        <f>ABS(Z116-Y116)</f>
        <v>23.2822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204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/stypes="app*4049*20171018*" /stext=" 00:.+((SYSTEM_STATE.+slice.+state.+changed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204-17 --locoid 4049 --swversion DE.1.0.9.0 --startMP 204:232989 --initTime 2017-10-17T17:22:16 --startdatetime 2017-10-17T17:27:14 --delay 48 --endMP 204:167 --enddatetime 2017-10-17T18:04:05 --enforcementcount 0 &gt;&gt;%USERPROFILE%\Documents\GitHub\eaglep3-reporting\EC\2017-10-17-refined-times.txt</v>
      </c>
      <c r="AI116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{"issue":{"subject":"","project_id":79,"tracker_id":40,"status_id":1,"priority_id":2,"assigned_to_id":338,"start_date":"2017-10-17","description":"","custom_fields":[{"id":1,"name":"Subdivision","value":"EC"},{"id":4,"name":"Milepost","value":"0.0167"},{"id":17,"name":"Train ID","value":"204-17"},{"id":16,"name":"Locomotive ID","value":"4049"},{"id":130,"name":"Impact","value":""},{"id":150,"name":"Time of Event (Mountain Time)","value":"18:04:05"},{"id":151,"name":"Denver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4049 --day 2017-10-17</v>
      </c>
      <c r="AN116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-17T16:22:16-0600',mode:absolute,to:'2017-10-17T19:04:05-0600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788</v>
      </c>
      <c r="B117" s="7">
        <v>4010</v>
      </c>
      <c r="C117" s="21" t="s">
        <v>194</v>
      </c>
      <c r="D117" s="21" t="s">
        <v>334</v>
      </c>
      <c r="E117" s="13">
        <v>43025.693518518521</v>
      </c>
      <c r="F117" s="13">
        <v>43025.698113425926</v>
      </c>
      <c r="G117" s="7">
        <v>61</v>
      </c>
      <c r="H117" s="21" t="s">
        <v>576</v>
      </c>
      <c r="I117" s="13">
        <v>43025.723310185182</v>
      </c>
      <c r="J117" s="7">
        <v>0</v>
      </c>
      <c r="K117" s="89" t="str">
        <f>IF(ISEVEN(B117),(B117-1)&amp;"/"&amp;B117,B117&amp;"/"&amp;(B117+1))</f>
        <v>4009/4010</v>
      </c>
      <c r="L117" s="185" t="str">
        <f>VLOOKUP(A117,'Trips&amp;Operators'!$C$1:$G$99911,5,FALSE)</f>
        <v>STEWART MICHAEL</v>
      </c>
      <c r="M117" s="6">
        <f>I117-F117</f>
        <v>2.5196759255777579E-2</v>
      </c>
      <c r="N117" s="7">
        <f>24*60*SUM($M117:$M117)</f>
        <v>36.283333328319713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-17T15:38:40-0600',mode:absolute,to:'2017-10-17T18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4.4600000000000001E-2</v>
      </c>
      <c r="Z117" s="204">
        <f>RIGHT(H117,LEN(H117)-4)/10000</f>
        <v>23.327999999999999</v>
      </c>
      <c r="AA117" s="204">
        <f>ABS(Z117-Y117)</f>
        <v>23.2834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205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/stypes="app*4010*20171017*"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205-17 --locoid 4010 --swversion DE.1.0.9.0 --startMP 204:446 --initTime 2017-10-17T16:38:40 --startdatetime 2017-10-17T16:45:17 --delay 61 --endMP 204:233280 --enddatetime 2017-10-17T17:21:34 --enforcementcount 0 &gt;&gt;%USERPROFILE%\Documents\GitHub\eaglep3-reporting\EC\2017-10-17-refined-times.txt</v>
      </c>
      <c r="AI117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{"issue":{"subject":"","project_id":79,"tracker_id":40,"status_id":1,"priority_id":2,"assigned_to_id":338,"start_date":"2017-10-17","description":"","custom_fields":[{"id":1,"name":"Subdivision","value":"EC"},{"id":4,"name":"Milepost","value":"23.328"},{"id":17,"name":"Train ID","value":"205-17"},{"id":16,"name":"Locomotive ID","value":"4010"},{"id":130,"name":"Impact","value":""},{"id":150,"name":"Time of Event (Mountain Time)","value":"17:21:34"},{"id":151,"name":"Denver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4010 --day 2017-10-17</v>
      </c>
      <c r="AN117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-17T15:38:40-0600',mode:absolute,to:'2017-10-17T18:21:34-0600'))&amp;_a=(columns:!('Message%20ID',Summary),filters:!(),index:'emp_*',interval:auto,query:(query_string:(analyze_wildcard:!t,query:'%22rtdc.l.rtdc.4010%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798</v>
      </c>
      <c r="B118" s="7">
        <v>4009</v>
      </c>
      <c r="C118" s="21" t="s">
        <v>194</v>
      </c>
      <c r="D118" s="21" t="s">
        <v>890</v>
      </c>
      <c r="E118" s="13">
        <v>43025.732928240737</v>
      </c>
      <c r="F118" s="13">
        <v>43025.737719907411</v>
      </c>
      <c r="G118" s="7">
        <v>55</v>
      </c>
      <c r="H118" s="21" t="s">
        <v>363</v>
      </c>
      <c r="I118" s="13">
        <v>43025.765381944446</v>
      </c>
      <c r="J118" s="7">
        <v>0</v>
      </c>
      <c r="K118" s="89" t="str">
        <f>IF(ISEVEN(B118),(B118-1)&amp;"/"&amp;B118,B118&amp;"/"&amp;(B118+1))</f>
        <v>4009/4010</v>
      </c>
      <c r="L118" s="185" t="str">
        <f>VLOOKUP(A118,'Trips&amp;Operators'!$C$1:$G$99911,5,FALSE)</f>
        <v>STEWART MICHAEL</v>
      </c>
      <c r="M118" s="6">
        <f>I118-F118</f>
        <v>2.7662037035042886E-2</v>
      </c>
      <c r="N118" s="7">
        <f>24*60*SUM($M118:$M118)</f>
        <v>39.833333330461755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-17T16:35:25-0600',mode:absolute,to:'2017-10-17T19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23.2944</v>
      </c>
      <c r="Z118" s="204">
        <f>RIGHT(H118,LEN(H118)-4)/10000</f>
        <v>1.5800000000000002E-2</v>
      </c>
      <c r="AA118" s="204">
        <f>ABS(Z118-Y118)</f>
        <v>23.278600000000001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206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/stypes="app*4009*20171018*" /stext=" 00:.+((SYSTEM_STATE.+slice.+state.+changed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206-17 --locoid 4009 --swversion DE.1.0.9.0 --startMP 204:232944 --initTime 2017-10-17T17:35:25 --startdatetime 2017-10-17T17:42:19 --delay 55 --endMP 204:158 --enddatetime 2017-10-17T18:22:09 --enforcementcount 0 &gt;&gt;%USERPROFILE%\Documents\GitHub\eaglep3-reporting\EC\2017-10-17-refined-times.txt</v>
      </c>
      <c r="AI118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{"issue":{"subject":"","project_id":79,"tracker_id":40,"status_id":1,"priority_id":2,"assigned_to_id":338,"start_date":"2017-10-17","description":"","custom_fields":[{"id":1,"name":"Subdivision","value":"EC"},{"id":4,"name":"Milepost","value":"0.0158"},{"id":17,"name":"Train ID","value":"206-17"},{"id":16,"name":"Locomotive ID","value":"4009"},{"id":130,"name":"Impact","value":""},{"id":150,"name":"Time of Event (Mountain Time)","value":"18:22:09"},{"id":151,"name":"Denver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4009 --day 2017-10-17</v>
      </c>
      <c r="AN118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-17T16:35:25-0600',mode:absolute,to:'2017-10-17T19:22:09-0600'))&amp;_a=(columns:!('Message%20ID',Summary),filters:!(),index:'emp_*',interval:auto,query:(query_string:(analyze_wildcard:!t,query:'%22rtdc.l.rtdc.4009%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789</v>
      </c>
      <c r="B119" s="7">
        <v>4036</v>
      </c>
      <c r="C119" s="21" t="s">
        <v>194</v>
      </c>
      <c r="D119" s="21" t="s">
        <v>891</v>
      </c>
      <c r="E119" s="13">
        <v>43025.703032407408</v>
      </c>
      <c r="F119" s="13">
        <v>43025.708495370367</v>
      </c>
      <c r="G119" s="7">
        <v>55</v>
      </c>
      <c r="H119" s="21" t="s">
        <v>885</v>
      </c>
      <c r="I119" s="13">
        <v>43025.733182870368</v>
      </c>
      <c r="J119" s="7">
        <v>0</v>
      </c>
      <c r="K119" s="89" t="str">
        <f>IF(ISEVEN(B119),(B119-1)&amp;"/"&amp;B119,B119&amp;"/"&amp;(B119+1))</f>
        <v>4035/4036</v>
      </c>
      <c r="L119" s="185" t="str">
        <f>VLOOKUP(A119,'Trips&amp;Operators'!$C$1:$G$99911,5,FALSE)</f>
        <v>LEVIN SCOTT</v>
      </c>
      <c r="M119" s="6">
        <f>I119-F119</f>
        <v>2.4687500001164153E-2</v>
      </c>
      <c r="N119" s="7">
        <f>24*60*SUM($M119:$M119)</f>
        <v>35.550000001676381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-17T15:52:22-0600',mode:absolute,to:'2017-10-17T18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4.9299999999999997E-2</v>
      </c>
      <c r="Z119" s="204">
        <f>RIGHT(H119,LEN(H119)-4)/10000</f>
        <v>23.3325</v>
      </c>
      <c r="AA119" s="204">
        <f>ABS(Z119-Y119)</f>
        <v>23.283200000000001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207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/stypes="app*4036*20171017*" /stext=" 23:.+((SYSTEM_STATE.+slice.+state.+changed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207-17 --locoid 4036 --swversion DE.1.0.9.0 --startMP 204:493 --initTime 2017-10-17T16:52:22 --startdatetime 2017-10-17T17:00:14 --delay 55 --endMP 204:233325 --enddatetime 2017-10-17T17:35:47 --enforcementcount 0 &gt;&gt;%USERPROFILE%\Documents\GitHub\eaglep3-reporting\EC\2017-10-17-refined-times.txt</v>
      </c>
      <c r="AI11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{"issue":{"subject":"","project_id":79,"tracker_id":40,"status_id":1,"priority_id":2,"assigned_to_id":338,"start_date":"2017-10-17","description":"","custom_fields":[{"id":1,"name":"Subdivision","value":"EC"},{"id":4,"name":"Milepost","value":"23.3325"},{"id":17,"name":"Train ID","value":"207-17"},{"id":16,"name":"Locomotive ID","value":"4036"},{"id":130,"name":"Impact","value":""},{"id":150,"name":"Time of Event (Mountain Time)","value":"17:35:47"},{"id":151,"name":"Denver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4036 --day 2017-10-17</v>
      </c>
      <c r="AN119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-17T15:52:22-0600',mode:absolute,to:'2017-10-17T18:35:47-0600'))&amp;_a=(columns:!('Message%20ID',Summary),filters:!(),index:'emp_*',interval:auto,query:(query_string:(analyze_wildcard:!t,query:'%22rtdc.l.rtdc.4036%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802</v>
      </c>
      <c r="B120" s="7">
        <v>4035</v>
      </c>
      <c r="C120" s="21" t="s">
        <v>194</v>
      </c>
      <c r="D120" s="21" t="s">
        <v>892</v>
      </c>
      <c r="E120" s="13">
        <v>43025.737569444442</v>
      </c>
      <c r="F120" s="13">
        <v>43025.748090277775</v>
      </c>
      <c r="G120" s="7">
        <v>57</v>
      </c>
      <c r="H120" s="21" t="s">
        <v>354</v>
      </c>
      <c r="I120" s="13">
        <v>43025.774317129632</v>
      </c>
      <c r="J120" s="7">
        <v>0</v>
      </c>
      <c r="K120" s="89" t="str">
        <f>IF(ISEVEN(B120),(B120-1)&amp;"/"&amp;B120,B120&amp;"/"&amp;(B120+1))</f>
        <v>4035/4036</v>
      </c>
      <c r="L120" s="185" t="str">
        <f>VLOOKUP(A120,'Trips&amp;Operators'!$C$1:$G$99911,5,FALSE)</f>
        <v>LEVIN SCOTT</v>
      </c>
      <c r="M120" s="6">
        <f>I120-F120</f>
        <v>2.6226851856335998E-2</v>
      </c>
      <c r="N120" s="7">
        <f>24*60*SUM($M120:$M120)</f>
        <v>37.766666673123837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-17T16:42:06-0600',mode:absolute,to:'2017-10-17T19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23.303599999999999</v>
      </c>
      <c r="Z120" s="204">
        <f>RIGHT(H120,LEN(H120)-4)/10000</f>
        <v>1.52E-2</v>
      </c>
      <c r="AA120" s="204">
        <f>ABS(Z120-Y120)</f>
        <v>23.288399999999999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208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/stypes="app*4035*20171018*" /stext=" 00:.+((SYSTEM_STATE.+slice.+state.+changed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208-17 --locoid 4035 --swversion DE.1.0.9.0 --startMP 204:233036 --initTime 2017-10-17T17:42:06 --startdatetime 2017-10-17T17:57:15 --delay 57 --endMP 204:152 --enddatetime 2017-10-17T18:35:01 --enforcementcount 0 &gt;&gt;%USERPROFILE%\Documents\GitHub\eaglep3-reporting\EC\2017-10-17-refined-times.txt</v>
      </c>
      <c r="AI12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ID","value":"208-17"},{"id":16,"name":"Locomotive ID","value":"4035"},{"id":130,"name":"Impact","value":""},{"id":150,"name":"Time of Event (Mountain Time)","value":"18:35:01"},{"id":151,"name":"Denver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4035 --day 2017-10-17</v>
      </c>
      <c r="AN120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-17T16:42:06-0600',mode:absolute,to:'2017-10-17T19:35:01-0600'))&amp;_a=(columns:!('Message%20ID',Summary),filters:!(),index:'emp_*',interval:auto,query:(query_string:(analyze_wildcard:!t,query:'%22rtdc.l.rtdc.4035%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793</v>
      </c>
      <c r="B121" s="7">
        <v>4016</v>
      </c>
      <c r="C121" s="21" t="s">
        <v>194</v>
      </c>
      <c r="D121" s="21" t="s">
        <v>558</v>
      </c>
      <c r="E121" s="13">
        <v>43025.713865740741</v>
      </c>
      <c r="F121" s="13">
        <v>43025.718981481485</v>
      </c>
      <c r="G121" s="7">
        <v>77</v>
      </c>
      <c r="H121" s="21" t="s">
        <v>560</v>
      </c>
      <c r="I121" s="13">
        <v>43025.745625000003</v>
      </c>
      <c r="J121" s="7">
        <v>0</v>
      </c>
      <c r="K121" s="89" t="str">
        <f>IF(ISEVEN(B121),(B121-1)&amp;"/"&amp;B121,B121&amp;"/"&amp;(B121+1))</f>
        <v>4015/4016</v>
      </c>
      <c r="L121" s="185" t="str">
        <f>VLOOKUP(A121,'Trips&amp;Operators'!$C$1:$G$99911,5,FALSE)</f>
        <v>LEVERE CRAIG</v>
      </c>
      <c r="M121" s="6">
        <f>I121-F121</f>
        <v>2.6643518518540077E-2</v>
      </c>
      <c r="N121" s="7">
        <f>24*60*SUM($M121:$M121)</f>
        <v>38.366666666697711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-17T16:07:58-0600',mode:absolute,to:'2017-10-17T18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4.6899999999999997E-2</v>
      </c>
      <c r="Z121" s="204">
        <f>RIGHT(H121,LEN(H121)-4)/10000</f>
        <v>23.328800000000001</v>
      </c>
      <c r="AA121" s="204">
        <f>ABS(Z121-Y121)</f>
        <v>23.2819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209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/stypes="app*4016*20171017*" /stext=" 23:.+((SYSTEM_STATE.+slice.+state.+changed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209-17 --locoid 4016 --swversion DE.1.0.9.0 --startMP 204:469 --initTime 2017-10-17T17:07:58 --startdatetime 2017-10-17T17:15:20 --delay 77 --endMP 204:233288 --enddatetime 2017-10-17T17:53:42 --enforcementcount 0 &gt;&gt;%USERPROFILE%\Documents\GitHub\eaglep3-reporting\EC\2017-10-17-refined-times.txt</v>
      </c>
      <c r="AI12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{"issue":{"subject":"","project_id":79,"tracker_id":40,"status_id":1,"priority_id":2,"assigned_to_id":338,"start_date":"2017-10-17","description":"","custom_fields":[{"id":1,"name":"Subdivision","value":"EC"},{"id":4,"name":"Milepost","value":"23.3288"},{"id":17,"name":"Train ID","value":"209-17"},{"id":16,"name":"Locomotive ID","value":"4016"},{"id":130,"name":"Impact","value":""},{"id":150,"name":"Time of Event (Mountain Time)","value":"17:53:42"},{"id":151,"name":"Denver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4016 --day 2017-10-17</v>
      </c>
      <c r="AN121" s="151" t="str">
        <f t="shared" si="13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-17T16:07:58-0600',mode:absolute,to:'2017-10-17T18:53:42-0600'))&amp;_a=(columns:!('Message%20ID',Summary),filters:!(),index:'emp_*',interval:auto,query:(query_string:(analyze_wildcard:!t,query:'%22rtdc.l.rtdc.4016%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805</v>
      </c>
      <c r="B122" s="7">
        <v>4015</v>
      </c>
      <c r="C122" s="21" t="s">
        <v>194</v>
      </c>
      <c r="D122" s="21" t="s">
        <v>574</v>
      </c>
      <c r="E122" s="13">
        <v>43025.752754629626</v>
      </c>
      <c r="F122" s="13">
        <v>43025.758518518516</v>
      </c>
      <c r="G122" s="7">
        <v>76</v>
      </c>
      <c r="H122" s="21" t="s">
        <v>354</v>
      </c>
      <c r="I122" s="13">
        <v>43025.785474537035</v>
      </c>
      <c r="J122" s="7">
        <v>0</v>
      </c>
      <c r="K122" s="89" t="str">
        <f>IF(ISEVEN(B122),(B122-1)&amp;"/"&amp;B122,B122&amp;"/"&amp;(B122+1))</f>
        <v>4015/4016</v>
      </c>
      <c r="L122" s="185" t="str">
        <f>VLOOKUP(A122,'Trips&amp;Operators'!$C$1:$G$99911,5,FALSE)</f>
        <v>LEVERE CRAIG</v>
      </c>
      <c r="M122" s="6">
        <f>I122-F122</f>
        <v>2.6956018518831115E-2</v>
      </c>
      <c r="N122" s="7">
        <f>24*60*SUM($M122:$M122)</f>
        <v>38.816666667116806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-17T17:03:58-0600',mode:absolute,to:'2017-10-17T19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23.297999999999998</v>
      </c>
      <c r="Z122" s="204">
        <f>RIGHT(H122,LEN(H122)-4)/10000</f>
        <v>1.52E-2</v>
      </c>
      <c r="AA122" s="204">
        <f>ABS(Z122-Y122)</f>
        <v>23.282799999999998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210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/stypes="app*4015*20171018*" /stext=" 00:.+((SYSTEM_STATE.+slice.+state.+changed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210-17 --locoid 4015 --swversion DE.1.0.9.0 --startMP 204:232980 --initTime 2017-10-17T18:03:58 --startdatetime 2017-10-17T18:12:16 --delay 76 --endMP 204:152 --enddatetime 2017-10-17T18:51:05 --enforcementcount 0 &gt;&gt;%USERPROFILE%\Documents\GitHub\eaglep3-reporting\EC\2017-10-17-refined-times.txt</v>
      </c>
      <c r="AI12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ID","value":"210-17"},{"id":16,"name":"Locomotive ID","value":"4015"},{"id":130,"name":"Impact","value":""},{"id":150,"name":"Time of Event (Mountain Time)","value":"18:51:05"},{"id":151,"name":"Denver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4015 --day 2017-10-17</v>
      </c>
      <c r="AN122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-17T17:03:58-0600',mode:absolute,to:'2017-10-17T19:51:05-0600'))&amp;_a=(columns:!('Message%20ID',Summary),filters:!(),index:'emp_*',interval:auto,query:(query_string:(analyze_wildcard:!t,query:'%22rtdc.l.rtdc.4015%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796</v>
      </c>
      <c r="B123" s="7">
        <v>4066</v>
      </c>
      <c r="C123" s="21" t="s">
        <v>194</v>
      </c>
      <c r="D123" s="21" t="s">
        <v>463</v>
      </c>
      <c r="E123" s="13">
        <v>43025.724641203706</v>
      </c>
      <c r="F123" s="13">
        <v>43025.72965277778</v>
      </c>
      <c r="G123" s="7">
        <v>84</v>
      </c>
      <c r="H123" s="21" t="s">
        <v>561</v>
      </c>
      <c r="I123" s="13">
        <v>43025.754745370374</v>
      </c>
      <c r="J123" s="7">
        <v>0</v>
      </c>
      <c r="K123" s="89" t="str">
        <f>IF(ISEVEN(B123),(B123-1)&amp;"/"&amp;B123,B123&amp;"/"&amp;(B123+1))</f>
        <v>4065/4066</v>
      </c>
      <c r="L123" s="185" t="str">
        <f>VLOOKUP(A123,'Trips&amp;Operators'!$C$1:$G$99911,5,FALSE)</f>
        <v>KILLION DAVID</v>
      </c>
      <c r="M123" s="6">
        <f>I123-F123</f>
        <v>2.5092592593864538E-2</v>
      </c>
      <c r="N123" s="7">
        <f>24*60*SUM($M123:$M123)</f>
        <v>36.133333335164934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-17T16:23:29-0600',mode:absolute,to:'2017-10-17T19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4.3999999999999997E-2</v>
      </c>
      <c r="Z123" s="204">
        <f>RIGHT(H123,LEN(H123)-4)/10000</f>
        <v>23.3293</v>
      </c>
      <c r="AA123" s="204">
        <f>ABS(Z123-Y123)</f>
        <v>23.285299999999999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211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/stypes="app*4066*20171018*"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211-17 --locoid 4066 --swversion DE.1.0.9.0 --startMP 204:440 --initTime 2017-10-17T17:23:29 --startdatetime 2017-10-17T17:30:42 --delay 84 --endMP 204:233293 --enddatetime 2017-10-17T18:06:50 --enforcementcount 0 &gt;&gt;%USERPROFILE%\Documents\GitHub\eaglep3-reporting\EC\2017-10-17-refined-times.txt</v>
      </c>
      <c r="AI123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{"issue":{"subject":"","project_id":79,"tracker_id":40,"status_id":1,"priority_id":2,"assigned_to_id":338,"start_date":"2017-10-17","description":"","custom_fields":[{"id":1,"name":"Subdivision","value":"EC"},{"id":4,"name":"Milepost","value":"23.3293"},{"id":17,"name":"Train ID","value":"211-17"},{"id":16,"name":"Locomotive ID","value":"4066"},{"id":130,"name":"Impact","value":""},{"id":150,"name":"Time of Event (Mountain Time)","value":"18:06:50"},{"id":151,"name":"Denver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4066 --day 2017-10-17</v>
      </c>
      <c r="AN123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-17T16:23:29-0600',mode:absolute,to:'2017-10-17T19:06:50-0600'))&amp;_a=(columns:!('Message%20ID',Summary),filters:!(),index:'emp_*',interval:auto,query:(query_string:(analyze_wildcard:!t,query:'%22rtdc.l.rtdc.4066%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632</v>
      </c>
      <c r="B124" s="7">
        <v>4065</v>
      </c>
      <c r="C124" s="21" t="s">
        <v>194</v>
      </c>
      <c r="D124" s="21" t="s">
        <v>572</v>
      </c>
      <c r="E124" s="13">
        <v>43025.760023148148</v>
      </c>
      <c r="F124" s="13">
        <v>43025.769062500003</v>
      </c>
      <c r="G124" s="7">
        <v>71</v>
      </c>
      <c r="H124" s="21" t="s">
        <v>421</v>
      </c>
      <c r="I124" s="13">
        <v>43025.796041666668</v>
      </c>
      <c r="J124" s="7">
        <v>0</v>
      </c>
      <c r="K124" s="89" t="str">
        <f>IF(ISEVEN(B124),(B124-1)&amp;"/"&amp;B124,B124&amp;"/"&amp;(B124+1))</f>
        <v>4065/4066</v>
      </c>
      <c r="L124" s="185" t="str">
        <f>VLOOKUP(A124,'Trips&amp;Operators'!$C$1:$G$99911,5,FALSE)</f>
        <v>KILLION DAVID</v>
      </c>
      <c r="M124" s="6">
        <f>I124-F124</f>
        <v>2.6979166665114462E-2</v>
      </c>
      <c r="N124" s="7">
        <f>24*60*SUM($M124:$M124)</f>
        <v>38.849999997764826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-17T17:14:26-0600',mode:absolute,to:'2017-10-17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23.297599999999999</v>
      </c>
      <c r="Z124" s="204">
        <f>RIGHT(H124,LEN(H124)-4)/10000</f>
        <v>1.6500000000000001E-2</v>
      </c>
      <c r="AA124" s="204">
        <f>ABS(Z124-Y124)</f>
        <v>23.281099999999999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212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/stypes="app*4065*20171018*" /stext=" 01:.+((SYSTEM_STATE.+slice.+state.+changed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212-17 --locoid 4065 --swversion DE.1.0.9.0 --startMP 204:232976 --initTime 2017-10-17T18:14:26 --startdatetime 2017-10-17T18:27:27 --delay 71 --endMP 204:165 --enddatetime 2017-10-17T19:06:18 --enforcementcount 0 &gt;&gt;%USERPROFILE%\Documents\GitHub\eaglep3-reporting\EC\2017-10-17-refined-times.txt</v>
      </c>
      <c r="AI124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{"issue":{"subject":"","project_id":79,"tracker_id":40,"status_id":1,"priority_id":2,"assigned_to_id":338,"start_date":"2017-10-17","description":"","custom_fields":[{"id":1,"name":"Subdivision","value":"EC"},{"id":4,"name":"Milepost","value":"0.0165"},{"id":17,"name":"Train ID","value":"212-17"},{"id":16,"name":"Locomotive ID","value":"4065"},{"id":130,"name":"Impact","value":""},{"id":150,"name":"Time of Event (Mountain Time)","value":"19:06:18"},{"id":151,"name":"Denver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4065 --day 2017-10-17</v>
      </c>
      <c r="AN124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-17T17:14:26-0600',mode:absolute,to:'2017-10-17T20:06:18-0600'))&amp;_a=(columns:!('Message%20ID',Summary),filters:!(),index:'emp_*',interval:auto,query:(query_string:(analyze_wildcard:!t,query:'%22rtdc.l.rtdc.4065%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800</v>
      </c>
      <c r="B125" s="7">
        <v>4052</v>
      </c>
      <c r="C125" s="21" t="s">
        <v>194</v>
      </c>
      <c r="D125" s="21" t="s">
        <v>362</v>
      </c>
      <c r="E125" s="13">
        <v>43025.735034722224</v>
      </c>
      <c r="F125" s="13">
        <v>43025.739756944444</v>
      </c>
      <c r="G125" s="7">
        <v>122</v>
      </c>
      <c r="H125" s="21" t="s">
        <v>893</v>
      </c>
      <c r="I125" s="13">
        <v>43025.764374999999</v>
      </c>
      <c r="J125" s="7">
        <v>0</v>
      </c>
      <c r="K125" s="89" t="str">
        <f>IF(ISEVEN(B125),(B125-1)&amp;"/"&amp;B125,B125&amp;"/"&amp;(B125+1))</f>
        <v>4051/4052</v>
      </c>
      <c r="L125" s="185" t="str">
        <f>VLOOKUP(A125,'Trips&amp;Operators'!$C$1:$G$99911,5,FALSE)</f>
        <v>LOZA FIDEL</v>
      </c>
      <c r="M125" s="6">
        <f>I125-F125</f>
        <v>2.4618055555038154E-2</v>
      </c>
      <c r="N125" s="7">
        <f>24*60*SUM($M125:$M125)</f>
        <v>35.449999999254942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-17T16:38:27-0600',mode:absolute,to:'2017-10-17T19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4.5999999999999999E-2</v>
      </c>
      <c r="Z125" s="204">
        <f>RIGHT(H125,LEN(H125)-4)/10000</f>
        <v>23.334099999999999</v>
      </c>
      <c r="AA125" s="204">
        <f>ABS(Z125-Y125)</f>
        <v>23.2881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213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/stypes="app*4052*20171018*"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213-17 --locoid 4052 --swversion DE.1.0.9.0 --startMP 204:460 --initTime 2017-10-17T17:38:27 --startdatetime 2017-10-17T17:45:15 --delay 122 --endMP 204:233341 --enddatetime 2017-10-17T18:20:42 --enforcementcount 0 &gt;&gt;%USERPROFILE%\Documents\GitHub\eaglep3-reporting\EC\2017-10-17-refined-times.txt</v>
      </c>
      <c r="AI12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{"issue":{"subject":"","project_id":79,"tracker_id":40,"status_id":1,"priority_id":2,"assigned_to_id":338,"start_date":"2017-10-17","description":"","custom_fields":[{"id":1,"name":"Subdivision","value":"EC"},{"id":4,"name":"Milepost","value":"23.3341"},{"id":17,"name":"Train ID","value":"213-17"},{"id":16,"name":"Locomotive ID","value":"4052"},{"id":130,"name":"Impact","value":""},{"id":150,"name":"Time of Event (Mountain Time)","value":"18:20:42"},{"id":151,"name":"Denver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4052 --day 2017-10-17</v>
      </c>
      <c r="AN125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-17T16:38:27-0600',mode:absolute,to:'2017-10-17T19:20:42-0600'))&amp;_a=(columns:!('Message%20ID',Summary),filters:!(),index:'emp_*',interval:auto,query:(query_string:(analyze_wildcard:!t,query:'%22rtdc.l.rtdc.4052%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814</v>
      </c>
      <c r="B126" s="7">
        <v>4051</v>
      </c>
      <c r="C126" s="21" t="s">
        <v>194</v>
      </c>
      <c r="D126" s="21" t="s">
        <v>362</v>
      </c>
      <c r="E126" s="13">
        <v>43025.735034722224</v>
      </c>
      <c r="F126" s="13">
        <v>43025.779560185183</v>
      </c>
      <c r="G126" s="7">
        <v>122</v>
      </c>
      <c r="H126" s="21" t="s">
        <v>893</v>
      </c>
      <c r="I126" s="13">
        <v>43025.805497685185</v>
      </c>
      <c r="J126" s="7">
        <v>0</v>
      </c>
      <c r="K126" s="89" t="str">
        <f>IF(ISEVEN(B126),(B126-1)&amp;"/"&amp;B126,B126&amp;"/"&amp;(B126+1))</f>
        <v>4051/4052</v>
      </c>
      <c r="L126" s="185" t="str">
        <f>VLOOKUP(A126,'Trips&amp;Operators'!$C$1:$G$99911,5,FALSE)</f>
        <v>LOZA FIDEL</v>
      </c>
      <c r="M126" s="6">
        <f>I126-F126</f>
        <v>2.5937500002328306E-2</v>
      </c>
      <c r="N126" s="7">
        <f>24*60*SUM($M126:$M126)</f>
        <v>37.350000003352761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-17T16:38:27-0600',mode:absolute,to:'2017-10-17T20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v>23.297599999999999</v>
      </c>
      <c r="Z126" s="204">
        <v>1.6500000000000001E-2</v>
      </c>
      <c r="AA126" s="204">
        <f>ABS(Z126-Y126)</f>
        <v>23.281099999999999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214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/stypes="app*4051*20171018*" /stext=" 01:.+((SYSTEM_STATE.+slice.+state.+changed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ref="AH126" si="20"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214-17 --locoid 4051 --swversion DE.1.0.9.0 --startMP 204:460 --initTime 2017-10-17T17:38:27 --startdatetime 2017-10-17T18:42:34 --delay 122 --endMP 204:233341 --enddatetime 2017-10-17T19:19:55 --enforcementcount 0 &gt;&gt;%USERPROFILE%\Documents\GitHub\eaglep3-reporting\EC\2017-10-17-refined-times.txt</v>
      </c>
      <c r="AI126" s="96" t="str">
        <f t="shared" ref="AI126" si="21"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{"issue":{"subject":"","project_id":79,"tracker_id":40,"status_id":1,"priority_id":2,"assigned_to_id":338,"start_date":"2017-10-17","description":"","custom_fields":[{"id":1,"name":"Subdivision","value":"EC"},{"id":4,"name":"Milepost","value":"0.0165"},{"id":17,"name":"Train ID","value":"214-17"},{"id":16,"name":"Locomotive ID","value":"4051"},{"id":130,"name":"Impact","value":""},{"id":150,"name":"Time of Event (Mountain Time)","value":"19:19:55"},{"id":151,"name":"Denver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ref="AM126" si="22">"start /low /b "&amp;dls3logs&amp;" --loco "&amp;B126&amp;" --day "&amp;TEXT(F126,"YYYY-MM-DD")</f>
        <v>start /low /b %USERPROFILE%\Documents\GitHub\eaglep3\Utilities\DownloadLogsFromS3.py --loco 4051 --day 2017-10-17</v>
      </c>
      <c r="AN126" s="151" t="str">
        <f t="shared" ref="AN126" si="23"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ref="AO126" si="24"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-17T16:38:27-0600',mode:absolute,to:'2017-10-17T20:19:55-0600'))&amp;_a=(columns:!('Message%20ID',Summary),filters:!(),index:'emp_*',interval:auto,query:(query_string:(analyze_wildcard:!t,query:'%22rtdc.l.rtdc.4051%22')),sort:!(Time.ISO8601,asc))</v>
      </c>
    </row>
    <row r="127" spans="1:91" s="20" customFormat="1" x14ac:dyDescent="0.3">
      <c r="A127" s="32" t="s">
        <v>803</v>
      </c>
      <c r="B127" s="7">
        <v>4014</v>
      </c>
      <c r="C127" s="21" t="s">
        <v>194</v>
      </c>
      <c r="D127" s="21" t="s">
        <v>567</v>
      </c>
      <c r="E127" s="13">
        <v>43025.744537037041</v>
      </c>
      <c r="F127" s="13">
        <v>43025.750439814816</v>
      </c>
      <c r="G127" s="7">
        <v>58</v>
      </c>
      <c r="H127" s="21" t="s">
        <v>514</v>
      </c>
      <c r="I127" s="13">
        <v>43025.775405092594</v>
      </c>
      <c r="J127" s="7">
        <v>0</v>
      </c>
      <c r="K127" s="89" t="str">
        <f>IF(ISEVEN(B127),(B127-1)&amp;"/"&amp;B127,B127&amp;"/"&amp;(B127+1))</f>
        <v>4013/4014</v>
      </c>
      <c r="L127" s="185" t="str">
        <f>VLOOKUP(A127,'Trips&amp;Operators'!$C$1:$G$99911,5,FALSE)</f>
        <v>SMITH MICHAEL</v>
      </c>
      <c r="M127" s="6">
        <f>I127-F127</f>
        <v>2.4965277778392192E-2</v>
      </c>
      <c r="N127" s="7">
        <f>24*60*SUM($M127:$M127)</f>
        <v>35.950000000884756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-17T16:52:08-0600',mode:absolute,to:'2017-10-17T19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204" t="str">
        <f>IF(AA127&lt;VLOOKUP(AG127,Variables!$AC$3:$AD$8,2,FALSE),"Y","N")</f>
        <v>N</v>
      </c>
      <c r="X127" s="204">
        <f t="shared" ref="X127:X128" si="25">VALUE(LEFT(AD127,4))-VALUE(LEFT(AD126,4))</f>
        <v>1</v>
      </c>
      <c r="Y127" s="204">
        <f>RIGHT(D127,LEN(D127)-4)/10000</f>
        <v>4.3700000000000003E-2</v>
      </c>
      <c r="Z127" s="204">
        <f>RIGHT(H127,LEN(H127)-4)/10000</f>
        <v>23.330400000000001</v>
      </c>
      <c r="AA127" s="204">
        <f>ABS(Z127-Y127)</f>
        <v>23.2867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215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/stypes="app*4014*20171018*" /stext=" 00:.+((SYSTEM_STATE.+slice.+state.+changed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215-17 --locoid 4014 --swversion DE.1.0.9.0 --startMP 204:437 --initTime 2017-10-17T17:52:08 --startdatetime 2017-10-17T18:00:38 --delay 58 --endMP 204:233304 --enddatetime 2017-10-17T18:36:35 --enforcementcount 0 &gt;&gt;%USERPROFILE%\Documents\GitHub\eaglep3-reporting\EC\2017-10-17-refined-times.txt</v>
      </c>
      <c r="AI127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{"issue":{"subject":"","project_id":79,"tracker_id":40,"status_id":1,"priority_id":2,"assigned_to_id":338,"start_date":"2017-10-17","description":"","custom_fields":[{"id":1,"name":"Subdivision","value":"EC"},{"id":4,"name":"Milepost","value":"23.3304"},{"id":17,"name":"Train ID","value":"215-17"},{"id":16,"name":"Locomotive ID","value":"4014"},{"id":130,"name":"Impact","value":""},{"id":150,"name":"Time of Event (Mountain Time)","value":"18:36:35"},{"id":151,"name":"Denver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4014 --day 2017-10-17</v>
      </c>
      <c r="AN127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-17T16:52:08-0600',mode:absolute,to:'2017-10-17T19:36:35-0600'))&amp;_a=(columns:!('Message%20ID',Summary),filters:!(),index:'emp_*',interval:auto,query:(query_string:(analyze_wildcard:!t,query:'%22rtdc.l.rtdc.4014%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815</v>
      </c>
      <c r="B128" s="7">
        <v>4013</v>
      </c>
      <c r="C128" s="21" t="s">
        <v>194</v>
      </c>
      <c r="D128" s="21" t="s">
        <v>431</v>
      </c>
      <c r="E128" s="13">
        <v>43025.781168981484</v>
      </c>
      <c r="F128" s="13">
        <v>43025.78979166667</v>
      </c>
      <c r="G128" s="7">
        <v>57</v>
      </c>
      <c r="H128" s="21" t="s">
        <v>355</v>
      </c>
      <c r="I128" s="13">
        <v>43025.815636574072</v>
      </c>
      <c r="J128" s="7">
        <v>0</v>
      </c>
      <c r="K128" s="89" t="str">
        <f>IF(ISEVEN(B128),(B128-1)&amp;"/"&amp;B128,B128&amp;"/"&amp;(B128+1))</f>
        <v>4013/4014</v>
      </c>
      <c r="L128" s="185" t="str">
        <f>VLOOKUP(A128,'Trips&amp;Operators'!$C$1:$G$99911,5,FALSE)</f>
        <v>SMITH MICHAEL</v>
      </c>
      <c r="M128" s="6">
        <f>I128-F128</f>
        <v>2.5844907402643003E-2</v>
      </c>
      <c r="N128" s="7">
        <f>24*60*SUM($M128:$M128)</f>
        <v>37.216666659805924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-17T17:44:53-0600',mode:absolute,to:'2017-10-17T20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204" t="str">
        <f>IF(AA128&lt;VLOOKUP(AG128,Variables!$AC$3:$AD$8,2,FALSE),"Y","N")</f>
        <v>N</v>
      </c>
      <c r="X128" s="204">
        <f t="shared" si="25"/>
        <v>1</v>
      </c>
      <c r="Y128" s="204">
        <f>RIGHT(D128,LEN(D128)-4)/10000</f>
        <v>23.2987</v>
      </c>
      <c r="Z128" s="204">
        <f>RIGHT(H128,LEN(H128)-4)/10000</f>
        <v>1.4500000000000001E-2</v>
      </c>
      <c r="AA128" s="204">
        <f>ABS(Z128-Y128)</f>
        <v>23.284199999999998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216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/stypes="app*4013*20171018*" /stext=" 01:.+((SYSTEM_STATE.+slice.+state.+changed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216-17 --locoid 4013 --swversion DE.1.0.9.0 --startMP 204:232987 --initTime 2017-10-17T18:44:53 --startdatetime 2017-10-17T18:57:18 --delay 57 --endMP 204:145 --enddatetime 2017-10-17T19:34:31 --enforcementcount 0 &gt;&gt;%USERPROFILE%\Documents\GitHub\eaglep3-reporting\EC\2017-10-17-refined-times.txt</v>
      </c>
      <c r="AI128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{"issue":{"subject":"","project_id":79,"tracker_id":40,"status_id":1,"priority_id":2,"assigned_to_id":338,"start_date":"2017-10-17","description":"","custom_fields":[{"id":1,"name":"Subdivision","value":"EC"},{"id":4,"name":"Milepost","value":"0.0145"},{"id":17,"name":"Train ID","value":"216-17"},{"id":16,"name":"Locomotive ID","value":"4013"},{"id":130,"name":"Impact","value":""},{"id":150,"name":"Time of Event (Mountain Time)","value":"19:34:31"},{"id":151,"name":"Denver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4013 --day 2017-10-17</v>
      </c>
      <c r="AN128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-17T17:44:53-0600',mode:absolute,to:'2017-10-17T20:34:31-0600'))&amp;_a=(columns:!('Message%20ID',Summary),filters:!(),index:'emp_*',interval:auto,query:(query_string:(analyze_wildcard:!t,query:'%22rtdc.l.rtdc.4013%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807</v>
      </c>
      <c r="B129" s="7">
        <v>4050</v>
      </c>
      <c r="C129" s="21" t="s">
        <v>194</v>
      </c>
      <c r="D129" s="21" t="s">
        <v>463</v>
      </c>
      <c r="E129" s="13">
        <v>43025.754803240743</v>
      </c>
      <c r="F129" s="13">
        <v>43025.760601851849</v>
      </c>
      <c r="G129" s="7">
        <v>66</v>
      </c>
      <c r="H129" s="21" t="s">
        <v>560</v>
      </c>
      <c r="I129" s="13">
        <v>43025.785995370374</v>
      </c>
      <c r="J129" s="7">
        <v>0</v>
      </c>
      <c r="K129" s="89" t="str">
        <f>IF(ISEVEN(B129),(B129-1)&amp;"/"&amp;B129,B129&amp;"/"&amp;(B129+1))</f>
        <v>4049/4050</v>
      </c>
      <c r="L129" s="185" t="str">
        <f>VLOOKUP(A129,'Trips&amp;Operators'!$C$1:$G$99911,5,FALSE)</f>
        <v>BIRKHOLZ NADINE</v>
      </c>
      <c r="M129" s="6">
        <f>I129-F129</f>
        <v>2.5393518524651881E-2</v>
      </c>
      <c r="N129" s="7">
        <f>24*60*SUM($M129:$M129)</f>
        <v>36.566666675498709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-17T17:06:55-0600',mode:absolute,to:'2017-10-17T19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4.3999999999999997E-2</v>
      </c>
      <c r="Z129" s="204">
        <f>RIGHT(H129,LEN(H129)-4)/10000</f>
        <v>23.328800000000001</v>
      </c>
      <c r="AA129" s="204">
        <f>ABS(Z129-Y129)</f>
        <v>23.284800000000001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217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/stypes="app*4050*20171018*" /stext=" 00:.+((SYSTEM_STATE.+slice.+state.+changed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217-17 --locoid 4050 --swversion DE.1.0.9.0 --startMP 204:440 --initTime 2017-10-17T18:06:55 --startdatetime 2017-10-17T18:15:16 --delay 66 --endMP 204:233288 --enddatetime 2017-10-17T18:51:50 --enforcementcount 0 &gt;&gt;%USERPROFILE%\Documents\GitHub\eaglep3-reporting\EC\2017-10-17-refined-times.txt</v>
      </c>
      <c r="AI12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{"issue":{"subject":"","project_id":79,"tracker_id":40,"status_id":1,"priority_id":2,"assigned_to_id":338,"start_date":"2017-10-17","description":"","custom_fields":[{"id":1,"name":"Subdivision","value":"EC"},{"id":4,"name":"Milepost","value":"23.3288"},{"id":17,"name":"Train ID","value":"217-17"},{"id":16,"name":"Locomotive ID","value":"4050"},{"id":130,"name":"Impact","value":""},{"id":150,"name":"Time of Event (Mountain Time)","value":"18:51:50"},{"id":151,"name":"Denver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4050 --day 2017-10-17</v>
      </c>
      <c r="AN129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-17T17:06:55-0600',mode:absolute,to:'2017-10-17T19:51:50-0600'))&amp;_a=(columns:!('Message%20ID',Summary),filters:!(),index:'emp_*',interval:auto,query:(query_string:(analyze_wildcard:!t,query:'%22rtdc.l.rtdc.4050%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818</v>
      </c>
      <c r="B130" s="7">
        <v>4049</v>
      </c>
      <c r="C130" s="21" t="s">
        <v>194</v>
      </c>
      <c r="D130" s="21" t="s">
        <v>483</v>
      </c>
      <c r="E130" s="13">
        <v>43025.795555555553</v>
      </c>
      <c r="F130" s="13">
        <v>43025.800243055557</v>
      </c>
      <c r="G130" s="7">
        <v>74</v>
      </c>
      <c r="H130" s="21" t="s">
        <v>488</v>
      </c>
      <c r="I130" s="13">
        <v>43025.826678240737</v>
      </c>
      <c r="J130" s="7">
        <v>0</v>
      </c>
      <c r="K130" s="89" t="str">
        <f>IF(ISEVEN(B130),(B130-1)&amp;"/"&amp;B130,B130&amp;"/"&amp;(B130+1))</f>
        <v>4049/4050</v>
      </c>
      <c r="L130" s="185" t="str">
        <f>VLOOKUP(A130,'Trips&amp;Operators'!$C$1:$G$99911,5,FALSE)</f>
        <v>BIRKHOLZ NADINE</v>
      </c>
      <c r="M130" s="6">
        <f>I130-F130</f>
        <v>2.643518518016208E-2</v>
      </c>
      <c r="N130" s="7">
        <f>24*60*SUM($M130:$M130)</f>
        <v>38.066666659433395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-17T18:05:36-0600',mode:absolute,to:'2017-10-17T20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23.296900000000001</v>
      </c>
      <c r="Z130" s="204">
        <f>RIGHT(H130,LEN(H130)-4)/10000</f>
        <v>1.41E-2</v>
      </c>
      <c r="AA130" s="204">
        <f>ABS(Z130-Y130)</f>
        <v>23.282800000000002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218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/stypes="app*4049*20171018*" /stext=" 01:.+((SYSTEM_STATE.+slice.+state.+changed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218-17 --locoid 4049 --swversion DE.1.0.9.0 --startMP 204:232969 --initTime 2017-10-17T19:05:36 --startdatetime 2017-10-17T19:12:21 --delay 74 --endMP 204:141 --enddatetime 2017-10-17T19:50:25 --enforcementcount 0 &gt;&gt;%USERPROFILE%\Documents\GitHub\eaglep3-reporting\EC\2017-10-17-refined-times.txt</v>
      </c>
      <c r="AI13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{"issue":{"subject":"","project_id":79,"tracker_id":40,"status_id":1,"priority_id":2,"assigned_to_id":338,"start_date":"2017-10-17","description":"","custom_fields":[{"id":1,"name":"Subdivision","value":"EC"},{"id":4,"name":"Milepost","value":"0.0141"},{"id":17,"name":"Train ID","value":"218-17"},{"id":16,"name":"Locomotive ID","value":"4049"},{"id":130,"name":"Impact","value":""},{"id":150,"name":"Time of Event (Mountain Time)","value":"19:50:25"},{"id":151,"name":"Denver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4049 --day 2017-10-17</v>
      </c>
      <c r="AN130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-17T18:05:36-0600',mode:absolute,to:'2017-10-17T20:50:25-0600'))&amp;_a=(columns:!('Message%20ID',Summary),filters:!(),index:'emp_*',interval:auto,query:(query_string:(analyze_wildcard:!t,query:'%22rtdc.l.rtdc.4049%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810</v>
      </c>
      <c r="B131" s="7">
        <v>4010</v>
      </c>
      <c r="C131" s="21" t="s">
        <v>194</v>
      </c>
      <c r="D131" s="21" t="s">
        <v>460</v>
      </c>
      <c r="E131" s="13">
        <v>43025.768229166664</v>
      </c>
      <c r="F131" s="13">
        <v>43025.771087962959</v>
      </c>
      <c r="G131" s="7">
        <v>66</v>
      </c>
      <c r="H131" s="21" t="s">
        <v>394</v>
      </c>
      <c r="I131" s="13">
        <v>43025.796238425923</v>
      </c>
      <c r="J131" s="7">
        <v>0</v>
      </c>
      <c r="K131" s="89" t="str">
        <f>IF(ISEVEN(B131),(B131-1)&amp;"/"&amp;B131,B131&amp;"/"&amp;(B131+1))</f>
        <v>4009/4010</v>
      </c>
      <c r="L131" s="185" t="str">
        <f>VLOOKUP(A131,'Trips&amp;Operators'!$C$1:$G$99911,5,FALSE)</f>
        <v>ANDERS STEVEN</v>
      </c>
      <c r="M131" s="6">
        <f>I131-F131</f>
        <v>2.5150462963210884E-2</v>
      </c>
      <c r="N131" s="7">
        <f>24*60*SUM($M131:$M131)</f>
        <v>36.216666667023674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-17T17:26:15-0600',mode:absolute,to:'2017-10-17T20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4.3799999999999999E-2</v>
      </c>
      <c r="Z131" s="204">
        <f>RIGHT(H131,LEN(H131)-4)/10000</f>
        <v>23.330200000000001</v>
      </c>
      <c r="AA131" s="204">
        <f>ABS(Z131-Y131)</f>
        <v>23.2864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219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/stypes="app*4010*20171018*"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219-17 --locoid 4010 --swversion DE.1.0.9.0 --startMP 204:438 --initTime 2017-10-17T18:26:15 --startdatetime 2017-10-17T18:30:22 --delay 66 --endMP 204:233302 --enddatetime 2017-10-17T19:06:35 --enforcementcount 0 &gt;&gt;%USERPROFILE%\Documents\GitHub\eaglep3-reporting\EC\2017-10-17-refined-times.txt</v>
      </c>
      <c r="AI13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{"issue":{"subject":"","project_id":79,"tracker_id":40,"status_id":1,"priority_id":2,"assigned_to_id":338,"start_date":"2017-10-17","description":"","custom_fields":[{"id":1,"name":"Subdivision","value":"EC"},{"id":4,"name":"Milepost","value":"23.3302"},{"id":17,"name":"Train ID","value":"219-17"},{"id":16,"name":"Locomotive ID","value":"4010"},{"id":130,"name":"Impact","value":""},{"id":150,"name":"Time of Event (Mountain Time)","value":"19:06:35"},{"id":151,"name":"Denver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4010 --day 2017-10-17</v>
      </c>
      <c r="AN131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-17T17:26:15-0600',mode:absolute,to:'2017-10-17T20:06:35-0600'))&amp;_a=(columns:!('Message%20ID',Summary),filters:!(),index:'emp_*',interval:auto,query:(query_string:(analyze_wildcard:!t,query:'%22rtdc.l.rtdc.4010%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820</v>
      </c>
      <c r="B132" s="7">
        <v>4009</v>
      </c>
      <c r="C132" s="21" t="s">
        <v>194</v>
      </c>
      <c r="D132" s="21" t="s">
        <v>422</v>
      </c>
      <c r="E132" s="13">
        <v>43025.80740740741</v>
      </c>
      <c r="F132" s="13">
        <v>43025.810868055552</v>
      </c>
      <c r="G132" s="7">
        <v>103</v>
      </c>
      <c r="H132" s="21" t="s">
        <v>354</v>
      </c>
      <c r="I132" s="13">
        <v>43025.83699074074</v>
      </c>
      <c r="J132" s="7">
        <v>0</v>
      </c>
      <c r="K132" s="89" t="str">
        <f>IF(ISEVEN(B132),(B132-1)&amp;"/"&amp;B132,B132&amp;"/"&amp;(B132+1))</f>
        <v>4009/4010</v>
      </c>
      <c r="L132" s="185" t="str">
        <f>VLOOKUP(A132,'Trips&amp;Operators'!$C$1:$G$99911,5,FALSE)</f>
        <v>ANDERS STEVEN</v>
      </c>
      <c r="M132" s="6">
        <f>I132-F132</f>
        <v>2.6122685187146999E-2</v>
      </c>
      <c r="N132" s="7">
        <f>24*60*SUM($M132:$M132)</f>
        <v>37.616666669491678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-17T18:22:40-0600',mode:absolute,to:'2017-10-17T21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23.299399999999999</v>
      </c>
      <c r="Z132" s="204">
        <f>RIGHT(H132,LEN(H132)-4)/10000</f>
        <v>1.52E-2</v>
      </c>
      <c r="AA132" s="204">
        <f>ABS(Z132-Y132)</f>
        <v>23.284199999999998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220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/stypes="app*4009*20171018*" /stext=" 02:.+((SYSTEM_STATE.+slice.+state.+changed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220-17 --locoid 4009 --swversion DE.1.0.9.0 --startMP 204:232994 --initTime 2017-10-17T19:22:40 --startdatetime 2017-10-17T19:27:39 --delay 103 --endMP 204:152 --enddatetime 2017-10-17T20:05:16 --enforcementcount 0 &gt;&gt;%USERPROFILE%\Documents\GitHub\eaglep3-reporting\EC\2017-10-17-refined-times.txt</v>
      </c>
      <c r="AI13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{"issue":{"subject":"","project_id":79,"tracker_id":40,"status_id":1,"priority_id":2,"assigned_to_id":338,"start_date":"2017-10-17","description":"","custom_fields":[{"id":1,"name":"Subdivision","value":"EC"},{"id":4,"name":"Milepost","value":"0.0152"},{"id":17,"name":"Train ID","value":"220-17"},{"id":16,"name":"Locomotive ID","value":"4009"},{"id":130,"name":"Impact","value":""},{"id":150,"name":"Time of Event (Mountain Time)","value":"20:05:16"},{"id":151,"name":"Denver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4009 --day 2017-10-17</v>
      </c>
      <c r="AN132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02:05:16"},{"id":29,"name":"Sharepoint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-17T18:22:40-0600',mode:absolute,to:'2017-10-17T21:05:16-0600'))&amp;_a=(columns:!('Message%20ID',Summary),filters:!(),index:'emp_*',interval:auto,query:(query_string:(analyze_wildcard:!t,query:'%22rtdc.l.rtdc.4009%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816</v>
      </c>
      <c r="B133" s="7">
        <v>4016</v>
      </c>
      <c r="C133" s="21" t="s">
        <v>194</v>
      </c>
      <c r="D133" s="21" t="s">
        <v>378</v>
      </c>
      <c r="E133" s="13">
        <v>43025.787361111114</v>
      </c>
      <c r="F133" s="13">
        <v>43025.791851851849</v>
      </c>
      <c r="G133" s="7">
        <v>86</v>
      </c>
      <c r="H133" s="21" t="s">
        <v>894</v>
      </c>
      <c r="I133" s="13">
        <v>43025.816666666666</v>
      </c>
      <c r="J133" s="7">
        <v>0</v>
      </c>
      <c r="K133" s="89" t="str">
        <f>IF(ISEVEN(B133),(B133-1)&amp;"/"&amp;B133,B133&amp;"/"&amp;(B133+1))</f>
        <v>4015/4016</v>
      </c>
      <c r="L133" s="185" t="str">
        <f>VLOOKUP(A133,'Trips&amp;Operators'!$C$1:$G$99911,5,FALSE)</f>
        <v>DUNCAN SHEILA</v>
      </c>
      <c r="M133" s="6">
        <f>I133-F133</f>
        <v>2.4814814816636499E-2</v>
      </c>
      <c r="N133" s="7">
        <f>24*60*SUM($M133:$M133)</f>
        <v>35.733333335956559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-17T17:53:48-0600',mode:absolute,to:'2017-10-17T20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4.5699999999999998E-2</v>
      </c>
      <c r="Z133" s="204">
        <f>RIGHT(H133,LEN(H133)-4)/10000</f>
        <v>23.3385</v>
      </c>
      <c r="AA133" s="204">
        <f>ABS(Z133-Y133)</f>
        <v>23.2928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221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/stypes="app*4016*20171018*"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221-17 --locoid 4016 --swversion DE.1.0.9.0 --startMP 204:457 --initTime 2017-10-17T18:53:48 --startdatetime 2017-10-17T19:00:16 --delay 86 --endMP 204:233385 --enddatetime 2017-10-17T19:36:00 --enforcementcount 0 &gt;&gt;%USERPROFILE%\Documents\GitHub\eaglep3-reporting\EC\2017-10-17-refined-times.txt</v>
      </c>
      <c r="AI133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{"issue":{"subject":"","project_id":79,"tracker_id":40,"status_id":1,"priority_id":2,"assigned_to_id":338,"start_date":"2017-10-17","description":"","custom_fields":[{"id":1,"name":"Subdivision","value":"EC"},{"id":4,"name":"Milepost","value":"23.3385"},{"id":17,"name":"Train ID","value":"221-17"},{"id":16,"name":"Locomotive ID","value":"4016"},{"id":130,"name":"Impact","value":""},{"id":150,"name":"Time of Event (Mountain Time)","value":"19:36:00"},{"id":151,"name":"Denver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4016 --day 2017-10-17</v>
      </c>
      <c r="AN133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-17T17:53:48-0600',mode:absolute,to:'2017-10-17T20:36:00-0600'))&amp;_a=(columns:!('Message%20ID',Summary),filters:!(),index:'emp_*',interval:auto,query:(query_string:(analyze_wildcard:!t,query:'%22rtdc.l.rtdc.4016%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824</v>
      </c>
      <c r="B134" s="7">
        <v>4015</v>
      </c>
      <c r="C134" s="21" t="s">
        <v>194</v>
      </c>
      <c r="D134" s="21" t="s">
        <v>895</v>
      </c>
      <c r="E134" s="13">
        <v>43025.825520833336</v>
      </c>
      <c r="F134" s="13">
        <v>43025.83148148148</v>
      </c>
      <c r="G134" s="7">
        <v>83</v>
      </c>
      <c r="H134" s="21" t="s">
        <v>336</v>
      </c>
      <c r="I134" s="13">
        <v>43025.857361111113</v>
      </c>
      <c r="J134" s="7">
        <v>0</v>
      </c>
      <c r="K134" s="89" t="str">
        <f>IF(ISEVEN(B134),(B134-1)&amp;"/"&amp;B134,B134&amp;"/"&amp;(B134+1))</f>
        <v>4015/4016</v>
      </c>
      <c r="L134" s="185" t="str">
        <f>VLOOKUP(A134,'Trips&amp;Operators'!$C$1:$G$99911,5,FALSE)</f>
        <v>DUNCAN SHEILA</v>
      </c>
      <c r="M134" s="6">
        <f>I134-F134</f>
        <v>2.587962963298196E-2</v>
      </c>
      <c r="N134" s="7">
        <f>24*60*SUM($M134:$M134)</f>
        <v>37.266666671494022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-17T18:48:45-0600',mode:absolute,to:'2017-10-17T21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23.305499999999999</v>
      </c>
      <c r="Z134" s="204">
        <f>RIGHT(H134,LEN(H134)-4)/10000</f>
        <v>1.49E-2</v>
      </c>
      <c r="AA134" s="204">
        <f>ABS(Z134-Y134)</f>
        <v>23.290599999999998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222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/stypes="app*4015*20171018*" /stext=" 02:.+((SYSTEM_STATE.+slice.+state.+changed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222-17 --locoid 4015 --swversion DE.1.0.9.0 --startMP 204:233055 --initTime 2017-10-17T19:48:45 --startdatetime 2017-10-17T19:57:20 --delay 83 --endMP 204:149 --enddatetime 2017-10-17T20:34:36 --enforcementcount 0 &gt;&gt;%USERPROFILE%\Documents\GitHub\eaglep3-reporting\EC\2017-10-17-refined-times.txt</v>
      </c>
      <c r="AI134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{"issue":{"subject":"","project_id":79,"tracker_id":40,"status_id":1,"priority_id":2,"assigned_to_id":338,"start_date":"2017-10-17","description":"","custom_fields":[{"id":1,"name":"Subdivision","value":"EC"},{"id":4,"name":"Milepost","value":"0.0149"},{"id":17,"name":"Train ID","value":"222-17"},{"id":16,"name":"Locomotive ID","value":"4015"},{"id":130,"name":"Impact","value":""},{"id":150,"name":"Time of Event (Mountain Time)","value":"20:34:36"},{"id":151,"name":"Denver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4015 --day 2017-10-17</v>
      </c>
      <c r="AN134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-17T18:48:45-0600',mode:absolute,to:'2017-10-17T21:34:36-0600'))&amp;_a=(columns:!('Message%20ID',Summary),filters:!(),index:'emp_*',interval:auto,query:(query_string:(analyze_wildcard:!t,query:'%22rtdc.l.rtdc.4015%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821</v>
      </c>
      <c r="B135" s="7">
        <v>4052</v>
      </c>
      <c r="C135" s="21" t="s">
        <v>194</v>
      </c>
      <c r="D135" s="21" t="s">
        <v>874</v>
      </c>
      <c r="E135" s="13">
        <v>43025.808437500003</v>
      </c>
      <c r="F135" s="13">
        <v>43025.813032407408</v>
      </c>
      <c r="G135" s="7">
        <v>60</v>
      </c>
      <c r="H135" s="21" t="s">
        <v>480</v>
      </c>
      <c r="I135" s="13">
        <v>43025.837314814817</v>
      </c>
      <c r="J135" s="7">
        <v>0</v>
      </c>
      <c r="K135" s="89" t="str">
        <f>IF(ISEVEN(B135),(B135-1)&amp;"/"&amp;B135,B135&amp;"/"&amp;(B135+1))</f>
        <v>4051/4052</v>
      </c>
      <c r="L135" s="185" t="str">
        <f>VLOOKUP(A135,'Trips&amp;Operators'!$C$1:$G$99911,5,FALSE)</f>
        <v>LOZA FIDEL</v>
      </c>
      <c r="M135" s="6">
        <f>I135-F135</f>
        <v>2.4282407408463769E-2</v>
      </c>
      <c r="N135" s="7">
        <f>24*60*SUM($M135:$M135)</f>
        <v>34.966666668187827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-17T18:24:09-0600',mode:absolute,to:'2017-10-17T21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4.7500000000000001E-2</v>
      </c>
      <c r="Z135" s="204">
        <f>RIGHT(H135,LEN(H135)-4)/10000</f>
        <v>23.334900000000001</v>
      </c>
      <c r="AA135" s="204">
        <f>ABS(Z135-Y135)</f>
        <v>23.287400000000002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223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/stypes="app*4052*20171018*"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0"/>
        <v>"%USERPROFILE%\Documents\GitHub\eaglep3\Utilities\RefineRTDCRunTimes.py" --tripid 223-17 --locoid 4052 --swversion DE.1.0.9.0 --startMP 204:475 --initTime 2017-10-17T19:24:09 --startdatetime 2017-10-17T19:30:46 --delay 60 --endMP 204:233349 --enddatetime 2017-10-17T20:05:44 --enforcementcount 0 &gt;&gt;%USERPROFILE%\Documents\GitHub\eaglep3-reporting\EC\2017-10-17-refined-times.txt</v>
      </c>
      <c r="AI13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{"issue":{"subject":"","project_id":79,"tracker_id":40,"status_id":1,"priority_id":2,"assigned_to_id":338,"start_date":"2017-10-17","description":"","custom_fields":[{"id":1,"name":"Subdivision","value":"EC"},{"id":4,"name":"Milepost","value":"23.3349"},{"id":17,"name":"Train ID","value":"223-17"},{"id":16,"name":"Locomotive ID","value":"4052"},{"id":130,"name":"Impact","value":""},{"id":150,"name":"Time of Event (Mountain Time)","value":"20:05:44"},{"id":151,"name":"Denver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2"/>
        <v>start /low /b %USERPROFILE%\Documents\GitHub\eaglep3\Utilities\DownloadLogsFromS3.py --loco 4052 --day 2017-10-17</v>
      </c>
      <c r="AN135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4"/>
        <v>https://d0f6bd738d7f1b3e5a7ca70fe4ff75f0.us-east-1.aws.found.io/app/kibana#/discover/Steve-Slow-Train-Analysis-(2080s-and-2083s)?_g=(refreshInterval:(display:Off,pause:!f,section:0,value:0),time:(from:'2017-10-17T18:24:09-0600',mode:absolute,to:'2017-10-17T21:05:44-0600'))&amp;_a=(columns:!('Message%20ID',Summary),filters:!(),index:'emp_*',interval:auto,query:(query_string:(analyze_wildcard:!t,query:'%22rtdc.l.rtdc.4052%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827</v>
      </c>
      <c r="B136" s="7">
        <v>4051</v>
      </c>
      <c r="C136" s="21" t="s">
        <v>194</v>
      </c>
      <c r="D136" s="21" t="s">
        <v>509</v>
      </c>
      <c r="E136" s="13">
        <v>43025.850162037037</v>
      </c>
      <c r="F136" s="13">
        <v>43025.852361111109</v>
      </c>
      <c r="G136" s="7">
        <v>55</v>
      </c>
      <c r="H136" s="21" t="s">
        <v>366</v>
      </c>
      <c r="I136" s="13">
        <v>43025.877824074072</v>
      </c>
      <c r="J136" s="7">
        <v>0</v>
      </c>
      <c r="K136" s="89" t="str">
        <f>IF(ISEVEN(B136),(B136-1)&amp;"/"&amp;B136,B136&amp;"/"&amp;(B136+1))</f>
        <v>4051/4052</v>
      </c>
      <c r="L136" s="185" t="str">
        <f>VLOOKUP(A136,'Trips&amp;Operators'!$C$1:$G$99911,5,FALSE)</f>
        <v>LOZA FIDEL</v>
      </c>
      <c r="M136" s="6">
        <f>I136-F136</f>
        <v>2.5462962963501923E-2</v>
      </c>
      <c r="N136" s="7">
        <f>24*60*SUM($M136:$M136)</f>
        <v>36.666666667442769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-17T19:24:14-0600',mode:absolute,to:'2017-10-17T22:04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23.302700000000002</v>
      </c>
      <c r="Z136" s="204">
        <f>RIGHT(H136,LEN(H136)-4)/10000</f>
        <v>1.3899999999999999E-2</v>
      </c>
      <c r="AA136" s="204">
        <f>ABS(Z136-Y136)</f>
        <v>23.288800000000002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224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/stypes="app*4051*20171018*" /stext=" 03:.+((SYSTEM_STATE.+slice.+state.+changed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224-17 --locoid 4051 --swversion DE.1.0.9.0 --startMP 204:233027 --initTime 2017-10-17T20:24:14 --startdatetime 2017-10-17T20:27:24 --delay 55 --endMP 204:139 --enddatetime 2017-10-17T21:04:04 --enforcementcount 0 &gt;&gt;%USERPROFILE%\Documents\GitHub\eaglep3-reporting\EC\2017-10-17-refined-times.txt</v>
      </c>
      <c r="AI136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{"issue":{"subject":"","project_id":79,"tracker_id":40,"status_id":1,"priority_id":2,"assigned_to_id":338,"start_date":"2017-10-17","description":"","custom_fields":[{"id":1,"name":"Subdivision","value":"EC"},{"id":4,"name":"Milepost","value":"0.0139"},{"id":17,"name":"Train ID","value":"224-17"},{"id":16,"name":"Locomotive ID","value":"4051"},{"id":130,"name":"Impact","value":""},{"id":150,"name":"Time of Event (Mountain Time)","value":"21:04:04"},{"id":151,"name":"Denver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4051 --day 2017-10-17</v>
      </c>
      <c r="AN136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03:04:04"},{"id":29,"name":"Sharepoint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-17T19:24:14-0600',mode:absolute,to:'2017-10-17T22:04:04-0600'))&amp;_a=(columns:!('Message%20ID',Summary),filters:!(),index:'emp_*',interval:auto,query:(query_string:(analyze_wildcard:!t,query:'%22rtdc.l.rtdc.4051%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825</v>
      </c>
      <c r="B137" s="7">
        <v>4050</v>
      </c>
      <c r="C137" s="21" t="s">
        <v>194</v>
      </c>
      <c r="D137" s="21" t="s">
        <v>414</v>
      </c>
      <c r="E137" s="13">
        <v>43025.828877314816</v>
      </c>
      <c r="F137" s="13">
        <v>43025.833518518521</v>
      </c>
      <c r="G137" s="7">
        <v>55</v>
      </c>
      <c r="H137" s="21" t="s">
        <v>370</v>
      </c>
      <c r="I137" s="13">
        <v>43025.858576388891</v>
      </c>
      <c r="J137" s="7">
        <v>0</v>
      </c>
      <c r="K137" s="89" t="str">
        <f>IF(ISEVEN(B137),(B137-1)&amp;"/"&amp;B137,B137&amp;"/"&amp;(B137+1))</f>
        <v>4049/4050</v>
      </c>
      <c r="L137" s="185" t="str">
        <f>VLOOKUP(A137,'Trips&amp;Operators'!$C$1:$G$99911,5,FALSE)</f>
        <v>BIRKHOLZ NADINE</v>
      </c>
      <c r="M137" s="6">
        <f>I137-F137</f>
        <v>2.5057870370801538E-2</v>
      </c>
      <c r="N137" s="7">
        <f>24*60*SUM($M137:$M137)</f>
        <v>36.083333333954215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-17T18:53:35-0600',mode:absolute,to:'2017-10-17T21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4.6399999999999997E-2</v>
      </c>
      <c r="Z137" s="204">
        <f>RIGHT(H137,LEN(H137)-4)/10000</f>
        <v>23.331199999999999</v>
      </c>
      <c r="AA137" s="204">
        <f>ABS(Z137-Y137)</f>
        <v>23.284800000000001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225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/stypes="app*4050*20171018*"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225-17 --locoid 4050 --swversion DE.1.0.9.0 --startMP 204:464 --initTime 2017-10-17T19:53:35 --startdatetime 2017-10-17T20:00:16 --delay 55 --endMP 204:233312 --enddatetime 2017-10-17T20:36:21 --enforcementcount 0 &gt;&gt;%USERPROFILE%\Documents\GitHub\eaglep3-reporting\EC\2017-10-17-refined-times.txt</v>
      </c>
      <c r="AI137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{"issue":{"subject":"","project_id":79,"tracker_id":40,"status_id":1,"priority_id":2,"assigned_to_id":338,"start_date":"2017-10-17","description":"","custom_fields":[{"id":1,"name":"Subdivision","value":"EC"},{"id":4,"name":"Milepost","value":"23.3312"},{"id":17,"name":"Train ID","value":"225-17"},{"id":16,"name":"Locomotive ID","value":"4050"},{"id":130,"name":"Impact","value":""},{"id":150,"name":"Time of Event (Mountain Time)","value":"20:36:21"},{"id":151,"name":"Denver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4050 --day 2017-10-17</v>
      </c>
      <c r="AN137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02:36:21"},{"id":29,"name":"Sharepoint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-17T18:53:35-0600',mode:absolute,to:'2017-10-17T21:36:21-0600'))&amp;_a=(columns:!('Message%20ID',Summary),filters:!(),index:'emp_*',interval:auto,query:(query_string:(analyze_wildcard:!t,query:'%22rtdc.l.rtdc.4050%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831</v>
      </c>
      <c r="B138" s="7">
        <v>4049</v>
      </c>
      <c r="C138" s="21" t="s">
        <v>194</v>
      </c>
      <c r="D138" s="21" t="s">
        <v>429</v>
      </c>
      <c r="E138" s="13">
        <v>43025.866678240738</v>
      </c>
      <c r="F138" s="13">
        <v>43025.873113425929</v>
      </c>
      <c r="G138" s="7">
        <v>56</v>
      </c>
      <c r="H138" s="21" t="s">
        <v>336</v>
      </c>
      <c r="I138" s="13">
        <v>43025.899733796294</v>
      </c>
      <c r="J138" s="7">
        <v>0</v>
      </c>
      <c r="K138" s="89" t="str">
        <f>IF(ISEVEN(B138),(B138-1)&amp;"/"&amp;B138,B138&amp;"/"&amp;(B138+1))</f>
        <v>4049/4050</v>
      </c>
      <c r="L138" s="185" t="str">
        <f>VLOOKUP(A138,'Trips&amp;Operators'!$C$1:$G$99911,5,FALSE)</f>
        <v>BIRKHOLZ NADINE</v>
      </c>
      <c r="M138" s="6">
        <f>I138-F138</f>
        <v>2.6620370364980772E-2</v>
      </c>
      <c r="N138" s="7">
        <f>24*60*SUM($M138:$M138)</f>
        <v>38.333333325572312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-17T19:48:01-0600',mode:absolute,to:'2017-10-17T22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23.2989</v>
      </c>
      <c r="Z138" s="204">
        <f>RIGHT(H138,LEN(H138)-4)/10000</f>
        <v>1.49E-2</v>
      </c>
      <c r="AA138" s="204">
        <f>ABS(Z138-Y138)</f>
        <v>23.283999999999999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226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/stypes="app*4049*20171018*" /stext=" 03:.+((SYSTEM_STATE.+slice.+state.+changed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226-17 --locoid 4049 --swversion DE.1.0.9.0 --startMP 204:232989 --initTime 2017-10-17T20:48:01 --startdatetime 2017-10-17T20:57:17 --delay 56 --endMP 204:149 --enddatetime 2017-10-17T21:35:37 --enforcementcount 0 &gt;&gt;%USERPROFILE%\Documents\GitHub\eaglep3-reporting\EC\2017-10-17-refined-times.txt</v>
      </c>
      <c r="AI138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{"issue":{"subject":"","project_id":79,"tracker_id":40,"status_id":1,"priority_id":2,"assigned_to_id":338,"start_date":"2017-10-17","description":"","custom_fields":[{"id":1,"name":"Subdivision","value":"EC"},{"id":4,"name":"Milepost","value":"0.0149"},{"id":17,"name":"Train ID","value":"226-17"},{"id":16,"name":"Locomotive ID","value":"4049"},{"id":130,"name":"Impact","value":""},{"id":150,"name":"Time of Event (Mountain Time)","value":"21:35:37"},{"id":151,"name":"Denver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4049 --day 2017-10-17</v>
      </c>
      <c r="AN138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-17T19:48:01-0600',mode:absolute,to:'2017-10-17T22:35:37-0600'))&amp;_a=(columns:!('Message%20ID',Summary),filters:!(),index:'emp_*',interval:auto,query:(query_string:(analyze_wildcard:!t,query:'%22rtdc.l.rtdc.4049%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829</v>
      </c>
      <c r="B139" s="7">
        <v>4010</v>
      </c>
      <c r="C139" s="21" t="s">
        <v>194</v>
      </c>
      <c r="D139" s="21" t="s">
        <v>374</v>
      </c>
      <c r="E139" s="13">
        <v>43025.851238425923</v>
      </c>
      <c r="F139" s="13">
        <v>43025.854363425926</v>
      </c>
      <c r="G139" s="7">
        <v>62</v>
      </c>
      <c r="H139" s="21" t="s">
        <v>568</v>
      </c>
      <c r="I139" s="13">
        <v>43025.879826388889</v>
      </c>
      <c r="J139" s="7">
        <v>0</v>
      </c>
      <c r="K139" s="89" t="str">
        <f>IF(ISEVEN(B139),(B139-1)&amp;"/"&amp;B139,B139&amp;"/"&amp;(B139+1))</f>
        <v>4009/4010</v>
      </c>
      <c r="L139" s="185" t="str">
        <f>VLOOKUP(A139,'Trips&amp;Operators'!$C$1:$G$99911,5,FALSE)</f>
        <v>ANDERS STEVEN</v>
      </c>
      <c r="M139" s="6">
        <f>I139-F139</f>
        <v>2.5462962963501923E-2</v>
      </c>
      <c r="N139" s="7">
        <f>24*60*SUM($M139:$M139)</f>
        <v>36.666666667442769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-17T19:25:47-0600',mode:absolute,to:'2017-10-17T22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4.4699999999999997E-2</v>
      </c>
      <c r="Z139" s="204">
        <f>RIGHT(H139,LEN(H139)-4)/10000</f>
        <v>23.332699999999999</v>
      </c>
      <c r="AA139" s="204">
        <f>ABS(Z139-Y139)</f>
        <v>23.288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227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/stypes="app*4010*20171018*"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227-17 --locoid 4010 --swversion DE.1.0.9.0 --startMP 204:447 --initTime 2017-10-17T20:25:47 --startdatetime 2017-10-17T20:30:17 --delay 62 --endMP 204:233327 --enddatetime 2017-10-17T21:06:57 --enforcementcount 0 &gt;&gt;%USERPROFILE%\Documents\GitHub\eaglep3-reporting\EC\2017-10-17-refined-times.txt</v>
      </c>
      <c r="AI139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{"issue":{"subject":"","project_id":79,"tracker_id":40,"status_id":1,"priority_id":2,"assigned_to_id":338,"start_date":"2017-10-17","description":"","custom_fields":[{"id":1,"name":"Subdivision","value":"EC"},{"id":4,"name":"Milepost","value":"23.3327"},{"id":17,"name":"Train ID","value":"227-17"},{"id":16,"name":"Locomotive ID","value":"4010"},{"id":130,"name":"Impact","value":""},{"id":150,"name":"Time of Event (Mountain Time)","value":"21:06:57"},{"id":151,"name":"Denver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4010 --day 2017-10-17</v>
      </c>
      <c r="AN139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03:06:57"},{"id":29,"name":"Sharepoint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-17T19:25:47-0600',mode:absolute,to:'2017-10-17T22:06:57-0600'))&amp;_a=(columns:!('Message%20ID',Summary),filters:!(),index:'emp_*',interval:auto,query:(query_string:(analyze_wildcard:!t,query:'%22rtdc.l.rtdc.4010%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834</v>
      </c>
      <c r="B140" s="7">
        <v>4009</v>
      </c>
      <c r="C140" s="21" t="s">
        <v>194</v>
      </c>
      <c r="D140" s="21" t="s">
        <v>415</v>
      </c>
      <c r="E140" s="13">
        <v>43025.890231481484</v>
      </c>
      <c r="F140" s="13">
        <v>43025.89402777778</v>
      </c>
      <c r="G140" s="7">
        <v>62</v>
      </c>
      <c r="H140" s="21" t="s">
        <v>485</v>
      </c>
      <c r="I140" s="13">
        <v>43025.920937499999</v>
      </c>
      <c r="J140" s="7">
        <v>0</v>
      </c>
      <c r="K140" s="89" t="str">
        <f>IF(ISEVEN(B140),(B140-1)&amp;"/"&amp;B140,B140&amp;"/"&amp;(B140+1))</f>
        <v>4009/4010</v>
      </c>
      <c r="L140" s="185" t="str">
        <f>VLOOKUP(A140,'Trips&amp;Operators'!$C$1:$G$99911,5,FALSE)</f>
        <v>ANDERS STEVEN</v>
      </c>
      <c r="M140" s="6">
        <f>I140-F140</f>
        <v>2.6909722218988463E-2</v>
      </c>
      <c r="N140" s="7">
        <f>24*60*SUM($M140:$M140)</f>
        <v>38.749999995343387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-17T20:21:56-0600',mode:absolute,to:'2017-10-17T23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23.299099999999999</v>
      </c>
      <c r="Z140" s="204">
        <f>RIGHT(H140,LEN(H140)-4)/10000</f>
        <v>1.3599999999999999E-2</v>
      </c>
      <c r="AA140" s="204">
        <f>ABS(Z140-Y140)</f>
        <v>23.285499999999999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228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/stypes="app*4009*20171018*" /stext=" 04:.+((SYSTEM_STATE.+slice.+state.+changed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228-17 --locoid 4009 --swversion DE.1.0.9.0 --startMP 204:232991 --initTime 2017-10-17T21:21:56 --startdatetime 2017-10-17T21:27:24 --delay 62 --endMP 204:136 --enddatetime 2017-10-17T22:06:09 --enforcementcount 0 &gt;&gt;%USERPROFILE%\Documents\GitHub\eaglep3-reporting\EC\2017-10-17-refined-times.txt</v>
      </c>
      <c r="AI140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{"issue":{"subject":"","project_id":79,"tracker_id":40,"status_id":1,"priority_id":2,"assigned_to_id":338,"start_date":"2017-10-17","description":"","custom_fields":[{"id":1,"name":"Subdivision","value":"EC"},{"id":4,"name":"Milepost","value":"0.0136"},{"id":17,"name":"Train ID","value":"228-17"},{"id":16,"name":"Locomotive ID","value":"4009"},{"id":130,"name":"Impact","value":""},{"id":150,"name":"Time of Event (Mountain Time)","value":"22:06:09"},{"id":151,"name":"Denver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4009 --day 2017-10-17</v>
      </c>
      <c r="AN140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04:06:09"},{"id":29,"name":"Sharepoint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-17T20:21:56-0600',mode:absolute,to:'2017-10-17T23:06:09-0600'))&amp;_a=(columns:!('Message%20ID',Summary),filters:!(),index:'emp_*',interval:auto,query:(query_string:(analyze_wildcard:!t,query:'%22rtdc.l.rtdc.4009%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830</v>
      </c>
      <c r="B141" s="7">
        <v>4016</v>
      </c>
      <c r="C141" s="21" t="s">
        <v>194</v>
      </c>
      <c r="D141" s="21" t="s">
        <v>338</v>
      </c>
      <c r="E141" s="13">
        <v>43025.861342592594</v>
      </c>
      <c r="F141" s="13">
        <v>43025.875162037039</v>
      </c>
      <c r="G141" s="7">
        <v>382</v>
      </c>
      <c r="H141" s="21" t="s">
        <v>409</v>
      </c>
      <c r="I141" s="13">
        <v>43025.899710648147</v>
      </c>
      <c r="J141" s="7">
        <v>0</v>
      </c>
      <c r="K141" s="89" t="str">
        <f>IF(ISEVEN(B141),(B141-1)&amp;"/"&amp;B141,B141&amp;"/"&amp;(B141+1))</f>
        <v>4015/4016</v>
      </c>
      <c r="L141" s="185" t="str">
        <f>VLOOKUP(A141,'Trips&amp;Operators'!$C$1:$G$99911,5,FALSE)</f>
        <v>GUNTHIER ERIC</v>
      </c>
      <c r="M141" s="6">
        <f>I141-F141</f>
        <v>2.4548611108912155E-2</v>
      </c>
      <c r="N141" s="7">
        <f>24*60*SUM($M141:$M141)</f>
        <v>35.349999996833503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-17T19:40:20-0600',mode:absolute,to:'2017-10-17T22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4.53E-2</v>
      </c>
      <c r="Z141" s="204">
        <f>RIGHT(H141,LEN(H141)-4)/10000</f>
        <v>23.3306</v>
      </c>
      <c r="AA141" s="204">
        <f>ABS(Z141-Y141)</f>
        <v>23.285299999999999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229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/stypes="app*4016*20171018*"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229-17 --locoid 4016 --swversion DE.1.0.9.0 --startMP 204:453 --initTime 2017-10-17T20:40:20 --startdatetime 2017-10-17T21:00:14 --delay 382 --endMP 204:233306 --enddatetime 2017-10-17T21:35:35 --enforcementcount 0 &gt;&gt;%USERPROFILE%\Documents\GitHub\eaglep3-reporting\EC\2017-10-17-refined-times.txt</v>
      </c>
      <c r="AI141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{"issue":{"subject":"","project_id":79,"tracker_id":40,"status_id":1,"priority_id":2,"assigned_to_id":338,"start_date":"2017-10-17","description":"","custom_fields":[{"id":1,"name":"Subdivision","value":"EC"},{"id":4,"name":"Milepost","value":"23.3306"},{"id":17,"name":"Train ID","value":"229-17"},{"id":16,"name":"Locomotive ID","value":"4016"},{"id":130,"name":"Impact","value":""},{"id":150,"name":"Time of Event (Mountain Time)","value":"21:35:35"},{"id":151,"name":"Denver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4016 --day 2017-10-17</v>
      </c>
      <c r="AN141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-17T19:40:20-0600',mode:absolute,to:'2017-10-17T22:35:35-0600'))&amp;_a=(columns:!('Message%20ID',Summary),filters:!(),index:'emp_*',interval:auto,query:(query_string:(analyze_wildcard:!t,query:'%22rtdc.l.rtdc.4016%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836</v>
      </c>
      <c r="B142" s="7">
        <v>4015</v>
      </c>
      <c r="C142" s="21" t="s">
        <v>194</v>
      </c>
      <c r="D142" s="21" t="s">
        <v>563</v>
      </c>
      <c r="E142" s="13">
        <v>43025.901064814818</v>
      </c>
      <c r="F142" s="13">
        <v>43025.914756944447</v>
      </c>
      <c r="G142" s="7">
        <v>746</v>
      </c>
      <c r="H142" s="21" t="s">
        <v>357</v>
      </c>
      <c r="I142" s="13">
        <v>43025.941423611112</v>
      </c>
      <c r="J142" s="7">
        <v>0</v>
      </c>
      <c r="K142" s="89" t="str">
        <f>IF(ISEVEN(B142),(B142-1)&amp;"/"&amp;B142,B142&amp;"/"&amp;(B142+1))</f>
        <v>4015/4016</v>
      </c>
      <c r="L142" s="185" t="str">
        <f>VLOOKUP(A142,'Trips&amp;Operators'!$C$1:$G$99911,5,FALSE)</f>
        <v>GUNTHIER ERIC</v>
      </c>
      <c r="M142" s="6">
        <f>I142-F142</f>
        <v>2.6666666664823424E-2</v>
      </c>
      <c r="N142" s="7">
        <f>24*60*SUM($M142:$M142)</f>
        <v>38.399999997345731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-17T20:37:32-0600',mode:absolute,to:'2017-10-17T23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23.299800000000001</v>
      </c>
      <c r="Z142" s="204">
        <f>RIGHT(H142,LEN(H142)-4)/10000</f>
        <v>1.5599999999999999E-2</v>
      </c>
      <c r="AA142" s="204">
        <f>ABS(Z142-Y142)</f>
        <v>23.284200000000002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230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/stypes="app*4015*20171018*" /stext=" 04:.+((SYSTEM_STATE.+slice.+state.+changed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230-17 --locoid 4015 --swversion DE.1.0.9.0 --startMP 204:232998 --initTime 2017-10-17T21:37:32 --startdatetime 2017-10-17T21:57:15 --delay 746 --endMP 204:156 --enddatetime 2017-10-17T22:35:39 --enforcementcount 0 &gt;&gt;%USERPROFILE%\Documents\GitHub\eaglep3-reporting\EC\2017-10-17-refined-times.txt</v>
      </c>
      <c r="AI142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{"issue":{"subject":"","project_id":79,"tracker_id":40,"status_id":1,"priority_id":2,"assigned_to_id":338,"start_date":"2017-10-17","description":"","custom_fields":[{"id":1,"name":"Subdivision","value":"EC"},{"id":4,"name":"Milepost","value":"0.0156"},{"id":17,"name":"Train ID","value":"230-17"},{"id":16,"name":"Locomotive ID","value":"4015"},{"id":130,"name":"Impact","value":""},{"id":150,"name":"Time of Event (Mountain Time)","value":"22:35:39"},{"id":151,"name":"Denver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4015 --day 2017-10-17</v>
      </c>
      <c r="AN142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04:35:39"},{"id":29,"name":"Sharepoint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-17T20:37:32-0600',mode:absolute,to:'2017-10-17T23:35:39-0600'))&amp;_a=(columns:!('Message%20ID',Summary),filters:!(),index:'emp_*',interval:auto,query:(query_string:(analyze_wildcard:!t,query:'%22rtdc.l.rtdc.4015%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833</v>
      </c>
      <c r="B143" s="7">
        <v>4052</v>
      </c>
      <c r="C143" s="21" t="s">
        <v>194</v>
      </c>
      <c r="D143" s="21" t="s">
        <v>563</v>
      </c>
      <c r="E143" s="13">
        <v>43025.901064814818</v>
      </c>
      <c r="F143" s="13">
        <v>43025.89603009259</v>
      </c>
      <c r="G143" s="7">
        <v>746</v>
      </c>
      <c r="H143" s="21" t="s">
        <v>357</v>
      </c>
      <c r="I143" s="13">
        <v>43025.920578703706</v>
      </c>
      <c r="J143" s="7">
        <v>0</v>
      </c>
      <c r="K143" s="89" t="str">
        <f t="shared" ref="K143:K144" si="26">IF(ISEVEN(B143),(B143-1)&amp;"/"&amp;B143,B143&amp;"/"&amp;(B143+1))</f>
        <v>4051/4052</v>
      </c>
      <c r="L143" s="185" t="str">
        <f>VLOOKUP(A143,'Trips&amp;Operators'!$C$1:$G$99911,5,FALSE)</f>
        <v>LOZA FIDEL</v>
      </c>
      <c r="M143" s="6">
        <f t="shared" ref="M143:M144" si="27">I143-F143</f>
        <v>2.4548611116188113E-2</v>
      </c>
      <c r="N143" s="7">
        <f t="shared" ref="N143:N144" si="28">24*60*SUM($M143:$M143)</f>
        <v>35.350000007310882</v>
      </c>
      <c r="O143" s="7"/>
      <c r="P143" s="7"/>
      <c r="Q143" s="22"/>
      <c r="R143" s="174"/>
      <c r="S143" s="221">
        <f t="shared" ref="S143:S144" si="29">1/IF(AG143="EC",12,1)*SUM(U143:U143)</f>
        <v>1</v>
      </c>
      <c r="T143" s="174" t="str">
        <f t="shared" ref="T143:T144" si="30">IF(ISEVEN(LEFT(AD143,4)),"Southbound","NorthBound")</f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-17T20:37:32-0600',mode:absolute,to:'2017-10-17T23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3" s="204" t="str">
        <f>IF(AA143&lt;VLOOKUP(AG143,Variables!$AC$3:$AD$8,2,FALSE),"Y","N")</f>
        <v>N</v>
      </c>
      <c r="X143" s="204">
        <f t="shared" ref="X143:X145" si="31">VALUE(LEFT(AD143,4))-VALUE(LEFT(AD142,4))</f>
        <v>1</v>
      </c>
      <c r="Y143" s="204">
        <v>4.53E-2</v>
      </c>
      <c r="Z143" s="204">
        <v>23.3306</v>
      </c>
      <c r="AA143" s="204">
        <f t="shared" ref="AA143:AA144" si="32">ABS(Z143-Y143)</f>
        <v>23.285299999999999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ref="AD143:AD144" si="33">VALUE(LEFT(A143,LEN(A143)-3))</f>
        <v>231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/stypes="app*4052*20171018*" /stext=" 04:.+((SYSTEM_STATE.+slice.+state.+changed )|(ment ac)|(multiple cpu faults)|(system.+state.+changed )|(\[timeout)|(PRM\|1\|D)|(kpr)|(kdp)|(train st.+moving)|(\|lc)|(penalty))"</v>
      </c>
      <c r="AG143" s="182" t="str">
        <f t="shared" ref="AG143:AG144" si="34">DetSubdiv(A143)</f>
        <v>EC</v>
      </c>
      <c r="AH143" s="78" t="str">
        <f t="shared" ref="AH143:AH144" si="35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231-17 --locoid 4052 --swversion DE.1.0.9.0 --startMP 204:232998 --initTime 2017-10-17T21:37:32 --startdatetime 2017-10-17T21:30:17 --delay 746 --endMP 204:156 --enddatetime 2017-10-17T22:05:38 --enforcementcount 0 &gt;&gt;%USERPROFILE%\Documents\GitHub\eaglep3-reporting\EC\2017-10-17-refined-times.txt</v>
      </c>
      <c r="AI143" s="96" t="str">
        <f t="shared" ref="AI143:AI144" si="36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{"issue":{"subject":"","project_id":79,"tracker_id":40,"status_id":1,"priority_id":2,"assigned_to_id":338,"start_date":"2017-10-17","description":"","custom_fields":[{"id":1,"name":"Subdivision","value":"EC"},{"id":4,"name":"Milepost","value":"23.3306"},{"id":17,"name":"Train ID","value":"231-17"},{"id":16,"name":"Locomotive ID","value":"4052"},{"id":130,"name":"Impact","value":""},{"id":150,"name":"Time of Event (Mountain Time)","value":"22:05:38"},{"id":151,"name":"Denver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ref="AM143:AM144" si="37">"start /low /b "&amp;dls3logs&amp;" --loco "&amp;B143&amp;" --day "&amp;TEXT(F143,"YYYY-MM-DD")</f>
        <v>start /low /b %USERPROFILE%\Documents\GitHub\eaglep3\Utilities\DownloadLogsFromS3.py --loco 4052 --day 2017-10-17</v>
      </c>
      <c r="AN143" s="151" t="str">
        <f t="shared" ref="AN143:AN144" si="38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ref="AO143:AO144" si="39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-17T20:37:32-0600',mode:absolute,to:'2017-10-17T23:05:38-0600'))&amp;_a=(columns:!('Message%20ID',Summary),filters:!(),index:'emp_*',interval:auto,query:(query_string:(analyze_wildcard:!t,query:'%22rtdc.l.rtdc.4052%22')),sort:!(Time.ISO8601,asc))</v>
      </c>
    </row>
    <row r="144" spans="1:91" s="20" customFormat="1" x14ac:dyDescent="0.3">
      <c r="A144" s="32" t="s">
        <v>840</v>
      </c>
      <c r="B144" s="7">
        <v>4051</v>
      </c>
      <c r="C144" s="21" t="s">
        <v>194</v>
      </c>
      <c r="D144" s="21" t="s">
        <v>563</v>
      </c>
      <c r="E144" s="13">
        <v>43025.901064814818</v>
      </c>
      <c r="F144" s="13">
        <v>43025.935590277775</v>
      </c>
      <c r="G144" s="7">
        <v>746</v>
      </c>
      <c r="H144" s="21" t="s">
        <v>357</v>
      </c>
      <c r="I144" s="13">
        <v>43025.961689814816</v>
      </c>
      <c r="J144" s="7">
        <v>0</v>
      </c>
      <c r="K144" s="89" t="str">
        <f t="shared" si="26"/>
        <v>4051/4052</v>
      </c>
      <c r="L144" s="185" t="str">
        <f>VLOOKUP(A144,'Trips&amp;Operators'!$C$1:$G$99911,5,FALSE)</f>
        <v>LOZA FIDEL</v>
      </c>
      <c r="M144" s="6">
        <f t="shared" si="27"/>
        <v>2.6099537040863652E-2</v>
      </c>
      <c r="N144" s="7">
        <f t="shared" si="28"/>
        <v>37.583333338843659</v>
      </c>
      <c r="O144" s="7"/>
      <c r="P144" s="7"/>
      <c r="Q144" s="22"/>
      <c r="R144" s="174"/>
      <c r="S144" s="221">
        <f t="shared" si="29"/>
        <v>1</v>
      </c>
      <c r="T144" s="174" t="str">
        <f t="shared" si="30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-17T20:37:32-0600',mode:absolute,to:'2017-10-18T00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204" t="str">
        <f>IF(AA144&lt;VLOOKUP(AG144,Variables!$AC$3:$AD$8,2,FALSE),"Y","N")</f>
        <v>N</v>
      </c>
      <c r="X144" s="204">
        <f t="shared" si="31"/>
        <v>1</v>
      </c>
      <c r="Y144" s="204">
        <f t="shared" ref="Y144" si="40">RIGHT(D144,LEN(D144)-4)/10000</f>
        <v>23.299800000000001</v>
      </c>
      <c r="Z144" s="204">
        <f t="shared" ref="Z144" si="41">RIGHT(H144,LEN(H144)-4)/10000</f>
        <v>1.5599999999999999E-2</v>
      </c>
      <c r="AA144" s="204">
        <f t="shared" si="32"/>
        <v>23.284200000000002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33"/>
        <v>232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/stypes="app*4051*20171018*" /stext=" 05:.+((SYSTEM_STATE.+slice.+state.+changed )|(ment ac)|(multiple cpu faults)|(system.+state.+changed )|(\[timeout)|(PRM\|1\|D)|(kpr)|(kdp)|(train st.+moving)|(\|lc)|(penalty))"</v>
      </c>
      <c r="AG144" s="182" t="str">
        <f t="shared" si="34"/>
        <v>EC</v>
      </c>
      <c r="AH144" s="78" t="str">
        <f t="shared" si="35"/>
        <v>"%USERPROFILE%\Documents\GitHub\eaglep3\Utilities\RefineRTDCRunTimes.py" --tripid 232-17 --locoid 4051 --swversion DE.1.0.9.0 --startMP 204:232998 --initTime 2017-10-17T21:37:32 --startdatetime 2017-10-17T22:27:15 --delay 746 --endMP 204:156 --enddatetime 2017-10-17T23:04:50 --enforcementcount 0 &gt;&gt;%USERPROFILE%\Documents\GitHub\eaglep3-reporting\EC\2017-10-17-refined-times.txt</v>
      </c>
      <c r="AI144" s="96" t="str">
        <f t="shared" si="36"/>
        <v>echo {"issue":{"subject":"","project_id":79,"tracker_id":40,"status_id":1,"priority_id":2,"assigned_to_id":338,"start_date":"2017-10-17","description":"","custom_fields":[{"id":1,"name":"Subdivision","value":"EC"},{"id":4,"name":"Milepost","value":"0.0156"},{"id":17,"name":"Train ID","value":"232-17"},{"id":16,"name":"Locomotive ID","value":"4051"},{"id":130,"name":"Impact","value":""},{"id":150,"name":"Time of Event (Mountain Time)","value":"23:04:50"},{"id":151,"name":"Denver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37"/>
        <v>start /low /b %USERPROFILE%\Documents\GitHub\eaglep3\Utilities\DownloadLogsFromS3.py --loco 4051 --day 2017-10-17</v>
      </c>
      <c r="AN144" s="151" t="str">
        <f t="shared" si="38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39"/>
        <v>https://d0f6bd738d7f1b3e5a7ca70fe4ff75f0.us-east-1.aws.found.io/app/kibana#/discover/Steve-Slow-Train-Analysis-(2080s-and-2083s)?_g=(refreshInterval:(display:Off,pause:!f,section:0,value:0),time:(from:'2017-10-17T20:37:32-0600',mode:absolute,to:'2017-10-18T00:04:50-0600'))&amp;_a=(columns:!('Message%20ID',Summary),filters:!(),index:'emp_*',interval:auto,query:(query_string:(analyze_wildcard:!t,query:'%22rtdc.l.rtdc.4051%22')),sort:!(Time.ISO8601,asc))</v>
      </c>
    </row>
    <row r="145" spans="1:91" s="20" customFormat="1" x14ac:dyDescent="0.3">
      <c r="A145" s="32" t="s">
        <v>837</v>
      </c>
      <c r="B145" s="7">
        <v>4050</v>
      </c>
      <c r="C145" s="21" t="s">
        <v>194</v>
      </c>
      <c r="D145" s="21" t="s">
        <v>378</v>
      </c>
      <c r="E145" s="13">
        <v>43025.911041666666</v>
      </c>
      <c r="F145" s="13">
        <v>43025.916932870372</v>
      </c>
      <c r="G145" s="7">
        <v>63</v>
      </c>
      <c r="H145" s="21" t="s">
        <v>486</v>
      </c>
      <c r="I145" s="13">
        <v>43025.941782407404</v>
      </c>
      <c r="J145" s="7">
        <v>0</v>
      </c>
      <c r="K145" s="89" t="str">
        <f>IF(ISEVEN(B145),(B145-1)&amp;"/"&amp;B145,B145&amp;"/"&amp;(B145+1))</f>
        <v>4049/4050</v>
      </c>
      <c r="L145" s="185" t="str">
        <f>VLOOKUP(A145,'Trips&amp;Operators'!$C$1:$G$99911,5,FALSE)</f>
        <v>BIRKHOLZ NADINE</v>
      </c>
      <c r="M145" s="6">
        <f>I145-F145</f>
        <v>2.4849537032423541E-2</v>
      </c>
      <c r="N145" s="7">
        <f>24*60*SUM($M145:$M145)</f>
        <v>35.783333326689899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-17T20:51:54-0600',mode:absolute,to:'2017-10-17T23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204" t="str">
        <f>IF(AA145&lt;VLOOKUP(AG145,Variables!$AC$3:$AD$8,2,FALSE),"Y","N")</f>
        <v>N</v>
      </c>
      <c r="X145" s="204">
        <f t="shared" si="31"/>
        <v>1</v>
      </c>
      <c r="Y145" s="204">
        <f>RIGHT(D145,LEN(D145)-4)/10000</f>
        <v>4.5699999999999998E-2</v>
      </c>
      <c r="Z145" s="204">
        <f>RIGHT(H145,LEN(H145)-4)/10000</f>
        <v>23.333200000000001</v>
      </c>
      <c r="AA145" s="204">
        <f>ABS(Z145-Y145)</f>
        <v>23.287500000000001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233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s3://rtdc.mdm.uploadarchive.raw/RTDC4050/ "%USERPROFILE%\AppData\Local\Temp\OnboardLogs"\RTDC4050\2017-10-17 --exclude "*" --recursive --include "*20171017*" &amp; "%USERPROFILE%\Documents\GitHub\mrs-test-scripts\Headless Mode &amp; Sideloading\WalkAndUnGZ.bat" "%USERPROFILE%\AppData\Local\Temp\OnboardLogs"\RTDC4050\2017-10-17 &amp; 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/stypes="app*4050*20171018*"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10"/>
        <v>"%USERPROFILE%\Documents\GitHub\eaglep3\Utilities\RefineRTDCRunTimes.py" --tripid 233-17 --locoid 4050 --swversion DE.1.0.9.0 --startMP 204:457 --initTime 2017-10-17T21:51:54 --startdatetime 2017-10-17T22:00:23 --delay 63 --endMP 204:233332 --enddatetime 2017-10-17T22:36:10 --enforcementcount 0 &gt;&gt;%USERPROFILE%\Documents\GitHub\eaglep3-reporting\EC\2017-10-17-refined-times.txt</v>
      </c>
      <c r="AI145" s="96" t="str">
        <f t="shared" si="11"/>
        <v>echo {"issue":{"subject":"","project_id":79,"tracker_id":40,"status_id":1,"priority_id":2,"assigned_to_id":338,"start_date":"2017-10-17","description":"","custom_fields":[{"id":1,"name":"Subdivision","value":"EC"},{"id":4,"name":"Milepost","value":"23.3332"},{"id":17,"name":"Train ID","value":"233-17"},{"id":16,"name":"Locomotive ID","value":"4050"},{"id":130,"name":"Impact","value":""},{"id":150,"name":"Time of Event (Mountain Time)","value":"22:36:10"},{"id":151,"name":"Denver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12"/>
        <v>start /low /b %USERPROFILE%\Documents\GitHub\eaglep3\Utilities\DownloadLogsFromS3.py --loco 4050 --day 2017-10-17</v>
      </c>
      <c r="AN145" s="151" t="str">
        <f t="shared" si="13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04:36:10"},{"id":29,"name":"Sharepoint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14"/>
        <v>https://d0f6bd738d7f1b3e5a7ca70fe4ff75f0.us-east-1.aws.found.io/app/kibana#/discover/Steve-Slow-Train-Analysis-(2080s-and-2083s)?_g=(refreshInterval:(display:Off,pause:!f,section:0,value:0),time:(from:'2017-10-17T20:51:54-0600',mode:absolute,to:'2017-10-17T23:36:10-0600'))&amp;_a=(columns:!('Message%20ID',Summary),filters:!(),index:'emp_*',interval:auto,query:(query_string:(analyze_wildcard:!t,query:'%22rtdc.l.rtdc.4050%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843</v>
      </c>
      <c r="B146" s="7">
        <v>4049</v>
      </c>
      <c r="C146" s="21" t="s">
        <v>194</v>
      </c>
      <c r="D146" s="21" t="s">
        <v>520</v>
      </c>
      <c r="E146" s="13">
        <v>43025.95039351852</v>
      </c>
      <c r="F146" s="13">
        <v>43025.956446759257</v>
      </c>
      <c r="G146" s="7">
        <v>58</v>
      </c>
      <c r="H146" s="21" t="s">
        <v>366</v>
      </c>
      <c r="I146" s="13">
        <v>43025.983391203707</v>
      </c>
      <c r="J146" s="7">
        <v>0</v>
      </c>
      <c r="K146" s="89" t="str">
        <f>IF(ISEVEN(B146),(B146-1)&amp;"/"&amp;B146,B146&amp;"/"&amp;(B146+1))</f>
        <v>4049/4050</v>
      </c>
      <c r="L146" s="185" t="str">
        <f>VLOOKUP(A146,'Trips&amp;Operators'!$C$1:$G$99911,5,FALSE)</f>
        <v>BIRKHOLZ NADINE</v>
      </c>
      <c r="M146" s="6">
        <f>I146-F146</f>
        <v>2.694444444932742E-2</v>
      </c>
      <c r="N146" s="7">
        <f>24*60*SUM($M146:$M146)</f>
        <v>38.800000007031485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-17T21:48:34-0600',mode:absolute,to:'2017-10-18T00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23.297899999999998</v>
      </c>
      <c r="Z146" s="204">
        <f>RIGHT(H146,LEN(H146)-4)/10000</f>
        <v>1.3899999999999999E-2</v>
      </c>
      <c r="AA146" s="204">
        <f>ABS(Z146-Y146)</f>
        <v>23.283999999999999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234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/stypes="app*4049*20171018*" /stext=" 05:.+((SYSTEM_STATE.+slice.+state.+changed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ref="AH146:AH211" si="42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234-17 --locoid 4049 --swversion DE.1.0.9.0 --startMP 204:232979 --initTime 2017-10-17T22:48:34 --startdatetime 2017-10-17T22:57:17 --delay 58 --endMP 204:139 --enddatetime 2017-10-17T23:36:05 --enforcementcount 0 &gt;&gt;%USERPROFILE%\Documents\GitHub\eaglep3-reporting\EC\2017-10-17-refined-times.txt</v>
      </c>
      <c r="AI146" s="96" t="str">
        <f t="shared" ref="AI146:AI211" si="43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{"issue":{"subject":"","project_id":79,"tracker_id":40,"status_id":1,"priority_id":2,"assigned_to_id":338,"start_date":"2017-10-17","description":"","custom_fields":[{"id":1,"name":"Subdivision","value":"EC"},{"id":4,"name":"Milepost","value":"0.0139"},{"id":17,"name":"Train ID","value":"234-17"},{"id":16,"name":"Locomotive ID","value":"4049"},{"id":130,"name":"Impact","value":""},{"id":150,"name":"Time of Event (Mountain Time)","value":"23:36:05"},{"id":151,"name":"Denver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:AM211" si="44">"start /low /b "&amp;dls3logs&amp;" --loco "&amp;B146&amp;" --day "&amp;TEXT(F146,"YYYY-MM-DD")</f>
        <v>start /low /b %USERPROFILE%\Documents\GitHub\eaglep3\Utilities\DownloadLogsFromS3.py --loco 4049 --day 2017-10-17</v>
      </c>
      <c r="AN146" s="151" t="str">
        <f t="shared" ref="AN146:AN211" si="45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:AO211" si="46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-17T21:48:34-0600',mode:absolute,to:'2017-10-18T00:36:05-0600'))&amp;_a=(columns:!('Message%20ID',Summary),filters:!(),index:'emp_*',interval:auto,query:(query_string:(analyze_wildcard:!t,query:'%22rtdc.l.rtdc.4049%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839</v>
      </c>
      <c r="B147" s="7">
        <v>4010</v>
      </c>
      <c r="C147" s="21" t="s">
        <v>194</v>
      </c>
      <c r="D147" s="21" t="s">
        <v>874</v>
      </c>
      <c r="E147" s="13">
        <v>43025.925428240742</v>
      </c>
      <c r="F147" s="13">
        <v>43025.937731481485</v>
      </c>
      <c r="G147" s="7">
        <v>56</v>
      </c>
      <c r="H147" s="21" t="s">
        <v>896</v>
      </c>
      <c r="I147" s="13">
        <v>43025.963125000002</v>
      </c>
      <c r="J147" s="7">
        <v>0</v>
      </c>
      <c r="K147" s="89" t="str">
        <f>IF(ISEVEN(B147),(B147-1)&amp;"/"&amp;B147,B147&amp;"/"&amp;(B147+1))</f>
        <v>4009/4010</v>
      </c>
      <c r="L147" s="185" t="str">
        <f>VLOOKUP(A147,'Trips&amp;Operators'!$C$1:$G$99911,5,FALSE)</f>
        <v>ANDERS STEVEN</v>
      </c>
      <c r="M147" s="6">
        <f>I147-F147</f>
        <v>2.5393518517375924E-2</v>
      </c>
      <c r="N147" s="7">
        <f>24*60*SUM($M147:$M147)</f>
        <v>36.56666666502133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-17T21:12:37-0600',mode:absolute,to:'2017-10-18T00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4.7500000000000001E-2</v>
      </c>
      <c r="Z147" s="204">
        <f>RIGHT(H147,LEN(H147)-4)/10000</f>
        <v>23.328299999999999</v>
      </c>
      <c r="AA147" s="204">
        <f>ABS(Z147-Y147)</f>
        <v>23.280799999999999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235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/stypes="app*4010*20171018*"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42"/>
        <v>"%USERPROFILE%\Documents\GitHub\eaglep3\Utilities\RefineRTDCRunTimes.py" --tripid 235-17 --locoid 4010 --swversion DE.1.0.9.0 --startMP 204:475 --initTime 2017-10-17T22:12:37 --startdatetime 2017-10-17T22:30:20 --delay 56 --endMP 204:233283 --enddatetime 2017-10-17T23:06:54 --enforcementcount 0 &gt;&gt;%USERPROFILE%\Documents\GitHub\eaglep3-reporting\EC\2017-10-17-refined-times.txt</v>
      </c>
      <c r="AI147" s="96" t="str">
        <f t="shared" si="43"/>
        <v>echo {"issue":{"subject":"","project_id":79,"tracker_id":40,"status_id":1,"priority_id":2,"assigned_to_id":338,"start_date":"2017-10-17","description":"","custom_fields":[{"id":1,"name":"Subdivision","value":"EC"},{"id":4,"name":"Milepost","value":"23.3283"},{"id":17,"name":"Train ID","value":"235-17"},{"id":16,"name":"Locomotive ID","value":"4010"},{"id":130,"name":"Impact","value":""},{"id":150,"name":"Time of Event (Mountain Time)","value":"23:06:54"},{"id":151,"name":"Denver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44"/>
        <v>start /low /b %USERPROFILE%\Documents\GitHub\eaglep3\Utilities\DownloadLogsFromS3.py --loco 4010 --day 2017-10-17</v>
      </c>
      <c r="AN147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05:06:54"},{"id":29,"name":"Sharepoint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46"/>
        <v>https://d0f6bd738d7f1b3e5a7ca70fe4ff75f0.us-east-1.aws.found.io/app/kibana#/discover/Steve-Slow-Train-Analysis-(2080s-and-2083s)?_g=(refreshInterval:(display:Off,pause:!f,section:0,value:0),time:(from:'2017-10-17T21:12:37-0600',mode:absolute,to:'2017-10-18T00:06:54-0600'))&amp;_a=(columns:!('Message%20ID',Summary),filters:!(),index:'emp_*',interval:auto,query:(query_string:(analyze_wildcard:!t,query:'%22rtdc.l.rtdc.4010%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844</v>
      </c>
      <c r="B148" s="7">
        <v>4009</v>
      </c>
      <c r="C148" s="21" t="s">
        <v>194</v>
      </c>
      <c r="D148" s="21" t="s">
        <v>861</v>
      </c>
      <c r="E148" s="13">
        <v>43025.973645833335</v>
      </c>
      <c r="F148" s="13">
        <v>43025.977430555555</v>
      </c>
      <c r="G148" s="7">
        <v>64</v>
      </c>
      <c r="H148" s="21" t="s">
        <v>339</v>
      </c>
      <c r="I148" s="13">
        <v>43026.004803240743</v>
      </c>
      <c r="J148" s="7">
        <v>0</v>
      </c>
      <c r="K148" s="89" t="str">
        <f>IF(ISEVEN(B148),(B148-1)&amp;"/"&amp;B148,B148&amp;"/"&amp;(B148+1))</f>
        <v>4009/4010</v>
      </c>
      <c r="L148" s="185" t="str">
        <f>VLOOKUP(A148,'Trips&amp;Operators'!$C$1:$G$99911,5,FALSE)</f>
        <v>ANDERS STEVEN</v>
      </c>
      <c r="M148" s="6">
        <f>I148-F148</f>
        <v>2.7372685188311152E-2</v>
      </c>
      <c r="N148" s="7">
        <f>24*60*SUM($M148:$M148)</f>
        <v>39.416666671168059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-17T22:22:03-0600',mode:absolute,to:'2017-10-18T01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23.299299999999999</v>
      </c>
      <c r="Z148" s="204">
        <f>RIGHT(H148,LEN(H148)-4)/10000</f>
        <v>1.47E-2</v>
      </c>
      <c r="AA148" s="204">
        <f>ABS(Z148-Y148)</f>
        <v>23.284599999999998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236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/stypes="app*4009*20171018*" /stext=" 06:.+((SYSTEM_STATE.+slice.+state.+changed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42"/>
        <v>"%USERPROFILE%\Documents\GitHub\eaglep3\Utilities\RefineRTDCRunTimes.py" --tripid 236-17 --locoid 4009 --swversion DE.1.0.9.0 --startMP 204:232993 --initTime 2017-10-17T23:22:03 --startdatetime 2017-10-17T23:27:30 --delay 64 --endMP 204:147 --enddatetime 2017-10-18T00:06:55 --enforcementcount 0 &gt;&gt;%USERPROFILE%\Documents\GitHub\eaglep3-reporting\EC\2017-10-17-refined-times.txt</v>
      </c>
      <c r="AI148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{"issue":{"subject":"","project_id":79,"tracker_id":40,"status_id":1,"priority_id":2,"assigned_to_id":338,"start_date":"2017-10-18","description":"","custom_fields":[{"id":1,"name":"Subdivision","value":"EC"},{"id":4,"name":"Milepost","value":"0.0147"},{"id":17,"name":"Train ID","value":"236-17"},{"id":16,"name":"Locomotive ID","value":"4009"},{"id":130,"name":"Impact","value":""},{"id":150,"name":"Time of Event (Mountain Time)","value":"00:06:55"},{"id":151,"name":"Denver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44"/>
        <v>start /low /b %USERPROFILE%\Documents\GitHub\eaglep3\Utilities\DownloadLogsFromS3.py --loco 4009 --day 2017-10-17</v>
      </c>
      <c r="AN148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06:06:55"},{"id":29,"name":"Sharepoint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46"/>
        <v>https://d0f6bd738d7f1b3e5a7ca70fe4ff75f0.us-east-1.aws.found.io/app/kibana#/discover/Steve-Slow-Train-Analysis-(2080s-and-2083s)?_g=(refreshInterval:(display:Off,pause:!f,section:0,value:0),time:(from:'2017-10-17T22:22:03-0600',mode:absolute,to:'2017-10-18T01:06:55-0600'))&amp;_a=(columns:!('Message%20ID',Summary),filters:!(),index:'emp_*',interval:auto,query:(query_string:(analyze_wildcard:!t,query:'%22rtdc.l.rtdc.4009%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842</v>
      </c>
      <c r="B149" s="7">
        <v>4016</v>
      </c>
      <c r="C149" s="21" t="s">
        <v>194</v>
      </c>
      <c r="D149" s="21" t="s">
        <v>484</v>
      </c>
      <c r="E149" s="13">
        <v>43025.950266203705</v>
      </c>
      <c r="F149" s="13">
        <v>43025.958541666667</v>
      </c>
      <c r="G149" s="7">
        <v>71</v>
      </c>
      <c r="H149" s="21" t="s">
        <v>897</v>
      </c>
      <c r="I149" s="13">
        <v>43025.982662037037</v>
      </c>
      <c r="J149" s="7">
        <v>0</v>
      </c>
      <c r="K149" s="89" t="str">
        <f>IF(ISEVEN(B149),(B149-1)&amp;"/"&amp;B149,B149&amp;"/"&amp;(B149+1))</f>
        <v>4015/4016</v>
      </c>
      <c r="L149" s="185" t="str">
        <f>VLOOKUP(A149,'Trips&amp;Operators'!$C$1:$G$99911,5,FALSE)</f>
        <v>DUNCAN SHEILA</v>
      </c>
      <c r="M149" s="6">
        <f>I149-F149</f>
        <v>2.4120370369928423E-2</v>
      </c>
      <c r="N149" s="7">
        <f>24*60*SUM($M149:$M149)</f>
        <v>34.73333333269693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-17T21:48:23-0600',mode:absolute,to:'2017-10-18T00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4.82E-2</v>
      </c>
      <c r="Z149" s="204">
        <f>RIGHT(H149,LEN(H149)-4)/10000</f>
        <v>23.3368</v>
      </c>
      <c r="AA149" s="204">
        <f>ABS(Z149-Y149)</f>
        <v>23.288599999999999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237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/stypes="app*4016*20171018*"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42"/>
        <v>"%USERPROFILE%\Documents\GitHub\eaglep3\Utilities\RefineRTDCRunTimes.py" --tripid 237-17 --locoid 4016 --swversion DE.1.0.9.0 --startMP 204:482 --initTime 2017-10-17T22:48:23 --startdatetime 2017-10-17T23:00:18 --delay 71 --endMP 204:233368 --enddatetime 2017-10-17T23:35:02 --enforcementcount 0 &gt;&gt;%USERPROFILE%\Documents\GitHub\eaglep3-reporting\EC\2017-10-17-refined-times.txt</v>
      </c>
      <c r="AI149" s="96" t="str">
        <f t="shared" si="43"/>
        <v>echo {"issue":{"subject":"","project_id":79,"tracker_id":40,"status_id":1,"priority_id":2,"assigned_to_id":338,"start_date":"2017-10-17","description":"","custom_fields":[{"id":1,"name":"Subdivision","value":"EC"},{"id":4,"name":"Milepost","value":"23.3368"},{"id":17,"name":"Train ID","value":"237-17"},{"id":16,"name":"Locomotive ID","value":"4016"},{"id":130,"name":"Impact","value":""},{"id":150,"name":"Time of Event (Mountain Time)","value":"23:35:02"},{"id":151,"name":"Denver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44"/>
        <v>start /low /b %USERPROFILE%\Documents\GitHub\eaglep3\Utilities\DownloadLogsFromS3.py --loco 4016 --day 2017-10-17</v>
      </c>
      <c r="AN149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05:35:02"},{"id":29,"name":"Sharepoint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46"/>
        <v>https://d0f6bd738d7f1b3e5a7ca70fe4ff75f0.us-east-1.aws.found.io/app/kibana#/discover/Steve-Slow-Train-Analysis-(2080s-and-2083s)?_g=(refreshInterval:(display:Off,pause:!f,section:0,value:0),time:(from:'2017-10-17T21:48:23-0600',mode:absolute,to:'2017-10-18T00:35:02-0600'))&amp;_a=(columns:!('Message%20ID',Summary),filters:!(),index:'emp_*',interval:auto,query:(query_string:(analyze_wildcard:!t,query:'%22rtdc.l.rtdc.4016%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635</v>
      </c>
      <c r="B150" s="7">
        <v>4015</v>
      </c>
      <c r="C150" s="21" t="s">
        <v>194</v>
      </c>
      <c r="D150" s="21" t="s">
        <v>569</v>
      </c>
      <c r="E150" s="13">
        <v>43025.985358796293</v>
      </c>
      <c r="F150" s="13">
        <v>43025.998368055552</v>
      </c>
      <c r="G150" s="7">
        <v>106</v>
      </c>
      <c r="H150" s="21" t="s">
        <v>355</v>
      </c>
      <c r="I150" s="13">
        <v>43026.024456018517</v>
      </c>
      <c r="J150" s="7">
        <v>0</v>
      </c>
      <c r="K150" s="89" t="str">
        <f>IF(ISEVEN(B150),(B150-1)&amp;"/"&amp;B150,B150&amp;"/"&amp;(B150+1))</f>
        <v>4015/4016</v>
      </c>
      <c r="L150" s="185" t="str">
        <f>VLOOKUP(A150,'Trips&amp;Operators'!$C$1:$G$99911,5,FALSE)</f>
        <v>DUNCAN SHEILA</v>
      </c>
      <c r="M150" s="6">
        <f>I150-F150</f>
        <v>2.6087962964083999E-2</v>
      </c>
      <c r="N150" s="7">
        <f>24*60*SUM($M150:$M150)</f>
        <v>37.566666668280959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-17T22:38:55-0600',mode:absolute,to:'2017-10-18T01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23.305900000000001</v>
      </c>
      <c r="Z150" s="204">
        <f>RIGHT(H150,LEN(H150)-4)/10000</f>
        <v>1.4500000000000001E-2</v>
      </c>
      <c r="AA150" s="204">
        <f>ABS(Z150-Y150)</f>
        <v>23.291399999999999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/stypes="app*4015*20171018*" /stext=" 06:.+((SYSTEM_STATE.+slice.+state.+changed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42"/>
        <v>"%USERPROFILE%\Documents\GitHub\eaglep3\Utilities\RefineRTDCRunTimes.py" --tripid 238-17 --locoid 4015 --swversion DE.1.0.9.0 --startMP 204:233059 --initTime 2017-10-17T23:38:55 --startdatetime 2017-10-17T23:57:39 --delay 106 --endMP 204:145 --enddatetime 2017-10-18T00:35:13 --enforcementcount 0 &gt;&gt;%USERPROFILE%\Documents\GitHub\eaglep3-reporting\EC\2017-10-17-refined-times.txt</v>
      </c>
      <c r="AI150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{"issue":{"subject":"","project_id":79,"tracker_id":40,"status_id":1,"priority_id":2,"assigned_to_id":338,"start_date":"2017-10-18","description":"","custom_fields":[{"id":1,"name":"Subdivision","value":"EC"},{"id":4,"name":"Milepost","value":"0.0145"},{"id":17,"name":"Train ID","value":"238-17"},{"id":16,"name":"Locomotive ID","value":"4015"},{"id":130,"name":"Impact","value":""},{"id":150,"name":"Time of Event (Mountain Time)","value":"00:35:13"},{"id":151,"name":"Denver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44"/>
        <v>start /low /b %USERPROFILE%\Documents\GitHub\eaglep3\Utilities\DownloadLogsFromS3.py --loco 4015 --day 2017-10-17</v>
      </c>
      <c r="AN150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06:35:13"},{"id":29,"name":"Sharepoint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46"/>
        <v>https://d0f6bd738d7f1b3e5a7ca70fe4ff75f0.us-east-1.aws.found.io/app/kibana#/discover/Steve-Slow-Train-Analysis-(2080s-and-2083s)?_g=(refreshInterval:(display:Off,pause:!f,section:0,value:0),time:(from:'2017-10-17T22:38:55-0600',mode:absolute,to:'2017-10-18T01:35:13-0600'))&amp;_a=(columns:!('Message%20ID',Summary),filters:!(),index:'emp_*',interval:auto,query:(query_string:(analyze_wildcard:!t,query:'%22rtdc.l.rtdc.4015%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846</v>
      </c>
      <c r="B151" s="7">
        <v>4052</v>
      </c>
      <c r="C151" s="21" t="s">
        <v>194</v>
      </c>
      <c r="D151" s="21" t="s">
        <v>362</v>
      </c>
      <c r="E151" s="13">
        <v>43025.977835648147</v>
      </c>
      <c r="F151" s="13">
        <v>43025.979560185187</v>
      </c>
      <c r="G151" s="7">
        <v>57</v>
      </c>
      <c r="H151" s="21" t="s">
        <v>521</v>
      </c>
      <c r="I151" s="13">
        <v>43026.00371527778</v>
      </c>
      <c r="J151" s="7">
        <v>0</v>
      </c>
      <c r="K151" s="89" t="str">
        <f>IF(ISEVEN(B151),(B151-1)&amp;"/"&amp;B151,B151&amp;"/"&amp;(B151+1))</f>
        <v>4051/4052</v>
      </c>
      <c r="L151" s="185" t="str">
        <f>VLOOKUP(A151,'Trips&amp;Operators'!$C$1:$G$99911,5,FALSE)</f>
        <v>LOZA FIDEL</v>
      </c>
      <c r="M151" s="6">
        <f>I151-F151</f>
        <v>2.4155092592991423E-2</v>
      </c>
      <c r="N151" s="7">
        <f>24*60*SUM($M151:$M151)</f>
        <v>34.783333333907649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-17T22:28:05-0600',mode:absolute,to:'2017-10-18T01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f>RIGHT(D151,LEN(D151)-4)/10000</f>
        <v>4.5999999999999999E-2</v>
      </c>
      <c r="Z151" s="204">
        <f>RIGHT(H151,LEN(H151)-4)/10000</f>
        <v>23.335100000000001</v>
      </c>
      <c r="AA151" s="204">
        <f>ABS(Z151-Y151)</f>
        <v>23.289100000000001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/stypes="app*4052*20171018*"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42"/>
        <v>"%USERPROFILE%\Documents\GitHub\eaglep3\Utilities\RefineRTDCRunTimes.py" --tripid 239-17 --locoid 4052 --swversion DE.1.0.9.0 --startMP 204:460 --initTime 2017-10-17T23:28:05 --startdatetime 2017-10-17T23:30:34 --delay 57 --endMP 204:233351 --enddatetime 2017-10-18T00:05:21 --enforcementcount 0 &gt;&gt;%USERPROFILE%\Documents\GitHub\eaglep3-reporting\EC\2017-10-17-refined-times.txt</v>
      </c>
      <c r="AI151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{"issue":{"subject":"","project_id":79,"tracker_id":40,"status_id":1,"priority_id":2,"assigned_to_id":338,"start_date":"2017-10-18","description":"","custom_fields":[{"id":1,"name":"Subdivision","value":"EC"},{"id":4,"name":"Milepost","value":"23.3351"},{"id":17,"name":"Train ID","value":"239-17"},{"id":16,"name":"Locomotive ID","value":"4052"},{"id":130,"name":"Impact","value":""},{"id":150,"name":"Time of Event (Mountain Time)","value":"00:05:21"},{"id":151,"name":"Denver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44"/>
        <v>start /low /b %USERPROFILE%\Documents\GitHub\eaglep3\Utilities\DownloadLogsFromS3.py --loco 4052 --day 2017-10-17</v>
      </c>
      <c r="AN151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46"/>
        <v>https://d0f6bd738d7f1b3e5a7ca70fe4ff75f0.us-east-1.aws.found.io/app/kibana#/discover/Steve-Slow-Train-Analysis-(2080s-and-2083s)?_g=(refreshInterval:(display:Off,pause:!f,section:0,value:0),time:(from:'2017-10-17T22:28:05-0600',mode:absolute,to:'2017-10-18T01:05:21-0600'))&amp;_a=(columns:!('Message%20ID',Summary),filters:!(),index:'emp_*',interval:auto,query:(query_string:(analyze_wildcard:!t,query:'%22rtdc.l.rtdc.4052%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849</v>
      </c>
      <c r="B152" s="7">
        <v>4051</v>
      </c>
      <c r="C152" s="21" t="s">
        <v>194</v>
      </c>
      <c r="D152" s="21" t="s">
        <v>898</v>
      </c>
      <c r="E152" s="13">
        <v>43026.016550925924</v>
      </c>
      <c r="F152" s="13">
        <v>43026.018935185188</v>
      </c>
      <c r="G152" s="7">
        <v>79</v>
      </c>
      <c r="H152" s="21" t="s">
        <v>336</v>
      </c>
      <c r="I152" s="13">
        <v>43026.044328703705</v>
      </c>
      <c r="J152" s="7">
        <v>0</v>
      </c>
      <c r="K152" s="89" t="str">
        <f>IF(ISEVEN(B152),(B152-1)&amp;"/"&amp;B152,B152&amp;"/"&amp;(B152+1))</f>
        <v>4051/4052</v>
      </c>
      <c r="L152" s="185" t="str">
        <f>VLOOKUP(A152,'Trips&amp;Operators'!$C$1:$G$99911,5,FALSE)</f>
        <v>LOZA FIDEL</v>
      </c>
      <c r="M152" s="6">
        <f>I152-F152</f>
        <v>2.5393518517375924E-2</v>
      </c>
      <c r="N152" s="7">
        <f>24*60*SUM($M152:$M152)</f>
        <v>36.56666666502133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-17T23:23:50-0600',mode:absolute,to:'2017-10-18T02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23.303799999999999</v>
      </c>
      <c r="Z152" s="204">
        <f>RIGHT(H152,LEN(H152)-4)/10000</f>
        <v>1.49E-2</v>
      </c>
      <c r="AA152" s="204">
        <f>ABS(Z152-Y152)</f>
        <v>23.288899999999998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 &amp; aws s3 cp s3://rtdc.mdm.uploadarchive.raw/RTDC4051/ "%USERPROFILE%\AppData\Local\Temp\OnboardLogs"\RTDC4051\2017-10-19 --exclude "*" --recursive --include "*20171019*" &amp; "%USERPROFILE%\Documents\GitHub\mrs-test-scripts\Headless Mode &amp; Sideloading\WalkAndUnGZ.bat" "%USERPROFILE%\AppData\Local\Temp\OnboardLogs"\RTDC4051\2017-10-19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/stypes="app*4051*20171018*" /stext=" 07:.+((SYSTEM_STATE.+slice.+state.+changed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42"/>
        <v>"%USERPROFILE%\Documents\GitHub\eaglep3\Utilities\RefineRTDCRunTimes.py" --tripid 240-17 --locoid 4051 --swversion DE.1.0.9.0 --startMP 204:233038 --initTime 2017-10-18T00:23:50 --startdatetime 2017-10-18T00:27:16 --delay 79 --endMP 204:149 --enddatetime 2017-10-18T01:03:50 --enforcementcount 0 &gt;&gt;%USERPROFILE%\Documents\GitHub\eaglep3-reporting\EC\2017-10-17-refined-times.txt</v>
      </c>
      <c r="AI152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ID","value":"240-17"},{"id":16,"name":"Locomotive ID","value":"4051"},{"id":130,"name":"Impact","value":""},{"id":150,"name":"Time of Event (Mountain Time)","value":"01:03:50"},{"id":151,"name":"Denver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44"/>
        <v>start /low /b %USERPROFILE%\Documents\GitHub\eaglep3\Utilities\DownloadLogsFromS3.py --loco 4051 --day 2017-10-18</v>
      </c>
      <c r="AN152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07:03:50"},{"id":29,"name":"Sharepoint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46"/>
        <v>https://d0f6bd738d7f1b3e5a7ca70fe4ff75f0.us-east-1.aws.found.io/app/kibana#/discover/Steve-Slow-Train-Analysis-(2080s-and-2083s)?_g=(refreshInterval:(display:Off,pause:!f,section:0,value:0),time:(from:'2017-10-17T23:23:50-0600',mode:absolute,to:'2017-10-18T02:03:50-0600'))&amp;_a=(columns:!('Message%20ID',Summary),filters:!(),index:'emp_*',interval:auto,query:(query_string:(analyze_wildcard:!t,query:'%22rtdc.l.rtdc.4051%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847</v>
      </c>
      <c r="B153" s="7">
        <v>4050</v>
      </c>
      <c r="C153" s="21" t="s">
        <v>194</v>
      </c>
      <c r="D153" s="21" t="s">
        <v>428</v>
      </c>
      <c r="E153" s="13">
        <v>43025.992604166669</v>
      </c>
      <c r="F153" s="13">
        <v>43026.000231481485</v>
      </c>
      <c r="G153" s="7">
        <v>56</v>
      </c>
      <c r="H153" s="21" t="s">
        <v>394</v>
      </c>
      <c r="I153" s="13">
        <v>43026.025370370371</v>
      </c>
      <c r="J153" s="7">
        <v>0</v>
      </c>
      <c r="K153" s="89" t="str">
        <f>IF(ISEVEN(B153),(B153-1)&amp;"/"&amp;B153,B153&amp;"/"&amp;(B153+1))</f>
        <v>4049/4050</v>
      </c>
      <c r="L153" s="185" t="str">
        <f>VLOOKUP(A153,'Trips&amp;Operators'!$C$1:$G$99911,5,FALSE)</f>
        <v>BIRKHOLZ NADINE</v>
      </c>
      <c r="M153" s="6">
        <f>I153-F153</f>
        <v>2.5138888886431232E-2</v>
      </c>
      <c r="N153" s="7">
        <f>24*60*SUM($M153:$M153)</f>
        <v>36.199999996460974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-17T22:49:21-0600',mode:absolute,to:'2017-10-18T01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4.6199999999999998E-2</v>
      </c>
      <c r="Z153" s="204">
        <f>RIGHT(H153,LEN(H153)-4)/10000</f>
        <v>23.330200000000001</v>
      </c>
      <c r="AA153" s="204">
        <f>ABS(Z153-Y153)</f>
        <v>23.284000000000002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 &amp; aws s3 cp s3://rtdc.mdm.uploadarchive.raw/RTDC4050/ "%USERPROFILE%\AppData\Local\Temp\OnboardLogs"\RTDC4050\2017-10-19 --exclude "*" --recursive --include "*20171019*" &amp; "%USERPROFILE%\Documents\GitHub\mrs-test-scripts\Headless Mode &amp; Sideloading\WalkAndUnGZ.bat" "%USERPROFILE%\AppData\Local\Temp\OnboardLogs"\RTDC4050\2017-10-19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/stypes="app*4050*20171018*"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42"/>
        <v>"%USERPROFILE%\Documents\GitHub\eaglep3\Utilities\RefineRTDCRunTimes.py" --tripid 241-17 --locoid 4050 --swversion DE.1.0.9.0 --startMP 204:462 --initTime 2017-10-17T23:49:21 --startdatetime 2017-10-18T00:00:20 --delay 56 --endMP 204:233302 --enddatetime 2017-10-18T00:36:32 --enforcementcount 0 &gt;&gt;%USERPROFILE%\Documents\GitHub\eaglep3-reporting\EC\2017-10-17-refined-times.txt</v>
      </c>
      <c r="AI153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{"issue":{"subject":"","project_id":79,"tracker_id":40,"status_id":1,"priority_id":2,"assigned_to_id":338,"start_date":"2017-10-18","description":"","custom_fields":[{"id":1,"name":"Subdivision","value":"EC"},{"id":4,"name":"Milepost","value":"23.3302"},{"id":17,"name":"Train ID","value":"241-17"},{"id":16,"name":"Locomotive ID","value":"4050"},{"id":130,"name":"Impact","value":""},{"id":150,"name":"Time of Event (Mountain Time)","value":"00:36:32"},{"id":151,"name":"Denver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44"/>
        <v>start /low /b %USERPROFILE%\Documents\GitHub\eaglep3\Utilities\DownloadLogsFromS3.py --loco 4050 --day 2017-10-18</v>
      </c>
      <c r="AN153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06:36:32"},{"id":29,"name":"Sharepoint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46"/>
        <v>https://d0f6bd738d7f1b3e5a7ca70fe4ff75f0.us-east-1.aws.found.io/app/kibana#/discover/Steve-Slow-Train-Analysis-(2080s-and-2083s)?_g=(refreshInterval:(display:Off,pause:!f,section:0,value:0),time:(from:'2017-10-17T22:49:21-0600',mode:absolute,to:'2017-10-18T01:36:32-0600'))&amp;_a=(columns:!('Message%20ID',Summary),filters:!(),index:'emp_*',interval:auto,query:(query_string:(analyze_wildcard:!t,query:'%22rtdc.l.rtdc.4050%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851</v>
      </c>
      <c r="B154" s="7">
        <v>4049</v>
      </c>
      <c r="C154" s="21" t="s">
        <v>194</v>
      </c>
      <c r="D154" s="21" t="s">
        <v>428</v>
      </c>
      <c r="E154" s="13">
        <v>43025.992604166669</v>
      </c>
      <c r="F154" s="13">
        <v>43026.039780092593</v>
      </c>
      <c r="G154" s="7">
        <v>56</v>
      </c>
      <c r="H154" s="21" t="s">
        <v>394</v>
      </c>
      <c r="I154" s="13">
        <v>43026.066377314812</v>
      </c>
      <c r="J154" s="7">
        <v>0</v>
      </c>
      <c r="K154" s="89" t="str">
        <f>IF(ISEVEN(B154),(B154-1)&amp;"/"&amp;B154,B154&amp;"/"&amp;(B154+1))</f>
        <v>4049/4050</v>
      </c>
      <c r="L154" s="185" t="str">
        <f>VLOOKUP(A154,'Trips&amp;Operators'!$C$1:$G$99911,5,FALSE)</f>
        <v>BIRKHOLZ NADINE</v>
      </c>
      <c r="M154" s="6">
        <f>I154-F154</f>
        <v>2.6597222218697425E-2</v>
      </c>
      <c r="N154" s="7">
        <f>24*60*SUM($M154:$M154)</f>
        <v>38.299999994924292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-17T22:49:21-0600',mode:absolute,to:'2017-10-18T02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v>23.303799999999999</v>
      </c>
      <c r="Z154" s="204">
        <v>1.49E-2</v>
      </c>
      <c r="AA154" s="204">
        <f>ABS(Z154-Y154)</f>
        <v>23.288899999999998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 &amp; aws s3 cp s3://rtdc.mdm.uploadarchive.raw/RTDC4049/ "%USERPROFILE%\AppData\Local\Temp\OnboardLogs"\RTDC4049\2017-10-19 --exclude "*" --recursive --include "*20171019*" &amp; "%USERPROFILE%\Documents\GitHub\mrs-test-scripts\Headless Mode &amp; Sideloading\WalkAndUnGZ.bat" "%USERPROFILE%\AppData\Local\Temp\OnboardLogs"\RTDC4049\2017-10-19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/stypes="app*4049*20171018*" /stext=" 07:.+((SYSTEM_STATE.+slice.+state.+changed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ref="AH154" si="47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242-17 --locoid 4049 --swversion DE.1.0.9.0 --startMP 204:462 --initTime 2017-10-17T23:49:21 --startdatetime 2017-10-18T00:57:17 --delay 56 --endMP 204:233302 --enddatetime 2017-10-18T01:35:35 --enforcementcount 0 &gt;&gt;%USERPROFILE%\Documents\GitHub\eaglep3-reporting\EC\2017-10-17-refined-times.txt</v>
      </c>
      <c r="AI154" s="96" t="str">
        <f t="shared" ref="AI154" si="48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{"issue":{"subject":"","project_id":79,"tracker_id":40,"status_id":1,"priority_id":2,"assigned_to_id":338,"start_date":"2017-10-18","description":"","custom_fields":[{"id":1,"name":"Subdivision","value":"EC"},{"id":4,"name":"Milepost","value":"0.0149"},{"id":17,"name":"Train ID","value":"242-17"},{"id":16,"name":"Locomotive ID","value":"4049"},{"id":130,"name":"Impact","value":""},{"id":150,"name":"Time of Event (Mountain Time)","value":"01:35:35"},{"id":151,"name":"Denver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ref="AM154" si="49">"start /low /b "&amp;dls3logs&amp;" --loco "&amp;B154&amp;" --day "&amp;TEXT(F154,"YYYY-MM-DD")</f>
        <v>start /low /b %USERPROFILE%\Documents\GitHub\eaglep3\Utilities\DownloadLogsFromS3.py --loco 4049 --day 2017-10-18</v>
      </c>
      <c r="AN154" s="151" t="str">
        <f t="shared" ref="AN154" si="50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07:35:35"},{"id":29,"name":"Sharepoint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ref="AO154" si="51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-17T22:49:21-0600',mode:absolute,to:'2017-10-18T02:35:35-0600'))&amp;_a=(columns:!('Message%20ID',Summary),filters:!(),index:'emp_*',interval:auto,query:(query_string:(analyze_wildcard:!t,query:'%22rtdc.l.rtdc.4049%22')),sort:!(Time.ISO8601,asc))</v>
      </c>
    </row>
    <row r="155" spans="1:91" s="20" customFormat="1" x14ac:dyDescent="0.3">
      <c r="A155" s="32" t="s">
        <v>848</v>
      </c>
      <c r="B155" s="7">
        <v>4010</v>
      </c>
      <c r="C155" s="21" t="s">
        <v>194</v>
      </c>
      <c r="D155" s="21" t="s">
        <v>378</v>
      </c>
      <c r="E155" s="13">
        <v>43026.007268518515</v>
      </c>
      <c r="F155" s="13">
        <v>43026.021134259259</v>
      </c>
      <c r="G155" s="7">
        <v>45</v>
      </c>
      <c r="H155" s="21" t="s">
        <v>899</v>
      </c>
      <c r="I155" s="13">
        <v>43026.045798611114</v>
      </c>
      <c r="J155" s="7">
        <v>0</v>
      </c>
      <c r="K155" s="89" t="str">
        <f>IF(ISEVEN(B155),(B155-1)&amp;"/"&amp;B155,B155&amp;"/"&amp;(B155+1))</f>
        <v>4009/4010</v>
      </c>
      <c r="L155" s="185" t="str">
        <f>VLOOKUP(A155,'Trips&amp;Operators'!$C$1:$G$99911,5,FALSE)</f>
        <v>ANDERS STEVEN</v>
      </c>
      <c r="M155" s="6">
        <f>I155-F155</f>
        <v>2.4664351854880806E-2</v>
      </c>
      <c r="N155" s="7">
        <f>24*60*SUM($M155:$M155)</f>
        <v>35.516666671028361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-17T23:10:28-0600',mode:absolute,to:'2017-10-18T02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4.5699999999999998E-2</v>
      </c>
      <c r="Z155" s="204">
        <f>RIGHT(H155,LEN(H155)-4)/10000</f>
        <v>23.326799999999999</v>
      </c>
      <c r="AA155" s="204">
        <f>ABS(Z155-Y155)</f>
        <v>23.281099999999999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 &amp; aws s3 cp s3://rtdc.mdm.uploadarchive.raw/RTDC4010/ "%USERPROFILE%\AppData\Local\Temp\OnboardLogs"\RTDC4010\2017-10-19 --exclude "*" --recursive --include "*20171019*" &amp; "%USERPROFILE%\Documents\GitHub\mrs-test-scripts\Headless Mode &amp; Sideloading\WalkAndUnGZ.bat" "%USERPROFILE%\AppData\Local\Temp\OnboardLogs"\RTDC4010\2017-10-19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/stypes="app*4010*20171018*"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42"/>
        <v>"%USERPROFILE%\Documents\GitHub\eaglep3\Utilities\RefineRTDCRunTimes.py" --tripid 243-17 --locoid 4010 --swversion DE.1.0.9.0 --startMP 204:457 --initTime 2017-10-18T00:10:28 --startdatetime 2017-10-18T00:30:26 --delay 45 --endMP 204:233268 --enddatetime 2017-10-18T01:05:57 --enforcementcount 0 &gt;&gt;%USERPROFILE%\Documents\GitHub\eaglep3-reporting\EC\2017-10-17-refined-times.txt</v>
      </c>
      <c r="AI155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{"issue":{"subject":"","project_id":79,"tracker_id":40,"status_id":1,"priority_id":2,"assigned_to_id":338,"start_date":"2017-10-18","description":"","custom_fields":[{"id":1,"name":"Subdivision","value":"EC"},{"id":4,"name":"Milepost","value":"23.3268"},{"id":17,"name":"Train ID","value":"243-17"},{"id":16,"name":"Locomotive ID","value":"4010"},{"id":130,"name":"Impact","value":""},{"id":150,"name":"Time of Event (Mountain Time)","value":"01:05:57"},{"id":151,"name":"Denver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44"/>
        <v>start /low /b %USERPROFILE%\Documents\GitHub\eaglep3\Utilities\DownloadLogsFromS3.py --loco 4010 --day 2017-10-18</v>
      </c>
      <c r="AN155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07:05:57"},{"id":29,"name":"Sharepoint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46"/>
        <v>https://d0f6bd738d7f1b3e5a7ca70fe4ff75f0.us-east-1.aws.found.io/app/kibana#/discover/Steve-Slow-Train-Analysis-(2080s-and-2083s)?_g=(refreshInterval:(display:Off,pause:!f,section:0,value:0),time:(from:'2017-10-17T23:10:28-0600',mode:absolute,to:'2017-10-18T02:05:57-0600'))&amp;_a=(columns:!('Message%20ID',Summary),filters:!(),index:'emp_*',interval:auto,query:(query_string:(analyze_wildcard:!t,query:'%22rtdc.l.rtdc.4010%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636</v>
      </c>
      <c r="B156" s="7">
        <v>4009</v>
      </c>
      <c r="C156" s="21" t="s">
        <v>194</v>
      </c>
      <c r="D156" s="21" t="s">
        <v>415</v>
      </c>
      <c r="E156" s="13">
        <v>43026.054143518515</v>
      </c>
      <c r="F156" s="13">
        <v>43026.069444444445</v>
      </c>
      <c r="G156" s="7">
        <v>53</v>
      </c>
      <c r="H156" s="21" t="s">
        <v>900</v>
      </c>
      <c r="I156" s="13">
        <v>43026.090613425928</v>
      </c>
      <c r="J156" s="7">
        <v>0</v>
      </c>
      <c r="K156" s="89" t="str">
        <f>IF(ISEVEN(B156),(B156-1)&amp;"/"&amp;B156,B156&amp;"/"&amp;(B156+1))</f>
        <v>4009/4010</v>
      </c>
      <c r="L156" s="185" t="str">
        <f>VLOOKUP(A156,'Trips&amp;Operators'!$C$1:$G$99911,5,FALSE)</f>
        <v>ANDERS STEVEN</v>
      </c>
      <c r="M156" s="6">
        <f>I156-F156</f>
        <v>2.1168981482333038E-2</v>
      </c>
      <c r="N156" s="7"/>
      <c r="O156" s="7"/>
      <c r="P156" s="7"/>
      <c r="Q156" s="22"/>
      <c r="R156" s="174"/>
      <c r="S156" s="221"/>
      <c r="T156" s="174" t="str">
        <f>IF(ISEVEN(LEFT(AD156,4)),"Southbound","NorthBound")</f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-18T00:17:58-0600',mode:absolute,to:'2017-10-18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204" t="str">
        <f>IF(AA156&lt;VLOOKUP(AG156,Variables!$AC$3:$AD$8,2,FALSE),"Y","N")</f>
        <v>Y</v>
      </c>
      <c r="X156" s="204">
        <f>VALUE(LEFT(AD156,4))-VALUE(LEFT(AD155,4))</f>
        <v>1</v>
      </c>
      <c r="Y156" s="204">
        <f>RIGHT(D156,LEN(D156)-4)/10000</f>
        <v>23.299099999999999</v>
      </c>
      <c r="Z156" s="204">
        <f>RIGHT(H156,LEN(H156)-4)/10000</f>
        <v>23.192599999999999</v>
      </c>
      <c r="AA156" s="204">
        <f>ABS(Z156-Y156)</f>
        <v>0.10650000000000048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 &amp; aws s3 cp s3://rtdc.mdm.uploadarchive.raw/RTDC4009/ "%USERPROFILE%\AppData\Local\Temp\OnboardLogs"\RTDC4009\2017-10-19 --exclude "*" --recursive --include "*20171019*" &amp; "%USERPROFILE%\Documents\GitHub\mrs-test-scripts\Headless Mode &amp; Sideloading\WalkAndUnGZ.bat" "%USERPROFILE%\AppData\Local\Temp\OnboardLogs"\RTDC4009\2017-10-19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/stypes="app*4009*20171018*" /stext=" 08:.+((SYSTEM_STATE.+slice.+state.+changed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42"/>
        <v>"%USERPROFILE%\Documents\GitHub\eaglep3\Utilities\RefineRTDCRunTimes.py" --tripid 244-17 --locoid 4009 --swversion DE.1.0.9.0 --startMP 204:232991 --initTime 2017-10-18T01:17:58 --startdatetime 2017-10-18T01:40:00 --delay 53 --endMP 204:231926 --enddatetime 2017-10-18T02:10:29 --enforcementcount 0 &gt;&gt;%USERPROFILE%\Documents\GitHub\eaglep3-reporting\EC\2017-10-17-refined-times.txt</v>
      </c>
      <c r="AI156" s="96" t="str">
        <f t="shared" si="43"/>
        <v>echo {"issue":{"subject":"","project_id":79,"tracker_id":40,"status_id":1,"priority_id":2,"assigned_to_id":338,"start_date":"2017-10-18","description":"","custom_fields":[{"id":1,"name":"Subdivision","value":"EC"},{"id":4,"name":"Milepost","value":"23.1926"},{"id":17,"name":"Train ID","value":"244-17"},{"id":16,"name":"Locomotive ID","value":"4009"},{"id":130,"name":"Impact","value":""},{"id":150,"name":"Time of Event (Mountain Time)","value":"02:10:29"},{"id":151,"name":"Denver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44"/>
        <v>start /low /b %USERPROFILE%\Documents\GitHub\eaglep3\Utilities\DownloadLogsFromS3.py --loco 4009 --day 2017-10-18</v>
      </c>
      <c r="AN156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46"/>
        <v>https://d0f6bd738d7f1b3e5a7ca70fe4ff75f0.us-east-1.aws.found.io/app/kibana#/discover/Steve-Slow-Train-Analysis-(2080s-and-2083s)?_g=(refreshInterval:(display:Off,pause:!f,section:0,value:0),time:(from:'2017-10-18T00:17:58-0600',mode:absolute,to:'2017-10-18T03:10:29-0600'))&amp;_a=(columns:!('Message%20ID',Summary),filters:!(),index:'emp_*',interval:auto,query:(query_string:(analyze_wildcard:!t,query:'%22rtdc.l.rtdc.4009%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636</v>
      </c>
      <c r="B157" s="7">
        <v>4009</v>
      </c>
      <c r="C157" s="21" t="s">
        <v>194</v>
      </c>
      <c r="D157" s="21" t="s">
        <v>901</v>
      </c>
      <c r="E157" s="13">
        <v>43026.068344907406</v>
      </c>
      <c r="F157" s="13">
        <v>43026.069444444445</v>
      </c>
      <c r="G157" s="7">
        <v>38</v>
      </c>
      <c r="H157" s="21" t="s">
        <v>902</v>
      </c>
      <c r="I157" s="13">
        <v>43026.090613425928</v>
      </c>
      <c r="J157" s="7">
        <v>0</v>
      </c>
      <c r="K157" s="89" t="str">
        <f>IF(ISEVEN(B157),(B157-1)&amp;"/"&amp;B157,B157&amp;"/"&amp;(B157+1))</f>
        <v>4009/4010</v>
      </c>
      <c r="L157" s="185" t="str">
        <f>VLOOKUP(A157,'Trips&amp;Operators'!$C$1:$G$99911,5,FALSE)</f>
        <v>ANDERS STEVEN</v>
      </c>
      <c r="M157" s="6">
        <f>I157-F157</f>
        <v>2.1168981482333038E-2</v>
      </c>
      <c r="N157" s="7"/>
      <c r="O157" s="7"/>
      <c r="P157" s="7">
        <f>24*60*SUM($M157:$M157)</f>
        <v>30.483333334559575</v>
      </c>
      <c r="Q157" s="22"/>
      <c r="R157" s="174" t="s">
        <v>1003</v>
      </c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-18T00:38:25-0600',mode:absolute,to:'2017-10-18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7" s="204" t="str">
        <f>IF(AA157&lt;VLOOKUP(AG157,Variables!$AC$3:$AD$8,2,FALSE),"Y","N")</f>
        <v>Y</v>
      </c>
      <c r="X157" s="204">
        <f>VALUE(LEFT(AD157,4))-VALUE(LEFT(AD156,4))</f>
        <v>0</v>
      </c>
      <c r="Y157" s="204">
        <f>RIGHT(D157,LEN(D157)-4)/10000</f>
        <v>15.400700000000001</v>
      </c>
      <c r="Z157" s="204">
        <f>RIGHT(H157,LEN(H157)-4)/10000</f>
        <v>2.6100000000000002E-2</v>
      </c>
      <c r="AA157" s="204">
        <f>ABS(Z157-Y157)</f>
        <v>15.374600000000001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 &amp; aws s3 cp s3://rtdc.mdm.uploadarchive.raw/RTDC4009/ "%USERPROFILE%\AppData\Local\Temp\OnboardLogs"\RTDC4009\2017-10-19 --exclude "*" --recursive --include "*20171019*" &amp; "%USERPROFILE%\Documents\GitHub\mrs-test-scripts\Headless Mode &amp; Sideloading\WalkAndUnGZ.bat" "%USERPROFILE%\AppData\Local\Temp\OnboardLogs"\RTDC4009\2017-10-19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/stypes="app*4009*20171018*"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42"/>
        <v>"%USERPROFILE%\Documents\GitHub\eaglep3\Utilities\RefineRTDCRunTimes.py" --tripid 244-17 --locoid 4009 --swversion DE.1.0.9.0 --startMP 204:154007 --initTime 2017-10-18T01:38:25 --startdatetime 2017-10-18T01:40:00 --delay 38 --endMP 204:261 --enddatetime 2017-10-18T02:10:29 --enforcementcount 0 &gt;&gt;%USERPROFILE%\Documents\GitHub\eaglep3-reporting\EC\2017-10-17-refined-times.txt</v>
      </c>
      <c r="AI157" s="96" t="str">
        <f t="shared" si="43"/>
        <v>echo {"issue":{"subject":"Operator selected wrong track","project_id":79,"tracker_id":40,"status_id":1,"priority_id":2,"assigned_to_id":338,"start_date":"2017-10-18","description":"","custom_fields":[{"id":1,"name":"Subdivision","value":"EC"},{"id":4,"name":"Milepost","value":"0.0261"},{"id":17,"name":"Train ID","value":"244-17"},{"id":16,"name":"Locomotive ID","value":"4009"},{"id":130,"name":"Impact","value":""},{"id":150,"name":"Time of Event (Mountain Time)","value":"02:10:29"},{"id":151,"name":"Denver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44"/>
        <v>start /low /b %USERPROFILE%\Documents\GitHub\eaglep3\Utilities\DownloadLogsFromS3.py --loco 4009 --day 2017-10-18</v>
      </c>
      <c r="AN157" s="151" t="str">
        <f t="shared" si="45"/>
        <v>echo {"issue":{"subject":"Operator selected wrong track","project_id":30,"tracker_id":4,"status_id":1,"priority_id":1,"assigned_to_id":10,"start_date":"2017-10-18","description":"","custom_fields":[{"id":30,"name":"Category","value":"Issue"},{"id":3,"name":"Functional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46"/>
        <v>https://d0f6bd738d7f1b3e5a7ca70fe4ff75f0.us-east-1.aws.found.io/app/kibana#/discover/Steve-Slow-Train-Analysis-(2080s-and-2083s)?_g=(refreshInterval:(display:Off,pause:!f,section:0,value:0),time:(from:'2017-10-18T00:38:25-0600',mode:absolute,to:'2017-10-18T03:10:29-0600'))&amp;_a=(columns:!('Message%20ID',Summary),filters:!(),index:'emp_*',interval:auto,query:(query_string:(analyze_wildcard:!t,query:'%22rtdc.l.rtdc.4009%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654</v>
      </c>
      <c r="B158" s="7">
        <v>4059</v>
      </c>
      <c r="C158" s="21" t="s">
        <v>194</v>
      </c>
      <c r="D158" s="21" t="s">
        <v>598</v>
      </c>
      <c r="E158" s="13">
        <v>43025.210034722222</v>
      </c>
      <c r="F158" s="13">
        <v>43025.212083333332</v>
      </c>
      <c r="G158" s="7">
        <v>69</v>
      </c>
      <c r="H158" s="21" t="s">
        <v>934</v>
      </c>
      <c r="I158" s="13">
        <v>43025.225856481484</v>
      </c>
      <c r="J158" s="7">
        <v>0</v>
      </c>
      <c r="K158" s="89" t="str">
        <f>IF(ISEVEN(B158),(B158-1)&amp;"/"&amp;B158,B158&amp;"/"&amp;(B158+1))</f>
        <v>4059/4060</v>
      </c>
      <c r="L158" s="185" t="str">
        <f>VLOOKUP(A158,'Trips&amp;Operators'!$C$1:$G$99911,5,FALSE)</f>
        <v>YANG JAN</v>
      </c>
      <c r="M158" s="6">
        <f>I158-F158</f>
        <v>1.3773148151813075E-2</v>
      </c>
      <c r="N158" s="7">
        <f>24*60*SUM($M158:$M158)</f>
        <v>19.833333338610828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-17T04:02:27-0600',mode:absolute,to:'2017-10-17T06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556</v>
      </c>
      <c r="Y158" s="204">
        <f>RIGHT(D158,LEN(D158)-4)/10000</f>
        <v>5.8632</v>
      </c>
      <c r="Z158" s="204">
        <f>RIGHT(H158,LEN(H158)-4)/10000</f>
        <v>6.9400000000000003E-2</v>
      </c>
      <c r="AA158" s="204">
        <f>ABS(Z158-Y158)</f>
        <v>5.7938000000000001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/stypes="app*4059*20171017*"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42"/>
        <v>"%USERPROFILE%\Documents\GitHub\eaglep3\Utilities\RefineRTDCRunTimes.py" --tripid 800-17 --locoid 4059 --swversion DE.1.0.9.0 --startMP 300:58632 --initTime 2017-10-17T05:02:27 --startdatetime 2017-10-17T05:05:24 --delay 69 --endMP 204:694 --enddatetime 2017-10-17T05:25:14 --enforcementcount 0 &gt;&gt;%USERPROFILE%\Documents\GitHub\eaglep3-reporting\EC\2017-10-17-refined-times.txt</v>
      </c>
      <c r="AI158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{"issue":{"subject":"","project_id":79,"tracker_id":40,"status_id":1,"priority_id":2,"assigned_to_id":338,"start_date":"2017-10-17","description":"","custom_fields":[{"id":1,"name":"Subdivision","value":"NW"},{"id":4,"name":"Milepost","value":"0.0694"},{"id":17,"name":"Train ID","value":"800-17"},{"id":16,"name":"Locomotive ID","value":"4059"},{"id":130,"name":"Impact","value":""},{"id":150,"name":"Time of Event (Mountain Time)","value":"05:25:14"},{"id":151,"name":"Denver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44"/>
        <v>start /low /b %USERPROFILE%\Documents\GitHub\eaglep3\Utilities\DownloadLogsFromS3.py --loco 4059 --day 2017-10-17</v>
      </c>
      <c r="AN158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46"/>
        <v>https://d0f6bd738d7f1b3e5a7ca70fe4ff75f0.us-east-1.aws.found.io/app/kibana#/discover/Steve-Slow-Train-Analysis-(2080s-and-2083s)?_g=(refreshInterval:(display:Off,pause:!f,section:0,value:0),time:(from:'2017-10-17T04:02:27-0600',mode:absolute,to:'2017-10-17T06:25:14-0600'))&amp;_a=(columns:!('Message%20ID',Summary),filters:!(),index:'emp_*',interval:auto,query:(query_string:(analyze_wildcard:!t,query:'%22rtdc.l.rtdc.4059%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659</v>
      </c>
      <c r="B159" s="7">
        <v>4060</v>
      </c>
      <c r="C159" s="21" t="s">
        <v>194</v>
      </c>
      <c r="D159" s="21" t="s">
        <v>935</v>
      </c>
      <c r="E159" s="13">
        <v>43025.230613425927</v>
      </c>
      <c r="F159" s="13">
        <v>43025.235706018517</v>
      </c>
      <c r="G159" s="7">
        <v>55</v>
      </c>
      <c r="H159" s="21" t="s">
        <v>600</v>
      </c>
      <c r="I159" s="13">
        <v>43025.245312500003</v>
      </c>
      <c r="J159" s="7">
        <v>0</v>
      </c>
      <c r="K159" s="89" t="str">
        <f>IF(ISEVEN(B159),(B159-1)&amp;"/"&amp;B159,B159&amp;"/"&amp;(B159+1))</f>
        <v>4059/4060</v>
      </c>
      <c r="L159" s="185" t="str">
        <f>VLOOKUP(A159,'Trips&amp;Operators'!$C$1:$G$99911,5,FALSE)</f>
        <v>YANG JAN</v>
      </c>
      <c r="M159" s="6">
        <f>I159-F159</f>
        <v>9.606481486116536E-3</v>
      </c>
      <c r="N159" s="7">
        <f>24*60*SUM($M159:$M159)</f>
        <v>13.833333340007812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-17T04:32:05-0600',mode:absolute,to:'2017-10-17T06:53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9.8100000000000007E-2</v>
      </c>
      <c r="Z159" s="204">
        <f>RIGHT(H159,LEN(H159)-4)/10000</f>
        <v>5.8952</v>
      </c>
      <c r="AA159" s="204">
        <f>ABS(Z159-Y159)</f>
        <v>5.7971000000000004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/stypes="app*4060*20171017*"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si="42"/>
        <v>"%USERPROFILE%\Documents\GitHub\eaglep3\Utilities\RefineRTDCRunTimes.py" --tripid 801-17 --locoid 4060 --swversion DE.1.0.9.0 --startMP 204:981 --initTime 2017-10-17T05:32:05 --startdatetime 2017-10-17T05:39:25 --delay 55 --endMP 300:58952 --enddatetime 2017-10-17T05:53:15 --enforcementcount 0 &gt;&gt;%USERPROFILE%\Documents\GitHub\eaglep3-reporting\EC\2017-10-17-refined-times.txt</v>
      </c>
      <c r="AI159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{"issue":{"subject":"","project_id":79,"tracker_id":40,"status_id":1,"priority_id":2,"assigned_to_id":338,"start_date":"2017-10-17","description":"","custom_fields":[{"id":1,"name":"Subdivision","value":"NW"},{"id":4,"name":"Milepost","value":"5.8952"},{"id":17,"name":"Train ID","value":"801-17"},{"id":16,"name":"Locomotive ID","value":"4060"},{"id":130,"name":"Impact","value":""},{"id":150,"name":"Time of Event (Mountain Time)","value":"05:53:15"},{"id":151,"name":"Denver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44"/>
        <v>start /low /b %USERPROFILE%\Documents\GitHub\eaglep3\Utilities\DownloadLogsFromS3.py --loco 4060 --day 2017-10-17</v>
      </c>
      <c r="AN159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46"/>
        <v>https://d0f6bd738d7f1b3e5a7ca70fe4ff75f0.us-east-1.aws.found.io/app/kibana#/discover/Steve-Slow-Train-Analysis-(2080s-and-2083s)?_g=(refreshInterval:(display:Off,pause:!f,section:0,value:0),time:(from:'2017-10-17T04:32:05-0600',mode:absolute,to:'2017-10-17T06:53:15-0600'))&amp;_a=(columns:!('Message%20ID',Summary),filters:!(),index:'emp_*',interval:auto,query:(query_string:(analyze_wildcard:!t,query:'%22rtdc.l.rtdc.4060%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667</v>
      </c>
      <c r="B160" s="7">
        <v>4059</v>
      </c>
      <c r="C160" s="21" t="s">
        <v>194</v>
      </c>
      <c r="D160" s="21" t="s">
        <v>594</v>
      </c>
      <c r="E160" s="13">
        <v>43025.247013888889</v>
      </c>
      <c r="F160" s="13">
        <v>43025.259050925924</v>
      </c>
      <c r="G160" s="7">
        <v>56</v>
      </c>
      <c r="H160" s="21" t="s">
        <v>936</v>
      </c>
      <c r="I160" s="13">
        <v>43025.267488425925</v>
      </c>
      <c r="J160" s="7">
        <v>0</v>
      </c>
      <c r="K160" s="89" t="str">
        <f>IF(ISEVEN(B160),(B160-1)&amp;"/"&amp;B160,B160&amp;"/"&amp;(B160+1))</f>
        <v>4059/4060</v>
      </c>
      <c r="L160" s="185" t="str">
        <f>VLOOKUP(A160,'Trips&amp;Operators'!$C$1:$G$99911,5,FALSE)</f>
        <v>YANG JAN</v>
      </c>
      <c r="M160" s="6">
        <f>I160-F160</f>
        <v>8.4375000005820766E-3</v>
      </c>
      <c r="N160" s="7">
        <f>24*60*SUM($M160:$M160)</f>
        <v>12.15000000083819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-17T04:55:42-0600',mode:absolute,to:'2017-10-17T07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1</v>
      </c>
      <c r="Y160" s="204">
        <f>RIGHT(D160,LEN(D160)-4)/10000</f>
        <v>5.8638000000000003</v>
      </c>
      <c r="Z160" s="204">
        <f>RIGHT(H160,LEN(H160)-4)/10000</f>
        <v>6.8500000000000005E-2</v>
      </c>
      <c r="AA160" s="204">
        <f>ABS(Z160-Y160)</f>
        <v>5.7953000000000001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/stypes="app*4059*20171017*"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42"/>
        <v>"%USERPROFILE%\Documents\GitHub\eaglep3\Utilities\RefineRTDCRunTimes.py" --tripid 802-17 --locoid 4059 --swversion DE.1.0.9.0 --startMP 300:58638 --initTime 2017-10-17T05:55:42 --startdatetime 2017-10-17T06:13:02 --delay 56 --endMP 204:685 --enddatetime 2017-10-17T06:25:11 --enforcementcount 0 &gt;&gt;%USERPROFILE%\Documents\GitHub\eaglep3-reporting\EC\2017-10-17-refined-times.txt</v>
      </c>
      <c r="AI160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{"issue":{"subject":"","project_id":79,"tracker_id":40,"status_id":1,"priority_id":2,"assigned_to_id":338,"start_date":"2017-10-17","description":"","custom_fields":[{"id":1,"name":"Subdivision","value":"NW"},{"id":4,"name":"Milepost","value":"0.0685"},{"id":17,"name":"Train ID","value":"802-17"},{"id":16,"name":"Locomotive ID","value":"4059"},{"id":130,"name":"Impact","value":""},{"id":150,"name":"Time of Event (Mountain Time)","value":"06:25:11"},{"id":151,"name":"Denver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44"/>
        <v>start /low /b %USERPROFILE%\Documents\GitHub\eaglep3\Utilities\DownloadLogsFromS3.py --loco 4059 --day 2017-10-17</v>
      </c>
      <c r="AN160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46"/>
        <v>https://d0f6bd738d7f1b3e5a7ca70fe4ff75f0.us-east-1.aws.found.io/app/kibana#/discover/Steve-Slow-Train-Analysis-(2080s-and-2083s)?_g=(refreshInterval:(display:Off,pause:!f,section:0,value:0),time:(from:'2017-10-17T04:55:42-0600',mode:absolute,to:'2017-10-17T07:25:11-0600'))&amp;_a=(columns:!('Message%20ID',Summary),filters:!(),index:'emp_*',interval:auto,query:(query_string:(analyze_wildcard:!t,query:'%22rtdc.l.rtdc.4059%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669</v>
      </c>
      <c r="B161" s="7">
        <v>4032</v>
      </c>
      <c r="C161" s="21" t="s">
        <v>194</v>
      </c>
      <c r="D161" s="21" t="s">
        <v>594</v>
      </c>
      <c r="E161" s="13">
        <v>43025.247013888889</v>
      </c>
      <c r="F161" s="13">
        <v>43025.25640046296</v>
      </c>
      <c r="G161" s="7">
        <v>56</v>
      </c>
      <c r="H161" s="21" t="s">
        <v>936</v>
      </c>
      <c r="I161" s="13">
        <v>43025.2653587963</v>
      </c>
      <c r="J161" s="7">
        <v>0</v>
      </c>
      <c r="K161" s="89" t="str">
        <f>IF(ISEVEN(B161),(B161-1)&amp;"/"&amp;B161,B161&amp;"/"&amp;(B161+1))</f>
        <v>4031/4032</v>
      </c>
      <c r="L161" s="185" t="str">
        <f>VLOOKUP(A161,'Trips&amp;Operators'!$C$1:$G$99911,5,FALSE)</f>
        <v>ROMERO CHAD</v>
      </c>
      <c r="M161" s="6">
        <f>I161-F161</f>
        <v>8.9583333392511122E-3</v>
      </c>
      <c r="N161" s="7">
        <f>24*60*SUM($M161:$M161)</f>
        <v>12.900000008521602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-17T04:55:42-0600',mode:absolute,to:'2017-10-17T07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v>9.8100000000000007E-2</v>
      </c>
      <c r="Z161" s="204">
        <v>5.8952</v>
      </c>
      <c r="AA161" s="204">
        <f>ABS(Z161-Y161)</f>
        <v>5.7971000000000004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/stypes="app*4032*20171017*"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ref="AH161" si="52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803-17 --locoid 4032 --swversion DE.1.0.9.0 --startMP 300:58638 --initTime 2017-10-17T05:55:42 --startdatetime 2017-10-17T06:09:13 --delay 56 --endMP 204:685 --enddatetime 2017-10-17T06:22:07 --enforcementcount 0 &gt;&gt;%USERPROFILE%\Documents\GitHub\eaglep3-reporting\EC\2017-10-17-refined-times.txt</v>
      </c>
      <c r="AI161" s="96" t="str">
        <f t="shared" ref="AI161" si="53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{"issue":{"subject":"","project_id":79,"tracker_id":40,"status_id":1,"priority_id":2,"assigned_to_id":338,"start_date":"2017-10-17","description":"","custom_fields":[{"id":1,"name":"Subdivision","value":"NW"},{"id":4,"name":"Milepost","value":"5.8952"},{"id":17,"name":"Train ID","value":"803-17"},{"id":16,"name":"Locomotive ID","value":"4032"},{"id":130,"name":"Impact","value":""},{"id":150,"name":"Time of Event (Mountain Time)","value":"06:22:07"},{"id":151,"name":"Denver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ref="AM161" si="54">"start /low /b "&amp;dls3logs&amp;" --loco "&amp;B161&amp;" --day "&amp;TEXT(F161,"YYYY-MM-DD")</f>
        <v>start /low /b %USERPROFILE%\Documents\GitHub\eaglep3\Utilities\DownloadLogsFromS3.py --loco 4032 --day 2017-10-17</v>
      </c>
      <c r="AN161" s="151" t="str">
        <f t="shared" ref="AN161" si="55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ref="AO161" si="56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-17T04:55:42-0600',mode:absolute,to:'2017-10-17T07:22:07-0600'))&amp;_a=(columns:!('Message%20ID',Summary),filters:!(),index:'emp_*',interval:auto,query:(query_string:(analyze_wildcard:!t,query:'%22rtdc.l.rtdc.4032%22')),sort:!(Time.ISO8601,asc))</v>
      </c>
    </row>
    <row r="162" spans="1:91" s="20" customFormat="1" x14ac:dyDescent="0.3">
      <c r="A162" s="32" t="s">
        <v>671</v>
      </c>
      <c r="B162" s="7">
        <v>4031</v>
      </c>
      <c r="C162" s="21" t="s">
        <v>194</v>
      </c>
      <c r="D162" s="21" t="s">
        <v>937</v>
      </c>
      <c r="E162" s="13">
        <v>43025.26730324074</v>
      </c>
      <c r="F162" s="13">
        <v>43025.279907407406</v>
      </c>
      <c r="G162" s="7">
        <v>73</v>
      </c>
      <c r="H162" s="21" t="s">
        <v>938</v>
      </c>
      <c r="I162" s="13">
        <v>43025.288182870368</v>
      </c>
      <c r="J162" s="7">
        <v>0</v>
      </c>
      <c r="K162" s="89" t="str">
        <f>IF(ISEVEN(B162),(B162-1)&amp;"/"&amp;B162,B162&amp;"/"&amp;(B162+1))</f>
        <v>4031/4032</v>
      </c>
      <c r="L162" s="185" t="str">
        <f>VLOOKUP(A162,'Trips&amp;Operators'!$C$1:$G$99911,5,FALSE)</f>
        <v>ROMERO CHAD</v>
      </c>
      <c r="M162" s="6">
        <f>I162-F162</f>
        <v>8.2754629620467313E-3</v>
      </c>
      <c r="N162" s="7">
        <f>24*60*SUM($M162:$M162)</f>
        <v>11.916666665347293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-17T05:24:55-0600',mode:absolute,to:'2017-10-17T07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5.8647</v>
      </c>
      <c r="Z162" s="204">
        <f>RIGHT(H162,LEN(H162)-4)/10000</f>
        <v>6.3600000000000004E-2</v>
      </c>
      <c r="AA162" s="204">
        <f>ABS(Z162-Y162)</f>
        <v>5.8010999999999999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/stypes="app*4031*20171017*"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42"/>
        <v>"%USERPROFILE%\Documents\GitHub\eaglep3\Utilities\RefineRTDCRunTimes.py" --tripid 804-17 --locoid 4031 --swversion DE.1.0.9.0 --startMP 300:58647 --initTime 2017-10-17T06:24:55 --startdatetime 2017-10-17T06:43:04 --delay 73 --endMP 204:636 --enddatetime 2017-10-17T06:54:59 --enforcementcount 0 &gt;&gt;%USERPROFILE%\Documents\GitHub\eaglep3-reporting\EC\2017-10-17-refined-times.txt</v>
      </c>
      <c r="AI162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{"issue":{"subject":"","project_id":79,"tracker_id":40,"status_id":1,"priority_id":2,"assigned_to_id":338,"start_date":"2017-10-17","description":"","custom_fields":[{"id":1,"name":"Subdivision","value":"NW"},{"id":4,"name":"Milepost","value":"0.0636"},{"id":17,"name":"Train ID","value":"804-17"},{"id":16,"name":"Locomotive ID","value":"4031"},{"id":130,"name":"Impact","value":""},{"id":150,"name":"Time of Event (Mountain Time)","value":"06:54:59"},{"id":151,"name":"Denver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44"/>
        <v>start /low /b %USERPROFILE%\Documents\GitHub\eaglep3\Utilities\DownloadLogsFromS3.py --loco 4031 --day 2017-10-17</v>
      </c>
      <c r="AN162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46"/>
        <v>https://d0f6bd738d7f1b3e5a7ca70fe4ff75f0.us-east-1.aws.found.io/app/kibana#/discover/Steve-Slow-Train-Analysis-(2080s-and-2083s)?_g=(refreshInterval:(display:Off,pause:!f,section:0,value:0),time:(from:'2017-10-17T05:24:55-0600',mode:absolute,to:'2017-10-17T07:54:59-0600'))&amp;_a=(columns:!('Message%20ID',Summary),filters:!(),index:'emp_*',interval:auto,query:(query_string:(analyze_wildcard:!t,query:'%22rtdc.l.rtdc.4031%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673</v>
      </c>
      <c r="B163" s="7">
        <v>4060</v>
      </c>
      <c r="C163" s="21" t="s">
        <v>194</v>
      </c>
      <c r="D163" s="21" t="s">
        <v>591</v>
      </c>
      <c r="E163" s="13">
        <v>43025.273622685185</v>
      </c>
      <c r="F163" s="13">
        <v>43025.277291666665</v>
      </c>
      <c r="G163" s="7">
        <v>52</v>
      </c>
      <c r="H163" s="21" t="s">
        <v>604</v>
      </c>
      <c r="I163" s="13">
        <v>43025.287395833337</v>
      </c>
      <c r="J163" s="7">
        <v>0</v>
      </c>
      <c r="K163" s="89" t="str">
        <f>IF(ISEVEN(B163),(B163-1)&amp;"/"&amp;B163,B163&amp;"/"&amp;(B163+1))</f>
        <v>4059/4060</v>
      </c>
      <c r="L163" s="185" t="str">
        <f>VLOOKUP(A163,'Trips&amp;Operators'!$C$1:$G$99911,5,FALSE)</f>
        <v>YANG JAN</v>
      </c>
      <c r="M163" s="6">
        <f>I163-F163</f>
        <v>1.0104166671226267E-2</v>
      </c>
      <c r="N163" s="7">
        <f>24*60*SUM($M163:$M163)</f>
        <v>14.550000006565824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-17T05:34:01-0600',mode:absolute,to:'2017-10-17T07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9.69E-2</v>
      </c>
      <c r="Z163" s="204">
        <f>RIGHT(H163,LEN(H163)-4)/10000</f>
        <v>5.8944000000000001</v>
      </c>
      <c r="AA163" s="204">
        <f>ABS(Z163-Y163)</f>
        <v>5.7975000000000003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/stypes="app*4060*20171017*"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42"/>
        <v>"%USERPROFILE%\Documents\GitHub\eaglep3\Utilities\RefineRTDCRunTimes.py" --tripid 805-17 --locoid 4060 --swversion DE.1.0.9.0 --startMP 204:969 --initTime 2017-10-17T06:34:01 --startdatetime 2017-10-17T06:39:18 --delay 52 --endMP 300:58944 --enddatetime 2017-10-17T06:53:51 --enforcementcount 0 &gt;&gt;%USERPROFILE%\Documents\GitHub\eaglep3-reporting\EC\2017-10-17-refined-times.txt</v>
      </c>
      <c r="AI163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{"issue":{"subject":"","project_id":79,"tracker_id":40,"status_id":1,"priority_id":2,"assigned_to_id":338,"start_date":"2017-10-17","description":"","custom_fields":[{"id":1,"name":"Subdivision","value":"NW"},{"id":4,"name":"Milepost","value":"5.8944"},{"id":17,"name":"Train ID","value":"805-17"},{"id":16,"name":"Locomotive ID","value":"4060"},{"id":130,"name":"Impact","value":""},{"id":150,"name":"Time of Event (Mountain Time)","value":"06:53:51"},{"id":151,"name":"Denver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44"/>
        <v>start /low /b %USERPROFILE%\Documents\GitHub\eaglep3\Utilities\DownloadLogsFromS3.py --loco 4060 --day 2017-10-17</v>
      </c>
      <c r="AN163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12:53:51"},{"id":29,"name":"Sharepoint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46"/>
        <v>https://d0f6bd738d7f1b3e5a7ca70fe4ff75f0.us-east-1.aws.found.io/app/kibana#/discover/Steve-Slow-Train-Analysis-(2080s-and-2083s)?_g=(refreshInterval:(display:Off,pause:!f,section:0,value:0),time:(from:'2017-10-17T05:34:01-0600',mode:absolute,to:'2017-10-17T07:53:51-0600'))&amp;_a=(columns:!('Message%20ID',Summary),filters:!(),index:'emp_*',interval:auto,query:(query_string:(analyze_wildcard:!t,query:'%22rtdc.l.rtdc.4060%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678</v>
      </c>
      <c r="B164" s="7">
        <v>4059</v>
      </c>
      <c r="C164" s="21" t="s">
        <v>194</v>
      </c>
      <c r="D164" s="21" t="s">
        <v>939</v>
      </c>
      <c r="E164" s="13">
        <v>43025.288819444446</v>
      </c>
      <c r="F164" s="13">
        <v>43025.300740740742</v>
      </c>
      <c r="G164" s="7">
        <v>61</v>
      </c>
      <c r="H164" s="21" t="s">
        <v>940</v>
      </c>
      <c r="I164" s="13">
        <v>43025.308969907404</v>
      </c>
      <c r="J164" s="7">
        <v>0</v>
      </c>
      <c r="K164" s="89" t="str">
        <f>IF(ISEVEN(B164),(B164-1)&amp;"/"&amp;B164,B164&amp;"/"&amp;(B164+1))</f>
        <v>4059/4060</v>
      </c>
      <c r="L164" s="185" t="str">
        <f>VLOOKUP(A164,'Trips&amp;Operators'!$C$1:$G$99911,5,FALSE)</f>
        <v>YANG JAN</v>
      </c>
      <c r="M164" s="6">
        <f>I164-F164</f>
        <v>8.2291666622040793E-3</v>
      </c>
      <c r="N164" s="7">
        <f>24*60*SUM($M164:$M164)</f>
        <v>11.849999993573874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-17T05:55:54-0600',mode:absolute,to:'2017-10-17T08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5.8620999999999999</v>
      </c>
      <c r="Z164" s="204">
        <f>RIGHT(H164,LEN(H164)-4)/10000</f>
        <v>6.8199999999999997E-2</v>
      </c>
      <c r="AA164" s="204">
        <f>ABS(Z164-Y164)</f>
        <v>5.7938999999999998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/stypes="app*4059*20171017*"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42"/>
        <v>"%USERPROFILE%\Documents\GitHub\eaglep3\Utilities\RefineRTDCRunTimes.py" --tripid 806-17 --locoid 4059 --swversion DE.1.0.9.0 --startMP 300:58621 --initTime 2017-10-17T06:55:54 --startdatetime 2017-10-17T07:13:04 --delay 61 --endMP 204:682 --enddatetime 2017-10-17T07:24:55 --enforcementcount 0 &gt;&gt;%USERPROFILE%\Documents\GitHub\eaglep3-reporting\EC\2017-10-17-refined-times.txt</v>
      </c>
      <c r="AI164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{"issue":{"subject":"","project_id":79,"tracker_id":40,"status_id":1,"priority_id":2,"assigned_to_id":338,"start_date":"2017-10-17","description":"","custom_fields":[{"id":1,"name":"Subdivision","value":"NW"},{"id":4,"name":"Milepost","value":"0.0682"},{"id":17,"name":"Train ID","value":"806-17"},{"id":16,"name":"Locomotive ID","value":"4059"},{"id":130,"name":"Impact","value":""},{"id":150,"name":"Time of Event (Mountain Time)","value":"07:24:55"},{"id":151,"name":"Denver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44"/>
        <v>start /low /b %USERPROFILE%\Documents\GitHub\eaglep3\Utilities\DownloadLogsFromS3.py --loco 4059 --day 2017-10-17</v>
      </c>
      <c r="AN164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46"/>
        <v>https://d0f6bd738d7f1b3e5a7ca70fe4ff75f0.us-east-1.aws.found.io/app/kibana#/discover/Steve-Slow-Train-Analysis-(2080s-and-2083s)?_g=(refreshInterval:(display:Off,pause:!f,section:0,value:0),time:(from:'2017-10-17T05:55:54-0600',mode:absolute,to:'2017-10-17T08:24:55-0600'))&amp;_a=(columns:!('Message%20ID',Summary),filters:!(),index:'emp_*',interval:auto,query:(query_string:(analyze_wildcard:!t,query:'%22rtdc.l.rtdc.4059%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679</v>
      </c>
      <c r="B165" s="7">
        <v>4032</v>
      </c>
      <c r="C165" s="21" t="s">
        <v>194</v>
      </c>
      <c r="D165" s="21" t="s">
        <v>941</v>
      </c>
      <c r="E165" s="13">
        <v>43025.289456018516</v>
      </c>
      <c r="F165" s="13">
        <v>43025.298078703701</v>
      </c>
      <c r="G165" s="7">
        <v>193</v>
      </c>
      <c r="H165" s="21" t="s">
        <v>942</v>
      </c>
      <c r="I165" s="13">
        <v>43025.307615740741</v>
      </c>
      <c r="J165" s="7">
        <v>0</v>
      </c>
      <c r="K165" s="89" t="str">
        <f>IF(ISEVEN(B165),(B165-1)&amp;"/"&amp;B165,B165&amp;"/"&amp;(B165+1))</f>
        <v>4031/4032</v>
      </c>
      <c r="L165" s="185" t="str">
        <f>VLOOKUP(A165,'Trips&amp;Operators'!$C$1:$G$99911,5,FALSE)</f>
        <v>ROMERO CHAD</v>
      </c>
      <c r="M165" s="6">
        <f>I165-F165</f>
        <v>9.5370370399905369E-3</v>
      </c>
      <c r="N165" s="7">
        <f>24*60*SUM($M165:$M165)</f>
        <v>13.733333337586373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-17T05:56:49-0600',mode:absolute,to:'2017-10-17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9.3700000000000006E-2</v>
      </c>
      <c r="Z165" s="204">
        <f>RIGHT(H165,LEN(H165)-4)/10000</f>
        <v>5.899</v>
      </c>
      <c r="AA165" s="204">
        <f>ABS(Z165-Y165)</f>
        <v>5.8052999999999999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/stypes="app*4032*20171017*"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42"/>
        <v>"%USERPROFILE%\Documents\GitHub\eaglep3\Utilities\RefineRTDCRunTimes.py" --tripid 807-17 --locoid 4032 --swversion DE.1.0.9.0 --startMP 204:937 --initTime 2017-10-17T06:56:49 --startdatetime 2017-10-17T07:09:14 --delay 193 --endMP 300:58990 --enddatetime 2017-10-17T07:22:58 --enforcementcount 0 &gt;&gt;%USERPROFILE%\Documents\GitHub\eaglep3-reporting\EC\2017-10-17-refined-times.txt</v>
      </c>
      <c r="AI165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{"issue":{"subject":"","project_id":79,"tracker_id":40,"status_id":1,"priority_id":2,"assigned_to_id":338,"start_date":"2017-10-17","description":"","custom_fields":[{"id":1,"name":"Subdivision","value":"NW"},{"id":4,"name":"Milepost","value":"5.899"},{"id":17,"name":"Train ID","value":"807-17"},{"id":16,"name":"Locomotive ID","value":"4032"},{"id":130,"name":"Impact","value":""},{"id":150,"name":"Time of Event (Mountain Time)","value":"07:22:58"},{"id":151,"name":"Denver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44"/>
        <v>start /low /b %USERPROFILE%\Documents\GitHub\eaglep3\Utilities\DownloadLogsFromS3.py --loco 4032 --day 2017-10-17</v>
      </c>
      <c r="AN165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46"/>
        <v>https://d0f6bd738d7f1b3e5a7ca70fe4ff75f0.us-east-1.aws.found.io/app/kibana#/discover/Steve-Slow-Train-Analysis-(2080s-and-2083s)?_g=(refreshInterval:(display:Off,pause:!f,section:0,value:0),time:(from:'2017-10-17T05:56:49-0600',mode:absolute,to:'2017-10-17T08:22:58-0600'))&amp;_a=(columns:!('Message%20ID',Summary),filters:!(),index:'emp_*',interval:auto,query:(query_string:(analyze_wildcard:!t,query:'%22rtdc.l.rtdc.4032%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682</v>
      </c>
      <c r="B166" s="7">
        <v>4031</v>
      </c>
      <c r="C166" s="21" t="s">
        <v>194</v>
      </c>
      <c r="D166" s="21" t="s">
        <v>943</v>
      </c>
      <c r="E166" s="13">
        <v>43025.308611111112</v>
      </c>
      <c r="F166" s="13">
        <v>43025.321666666663</v>
      </c>
      <c r="G166" s="7">
        <v>67</v>
      </c>
      <c r="H166" s="21" t="s">
        <v>938</v>
      </c>
      <c r="I166" s="13">
        <v>43025.329768518517</v>
      </c>
      <c r="J166" s="7">
        <v>0</v>
      </c>
      <c r="K166" s="89" t="str">
        <f>IF(ISEVEN(B166),(B166-1)&amp;"/"&amp;B166,B166&amp;"/"&amp;(B166+1))</f>
        <v>4031/4032</v>
      </c>
      <c r="L166" s="185" t="str">
        <f>VLOOKUP(A166,'Trips&amp;Operators'!$C$1:$G$99911,5,FALSE)</f>
        <v>ROMERO CHAD</v>
      </c>
      <c r="M166" s="6">
        <f>I166-F166</f>
        <v>8.1018518540076911E-3</v>
      </c>
      <c r="N166" s="7">
        <f>24*60*SUM($M166:$M166)</f>
        <v>11.666666669771075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-17T06:24:24-0600',mode:absolute,to:'2017-10-17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5.8677000000000001</v>
      </c>
      <c r="Z166" s="204">
        <f>RIGHT(H166,LEN(H166)-4)/10000</f>
        <v>6.3600000000000004E-2</v>
      </c>
      <c r="AA166" s="204">
        <f>ABS(Z166-Y166)</f>
        <v>5.8041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/stypes="app*4031*20171017*"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42"/>
        <v>"%USERPROFILE%\Documents\GitHub\eaglep3\Utilities\RefineRTDCRunTimes.py" --tripid 808-17 --locoid 4031 --swversion DE.1.0.9.0 --startMP 300:58677 --initTime 2017-10-17T07:24:24 --startdatetime 2017-10-17T07:43:12 --delay 67 --endMP 204:636 --enddatetime 2017-10-17T07:54:52 --enforcementcount 0 &gt;&gt;%USERPROFILE%\Documents\GitHub\eaglep3-reporting\EC\2017-10-17-refined-times.txt</v>
      </c>
      <c r="AI166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{"issue":{"subject":"","project_id":79,"tracker_id":40,"status_id":1,"priority_id":2,"assigned_to_id":338,"start_date":"2017-10-17","description":"","custom_fields":[{"id":1,"name":"Subdivision","value":"NW"},{"id":4,"name":"Milepost","value":"0.0636"},{"id":17,"name":"Train ID","value":"808-17"},{"id":16,"name":"Locomotive ID","value":"4031"},{"id":130,"name":"Impact","value":""},{"id":150,"name":"Time of Event (Mountain Time)","value":"07:54:52"},{"id":151,"name":"Denver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44"/>
        <v>start /low /b %USERPROFILE%\Documents\GitHub\eaglep3\Utilities\DownloadLogsFromS3.py --loco 4031 --day 2017-10-17</v>
      </c>
      <c r="AN166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46"/>
        <v>https://d0f6bd738d7f1b3e5a7ca70fe4ff75f0.us-east-1.aws.found.io/app/kibana#/discover/Steve-Slow-Train-Analysis-(2080s-and-2083s)?_g=(refreshInterval:(display:Off,pause:!f,section:0,value:0),time:(from:'2017-10-17T06:24:24-0600',mode:absolute,to:'2017-10-17T08:54:52-0600'))&amp;_a=(columns:!('Message%20ID',Summary),filters:!(),index:'emp_*',interval:auto,query:(query_string:(analyze_wildcard:!t,query:'%22rtdc.l.rtdc.4031%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683</v>
      </c>
      <c r="B167" s="7">
        <v>4060</v>
      </c>
      <c r="C167" s="21" t="s">
        <v>194</v>
      </c>
      <c r="D167" s="21" t="s">
        <v>595</v>
      </c>
      <c r="E167" s="13">
        <v>43025.313125000001</v>
      </c>
      <c r="F167" s="13">
        <v>43025.319108796299</v>
      </c>
      <c r="G167" s="7">
        <v>62</v>
      </c>
      <c r="H167" s="21" t="s">
        <v>586</v>
      </c>
      <c r="I167" s="13">
        <v>43025.328738425924</v>
      </c>
      <c r="J167" s="7">
        <v>0</v>
      </c>
      <c r="K167" s="89" t="str">
        <f>IF(ISEVEN(B167),(B167-1)&amp;"/"&amp;B167,B167&amp;"/"&amp;(B167+1))</f>
        <v>4059/4060</v>
      </c>
      <c r="L167" s="185" t="str">
        <f>VLOOKUP(A167,'Trips&amp;Operators'!$C$1:$G$99911,5,FALSE)</f>
        <v>YANG JAN</v>
      </c>
      <c r="M167" s="6">
        <f>I167-F167</f>
        <v>9.6296296251239255E-3</v>
      </c>
      <c r="N167" s="7">
        <f>24*60*SUM($M167:$M167)</f>
        <v>13.866666660178453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-17T06:30:54-0600',mode:absolute,to:'2017-10-17T08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9.64E-2</v>
      </c>
      <c r="Z167" s="204">
        <f>RIGHT(H167,LEN(H167)-4)/10000</f>
        <v>5.8925999999999998</v>
      </c>
      <c r="AA167" s="204">
        <f>ABS(Z167-Y167)</f>
        <v>5.7961999999999998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/stypes="app*4060*20171017*"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42"/>
        <v>"%USERPROFILE%\Documents\GitHub\eaglep3\Utilities\RefineRTDCRunTimes.py" --tripid 809-17 --locoid 4060 --swversion DE.1.0.9.0 --startMP 204:964 --initTime 2017-10-17T07:30:54 --startdatetime 2017-10-17T07:39:31 --delay 62 --endMP 300:58926 --enddatetime 2017-10-17T07:53:23 --enforcementcount 0 &gt;&gt;%USERPROFILE%\Documents\GitHub\eaglep3-reporting\EC\2017-10-17-refined-times.txt</v>
      </c>
      <c r="AI167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{"issue":{"subject":"","project_id":79,"tracker_id":40,"status_id":1,"priority_id":2,"assigned_to_id":338,"start_date":"2017-10-17","description":"","custom_fields":[{"id":1,"name":"Subdivision","value":"NW"},{"id":4,"name":"Milepost","value":"5.8926"},{"id":17,"name":"Train ID","value":"809-17"},{"id":16,"name":"Locomotive ID","value":"4060"},{"id":130,"name":"Impact","value":""},{"id":150,"name":"Time of Event (Mountain Time)","value":"07:53:23"},{"id":151,"name":"Denver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44"/>
        <v>start /low /b %USERPROFILE%\Documents\GitHub\eaglep3\Utilities\DownloadLogsFromS3.py --loco 4060 --day 2017-10-17</v>
      </c>
      <c r="AN167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13:53:23"},{"id":29,"name":"Sharepoint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46"/>
        <v>https://d0f6bd738d7f1b3e5a7ca70fe4ff75f0.us-east-1.aws.found.io/app/kibana#/discover/Steve-Slow-Train-Analysis-(2080s-and-2083s)?_g=(refreshInterval:(display:Off,pause:!f,section:0,value:0),time:(from:'2017-10-17T06:30:54-0600',mode:absolute,to:'2017-10-17T08:53:23-0600'))&amp;_a=(columns:!('Message%20ID',Summary),filters:!(),index:'emp_*',interval:auto,query:(query_string:(analyze_wildcard:!t,query:'%22rtdc.l.rtdc.4060%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686</v>
      </c>
      <c r="B168" s="7">
        <v>4059</v>
      </c>
      <c r="C168" s="21" t="s">
        <v>194</v>
      </c>
      <c r="D168" s="21" t="s">
        <v>590</v>
      </c>
      <c r="E168" s="13">
        <v>43025.33048611111</v>
      </c>
      <c r="F168" s="13">
        <v>43025.342430555553</v>
      </c>
      <c r="G168" s="7">
        <v>65</v>
      </c>
      <c r="H168" s="21" t="s">
        <v>944</v>
      </c>
      <c r="I168" s="13">
        <v>43025.350659722222</v>
      </c>
      <c r="J168" s="7">
        <v>0</v>
      </c>
      <c r="K168" s="89" t="str">
        <f>IF(ISEVEN(B168),(B168-1)&amp;"/"&amp;B168,B168&amp;"/"&amp;(B168+1))</f>
        <v>4059/4060</v>
      </c>
      <c r="L168" s="185" t="str">
        <f>VLOOKUP(A168,'Trips&amp;Operators'!$C$1:$G$99911,5,FALSE)</f>
        <v>YANG JAN</v>
      </c>
      <c r="M168" s="6">
        <f>I168-F168</f>
        <v>8.2291666694800369E-3</v>
      </c>
      <c r="N168" s="7">
        <f>24*60*SUM($M168:$M168)</f>
        <v>11.850000004051253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-17T06:55:54-0600',mode:absolute,to:'2017-10-17T09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5.8609</v>
      </c>
      <c r="Z168" s="204">
        <f>RIGHT(H168,LEN(H168)-4)/10000</f>
        <v>6.8400000000000002E-2</v>
      </c>
      <c r="AA168" s="204">
        <f>ABS(Z168-Y168)</f>
        <v>5.7925000000000004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/stypes="app*4059*20171017*"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42"/>
        <v>"%USERPROFILE%\Documents\GitHub\eaglep3\Utilities\RefineRTDCRunTimes.py" --tripid 810-17 --locoid 4059 --swversion DE.1.0.9.0 --startMP 300:58609 --initTime 2017-10-17T07:55:54 --startdatetime 2017-10-17T08:13:06 --delay 65 --endMP 204:684 --enddatetime 2017-10-17T08:24:57 --enforcementcount 0 &gt;&gt;%USERPROFILE%\Documents\GitHub\eaglep3-reporting\EC\2017-10-17-refined-times.txt</v>
      </c>
      <c r="AI168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{"issue":{"subject":"","project_id":79,"tracker_id":40,"status_id":1,"priority_id":2,"assigned_to_id":338,"start_date":"2017-10-17","description":"","custom_fields":[{"id":1,"name":"Subdivision","value":"NW"},{"id":4,"name":"Milepost","value":"0.0684"},{"id":17,"name":"Train ID","value":"810-17"},{"id":16,"name":"Locomotive ID","value":"4059"},{"id":130,"name":"Impact","value":""},{"id":150,"name":"Time of Event (Mountain Time)","value":"08:24:57"},{"id":151,"name":"Denver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44"/>
        <v>start /low /b %USERPROFILE%\Documents\GitHub\eaglep3\Utilities\DownloadLogsFromS3.py --loco 4059 --day 2017-10-17</v>
      </c>
      <c r="AN168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46"/>
        <v>https://d0f6bd738d7f1b3e5a7ca70fe4ff75f0.us-east-1.aws.found.io/app/kibana#/discover/Steve-Slow-Train-Analysis-(2080s-and-2083s)?_g=(refreshInterval:(display:Off,pause:!f,section:0,value:0),time:(from:'2017-10-17T06:55:54-0600',mode:absolute,to:'2017-10-17T09:24:57-0600'))&amp;_a=(columns:!('Message%20ID',Summary),filters:!(),index:'emp_*',interval:auto,query:(query_string:(analyze_wildcard:!t,query:'%22rtdc.l.rtdc.4059%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688</v>
      </c>
      <c r="B169" s="7">
        <v>4032</v>
      </c>
      <c r="C169" s="21" t="s">
        <v>194</v>
      </c>
      <c r="D169" s="21" t="s">
        <v>945</v>
      </c>
      <c r="E169" s="13">
        <v>43025.33152777778</v>
      </c>
      <c r="F169" s="13">
        <v>43025.34065972222</v>
      </c>
      <c r="G169" s="7">
        <v>77</v>
      </c>
      <c r="H169" s="21" t="s">
        <v>942</v>
      </c>
      <c r="I169" s="13">
        <v>43025.350972222222</v>
      </c>
      <c r="J169" s="7">
        <v>0</v>
      </c>
      <c r="K169" s="89" t="str">
        <f>IF(ISEVEN(B169),(B169-1)&amp;"/"&amp;B169,B169&amp;"/"&amp;(B169+1))</f>
        <v>4031/4032</v>
      </c>
      <c r="L169" s="185" t="str">
        <f>VLOOKUP(A169,'Trips&amp;Operators'!$C$1:$G$99911,5,FALSE)</f>
        <v>ROMERO CHAD</v>
      </c>
      <c r="M169" s="6">
        <f>I169-F169</f>
        <v>1.0312500002328306E-2</v>
      </c>
      <c r="N169" s="7"/>
      <c r="O169" s="7"/>
      <c r="P169" s="7"/>
      <c r="Q169" s="22"/>
      <c r="R169" s="174"/>
      <c r="S169" s="221"/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-17T06:57:24-0600',mode:absolute,to:'2017-10-17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204" t="str">
        <f>IF(AA169&lt;VLOOKUP(AG169,Variables!$AC$3:$AD$8,2,FALSE),"Y","N")</f>
        <v>Y</v>
      </c>
      <c r="X169" s="204">
        <f>VALUE(LEFT(AD169,4))-VALUE(LEFT(AD168,4))</f>
        <v>1</v>
      </c>
      <c r="Y169" s="204">
        <f>RIGHT(D169,LEN(D169)-4)/10000</f>
        <v>0.30349999999999999</v>
      </c>
      <c r="Z169" s="204">
        <f>RIGHT(H169,LEN(H169)-4)/10000</f>
        <v>5.899</v>
      </c>
      <c r="AA169" s="204">
        <f>ABS(Z169-Y169)</f>
        <v>5.5955000000000004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/stypes="app*4032*20171017*"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42"/>
        <v>"%USERPROFILE%\Documents\GitHub\eaglep3\Utilities\RefineRTDCRunTimes.py" --tripid 811-17 --locoid 4032 --swversion DE.1.0.9.0 --startMP 204:3035 --initTime 2017-10-17T07:57:24 --startdatetime 2017-10-17T08:10:33 --delay 77 --endMP 300:58990 --enddatetime 2017-10-17T08:25:24 --enforcementcount 0 &gt;&gt;%USERPROFILE%\Documents\GitHub\eaglep3-reporting\EC\2017-10-17-refined-times.txt</v>
      </c>
      <c r="AI169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{"issue":{"subject":"","project_id":79,"tracker_id":40,"status_id":1,"priority_id":2,"assigned_to_id":338,"start_date":"2017-10-17","description":"","custom_fields":[{"id":1,"name":"Subdivision","value":"NW"},{"id":4,"name":"Milepost","value":"5.899"},{"id":17,"name":"Train ID","value":"811-17"},{"id":16,"name":"Locomotive ID","value":"4032"},{"id":130,"name":"Impact","value":""},{"id":150,"name":"Time of Event (Mountain Time)","value":"08:25:24"},{"id":151,"name":"Denver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44"/>
        <v>start /low /b %USERPROFILE%\Documents\GitHub\eaglep3\Utilities\DownloadLogsFromS3.py --loco 4032 --day 2017-10-17</v>
      </c>
      <c r="AN169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46"/>
        <v>https://d0f6bd738d7f1b3e5a7ca70fe4ff75f0.us-east-1.aws.found.io/app/kibana#/discover/Steve-Slow-Train-Analysis-(2080s-and-2083s)?_g=(refreshInterval:(display:Off,pause:!f,section:0,value:0),time:(from:'2017-10-17T06:57:24-0600',mode:absolute,to:'2017-10-17T09:25:24-0600'))&amp;_a=(columns:!('Message%20ID',Summary),filters:!(),index:'emp_*',interval:auto,query:(query_string:(analyze_wildcard:!t,query:'%22rtdc.l.rtdc.4032%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688</v>
      </c>
      <c r="B170" s="7">
        <v>4032</v>
      </c>
      <c r="C170" s="21" t="s">
        <v>194</v>
      </c>
      <c r="D170" s="21" t="s">
        <v>945</v>
      </c>
      <c r="E170" s="13">
        <v>43025.332673611112</v>
      </c>
      <c r="F170" s="13">
        <v>43025.34065972222</v>
      </c>
      <c r="G170" s="7">
        <v>55</v>
      </c>
      <c r="H170" s="21" t="s">
        <v>942</v>
      </c>
      <c r="I170" s="13">
        <v>43025.350972222222</v>
      </c>
      <c r="J170" s="7">
        <v>0</v>
      </c>
      <c r="K170" s="89" t="str">
        <f>IF(ISEVEN(B170),(B170-1)&amp;"/"&amp;B170,B170&amp;"/"&amp;(B170+1))</f>
        <v>4031/4032</v>
      </c>
      <c r="L170" s="185" t="str">
        <f>VLOOKUP(A170,'Trips&amp;Operators'!$C$1:$G$99911,5,FALSE)</f>
        <v>ROMERO CHAD</v>
      </c>
      <c r="M170" s="6">
        <f>I170-F170</f>
        <v>1.0312500002328306E-2</v>
      </c>
      <c r="N170" s="7">
        <f>24*60*SUM($M170:$M170)</f>
        <v>14.850000003352761</v>
      </c>
      <c r="O170" s="7"/>
      <c r="P170" s="7"/>
      <c r="Q170" s="22"/>
      <c r="R170" s="174" t="s">
        <v>606</v>
      </c>
      <c r="S170" s="221">
        <f>1/IF(AG170="EC",12,1)*SUM(U170:U170)</f>
        <v>1</v>
      </c>
      <c r="T170" s="174" t="str">
        <f>IF(ISEVEN(LEFT(AD170,4)),"Southbound","NorthBound")</f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-17T06:59:03-0600',mode:absolute,to:'2017-10-17T09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204" t="str">
        <f>IF(AA170&lt;VLOOKUP(AG170,Variables!$AC$3:$AD$8,2,FALSE),"Y","N")</f>
        <v>Y</v>
      </c>
      <c r="X170" s="204">
        <f>VALUE(LEFT(AD170,4))-VALUE(LEFT(AD169,4))</f>
        <v>0</v>
      </c>
      <c r="Y170" s="204">
        <f>RIGHT(D170,LEN(D170)-4)/10000</f>
        <v>0.30349999999999999</v>
      </c>
      <c r="Z170" s="204">
        <f>RIGHT(H170,LEN(H170)-4)/10000</f>
        <v>5.899</v>
      </c>
      <c r="AA170" s="204">
        <f>ABS(Z170-Y170)</f>
        <v>5.5955000000000004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811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/stypes="app*4032*20171017*"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42"/>
        <v>"%USERPROFILE%\Documents\GitHub\eaglep3\Utilities\RefineRTDCRunTimes.py" --tripid 811-17 --locoid 4032 --swversion DE.1.0.9.0 --startMP 204:3035 --initTime 2017-10-17T07:59:03 --startdatetime 2017-10-17T08:10:33 --delay 55 --endMP 300:58990 --enddatetime 2017-10-17T08:25:24 --enforcementcount 0 &gt;&gt;%USERPROFILE%\Documents\GitHub\eaglep3-reporting\EC\2017-10-17-refined-times.txt</v>
      </c>
      <c r="AI170" s="96" t="str">
        <f t="shared" si="43"/>
        <v>echo {"issue":{"subject":"Poor GPS at DUS","project_id":79,"tracker_id":40,"status_id":1,"priority_id":2,"assigned_to_id":338,"start_date":"2017-10-17","description":"","custom_fields":[{"id":1,"name":"Subdivision","value":"NW"},{"id":4,"name":"Milepost","value":"5.899"},{"id":17,"name":"Train ID","value":"811-17"},{"id":16,"name":"Locomotive ID","value":"4032"},{"id":130,"name":"Impact","value":""},{"id":150,"name":"Time of Event (Mountain Time)","value":"08:25:24"},{"id":151,"name":"Denver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44"/>
        <v>start /low /b %USERPROFILE%\Documents\GitHub\eaglep3\Utilities\DownloadLogsFromS3.py --loco 4032 --day 2017-10-17</v>
      </c>
      <c r="AN170" s="151" t="str">
        <f t="shared" si="45"/>
        <v>echo {"issue":{"subject":"Poor GPS at DUS","project_id":30,"tracker_id":4,"status_id":1,"priority_id":1,"assigned_to_id":10,"start_date":"2017-10-17","description":"","custom_fields":[{"id":30,"name":"Category","value":"Issue"},{"id":3,"name":"Functional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46"/>
        <v>https://d0f6bd738d7f1b3e5a7ca70fe4ff75f0.us-east-1.aws.found.io/app/kibana#/discover/Steve-Slow-Train-Analysis-(2080s-and-2083s)?_g=(refreshInterval:(display:Off,pause:!f,section:0,value:0),time:(from:'2017-10-17T06:59:03-0600',mode:absolute,to:'2017-10-17T09:25:24-0600'))&amp;_a=(columns:!('Message%20ID',Summary),filters:!(),index:'emp_*',interval:auto,query:(query_string:(analyze_wildcard:!t,query:'%22rtdc.l.rtdc.4032%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613</v>
      </c>
      <c r="B171" s="7">
        <v>4031</v>
      </c>
      <c r="C171" s="21" t="s">
        <v>194</v>
      </c>
      <c r="D171" s="21" t="s">
        <v>946</v>
      </c>
      <c r="E171" s="13">
        <v>43025.352152777778</v>
      </c>
      <c r="F171" s="13">
        <v>43025.363078703704</v>
      </c>
      <c r="G171" s="7">
        <v>64</v>
      </c>
      <c r="H171" s="21" t="s">
        <v>947</v>
      </c>
      <c r="I171" s="13">
        <v>43025.371203703704</v>
      </c>
      <c r="J171" s="7">
        <v>0</v>
      </c>
      <c r="K171" s="89" t="str">
        <f>IF(ISEVEN(B171),(B171-1)&amp;"/"&amp;B171,B171&amp;"/"&amp;(B171+1))</f>
        <v>4031/4032</v>
      </c>
      <c r="L171" s="185" t="str">
        <f>VLOOKUP(A171,'Trips&amp;Operators'!$C$1:$G$99911,5,FALSE)</f>
        <v>ROMERO CHAD</v>
      </c>
      <c r="M171" s="6">
        <f>I171-F171</f>
        <v>8.1250000002910383E-3</v>
      </c>
      <c r="N171" s="7">
        <f>24*60*SUM($M171:$M171)</f>
        <v>11.700000000419095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-17T07:27:06-0600',mode:absolute,to:'2017-10-17T09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5.8674999999999997</v>
      </c>
      <c r="Z171" s="204">
        <f>RIGHT(H171,LEN(H171)-4)/10000</f>
        <v>6.4299999999999996E-2</v>
      </c>
      <c r="AA171" s="204">
        <f>ABS(Z171-Y171)</f>
        <v>5.8031999999999995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812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/stypes="app*4031*20171017*"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42"/>
        <v>"%USERPROFILE%\Documents\GitHub\eaglep3\Utilities\RefineRTDCRunTimes.py" --tripid 812-17 --locoid 4031 --swversion DE.1.0.9.0 --startMP 300:58675 --initTime 2017-10-17T08:27:06 --startdatetime 2017-10-17T08:42:50 --delay 64 --endMP 204:643 --enddatetime 2017-10-17T08:54:32 --enforcementcount 0 &gt;&gt;%USERPROFILE%\Documents\GitHub\eaglep3-reporting\EC\2017-10-17-refined-times.txt</v>
      </c>
      <c r="AI171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{"issue":{"subject":"","project_id":79,"tracker_id":40,"status_id":1,"priority_id":2,"assigned_to_id":338,"start_date":"2017-10-17","description":"","custom_fields":[{"id":1,"name":"Subdivision","value":"NW"},{"id":4,"name":"Milepost","value":"0.0643"},{"id":17,"name":"Train ID","value":"812-17"},{"id":16,"name":"Locomotive ID","value":"4031"},{"id":130,"name":"Impact","value":""},{"id":150,"name":"Time of Event (Mountain Time)","value":"08:54:32"},{"id":151,"name":"Denver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44"/>
        <v>start /low /b %USERPROFILE%\Documents\GitHub\eaglep3\Utilities\DownloadLogsFromS3.py --loco 4031 --day 2017-10-17</v>
      </c>
      <c r="AN171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46"/>
        <v>https://d0f6bd738d7f1b3e5a7ca70fe4ff75f0.us-east-1.aws.found.io/app/kibana#/discover/Steve-Slow-Train-Analysis-(2080s-and-2083s)?_g=(refreshInterval:(display:Off,pause:!f,section:0,value:0),time:(from:'2017-10-17T07:27:06-0600',mode:absolute,to:'2017-10-17T09:54:32-0600'))&amp;_a=(columns:!('Message%20ID',Summary),filters:!(),index:'emp_*',interval:auto,query:(query_string:(analyze_wildcard:!t,query:'%22rtdc.l.rtdc.4031%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697</v>
      </c>
      <c r="B172" s="7">
        <v>4032</v>
      </c>
      <c r="C172" s="21" t="s">
        <v>194</v>
      </c>
      <c r="D172" s="21" t="s">
        <v>948</v>
      </c>
      <c r="E172" s="13">
        <v>43025.372395833336</v>
      </c>
      <c r="F172" s="13">
        <v>43025.381666666668</v>
      </c>
      <c r="G172" s="7">
        <v>72</v>
      </c>
      <c r="H172" s="21" t="s">
        <v>949</v>
      </c>
      <c r="I172" s="13">
        <v>43025.391284722224</v>
      </c>
      <c r="J172" s="7">
        <v>0</v>
      </c>
      <c r="K172" s="89" t="str">
        <f>IF(ISEVEN(B172),(B172-1)&amp;"/"&amp;B172,B172&amp;"/"&amp;(B172+1))</f>
        <v>4031/4032</v>
      </c>
      <c r="L172" s="185" t="str">
        <f>VLOOKUP(A172,'Trips&amp;Operators'!$C$1:$G$99911,5,FALSE)</f>
        <v>ROMERO CHAD</v>
      </c>
      <c r="M172" s="6">
        <f>I172-F172</f>
        <v>9.6180555556202307E-3</v>
      </c>
      <c r="N172" s="7">
        <f>24*60*SUM($M172:$M172)</f>
        <v>13.850000000093132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-17T07:56:15-0600',mode:absolute,to:'2017-10-17T10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9.3399999999999997E-2</v>
      </c>
      <c r="Z172" s="204">
        <f>RIGHT(H172,LEN(H172)-4)/10000</f>
        <v>5.8992000000000004</v>
      </c>
      <c r="AA172" s="204">
        <f>ABS(Z172-Y172)</f>
        <v>5.8058000000000005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813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/stypes="app*4032*20171017*"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42"/>
        <v>"%USERPROFILE%\Documents\GitHub\eaglep3\Utilities\RefineRTDCRunTimes.py" --tripid 813-17 --locoid 4032 --swversion DE.1.0.9.0 --startMP 204:934 --initTime 2017-10-17T08:56:15 --startdatetime 2017-10-17T09:09:36 --delay 72 --endMP 300:58992 --enddatetime 2017-10-17T09:23:27 --enforcementcount 0 &gt;&gt;%USERPROFILE%\Documents\GitHub\eaglep3-reporting\EC\2017-10-17-refined-times.txt</v>
      </c>
      <c r="AI172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{"issue":{"subject":"","project_id":79,"tracker_id":40,"status_id":1,"priority_id":2,"assigned_to_id":338,"start_date":"2017-10-17","description":"","custom_fields":[{"id":1,"name":"Subdivision","value":"NW"},{"id":4,"name":"Milepost","value":"5.8992"},{"id":17,"name":"Train ID","value":"813-17"},{"id":16,"name":"Locomotive ID","value":"4032"},{"id":130,"name":"Impact","value":""},{"id":150,"name":"Time of Event (Mountain Time)","value":"09:23:27"},{"id":151,"name":"Denver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44"/>
        <v>start /low /b %USERPROFILE%\Documents\GitHub\eaglep3\Utilities\DownloadLogsFromS3.py --loco 4032 --day 2017-10-17</v>
      </c>
      <c r="AN172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46"/>
        <v>https://d0f6bd738d7f1b3e5a7ca70fe4ff75f0.us-east-1.aws.found.io/app/kibana#/discover/Steve-Slow-Train-Analysis-(2080s-and-2083s)?_g=(refreshInterval:(display:Off,pause:!f,section:0,value:0),time:(from:'2017-10-17T07:56:15-0600',mode:absolute,to:'2017-10-17T10:23:27-0600'))&amp;_a=(columns:!('Message%20ID',Summary),filters:!(),index:'emp_*',interval:auto,query:(query_string:(analyze_wildcard:!t,query:'%22rtdc.l.rtdc.4032%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702</v>
      </c>
      <c r="B173" s="7">
        <v>4031</v>
      </c>
      <c r="C173" s="21" t="s">
        <v>194</v>
      </c>
      <c r="D173" s="21" t="s">
        <v>943</v>
      </c>
      <c r="E173" s="13">
        <v>43025.39230324074</v>
      </c>
      <c r="F173" s="13">
        <v>43025.404606481483</v>
      </c>
      <c r="G173" s="7">
        <v>65</v>
      </c>
      <c r="H173" s="21" t="s">
        <v>950</v>
      </c>
      <c r="I173" s="13">
        <v>43025.412905092591</v>
      </c>
      <c r="J173" s="7">
        <v>0</v>
      </c>
      <c r="K173" s="89" t="str">
        <f>IF(ISEVEN(B173),(B173-1)&amp;"/"&amp;B173,B173&amp;"/"&amp;(B173+1))</f>
        <v>4031/4032</v>
      </c>
      <c r="L173" s="185" t="str">
        <f>VLOOKUP(A173,'Trips&amp;Operators'!$C$1:$G$99911,5,FALSE)</f>
        <v>ROMERO CHAD</v>
      </c>
      <c r="M173" s="6">
        <f>I173-F173</f>
        <v>8.2986111083300784E-3</v>
      </c>
      <c r="N173" s="7">
        <f>24*60*SUM($M173:$M173)</f>
        <v>11.949999995995313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-17T08:24:55-0600',mode:absolute,to:'2017-10-17T10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5.8677000000000001</v>
      </c>
      <c r="Z173" s="204">
        <f>RIGHT(H173,LEN(H173)-4)/10000</f>
        <v>6.5000000000000002E-2</v>
      </c>
      <c r="AA173" s="204">
        <f>ABS(Z173-Y173)</f>
        <v>5.8026999999999997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814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/stypes="app*4031*20171017*" /stext=" 15:.+((SYSTEM_STATE.+slice.+state.+changed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42"/>
        <v>"%USERPROFILE%\Documents\GitHub\eaglep3\Utilities\RefineRTDCRunTimes.py" --tripid 814-17 --locoid 4031 --swversion DE.1.0.9.0 --startMP 300:58677 --initTime 2017-10-17T09:24:55 --startdatetime 2017-10-17T09:42:38 --delay 65 --endMP 204:650 --enddatetime 2017-10-17T09:54:35 --enforcementcount 0 &gt;&gt;%USERPROFILE%\Documents\GitHub\eaglep3-reporting\EC\2017-10-17-refined-times.txt</v>
      </c>
      <c r="AI173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{"issue":{"subject":"","project_id":79,"tracker_id":40,"status_id":1,"priority_id":2,"assigned_to_id":338,"start_date":"2017-10-17","description":"","custom_fields":[{"id":1,"name":"Subdivision","value":"NW"},{"id":4,"name":"Milepost","value":"0.065"},{"id":17,"name":"Train ID","value":"814-17"},{"id":16,"name":"Locomotive ID","value":"4031"},{"id":130,"name":"Impact","value":""},{"id":150,"name":"Time of Event (Mountain Time)","value":"09:54:35"},{"id":151,"name":"Denver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44"/>
        <v>start /low /b %USERPROFILE%\Documents\GitHub\eaglep3\Utilities\DownloadLogsFromS3.py --loco 4031 --day 2017-10-17</v>
      </c>
      <c r="AN173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46"/>
        <v>https://d0f6bd738d7f1b3e5a7ca70fe4ff75f0.us-east-1.aws.found.io/app/kibana#/discover/Steve-Slow-Train-Analysis-(2080s-and-2083s)?_g=(refreshInterval:(display:Off,pause:!f,section:0,value:0),time:(from:'2017-10-17T08:24:55-0600',mode:absolute,to:'2017-10-17T10:54:35-0600'))&amp;_a=(columns:!('Message%20ID',Summary),filters:!(),index:'emp_*',interval:auto,query:(query_string:(analyze_wildcard:!t,query:'%22rtdc.l.rtdc.4031%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706</v>
      </c>
      <c r="B174" s="7">
        <v>4032</v>
      </c>
      <c r="C174" s="21" t="s">
        <v>194</v>
      </c>
      <c r="D174" s="21" t="s">
        <v>951</v>
      </c>
      <c r="E174" s="13">
        <v>43025.414085648146</v>
      </c>
      <c r="F174" s="13">
        <v>43025.423379629632</v>
      </c>
      <c r="G174" s="7">
        <v>52</v>
      </c>
      <c r="H174" s="21" t="s">
        <v>942</v>
      </c>
      <c r="I174" s="13">
        <v>43025.43204861111</v>
      </c>
      <c r="J174" s="7">
        <v>0</v>
      </c>
      <c r="K174" s="89" t="str">
        <f>IF(ISEVEN(B174),(B174-1)&amp;"/"&amp;B174,B174&amp;"/"&amp;(B174+1))</f>
        <v>4031/4032</v>
      </c>
      <c r="L174" s="185" t="str">
        <f>VLOOKUP(A174,'Trips&amp;Operators'!$C$1:$G$99911,5,FALSE)</f>
        <v>ROMERO CHAD</v>
      </c>
      <c r="M174" s="6">
        <f>I174-F174</f>
        <v>8.6689814779674634E-3</v>
      </c>
      <c r="N174" s="7">
        <f>24*60*SUM($M174:$M174)</f>
        <v>12.483333328273147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-17T08:56:17-0600',mode:absolute,to:'2017-10-17T11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9.4600000000000004E-2</v>
      </c>
      <c r="Z174" s="204">
        <f>RIGHT(H174,LEN(H174)-4)/10000</f>
        <v>5.899</v>
      </c>
      <c r="AA174" s="204">
        <f>ABS(Z174-Y174)</f>
        <v>5.8044000000000002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815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/stypes="app*4032*20171017*"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42"/>
        <v>"%USERPROFILE%\Documents\GitHub\eaglep3\Utilities\RefineRTDCRunTimes.py" --tripid 815-17 --locoid 4032 --swversion DE.1.0.9.0 --startMP 204:946 --initTime 2017-10-17T09:56:17 --startdatetime 2017-10-17T10:09:40 --delay 52 --endMP 300:58990 --enddatetime 2017-10-17T10:22:09 --enforcementcount 0 &gt;&gt;%USERPROFILE%\Documents\GitHub\eaglep3-reporting\EC\2017-10-17-refined-times.txt</v>
      </c>
      <c r="AI174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{"issue":{"subject":"","project_id":79,"tracker_id":40,"status_id":1,"priority_id":2,"assigned_to_id":338,"start_date":"2017-10-17","description":"","custom_fields":[{"id":1,"name":"Subdivision","value":"NW"},{"id":4,"name":"Milepost","value":"5.899"},{"id":17,"name":"Train ID","value":"815-17"},{"id":16,"name":"Locomotive ID","value":"4032"},{"id":130,"name":"Impact","value":""},{"id":150,"name":"Time of Event (Mountain Time)","value":"10:22:09"},{"id":151,"name":"Denver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44"/>
        <v>start /low /b %USERPROFILE%\Documents\GitHub\eaglep3\Utilities\DownloadLogsFromS3.py --loco 4032 --day 2017-10-17</v>
      </c>
      <c r="AN174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46"/>
        <v>https://d0f6bd738d7f1b3e5a7ca70fe4ff75f0.us-east-1.aws.found.io/app/kibana#/discover/Steve-Slow-Train-Analysis-(2080s-and-2083s)?_g=(refreshInterval:(display:Off,pause:!f,section:0,value:0),time:(from:'2017-10-17T08:56:17-0600',mode:absolute,to:'2017-10-17T11:22:09-0600'))&amp;_a=(columns:!('Message%20ID',Summary),filters:!(),index:'emp_*',interval:auto,query:(query_string:(analyze_wildcard:!t,query:'%22rtdc.l.rtdc.4032%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715</v>
      </c>
      <c r="B175" s="7">
        <v>4031</v>
      </c>
      <c r="C175" s="21" t="s">
        <v>194</v>
      </c>
      <c r="D175" s="21" t="s">
        <v>952</v>
      </c>
      <c r="E175" s="13">
        <v>43025.433159722219</v>
      </c>
      <c r="F175" s="13">
        <v>43025.44667824074</v>
      </c>
      <c r="G175" s="7">
        <v>58</v>
      </c>
      <c r="H175" s="21" t="s">
        <v>953</v>
      </c>
      <c r="I175" s="13">
        <v>43025.454641203702</v>
      </c>
      <c r="J175" s="7">
        <v>0</v>
      </c>
      <c r="K175" s="89" t="str">
        <f>IF(ISEVEN(B175),(B175-1)&amp;"/"&amp;B175,B175&amp;"/"&amp;(B175+1))</f>
        <v>4031/4032</v>
      </c>
      <c r="L175" s="185" t="str">
        <f>VLOOKUP(A175,'Trips&amp;Operators'!$C$1:$G$99911,5,FALSE)</f>
        <v>ROMERO CHAD</v>
      </c>
      <c r="M175" s="6">
        <f>I175-F175</f>
        <v>7.962962961755693E-3</v>
      </c>
      <c r="N175" s="7">
        <f>24*60*SUM($M175:$M175)</f>
        <v>11.466666664928198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-17T09:23:45-0600',mode:absolute,to:'2017-10-17T11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5.8681000000000001</v>
      </c>
      <c r="Z175" s="204">
        <f>RIGHT(H175,LEN(H175)-4)/10000</f>
        <v>6.4000000000000001E-2</v>
      </c>
      <c r="AA175" s="204">
        <f>ABS(Z175-Y175)</f>
        <v>5.8041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816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/stypes="app*4031*20171017*" /stext=" 16:.+((SYSTEM_STATE.+slice.+state.+changed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42"/>
        <v>"%USERPROFILE%\Documents\GitHub\eaglep3\Utilities\RefineRTDCRunTimes.py" --tripid 816-17 --locoid 4031 --swversion DE.1.0.9.0 --startMP 300:58681 --initTime 2017-10-17T10:23:45 --startdatetime 2017-10-17T10:43:13 --delay 58 --endMP 204:640 --enddatetime 2017-10-17T10:54:41 --enforcementcount 0 &gt;&gt;%USERPROFILE%\Documents\GitHub\eaglep3-reporting\EC\2017-10-17-refined-times.txt</v>
      </c>
      <c r="AI175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{"issue":{"subject":"","project_id":79,"tracker_id":40,"status_id":1,"priority_id":2,"assigned_to_id":338,"start_date":"2017-10-17","description":"","custom_fields":[{"id":1,"name":"Subdivision","value":"NW"},{"id":4,"name":"Milepost","value":"0.064"},{"id":17,"name":"Train ID","value":"816-17"},{"id":16,"name":"Locomotive ID","value":"4031"},{"id":130,"name":"Impact","value":""},{"id":150,"name":"Time of Event (Mountain Time)","value":"10:54:41"},{"id":151,"name":"Denver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44"/>
        <v>start /low /b %USERPROFILE%\Documents\GitHub\eaglep3\Utilities\DownloadLogsFromS3.py --loco 4031 --day 2017-10-17</v>
      </c>
      <c r="AN175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46"/>
        <v>https://d0f6bd738d7f1b3e5a7ca70fe4ff75f0.us-east-1.aws.found.io/app/kibana#/discover/Steve-Slow-Train-Analysis-(2080s-and-2083s)?_g=(refreshInterval:(display:Off,pause:!f,section:0,value:0),time:(from:'2017-10-17T09:23:45-0600',mode:absolute,to:'2017-10-17T11:54:41-0600'))&amp;_a=(columns:!('Message%20ID',Summary),filters:!(),index:'emp_*',interval:auto,query:(query_string:(analyze_wildcard:!t,query:'%22rtdc.l.rtdc.4031%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621</v>
      </c>
      <c r="B176" s="7">
        <v>4032</v>
      </c>
      <c r="C176" s="21" t="s">
        <v>194</v>
      </c>
      <c r="D176" s="21" t="s">
        <v>597</v>
      </c>
      <c r="E176" s="13">
        <v>43025.456261574072</v>
      </c>
      <c r="F176" s="13">
        <v>43025.464745370373</v>
      </c>
      <c r="G176" s="7">
        <v>57</v>
      </c>
      <c r="H176" s="21" t="s">
        <v>942</v>
      </c>
      <c r="I176" s="13">
        <v>43025.47451388889</v>
      </c>
      <c r="J176" s="7">
        <v>0</v>
      </c>
      <c r="K176" s="89" t="str">
        <f>IF(ISEVEN(B176),(B176-1)&amp;"/"&amp;B176,B176&amp;"/"&amp;(B176+1))</f>
        <v>4031/4032</v>
      </c>
      <c r="L176" s="185" t="str">
        <f>VLOOKUP(A176,'Trips&amp;Operators'!$C$1:$G$99911,5,FALSE)</f>
        <v>ROMERO CHAD</v>
      </c>
      <c r="M176" s="6">
        <f>I176-F176</f>
        <v>9.7685185173759237E-3</v>
      </c>
      <c r="N176" s="7">
        <f>24*60*SUM($M176:$M176)</f>
        <v>14.06666666502133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-17T09:57:01-0600',mode:absolute,to:'2017-10-17T12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9.2899999999999996E-2</v>
      </c>
      <c r="Z176" s="204">
        <f>RIGHT(H176,LEN(H176)-4)/10000</f>
        <v>5.899</v>
      </c>
      <c r="AA176" s="204">
        <f>ABS(Z176-Y176)</f>
        <v>5.8060999999999998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817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/stypes="app*4032*20171017*"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42"/>
        <v>"%USERPROFILE%\Documents\GitHub\eaglep3\Utilities\RefineRTDCRunTimes.py" --tripid 817-17 --locoid 4032 --swversion DE.1.0.9.0 --startMP 204:929 --initTime 2017-10-17T10:57:01 --startdatetime 2017-10-17T11:09:14 --delay 57 --endMP 300:58990 --enddatetime 2017-10-17T11:23:18 --enforcementcount 0 &gt;&gt;%USERPROFILE%\Documents\GitHub\eaglep3-reporting\EC\2017-10-17-refined-times.txt</v>
      </c>
      <c r="AI176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{"issue":{"subject":"","project_id":79,"tracker_id":40,"status_id":1,"priority_id":2,"assigned_to_id":338,"start_date":"2017-10-17","description":"","custom_fields":[{"id":1,"name":"Subdivision","value":"NW"},{"id":4,"name":"Milepost","value":"5.899"},{"id":17,"name":"Train ID","value":"817-17"},{"id":16,"name":"Locomotive ID","value":"4032"},{"id":130,"name":"Impact","value":""},{"id":150,"name":"Time of Event (Mountain Time)","value":"11:23:18"},{"id":151,"name":"Denver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44"/>
        <v>start /low /b %USERPROFILE%\Documents\GitHub\eaglep3\Utilities\DownloadLogsFromS3.py --loco 4032 --day 2017-10-17</v>
      </c>
      <c r="AN176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46"/>
        <v>https://d0f6bd738d7f1b3e5a7ca70fe4ff75f0.us-east-1.aws.found.io/app/kibana#/discover/Steve-Slow-Train-Analysis-(2080s-and-2083s)?_g=(refreshInterval:(display:Off,pause:!f,section:0,value:0),time:(from:'2017-10-17T09:57:01-0600',mode:absolute,to:'2017-10-17T12:23:18-0600'))&amp;_a=(columns:!('Message%20ID',Summary),filters:!(),index:'emp_*',interval:auto,query:(query_string:(analyze_wildcard:!t,query:'%22rtdc.l.rtdc.4032%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728</v>
      </c>
      <c r="B177" s="7">
        <v>4031</v>
      </c>
      <c r="C177" s="21" t="s">
        <v>194</v>
      </c>
      <c r="D177" s="21" t="s">
        <v>954</v>
      </c>
      <c r="E177" s="13">
        <v>43025.475740740738</v>
      </c>
      <c r="F177" s="13">
        <v>43025.487916666665</v>
      </c>
      <c r="G177" s="7">
        <v>55</v>
      </c>
      <c r="H177" s="21" t="s">
        <v>589</v>
      </c>
      <c r="I177" s="13">
        <v>43025.496365740742</v>
      </c>
      <c r="J177" s="7">
        <v>0</v>
      </c>
      <c r="K177" s="89" t="str">
        <f>IF(ISEVEN(B177),(B177-1)&amp;"/"&amp;B177,B177&amp;"/"&amp;(B177+1))</f>
        <v>4031/4032</v>
      </c>
      <c r="L177" s="185" t="str">
        <f>VLOOKUP(A177,'Trips&amp;Operators'!$C$1:$G$99911,5,FALSE)</f>
        <v>ROMERO CHAD</v>
      </c>
      <c r="M177" s="6">
        <f>I177-F177</f>
        <v>8.449074077361729E-3</v>
      </c>
      <c r="N177" s="7">
        <f>24*60*SUM($M177:$M177)</f>
        <v>12.16666667140089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-17T10:25:04-0600',mode:absolute,to:'2017-10-17T12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5.8667999999999996</v>
      </c>
      <c r="Z177" s="204">
        <f>RIGHT(H177,LEN(H177)-4)/10000</f>
        <v>6.7100000000000007E-2</v>
      </c>
      <c r="AA177" s="204">
        <f>ABS(Z177-Y177)</f>
        <v>5.7996999999999996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818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/stypes="app*4031*20171017*" /stext=" 17:.+((SYSTEM_STATE.+slice.+state.+changed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42"/>
        <v>"%USERPROFILE%\Documents\GitHub\eaglep3\Utilities\RefineRTDCRunTimes.py" --tripid 818-17 --locoid 4031 --swversion DE.1.0.9.0 --startMP 300:58668 --initTime 2017-10-17T11:25:04 --startdatetime 2017-10-17T11:42:36 --delay 55 --endMP 204:671 --enddatetime 2017-10-17T11:54:46 --enforcementcount 0 &gt;&gt;%USERPROFILE%\Documents\GitHub\eaglep3-reporting\EC\2017-10-17-refined-times.txt</v>
      </c>
      <c r="AI177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{"issue":{"subject":"","project_id":79,"tracker_id":40,"status_id":1,"priority_id":2,"assigned_to_id":338,"start_date":"2017-10-17","description":"","custom_fields":[{"id":1,"name":"Subdivision","value":"NW"},{"id":4,"name":"Milepost","value":"0.0671"},{"id":17,"name":"Train ID","value":"818-17"},{"id":16,"name":"Locomotive ID","value":"4031"},{"id":130,"name":"Impact","value":""},{"id":150,"name":"Time of Event (Mountain Time)","value":"11:54:46"},{"id":151,"name":"Denver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44"/>
        <v>start /low /b %USERPROFILE%\Documents\GitHub\eaglep3\Utilities\DownloadLogsFromS3.py --loco 4031 --day 2017-10-17</v>
      </c>
      <c r="AN177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46"/>
        <v>https://d0f6bd738d7f1b3e5a7ca70fe4ff75f0.us-east-1.aws.found.io/app/kibana#/discover/Steve-Slow-Train-Analysis-(2080s-and-2083s)?_g=(refreshInterval:(display:Off,pause:!f,section:0,value:0),time:(from:'2017-10-17T10:25:04-0600',mode:absolute,to:'2017-10-17T12:54:46-0600'))&amp;_a=(columns:!('Message%20ID',Summary),filters:!(),index:'emp_*',interval:auto,query:(query_string:(analyze_wildcard:!t,query:'%22rtdc.l.rtdc.4031%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735</v>
      </c>
      <c r="B178" s="7">
        <v>4032</v>
      </c>
      <c r="C178" s="21" t="s">
        <v>194</v>
      </c>
      <c r="D178" s="21" t="s">
        <v>955</v>
      </c>
      <c r="E178" s="13">
        <v>43025.498043981483</v>
      </c>
      <c r="F178" s="13">
        <v>43025.506678240738</v>
      </c>
      <c r="G178" s="7">
        <v>49</v>
      </c>
      <c r="H178" s="21" t="s">
        <v>956</v>
      </c>
      <c r="I178" s="13">
        <v>43025.518449074072</v>
      </c>
      <c r="J178" s="7">
        <v>0</v>
      </c>
      <c r="K178" s="89" t="str">
        <f>IF(ISEVEN(B178),(B178-1)&amp;"/"&amp;B178,B178&amp;"/"&amp;(B178+1))</f>
        <v>4031/4032</v>
      </c>
      <c r="L178" s="185" t="str">
        <f>VLOOKUP(A178,'Trips&amp;Operators'!$C$1:$G$99911,5,FALSE)</f>
        <v>ROMERO CHAD</v>
      </c>
      <c r="M178" s="6">
        <f>I178-F178</f>
        <v>1.1770833334594499E-2</v>
      </c>
      <c r="N178" s="7">
        <f>24*60*SUM($M178:$M178)</f>
        <v>16.950000001816079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-17T10:57:11-0600',mode:absolute,to:'2017-10-17T13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9.2999999999999999E-2</v>
      </c>
      <c r="Z178" s="204">
        <f>RIGHT(H178,LEN(H178)-4)/10000</f>
        <v>5.8983999999999996</v>
      </c>
      <c r="AA178" s="204">
        <f>ABS(Z178-Y178)</f>
        <v>5.8053999999999997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819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/stypes="app*4032*20171017*"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42"/>
        <v>"%USERPROFILE%\Documents\GitHub\eaglep3\Utilities\RefineRTDCRunTimes.py" --tripid 819-17 --locoid 4032 --swversion DE.1.0.9.0 --startMP 204:930 --initTime 2017-10-17T11:57:11 --startdatetime 2017-10-17T12:09:37 --delay 49 --endMP 300:58984 --enddatetime 2017-10-17T12:26:34 --enforcementcount 0 &gt;&gt;%USERPROFILE%\Documents\GitHub\eaglep3-reporting\EC\2017-10-17-refined-times.txt</v>
      </c>
      <c r="AI178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{"issue":{"subject":"","project_id":79,"tracker_id":40,"status_id":1,"priority_id":2,"assigned_to_id":338,"start_date":"2017-10-17","description":"","custom_fields":[{"id":1,"name":"Subdivision","value":"NW"},{"id":4,"name":"Milepost","value":"5.8984"},{"id":17,"name":"Train ID","value":"819-17"},{"id":16,"name":"Locomotive ID","value":"4032"},{"id":130,"name":"Impact","value":""},{"id":150,"name":"Time of Event (Mountain Time)","value":"12:26:34"},{"id":151,"name":"Denver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44"/>
        <v>start /low /b %USERPROFILE%\Documents\GitHub\eaglep3\Utilities\DownloadLogsFromS3.py --loco 4032 --day 2017-10-17</v>
      </c>
      <c r="AN178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46"/>
        <v>https://d0f6bd738d7f1b3e5a7ca70fe4ff75f0.us-east-1.aws.found.io/app/kibana#/discover/Steve-Slow-Train-Analysis-(2080s-and-2083s)?_g=(refreshInterval:(display:Off,pause:!f,section:0,value:0),time:(from:'2017-10-17T10:57:11-0600',mode:absolute,to:'2017-10-17T13:26:34-0600'))&amp;_a=(columns:!('Message%20ID',Summary),filters:!(),index:'emp_*',interval:auto,query:(query_string:(analyze_wildcard:!t,query:'%22rtdc.l.rtdc.4032%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623</v>
      </c>
      <c r="B179" s="7">
        <v>4031</v>
      </c>
      <c r="C179" s="21" t="s">
        <v>194</v>
      </c>
      <c r="D179" s="21" t="s">
        <v>596</v>
      </c>
      <c r="E179" s="13">
        <v>43025.519675925927</v>
      </c>
      <c r="F179" s="13">
        <v>43025.529907407406</v>
      </c>
      <c r="G179" s="7">
        <v>57</v>
      </c>
      <c r="H179" s="21" t="s">
        <v>589</v>
      </c>
      <c r="I179" s="13">
        <v>43025.538368055553</v>
      </c>
      <c r="J179" s="7">
        <v>0</v>
      </c>
      <c r="K179" s="89" t="str">
        <f>IF(ISEVEN(B179),(B179-1)&amp;"/"&amp;B179,B179&amp;"/"&amp;(B179+1))</f>
        <v>4031/4032</v>
      </c>
      <c r="L179" s="185" t="str">
        <f>VLOOKUP(A179,'Trips&amp;Operators'!$C$1:$G$99911,5,FALSE)</f>
        <v>ROMERO CHAD</v>
      </c>
      <c r="M179" s="6">
        <f>I179-F179</f>
        <v>8.4606481468654238E-3</v>
      </c>
      <c r="N179" s="7">
        <f>24*60*SUM($M179:$M179)</f>
        <v>12.18333333148621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-17T11:28:20-0600',mode:absolute,to:'2017-10-17T13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5.867</v>
      </c>
      <c r="Z179" s="204">
        <f>RIGHT(H179,LEN(H179)-4)/10000</f>
        <v>6.7100000000000007E-2</v>
      </c>
      <c r="AA179" s="204">
        <f>ABS(Z179-Y179)</f>
        <v>5.7999000000000001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820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/stypes="app*4031*20171017*" /stext=" 18:.+((SYSTEM_STATE.+slice.+state.+changed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42"/>
        <v>"%USERPROFILE%\Documents\GitHub\eaglep3\Utilities\RefineRTDCRunTimes.py" --tripid 820-17 --locoid 4031 --swversion DE.1.0.9.0 --startMP 300:58670 --initTime 2017-10-17T12:28:20 --startdatetime 2017-10-17T12:43:04 --delay 57 --endMP 204:671 --enddatetime 2017-10-17T12:55:15 --enforcementcount 0 &gt;&gt;%USERPROFILE%\Documents\GitHub\eaglep3-reporting\EC\2017-10-17-refined-times.txt</v>
      </c>
      <c r="AI179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{"issue":{"subject":"","project_id":79,"tracker_id":40,"status_id":1,"priority_id":2,"assigned_to_id":338,"start_date":"2017-10-17","description":"","custom_fields":[{"id":1,"name":"Subdivision","value":"NW"},{"id":4,"name":"Milepost","value":"0.0671"},{"id":17,"name":"Train ID","value":"820-17"},{"id":16,"name":"Locomotive ID","value":"4031"},{"id":130,"name":"Impact","value":""},{"id":150,"name":"Time of Event (Mountain Time)","value":"12:55:15"},{"id":151,"name":"Denver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44"/>
        <v>start /low /b %USERPROFILE%\Documents\GitHub\eaglep3\Utilities\DownloadLogsFromS3.py --loco 4031 --day 2017-10-17</v>
      </c>
      <c r="AN179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46"/>
        <v>https://d0f6bd738d7f1b3e5a7ca70fe4ff75f0.us-east-1.aws.found.io/app/kibana#/discover/Steve-Slow-Train-Analysis-(2080s-and-2083s)?_g=(refreshInterval:(display:Off,pause:!f,section:0,value:0),time:(from:'2017-10-17T11:28:20-0600',mode:absolute,to:'2017-10-17T13:55:15-0600'))&amp;_a=(columns:!('Message%20ID',Summary),filters:!(),index:'emp_*',interval:auto,query:(query_string:(analyze_wildcard:!t,query:'%22rtdc.l.rtdc.4031%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748</v>
      </c>
      <c r="B180" s="7">
        <v>4032</v>
      </c>
      <c r="C180" s="21" t="s">
        <v>194</v>
      </c>
      <c r="D180" s="21" t="s">
        <v>592</v>
      </c>
      <c r="E180" s="13">
        <v>43025.540023148147</v>
      </c>
      <c r="F180" s="13">
        <v>43025.548414351855</v>
      </c>
      <c r="G180" s="7">
        <v>96</v>
      </c>
      <c r="H180" s="21" t="s">
        <v>957</v>
      </c>
      <c r="I180" s="13">
        <v>43025.557789351849</v>
      </c>
      <c r="J180" s="7">
        <v>0</v>
      </c>
      <c r="K180" s="89" t="str">
        <f>IF(ISEVEN(B180),(B180-1)&amp;"/"&amp;B180,B180&amp;"/"&amp;(B180+1))</f>
        <v>4031/4032</v>
      </c>
      <c r="L180" s="185" t="str">
        <f>VLOOKUP(A180,'Trips&amp;Operators'!$C$1:$G$99911,5,FALSE)</f>
        <v>GUZMAN DANNY</v>
      </c>
      <c r="M180" s="6">
        <f>I180-F180</f>
        <v>9.3749999941792339E-3</v>
      </c>
      <c r="N180" s="7">
        <f>24*60*SUM($M180:$M180)</f>
        <v>13.499999991618097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-17T11:57:38-0600',mode:absolute,to:'2017-10-17T14:23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9.4799999999999995E-2</v>
      </c>
      <c r="Z180" s="204">
        <f>RIGHT(H180,LEN(H180)-4)/10000</f>
        <v>5.8928000000000003</v>
      </c>
      <c r="AA180" s="204">
        <f>ABS(Z180-Y180)</f>
        <v>5.798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821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/stypes="app*4032*20171017*"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42"/>
        <v>"%USERPROFILE%\Documents\GitHub\eaglep3\Utilities\RefineRTDCRunTimes.py" --tripid 821-17 --locoid 4032 --swversion DE.1.0.9.0 --startMP 204:948 --initTime 2017-10-17T12:57:38 --startdatetime 2017-10-17T13:09:43 --delay 96 --endMP 300:58928 --enddatetime 2017-10-17T13:23:13 --enforcementcount 0 &gt;&gt;%USERPROFILE%\Documents\GitHub\eaglep3-reporting\EC\2017-10-17-refined-times.txt</v>
      </c>
      <c r="AI180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{"issue":{"subject":"","project_id":79,"tracker_id":40,"status_id":1,"priority_id":2,"assigned_to_id":338,"start_date":"2017-10-17","description":"","custom_fields":[{"id":1,"name":"Subdivision","value":"NW"},{"id":4,"name":"Milepost","value":"5.8928"},{"id":17,"name":"Train ID","value":"821-17"},{"id":16,"name":"Locomotive ID","value":"4032"},{"id":130,"name":"Impact","value":""},{"id":150,"name":"Time of Event (Mountain Time)","value":"13:23:13"},{"id":151,"name":"Denver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44"/>
        <v>start /low /b %USERPROFILE%\Documents\GitHub\eaglep3\Utilities\DownloadLogsFromS3.py --loco 4032 --day 2017-10-17</v>
      </c>
      <c r="AN180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46"/>
        <v>https://d0f6bd738d7f1b3e5a7ca70fe4ff75f0.us-east-1.aws.found.io/app/kibana#/discover/Steve-Slow-Train-Analysis-(2080s-and-2083s)?_g=(refreshInterval:(display:Off,pause:!f,section:0,value:0),time:(from:'2017-10-17T11:57:38-0600',mode:absolute,to:'2017-10-17T14:23:13-0600'))&amp;_a=(columns:!('Message%20ID',Summary),filters:!(),index:'emp_*',interval:auto,query:(query_string:(analyze_wildcard:!t,query:'%22rtdc.l.rtdc.4032%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749</v>
      </c>
      <c r="B181" s="7">
        <v>4031</v>
      </c>
      <c r="C181" s="21" t="s">
        <v>194</v>
      </c>
      <c r="D181" s="21" t="s">
        <v>490</v>
      </c>
      <c r="E181" s="13">
        <v>43025.560891203706</v>
      </c>
      <c r="F181" s="13">
        <v>43025.571585648147</v>
      </c>
      <c r="G181" s="7">
        <v>56</v>
      </c>
      <c r="H181" s="21" t="s">
        <v>958</v>
      </c>
      <c r="I181" s="13">
        <v>43025.580138888887</v>
      </c>
      <c r="J181" s="7">
        <v>0</v>
      </c>
      <c r="K181" s="89" t="str">
        <f>IF(ISEVEN(B181),(B181-1)&amp;"/"&amp;B181,B181&amp;"/"&amp;(B181+1))</f>
        <v>4031/4032</v>
      </c>
      <c r="L181" s="185" t="str">
        <f>VLOOKUP(A181,'Trips&amp;Operators'!$C$1:$G$99911,5,FALSE)</f>
        <v>GUZMAN DANNY</v>
      </c>
      <c r="M181" s="6">
        <f>I181-F181</f>
        <v>8.55324073927477E-3</v>
      </c>
      <c r="N181" s="7">
        <f>24*60*SUM($M181:$M181)</f>
        <v>12.316666664555669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-17T12:27:41-0600',mode:absolute,to:'2017-10-17T14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5.8616999999999999</v>
      </c>
      <c r="Z181" s="204">
        <f>RIGHT(H181,LEN(H181)-4)/10000</f>
        <v>1.5699999999999999E-2</v>
      </c>
      <c r="AA181" s="204">
        <f>ABS(Z181-Y181)</f>
        <v>5.8460000000000001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822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/stypes="app*4031*20171017*" /stext=" 19:.+((SYSTEM_STATE.+slice.+state.+changed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42"/>
        <v>"%USERPROFILE%\Documents\GitHub\eaglep3\Utilities\RefineRTDCRunTimes.py" --tripid 822-17 --locoid 4031 --swversion DE.1.0.9.0 --startMP 300:58617 --initTime 2017-10-17T13:27:41 --startdatetime 2017-10-17T13:43:05 --delay 56 --endMP 204:157 --enddatetime 2017-10-17T13:55:24 --enforcementcount 0 &gt;&gt;%USERPROFILE%\Documents\GitHub\eaglep3-reporting\EC\2017-10-17-refined-times.txt</v>
      </c>
      <c r="AI181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{"issue":{"subject":"","project_id":79,"tracker_id":40,"status_id":1,"priority_id":2,"assigned_to_id":338,"start_date":"2017-10-17","description":"","custom_fields":[{"id":1,"name":"Subdivision","value":"NW"},{"id":4,"name":"Milepost","value":"0.0157"},{"id":17,"name":"Train ID","value":"822-17"},{"id":16,"name":"Locomotive ID","value":"4031"},{"id":130,"name":"Impact","value":""},{"id":150,"name":"Time of Event (Mountain Time)","value":"13:55:24"},{"id":151,"name":"Denver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44"/>
        <v>start /low /b %USERPROFILE%\Documents\GitHub\eaglep3\Utilities\DownloadLogsFromS3.py --loco 4031 --day 2017-10-17</v>
      </c>
      <c r="AN181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19:55:24"},{"id":29,"name":"Sharepoint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46"/>
        <v>https://d0f6bd738d7f1b3e5a7ca70fe4ff75f0.us-east-1.aws.found.io/app/kibana#/discover/Steve-Slow-Train-Analysis-(2080s-and-2083s)?_g=(refreshInterval:(display:Off,pause:!f,section:0,value:0),time:(from:'2017-10-17T12:27:41-0600',mode:absolute,to:'2017-10-17T14:55:24-0600'))&amp;_a=(columns:!('Message%20ID',Summary),filters:!(),index:'emp_*',interval:auto,query:(query_string:(analyze_wildcard:!t,query:'%22rtdc.l.rtdc.4031%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757</v>
      </c>
      <c r="B182" s="7">
        <v>4032</v>
      </c>
      <c r="C182" s="21" t="s">
        <v>194</v>
      </c>
      <c r="D182" s="21" t="s">
        <v>414</v>
      </c>
      <c r="E182" s="13">
        <v>43025.583171296297</v>
      </c>
      <c r="F182" s="13">
        <v>43025.589756944442</v>
      </c>
      <c r="G182" s="7">
        <v>53</v>
      </c>
      <c r="H182" s="21" t="s">
        <v>586</v>
      </c>
      <c r="I182" s="13">
        <v>43025.599791666667</v>
      </c>
      <c r="J182" s="7">
        <v>0</v>
      </c>
      <c r="K182" s="89" t="str">
        <f>IF(ISEVEN(B182),(B182-1)&amp;"/"&amp;B182,B182&amp;"/"&amp;(B182+1))</f>
        <v>4031/4032</v>
      </c>
      <c r="L182" s="185" t="str">
        <f>VLOOKUP(A182,'Trips&amp;Operators'!$C$1:$G$99911,5,FALSE)</f>
        <v>GUZMAN DANNY</v>
      </c>
      <c r="M182" s="6">
        <f>I182-F182</f>
        <v>1.0034722225100268E-2</v>
      </c>
      <c r="N182" s="7">
        <f>24*60*SUM($M182:$M182)</f>
        <v>14.450000004144385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-17T12:59:46-0600',mode:absolute,to:'2017-10-17T15:23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4.6399999999999997E-2</v>
      </c>
      <c r="Z182" s="204">
        <f>RIGHT(H182,LEN(H182)-4)/10000</f>
        <v>5.8925999999999998</v>
      </c>
      <c r="AA182" s="204">
        <f>ABS(Z182-Y182)</f>
        <v>5.8461999999999996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823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/stypes="app*4032*20171017*"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42"/>
        <v>"%USERPROFILE%\Documents\GitHub\eaglep3\Utilities\RefineRTDCRunTimes.py" --tripid 823-17 --locoid 4032 --swversion DE.1.0.9.0 --startMP 204:464 --initTime 2017-10-17T13:59:46 --startdatetime 2017-10-17T14:09:15 --delay 53 --endMP 300:58926 --enddatetime 2017-10-17T14:23:42 --enforcementcount 0 &gt;&gt;%USERPROFILE%\Documents\GitHub\eaglep3-reporting\EC\2017-10-17-refined-times.txt</v>
      </c>
      <c r="AI182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{"issue":{"subject":"","project_id":79,"tracker_id":40,"status_id":1,"priority_id":2,"assigned_to_id":338,"start_date":"2017-10-17","description":"","custom_fields":[{"id":1,"name":"Subdivision","value":"NW"},{"id":4,"name":"Milepost","value":"5.8926"},{"id":17,"name":"Train ID","value":"823-17"},{"id":16,"name":"Locomotive ID","value":"4032"},{"id":130,"name":"Impact","value":""},{"id":150,"name":"Time of Event (Mountain Time)","value":"14:23:42"},{"id":151,"name":"Denver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44"/>
        <v>start /low /b %USERPROFILE%\Documents\GitHub\eaglep3\Utilities\DownloadLogsFromS3.py --loco 4032 --day 2017-10-17</v>
      </c>
      <c r="AN182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46"/>
        <v>https://d0f6bd738d7f1b3e5a7ca70fe4ff75f0.us-east-1.aws.found.io/app/kibana#/discover/Steve-Slow-Train-Analysis-(2080s-and-2083s)?_g=(refreshInterval:(display:Off,pause:!f,section:0,value:0),time:(from:'2017-10-17T12:59:46-0600',mode:absolute,to:'2017-10-17T15:23:42-0600'))&amp;_a=(columns:!('Message%20ID',Summary),filters:!(),index:'emp_*',interval:auto,query:(query_string:(analyze_wildcard:!t,query:'%22rtdc.l.rtdc.4032%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761</v>
      </c>
      <c r="B183" s="7">
        <v>4031</v>
      </c>
      <c r="C183" s="21" t="s">
        <v>194</v>
      </c>
      <c r="D183" s="21" t="s">
        <v>583</v>
      </c>
      <c r="E183" s="13">
        <v>43025.600902777776</v>
      </c>
      <c r="F183" s="13">
        <v>43025.613252314812</v>
      </c>
      <c r="G183" s="7">
        <v>55</v>
      </c>
      <c r="H183" s="21" t="s">
        <v>959</v>
      </c>
      <c r="I183" s="13">
        <v>43025.621157407404</v>
      </c>
      <c r="J183" s="7">
        <v>0</v>
      </c>
      <c r="K183" s="89" t="str">
        <f>IF(ISEVEN(B183),(B183-1)&amp;"/"&amp;B183,B183&amp;"/"&amp;(B183+1))</f>
        <v>4031/4032</v>
      </c>
      <c r="L183" s="185" t="str">
        <f>VLOOKUP(A183,'Trips&amp;Operators'!$C$1:$G$99911,5,FALSE)</f>
        <v>GUZMAN DANNY</v>
      </c>
      <c r="M183" s="6">
        <f>I183-F183</f>
        <v>7.9050925924093463E-3</v>
      </c>
      <c r="N183" s="7">
        <f>24*60*SUM($M183:$M183)</f>
        <v>11.383333333069459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-17T13:25:18-0600',mode:absolute,to:'2017-10-17T15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5.8613</v>
      </c>
      <c r="Z183" s="204">
        <f>RIGHT(H183,LEN(H183)-4)/10000</f>
        <v>6.7799999999999999E-2</v>
      </c>
      <c r="AA183" s="204">
        <f>ABS(Z183-Y183)</f>
        <v>5.7934999999999999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824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/stypes="app*4031*20171017*" /stext=" 20:.+((SYSTEM_STATE.+slice.+state.+changed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42"/>
        <v>"%USERPROFILE%\Documents\GitHub\eaglep3\Utilities\RefineRTDCRunTimes.py" --tripid 824-17 --locoid 4031 --swversion DE.1.0.9.0 --startMP 300:58613 --initTime 2017-10-17T14:25:18 --startdatetime 2017-10-17T14:43:05 --delay 55 --endMP 204:678 --enddatetime 2017-10-17T14:54:28 --enforcementcount 0 &gt;&gt;%USERPROFILE%\Documents\GitHub\eaglep3-reporting\EC\2017-10-17-refined-times.txt</v>
      </c>
      <c r="AI183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{"issue":{"subject":"","project_id":79,"tracker_id":40,"status_id":1,"priority_id":2,"assigned_to_id":338,"start_date":"2017-10-17","description":"","custom_fields":[{"id":1,"name":"Subdivision","value":"NW"},{"id":4,"name":"Milepost","value":"0.0678"},{"id":17,"name":"Train ID","value":"824-17"},{"id":16,"name":"Locomotive ID","value":"4031"},{"id":130,"name":"Impact","value":""},{"id":150,"name":"Time of Event (Mountain Time)","value":"14:54:28"},{"id":151,"name":"Denver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44"/>
        <v>start /low /b %USERPROFILE%\Documents\GitHub\eaglep3\Utilities\DownloadLogsFromS3.py --loco 4031 --day 2017-10-17</v>
      </c>
      <c r="AN183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46"/>
        <v>https://d0f6bd738d7f1b3e5a7ca70fe4ff75f0.us-east-1.aws.found.io/app/kibana#/discover/Steve-Slow-Train-Analysis-(2080s-and-2083s)?_g=(refreshInterval:(display:Off,pause:!f,section:0,value:0),time:(from:'2017-10-17T13:25:18-0600',mode:absolute,to:'2017-10-17T15:54:28-0600'))&amp;_a=(columns:!('Message%20ID',Summary),filters:!(),index:'emp_*',interval:auto,query:(query_string:(analyze_wildcard:!t,query:'%22rtdc.l.rtdc.4031%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765</v>
      </c>
      <c r="B184" s="7">
        <v>4032</v>
      </c>
      <c r="C184" s="21" t="s">
        <v>194</v>
      </c>
      <c r="D184" s="21" t="s">
        <v>591</v>
      </c>
      <c r="E184" s="13">
        <v>43025.624594907407</v>
      </c>
      <c r="F184" s="13">
        <v>43025.631423611114</v>
      </c>
      <c r="G184" s="7">
        <v>45</v>
      </c>
      <c r="H184" s="21" t="s">
        <v>585</v>
      </c>
      <c r="I184" s="13">
        <v>43025.641539351855</v>
      </c>
      <c r="J184" s="7">
        <v>0</v>
      </c>
      <c r="K184" s="89" t="str">
        <f>IF(ISEVEN(B184),(B184-1)&amp;"/"&amp;B184,B184&amp;"/"&amp;(B184+1))</f>
        <v>4031/4032</v>
      </c>
      <c r="L184" s="185" t="str">
        <f>VLOOKUP(A184,'Trips&amp;Operators'!$C$1:$G$99911,5,FALSE)</f>
        <v>GUZMAN DANNY</v>
      </c>
      <c r="M184" s="6">
        <f>I184-F184</f>
        <v>1.0115740740729962E-2</v>
      </c>
      <c r="N184" s="7">
        <f>24*60*SUM($M184:$M184)</f>
        <v>14.566666666651145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-17T13:59:25-0600',mode:absolute,to:'2017-10-17T16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9.69E-2</v>
      </c>
      <c r="Z184" s="204">
        <f>RIGHT(H184,LEN(H184)-4)/10000</f>
        <v>5.8920000000000003</v>
      </c>
      <c r="AA184" s="204">
        <f>ABS(Z184-Y184)</f>
        <v>5.7951000000000006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825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/stypes="app*4032*20171017*"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42"/>
        <v>"%USERPROFILE%\Documents\GitHub\eaglep3\Utilities\RefineRTDCRunTimes.py" --tripid 825-17 --locoid 4032 --swversion DE.1.0.9.0 --startMP 204:969 --initTime 2017-10-17T14:59:25 --startdatetime 2017-10-17T15:09:15 --delay 45 --endMP 300:58920 --enddatetime 2017-10-17T15:23:49 --enforcementcount 0 &gt;&gt;%USERPROFILE%\Documents\GitHub\eaglep3-reporting\EC\2017-10-17-refined-times.txt</v>
      </c>
      <c r="AI184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{"issue":{"subject":"","project_id":79,"tracker_id":40,"status_id":1,"priority_id":2,"assigned_to_id":338,"start_date":"2017-10-17","description":"","custom_fields":[{"id":1,"name":"Subdivision","value":"NW"},{"id":4,"name":"Milepost","value":"5.892"},{"id":17,"name":"Train ID","value":"825-17"},{"id":16,"name":"Locomotive ID","value":"4032"},{"id":130,"name":"Impact","value":""},{"id":150,"name":"Time of Event (Mountain Time)","value":"15:23:49"},{"id":151,"name":"Denver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44"/>
        <v>start /low /b %USERPROFILE%\Documents\GitHub\eaglep3\Utilities\DownloadLogsFromS3.py --loco 4032 --day 2017-10-17</v>
      </c>
      <c r="AN184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46"/>
        <v>https://d0f6bd738d7f1b3e5a7ca70fe4ff75f0.us-east-1.aws.found.io/app/kibana#/discover/Steve-Slow-Train-Analysis-(2080s-and-2083s)?_g=(refreshInterval:(display:Off,pause:!f,section:0,value:0),time:(from:'2017-10-17T13:59:25-0600',mode:absolute,to:'2017-10-17T16:23:49-0600'))&amp;_a=(columns:!('Message%20ID',Summary),filters:!(),index:'emp_*',interval:auto,query:(query_string:(analyze_wildcard:!t,query:'%22rtdc.l.rtdc.4032%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769</v>
      </c>
      <c r="B185" s="7">
        <v>4031</v>
      </c>
      <c r="C185" s="21" t="s">
        <v>194</v>
      </c>
      <c r="D185" s="21" t="s">
        <v>602</v>
      </c>
      <c r="E185" s="13">
        <v>43025.642638888887</v>
      </c>
      <c r="F185" s="13">
        <v>43025.654849537037</v>
      </c>
      <c r="G185" s="7">
        <v>46</v>
      </c>
      <c r="H185" s="21" t="s">
        <v>601</v>
      </c>
      <c r="I185" s="13">
        <v>43025.662974537037</v>
      </c>
      <c r="J185" s="7">
        <v>0</v>
      </c>
      <c r="K185" s="89" t="str">
        <f>IF(ISEVEN(B185),(B185-1)&amp;"/"&amp;B185,B185&amp;"/"&amp;(B185+1))</f>
        <v>4031/4032</v>
      </c>
      <c r="L185" s="185" t="str">
        <f>VLOOKUP(A185,'Trips&amp;Operators'!$C$1:$G$99911,5,FALSE)</f>
        <v>GUZMAN DANNY</v>
      </c>
      <c r="M185" s="6">
        <f>I185-F185</f>
        <v>8.1250000002910383E-3</v>
      </c>
      <c r="N185" s="7">
        <f>24*60*SUM($M185:$M185)</f>
        <v>11.700000000419095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-17T14:25:24-0600',mode:absolute,to:'2017-10-17T16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5.8624000000000001</v>
      </c>
      <c r="Z185" s="204">
        <f>RIGHT(H185,LEN(H185)-4)/10000</f>
        <v>6.8000000000000005E-2</v>
      </c>
      <c r="AA185" s="204">
        <f>ABS(Z185-Y185)</f>
        <v>5.7944000000000004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826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/stypes="app*4031*20171017*"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42"/>
        <v>"%USERPROFILE%\Documents\GitHub\eaglep3\Utilities\RefineRTDCRunTimes.py" --tripid 826-17 --locoid 4031 --swversion DE.1.0.9.0 --startMP 300:58624 --initTime 2017-10-17T15:25:24 --startdatetime 2017-10-17T15:42:59 --delay 46 --endMP 204:680 --enddatetime 2017-10-17T15:54:41 --enforcementcount 0 &gt;&gt;%USERPROFILE%\Documents\GitHub\eaglep3-reporting\EC\2017-10-17-refined-times.txt</v>
      </c>
      <c r="AI185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{"issue":{"subject":"","project_id":79,"tracker_id":40,"status_id":1,"priority_id":2,"assigned_to_id":338,"start_date":"2017-10-17","description":"","custom_fields":[{"id":1,"name":"Subdivision","value":"NW"},{"id":4,"name":"Milepost","value":"0.068"},{"id":17,"name":"Train ID","value":"826-17"},{"id":16,"name":"Locomotive ID","value":"4031"},{"id":130,"name":"Impact","value":""},{"id":150,"name":"Time of Event (Mountain Time)","value":"15:54:41"},{"id":151,"name":"Denver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44"/>
        <v>start /low /b %USERPROFILE%\Documents\GitHub\eaglep3\Utilities\DownloadLogsFromS3.py --loco 4031 --day 2017-10-17</v>
      </c>
      <c r="AN185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46"/>
        <v>https://d0f6bd738d7f1b3e5a7ca70fe4ff75f0.us-east-1.aws.found.io/app/kibana#/discover/Steve-Slow-Train-Analysis-(2080s-and-2083s)?_g=(refreshInterval:(display:Off,pause:!f,section:0,value:0),time:(from:'2017-10-17T14:25:24-0600',mode:absolute,to:'2017-10-17T16:54:41-0600'))&amp;_a=(columns:!('Message%20ID',Summary),filters:!(),index:'emp_*',interval:auto,query:(query_string:(analyze_wildcard:!t,query:'%22rtdc.l.rtdc.4031%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630</v>
      </c>
      <c r="B186" s="7">
        <v>4060</v>
      </c>
      <c r="C186" s="21" t="s">
        <v>194</v>
      </c>
      <c r="D186" s="21" t="s">
        <v>948</v>
      </c>
      <c r="E186" s="13">
        <v>43025.649108796293</v>
      </c>
      <c r="F186" s="13">
        <v>43025.652349537035</v>
      </c>
      <c r="G186" s="7">
        <v>64</v>
      </c>
      <c r="H186" s="21" t="s">
        <v>600</v>
      </c>
      <c r="I186" s="13">
        <v>43025.662106481483</v>
      </c>
      <c r="J186" s="7">
        <v>0</v>
      </c>
      <c r="K186" s="89" t="str">
        <f>IF(ISEVEN(B186),(B186-1)&amp;"/"&amp;B186,B186&amp;"/"&amp;(B186+1))</f>
        <v>4059/4060</v>
      </c>
      <c r="L186" s="185" t="str">
        <f>VLOOKUP(A186,'Trips&amp;Operators'!$C$1:$G$99911,5,FALSE)</f>
        <v>STAMBAUGH JAMES</v>
      </c>
      <c r="M186" s="6">
        <f>I186-F186</f>
        <v>9.7569444478722289E-3</v>
      </c>
      <c r="N186" s="7">
        <f>24*60*SUM($M186:$M186)</f>
        <v>14.05000000493601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-17T14:34:43-0600',mode:absolute,to:'2017-10-17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9.3399999999999997E-2</v>
      </c>
      <c r="Z186" s="204">
        <f>RIGHT(H186,LEN(H186)-4)/10000</f>
        <v>5.8952</v>
      </c>
      <c r="AA186" s="204">
        <f>ABS(Z186-Y186)</f>
        <v>5.8018000000000001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827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/stypes="app*4060*20171017*" /stext=" 21:.+((SYSTEM_STATE.+slice.+state.+changed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42"/>
        <v>"%USERPROFILE%\Documents\GitHub\eaglep3\Utilities\RefineRTDCRunTimes.py" --tripid 827-17 --locoid 4060 --swversion DE.1.0.9.0 --startMP 204:934 --initTime 2017-10-17T15:34:43 --startdatetime 2017-10-17T15:39:23 --delay 64 --endMP 300:58952 --enddatetime 2017-10-17T15:53:26 --enforcementcount 0 &gt;&gt;%USERPROFILE%\Documents\GitHub\eaglep3-reporting\EC\2017-10-17-refined-times.txt</v>
      </c>
      <c r="AI186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{"issue":{"subject":"","project_id":79,"tracker_id":40,"status_id":1,"priority_id":2,"assigned_to_id":338,"start_date":"2017-10-17","description":"","custom_fields":[{"id":1,"name":"Subdivision","value":"NW"},{"id":4,"name":"Milepost","value":"5.8952"},{"id":17,"name":"Train ID","value":"827-17"},{"id":16,"name":"Locomotive ID","value":"4060"},{"id":130,"name":"Impact","value":""},{"id":150,"name":"Time of Event (Mountain Time)","value":"15:53:26"},{"id":151,"name":"Denver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44"/>
        <v>start /low /b %USERPROFILE%\Documents\GitHub\eaglep3\Utilities\DownloadLogsFromS3.py --loco 4060 --day 2017-10-17</v>
      </c>
      <c r="AN186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46"/>
        <v>https://d0f6bd738d7f1b3e5a7ca70fe4ff75f0.us-east-1.aws.found.io/app/kibana#/discover/Steve-Slow-Train-Analysis-(2080s-and-2083s)?_g=(refreshInterval:(display:Off,pause:!f,section:0,value:0),time:(from:'2017-10-17T14:34:43-0600',mode:absolute,to:'2017-10-17T16:53:26-0600'))&amp;_a=(columns:!('Message%20ID',Summary),filters:!(),index:'emp_*',interval:auto,query:(query_string:(analyze_wildcard:!t,query:'%22rtdc.l.rtdc.4060%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777</v>
      </c>
      <c r="B187" s="7">
        <v>4059</v>
      </c>
      <c r="C187" s="21" t="s">
        <v>194</v>
      </c>
      <c r="D187" s="21" t="s">
        <v>960</v>
      </c>
      <c r="E187" s="13">
        <v>43025.663981481484</v>
      </c>
      <c r="F187" s="13">
        <v>43025.675925925927</v>
      </c>
      <c r="G187" s="7">
        <v>74</v>
      </c>
      <c r="H187" s="21" t="s">
        <v>961</v>
      </c>
      <c r="I187" s="13">
        <v>43025.683564814812</v>
      </c>
      <c r="J187" s="7">
        <v>0</v>
      </c>
      <c r="K187" s="89" t="str">
        <f>IF(ISEVEN(B187),(B187-1)&amp;"/"&amp;B187,B187&amp;"/"&amp;(B187+1))</f>
        <v>4059/4060</v>
      </c>
      <c r="L187" s="185" t="str">
        <f>VLOOKUP(A187,'Trips&amp;Operators'!$C$1:$G$99911,5,FALSE)</f>
        <v>STAMBAUGH JAMES</v>
      </c>
      <c r="M187" s="6">
        <f>I187-F187</f>
        <v>7.6388888846850023E-3</v>
      </c>
      <c r="N187" s="7">
        <f>24*60*SUM($M187:$M187)</f>
        <v>10.999999993946403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-17T14:56:08-0600',mode:absolute,to:'2017-10-17T17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5.8630000000000004</v>
      </c>
      <c r="Z187" s="204">
        <f>RIGHT(H187,LEN(H187)-4)/10000</f>
        <v>6.6600000000000006E-2</v>
      </c>
      <c r="AA187" s="204">
        <f>ABS(Z187-Y187)</f>
        <v>5.7964000000000002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828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/stypes="app*4059*20171017*"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42"/>
        <v>"%USERPROFILE%\Documents\GitHub\eaglep3\Utilities\RefineRTDCRunTimes.py" --tripid 828-17 --locoid 4059 --swversion DE.1.0.9.0 --startMP 300:58630 --initTime 2017-10-17T15:56:08 --startdatetime 2017-10-17T16:13:20 --delay 74 --endMP 204:666 --enddatetime 2017-10-17T16:24:20 --enforcementcount 0 &gt;&gt;%USERPROFILE%\Documents\GitHub\eaglep3-reporting\EC\2017-10-17-refined-times.txt</v>
      </c>
      <c r="AI187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{"issue":{"subject":"","project_id":79,"tracker_id":40,"status_id":1,"priority_id":2,"assigned_to_id":338,"start_date":"2017-10-17","description":"","custom_fields":[{"id":1,"name":"Subdivision","value":"NW"},{"id":4,"name":"Milepost","value":"0.0666"},{"id":17,"name":"Train ID","value":"828-17"},{"id":16,"name":"Locomotive ID","value":"4059"},{"id":130,"name":"Impact","value":""},{"id":150,"name":"Time of Event (Mountain Time)","value":"16:24:20"},{"id":151,"name":"Denver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44"/>
        <v>start /low /b %USERPROFILE%\Documents\GitHub\eaglep3\Utilities\DownloadLogsFromS3.py --loco 4059 --day 2017-10-17</v>
      </c>
      <c r="AN187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46"/>
        <v>https://d0f6bd738d7f1b3e5a7ca70fe4ff75f0.us-east-1.aws.found.io/app/kibana#/discover/Steve-Slow-Train-Analysis-(2080s-and-2083s)?_g=(refreshInterval:(display:Off,pause:!f,section:0,value:0),time:(from:'2017-10-17T14:56:08-0600',mode:absolute,to:'2017-10-17T17:24:20-0600'))&amp;_a=(columns:!('Message%20ID',Summary),filters:!(),index:'emp_*',interval:auto,query:(query_string:(analyze_wildcard:!t,query:'%22rtdc.l.rtdc.4059%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778</v>
      </c>
      <c r="B188" s="7">
        <v>4032</v>
      </c>
      <c r="C188" s="21" t="s">
        <v>194</v>
      </c>
      <c r="D188" s="21" t="s">
        <v>962</v>
      </c>
      <c r="E188" s="13">
        <v>43025.666296296295</v>
      </c>
      <c r="F188" s="13">
        <v>43025.673148148147</v>
      </c>
      <c r="G188" s="7">
        <v>49</v>
      </c>
      <c r="H188" s="21" t="s">
        <v>518</v>
      </c>
      <c r="I188" s="13">
        <v>43025.683622685188</v>
      </c>
      <c r="J188" s="7">
        <v>0</v>
      </c>
      <c r="K188" s="89" t="str">
        <f>IF(ISEVEN(B188),(B188-1)&amp;"/"&amp;B188,B188&amp;"/"&amp;(B188+1))</f>
        <v>4031/4032</v>
      </c>
      <c r="L188" s="185" t="str">
        <f>VLOOKUP(A188,'Trips&amp;Operators'!$C$1:$G$99911,5,FALSE)</f>
        <v>GUZMAN DANNY</v>
      </c>
      <c r="M188" s="6">
        <f>I188-F188</f>
        <v>1.0474537040863652E-2</v>
      </c>
      <c r="N188" s="7">
        <f>24*60*SUM($M188:$M188)</f>
        <v>15.083333338843659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-17T14:59:28-0600',mode:absolute,to:'2017-10-17T17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9.7900000000000001E-2</v>
      </c>
      <c r="Z188" s="204">
        <f>RIGHT(H188,LEN(H188)-4)/10000</f>
        <v>5.8936999999999999</v>
      </c>
      <c r="AA188" s="204">
        <f>ABS(Z188-Y188)</f>
        <v>5.7957999999999998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829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/stypes="app*4032*20171017*"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42"/>
        <v>"%USERPROFILE%\Documents\GitHub\eaglep3\Utilities\RefineRTDCRunTimes.py" --tripid 829-17 --locoid 4032 --swversion DE.1.0.9.0 --startMP 204:979 --initTime 2017-10-17T15:59:28 --startdatetime 2017-10-17T16:09:20 --delay 49 --endMP 300:58937 --enddatetime 2017-10-17T16:24:25 --enforcementcount 0 &gt;&gt;%USERPROFILE%\Documents\GitHub\eaglep3-reporting\EC\2017-10-17-refined-times.txt</v>
      </c>
      <c r="AI188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{"issue":{"subject":"","project_id":79,"tracker_id":40,"status_id":1,"priority_id":2,"assigned_to_id":338,"start_date":"2017-10-17","description":"","custom_fields":[{"id":1,"name":"Subdivision","value":"NW"},{"id":4,"name":"Milepost","value":"5.8937"},{"id":17,"name":"Train ID","value":"829-17"},{"id":16,"name":"Locomotive ID","value":"4032"},{"id":130,"name":"Impact","value":""},{"id":150,"name":"Time of Event (Mountain Time)","value":"16:24:25"},{"id":151,"name":"Denver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44"/>
        <v>start /low /b %USERPROFILE%\Documents\GitHub\eaglep3\Utilities\DownloadLogsFromS3.py --loco 4032 --day 2017-10-17</v>
      </c>
      <c r="AN188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46"/>
        <v>https://d0f6bd738d7f1b3e5a7ca70fe4ff75f0.us-east-1.aws.found.io/app/kibana#/discover/Steve-Slow-Train-Analysis-(2080s-and-2083s)?_g=(refreshInterval:(display:Off,pause:!f,section:0,value:0),time:(from:'2017-10-17T14:59:28-0600',mode:absolute,to:'2017-10-17T17:24:25-0600'))&amp;_a=(columns:!('Message%20ID',Summary),filters:!(),index:'emp_*',interval:auto,query:(query_string:(analyze_wildcard:!t,query:'%22rtdc.l.rtdc.4032%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784</v>
      </c>
      <c r="B189" s="7">
        <v>4031</v>
      </c>
      <c r="C189" s="21" t="s">
        <v>194</v>
      </c>
      <c r="D189" s="21" t="s">
        <v>963</v>
      </c>
      <c r="E189" s="13">
        <v>43025.684988425928</v>
      </c>
      <c r="F189" s="13">
        <v>43025.696435185186</v>
      </c>
      <c r="G189" s="7">
        <v>44</v>
      </c>
      <c r="H189" s="21" t="s">
        <v>938</v>
      </c>
      <c r="I189" s="13">
        <v>43025.705231481479</v>
      </c>
      <c r="J189" s="7">
        <v>0</v>
      </c>
      <c r="K189" s="89" t="str">
        <f>IF(ISEVEN(B189),(B189-1)&amp;"/"&amp;B189,B189&amp;"/"&amp;(B189+1))</f>
        <v>4031/4032</v>
      </c>
      <c r="L189" s="185" t="str">
        <f>VLOOKUP(A189,'Trips&amp;Operators'!$C$1:$G$99911,5,FALSE)</f>
        <v>GUZMAN DANNY</v>
      </c>
      <c r="M189" s="6">
        <f>I189-F189</f>
        <v>8.7962962934398092E-3</v>
      </c>
      <c r="N189" s="7">
        <f>24*60*SUM($M189:$M189)</f>
        <v>12.666666662553325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-17T15:26:23-0600',mode:absolute,to:'2017-10-17T17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5.8619000000000003</v>
      </c>
      <c r="Z189" s="204">
        <f>RIGHT(H189,LEN(H189)-4)/10000</f>
        <v>6.3600000000000004E-2</v>
      </c>
      <c r="AA189" s="204">
        <f>ABS(Z189-Y189)</f>
        <v>5.7983000000000002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830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/stypes="app*4031*20171017*"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42"/>
        <v>"%USERPROFILE%\Documents\GitHub\eaglep3\Utilities\RefineRTDCRunTimes.py" --tripid 830-17 --locoid 4031 --swversion DE.1.0.9.0 --startMP 300:58619 --initTime 2017-10-17T16:26:23 --startdatetime 2017-10-17T16:42:52 --delay 44 --endMP 204:636 --enddatetime 2017-10-17T16:55:32 --enforcementcount 0 &gt;&gt;%USERPROFILE%\Documents\GitHub\eaglep3-reporting\EC\2017-10-17-refined-times.txt</v>
      </c>
      <c r="AI189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{"issue":{"subject":"","project_id":79,"tracker_id":40,"status_id":1,"priority_id":2,"assigned_to_id":338,"start_date":"2017-10-17","description":"","custom_fields":[{"id":1,"name":"Subdivision","value":"NW"},{"id":4,"name":"Milepost","value":"0.0636"},{"id":17,"name":"Train ID","value":"830-17"},{"id":16,"name":"Locomotive ID","value":"4031"},{"id":130,"name":"Impact","value":""},{"id":150,"name":"Time of Event (Mountain Time)","value":"16:55:32"},{"id":151,"name":"Denver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44"/>
        <v>start /low /b %USERPROFILE%\Documents\GitHub\eaglep3\Utilities\DownloadLogsFromS3.py --loco 4031 --day 2017-10-17</v>
      </c>
      <c r="AN189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46"/>
        <v>https://d0f6bd738d7f1b3e5a7ca70fe4ff75f0.us-east-1.aws.found.io/app/kibana#/discover/Steve-Slow-Train-Analysis-(2080s-and-2083s)?_g=(refreshInterval:(display:Off,pause:!f,section:0,value:0),time:(from:'2017-10-17T15:26:23-0600',mode:absolute,to:'2017-10-17T17:55:32-0600'))&amp;_a=(columns:!('Message%20ID',Summary),filters:!(),index:'emp_*',interval:auto,query:(query_string:(analyze_wildcard:!t,query:'%22rtdc.l.rtdc.4031%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786</v>
      </c>
      <c r="B190" s="7">
        <v>4060</v>
      </c>
      <c r="C190" s="21" t="s">
        <v>194</v>
      </c>
      <c r="D190" s="21" t="s">
        <v>599</v>
      </c>
      <c r="E190" s="13">
        <v>43025.69091435185</v>
      </c>
      <c r="F190" s="13">
        <v>43025.694155092591</v>
      </c>
      <c r="G190" s="7">
        <v>60</v>
      </c>
      <c r="H190" s="21" t="s">
        <v>964</v>
      </c>
      <c r="I190" s="13">
        <v>43025.704027777778</v>
      </c>
      <c r="J190" s="7">
        <v>0</v>
      </c>
      <c r="K190" s="89" t="str">
        <f>IF(ISEVEN(B190),(B190-1)&amp;"/"&amp;B190,B190&amp;"/"&amp;(B190+1))</f>
        <v>4059/4060</v>
      </c>
      <c r="L190" s="185" t="str">
        <f>VLOOKUP(A190,'Trips&amp;Operators'!$C$1:$G$99911,5,FALSE)</f>
        <v>STAMBAUGH JAMES</v>
      </c>
      <c r="M190" s="6">
        <f>I190-F190</f>
        <v>9.8726851865649223E-3</v>
      </c>
      <c r="N190" s="7">
        <f>24*60*SUM($M190:$M190)</f>
        <v>14.216666668653488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-17T15:34:55-0600',mode:absolute,to:'2017-10-17T17:53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9.5299999999999996E-2</v>
      </c>
      <c r="Z190" s="204">
        <f>RIGHT(H190,LEN(H190)-4)/10000</f>
        <v>5.8959999999999999</v>
      </c>
      <c r="AA190" s="204">
        <f>ABS(Z190-Y190)</f>
        <v>5.8007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831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/stypes="app*4060*20171017*" /stext=" 22:.+((SYSTEM_STATE.+slice.+state.+changed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42"/>
        <v>"%USERPROFILE%\Documents\GitHub\eaglep3\Utilities\RefineRTDCRunTimes.py" --tripid 831-17 --locoid 4060 --swversion DE.1.0.9.0 --startMP 204:953 --initTime 2017-10-17T16:34:55 --startdatetime 2017-10-17T16:39:35 --delay 60 --endMP 300:58960 --enddatetime 2017-10-17T16:53:48 --enforcementcount 0 &gt;&gt;%USERPROFILE%\Documents\GitHub\eaglep3-reporting\EC\2017-10-17-refined-times.txt</v>
      </c>
      <c r="AI190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{"issue":{"subject":"","project_id":79,"tracker_id":40,"status_id":1,"priority_id":2,"assigned_to_id":338,"start_date":"2017-10-17","description":"","custom_fields":[{"id":1,"name":"Subdivision","value":"NW"},{"id":4,"name":"Milepost","value":"5.896"},{"id":17,"name":"Train ID","value":"831-17"},{"id":16,"name":"Locomotive ID","value":"4060"},{"id":130,"name":"Impact","value":""},{"id":150,"name":"Time of Event (Mountain Time)","value":"16:53:48"},{"id":151,"name":"Denver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44"/>
        <v>start /low /b %USERPROFILE%\Documents\GitHub\eaglep3\Utilities\DownloadLogsFromS3.py --loco 4060 --day 2017-10-17</v>
      </c>
      <c r="AN190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22:53:48"},{"id":29,"name":"Sharepoint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46"/>
        <v>https://d0f6bd738d7f1b3e5a7ca70fe4ff75f0.us-east-1.aws.found.io/app/kibana#/discover/Steve-Slow-Train-Analysis-(2080s-and-2083s)?_g=(refreshInterval:(display:Off,pause:!f,section:0,value:0),time:(from:'2017-10-17T15:34:55-0600',mode:absolute,to:'2017-10-17T17:53:48-0600'))&amp;_a=(columns:!('Message%20ID',Summary),filters:!(),index:'emp_*',interval:auto,query:(query_string:(analyze_wildcard:!t,query:'%22rtdc.l.rtdc.4060%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790</v>
      </c>
      <c r="B191" s="7">
        <v>4059</v>
      </c>
      <c r="C191" s="21" t="s">
        <v>194</v>
      </c>
      <c r="D191" s="21" t="s">
        <v>965</v>
      </c>
      <c r="E191" s="13">
        <v>43025.704965277779</v>
      </c>
      <c r="F191" s="13">
        <v>43025.717048611114</v>
      </c>
      <c r="G191" s="7">
        <v>56</v>
      </c>
      <c r="H191" s="21" t="s">
        <v>584</v>
      </c>
      <c r="I191" s="13">
        <v>43025.725532407407</v>
      </c>
      <c r="J191" s="7">
        <v>0</v>
      </c>
      <c r="K191" s="89" t="str">
        <f>IF(ISEVEN(B191),(B191-1)&amp;"/"&amp;B191,B191&amp;"/"&amp;(B191+1))</f>
        <v>4059/4060</v>
      </c>
      <c r="L191" s="185" t="str">
        <f>VLOOKUP(A191,'Trips&amp;Operators'!$C$1:$G$99911,5,FALSE)</f>
        <v>STAMBAUGH JAMES</v>
      </c>
      <c r="M191" s="6">
        <f>I191-F191</f>
        <v>8.4837962931487709E-3</v>
      </c>
      <c r="N191" s="7">
        <f>24*60*SUM($M191:$M191)</f>
        <v>12.21666666213423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-17T15:55:09-0600',mode:absolute,to:'2017-10-17T18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5.8640999999999996</v>
      </c>
      <c r="Z191" s="204">
        <f>RIGHT(H191,LEN(H191)-4)/10000</f>
        <v>6.9199999999999998E-2</v>
      </c>
      <c r="AA191" s="204">
        <f>ABS(Z191-Y191)</f>
        <v>5.7948999999999993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832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/stypes="app*4059*20171017*"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42"/>
        <v>"%USERPROFILE%\Documents\GitHub\eaglep3\Utilities\RefineRTDCRunTimes.py" --tripid 832-17 --locoid 4059 --swversion DE.1.0.9.0 --startMP 300:58641 --initTime 2017-10-17T16:55:09 --startdatetime 2017-10-17T17:12:33 --delay 56 --endMP 204:692 --enddatetime 2017-10-17T17:24:46 --enforcementcount 0 &gt;&gt;%USERPROFILE%\Documents\GitHub\eaglep3-reporting\EC\2017-10-17-refined-times.txt</v>
      </c>
      <c r="AI191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{"issue":{"subject":"","project_id":79,"tracker_id":40,"status_id":1,"priority_id":2,"assigned_to_id":338,"start_date":"2017-10-17","description":"","custom_fields":[{"id":1,"name":"Subdivision","value":"NW"},{"id":4,"name":"Milepost","value":"0.0692"},{"id":17,"name":"Train ID","value":"832-17"},{"id":16,"name":"Locomotive ID","value":"4059"},{"id":130,"name":"Impact","value":""},{"id":150,"name":"Time of Event (Mountain Time)","value":"17:24:46"},{"id":151,"name":"Denver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44"/>
        <v>start /low /b %USERPROFILE%\Documents\GitHub\eaglep3\Utilities\DownloadLogsFromS3.py --loco 4059 --day 2017-10-17</v>
      </c>
      <c r="AN191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46"/>
        <v>https://d0f6bd738d7f1b3e5a7ca70fe4ff75f0.us-east-1.aws.found.io/app/kibana#/discover/Steve-Slow-Train-Analysis-(2080s-and-2083s)?_g=(refreshInterval:(display:Off,pause:!f,section:0,value:0),time:(from:'2017-10-17T15:55:09-0600',mode:absolute,to:'2017-10-17T18:24:46-0600'))&amp;_a=(columns:!('Message%20ID',Summary),filters:!(),index:'emp_*',interval:auto,query:(query_string:(analyze_wildcard:!t,query:'%22rtdc.l.rtdc.4059%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791</v>
      </c>
      <c r="B192" s="7">
        <v>4032</v>
      </c>
      <c r="C192" s="21" t="s">
        <v>194</v>
      </c>
      <c r="D192" s="21" t="s">
        <v>955</v>
      </c>
      <c r="E192" s="13">
        <v>43025.70789351852</v>
      </c>
      <c r="F192" s="13">
        <v>43025.714756944442</v>
      </c>
      <c r="G192" s="7">
        <v>49</v>
      </c>
      <c r="H192" s="21" t="s">
        <v>957</v>
      </c>
      <c r="I192" s="13">
        <v>43025.725324074076</v>
      </c>
      <c r="J192" s="7">
        <v>0</v>
      </c>
      <c r="K192" s="89" t="str">
        <f>IF(ISEVEN(B192),(B192-1)&amp;"/"&amp;B192,B192&amp;"/"&amp;(B192+1))</f>
        <v>4031/4032</v>
      </c>
      <c r="L192" s="185" t="str">
        <f>VLOOKUP(A192,'Trips&amp;Operators'!$C$1:$G$99911,5,FALSE)</f>
        <v>GUZMAN DANNY</v>
      </c>
      <c r="M192" s="6">
        <f>I192-F192</f>
        <v>1.0567129633272998E-2</v>
      </c>
      <c r="N192" s="7">
        <f>24*60*SUM($M192:$M192)</f>
        <v>15.216666671913117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-17T15:59:22-0600',mode:absolute,to:'2017-10-17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9.2999999999999999E-2</v>
      </c>
      <c r="Z192" s="204">
        <f>RIGHT(H192,LEN(H192)-4)/10000</f>
        <v>5.8928000000000003</v>
      </c>
      <c r="AA192" s="204">
        <f>ABS(Z192-Y192)</f>
        <v>5.7998000000000003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833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/stypes="app*4032*20171017*"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42"/>
        <v>"%USERPROFILE%\Documents\GitHub\eaglep3\Utilities\RefineRTDCRunTimes.py" --tripid 833-17 --locoid 4032 --swversion DE.1.0.9.0 --startMP 204:930 --initTime 2017-10-17T16:59:22 --startdatetime 2017-10-17T17:09:15 --delay 49 --endMP 300:58928 --enddatetime 2017-10-17T17:24:28 --enforcementcount 0 &gt;&gt;%USERPROFILE%\Documents\GitHub\eaglep3-reporting\EC\2017-10-17-refined-times.txt</v>
      </c>
      <c r="AI192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{"issue":{"subject":"","project_id":79,"tracker_id":40,"status_id":1,"priority_id":2,"assigned_to_id":338,"start_date":"2017-10-17","description":"","custom_fields":[{"id":1,"name":"Subdivision","value":"NW"},{"id":4,"name":"Milepost","value":"5.8928"},{"id":17,"name":"Train ID","value":"833-17"},{"id":16,"name":"Locomotive ID","value":"4032"},{"id":130,"name":"Impact","value":""},{"id":150,"name":"Time of Event (Mountain Time)","value":"17:24:28"},{"id":151,"name":"Denver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44"/>
        <v>start /low /b %USERPROFILE%\Documents\GitHub\eaglep3\Utilities\DownloadLogsFromS3.py --loco 4032 --day 2017-10-17</v>
      </c>
      <c r="AN192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46"/>
        <v>https://d0f6bd738d7f1b3e5a7ca70fe4ff75f0.us-east-1.aws.found.io/app/kibana#/discover/Steve-Slow-Train-Analysis-(2080s-and-2083s)?_g=(refreshInterval:(display:Off,pause:!f,section:0,value:0),time:(from:'2017-10-17T15:59:22-0600',mode:absolute,to:'2017-10-17T18:24:28-0600'))&amp;_a=(columns:!('Message%20ID',Summary),filters:!(),index:'emp_*',interval:auto,query:(query_string:(analyze_wildcard:!t,query:'%22rtdc.l.rtdc.4032%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797</v>
      </c>
      <c r="B193" s="7">
        <v>4031</v>
      </c>
      <c r="C193" s="21" t="s">
        <v>194</v>
      </c>
      <c r="D193" s="21" t="s">
        <v>490</v>
      </c>
      <c r="E193" s="13">
        <v>43025.726504629631</v>
      </c>
      <c r="F193" s="13">
        <v>43025.738067129627</v>
      </c>
      <c r="G193" s="7">
        <v>48</v>
      </c>
      <c r="H193" s="21" t="s">
        <v>966</v>
      </c>
      <c r="I193" s="13">
        <v>43025.747152777774</v>
      </c>
      <c r="J193" s="7">
        <v>0</v>
      </c>
      <c r="K193" s="89" t="str">
        <f>IF(ISEVEN(B193),(B193-1)&amp;"/"&amp;B193,B193&amp;"/"&amp;(B193+1))</f>
        <v>4031/4032</v>
      </c>
      <c r="L193" s="185" t="str">
        <f>VLOOKUP(A193,'Trips&amp;Operators'!$C$1:$G$99911,5,FALSE)</f>
        <v>GUZMAN DANNY</v>
      </c>
      <c r="M193" s="6">
        <f>I193-F193</f>
        <v>9.0856481474475004E-3</v>
      </c>
      <c r="N193" s="7">
        <f>24*60*SUM($M193:$M193)</f>
        <v>13.083333332324401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-17T16:26:10-0600',mode:absolute,to:'2017-10-17T18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5.8616999999999999</v>
      </c>
      <c r="Z193" s="204">
        <f>RIGHT(H193,LEN(H193)-4)/10000</f>
        <v>7.2400000000000006E-2</v>
      </c>
      <c r="AA193" s="204">
        <f>ABS(Z193-Y193)</f>
        <v>5.7892999999999999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834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/stypes="app*4031*20171017*"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42"/>
        <v>"%USERPROFILE%\Documents\GitHub\eaglep3\Utilities\RefineRTDCRunTimes.py" --tripid 834-17 --locoid 4031 --swversion DE.1.0.9.0 --startMP 300:58617 --initTime 2017-10-17T17:26:10 --startdatetime 2017-10-17T17:42:49 --delay 48 --endMP 204:724 --enddatetime 2017-10-17T17:55:54 --enforcementcount 0 &gt;&gt;%USERPROFILE%\Documents\GitHub\eaglep3-reporting\EC\2017-10-17-refined-times.txt</v>
      </c>
      <c r="AI193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{"issue":{"subject":"","project_id":79,"tracker_id":40,"status_id":1,"priority_id":2,"assigned_to_id":338,"start_date":"2017-10-17","description":"","custom_fields":[{"id":1,"name":"Subdivision","value":"NW"},{"id":4,"name":"Milepost","value":"0.0724"},{"id":17,"name":"Train ID","value":"834-17"},{"id":16,"name":"Locomotive ID","value":"4031"},{"id":130,"name":"Impact","value":""},{"id":150,"name":"Time of Event (Mountain Time)","value":"17:55:54"},{"id":151,"name":"Denver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44"/>
        <v>start /low /b %USERPROFILE%\Documents\GitHub\eaglep3\Utilities\DownloadLogsFromS3.py --loco 4031 --day 2017-10-17</v>
      </c>
      <c r="AN193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46"/>
        <v>https://d0f6bd738d7f1b3e5a7ca70fe4ff75f0.us-east-1.aws.found.io/app/kibana#/discover/Steve-Slow-Train-Analysis-(2080s-and-2083s)?_g=(refreshInterval:(display:Off,pause:!f,section:0,value:0),time:(from:'2017-10-17T16:26:10-0600',mode:absolute,to:'2017-10-17T18:55:54-0600'))&amp;_a=(columns:!('Message%20ID',Summary),filters:!(),index:'emp_*',interval:auto,query:(query_string:(analyze_wildcard:!t,query:'%22rtdc.l.rtdc.4031%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799</v>
      </c>
      <c r="B194" s="7">
        <v>4060</v>
      </c>
      <c r="C194" s="21" t="s">
        <v>194</v>
      </c>
      <c r="D194" s="21" t="s">
        <v>941</v>
      </c>
      <c r="E194" s="13">
        <v>43025.733576388891</v>
      </c>
      <c r="F194" s="13">
        <v>43025.735879629632</v>
      </c>
      <c r="G194" s="7">
        <v>53</v>
      </c>
      <c r="H194" s="21" t="s">
        <v>600</v>
      </c>
      <c r="I194" s="13">
        <v>43025.745833333334</v>
      </c>
      <c r="J194" s="7">
        <v>0</v>
      </c>
      <c r="K194" s="89" t="str">
        <f>IF(ISEVEN(B194),(B194-1)&amp;"/"&amp;B194,B194&amp;"/"&amp;(B194+1))</f>
        <v>4059/4060</v>
      </c>
      <c r="L194" s="185" t="str">
        <f>VLOOKUP(A194,'Trips&amp;Operators'!$C$1:$G$99911,5,FALSE)</f>
        <v>STAMBAUGH JAMES</v>
      </c>
      <c r="M194" s="6">
        <f>I194-F194</f>
        <v>9.9537037021946162E-3</v>
      </c>
      <c r="N194" s="7">
        <f>24*60*SUM($M194:$M194)</f>
        <v>14.333333331160247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-17T16:36:21-0600',mode:absolute,to:'2017-10-17T18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9.3700000000000006E-2</v>
      </c>
      <c r="Z194" s="204">
        <f>RIGHT(H194,LEN(H194)-4)/10000</f>
        <v>5.8952</v>
      </c>
      <c r="AA194" s="204">
        <f>ABS(Z194-Y194)</f>
        <v>5.8014999999999999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835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/stypes="app*4060*20171017*"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42"/>
        <v>"%USERPROFILE%\Documents\GitHub\eaglep3\Utilities\RefineRTDCRunTimes.py" --tripid 835-17 --locoid 4060 --swversion DE.1.0.9.0 --startMP 204:937 --initTime 2017-10-17T17:36:21 --startdatetime 2017-10-17T17:39:40 --delay 53 --endMP 300:58952 --enddatetime 2017-10-17T17:54:00 --enforcementcount 0 &gt;&gt;%USERPROFILE%\Documents\GitHub\eaglep3-reporting\EC\2017-10-17-refined-times.txt</v>
      </c>
      <c r="AI194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{"issue":{"subject":"","project_id":79,"tracker_id":40,"status_id":1,"priority_id":2,"assigned_to_id":338,"start_date":"2017-10-17","description":"","custom_fields":[{"id":1,"name":"Subdivision","value":"NW"},{"id":4,"name":"Milepost","value":"5.8952"},{"id":17,"name":"Train ID","value":"835-17"},{"id":16,"name":"Locomotive ID","value":"4060"},{"id":130,"name":"Impact","value":""},{"id":150,"name":"Time of Event (Mountain Time)","value":"17:54:00"},{"id":151,"name":"Denver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44"/>
        <v>start /low /b %USERPROFILE%\Documents\GitHub\eaglep3\Utilities\DownloadLogsFromS3.py --loco 4060 --day 2017-10-17</v>
      </c>
      <c r="AN194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46"/>
        <v>https://d0f6bd738d7f1b3e5a7ca70fe4ff75f0.us-east-1.aws.found.io/app/kibana#/discover/Steve-Slow-Train-Analysis-(2080s-and-2083s)?_g=(refreshInterval:(display:Off,pause:!f,section:0,value:0),time:(from:'2017-10-17T16:36:21-0600',mode:absolute,to:'2017-10-17T18:54:00-0600'))&amp;_a=(columns:!('Message%20ID',Summary),filters:!(),index:'emp_*',interval:auto,query:(query_string:(analyze_wildcard:!t,query:'%22rtdc.l.rtdc.4060%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804</v>
      </c>
      <c r="B195" s="7">
        <v>4059</v>
      </c>
      <c r="C195" s="21" t="s">
        <v>194</v>
      </c>
      <c r="D195" s="21" t="s">
        <v>967</v>
      </c>
      <c r="E195" s="13">
        <v>43025.746770833335</v>
      </c>
      <c r="F195" s="13">
        <v>43025.759050925924</v>
      </c>
      <c r="G195" s="7">
        <v>67</v>
      </c>
      <c r="H195" s="21" t="s">
        <v>968</v>
      </c>
      <c r="I195" s="13">
        <v>43025.766840277778</v>
      </c>
      <c r="J195" s="7">
        <v>0</v>
      </c>
      <c r="K195" s="89" t="str">
        <f>IF(ISEVEN(B195),(B195-1)&amp;"/"&amp;B195,B195&amp;"/"&amp;(B195+1))</f>
        <v>4059/4060</v>
      </c>
      <c r="L195" s="185" t="str">
        <f>VLOOKUP(A195,'Trips&amp;Operators'!$C$1:$G$99911,5,FALSE)</f>
        <v>STAMBAUGH JAMES</v>
      </c>
      <c r="M195" s="6">
        <f>I195-F195</f>
        <v>7.7893518537166528E-3</v>
      </c>
      <c r="N195" s="7">
        <f>24*60*SUM($M195:$M195)</f>
        <v>11.21666666935198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-17T16:55:21-0600',mode:absolute,to:'2017-10-17T19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5.8623000000000003</v>
      </c>
      <c r="Z195" s="204">
        <f>RIGHT(H195,LEN(H195)-4)/10000</f>
        <v>6.6100000000000006E-2</v>
      </c>
      <c r="AA195" s="204">
        <f>ABS(Z195-Y195)</f>
        <v>5.7962000000000007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836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/stypes="app*4059*20171018*"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42"/>
        <v>"%USERPROFILE%\Documents\GitHub\eaglep3\Utilities\RefineRTDCRunTimes.py" --tripid 836-17 --locoid 4059 --swversion DE.1.0.9.0 --startMP 300:58623 --initTime 2017-10-17T17:55:21 --startdatetime 2017-10-17T18:13:02 --delay 67 --endMP 204:661 --enddatetime 2017-10-17T18:24:15 --enforcementcount 0 &gt;&gt;%USERPROFILE%\Documents\GitHub\eaglep3-reporting\EC\2017-10-17-refined-times.txt</v>
      </c>
      <c r="AI195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{"issue":{"subject":"","project_id":79,"tracker_id":40,"status_id":1,"priority_id":2,"assigned_to_id":338,"start_date":"2017-10-17","description":"","custom_fields":[{"id":1,"name":"Subdivision","value":"NW"},{"id":4,"name":"Milepost","value":"0.0661"},{"id":17,"name":"Train ID","value":"836-17"},{"id":16,"name":"Locomotive ID","value":"4059"},{"id":130,"name":"Impact","value":""},{"id":150,"name":"Time of Event (Mountain Time)","value":"18:24:15"},{"id":151,"name":"Denver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44"/>
        <v>start /low /b %USERPROFILE%\Documents\GitHub\eaglep3\Utilities\DownloadLogsFromS3.py --loco 4059 --day 2017-10-17</v>
      </c>
      <c r="AN195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46"/>
        <v>https://d0f6bd738d7f1b3e5a7ca70fe4ff75f0.us-east-1.aws.found.io/app/kibana#/discover/Steve-Slow-Train-Analysis-(2080s-and-2083s)?_g=(refreshInterval:(display:Off,pause:!f,section:0,value:0),time:(from:'2017-10-17T16:55:21-0600',mode:absolute,to:'2017-10-17T19:24:15-0600'))&amp;_a=(columns:!('Message%20ID',Summary),filters:!(),index:'emp_*',interval:auto,query:(query_string:(analyze_wildcard:!t,query:'%22rtdc.l.rtdc.4059%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806</v>
      </c>
      <c r="B196" s="7">
        <v>4032</v>
      </c>
      <c r="C196" s="21" t="s">
        <v>194</v>
      </c>
      <c r="D196" s="21" t="s">
        <v>588</v>
      </c>
      <c r="E196" s="13">
        <v>43025.753541666665</v>
      </c>
      <c r="F196" s="13">
        <v>43025.75675925926</v>
      </c>
      <c r="G196" s="7">
        <v>63</v>
      </c>
      <c r="H196" s="21" t="s">
        <v>969</v>
      </c>
      <c r="I196" s="13">
        <v>43025.767291666663</v>
      </c>
      <c r="J196" s="7">
        <v>0</v>
      </c>
      <c r="K196" s="89" t="str">
        <f>IF(ISEVEN(B196),(B196-1)&amp;"/"&amp;B196,B196&amp;"/"&amp;(B196+1))</f>
        <v>4031/4032</v>
      </c>
      <c r="L196" s="185" t="str">
        <f>VLOOKUP(A196,'Trips&amp;Operators'!$C$1:$G$99911,5,FALSE)</f>
        <v>GUZMAN DANNY</v>
      </c>
      <c r="M196" s="6">
        <f>I196-F196</f>
        <v>1.0532407402934041E-2</v>
      </c>
      <c r="N196" s="7">
        <f>24*60*SUM($M196:$M196)</f>
        <v>15.166666660225019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-17T17:05:06-0600',mode:absolute,to:'2017-10-17T19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0.1</v>
      </c>
      <c r="Z196" s="204">
        <f>RIGHT(H196,LEN(H196)-4)/10000</f>
        <v>5.8929</v>
      </c>
      <c r="AA196" s="204">
        <f>ABS(Z196-Y196)</f>
        <v>5.7929000000000004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837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/stypes="app*4032*20171018*"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42"/>
        <v>"%USERPROFILE%\Documents\GitHub\eaglep3\Utilities\RefineRTDCRunTimes.py" --tripid 837-17 --locoid 4032 --swversion DE.1.0.9.0 --startMP 204:1000 --initTime 2017-10-17T18:05:06 --startdatetime 2017-10-17T18:09:44 --delay 63 --endMP 300:58929 --enddatetime 2017-10-17T18:24:54 --enforcementcount 0 &gt;&gt;%USERPROFILE%\Documents\GitHub\eaglep3-reporting\EC\2017-10-17-refined-times.txt</v>
      </c>
      <c r="AI196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{"issue":{"subject":"","project_id":79,"tracker_id":40,"status_id":1,"priority_id":2,"assigned_to_id":338,"start_date":"2017-10-17","description":"","custom_fields":[{"id":1,"name":"Subdivision","value":"NW"},{"id":4,"name":"Milepost","value":"5.8929"},{"id":17,"name":"Train ID","value":"837-17"},{"id":16,"name":"Locomotive ID","value":"4032"},{"id":130,"name":"Impact","value":""},{"id":150,"name":"Time of Event (Mountain Time)","value":"18:24:54"},{"id":151,"name":"Denver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44"/>
        <v>start /low /b %USERPROFILE%\Documents\GitHub\eaglep3\Utilities\DownloadLogsFromS3.py --loco 4032 --day 2017-10-17</v>
      </c>
      <c r="AN196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46"/>
        <v>https://d0f6bd738d7f1b3e5a7ca70fe4ff75f0.us-east-1.aws.found.io/app/kibana#/discover/Steve-Slow-Train-Analysis-(2080s-and-2083s)?_g=(refreshInterval:(display:Off,pause:!f,section:0,value:0),time:(from:'2017-10-17T17:05:06-0600',mode:absolute,to:'2017-10-17T19:24:54-0600'))&amp;_a=(columns:!('Message%20ID',Summary),filters:!(),index:'emp_*',interval:auto,query:(query_string:(analyze_wildcard:!t,query:'%22rtdc.l.rtdc.4032%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811</v>
      </c>
      <c r="B197" s="7">
        <v>4031</v>
      </c>
      <c r="C197" s="21" t="s">
        <v>194</v>
      </c>
      <c r="D197" s="21" t="s">
        <v>963</v>
      </c>
      <c r="E197" s="13">
        <v>43025.768935185188</v>
      </c>
      <c r="F197" s="13">
        <v>43025.779930555553</v>
      </c>
      <c r="G197" s="7">
        <v>55</v>
      </c>
      <c r="H197" s="21" t="s">
        <v>587</v>
      </c>
      <c r="I197" s="13">
        <v>43025.788807870369</v>
      </c>
      <c r="J197" s="7">
        <v>0</v>
      </c>
      <c r="K197" s="89" t="str">
        <f>IF(ISEVEN(B197),(B197-1)&amp;"/"&amp;B197,B197&amp;"/"&amp;(B197+1))</f>
        <v>4031/4032</v>
      </c>
      <c r="L197" s="185" t="str">
        <f>VLOOKUP(A197,'Trips&amp;Operators'!$C$1:$G$99911,5,FALSE)</f>
        <v>GUZMAN DANNY</v>
      </c>
      <c r="M197" s="6">
        <f>I197-F197</f>
        <v>8.8773148163454607E-3</v>
      </c>
      <c r="N197" s="7">
        <f>24*60*SUM($M197:$M197)</f>
        <v>12.783333335537463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-17T17:27:16-0600',mode:absolute,to:'2017-10-17T19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204" t="str">
        <f>IF(AA197&lt;VLOOKUP(AG197,Variables!$AC$3:$AD$8,2,FALSE),"Y","N")</f>
        <v>N</v>
      </c>
      <c r="X197" s="204">
        <f>VALUE(LEFT(AD197,4))-VALUE(LEFT(AD196,4))</f>
        <v>1</v>
      </c>
      <c r="Y197" s="204">
        <f>RIGHT(D197,LEN(D197)-4)/10000</f>
        <v>5.8619000000000003</v>
      </c>
      <c r="Z197" s="204">
        <f>RIGHT(H197,LEN(H197)-4)/10000</f>
        <v>7.0499999999999993E-2</v>
      </c>
      <c r="AA197" s="204">
        <f>ABS(Z197-Y197)</f>
        <v>5.7914000000000003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838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/stypes="app*4031*20171018*"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42"/>
        <v>"%USERPROFILE%\Documents\GitHub\eaglep3\Utilities\RefineRTDCRunTimes.py" --tripid 838-17 --locoid 4031 --swversion DE.1.0.9.0 --startMP 300:58619 --initTime 2017-10-17T18:27:16 --startdatetime 2017-10-17T18:43:06 --delay 55 --endMP 204:705 --enddatetime 2017-10-17T18:55:53 --enforcementcount 0 &gt;&gt;%USERPROFILE%\Documents\GitHub\eaglep3-reporting\EC\2017-10-17-refined-times.txt</v>
      </c>
      <c r="AI197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{"issue":{"subject":"","project_id":79,"tracker_id":40,"status_id":1,"priority_id":2,"assigned_to_id":338,"start_date":"2017-10-17","description":"","custom_fields":[{"id":1,"name":"Subdivision","value":"NW"},{"id":4,"name":"Milepost","value":"0.0705"},{"id":17,"name":"Train ID","value":"838-17"},{"id":16,"name":"Locomotive ID","value":"4031"},{"id":130,"name":"Impact","value":""},{"id":150,"name":"Time of Event (Mountain Time)","value":"18:55:53"},{"id":151,"name":"Denver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44"/>
        <v>start /low /b %USERPROFILE%\Documents\GitHub\eaglep3\Utilities\DownloadLogsFromS3.py --loco 4031 --day 2017-10-17</v>
      </c>
      <c r="AN197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46"/>
        <v>https://d0f6bd738d7f1b3e5a7ca70fe4ff75f0.us-east-1.aws.found.io/app/kibana#/discover/Steve-Slow-Train-Analysis-(2080s-and-2083s)?_g=(refreshInterval:(display:Off,pause:!f,section:0,value:0),time:(from:'2017-10-17T17:27:16-0600',mode:absolute,to:'2017-10-17T19:55:53-0600'))&amp;_a=(columns:!('Message%20ID',Summary),filters:!(),index:'emp_*',interval:auto,query:(query_string:(analyze_wildcard:!t,query:'%22rtdc.l.rtdc.4031%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812</v>
      </c>
      <c r="B198" s="7">
        <v>4060</v>
      </c>
      <c r="C198" s="21" t="s">
        <v>194</v>
      </c>
      <c r="D198" s="21" t="s">
        <v>592</v>
      </c>
      <c r="E198" s="13">
        <v>43025.774884259263</v>
      </c>
      <c r="F198" s="13">
        <v>43025.777407407404</v>
      </c>
      <c r="G198" s="7">
        <v>47</v>
      </c>
      <c r="H198" s="21" t="s">
        <v>970</v>
      </c>
      <c r="I198" s="13">
        <v>43025.787210648145</v>
      </c>
      <c r="J198" s="7">
        <v>0</v>
      </c>
      <c r="K198" s="89" t="str">
        <f>IF(ISEVEN(B198),(B198-1)&amp;"/"&amp;B198,B198&amp;"/"&amp;(B198+1))</f>
        <v>4059/4060</v>
      </c>
      <c r="L198" s="185" t="str">
        <f>VLOOKUP(A198,'Trips&amp;Operators'!$C$1:$G$99911,5,FALSE)</f>
        <v>STAMBAUGH JAMES</v>
      </c>
      <c r="M198" s="6">
        <f>I198-F198</f>
        <v>9.8032407404389232E-3</v>
      </c>
      <c r="N198" s="7">
        <f>24*60*SUM($M198:$M198)</f>
        <v>14.116666666232049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-17T17:35:50-0600',mode:absolute,to:'2017-10-17T19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f>RIGHT(D198,LEN(D198)-4)/10000</f>
        <v>9.4799999999999995E-2</v>
      </c>
      <c r="Z198" s="204">
        <f>RIGHT(H198,LEN(H198)-4)/10000</f>
        <v>5.8958000000000004</v>
      </c>
      <c r="AA198" s="204">
        <f>ABS(Z198-Y198)</f>
        <v>5.8010000000000002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839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/stypes="app*4060*20171018*" /stext=" 00:.+((SYSTEM_STATE.+slice.+state.+changed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42"/>
        <v>"%USERPROFILE%\Documents\GitHub\eaglep3\Utilities\RefineRTDCRunTimes.py" --tripid 839-17 --locoid 4060 --swversion DE.1.0.9.0 --startMP 204:948 --initTime 2017-10-17T18:35:50 --startdatetime 2017-10-17T18:39:28 --delay 47 --endMP 300:58958 --enddatetime 2017-10-17T18:53:35 --enforcementcount 0 &gt;&gt;%USERPROFILE%\Documents\GitHub\eaglep3-reporting\EC\2017-10-17-refined-times.txt</v>
      </c>
      <c r="AI198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{"issue":{"subject":"","project_id":79,"tracker_id":40,"status_id":1,"priority_id":2,"assigned_to_id":338,"start_date":"2017-10-17","description":"","custom_fields":[{"id":1,"name":"Subdivision","value":"NW"},{"id":4,"name":"Milepost","value":"5.8958"},{"id":17,"name":"Train ID","value":"839-17"},{"id":16,"name":"Locomotive ID","value":"4060"},{"id":130,"name":"Impact","value":""},{"id":150,"name":"Time of Event (Mountain Time)","value":"18:53:35"},{"id":151,"name":"Denver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44"/>
        <v>start /low /b %USERPROFILE%\Documents\GitHub\eaglep3\Utilities\DownloadLogsFromS3.py --loco 4060 --day 2017-10-17</v>
      </c>
      <c r="AN198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46"/>
        <v>https://d0f6bd738d7f1b3e5a7ca70fe4ff75f0.us-east-1.aws.found.io/app/kibana#/discover/Steve-Slow-Train-Analysis-(2080s-and-2083s)?_g=(refreshInterval:(display:Off,pause:!f,section:0,value:0),time:(from:'2017-10-17T17:35:50-0600',mode:absolute,to:'2017-10-17T19:53:35-0600'))&amp;_a=(columns:!('Message%20ID',Summary),filters:!(),index:'emp_*',interval:auto,query:(query_string:(analyze_wildcard:!t,query:'%22rtdc.l.rtdc.4060%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822</v>
      </c>
      <c r="B199" s="7">
        <v>4031</v>
      </c>
      <c r="C199" s="21" t="s">
        <v>194</v>
      </c>
      <c r="D199" s="21" t="s">
        <v>602</v>
      </c>
      <c r="E199" s="13">
        <v>43025.809247685182</v>
      </c>
      <c r="F199" s="13">
        <v>43025.821585648147</v>
      </c>
      <c r="G199" s="7">
        <v>51</v>
      </c>
      <c r="H199" s="21" t="s">
        <v>517</v>
      </c>
      <c r="I199" s="13">
        <v>43025.830185185187</v>
      </c>
      <c r="J199" s="7">
        <v>0</v>
      </c>
      <c r="K199" s="89" t="str">
        <f>IF(ISEVEN(B199),(B199-1)&amp;"/"&amp;B199,B199&amp;"/"&amp;(B199+1))</f>
        <v>4031/4032</v>
      </c>
      <c r="L199" s="185" t="str">
        <f>VLOOKUP(A199,'Trips&amp;Operators'!$C$1:$G$99911,5,FALSE)</f>
        <v>GUZMAN DANNY</v>
      </c>
      <c r="M199" s="6">
        <f>I199-F199</f>
        <v>8.599537039117422E-3</v>
      </c>
      <c r="N199" s="7">
        <f>24*60*SUM($M199:$M199)</f>
        <v>12.383333336329088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-17T18:25:19-0600',mode:absolute,to:'2017-10-17T20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5.8624000000000001</v>
      </c>
      <c r="Z199" s="204">
        <f>RIGHT(H199,LEN(H199)-4)/10000</f>
        <v>7.3099999999999998E-2</v>
      </c>
      <c r="AA199" s="204">
        <f>ABS(Z199-Y199)</f>
        <v>5.7892999999999999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840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/stypes="app*4031*20171018*"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42"/>
        <v>"%USERPROFILE%\Documents\GitHub\eaglep3\Utilities\RefineRTDCRunTimes.py" --tripid 840-17 --locoid 4031 --swversion DE.1.0.9.0 --startMP 300:58624 --initTime 2017-10-17T19:25:19 --startdatetime 2017-10-17T19:43:05 --delay 51 --endMP 204:731 --enddatetime 2017-10-17T19:55:28 --enforcementcount 0 &gt;&gt;%USERPROFILE%\Documents\GitHub\eaglep3-reporting\EC\2017-10-17-refined-times.txt</v>
      </c>
      <c r="AI199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{"issue":{"subject":"","project_id":79,"tracker_id":40,"status_id":1,"priority_id":2,"assigned_to_id":338,"start_date":"2017-10-17","description":"","custom_fields":[{"id":1,"name":"Subdivision","value":"NW"},{"id":4,"name":"Milepost","value":"0.0731"},{"id":17,"name":"Train ID","value":"840-17"},{"id":16,"name":"Locomotive ID","value":"4031"},{"id":130,"name":"Impact","value":""},{"id":150,"name":"Time of Event (Mountain Time)","value":"19:55:28"},{"id":151,"name":"Denver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44"/>
        <v>start /low /b %USERPROFILE%\Documents\GitHub\eaglep3\Utilities\DownloadLogsFromS3.py --loco 4031 --day 2017-10-17</v>
      </c>
      <c r="AN199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46"/>
        <v>https://d0f6bd738d7f1b3e5a7ca70fe4ff75f0.us-east-1.aws.found.io/app/kibana#/discover/Steve-Slow-Train-Analysis-(2080s-and-2083s)?_g=(refreshInterval:(display:Off,pause:!f,section:0,value:0),time:(from:'2017-10-17T18:25:19-0600',mode:absolute,to:'2017-10-17T20:55:28-0600'))&amp;_a=(columns:!('Message%20ID',Summary),filters:!(),index:'emp_*',interval:auto,query:(query_string:(analyze_wildcard:!t,query:'%22rtdc.l.rtdc.4031%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817</v>
      </c>
      <c r="B200" s="7">
        <v>4032</v>
      </c>
      <c r="C200" s="21" t="s">
        <v>194</v>
      </c>
      <c r="D200" s="21" t="s">
        <v>962</v>
      </c>
      <c r="E200" s="13">
        <v>43025.790555555555</v>
      </c>
      <c r="F200" s="13">
        <v>43025.798414351855</v>
      </c>
      <c r="G200" s="7">
        <v>47</v>
      </c>
      <c r="H200" s="21" t="s">
        <v>971</v>
      </c>
      <c r="I200" s="13">
        <v>43025.808206018519</v>
      </c>
      <c r="J200" s="7">
        <v>0</v>
      </c>
      <c r="K200" s="89" t="str">
        <f>IF(ISEVEN(B200),(B200-1)&amp;"/"&amp;B200,B200&amp;"/"&amp;(B200+1))</f>
        <v>4031/4032</v>
      </c>
      <c r="L200" s="185" t="str">
        <f>VLOOKUP(A200,'Trips&amp;Operators'!$C$1:$G$99911,5,FALSE)</f>
        <v>GUZMAN DANNY</v>
      </c>
      <c r="M200" s="6">
        <f>I200-F200</f>
        <v>9.7916666636592709E-3</v>
      </c>
      <c r="N200" s="7">
        <f>24*60*SUM($M200:$M200)</f>
        <v>14.09999999566935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-17T17:58:24-0600',mode:absolute,to:'2017-10-17T20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9.7900000000000001E-2</v>
      </c>
      <c r="Z200" s="204">
        <f>RIGHT(H200,LEN(H200)-4)/10000</f>
        <v>5.8940999999999999</v>
      </c>
      <c r="AA200" s="204">
        <f>ABS(Z200-Y200)</f>
        <v>5.7961999999999998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841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/stypes="app*4032*20171018*" /stext=" 01:.+((SYSTEM_STATE.+slice.+state.+changed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42"/>
        <v>"%USERPROFILE%\Documents\GitHub\eaglep3\Utilities\RefineRTDCRunTimes.py" --tripid 841-17 --locoid 4032 --swversion DE.1.0.9.0 --startMP 204:979 --initTime 2017-10-17T18:58:24 --startdatetime 2017-10-17T19:09:43 --delay 47 --endMP 300:58941 --enddatetime 2017-10-17T19:23:49 --enforcementcount 0 &gt;&gt;%USERPROFILE%\Documents\GitHub\eaglep3-reporting\EC\2017-10-17-refined-times.txt</v>
      </c>
      <c r="AI200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{"issue":{"subject":"","project_id":79,"tracker_id":40,"status_id":1,"priority_id":2,"assigned_to_id":338,"start_date":"2017-10-17","description":"","custom_fields":[{"id":1,"name":"Subdivision","value":"NW"},{"id":4,"name":"Milepost","value":"5.8941"},{"id":17,"name":"Train ID","value":"841-17"},{"id":16,"name":"Locomotive ID","value":"4032"},{"id":130,"name":"Impact","value":""},{"id":150,"name":"Time of Event (Mountain Time)","value":"19:23:49"},{"id":151,"name":"Denver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44"/>
        <v>start /low /b %USERPROFILE%\Documents\GitHub\eaglep3\Utilities\DownloadLogsFromS3.py --loco 4032 --day 2017-10-17</v>
      </c>
      <c r="AN200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46"/>
        <v>https://d0f6bd738d7f1b3e5a7ca70fe4ff75f0.us-east-1.aws.found.io/app/kibana#/discover/Steve-Slow-Train-Analysis-(2080s-and-2083s)?_g=(refreshInterval:(display:Off,pause:!f,section:0,value:0),time:(from:'2017-10-17T17:58:24-0600',mode:absolute,to:'2017-10-17T20:23:49-0600'))&amp;_a=(columns:!('Message%20ID',Summary),filters:!(),index:'emp_*',interval:auto,query:(query_string:(analyze_wildcard:!t,query:'%22rtdc.l.rtdc.4032%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828</v>
      </c>
      <c r="B201" s="7">
        <v>4031</v>
      </c>
      <c r="C201" s="21" t="s">
        <v>194</v>
      </c>
      <c r="D201" s="21" t="s">
        <v>519</v>
      </c>
      <c r="E201" s="13">
        <v>43025.850914351853</v>
      </c>
      <c r="F201" s="13">
        <v>43025.863252314812</v>
      </c>
      <c r="G201" s="7">
        <v>48</v>
      </c>
      <c r="H201" s="21" t="s">
        <v>972</v>
      </c>
      <c r="I201" s="13">
        <v>43025.871354166666</v>
      </c>
      <c r="J201" s="7">
        <v>0</v>
      </c>
      <c r="K201" s="89" t="str">
        <f>IF(ISEVEN(B201),(B201-1)&amp;"/"&amp;B201,B201&amp;"/"&amp;(B201+1))</f>
        <v>4031/4032</v>
      </c>
      <c r="L201" s="185" t="str">
        <f>VLOOKUP(A201,'Trips&amp;Operators'!$C$1:$G$99911,5,FALSE)</f>
        <v>GUZMAN DANNY</v>
      </c>
      <c r="M201" s="6">
        <f>I201-F201</f>
        <v>8.1018518540076911E-3</v>
      </c>
      <c r="N201" s="7">
        <f>24*60*SUM($M201:$M201)</f>
        <v>11.666666669771075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-17T19:25:19-0600',mode:absolute,to:'2017-10-17T21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f>RIGHT(D201,LEN(D201)-4)/10000</f>
        <v>5.8611000000000004</v>
      </c>
      <c r="Z201" s="204">
        <f>RIGHT(H201,LEN(H201)-4)/10000</f>
        <v>7.7100000000000002E-2</v>
      </c>
      <c r="AA201" s="204">
        <f>ABS(Z201-Y201)</f>
        <v>5.7840000000000007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842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/stypes="app*4031*20171018*"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si="42"/>
        <v>"%USERPROFILE%\Documents\GitHub\eaglep3\Utilities\RefineRTDCRunTimes.py" --tripid 842-17 --locoid 4031 --swversion DE.1.0.9.0 --startMP 300:58611 --initTime 2017-10-17T20:25:19 --startdatetime 2017-10-17T20:43:05 --delay 48 --endMP 204:771 --enddatetime 2017-10-17T20:54:45 --enforcementcount 0 &gt;&gt;%USERPROFILE%\Documents\GitHub\eaglep3-reporting\EC\2017-10-17-refined-times.txt</v>
      </c>
      <c r="AI201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{"issue":{"subject":"","project_id":79,"tracker_id":40,"status_id":1,"priority_id":2,"assigned_to_id":338,"start_date":"2017-10-17","description":"","custom_fields":[{"id":1,"name":"Subdivision","value":"NW"},{"id":4,"name":"Milepost","value":"0.0771"},{"id":17,"name":"Train ID","value":"842-17"},{"id":16,"name":"Locomotive ID","value":"4031"},{"id":130,"name":"Impact","value":""},{"id":150,"name":"Time of Event (Mountain Time)","value":"20:54:45"},{"id":151,"name":"Denver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si="44"/>
        <v>start /low /b %USERPROFILE%\Documents\GitHub\eaglep3\Utilities\DownloadLogsFromS3.py --loco 4031 --day 2017-10-17</v>
      </c>
      <c r="AN201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46"/>
        <v>https://d0f6bd738d7f1b3e5a7ca70fe4ff75f0.us-east-1.aws.found.io/app/kibana#/discover/Steve-Slow-Train-Analysis-(2080s-and-2083s)?_g=(refreshInterval:(display:Off,pause:!f,section:0,value:0),time:(from:'2017-10-17T19:25:19-0600',mode:absolute,to:'2017-10-17T21:54:45-0600'))&amp;_a=(columns:!('Message%20ID',Summary),filters:!(),index:'emp_*',interval:auto,query:(query_string:(analyze_wildcard:!t,query:'%22rtdc.l.rtdc.4031%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826</v>
      </c>
      <c r="B202" s="7">
        <v>4032</v>
      </c>
      <c r="C202" s="21" t="s">
        <v>194</v>
      </c>
      <c r="D202" s="21" t="s">
        <v>973</v>
      </c>
      <c r="E202" s="13">
        <v>43025.833402777775</v>
      </c>
      <c r="F202" s="13">
        <v>43025.839756944442</v>
      </c>
      <c r="G202" s="7">
        <v>46</v>
      </c>
      <c r="H202" s="21" t="s">
        <v>582</v>
      </c>
      <c r="I202" s="13">
        <v>43025.849965277775</v>
      </c>
      <c r="J202" s="7">
        <v>0</v>
      </c>
      <c r="K202" s="89" t="str">
        <f>IF(ISEVEN(B202),(B202-1)&amp;"/"&amp;B202,B202&amp;"/"&amp;(B202+1))</f>
        <v>4031/4032</v>
      </c>
      <c r="L202" s="185" t="str">
        <f>VLOOKUP(A202,'Trips&amp;Operators'!$C$1:$G$99911,5,FALSE)</f>
        <v>GUZMAN DANNY</v>
      </c>
      <c r="M202" s="6">
        <f>I202-F202</f>
        <v>1.0208333333139308E-2</v>
      </c>
      <c r="N202" s="7">
        <f>24*60*SUM($M202:$M202)</f>
        <v>14.699999999720603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-17T19:00:06-0600',mode:absolute,to:'2017-10-17T21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f>RIGHT(D202,LEN(D202)-4)/10000</f>
        <v>9.6699999999999994E-2</v>
      </c>
      <c r="Z202" s="204">
        <f>RIGHT(H202,LEN(H202)-4)/10000</f>
        <v>5.8930999999999996</v>
      </c>
      <c r="AA202" s="204">
        <f>ABS(Z202-Y202)</f>
        <v>5.7963999999999993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843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/stypes="app*4032*20171018*" /stext=" 02:.+((SYSTEM_STATE.+slice.+state.+changed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42"/>
        <v>"%USERPROFILE%\Documents\GitHub\eaglep3\Utilities\RefineRTDCRunTimes.py" --tripid 843-17 --locoid 4032 --swversion DE.1.0.9.0 --startMP 204:967 --initTime 2017-10-17T20:00:06 --startdatetime 2017-10-17T20:09:15 --delay 46 --endMP 300:58931 --enddatetime 2017-10-17T20:23:57 --enforcementcount 0 &gt;&gt;%USERPROFILE%\Documents\GitHub\eaglep3-reporting\EC\2017-10-17-refined-times.txt</v>
      </c>
      <c r="AI202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{"issue":{"subject":"","project_id":79,"tracker_id":40,"status_id":1,"priority_id":2,"assigned_to_id":338,"start_date":"2017-10-17","description":"","custom_fields":[{"id":1,"name":"Subdivision","value":"NW"},{"id":4,"name":"Milepost","value":"5.8931"},{"id":17,"name":"Train ID","value":"843-17"},{"id":16,"name":"Locomotive ID","value":"4032"},{"id":130,"name":"Impact","value":""},{"id":150,"name":"Time of Event (Mountain Time)","value":"20:23:57"},{"id":151,"name":"Denver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44"/>
        <v>start /low /b %USERPROFILE%\Documents\GitHub\eaglep3\Utilities\DownloadLogsFromS3.py --loco 4032 --day 2017-10-17</v>
      </c>
      <c r="AN202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02:23:57"},{"id":29,"name":"Sharepoint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46"/>
        <v>https://d0f6bd738d7f1b3e5a7ca70fe4ff75f0.us-east-1.aws.found.io/app/kibana#/discover/Steve-Slow-Train-Analysis-(2080s-and-2083s)?_g=(refreshInterval:(display:Off,pause:!f,section:0,value:0),time:(from:'2017-10-17T19:00:06-0600',mode:absolute,to:'2017-10-17T21:23:57-0600'))&amp;_a=(columns:!('Message%20ID',Summary),filters:!(),index:'emp_*',interval:auto,query:(query_string:(analyze_wildcard:!t,query:'%22rtdc.l.rtdc.4032%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835</v>
      </c>
      <c r="B203" s="7">
        <v>4031</v>
      </c>
      <c r="C203" s="21" t="s">
        <v>194</v>
      </c>
      <c r="D203" s="21" t="s">
        <v>594</v>
      </c>
      <c r="E203" s="13">
        <v>43025.891817129632</v>
      </c>
      <c r="F203" s="13">
        <v>43025.904942129629</v>
      </c>
      <c r="G203" s="7">
        <v>77</v>
      </c>
      <c r="H203" s="21" t="s">
        <v>974</v>
      </c>
      <c r="I203" s="13">
        <v>43025.912407407406</v>
      </c>
      <c r="J203" s="7">
        <v>0</v>
      </c>
      <c r="K203" s="89" t="str">
        <f>IF(ISEVEN(B203),(B203-1)&amp;"/"&amp;B203,B203&amp;"/"&amp;(B203+1))</f>
        <v>4031/4032</v>
      </c>
      <c r="L203" s="185" t="str">
        <f>VLOOKUP(A203,'Trips&amp;Operators'!$C$1:$G$99911,5,FALSE)</f>
        <v>STAMBAUGH JAMES</v>
      </c>
      <c r="M203" s="6">
        <f>I203-F203</f>
        <v>7.4652777766459621E-3</v>
      </c>
      <c r="N203" s="7">
        <f>24*60*SUM($M203:$M203)</f>
        <v>10.749999998370185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-17T20:24:13-0600',mode:absolute,to:'2017-10-17T22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5.8638000000000003</v>
      </c>
      <c r="Z203" s="204">
        <f>RIGHT(H203,LEN(H203)-4)/10000</f>
        <v>6.7500000000000004E-2</v>
      </c>
      <c r="AA203" s="204">
        <f>ABS(Z203-Y203)</f>
        <v>5.7963000000000005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844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/stypes="app*4031*20171018*"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42"/>
        <v>"%USERPROFILE%\Documents\GitHub\eaglep3\Utilities\RefineRTDCRunTimes.py" --tripid 844-17 --locoid 4031 --swversion DE.1.0.9.0 --startMP 300:58638 --initTime 2017-10-17T21:24:13 --startdatetime 2017-10-17T21:43:07 --delay 77 --endMP 204:675 --enddatetime 2017-10-17T21:53:52 --enforcementcount 0 &gt;&gt;%USERPROFILE%\Documents\GitHub\eaglep3-reporting\EC\2017-10-17-refined-times.txt</v>
      </c>
      <c r="AI203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{"issue":{"subject":"","project_id":79,"tracker_id":40,"status_id":1,"priority_id":2,"assigned_to_id":338,"start_date":"2017-10-17","description":"","custom_fields":[{"id":1,"name":"Subdivision","value":"NW"},{"id":4,"name":"Milepost","value":"0.0675"},{"id":17,"name":"Train ID","value":"844-17"},{"id":16,"name":"Locomotive ID","value":"4031"},{"id":130,"name":"Impact","value":""},{"id":150,"name":"Time of Event (Mountain Time)","value":"21:53:52"},{"id":151,"name":"Denver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44"/>
        <v>start /low /b %USERPROFILE%\Documents\GitHub\eaglep3\Utilities\DownloadLogsFromS3.py --loco 4031 --day 2017-10-17</v>
      </c>
      <c r="AN203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03:53:52"},{"id":29,"name":"Sharepoint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46"/>
        <v>https://d0f6bd738d7f1b3e5a7ca70fe4ff75f0.us-east-1.aws.found.io/app/kibana#/discover/Steve-Slow-Train-Analysis-(2080s-and-2083s)?_g=(refreshInterval:(display:Off,pause:!f,section:0,value:0),time:(from:'2017-10-17T20:24:13-0600',mode:absolute,to:'2017-10-17T22:53:52-0600'))&amp;_a=(columns:!('Message%20ID',Summary),filters:!(),index:'emp_*',interval:auto,query:(query_string:(analyze_wildcard:!t,query:'%22rtdc.l.rtdc.4031%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832</v>
      </c>
      <c r="B204" s="7">
        <v>4032</v>
      </c>
      <c r="C204" s="21" t="s">
        <v>194</v>
      </c>
      <c r="D204" s="21" t="s">
        <v>975</v>
      </c>
      <c r="E204" s="13">
        <v>43025.875</v>
      </c>
      <c r="F204" s="13">
        <v>43025.881712962961</v>
      </c>
      <c r="G204" s="7">
        <v>64</v>
      </c>
      <c r="H204" s="21" t="s">
        <v>604</v>
      </c>
      <c r="I204" s="13">
        <v>43025.890902777777</v>
      </c>
      <c r="J204" s="7">
        <v>0</v>
      </c>
      <c r="K204" s="89" t="str">
        <f>IF(ISEVEN(B204),(B204-1)&amp;"/"&amp;B204,B204&amp;"/"&amp;(B204+1))</f>
        <v>4031/4032</v>
      </c>
      <c r="L204" s="185" t="str">
        <f>VLOOKUP(A204,'Trips&amp;Operators'!$C$1:$G$99911,5,FALSE)</f>
        <v>STAMBAUGH JAMES</v>
      </c>
      <c r="M204" s="6">
        <f>I204-F204</f>
        <v>9.189814816636499E-3</v>
      </c>
      <c r="N204" s="7">
        <f>24*60*SUM($M204:$M204)</f>
        <v>13.233333335956559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-17T20:00:00-0600',mode:absolute,to:'2017-10-17T22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0.1055</v>
      </c>
      <c r="Z204" s="204">
        <f>RIGHT(H204,LEN(H204)-4)/10000</f>
        <v>5.8944000000000001</v>
      </c>
      <c r="AA204" s="204">
        <f>ABS(Z204-Y204)</f>
        <v>5.7888999999999999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845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/stypes="app*4032*20171018*" /stext=" 03:.+((SYSTEM_STATE.+slice.+state.+changed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42"/>
        <v>"%USERPROFILE%\Documents\GitHub\eaglep3\Utilities\RefineRTDCRunTimes.py" --tripid 845-17 --locoid 4032 --swversion DE.1.0.9.0 --startMP 204:1055 --initTime 2017-10-17T21:00:00 --startdatetime 2017-10-17T21:09:40 --delay 64 --endMP 300:58944 --enddatetime 2017-10-17T21:22:54 --enforcementcount 0 &gt;&gt;%USERPROFILE%\Documents\GitHub\eaglep3-reporting\EC\2017-10-17-refined-times.txt</v>
      </c>
      <c r="AI204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{"issue":{"subject":"","project_id":79,"tracker_id":40,"status_id":1,"priority_id":2,"assigned_to_id":338,"start_date":"2017-10-17","description":"","custom_fields":[{"id":1,"name":"Subdivision","value":"NW"},{"id":4,"name":"Milepost","value":"5.8944"},{"id":17,"name":"Train ID","value":"845-17"},{"id":16,"name":"Locomotive ID","value":"4032"},{"id":130,"name":"Impact","value":""},{"id":150,"name":"Time of Event (Mountain Time)","value":"21:22:54"},{"id":151,"name":"Denver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44"/>
        <v>start /low /b %USERPROFILE%\Documents\GitHub\eaglep3\Utilities\DownloadLogsFromS3.py --loco 4032 --day 2017-10-17</v>
      </c>
      <c r="AN204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46"/>
        <v>https://d0f6bd738d7f1b3e5a7ca70fe4ff75f0.us-east-1.aws.found.io/app/kibana#/discover/Steve-Slow-Train-Analysis-(2080s-and-2083s)?_g=(refreshInterval:(display:Off,pause:!f,section:0,value:0),time:(from:'2017-10-17T20:00:00-0600',mode:absolute,to:'2017-10-17T22:22:54-0600'))&amp;_a=(columns:!('Message%20ID',Summary),filters:!(),index:'emp_*',interval:auto,query:(query_string:(analyze_wildcard:!t,query:'%22rtdc.l.rtdc.4032%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841</v>
      </c>
      <c r="B205" s="7">
        <v>4031</v>
      </c>
      <c r="C205" s="21" t="s">
        <v>194</v>
      </c>
      <c r="D205" s="21" t="s">
        <v>594</v>
      </c>
      <c r="E205" s="13">
        <v>43025.933553240742</v>
      </c>
      <c r="F205" s="13">
        <v>43025.947175925925</v>
      </c>
      <c r="G205" s="7">
        <v>53</v>
      </c>
      <c r="H205" s="21" t="s">
        <v>976</v>
      </c>
      <c r="I205" s="13">
        <v>43025.954618055555</v>
      </c>
      <c r="J205" s="7">
        <v>0</v>
      </c>
      <c r="K205" s="89" t="str">
        <f>IF(ISEVEN(B205),(B205-1)&amp;"/"&amp;B205,B205&amp;"/"&amp;(B205+1))</f>
        <v>4031/4032</v>
      </c>
      <c r="L205" s="185" t="str">
        <f>VLOOKUP(A205,'Trips&amp;Operators'!$C$1:$G$99911,5,FALSE)</f>
        <v>STAMBAUGH JAMES</v>
      </c>
      <c r="M205" s="6">
        <f>I205-F205</f>
        <v>7.442129630362615E-3</v>
      </c>
      <c r="N205" s="7">
        <f>24*60*SUM($M205:$M205)</f>
        <v>10.716666667722166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-17T21:24:19-0600',mode:absolute,to:'2017-10-17T23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5.8638000000000003</v>
      </c>
      <c r="Z205" s="204">
        <f>RIGHT(H205,LEN(H205)-4)/10000</f>
        <v>6.9099999999999995E-2</v>
      </c>
      <c r="AA205" s="204">
        <f>ABS(Z205-Y205)</f>
        <v>5.7947000000000006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846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/stypes="app*4031*20171018*"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42"/>
        <v>"%USERPROFILE%\Documents\GitHub\eaglep3\Utilities\RefineRTDCRunTimes.py" --tripid 846-17 --locoid 4031 --swversion DE.1.0.9.0 --startMP 300:58638 --initTime 2017-10-17T22:24:19 --startdatetime 2017-10-17T22:43:56 --delay 53 --endMP 204:691 --enddatetime 2017-10-17T22:54:39 --enforcementcount 0 &gt;&gt;%USERPROFILE%\Documents\GitHub\eaglep3-reporting\EC\2017-10-17-refined-times.txt</v>
      </c>
      <c r="AI205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{"issue":{"subject":"","project_id":79,"tracker_id":40,"status_id":1,"priority_id":2,"assigned_to_id":338,"start_date":"2017-10-17","description":"","custom_fields":[{"id":1,"name":"Subdivision","value":"NW"},{"id":4,"name":"Milepost","value":"0.0691"},{"id":17,"name":"Train ID","value":"846-17"},{"id":16,"name":"Locomotive ID","value":"4031"},{"id":130,"name":"Impact","value":""},{"id":150,"name":"Time of Event (Mountain Time)","value":"22:54:39"},{"id":151,"name":"Denver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44"/>
        <v>start /low /b %USERPROFILE%\Documents\GitHub\eaglep3\Utilities\DownloadLogsFromS3.py --loco 4031 --day 2017-10-17</v>
      </c>
      <c r="AN205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04:54:39"},{"id":29,"name":"Sharepoint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46"/>
        <v>https://d0f6bd738d7f1b3e5a7ca70fe4ff75f0.us-east-1.aws.found.io/app/kibana#/discover/Steve-Slow-Train-Analysis-(2080s-and-2083s)?_g=(refreshInterval:(display:Off,pause:!f,section:0,value:0),time:(from:'2017-10-17T21:24:19-0600',mode:absolute,to:'2017-10-17T23:54:39-0600'))&amp;_a=(columns:!('Message%20ID',Summary),filters:!(),index:'emp_*',interval:auto,query:(query_string:(analyze_wildcard:!t,query:'%22rtdc.l.rtdc.4031%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838</v>
      </c>
      <c r="B206" s="7">
        <v>4032</v>
      </c>
      <c r="C206" s="21" t="s">
        <v>194</v>
      </c>
      <c r="D206" s="21" t="s">
        <v>977</v>
      </c>
      <c r="E206" s="13">
        <v>43025.920706018522</v>
      </c>
      <c r="F206" s="13">
        <v>43025.923518518517</v>
      </c>
      <c r="G206" s="7">
        <v>51</v>
      </c>
      <c r="H206" s="21" t="s">
        <v>593</v>
      </c>
      <c r="I206" s="13">
        <v>43025.932395833333</v>
      </c>
      <c r="J206" s="7">
        <v>0</v>
      </c>
      <c r="K206" s="89" t="str">
        <f>IF(ISEVEN(B206),(B206-1)&amp;"/"&amp;B206,B206&amp;"/"&amp;(B206+1))</f>
        <v>4031/4032</v>
      </c>
      <c r="L206" s="185" t="str">
        <f>VLOOKUP(A206,'Trips&amp;Operators'!$C$1:$G$99911,5,FALSE)</f>
        <v>STAMBAUGH JAMES</v>
      </c>
      <c r="M206" s="6">
        <f>I206-F206</f>
        <v>8.8773148163454607E-3</v>
      </c>
      <c r="N206" s="7">
        <f>24*60*SUM($M206:$M206)</f>
        <v>12.783333335537463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-17T21:05:49-0600',mode:absolute,to:'2017-10-17T23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9.5699999999999993E-2</v>
      </c>
      <c r="Z206" s="204">
        <f>RIGHT(H206,LEN(H206)-4)/10000</f>
        <v>5.8954000000000004</v>
      </c>
      <c r="AA206" s="204">
        <f>ABS(Z206-Y206)</f>
        <v>5.7997000000000005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847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/stypes="app*4032*20171018*" /stext=" 04:.+((SYSTEM_STATE.+slice.+state.+changed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42"/>
        <v>"%USERPROFILE%\Documents\GitHub\eaglep3\Utilities\RefineRTDCRunTimes.py" --tripid 847-17 --locoid 4032 --swversion DE.1.0.9.0 --startMP 204:957 --initTime 2017-10-17T22:05:49 --startdatetime 2017-10-17T22:09:52 --delay 51 --endMP 300:58954 --enddatetime 2017-10-17T22:22:39 --enforcementcount 0 &gt;&gt;%USERPROFILE%\Documents\GitHub\eaglep3-reporting\EC\2017-10-17-refined-times.txt</v>
      </c>
      <c r="AI206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{"issue":{"subject":"","project_id":79,"tracker_id":40,"status_id":1,"priority_id":2,"assigned_to_id":338,"start_date":"2017-10-17","description":"","custom_fields":[{"id":1,"name":"Subdivision","value":"NW"},{"id":4,"name":"Milepost","value":"5.8954"},{"id":17,"name":"Train ID","value":"847-17"},{"id":16,"name":"Locomotive ID","value":"4032"},{"id":130,"name":"Impact","value":""},{"id":150,"name":"Time of Event (Mountain Time)","value":"22:22:39"},{"id":151,"name":"Denver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44"/>
        <v>start /low /b %USERPROFILE%\Documents\GitHub\eaglep3\Utilities\DownloadLogsFromS3.py --loco 4032 --day 2017-10-17</v>
      </c>
      <c r="AN206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04:22:39"},{"id":29,"name":"Sharepoint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46"/>
        <v>https://d0f6bd738d7f1b3e5a7ca70fe4ff75f0.us-east-1.aws.found.io/app/kibana#/discover/Steve-Slow-Train-Analysis-(2080s-and-2083s)?_g=(refreshInterval:(display:Off,pause:!f,section:0,value:0),time:(from:'2017-10-17T21:05:49-0600',mode:absolute,to:'2017-10-17T23:22:39-0600'))&amp;_a=(columns:!('Message%20ID',Summary),filters:!(),index:'emp_*',interval:auto,query:(query_string:(analyze_wildcard:!t,query:'%22rtdc.l.rtdc.4032%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634</v>
      </c>
      <c r="B207" s="7">
        <v>4032</v>
      </c>
      <c r="C207" s="21" t="s">
        <v>194</v>
      </c>
      <c r="D207" s="21" t="s">
        <v>599</v>
      </c>
      <c r="E207" s="13">
        <v>43025.962592592594</v>
      </c>
      <c r="F207" s="13">
        <v>43025.964756944442</v>
      </c>
      <c r="G207" s="7">
        <v>57</v>
      </c>
      <c r="H207" s="21" t="s">
        <v>964</v>
      </c>
      <c r="I207" s="13">
        <v>43025.974016203705</v>
      </c>
      <c r="J207" s="7">
        <v>0</v>
      </c>
      <c r="K207" s="89" t="str">
        <f>IF(ISEVEN(B207),(B207-1)&amp;"/"&amp;B207,B207&amp;"/"&amp;(B207+1))</f>
        <v>4031/4032</v>
      </c>
      <c r="L207" s="185" t="str">
        <f>VLOOKUP(A207,'Trips&amp;Operators'!$C$1:$G$99911,5,FALSE)</f>
        <v>STAMBAUGH JAMES</v>
      </c>
      <c r="M207" s="6">
        <f>I207-F207</f>
        <v>9.2592592627624981E-3</v>
      </c>
      <c r="N207" s="7">
        <f>24*60*SUM($M207:$M207)</f>
        <v>13.333333338377997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-17T22:06:08-0600',mode:absolute,to:'2017-10-18T00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2</v>
      </c>
      <c r="Y207" s="204">
        <f>RIGHT(D207,LEN(D207)-4)/10000</f>
        <v>9.5299999999999996E-2</v>
      </c>
      <c r="Z207" s="204">
        <f>RIGHT(H207,LEN(H207)-4)/10000</f>
        <v>5.8959999999999999</v>
      </c>
      <c r="AA207" s="204">
        <f>ABS(Z207-Y207)</f>
        <v>5.8007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849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/stypes="app*4032*20171018*" /stext=" 05:.+((SYSTEM_STATE.+slice.+state.+changed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si="42"/>
        <v>"%USERPROFILE%\Documents\GitHub\eaglep3\Utilities\RefineRTDCRunTimes.py" --tripid 849-17 --locoid 4032 --swversion DE.1.0.9.0 --startMP 204:953 --initTime 2017-10-17T23:06:08 --startdatetime 2017-10-17T23:09:15 --delay 57 --endMP 300:58960 --enddatetime 2017-10-17T23:22:35 --enforcementcount 0 &gt;&gt;%USERPROFILE%\Documents\GitHub\eaglep3-reporting\EC\2017-10-17-refined-times.txt</v>
      </c>
      <c r="AI207" s="96" t="str">
        <f t="shared" si="43"/>
        <v>echo {"issue":{"subject":"","project_id":79,"tracker_id":40,"status_id":1,"priority_id":2,"assigned_to_id":338,"start_date":"2017-10-17","description":"","custom_fields":[{"id":1,"name":"Subdivision","value":"NW"},{"id":4,"name":"Milepost","value":"5.896"},{"id":17,"name":"Train ID","value":"849-17"},{"id":16,"name":"Locomotive ID","value":"4032"},{"id":130,"name":"Impact","value":""},{"id":150,"name":"Time of Event (Mountain Time)","value":"23:22:35"},{"id":151,"name":"Denver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44"/>
        <v>start /low /b %USERPROFILE%\Documents\GitHub\eaglep3\Utilities\DownloadLogsFromS3.py --loco 4032 --day 2017-10-17</v>
      </c>
      <c r="AN207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05:22:35"},{"id":29,"name":"Sharepoint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46"/>
        <v>https://d0f6bd738d7f1b3e5a7ca70fe4ff75f0.us-east-1.aws.found.io/app/kibana#/discover/Steve-Slow-Train-Analysis-(2080s-and-2083s)?_g=(refreshInterval:(display:Off,pause:!f,section:0,value:0),time:(from:'2017-10-17T22:06:08-0600',mode:absolute,to:'2017-10-18T00:22:35-0600'))&amp;_a=(columns:!('Message%20ID',Summary),filters:!(),index:'emp_*',interval:auto,query:(query_string:(analyze_wildcard:!t,query:'%22rtdc.l.rtdc.4032%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813</v>
      </c>
      <c r="B208" s="7">
        <v>4036</v>
      </c>
      <c r="C208" s="21" t="s">
        <v>194</v>
      </c>
      <c r="D208" s="21" t="s">
        <v>353</v>
      </c>
      <c r="E208" s="13">
        <v>43025.775590277779</v>
      </c>
      <c r="F208" s="13">
        <v>43025.777106481481</v>
      </c>
      <c r="G208" s="7">
        <v>84</v>
      </c>
      <c r="H208" s="21" t="s">
        <v>432</v>
      </c>
      <c r="I208" s="13">
        <v>43025.783715277779</v>
      </c>
      <c r="J208" s="7">
        <v>0</v>
      </c>
      <c r="K208" s="89" t="str">
        <f>IF(ISEVEN(B208),(B208-1)&amp;"/"&amp;B208,B208&amp;"/"&amp;(B208+1))</f>
        <v>4035/4036</v>
      </c>
      <c r="L208" s="185" t="str">
        <f>VLOOKUP(A208,'Trips&amp;Operators'!$C$1:$G$99911,5,FALSE)</f>
        <v>LEVIN SCOTT</v>
      </c>
      <c r="M208" s="6">
        <f>I208-F208</f>
        <v>6.6087962986784987E-3</v>
      </c>
      <c r="N208" s="7">
        <f>24*60*SUM($M208:$M208)</f>
        <v>9.5166666700970381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-17T17:36:51-0600',mode:absolute,to:'2017-10-17T19:48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-548</v>
      </c>
      <c r="Y208" s="204">
        <f>RIGHT(D208,LEN(D208)-4)/10000</f>
        <v>4.58E-2</v>
      </c>
      <c r="Z208" s="204">
        <f>RIGHT(H208,LEN(H208)-4)/10000</f>
        <v>2.3346</v>
      </c>
      <c r="AA208" s="204">
        <f>ABS(Z208-Y208)</f>
        <v>2.2888000000000002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301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s3://rtdc.mdm.uploadarchive.raw/RTDC4036/ "%USERPROFILE%\AppData\Local\Temp\OnboardLogs"\RTDC4036\2017-10-17 --exclude "*" --recursive --include "*20171017*" &amp; "%USERPROFILE%\Documents\GitHub\mrs-test-scripts\Headless Mode &amp; Sideloading\WalkAndUnGZ.bat" "%USERPROFILE%\AppData\Local\Temp\OnboardLogs"\RTDC4036\2017-10-17 &amp; aws s3 cp s3://rtdc.mdm.uploadarchive.raw/RTDC4036/ "%USERPROFILE%\AppData\Local\Temp\OnboardLogs"\RTDC4036\2017-10-18 --exclude "*" --recursive --include "*20171018*" &amp; "%USERPROFILE%\Documents\GitHub\mrs-test-scripts\Headless Mode &amp; Sideloading\WalkAndUnGZ.bat" "%USERPROFILE%\AppData\Local\Temp\OnboardLogs"\RTDC4036\2017-10-18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/stypes="app*4036*20171018*" /stext=" 00:.+((SYSTEM_STATE.+slice.+state.+changed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42"/>
        <v>"%USERPROFILE%\Documents\GitHub\eaglep3\Utilities\RefineRTDCRunTimes.py" --tripid 301-17 --locoid 4036 --swversion DE.1.0.9.0 --startMP 204:458 --initTime 2017-10-17T18:36:51 --startdatetime 2017-10-17T18:39:02 --delay 84 --endMP 300:23346 --enddatetime 2017-10-17T18:48:33 --enforcementcount 0 &gt;&gt;%USERPROFILE%\Documents\GitHub\eaglep3-reporting\EC\2017-10-17-refined-times.txt</v>
      </c>
      <c r="AI208" s="96" t="str">
        <f t="shared" si="43"/>
        <v>echo {"issue":{"subject":"","project_id":79,"tracker_id":40,"status_id":1,"priority_id":2,"assigned_to_id":338,"start_date":"2017-10-17","description":"","custom_fields":[{"id":1,"name":"Subdivision","value":"Other"},{"id":4,"name":"Milepost","value":"2.3346"},{"id":17,"name":"Train ID","value":"301-17"},{"id":16,"name":"Locomotive ID","value":"4036"},{"id":130,"name":"Impact","value":""},{"id":150,"name":"Time of Event (Mountain Time)","value":"18:48:33"},{"id":151,"name":"Denver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44"/>
        <v>start /low /b %USERPROFILE%\Documents\GitHub\eaglep3\Utilities\DownloadLogsFromS3.py --loco 4036 --day 2017-10-17</v>
      </c>
      <c r="AN208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00:48:33"},{"id":29,"name":"Sharepoint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46"/>
        <v>https://d0f6bd738d7f1b3e5a7ca70fe4ff75f0.us-east-1.aws.found.io/app/kibana#/discover/Steve-Slow-Train-Analysis-(2080s-and-2083s)?_g=(refreshInterval:(display:Off,pause:!f,section:0,value:0),time:(from:'2017-10-17T17:36:51-0600',mode:absolute,to:'2017-10-17T19:48:33-0600'))&amp;_a=(columns:!('Message%20ID',Summary),filters:!(),index:'emp_*',interval:auto,query:(query_string:(analyze_wildcard:!t,query:'%22rtdc.l.rtdc.4036%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638</v>
      </c>
      <c r="B209" s="7">
        <v>4003</v>
      </c>
      <c r="C209" s="21" t="s">
        <v>194</v>
      </c>
      <c r="D209" s="21" t="s">
        <v>903</v>
      </c>
      <c r="E209" s="13">
        <v>43025.138148148151</v>
      </c>
      <c r="F209" s="13">
        <v>43025.141250000001</v>
      </c>
      <c r="G209" s="7">
        <v>65</v>
      </c>
      <c r="H209" s="21" t="s">
        <v>339</v>
      </c>
      <c r="I209" s="13">
        <v>43025.147326388891</v>
      </c>
      <c r="J209" s="7">
        <v>0</v>
      </c>
      <c r="K209" s="89" t="str">
        <f>IF(ISEVEN(B209),(B209-1)&amp;"/"&amp;B209,B209&amp;"/"&amp;(B209+1))</f>
        <v>4003/4004</v>
      </c>
      <c r="L209" s="185" t="str">
        <f>VLOOKUP(A209,'Trips&amp;Operators'!$C$1:$G$99911,5,FALSE)</f>
        <v>BONDS REYNALDO</v>
      </c>
      <c r="M209" s="6">
        <f>I209-F209</f>
        <v>6.0763888905057684E-3</v>
      </c>
      <c r="N209" s="7">
        <f>24*60*SUM($M209:$M209)</f>
        <v>8.7500000023283064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-17T02:18:56-0600',mode:absolute,to:'2017-10-17T04:32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2.34</v>
      </c>
      <c r="Z209" s="204">
        <f>RIGHT(H209,LEN(H209)-4)/10000</f>
        <v>1.47E-2</v>
      </c>
      <c r="AA209" s="204">
        <f>ABS(Z209-Y209)</f>
        <v>2.3252999999999999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302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/stypes="app*4003*20171017*" /stext=" 09:.+((SYSTEM_STATE.+slice.+state.+changed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42"/>
        <v>"%USERPROFILE%\Documents\GitHub\eaglep3\Utilities\RefineRTDCRunTimes.py" --tripid 302-17 --locoid 4003 --swversion DE.1.0.9.0 --startMP 300:23400 --initTime 2017-10-17T03:18:56 --startdatetime 2017-10-17T03:23:24 --delay 65 --endMP 204:147 --enddatetime 2017-10-17T03:32:09 --enforcementcount 0 &gt;&gt;%USERPROFILE%\Documents\GitHub\eaglep3-reporting\EC\2017-10-17-refined-times.txt</v>
      </c>
      <c r="AI209" s="96" t="str">
        <f t="shared" si="43"/>
        <v>echo {"issue":{"subject":"","project_id":79,"tracker_id":40,"status_id":1,"priority_id":2,"assigned_to_id":338,"start_date":"2017-10-17","description":"","custom_fields":[{"id":1,"name":"Subdivision","value":"Other"},{"id":4,"name":"Milepost","value":"0.0147"},{"id":17,"name":"Train ID","value":"302-17"},{"id":16,"name":"Locomotive ID","value":"4003"},{"id":130,"name":"Impact","value":""},{"id":150,"name":"Time of Event (Mountain Time)","value":"03:32:09"},{"id":151,"name":"Denver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44"/>
        <v>start /low /b %USERPROFILE%\Documents\GitHub\eaglep3\Utilities\DownloadLogsFromS3.py --loco 4003 --day 2017-10-17</v>
      </c>
      <c r="AN209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09:32:09"},{"id":29,"name":"Sharepoint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46"/>
        <v>https://d0f6bd738d7f1b3e5a7ca70fe4ff75f0.us-east-1.aws.found.io/app/kibana#/discover/Steve-Slow-Train-Analysis-(2080s-and-2083s)?_g=(refreshInterval:(display:Off,pause:!f,section:0,value:0),time:(from:'2017-10-17T02:18:56-0600',mode:absolute,to:'2017-10-17T04:32:09-0600'))&amp;_a=(columns:!('Message%20ID',Summary),filters:!(),index:'emp_*',interval:auto,query:(query_string:(analyze_wildcard:!t,query:'%22rtdc.l.rtdc.4003%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819</v>
      </c>
      <c r="B210" s="7">
        <v>4066</v>
      </c>
      <c r="C210" s="21" t="s">
        <v>194</v>
      </c>
      <c r="D210" s="21" t="s">
        <v>371</v>
      </c>
      <c r="E210" s="13">
        <v>43025.797812500001</v>
      </c>
      <c r="F210" s="13">
        <v>43025.799293981479</v>
      </c>
      <c r="G210" s="7">
        <v>47</v>
      </c>
      <c r="H210" s="21" t="s">
        <v>432</v>
      </c>
      <c r="I210" s="13">
        <v>43025.805763888886</v>
      </c>
      <c r="J210" s="7">
        <v>0</v>
      </c>
      <c r="K210" s="89" t="str">
        <f>IF(ISEVEN(B210),(B210-1)&amp;"/"&amp;B210,B210&amp;"/"&amp;(B210+1))</f>
        <v>4065/4066</v>
      </c>
      <c r="L210" s="185" t="str">
        <f>VLOOKUP(A210,'Trips&amp;Operators'!$C$1:$G$99911,5,FALSE)</f>
        <v>KILLION DAVID</v>
      </c>
      <c r="M210" s="6">
        <f>I210-F210</f>
        <v>6.4699074064265005E-3</v>
      </c>
      <c r="N210" s="7">
        <f>24*60*SUM($M210:$M210)</f>
        <v>9.3166666652541608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-17T18:08:51-0600',mode:absolute,to:'2017-10-17T20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4.7100000000000003E-2</v>
      </c>
      <c r="Z210" s="204">
        <f>RIGHT(H210,LEN(H210)-4)/10000</f>
        <v>2.3346</v>
      </c>
      <c r="AA210" s="204">
        <f>ABS(Z210-Y210)</f>
        <v>2.2875000000000001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303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s3://rtdc.mdm.uploadarchive.raw/RTDC4066/ "%USERPROFILE%\AppData\Local\Temp\OnboardLogs"\RTDC4066\2017-10-17 --exclude "*" --recursive --include "*20171017*" &amp; "%USERPROFILE%\Documents\GitHub\mrs-test-scripts\Headless Mode &amp; Sideloading\WalkAndUnGZ.bat" "%USERPROFILE%\AppData\Local\Temp\OnboardLogs"\RTDC4066\2017-10-17 &amp; aws s3 cp s3://rtdc.mdm.uploadarchive.raw/RTDC4066/ "%USERPROFILE%\AppData\Local\Temp\OnboardLogs"\RTDC4066\2017-10-18 --exclude "*" --recursive --include "*20171018*" &amp; "%USERPROFILE%\Documents\GitHub\mrs-test-scripts\Headless Mode &amp; Sideloading\WalkAndUnGZ.bat" "%USERPROFILE%\AppData\Local\Temp\OnboardLogs"\RTDC4066\2017-10-18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/stypes="app*4066*20171018*" /stext=" 01:.+((SYSTEM_STATE.+slice.+state.+changed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si="42"/>
        <v>"%USERPROFILE%\Documents\GitHub\eaglep3\Utilities\RefineRTDCRunTimes.py" --tripid 303-17 --locoid 4066 --swversion DE.1.0.9.0 --startMP 204:471 --initTime 2017-10-17T19:08:51 --startdatetime 2017-10-17T19:10:59 --delay 47 --endMP 300:23346 --enddatetime 2017-10-17T19:20:18 --enforcementcount 0 &gt;&gt;%USERPROFILE%\Documents\GitHub\eaglep3-reporting\EC\2017-10-17-refined-times.txt</v>
      </c>
      <c r="AI210" s="96" t="str">
        <f t="shared" si="43"/>
        <v>echo {"issue":{"subject":"","project_id":79,"tracker_id":40,"status_id":1,"priority_id":2,"assigned_to_id":338,"start_date":"2017-10-17","description":"","custom_fields":[{"id":1,"name":"Subdivision","value":"Other"},{"id":4,"name":"Milepost","value":"2.3346"},{"id":17,"name":"Train ID","value":"303-17"},{"id":16,"name":"Locomotive ID","value":"4066"},{"id":130,"name":"Impact","value":""},{"id":150,"name":"Time of Event (Mountain Time)","value":"19:20:18"},{"id":151,"name":"Denver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44"/>
        <v>start /low /b %USERPROFILE%\Documents\GitHub\eaglep3\Utilities\DownloadLogsFromS3.py --loco 4066 --day 2017-10-17</v>
      </c>
      <c r="AN210" s="151" t="str">
        <f t="shared" si="45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46"/>
        <v>https://d0f6bd738d7f1b3e5a7ca70fe4ff75f0.us-east-1.aws.found.io/app/kibana#/discover/Steve-Slow-Train-Analysis-(2080s-and-2083s)?_g=(refreshInterval:(display:Off,pause:!f,section:0,value:0),time:(from:'2017-10-17T18:08:51-0600',mode:absolute,to:'2017-10-17T20:20:18-0600'))&amp;_a=(columns:!('Message%20ID',Summary),filters:!(),index:'emp_*',interval:auto,query:(query_string:(analyze_wildcard:!t,query:'%22rtdc.l.rtdc.4066%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644</v>
      </c>
      <c r="B211" s="7">
        <v>4049</v>
      </c>
      <c r="C211" s="21" t="s">
        <v>194</v>
      </c>
      <c r="D211" s="21" t="s">
        <v>904</v>
      </c>
      <c r="E211" s="13">
        <v>43025.161412037036</v>
      </c>
      <c r="F211" s="13">
        <v>43025.165266203701</v>
      </c>
      <c r="G211" s="7">
        <v>58</v>
      </c>
      <c r="H211" s="21" t="s">
        <v>355</v>
      </c>
      <c r="I211" s="13">
        <v>43025.169803240744</v>
      </c>
      <c r="J211" s="7">
        <v>0</v>
      </c>
      <c r="K211" s="89" t="str">
        <f>IF(ISEVEN(B211),(B211-1)&amp;"/"&amp;B211,B211&amp;"/"&amp;(B211+1))</f>
        <v>4049/4050</v>
      </c>
      <c r="L211" s="185" t="str">
        <f>VLOOKUP(A211,'Trips&amp;Operators'!$C$1:$G$99911,5,FALSE)</f>
        <v>BEAM ROSS</v>
      </c>
      <c r="M211" s="6">
        <f>I211-F211</f>
        <v>4.5370370426098816E-3</v>
      </c>
      <c r="N211" s="7">
        <f>24*60*SUM($M211:$M211)</f>
        <v>6.5333333413582295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Southbound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-17T02:52:26-0600',mode:absolute,to:'2017-10-17T05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2.1648999999999998</v>
      </c>
      <c r="Z211" s="204">
        <f>RIGHT(H211,LEN(H211)-4)/10000</f>
        <v>1.4500000000000001E-2</v>
      </c>
      <c r="AA211" s="204">
        <f>ABS(Z211-Y211)</f>
        <v>2.1503999999999999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304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/stypes="app*4049*20171017*" /stext=" 10:.+((SYSTEM_STATE.+slice.+state.+changed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42"/>
        <v>"%USERPROFILE%\Documents\GitHub\eaglep3\Utilities\RefineRTDCRunTimes.py" --tripid 304-17 --locoid 4049 --swversion DE.1.0.9.0 --startMP 300:21649 --initTime 2017-10-17T03:52:26 --startdatetime 2017-10-17T03:57:59 --delay 58 --endMP 204:145 --enddatetime 2017-10-17T04:04:31 --enforcementcount 0 &gt;&gt;%USERPROFILE%\Documents\GitHub\eaglep3-reporting\EC\2017-10-17-refined-times.txt</v>
      </c>
      <c r="AI211" s="96" t="str">
        <f t="shared" si="43"/>
        <v>echo {"issue":{"subject":"","project_id":79,"tracker_id":40,"status_id":1,"priority_id":2,"assigned_to_id":338,"start_date":"2017-10-17","description":"","custom_fields":[{"id":1,"name":"Subdivision","value":"Other"},{"id":4,"name":"Milepost","value":"0.0145"},{"id":17,"name":"Train ID","value":"304-17"},{"id":16,"name":"Locomotive ID","value":"4049"},{"id":130,"name":"Impact","value":""},{"id":150,"name":"Time of Event (Mountain Time)","value":"04:04:31"},{"id":151,"name":"Denver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44"/>
        <v>start /low /b %USERPROFILE%\Documents\GitHub\eaglep3\Utilities\DownloadLogsFromS3.py --loco 4049 --day 2017-10-17</v>
      </c>
      <c r="AN211" s="151" t="str">
        <f t="shared" si="45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10:04:31"},{"id":29,"name":"Sharepoint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46"/>
        <v>https://d0f6bd738d7f1b3e5a7ca70fe4ff75f0.us-east-1.aws.found.io/app/kibana#/discover/Steve-Slow-Train-Analysis-(2080s-and-2083s)?_g=(refreshInterval:(display:Off,pause:!f,section:0,value:0),time:(from:'2017-10-17T02:52:26-0600',mode:absolute,to:'2017-10-17T05:04:31-0600'))&amp;_a=(columns:!('Message%20ID',Summary),filters:!(),index:'emp_*',interval:auto,query:(query_string:(analyze_wildcard:!t,query:'%22rtdc.l.rtdc.4049%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823</v>
      </c>
      <c r="B212" s="7">
        <v>4014</v>
      </c>
      <c r="C212" s="21" t="s">
        <v>194</v>
      </c>
      <c r="D212" s="21" t="s">
        <v>353</v>
      </c>
      <c r="E212" s="13">
        <v>43025.817939814813</v>
      </c>
      <c r="F212" s="13">
        <v>43025.819803240738</v>
      </c>
      <c r="G212" s="7">
        <v>58</v>
      </c>
      <c r="H212" s="21" t="s">
        <v>905</v>
      </c>
      <c r="I212" s="13">
        <v>43025.830150462964</v>
      </c>
      <c r="J212" s="7">
        <v>0</v>
      </c>
      <c r="K212" s="89" t="str">
        <f>IF(ISEVEN(B212),(B212-1)&amp;"/"&amp;B212,B212&amp;"/"&amp;(B212+1))</f>
        <v>4013/4014</v>
      </c>
      <c r="L212" s="185" t="str">
        <f>VLOOKUP(A212,'Trips&amp;Operators'!$C$1:$G$99911,5,FALSE)</f>
        <v>SMITH MICHAEL</v>
      </c>
      <c r="M212" s="6">
        <f>I212-F212</f>
        <v>1.0347222225391306E-2</v>
      </c>
      <c r="N212" s="7">
        <f>24*60*SUM($M212:$M212)</f>
        <v>14.900000004563481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-17T18:37:50-0600',mode:absolute,to:'2017-10-17T20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4.58E-2</v>
      </c>
      <c r="Z212" s="204">
        <f>RIGHT(H212,LEN(H212)-4)/10000</f>
        <v>2.3302</v>
      </c>
      <c r="AA212" s="204">
        <f>ABS(Z212-Y212)</f>
        <v>2.2844000000000002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305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/stypes="app*4014*20171018*" /stext=" 01:.+((SYSTEM_STATE.+slice.+state.+changed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ref="AH212:AH240" si="57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305-17 --locoid 4014 --swversion DE.1.0.9.0 --startMP 204:458 --initTime 2017-10-17T19:37:50 --startdatetime 2017-10-17T19:40:31 --delay 58 --endMP 300:23302 --enddatetime 2017-10-17T19:55:25 --enforcementcount 0 &gt;&gt;%USERPROFILE%\Documents\GitHub\eaglep3-reporting\EC\2017-10-17-refined-times.txt</v>
      </c>
      <c r="AI212" s="96" t="str">
        <f t="shared" ref="AI212:AI240" si="58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{"issue":{"subject":"","project_id":79,"tracker_id":40,"status_id":1,"priority_id":2,"assigned_to_id":338,"start_date":"2017-10-17","description":"","custom_fields":[{"id":1,"name":"Subdivision","value":"Other"},{"id":4,"name":"Milepost","value":"2.3302"},{"id":17,"name":"Train ID","value":"305-17"},{"id":16,"name":"Locomotive ID","value":"4014"},{"id":130,"name":"Impact","value":""},{"id":150,"name":"Time of Event (Mountain Time)","value":"19:55:25"},{"id":151,"name":"Denver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ref="AM212:AM240" si="59">"start /low /b "&amp;dls3logs&amp;" --loco "&amp;B212&amp;" --day "&amp;TEXT(F212,"YYYY-MM-DD")</f>
        <v>start /low /b %USERPROFILE%\Documents\GitHub\eaglep3\Utilities\DownloadLogsFromS3.py --loco 4014 --day 2017-10-17</v>
      </c>
      <c r="AN212" s="151" t="str">
        <f t="shared" ref="AN212:AN240" si="60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ref="AO212:AO240" si="61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-17T18:37:50-0600',mode:absolute,to:'2017-10-17T20:55:25-0600'))&amp;_a=(columns:!('Message%20ID',Summary),filters:!(),index:'emp_*',interval:auto,query:(query_string:(analyze_wildcard:!t,query:'%22rtdc.l.rtdc.4014%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645</v>
      </c>
      <c r="B213" s="7">
        <v>4009</v>
      </c>
      <c r="C213" s="21" t="s">
        <v>194</v>
      </c>
      <c r="D213" s="21" t="s">
        <v>906</v>
      </c>
      <c r="E213" s="13">
        <v>43025.171458333331</v>
      </c>
      <c r="F213" s="13">
        <v>43025.175138888888</v>
      </c>
      <c r="G213" s="7">
        <v>56</v>
      </c>
      <c r="H213" s="21" t="s">
        <v>373</v>
      </c>
      <c r="I213" s="13">
        <v>43025.181342592594</v>
      </c>
      <c r="J213" s="7">
        <v>0</v>
      </c>
      <c r="K213" s="89" t="str">
        <f>IF(ISEVEN(B213),(B213-1)&amp;"/"&amp;B213,B213&amp;"/"&amp;(B213+1))</f>
        <v>4009/4010</v>
      </c>
      <c r="L213" s="185" t="str">
        <f>VLOOKUP(A213,'Trips&amp;Operators'!$C$1:$G$99911,5,FALSE)</f>
        <v>LALONDE GREGORY</v>
      </c>
      <c r="M213" s="6">
        <f>I213-F213</f>
        <v>6.2037037059781142E-3</v>
      </c>
      <c r="N213" s="7">
        <f>24*60*SUM($M213:$M213)</f>
        <v>8.9333333366084844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-17T03:06:54-0600',mode:absolute,to:'2017-10-17T05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2.3475999999999999</v>
      </c>
      <c r="Z213" s="204">
        <f>RIGHT(H213,LEN(H213)-4)/10000</f>
        <v>1.54E-2</v>
      </c>
      <c r="AA213" s="204">
        <f>ABS(Z213-Y213)</f>
        <v>2.3321999999999998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306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/stypes="app*4009*20171017*" /stext=" 10:.+((SYSTEM_STATE.+slice.+state.+changed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57"/>
        <v>"%USERPROFILE%\Documents\GitHub\eaglep3\Utilities\RefineRTDCRunTimes.py" --tripid 306-17 --locoid 4009 --swversion DE.1.0.9.0 --startMP 300:23476 --initTime 2017-10-17T04:06:54 --startdatetime 2017-10-17T04:12:12 --delay 56 --endMP 204:154 --enddatetime 2017-10-17T04:21:08 --enforcementcount 0 &gt;&gt;%USERPROFILE%\Documents\GitHub\eaglep3-reporting\EC\2017-10-17-refined-times.txt</v>
      </c>
      <c r="AI213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{"issue":{"subject":"","project_id":79,"tracker_id":40,"status_id":1,"priority_id":2,"assigned_to_id":338,"start_date":"2017-10-17","description":"","custom_fields":[{"id":1,"name":"Subdivision","value":"Other"},{"id":4,"name":"Milepost","value":"0.0154"},{"id":17,"name":"Train ID","value":"306-17"},{"id":16,"name":"Locomotive ID","value":"4009"},{"id":130,"name":"Impact","value":""},{"id":150,"name":"Time of Event (Mountain Time)","value":"04:21:08"},{"id":151,"name":"Denver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59"/>
        <v>start /low /b %USERPROFILE%\Documents\GitHub\eaglep3\Utilities\DownloadLogsFromS3.py --loco 4009 --day 2017-10-17</v>
      </c>
      <c r="AN213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61"/>
        <v>https://d0f6bd738d7f1b3e5a7ca70fe4ff75f0.us-east-1.aws.found.io/app/kibana#/discover/Steve-Slow-Train-Analysis-(2080s-and-2083s)?_g=(refreshInterval:(display:Off,pause:!f,section:0,value:0),time:(from:'2017-10-17T03:06:54-0600',mode:absolute,to:'2017-10-17T05:21:08-0600'))&amp;_a=(columns:!('Message%20ID',Summary),filters:!(),index:'emp_*',interval:auto,query:(query_string:(analyze_wildcard:!t,query:'%22rtdc.l.rtdc.4009%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647</v>
      </c>
      <c r="B214" s="7">
        <v>4035</v>
      </c>
      <c r="C214" s="21" t="s">
        <v>194</v>
      </c>
      <c r="D214" s="21" t="s">
        <v>907</v>
      </c>
      <c r="E214" s="13">
        <v>43025.183055555557</v>
      </c>
      <c r="F214" s="13">
        <v>43025.186689814815</v>
      </c>
      <c r="G214" s="7">
        <v>75</v>
      </c>
      <c r="H214" s="21" t="s">
        <v>395</v>
      </c>
      <c r="I214" s="13">
        <v>43025.192013888889</v>
      </c>
      <c r="J214" s="7">
        <v>0</v>
      </c>
      <c r="K214" s="89" t="str">
        <f>IF(ISEVEN(B214),(B214-1)&amp;"/"&amp;B214,B214&amp;"/"&amp;(B214+1))</f>
        <v>4035/4036</v>
      </c>
      <c r="L214" s="185" t="str">
        <f>VLOOKUP(A214,'Trips&amp;Operators'!$C$1:$G$99911,5,FALSE)</f>
        <v>LAMAR NEKESHA</v>
      </c>
      <c r="M214" s="6">
        <f>I214-F214</f>
        <v>5.324074074451346E-3</v>
      </c>
      <c r="N214" s="7">
        <f>24*60*SUM($M214:$M214)</f>
        <v>7.6666666672099382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-17T03:23:36-0600',mode:absolute,to:'2017-10-17T05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2</v>
      </c>
      <c r="Y214" s="204">
        <f>RIGHT(D214,LEN(D214)-4)/10000</f>
        <v>2.3180000000000001</v>
      </c>
      <c r="Z214" s="204">
        <f>RIGHT(H214,LEN(H214)-4)/10000</f>
        <v>1.6E-2</v>
      </c>
      <c r="AA214" s="204">
        <f>ABS(Z214-Y214)</f>
        <v>2.302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308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/stypes="app*4035*20171017*"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57"/>
        <v>"%USERPROFILE%\Documents\GitHub\eaglep3\Utilities\RefineRTDCRunTimes.py" --tripid 308-17 --locoid 4035 --swversion DE.1.0.9.0 --startMP 300:23180 --initTime 2017-10-17T04:23:36 --startdatetime 2017-10-17T04:28:50 --delay 75 --endMP 204:160 --enddatetime 2017-10-17T04:36:30 --enforcementcount 0 &gt;&gt;%USERPROFILE%\Documents\GitHub\eaglep3-reporting\EC\2017-10-17-refined-times.txt</v>
      </c>
      <c r="AI214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{"issue":{"subject":"","project_id":79,"tracker_id":40,"status_id":1,"priority_id":2,"assigned_to_id":338,"start_date":"2017-10-17","description":"","custom_fields":[{"id":1,"name":"Subdivision","value":"Other"},{"id":4,"name":"Milepost","value":"0.016"},{"id":17,"name":"Train ID","value":"308-17"},{"id":16,"name":"Locomotive ID","value":"4035"},{"id":130,"name":"Impact","value":""},{"id":150,"name":"Time of Event (Mountain Time)","value":"04:36:30"},{"id":151,"name":"Denver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59"/>
        <v>start /low /b %USERPROFILE%\Documents\GitHub\eaglep3\Utilities\DownloadLogsFromS3.py --loco 4035 --day 2017-10-17</v>
      </c>
      <c r="AN214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61"/>
        <v>https://d0f6bd738d7f1b3e5a7ca70fe4ff75f0.us-east-1.aws.found.io/app/kibana#/discover/Steve-Slow-Train-Analysis-(2080s-and-2083s)?_g=(refreshInterval:(display:Off,pause:!f,section:0,value:0),time:(from:'2017-10-17T03:23:36-0600',mode:absolute,to:'2017-10-17T05:36:30-0600'))&amp;_a=(columns:!('Message%20ID',Summary),filters:!(),index:'emp_*',interval:auto,query:(query_string:(analyze_wildcard:!t,query:'%22rtdc.l.rtdc.4035%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854</v>
      </c>
      <c r="B215" s="7">
        <v>4050</v>
      </c>
      <c r="C215" s="21" t="s">
        <v>194</v>
      </c>
      <c r="D215" s="21" t="s">
        <v>362</v>
      </c>
      <c r="E215" s="13">
        <v>43026.068159722221</v>
      </c>
      <c r="F215" s="13">
        <v>43026.069652777776</v>
      </c>
      <c r="G215" s="7">
        <v>52</v>
      </c>
      <c r="H215" s="21" t="s">
        <v>580</v>
      </c>
      <c r="I215" s="13">
        <v>43026.076805555553</v>
      </c>
      <c r="J215" s="7">
        <v>0</v>
      </c>
      <c r="K215" s="89" t="str">
        <f>IF(ISEVEN(B215),(B215-1)&amp;"/"&amp;B215,B215&amp;"/"&amp;(B215+1))</f>
        <v>4049/4050</v>
      </c>
      <c r="L215" s="185" t="str">
        <f>VLOOKUP(A215,'Trips&amp;Operators'!$C$1:$G$99911,5,FALSE)</f>
        <v>BIRKHOLZ NADINE</v>
      </c>
      <c r="M215" s="6">
        <f>I215-F215</f>
        <v>7.1527777763549238E-3</v>
      </c>
      <c r="N215" s="7">
        <f>24*60*SUM($M215:$M215)</f>
        <v>10.29999999795109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-18T00:38:09-0600',mode:absolute,to:'2017-10-18T02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4.5999999999999999E-2</v>
      </c>
      <c r="Z215" s="204">
        <f>RIGHT(H215,LEN(H215)-4)/10000</f>
        <v>2.3308</v>
      </c>
      <c r="AA215" s="204">
        <f>ABS(Z215-Y215)</f>
        <v>2.2848000000000002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309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s3://rtdc.mdm.uploadarchive.raw/RTDC4050/ "%USERPROFILE%\AppData\Local\Temp\OnboardLogs"\RTDC4050\2017-10-18 --exclude "*" --recursive --include "*20171018*" &amp; "%USERPROFILE%\Documents\GitHub\mrs-test-scripts\Headless Mode &amp; Sideloading\WalkAndUnGZ.bat" "%USERPROFILE%\AppData\Local\Temp\OnboardLogs"\RTDC4050\2017-10-18 &amp; aws s3 cp s3://rtdc.mdm.uploadarchive.raw/RTDC4050/ "%USERPROFILE%\AppData\Local\Temp\OnboardLogs"\RTDC4050\2017-10-19 --exclude "*" --recursive --include "*20171019*" &amp; "%USERPROFILE%\Documents\GitHub\mrs-test-scripts\Headless Mode &amp; Sideloading\WalkAndUnGZ.bat" "%USERPROFILE%\AppData\Local\Temp\OnboardLogs"\RTDC4050\2017-10-19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/stypes="app*4050*20171018*" /stext=" 07:.+((SYSTEM_STATE.+slice.+state.+changed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57"/>
        <v>"%USERPROFILE%\Documents\GitHub\eaglep3\Utilities\RefineRTDCRunTimes.py" --tripid 309-17 --locoid 4050 --swversion DE.1.0.9.0 --startMP 204:460 --initTime 2017-10-18T01:38:09 --startdatetime 2017-10-18T01:40:18 --delay 52 --endMP 300:23308 --enddatetime 2017-10-18T01:50:36 --enforcementcount 0 &gt;&gt;%USERPROFILE%\Documents\GitHub\eaglep3-reporting\EC\2017-10-17-refined-times.txt</v>
      </c>
      <c r="AI215" s="96" t="str">
        <f t="shared" si="58"/>
        <v>echo {"issue":{"subject":"","project_id":79,"tracker_id":40,"status_id":1,"priority_id":2,"assigned_to_id":338,"start_date":"2017-10-18","description":"","custom_fields":[{"id":1,"name":"Subdivision","value":"Other"},{"id":4,"name":"Milepost","value":"2.3308"},{"id":17,"name":"Train ID","value":"309-17"},{"id":16,"name":"Locomotive ID","value":"4050"},{"id":130,"name":"Impact","value":""},{"id":150,"name":"Time of Event (Mountain Time)","value":"01:50:36"},{"id":151,"name":"Denver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59"/>
        <v>start /low /b %USERPROFILE%\Documents\GitHub\eaglep3\Utilities\DownloadLogsFromS3.py --loco 4050 --day 2017-10-18</v>
      </c>
      <c r="AN215" s="151" t="str">
        <f t="shared" si="60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07:50:36"},{"id":29,"name":"Sharepoint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61"/>
        <v>https://d0f6bd738d7f1b3e5a7ca70fe4ff75f0.us-east-1.aws.found.io/app/kibana#/discover/Steve-Slow-Train-Analysis-(2080s-and-2083s)?_g=(refreshInterval:(display:Off,pause:!f,section:0,value:0),time:(from:'2017-10-18T00:38:09-0600',mode:absolute,to:'2017-10-18T02:50:36-0600'))&amp;_a=(columns:!('Message%20ID',Summary),filters:!(),index:'emp_*',interval:auto,query:(query_string:(analyze_wildcard:!t,query:'%22rtdc.l.rtdc.4050%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650</v>
      </c>
      <c r="B216" s="7">
        <v>4065</v>
      </c>
      <c r="C216" s="21" t="s">
        <v>194</v>
      </c>
      <c r="D216" s="21" t="s">
        <v>908</v>
      </c>
      <c r="E216" s="13">
        <v>43025.193749999999</v>
      </c>
      <c r="F216" s="13">
        <v>43025.197893518518</v>
      </c>
      <c r="G216" s="7">
        <v>108</v>
      </c>
      <c r="H216" s="21" t="s">
        <v>395</v>
      </c>
      <c r="I216" s="13">
        <v>43025.212291666663</v>
      </c>
      <c r="J216" s="7">
        <v>0</v>
      </c>
      <c r="K216" s="89" t="str">
        <f>IF(ISEVEN(B216),(B216-1)&amp;"/"&amp;B216,B216&amp;"/"&amp;(B216+1))</f>
        <v>4065/4066</v>
      </c>
      <c r="L216" s="185" t="str">
        <f>VLOOKUP(A216,'Trips&amp;Operators'!$C$1:$G$99911,5,FALSE)</f>
        <v>YANAI IAN</v>
      </c>
      <c r="M216" s="6">
        <f>I216-F216</f>
        <v>1.4398148145119194E-2</v>
      </c>
      <c r="N216" s="7">
        <f>24*60*SUM($M216:$M216)</f>
        <v>20.733333328971639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-17T03:39:00-0600',mode:absolute,to:'2017-10-17T06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2.3774999999999999</v>
      </c>
      <c r="Z216" s="204">
        <f>RIGHT(H216,LEN(H216)-4)/10000</f>
        <v>1.6E-2</v>
      </c>
      <c r="AA216" s="204">
        <f>ABS(Z216-Y216)</f>
        <v>2.3614999999999999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310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/stypes="app*4065*20171017*" /stext=" 11:.+((SYSTEM_STATE.+slice.+state.+changed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57"/>
        <v>"%USERPROFILE%\Documents\GitHub\eaglep3\Utilities\RefineRTDCRunTimes.py" --tripid 310-17 --locoid 4065 --swversion DE.1.0.9.0 --startMP 300:23775 --initTime 2017-10-17T04:39:00 --startdatetime 2017-10-17T04:44:58 --delay 108 --endMP 204:160 --enddatetime 2017-10-17T05:05:42 --enforcementcount 0 &gt;&gt;%USERPROFILE%\Documents\GitHub\eaglep3-reporting\EC\2017-10-17-refined-times.txt</v>
      </c>
      <c r="AI216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{"issue":{"subject":"","project_id":79,"tracker_id":40,"status_id":1,"priority_id":2,"assigned_to_id":338,"start_date":"2017-10-17","description":"","custom_fields":[{"id":1,"name":"Subdivision","value":"Other"},{"id":4,"name":"Milepost","value":"0.016"},{"id":17,"name":"Train ID","value":"310-17"},{"id":16,"name":"Locomotive ID","value":"4065"},{"id":130,"name":"Impact","value":""},{"id":150,"name":"Time of Event (Mountain Time)","value":"05:05:42"},{"id":151,"name":"Denver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59"/>
        <v>start /low /b %USERPROFILE%\Documents\GitHub\eaglep3\Utilities\DownloadLogsFromS3.py --loco 4065 --day 2017-10-17</v>
      </c>
      <c r="AN216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61"/>
        <v>https://d0f6bd738d7f1b3e5a7ca70fe4ff75f0.us-east-1.aws.found.io/app/kibana#/discover/Steve-Slow-Train-Analysis-(2080s-and-2083s)?_g=(refreshInterval:(display:Off,pause:!f,section:0,value:0),time:(from:'2017-10-17T03:39:00-0600',mode:absolute,to:'2017-10-17T06:05:42-0600'))&amp;_a=(columns:!('Message%20ID',Summary),filters:!(),index:'emp_*',interval:auto,query:(query_string:(analyze_wildcard:!t,query:'%22rtdc.l.rtdc.4065%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855</v>
      </c>
      <c r="B217" s="7">
        <v>4010</v>
      </c>
      <c r="C217" s="21" t="s">
        <v>194</v>
      </c>
      <c r="D217" s="21" t="s">
        <v>909</v>
      </c>
      <c r="E217" s="13">
        <v>43026.092627314814</v>
      </c>
      <c r="F217" s="13">
        <v>43026.094224537039</v>
      </c>
      <c r="G217" s="7">
        <v>56</v>
      </c>
      <c r="H217" s="21" t="s">
        <v>522</v>
      </c>
      <c r="I217" s="13">
        <v>43026.10260416667</v>
      </c>
      <c r="J217" s="7">
        <v>0</v>
      </c>
      <c r="K217" s="89" t="str">
        <f>IF(ISEVEN(B217),(B217-1)&amp;"/"&amp;B217,B217&amp;"/"&amp;(B217+1))</f>
        <v>4009/4010</v>
      </c>
      <c r="L217" s="185" t="str">
        <f>VLOOKUP(A217,'Trips&amp;Operators'!$C$1:$G$99911,5,FALSE)</f>
        <v>ANDERS STEVEN</v>
      </c>
      <c r="M217" s="6">
        <f>I217-F217</f>
        <v>8.3796296312357299E-3</v>
      </c>
      <c r="N217" s="7">
        <f>24*60*SUM($M217:$M217)</f>
        <v>12.066666668979451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-18T01:13:23-0600',mode:absolute,to:'2017-10-18T03:27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5.6000000000000001E-2</v>
      </c>
      <c r="Z217" s="204">
        <f>RIGHT(H217,LEN(H217)-4)/10000</f>
        <v>2.3300999999999998</v>
      </c>
      <c r="AA217" s="204">
        <f>ABS(Z217-Y217)</f>
        <v>2.2740999999999998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311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 &amp; aws s3 cp s3://rtdc.mdm.uploadarchive.raw/RTDC4010/ "%USERPROFILE%\AppData\Local\Temp\OnboardLogs"\RTDC4010\2017-10-19 --exclude "*" --recursive --include "*20171019*" &amp; "%USERPROFILE%\Documents\GitHub\mrs-test-scripts\Headless Mode &amp; Sideloading\WalkAndUnGZ.bat" "%USERPROFILE%\AppData\Local\Temp\OnboardLogs"\RTDC4010\2017-10-19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/stypes="app*4010*20171018*" /stext=" 08:.+((SYSTEM_STATE.+slice.+state.+changed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57"/>
        <v>"%USERPROFILE%\Documents\GitHub\eaglep3\Utilities\RefineRTDCRunTimes.py" --tripid 311-17 --locoid 4010 --swversion DE.1.0.9.0 --startMP 204:560 --initTime 2017-10-18T02:13:23 --startdatetime 2017-10-18T02:15:41 --delay 56 --endMP 300:23301 --enddatetime 2017-10-18T02:27:45 --enforcementcount 0 &gt;&gt;%USERPROFILE%\Documents\GitHub\eaglep3-reporting\EC\2017-10-17-refined-times.txt</v>
      </c>
      <c r="AI217" s="96" t="str">
        <f t="shared" si="58"/>
        <v>echo {"issue":{"subject":"","project_id":79,"tracker_id":40,"status_id":1,"priority_id":2,"assigned_to_id":338,"start_date":"2017-10-18","description":"","custom_fields":[{"id":1,"name":"Subdivision","value":"Other"},{"id":4,"name":"Milepost","value":"2.3301"},{"id":17,"name":"Train ID","value":"311-17"},{"id":16,"name":"Locomotive ID","value":"4010"},{"id":130,"name":"Impact","value":""},{"id":150,"name":"Time of Event (Mountain Time)","value":"02:27:45"},{"id":151,"name":"Denver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59"/>
        <v>start /low /b %USERPROFILE%\Documents\GitHub\eaglep3\Utilities\DownloadLogsFromS3.py --loco 4010 --day 2017-10-18</v>
      </c>
      <c r="AN217" s="151" t="str">
        <f t="shared" si="60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08:27:45"},{"id":29,"name":"Sharepoint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61"/>
        <v>https://d0f6bd738d7f1b3e5a7ca70fe4ff75f0.us-east-1.aws.found.io/app/kibana#/discover/Steve-Slow-Train-Analysis-(2080s-and-2083s)?_g=(refreshInterval:(display:Off,pause:!f,section:0,value:0),time:(from:'2017-10-18T01:13:23-0600',mode:absolute,to:'2017-10-18T03:27:45-0600'))&amp;_a=(columns:!('Message%20ID',Summary),filters:!(),index:'emp_*',interval:auto,query:(query_string:(analyze_wildcard:!t,query:'%22rtdc.l.rtdc.4010%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657</v>
      </c>
      <c r="B218" s="7">
        <v>4013</v>
      </c>
      <c r="C218" s="21" t="s">
        <v>194</v>
      </c>
      <c r="D218" s="21" t="s">
        <v>910</v>
      </c>
      <c r="E218" s="13">
        <v>43025.222962962966</v>
      </c>
      <c r="F218" s="13">
        <v>43025.228171296294</v>
      </c>
      <c r="G218" s="7">
        <v>92</v>
      </c>
      <c r="H218" s="21" t="s">
        <v>577</v>
      </c>
      <c r="I218" s="13">
        <v>43025.233819444446</v>
      </c>
      <c r="J218" s="7">
        <v>0</v>
      </c>
      <c r="K218" s="89" t="str">
        <f>IF(ISEVEN(B218),(B218-1)&amp;"/"&amp;B218,B218&amp;"/"&amp;(B218+1))</f>
        <v>4013/4014</v>
      </c>
      <c r="L218" s="185" t="str">
        <f>VLOOKUP(A218,'Trips&amp;Operators'!$C$1:$G$99911,5,FALSE)</f>
        <v>MACDONALD THOMAS</v>
      </c>
      <c r="M218" s="6">
        <f>I218-F218</f>
        <v>5.6481481515220366E-3</v>
      </c>
      <c r="N218" s="7">
        <f>24*60*SUM($M218:$M218)</f>
        <v>8.1333333381917328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-17T04:21:04-0600',mode:absolute,to:'2017-10-17T06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2.3675000000000002</v>
      </c>
      <c r="Z218" s="204">
        <f>RIGHT(H218,LEN(H218)-4)/10000</f>
        <v>1.7600000000000001E-2</v>
      </c>
      <c r="AA218" s="204">
        <f>ABS(Z218-Y218)</f>
        <v>2.3499000000000003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/stypes="app*4013*20171017*" /stext=" 11:.+((SYSTEM_STATE.+slice.+state.+changed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57"/>
        <v>"%USERPROFILE%\Documents\GitHub\eaglep3\Utilities\RefineRTDCRunTimes.py" --tripid 312-17 --locoid 4013 --swversion DE.1.0.9.0 --startMP 300:23675 --initTime 2017-10-17T05:21:04 --startdatetime 2017-10-17T05:28:34 --delay 92 --endMP 204:176 --enddatetime 2017-10-17T05:36:42 --enforcementcount 0 &gt;&gt;%USERPROFILE%\Documents\GitHub\eaglep3-reporting\EC\2017-10-17-refined-times.txt</v>
      </c>
      <c r="AI218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{"issue":{"subject":"","project_id":79,"tracker_id":40,"status_id":1,"priority_id":2,"assigned_to_id":338,"start_date":"2017-10-17","description":"","custom_fields":[{"id":1,"name":"Subdivision","value":"Other"},{"id":4,"name":"Milepost","value":"0.0176"},{"id":17,"name":"Train ID","value":"312-17"},{"id":16,"name":"Locomotive ID","value":"4013"},{"id":130,"name":"Impact","value":""},{"id":150,"name":"Time of Event (Mountain Time)","value":"05:36:42"},{"id":151,"name":"Denver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59"/>
        <v>start /low /b %USERPROFILE%\Documents\GitHub\eaglep3\Utilities\DownloadLogsFromS3.py --loco 4013 --day 2017-10-17</v>
      </c>
      <c r="AN218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61"/>
        <v>https://d0f6bd738d7f1b3e5a7ca70fe4ff75f0.us-east-1.aws.found.io/app/kibana#/discover/Steve-Slow-Train-Analysis-(2080s-and-2083s)?_g=(refreshInterval:(display:Off,pause:!f,section:0,value:0),time:(from:'2017-10-17T04:21:04-0600',mode:absolute,to:'2017-10-17T06:36:42-0600'))&amp;_a=(columns:!('Message%20ID',Summary),filters:!(),index:'emp_*',interval:auto,query:(query_string:(analyze_wildcard:!t,query:'%22rtdc.l.rtdc.4013%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850</v>
      </c>
      <c r="B219" s="7">
        <v>4016</v>
      </c>
      <c r="C219" s="21" t="s">
        <v>194</v>
      </c>
      <c r="D219" s="21" t="s">
        <v>378</v>
      </c>
      <c r="E219" s="13">
        <v>43026.026134259257</v>
      </c>
      <c r="F219" s="13">
        <v>43026.027430555558</v>
      </c>
      <c r="G219" s="7">
        <v>62</v>
      </c>
      <c r="H219" s="21" t="s">
        <v>432</v>
      </c>
      <c r="I219" s="13">
        <v>43026.036076388889</v>
      </c>
      <c r="J219" s="7">
        <v>0</v>
      </c>
      <c r="K219" s="89" t="str">
        <f>IF(ISEVEN(B219),(B219-1)&amp;"/"&amp;B219,B219&amp;"/"&amp;(B219+1))</f>
        <v>4015/4016</v>
      </c>
      <c r="L219" s="185" t="str">
        <f>VLOOKUP(A219,'Trips&amp;Operators'!$C$1:$G$99911,5,FALSE)</f>
        <v>DUNCAN SHEILA</v>
      </c>
      <c r="M219" s="6">
        <f>I219-F219</f>
        <v>8.6458333316841163E-3</v>
      </c>
      <c r="N219" s="7">
        <f>24*60*SUM($M219:$M219)</f>
        <v>12.449999997625127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-17T23:37:38-0600',mode:absolute,to:'2017-10-18T01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4.5699999999999998E-2</v>
      </c>
      <c r="Z219" s="204">
        <f>RIGHT(H219,LEN(H219)-4)/10000</f>
        <v>2.3346</v>
      </c>
      <c r="AA219" s="204">
        <f>ABS(Z219-Y219)</f>
        <v>2.2888999999999999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 &amp; aws s3 cp s3://rtdc.mdm.uploadarchive.raw/RTDC4016/ "%USERPROFILE%\AppData\Local\Temp\OnboardLogs"\RTDC4016\2017-10-19 --exclude "*" --recursive --include "*20171019*" &amp; "%USERPROFILE%\Documents\GitHub\mrs-test-scripts\Headless Mode &amp; Sideloading\WalkAndUnGZ.bat" "%USERPROFILE%\AppData\Local\Temp\OnboardLogs"\RTDC4016\2017-10-19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/stypes="app*4016*20171018*" /stext=" 06:.+((SYSTEM_STATE.+slice.+state.+changed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57"/>
        <v>"%USERPROFILE%\Documents\GitHub\eaglep3\Utilities\RefineRTDCRunTimes.py" --tripid 313-17 --locoid 4016 --swversion DE.1.0.9.0 --startMP 204:457 --initTime 2017-10-18T00:37:38 --startdatetime 2017-10-18T00:39:30 --delay 62 --endMP 300:23346 --enddatetime 2017-10-18T00:51:57 --enforcementcount 0 &gt;&gt;%USERPROFILE%\Documents\GitHub\eaglep3-reporting\EC\2017-10-17-refined-times.txt</v>
      </c>
      <c r="AI219" s="96" t="str">
        <f t="shared" si="58"/>
        <v>echo {"issue":{"subject":"","project_id":79,"tracker_id":40,"status_id":1,"priority_id":2,"assigned_to_id":338,"start_date":"2017-10-18","description":"","custom_fields":[{"id":1,"name":"Subdivision","value":"Other"},{"id":4,"name":"Milepost","value":"2.3346"},{"id":17,"name":"Train ID","value":"313-17"},{"id":16,"name":"Locomotive ID","value":"4016"},{"id":130,"name":"Impact","value":""},{"id":150,"name":"Time of Event (Mountain Time)","value":"00:51:57"},{"id":151,"name":"Denver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59"/>
        <v>start /low /b %USERPROFILE%\Documents\GitHub\eaglep3\Utilities\DownloadLogsFromS3.py --loco 4016 --day 2017-10-18</v>
      </c>
      <c r="AN219" s="151" t="str">
        <f t="shared" si="60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06:51:57"},{"id":29,"name":"Sharepoint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61"/>
        <v>https://d0f6bd738d7f1b3e5a7ca70fe4ff75f0.us-east-1.aws.found.io/app/kibana#/discover/Steve-Slow-Train-Analysis-(2080s-and-2083s)?_g=(refreshInterval:(display:Off,pause:!f,section:0,value:0),time:(from:'2017-10-17T23:37:38-0600',mode:absolute,to:'2017-10-18T01:51:57-0600'))&amp;_a=(columns:!('Message%20ID',Summary),filters:!(),index:'emp_*',interval:auto,query:(query_string:(analyze_wildcard:!t,query:'%22rtdc.l.rtdc.4016%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652</v>
      </c>
      <c r="B220" s="7">
        <v>4060</v>
      </c>
      <c r="C220" s="21" t="s">
        <v>194</v>
      </c>
      <c r="D220" s="21" t="s">
        <v>980</v>
      </c>
      <c r="E220" s="13">
        <v>43025.197569444441</v>
      </c>
      <c r="F220" s="13">
        <v>43025.202384259261</v>
      </c>
      <c r="G220" s="7">
        <v>82</v>
      </c>
      <c r="H220" s="21" t="s">
        <v>603</v>
      </c>
      <c r="I220" s="13">
        <v>43025.20853009259</v>
      </c>
      <c r="J220" s="7">
        <v>0</v>
      </c>
      <c r="K220" s="89" t="str">
        <f>IF(ISEVEN(B220),(B220-1)&amp;"/"&amp;B220,B220&amp;"/"&amp;(B220+1))</f>
        <v>4059/4060</v>
      </c>
      <c r="L220" s="185" t="str">
        <f>VLOOKUP(A220,'Trips&amp;Operators'!$C$1:$G$99911,5,FALSE)</f>
        <v>YANG JAN</v>
      </c>
      <c r="M220" s="6">
        <f>I220-F220</f>
        <v>6.1458333293558098E-3</v>
      </c>
      <c r="N220" s="7">
        <f>24*60*SUM($M220:$M220)</f>
        <v>8.8499999942723662</v>
      </c>
      <c r="O220" s="7"/>
      <c r="P220" s="7"/>
      <c r="Q220" s="22"/>
      <c r="R220" s="174"/>
      <c r="S220" s="221">
        <f>1/IF(AG220="EC",12,1)*SUM(U220:U220)</f>
        <v>0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-17T03:44:30-0600',mode:absolute,to:'2017-10-17T06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588</v>
      </c>
      <c r="Y220" s="204">
        <f>RIGHT(D220,LEN(D220)-4)/10000</f>
        <v>2.9832999999999998</v>
      </c>
      <c r="Z220" s="204">
        <f>RIGHT(H220,LEN(H220)-4)/10000</f>
        <v>5.8945999999999996</v>
      </c>
      <c r="AA220" s="204">
        <f>ABS(Z220-Y220)</f>
        <v>2.9112999999999998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901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/stypes="app*4060*20171017*" /stext=" 11:.+((SYSTEM_STATE.+slice.+state.+changed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57"/>
        <v>"%USERPROFILE%\Documents\GitHub\eaglep3\Utilities\RefineRTDCRunTimes.py" --tripid 901-17 --locoid 4060 --swversion DE.1.0.9.0 --startMP 300:29833 --initTime 2017-10-17T04:44:30 --startdatetime 2017-10-17T04:51:26 --delay 82 --endMP 300:58946 --enddatetime 2017-10-17T05:00:17 --enforcementcount 0 &gt;&gt;%USERPROFILE%\Documents\GitHub\eaglep3-reporting\EC\2017-10-17-refined-times.txt</v>
      </c>
      <c r="AI220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{"issue":{"subject":"","project_id":79,"tracker_id":40,"status_id":1,"priority_id":2,"assigned_to_id":338,"start_date":"2017-10-17","description":"","custom_fields":[{"id":1,"name":"Subdivision","value":"Other"},{"id":4,"name":"Milepost","value":"5.8946"},{"id":17,"name":"Train ID","value":"901-17"},{"id":16,"name":"Locomotive ID","value":"4060"},{"id":130,"name":"Impact","value":""},{"id":150,"name":"Time of Event (Mountain Time)","value":"05:00:17"},{"id":151,"name":"Denver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59"/>
        <v>start /low /b %USERPROFILE%\Documents\GitHub\eaglep3\Utilities\DownloadLogsFromS3.py --loco 4060 --day 2017-10-17</v>
      </c>
      <c r="AN220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61"/>
        <v>https://d0f6bd738d7f1b3e5a7ca70fe4ff75f0.us-east-1.aws.found.io/app/kibana#/discover/Steve-Slow-Train-Analysis-(2080s-and-2083s)?_g=(refreshInterval:(display:Off,pause:!f,section:0,value:0),time:(from:'2017-10-17T03:44:30-0600',mode:absolute,to:'2017-10-17T06:00:17-0600'))&amp;_a=(columns:!('Message%20ID',Summary),filters:!(),index:'emp_*',interval:auto,query:(query_string:(analyze_wildcard:!t,query:'%22rtdc.l.rtdc.4060%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663</v>
      </c>
      <c r="B221" s="7">
        <v>4031</v>
      </c>
      <c r="C221" s="21" t="s">
        <v>194</v>
      </c>
      <c r="D221" s="21" t="s">
        <v>981</v>
      </c>
      <c r="E221" s="13">
        <v>43025.237372685187</v>
      </c>
      <c r="F221" s="13">
        <v>43025.240439814814</v>
      </c>
      <c r="G221" s="7">
        <v>76</v>
      </c>
      <c r="H221" s="21" t="s">
        <v>982</v>
      </c>
      <c r="I221" s="13">
        <v>43025.246145833335</v>
      </c>
      <c r="J221" s="7">
        <v>0</v>
      </c>
      <c r="K221" s="89" t="str">
        <f>IF(ISEVEN(B221),(B221-1)&amp;"/"&amp;B221,B221&amp;"/"&amp;(B221+1))</f>
        <v>4031/4032</v>
      </c>
      <c r="L221" s="185" t="str">
        <f>VLOOKUP(A221,'Trips&amp;Operators'!$C$1:$G$99911,5,FALSE)</f>
        <v>ROMERO CHAD</v>
      </c>
      <c r="M221" s="6">
        <f>I221-F221</f>
        <v>5.7060185208683833E-3</v>
      </c>
      <c r="N221" s="7">
        <f>24*60*SUM($M221:$M221)</f>
        <v>8.216666670050472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-17T04:41:49-0600',mode:absolute,to:'2017-10-17T06:54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2.3816999999999999</v>
      </c>
      <c r="Z221" s="204">
        <f>RIGHT(H221,LEN(H221)-4)/10000</f>
        <v>6.54E-2</v>
      </c>
      <c r="AA221" s="204">
        <f>ABS(Z221-Y221)</f>
        <v>2.3163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/stypes="app*4031*20171017*" /stext=" 11:.+((SYSTEM_STATE.+slice.+state.+changed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57"/>
        <v>"%USERPROFILE%\Documents\GitHub\eaglep3\Utilities\RefineRTDCRunTimes.py" --tripid 902-17 --locoid 4031 --swversion DE.1.0.9.0 --startMP 300:23817 --initTime 2017-10-17T05:41:49 --startdatetime 2017-10-17T05:46:14 --delay 76 --endMP 204:654 --enddatetime 2017-10-17T05:54:27 --enforcementcount 0 &gt;&gt;%USERPROFILE%\Documents\GitHub\eaglep3-reporting\EC\2017-10-17-refined-times.txt</v>
      </c>
      <c r="AI221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{"issue":{"subject":"","project_id":79,"tracker_id":40,"status_id":1,"priority_id":2,"assigned_to_id":338,"start_date":"2017-10-17","description":"","custom_fields":[{"id":1,"name":"Subdivision","value":"Other"},{"id":4,"name":"Milepost","value":"0.0654"},{"id":17,"name":"Train ID","value":"902-17"},{"id":16,"name":"Locomotive ID","value":"4031"},{"id":130,"name":"Impact","value":""},{"id":150,"name":"Time of Event (Mountain Time)","value":"05:54:27"},{"id":151,"name":"Denver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59"/>
        <v>start /low /b %USERPROFILE%\Documents\GitHub\eaglep3\Utilities\DownloadLogsFromS3.py --loco 4031 --day 2017-10-17</v>
      </c>
      <c r="AN221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11:54:27"},{"id":29,"name":"Sharepoint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61"/>
        <v>https://d0f6bd738d7f1b3e5a7ca70fe4ff75f0.us-east-1.aws.found.io/app/kibana#/discover/Steve-Slow-Train-Analysis-(2080s-and-2083s)?_g=(refreshInterval:(display:Off,pause:!f,section:0,value:0),time:(from:'2017-10-17T04:41:49-0600',mode:absolute,to:'2017-10-17T06:54:27-0600'))&amp;_a=(columns:!('Message%20ID',Summary),filters:!(),index:'emp_*',interval:auto,query:(query_string:(analyze_wildcard:!t,query:'%22rtdc.l.rtdc.4031%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693</v>
      </c>
      <c r="B222" s="7">
        <v>4060</v>
      </c>
      <c r="C222" s="21" t="s">
        <v>194</v>
      </c>
      <c r="D222" s="21" t="s">
        <v>489</v>
      </c>
      <c r="E222" s="13">
        <v>43025.353020833332</v>
      </c>
      <c r="F222" s="13">
        <v>43025.356365740743</v>
      </c>
      <c r="G222" s="7">
        <v>58</v>
      </c>
      <c r="H222" s="21" t="s">
        <v>983</v>
      </c>
      <c r="I222" s="13">
        <v>43025.361932870372</v>
      </c>
      <c r="J222" s="7">
        <v>0</v>
      </c>
      <c r="K222" s="89" t="str">
        <f>IF(ISEVEN(B222),(B222-1)&amp;"/"&amp;B222,B222&amp;"/"&amp;(B222+1))</f>
        <v>4059/4060</v>
      </c>
      <c r="L222" s="185" t="str">
        <f>VLOOKUP(A222,'Trips&amp;Operators'!$C$1:$G$99911,5,FALSE)</f>
        <v>YANG JAN</v>
      </c>
      <c r="M222" s="6">
        <f>I222-F222</f>
        <v>5.5671296286163852E-3</v>
      </c>
      <c r="N222" s="7">
        <f>24*60*SUM($M222:$M222)</f>
        <v>8.0166666652075946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-17T07:28:21-0600',mode:absolute,to:'2017-10-17T09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9.74E-2</v>
      </c>
      <c r="Z222" s="204">
        <f>RIGHT(H222,LEN(H222)-4)/10000</f>
        <v>2.4237000000000002</v>
      </c>
      <c r="AA222" s="204">
        <f>ABS(Z222-Y222)</f>
        <v>2.3263000000000003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/stypes="app*4060*20171017*" /stext=" 14:.+((SYSTEM_STATE.+slice.+state.+changed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57"/>
        <v>"%USERPROFILE%\Documents\GitHub\eaglep3\Utilities\RefineRTDCRunTimes.py" --tripid 903-17 --locoid 4060 --swversion DE.1.0.9.0 --startMP 204:974 --initTime 2017-10-17T08:28:21 --startdatetime 2017-10-17T08:33:10 --delay 58 --endMP 300:24237 --enddatetime 2017-10-17T08:41:11 --enforcementcount 0 &gt;&gt;%USERPROFILE%\Documents\GitHub\eaglep3-reporting\EC\2017-10-17-refined-times.txt</v>
      </c>
      <c r="AI222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{"issue":{"subject":"","project_id":79,"tracker_id":40,"status_id":1,"priority_id":2,"assigned_to_id":338,"start_date":"2017-10-17","description":"","custom_fields":[{"id":1,"name":"Subdivision","value":"Other"},{"id":4,"name":"Milepost","value":"2.4237"},{"id":17,"name":"Train ID","value":"903-17"},{"id":16,"name":"Locomotive ID","value":"4060"},{"id":130,"name":"Impact","value":""},{"id":150,"name":"Time of Event (Mountain Time)","value":"08:41:11"},{"id":151,"name":"Denver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59"/>
        <v>start /low /b %USERPROFILE%\Documents\GitHub\eaglep3\Utilities\DownloadLogsFromS3.py --loco 4060 --day 2017-10-17</v>
      </c>
      <c r="AN222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14:41:11"},{"id":29,"name":"Sharepoint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61"/>
        <v>https://d0f6bd738d7f1b3e5a7ca70fe4ff75f0.us-east-1.aws.found.io/app/kibana#/discover/Steve-Slow-Train-Analysis-(2080s-and-2083s)?_g=(refreshInterval:(display:Off,pause:!f,section:0,value:0),time:(from:'2017-10-17T07:28:21-0600',mode:absolute,to:'2017-10-17T09:41:11-0600'))&amp;_a=(columns:!('Message%20ID',Summary),filters:!(),index:'emp_*',interval:auto,query:(query_string:(analyze_wildcard:!t,query:'%22rtdc.l.rtdc.4060%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768</v>
      </c>
      <c r="B223" s="7">
        <v>4059</v>
      </c>
      <c r="C223" s="21" t="s">
        <v>194</v>
      </c>
      <c r="D223" s="21" t="s">
        <v>984</v>
      </c>
      <c r="E223" s="13">
        <v>43025.636747685188</v>
      </c>
      <c r="F223" s="13">
        <v>43025.639537037037</v>
      </c>
      <c r="G223" s="7">
        <v>84</v>
      </c>
      <c r="H223" s="21" t="s">
        <v>985</v>
      </c>
      <c r="I223" s="13">
        <v>43025.644259259258</v>
      </c>
      <c r="J223" s="7">
        <v>0</v>
      </c>
      <c r="K223" s="89" t="str">
        <f>IF(ISEVEN(B223),(B223-1)&amp;"/"&amp;B223,B223&amp;"/"&amp;(B223+1))</f>
        <v>4059/4060</v>
      </c>
      <c r="L223" s="185" t="str">
        <f>VLOOKUP(A223,'Trips&amp;Operators'!$C$1:$G$99911,5,FALSE)</f>
        <v>STAMBAUGH JAMES</v>
      </c>
      <c r="M223" s="6">
        <f>I223-F223</f>
        <v>4.7222222201526165E-3</v>
      </c>
      <c r="N223" s="7">
        <f>24*60*SUM($M223:$M223)</f>
        <v>6.7999999970197678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-17T14:16:55-0600',mode:absolute,to:'2017-10-17T16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2.3593000000000002</v>
      </c>
      <c r="Z223" s="204">
        <f>RIGHT(H223,LEN(H223)-4)/10000</f>
        <v>6.6799999999999998E-2</v>
      </c>
      <c r="AA223" s="204">
        <f>ABS(Z223-Y223)</f>
        <v>2.2925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s3://rtdc.mdm.uploadarchive.raw/RTDC4059/ "%USERPROFILE%\AppData\Local\Temp\OnboardLogs"\RTDC4059\2017-10-17 --exclude "*" --recursive --include "*20171017*" &amp; "%USERPROFILE%\Documents\GitHub\mrs-test-scripts\Headless Mode &amp; Sideloading\WalkAndUnGZ.bat" "%USERPROFILE%\AppData\Local\Temp\OnboardLogs"\RTDC4059\2017-10-17 &amp; aws s3 cp s3://rtdc.mdm.uploadarchive.raw/RTDC4059/ "%USERPROFILE%\AppData\Local\Temp\OnboardLogs"\RTDC4059\2017-10-18 --exclude "*" --recursive --include "*20171018*" &amp; "%USERPROFILE%\Documents\GitHub\mrs-test-scripts\Headless Mode &amp; Sideloading\WalkAndUnGZ.bat" "%USERPROFILE%\AppData\Local\Temp\OnboardLogs"\RTDC4059\2017-10-18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/stypes="app*4059*20171017*" /stext=" 21:.+((SYSTEM_STATE.+slice.+state.+changed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57"/>
        <v>"%USERPROFILE%\Documents\GitHub\eaglep3\Utilities\RefineRTDCRunTimes.py" --tripid 904-17 --locoid 4059 --swversion DE.1.0.9.0 --startMP 300:23593 --initTime 2017-10-17T15:16:55 --startdatetime 2017-10-17T15:20:56 --delay 84 --endMP 204:668 --enddatetime 2017-10-17T15:27:44 --enforcementcount 0 &gt;&gt;%USERPROFILE%\Documents\GitHub\eaglep3-reporting\EC\2017-10-17-refined-times.txt</v>
      </c>
      <c r="AI223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{"issue":{"subject":"","project_id":79,"tracker_id":40,"status_id":1,"priority_id":2,"assigned_to_id":338,"start_date":"2017-10-17","description":"","custom_fields":[{"id":1,"name":"Subdivision","value":"Other"},{"id":4,"name":"Milepost","value":"0.0668"},{"id":17,"name":"Train ID","value":"904-17"},{"id":16,"name":"Locomotive ID","value":"4059"},{"id":130,"name":"Impact","value":""},{"id":150,"name":"Time of Event (Mountain Time)","value":"15:27:44"},{"id":151,"name":"Denver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59"/>
        <v>start /low /b %USERPROFILE%\Documents\GitHub\eaglep3\Utilities\DownloadLogsFromS3.py --loco 4059 --day 2017-10-17</v>
      </c>
      <c r="AN223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21:27:44"},{"id":29,"name":"Sharepoint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61"/>
        <v>https://d0f6bd738d7f1b3e5a7ca70fe4ff75f0.us-east-1.aws.found.io/app/kibana#/discover/Steve-Slow-Train-Analysis-(2080s-and-2083s)?_g=(refreshInterval:(display:Off,pause:!f,section:0,value:0),time:(from:'2017-10-17T14:16:55-0600',mode:absolute,to:'2017-10-17T16:27:44-0600'))&amp;_a=(columns:!('Message%20ID',Summary),filters:!(),index:'emp_*',interval:auto,query:(query_string:(analyze_wildcard:!t,query:'%22rtdc.l.rtdc.4059%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845</v>
      </c>
      <c r="B224" s="7">
        <v>4031</v>
      </c>
      <c r="C224" s="21" t="s">
        <v>194</v>
      </c>
      <c r="D224" s="21" t="s">
        <v>594</v>
      </c>
      <c r="E224" s="13">
        <v>43025.974826388891</v>
      </c>
      <c r="F224" s="13">
        <v>43025.976030092592</v>
      </c>
      <c r="G224" s="7">
        <v>57</v>
      </c>
      <c r="H224" s="21" t="s">
        <v>986</v>
      </c>
      <c r="I224" s="13">
        <v>43025.980324074073</v>
      </c>
      <c r="J224" s="7">
        <v>0</v>
      </c>
      <c r="K224" s="89" t="str">
        <f>IF(ISEVEN(B224),(B224-1)&amp;"/"&amp;B224,B224&amp;"/"&amp;(B224+1))</f>
        <v>4031/4032</v>
      </c>
      <c r="L224" s="185" t="str">
        <f>VLOOKUP(A224,'Trips&amp;Operators'!$C$1:$G$99911,5,FALSE)</f>
        <v>STAMBAUGH JAMES</v>
      </c>
      <c r="M224" s="6">
        <f>I224-F224</f>
        <v>4.2939814811688848E-3</v>
      </c>
      <c r="N224" s="7">
        <f>24*60*SUM($M224:$M224)</f>
        <v>6.1833333328831941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-17T22:23:45-0600',mode:absolute,to:'2017-10-18T00:31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4</v>
      </c>
      <c r="Y224" s="204">
        <f>RIGHT(D224,LEN(D224)-4)/10000</f>
        <v>5.8638000000000003</v>
      </c>
      <c r="Z224" s="204">
        <f>RIGHT(H224,LEN(H224)-4)/10000</f>
        <v>2.1625000000000001</v>
      </c>
      <c r="AA224" s="204">
        <f>ABS(Z224-Y224)</f>
        <v>3.7013000000000003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908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/stypes="app*4031*20171018*" /stext=" 05:.+((SYSTEM_STATE.+slice.+state.+changed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57"/>
        <v>"%USERPROFILE%\Documents\GitHub\eaglep3\Utilities\RefineRTDCRunTimes.py" --tripid 908-17 --locoid 4031 --swversion DE.1.0.9.0 --startMP 300:58638 --initTime 2017-10-17T23:23:45 --startdatetime 2017-10-17T23:25:29 --delay 57 --endMP 300:21625 --enddatetime 2017-10-17T23:31:40 --enforcementcount 0 &gt;&gt;%USERPROFILE%\Documents\GitHub\eaglep3-reporting\EC\2017-10-17-refined-times.txt</v>
      </c>
      <c r="AI224" s="96" t="str">
        <f t="shared" si="58"/>
        <v>echo {"issue":{"subject":"","project_id":79,"tracker_id":40,"status_id":1,"priority_id":2,"assigned_to_id":338,"start_date":"2017-10-17","description":"","custom_fields":[{"id":1,"name":"Subdivision","value":"Other"},{"id":4,"name":"Milepost","value":"2.1625"},{"id":17,"name":"Train ID","value":"908-17"},{"id":16,"name":"Locomotive ID","value":"4031"},{"id":130,"name":"Impact","value":""},{"id":150,"name":"Time of Event (Mountain Time)","value":"23:31:40"},{"id":151,"name":"Denver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59"/>
        <v>start /low /b %USERPROFILE%\Documents\GitHub\eaglep3\Utilities\DownloadLogsFromS3.py --loco 4031 --day 2017-10-17</v>
      </c>
      <c r="AN224" s="151" t="str">
        <f t="shared" si="60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05:31:40"},{"id":29,"name":"Sharepoint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61"/>
        <v>https://d0f6bd738d7f1b3e5a7ca70fe4ff75f0.us-east-1.aws.found.io/app/kibana#/discover/Steve-Slow-Train-Analysis-(2080s-and-2083s)?_g=(refreshInterval:(display:Off,pause:!f,section:0,value:0),time:(from:'2017-10-17T22:23:45-0600',mode:absolute,to:'2017-10-18T00:31:40-0600'))&amp;_a=(columns:!('Message%20ID',Summary),filters:!(),index:'emp_*',interval:auto,query:(query_string:(analyze_wildcard:!t,query:'%22rtdc.l.rtdc.4031%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755</v>
      </c>
      <c r="B225" s="7">
        <v>4051</v>
      </c>
      <c r="C225" s="21" t="s">
        <v>194</v>
      </c>
      <c r="D225" s="21" t="s">
        <v>911</v>
      </c>
      <c r="E225" s="13">
        <v>43025.588750000003</v>
      </c>
      <c r="F225" s="13">
        <v>43025.589687500003</v>
      </c>
      <c r="G225" s="7">
        <v>44</v>
      </c>
      <c r="H225" s="21" t="s">
        <v>336</v>
      </c>
      <c r="I225" s="13">
        <v>43025.591041666667</v>
      </c>
      <c r="J225" s="7">
        <v>0</v>
      </c>
      <c r="K225" s="89" t="str">
        <f>IF(ISEVEN(B225),(B225-1)&amp;"/"&amp;B225,B225&amp;"/"&amp;(B225+1))</f>
        <v>4051/4052</v>
      </c>
      <c r="L225" s="185" t="str">
        <f>VLOOKUP(A225,'Trips&amp;Operators'!$C$1:$G$99911,5,FALSE)</f>
        <v>RESPASS AARON</v>
      </c>
      <c r="M225" s="6">
        <f>I225-F225</f>
        <v>1.3541666630771942E-3</v>
      </c>
      <c r="N225" s="7">
        <f>24*60*SUM($M225:$M225)</f>
        <v>1.9499999948311597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-17T13:07:48-0600',mode:absolute,to:'2017-10-17T15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-858</v>
      </c>
      <c r="Y225" s="204">
        <f>RIGHT(D225,LEN(D225)-4)/10000</f>
        <v>0.32490000000000002</v>
      </c>
      <c r="Z225" s="204">
        <f>RIGHT(H225,LEN(H225)-4)/10000</f>
        <v>1.49E-2</v>
      </c>
      <c r="AA225" s="204">
        <f>ABS(Z225-Y225)</f>
        <v>0.31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50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/stypes="app*4051*20171017*" /stext=" 20:.+((SYSTEM_STATE.+slice.+state.+changed )|(ment ac)|(multiple cpu faults)|(system.+state.+changed )|(\[timeout)|(PRM\|1\|D)|(kpr)|(kdp)|(train st.+moving)|(\|lc)|(penalty))"</v>
      </c>
      <c r="AG225" s="182" t="str">
        <f>DetSubdiv(A225)</f>
        <v>Shuttle/Test</v>
      </c>
      <c r="AH225" s="78" t="str">
        <f t="shared" si="57"/>
        <v>"%USERPROFILE%\Documents\GitHub\eaglep3\Utilities\RefineRTDCRunTimes.py" --tripid 50-17 --locoid 4051 --swversion DE.1.0.9.0 --startMP 204:3249 --initTime 2017-10-17T14:07:48 --startdatetime 2017-10-17T14:09:09 --delay 44 --endMP 204:149 --enddatetime 2017-10-17T14:11:06 --enforcementcount 0 &gt;&gt;%USERPROFILE%\Documents\GitHub\eaglep3-reporting\EC\2017-10-17-refined-times.txt</v>
      </c>
      <c r="AI225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0.0149"},{"id":17,"name":"Train ID","value":"50-17"},{"id":16,"name":"Locomotive ID","value":"4051"},{"id":130,"name":"Impact","value":""},{"id":150,"name":"Time of Event (Mountain Time)","value":"14:11:06"},{"id":151,"name":"Denver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59"/>
        <v>start /low /b %USERPROFILE%\Documents\GitHub\eaglep3\Utilities\DownloadLogsFromS3.py --loco 4051 --day 2017-10-17</v>
      </c>
      <c r="AN225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61"/>
        <v>https://d0f6bd738d7f1b3e5a7ca70fe4ff75f0.us-east-1.aws.found.io/app/kibana#/discover/Steve-Slow-Train-Analysis-(2080s-and-2083s)?_g=(refreshInterval:(display:Off,pause:!f,section:0,value:0),time:(from:'2017-10-17T13:07:48-0600',mode:absolute,to:'2017-10-17T15:11:06-0600'))&amp;_a=(columns:!('Message%20ID',Summary),filters:!(),index:'emp_*',interval:auto,query:(query_string:(analyze_wildcard:!t,query:'%22rtdc.l.rtdc.4051%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755</v>
      </c>
      <c r="B226" s="7">
        <v>4052</v>
      </c>
      <c r="C226" s="21" t="s">
        <v>194</v>
      </c>
      <c r="D226" s="21" t="s">
        <v>912</v>
      </c>
      <c r="E226" s="13">
        <v>43025.580752314818</v>
      </c>
      <c r="F226" s="13">
        <v>43025.589687500003</v>
      </c>
      <c r="G226" s="7">
        <v>75</v>
      </c>
      <c r="H226" s="21" t="s">
        <v>913</v>
      </c>
      <c r="I226" s="13">
        <v>43025.591041666667</v>
      </c>
      <c r="J226" s="7">
        <v>0</v>
      </c>
      <c r="K226" s="89" t="str">
        <f>IF(ISEVEN(B226),(B226-1)&amp;"/"&amp;B226,B226&amp;"/"&amp;(B226+1))</f>
        <v>4051/4052</v>
      </c>
      <c r="L226" s="185" t="str">
        <f>VLOOKUP(A226,'Trips&amp;Operators'!$C$1:$G$99911,5,FALSE)</f>
        <v>RESPASS AARON</v>
      </c>
      <c r="M226" s="6">
        <f>I226-F226</f>
        <v>1.3541666630771942E-3</v>
      </c>
      <c r="N226" s="7">
        <f>24*60*SUM($M226:$M226)</f>
        <v>1.9499999948311597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-17T12:56:17-0600',mode:absolute,to:'2017-10-17T15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0</v>
      </c>
      <c r="Y226" s="204">
        <f>RIGHT(D226,LEN(D226)-4)/10000</f>
        <v>0.14710000000000001</v>
      </c>
      <c r="Z226" s="204">
        <f>RIGHT(H226,LEN(H226)-4)/10000</f>
        <v>0.3574</v>
      </c>
      <c r="AA226" s="204">
        <f>ABS(Z226-Y226)</f>
        <v>0.21029999999999999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50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/stypes="app*4052*20171017*" /stext=" 20:.+((SYSTEM_STATE.+slice.+state.+changed )|(ment ac)|(multiple cpu faults)|(system.+state.+changed )|(\[timeout)|(PRM\|1\|D)|(kpr)|(kdp)|(train st.+moving)|(\|lc)|(penalty))"</v>
      </c>
      <c r="AG226" s="182" t="str">
        <f>DetSubdiv(A226)</f>
        <v>Shuttle/Test</v>
      </c>
      <c r="AH226" s="78" t="str">
        <f t="shared" si="57"/>
        <v>"%USERPROFILE%\Documents\GitHub\eaglep3\Utilities\RefineRTDCRunTimes.py" --tripid 50-17 --locoid 4052 --swversion DE.1.0.9.0 --startMP 204:1471 --initTime 2017-10-17T13:56:17 --startdatetime 2017-10-17T14:09:09 --delay 75 --endMP 204:3574 --enddatetime 2017-10-17T14:11:06 --enforcementcount 0 &gt;&gt;%USERPROFILE%\Documents\GitHub\eaglep3-reporting\EC\2017-10-17-refined-times.txt</v>
      </c>
      <c r="AI226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0.3574"},{"id":17,"name":"Train ID","value":"50-17"},{"id":16,"name":"Locomotive ID","value":"4052"},{"id":130,"name":"Impact","value":""},{"id":150,"name":"Time of Event (Mountain Time)","value":"14:11:06"},{"id":151,"name":"Denver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59"/>
        <v>start /low /b %USERPROFILE%\Documents\GitHub\eaglep3\Utilities\DownloadLogsFromS3.py --loco 4052 --day 2017-10-17</v>
      </c>
      <c r="AN226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20:11:06"},{"id":29,"name":"Sharepoint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61"/>
        <v>https://d0f6bd738d7f1b3e5a7ca70fe4ff75f0.us-east-1.aws.found.io/app/kibana#/discover/Steve-Slow-Train-Analysis-(2080s-and-2083s)?_g=(refreshInterval:(display:Off,pause:!f,section:0,value:0),time:(from:'2017-10-17T12:56:17-0600',mode:absolute,to:'2017-10-17T15:11:06-0600'))&amp;_a=(columns:!('Message%20ID',Summary),filters:!(),index:'emp_*',interval:auto,query:(query_string:(analyze_wildcard:!t,query:'%22rtdc.l.rtdc.4052%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616</v>
      </c>
      <c r="B227" s="7">
        <v>4033</v>
      </c>
      <c r="C227" s="21" t="s">
        <v>194</v>
      </c>
      <c r="D227" s="21" t="s">
        <v>914</v>
      </c>
      <c r="E227" s="13">
        <v>43025.403229166666</v>
      </c>
      <c r="F227" s="13">
        <v>43025.406689814816</v>
      </c>
      <c r="G227" s="7">
        <v>80</v>
      </c>
      <c r="H227" s="21" t="s">
        <v>581</v>
      </c>
      <c r="I227" s="13">
        <v>43025.412291666667</v>
      </c>
      <c r="J227" s="7">
        <v>0</v>
      </c>
      <c r="K227" s="89" t="str">
        <f>IF(ISEVEN(B227),(B227-1)&amp;"/"&amp;B227,B227&amp;"/"&amp;(B227+1))</f>
        <v>4033/4034</v>
      </c>
      <c r="L227" s="185" t="str">
        <f>VLOOKUP(A227,'Trips&amp;Operators'!$C$1:$G$99911,5,FALSE)</f>
        <v>YANG JAN</v>
      </c>
      <c r="M227" s="6">
        <f>I227-F227</f>
        <v>5.6018518516793847E-3</v>
      </c>
      <c r="N227" s="7">
        <f>24*60*SUM($M227:$M227)</f>
        <v>8.066666666418314</v>
      </c>
      <c r="O227" s="7"/>
      <c r="P227" s="7"/>
      <c r="Q227" s="22"/>
      <c r="R227" s="174"/>
      <c r="S227" s="221">
        <f>1/IF(AG227="EC",12,1)*SUM(U227:U227)</f>
        <v>1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-17T08:40:39-0600',mode:absolute,to:'2017-10-17T10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2</v>
      </c>
      <c r="Y227" s="204">
        <f>RIGHT(D227,LEN(D227)-4)/10000</f>
        <v>2.3552</v>
      </c>
      <c r="Z227" s="204">
        <f>RIGHT(H227,LEN(H227)-4)/10000</f>
        <v>9.5799999999999996E-2</v>
      </c>
      <c r="AA227" s="204">
        <f>ABS(Z227-Y227)</f>
        <v>2.2593999999999999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52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s3://rtdc.mdm.uploadarchive.raw/RTDC4033/ "%USERPROFILE%\AppData\Local\Temp\OnboardLogs"\RTDC4033\2017-10-17 --exclude "*" --recursive --include "*20171017*" &amp; "%USERPROFILE%\Documents\GitHub\mrs-test-scripts\Headless Mode &amp; Sideloading\WalkAndUnGZ.bat" "%USERPROFILE%\AppData\Local\Temp\OnboardLogs"\RTDC4033\2017-10-17 &amp; aws s3 cp s3://rtdc.mdm.uploadarchive.raw/RTDC4033/ "%USERPROFILE%\AppData\Local\Temp\OnboardLogs"\RTDC4033\2017-10-18 --exclude "*" --recursive --include "*20171018*" &amp; "%USERPROFILE%\Documents\GitHub\mrs-test-scripts\Headless Mode &amp; Sideloading\WalkAndUnGZ.bat" "%USERPROFILE%\AppData\Local\Temp\OnboardLogs"\RTDC4033\2017-10-18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/stypes="app*4033*20171017*" /stext=" 15:.+((SYSTEM_STATE.+slice.+state.+changed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57"/>
        <v>"%USERPROFILE%\Documents\GitHub\eaglep3\Utilities\RefineRTDCRunTimes.py" --tripid 52-17 --locoid 4033 --swversion DE.1.0.9.0 --startMP 300:23552 --initTime 2017-10-17T09:40:39 --startdatetime 2017-10-17T09:45:38 --delay 80 --endMP 204:958 --enddatetime 2017-10-17T09:53:42 --enforcementcount 0 &gt;&gt;%USERPROFILE%\Documents\GitHub\eaglep3-reporting\EC\2017-10-17-refined-times.txt</v>
      </c>
      <c r="AI227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0.0958"},{"id":17,"name":"Train ID","value":"52-17"},{"id":16,"name":"Locomotive ID","value":"4033"},{"id":130,"name":"Impact","value":""},{"id":150,"name":"Time of Event (Mountain Time)","value":"09:53:42"},{"id":151,"name":"Denver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59"/>
        <v>start /low /b %USERPROFILE%\Documents\GitHub\eaglep3\Utilities\DownloadLogsFromS3.py --loco 4033 --day 2017-10-17</v>
      </c>
      <c r="AN227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15:53:42"},{"id":29,"name":"Sharepoint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61"/>
        <v>https://d0f6bd738d7f1b3e5a7ca70fe4ff75f0.us-east-1.aws.found.io/app/kibana#/discover/Steve-Slow-Train-Analysis-(2080s-and-2083s)?_g=(refreshInterval:(display:Off,pause:!f,section:0,value:0),time:(from:'2017-10-17T08:40:39-0600',mode:absolute,to:'2017-10-17T10:53:42-0600'))&amp;_a=(columns:!('Message%20ID',Summary),filters:!(),index:'emp_*',interval:auto,query:(query_string:(analyze_wildcard:!t,query:'%22rtdc.l.rtdc.4033%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710</v>
      </c>
      <c r="B228" s="7">
        <v>4034</v>
      </c>
      <c r="C228" s="21" t="s">
        <v>194</v>
      </c>
      <c r="D228" s="21" t="s">
        <v>915</v>
      </c>
      <c r="E228" s="13">
        <v>43025.421516203707</v>
      </c>
      <c r="F228" s="13">
        <v>43025.42591435185</v>
      </c>
      <c r="G228" s="7">
        <v>101</v>
      </c>
      <c r="H228" s="21" t="s">
        <v>916</v>
      </c>
      <c r="I228" s="13">
        <v>43025.432326388887</v>
      </c>
      <c r="J228" s="7">
        <v>0</v>
      </c>
      <c r="K228" s="89" t="str">
        <f>IF(ISEVEN(B228),(B228-1)&amp;"/"&amp;B228,B228&amp;"/"&amp;(B228+1))</f>
        <v>4033/4034</v>
      </c>
      <c r="L228" s="185" t="str">
        <f>VLOOKUP(A228,'Trips&amp;Operators'!$C$1:$G$99911,5,FALSE)</f>
        <v>DE LA ROSA ALEX</v>
      </c>
      <c r="M228" s="6">
        <f>I228-F228</f>
        <v>6.4120370370801538E-3</v>
      </c>
      <c r="N228" s="7">
        <f>24*60*SUM($M228:$M228)</f>
        <v>9.2333333333954215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-17T09:06:59-0600',mode:absolute,to:'2017-10-17T11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0.127</v>
      </c>
      <c r="Z228" s="204">
        <f>RIGHT(H228,LEN(H228)-4)/10000</f>
        <v>2.4195000000000002</v>
      </c>
      <c r="AA228" s="204">
        <f>ABS(Z228-Y228)</f>
        <v>2.2925000000000004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53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s3://rtdc.mdm.uploadarchive.raw/RTDC4034/ "%USERPROFILE%\AppData\Local\Temp\OnboardLogs"\RTDC4034\2017-10-17 --exclude "*" --recursive --include "*20171017*" &amp; "%USERPROFILE%\Documents\GitHub\mrs-test-scripts\Headless Mode &amp; Sideloading\WalkAndUnGZ.bat" "%USERPROFILE%\AppData\Local\Temp\OnboardLogs"\RTDC4034\2017-10-17 &amp; aws s3 cp s3://rtdc.mdm.uploadarchive.raw/RTDC4034/ "%USERPROFILE%\AppData\Local\Temp\OnboardLogs"\RTDC4034\2017-10-18 --exclude "*" --recursive --include "*20171018*" &amp; "%USERPROFILE%\Documents\GitHub\mrs-test-scripts\Headless Mode &amp; Sideloading\WalkAndUnGZ.bat" "%USERPROFILE%\AppData\Local\Temp\OnboardLogs"\RTDC4034\2017-10-18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/stypes="app*4034*20171017*" /stext=" 16:.+((SYSTEM_STATE.+slice.+state.+changed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57"/>
        <v>"%USERPROFILE%\Documents\GitHub\eaglep3\Utilities\RefineRTDCRunTimes.py" --tripid 53-17 --locoid 4034 --swversion DE.1.0.9.0 --startMP 204:1270 --initTime 2017-10-17T10:06:59 --startdatetime 2017-10-17T10:13:19 --delay 101 --endMP 300:24195 --enddatetime 2017-10-17T10:22:33 --enforcementcount 0 &gt;&gt;%USERPROFILE%\Documents\GitHub\eaglep3-reporting\EC\2017-10-17-refined-times.txt</v>
      </c>
      <c r="AI228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2.4195"},{"id":17,"name":"Train ID","value":"53-17"},{"id":16,"name":"Locomotive ID","value":"4034"},{"id":130,"name":"Impact","value":""},{"id":150,"name":"Time of Event (Mountain Time)","value":"10:22:33"},{"id":151,"name":"Denver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59"/>
        <v>start /low /b %USERPROFILE%\Documents\GitHub\eaglep3\Utilities\DownloadLogsFromS3.py --loco 4034 --day 2017-10-17</v>
      </c>
      <c r="AN228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61"/>
        <v>https://d0f6bd738d7f1b3e5a7ca70fe4ff75f0.us-east-1.aws.found.io/app/kibana#/discover/Steve-Slow-Train-Analysis-(2080s-and-2083s)?_g=(refreshInterval:(display:Off,pause:!f,section:0,value:0),time:(from:'2017-10-17T09:06:59-0600',mode:absolute,to:'2017-10-17T11:22:33-0600'))&amp;_a=(columns:!('Message%20ID',Summary),filters:!(),index:'emp_*',interval:auto,query:(query_string:(analyze_wildcard:!t,query:'%22rtdc.l.rtdc.4034%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619</v>
      </c>
      <c r="B229" s="7">
        <v>4033</v>
      </c>
      <c r="C229" s="21" t="s">
        <v>194</v>
      </c>
      <c r="D229" s="21" t="s">
        <v>917</v>
      </c>
      <c r="E229" s="13">
        <v>43025.445023148146</v>
      </c>
      <c r="F229" s="13">
        <v>43025.447476851848</v>
      </c>
      <c r="G229" s="7">
        <v>73</v>
      </c>
      <c r="H229" s="21" t="s">
        <v>918</v>
      </c>
      <c r="I229" s="13">
        <v>43025.453368055554</v>
      </c>
      <c r="J229" s="7">
        <v>0</v>
      </c>
      <c r="K229" s="89" t="str">
        <f>IF(ISEVEN(B229),(B229-1)&amp;"/"&amp;B229,B229&amp;"/"&amp;(B229+1))</f>
        <v>4033/4034</v>
      </c>
      <c r="L229" s="185" t="str">
        <f>VLOOKUP(A229,'Trips&amp;Operators'!$C$1:$G$99911,5,FALSE)</f>
        <v>NELSON ARIANE</v>
      </c>
      <c r="M229" s="6">
        <f>I229-F229</f>
        <v>5.8912037056870759E-3</v>
      </c>
      <c r="N229" s="7">
        <f>24*60*SUM($M229:$M229)</f>
        <v>8.4833333361893892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-17T09:40:50-0600',mode:absolute,to:'2017-10-17T11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2.3178999999999998</v>
      </c>
      <c r="Z229" s="204">
        <f>RIGHT(H229,LEN(H229)-4)/10000</f>
        <v>9.0800000000000006E-2</v>
      </c>
      <c r="AA229" s="204">
        <f>ABS(Z229-Y229)</f>
        <v>2.2270999999999996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54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s3://rtdc.mdm.uploadarchive.raw/RTDC4033/ "%USERPROFILE%\AppData\Local\Temp\OnboardLogs"\RTDC4033\2017-10-17 --exclude "*" --recursive --include "*20171017*" &amp; "%USERPROFILE%\Documents\GitHub\mrs-test-scripts\Headless Mode &amp; Sideloading\WalkAndUnGZ.bat" "%USERPROFILE%\AppData\Local\Temp\OnboardLogs"\RTDC4033\2017-10-17 &amp; aws s3 cp s3://rtdc.mdm.uploadarchive.raw/RTDC4033/ "%USERPROFILE%\AppData\Local\Temp\OnboardLogs"\RTDC4033\2017-10-18 --exclude "*" --recursive --include "*20171018*" &amp; "%USERPROFILE%\Documents\GitHub\mrs-test-scripts\Headless Mode &amp; Sideloading\WalkAndUnGZ.bat" "%USERPROFILE%\AppData\Local\Temp\OnboardLogs"\RTDC4033\2017-10-18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/stypes="app*4033*20171017*" /stext=" 16:.+((SYSTEM_STATE.+slice.+state.+changed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57"/>
        <v>"%USERPROFILE%\Documents\GitHub\eaglep3\Utilities\RefineRTDCRunTimes.py" --tripid 54-17 --locoid 4033 --swversion DE.1.0.9.0 --startMP 300:23179 --initTime 2017-10-17T10:40:50 --startdatetime 2017-10-17T10:44:22 --delay 73 --endMP 204:908 --enddatetime 2017-10-17T10:52:51 --enforcementcount 0 &gt;&gt;%USERPROFILE%\Documents\GitHub\eaglep3-reporting\EC\2017-10-17-refined-times.txt</v>
      </c>
      <c r="AI229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0.0908"},{"id":17,"name":"Train ID","value":"54-17"},{"id":16,"name":"Locomotive ID","value":"4033"},{"id":130,"name":"Impact","value":""},{"id":150,"name":"Time of Event (Mountain Time)","value":"10:52:51"},{"id":151,"name":"Denver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59"/>
        <v>start /low /b %USERPROFILE%\Documents\GitHub\eaglep3\Utilities\DownloadLogsFromS3.py --loco 4033 --day 2017-10-17</v>
      </c>
      <c r="AN229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16:52:51"},{"id":29,"name":"Sharepoint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61"/>
        <v>https://d0f6bd738d7f1b3e5a7ca70fe4ff75f0.us-east-1.aws.found.io/app/kibana#/discover/Steve-Slow-Train-Analysis-(2080s-and-2083s)?_g=(refreshInterval:(display:Off,pause:!f,section:0,value:0),time:(from:'2017-10-17T09:40:50-0600',mode:absolute,to:'2017-10-17T11:52:51-0600'))&amp;_a=(columns:!('Message%20ID',Summary),filters:!(),index:'emp_*',interval:auto,query:(query_string:(analyze_wildcard:!t,query:'%22rtdc.l.rtdc.4033%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727</v>
      </c>
      <c r="B230" s="7">
        <v>4034</v>
      </c>
      <c r="C230" s="21" t="s">
        <v>194</v>
      </c>
      <c r="D230" s="21" t="s">
        <v>919</v>
      </c>
      <c r="E230" s="13">
        <v>43025.47415509259</v>
      </c>
      <c r="F230" s="13">
        <v>43025.476319444446</v>
      </c>
      <c r="G230" s="7">
        <v>63</v>
      </c>
      <c r="H230" s="21" t="s">
        <v>920</v>
      </c>
      <c r="I230" s="13">
        <v>43025.481296296297</v>
      </c>
      <c r="J230" s="7">
        <v>0</v>
      </c>
      <c r="K230" s="89" t="str">
        <f>IF(ISEVEN(B230),(B230-1)&amp;"/"&amp;B230,B230&amp;"/"&amp;(B230+1))</f>
        <v>4033/4034</v>
      </c>
      <c r="L230" s="185" t="str">
        <f>VLOOKUP(A230,'Trips&amp;Operators'!$C$1:$G$99911,5,FALSE)</f>
        <v>BEAM ROSS</v>
      </c>
      <c r="M230" s="6">
        <f>I230-F230</f>
        <v>4.9768518510973081E-3</v>
      </c>
      <c r="N230" s="7">
        <f>24*60*SUM($M230:$M230)</f>
        <v>7.1666666655801237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-17T10:22:47-0600',mode:absolute,to:'2017-10-17T12:33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1</v>
      </c>
      <c r="Y230" s="204">
        <f>RIGHT(D230,LEN(D230)-4)/10000</f>
        <v>0.122</v>
      </c>
      <c r="Z230" s="204">
        <f>RIGHT(H230,LEN(H230)-4)/10000</f>
        <v>2.4228999999999998</v>
      </c>
      <c r="AA230" s="204">
        <f>ABS(Z230-Y230)</f>
        <v>2.3008999999999999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55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s3://rtdc.mdm.uploadarchive.raw/RTDC4034/ "%USERPROFILE%\AppData\Local\Temp\OnboardLogs"\RTDC4034\2017-10-17 --exclude "*" --recursive --include "*20171017*" &amp; "%USERPROFILE%\Documents\GitHub\mrs-test-scripts\Headless Mode &amp; Sideloading\WalkAndUnGZ.bat" "%USERPROFILE%\AppData\Local\Temp\OnboardLogs"\RTDC4034\2017-10-17 &amp; aws s3 cp s3://rtdc.mdm.uploadarchive.raw/RTDC4034/ "%USERPROFILE%\AppData\Local\Temp\OnboardLogs"\RTDC4034\2017-10-18 --exclude "*" --recursive --include "*20171018*" &amp; "%USERPROFILE%\Documents\GitHub\mrs-test-scripts\Headless Mode &amp; Sideloading\WalkAndUnGZ.bat" "%USERPROFILE%\AppData\Local\Temp\OnboardLogs"\RTDC4034\2017-10-18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/stypes="app*4034*20171017*" /stext=" 17:.+((SYSTEM_STATE.+slice.+state.+changed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57"/>
        <v>"%USERPROFILE%\Documents\GitHub\eaglep3\Utilities\RefineRTDCRunTimes.py" --tripid 55-17 --locoid 4034 --swversion DE.1.0.9.0 --startMP 204:1220 --initTime 2017-10-17T11:22:47 --startdatetime 2017-10-17T11:25:54 --delay 63 --endMP 300:24229 --enddatetime 2017-10-17T11:33:04 --enforcementcount 0 &gt;&gt;%USERPROFILE%\Documents\GitHub\eaglep3-reporting\EC\2017-10-17-refined-times.txt</v>
      </c>
      <c r="AI230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2.4229"},{"id":17,"name":"Train ID","value":"55-17"},{"id":16,"name":"Locomotive ID","value":"4034"},{"id":130,"name":"Impact","value":""},{"id":150,"name":"Time of Event (Mountain Time)","value":"11:33:04"},{"id":151,"name":"Denver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59"/>
        <v>start /low /b %USERPROFILE%\Documents\GitHub\eaglep3\Utilities\DownloadLogsFromS3.py --loco 4034 --day 2017-10-17</v>
      </c>
      <c r="AN230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17:33:04"},{"id":29,"name":"Sharepoint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61"/>
        <v>https://d0f6bd738d7f1b3e5a7ca70fe4ff75f0.us-east-1.aws.found.io/app/kibana#/discover/Steve-Slow-Train-Analysis-(2080s-and-2083s)?_g=(refreshInterval:(display:Off,pause:!f,section:0,value:0),time:(from:'2017-10-17T10:22:47-0600',mode:absolute,to:'2017-10-17T12:33:04-0600'))&amp;_a=(columns:!('Message%20ID',Summary),filters:!(),index:'emp_*',interval:auto,query:(query_string:(analyze_wildcard:!t,query:'%22rtdc.l.rtdc.4034%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637</v>
      </c>
      <c r="B231" s="7">
        <v>4052</v>
      </c>
      <c r="C231" s="21" t="s">
        <v>194</v>
      </c>
      <c r="D231" s="21" t="s">
        <v>463</v>
      </c>
      <c r="E231" s="13">
        <v>43025.128854166665</v>
      </c>
      <c r="F231" s="13">
        <v>43025.141712962963</v>
      </c>
      <c r="G231" s="7">
        <v>70</v>
      </c>
      <c r="H231" s="21" t="s">
        <v>921</v>
      </c>
      <c r="I231" s="13">
        <v>43025.143182870372</v>
      </c>
      <c r="J231" s="7">
        <v>0</v>
      </c>
      <c r="K231" s="89" t="str">
        <f>IF(ISEVEN(B231),(B231-1)&amp;"/"&amp;B231,B231&amp;"/"&amp;(B231+1))</f>
        <v>4051/4052</v>
      </c>
      <c r="L231" s="185" t="str">
        <f>VLOOKUP(A231,'Trips&amp;Operators'!$C$1:$G$99911,5,FALSE)</f>
        <v>STARKS ANGELINA</v>
      </c>
      <c r="M231" s="6">
        <f>I231-F231</f>
        <v>1.4699074090458453E-3</v>
      </c>
      <c r="N231" s="7">
        <f>24*60*SUM($M231:$M231)</f>
        <v>2.1166666690260172</v>
      </c>
      <c r="O231" s="7"/>
      <c r="P231" s="7"/>
      <c r="Q231" s="22"/>
      <c r="R231" s="174"/>
      <c r="S231" s="221">
        <f>1/IF(AG231="EC",12,1)*SUM(U231:U231)</f>
        <v>0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-17T02:05:33-0600',mode:absolute,to:'2017-10-17T04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4.3999999999999997E-2</v>
      </c>
      <c r="Z231" s="204">
        <f>RIGHT(H231,LEN(H231)-4)/10000</f>
        <v>0.3705</v>
      </c>
      <c r="AA231" s="204">
        <f>ABS(Z231-Y231)</f>
        <v>0.32650000000000001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56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s3://rtdc.mdm.uploadarchive.raw/RTDC4052/ "%USERPROFILE%\AppData\Local\Temp\OnboardLogs"\RTDC4052\2017-10-17 --exclude "*" --recursive --include "*20171017*" &amp; "%USERPROFILE%\Documents\GitHub\mrs-test-scripts\Headless Mode &amp; Sideloading\WalkAndUnGZ.bat" "%USERPROFILE%\AppData\Local\Temp\OnboardLogs"\RTDC4052\2017-10-17 &amp; aws s3 cp s3://rtdc.mdm.uploadarchive.raw/RTDC4052/ "%USERPROFILE%\AppData\Local\Temp\OnboardLogs"\RTDC4052\2017-10-18 --exclude "*" --recursive --include "*20171018*" &amp; "%USERPROFILE%\Documents\GitHub\mrs-test-scripts\Headless Mode &amp; Sideloading\WalkAndUnGZ.bat" "%USERPROFILE%\AppData\Local\Temp\OnboardLogs"\RTDC4052\2017-10-18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/stypes="app*4052*20171017*" /stext=" 09:.+((SYSTEM_STATE.+slice.+state.+changed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57"/>
        <v>"%USERPROFILE%\Documents\GitHub\eaglep3\Utilities\RefineRTDCRunTimes.py" --tripid 56-17 --locoid 4052 --swversion DE.1.0.9.0 --startMP 204:440 --initTime 2017-10-17T03:05:33 --startdatetime 2017-10-17T03:24:04 --delay 70 --endMP 204:3705 --enddatetime 2017-10-17T03:26:11 --enforcementcount 0 &gt;&gt;%USERPROFILE%\Documents\GitHub\eaglep3-reporting\EC\2017-10-17-refined-times.txt</v>
      </c>
      <c r="AI231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0.3705"},{"id":17,"name":"Train ID","value":"56-17"},{"id":16,"name":"Locomotive ID","value":"4052"},{"id":130,"name":"Impact","value":""},{"id":150,"name":"Time of Event (Mountain Time)","value":"03:26:11"},{"id":151,"name":"Denver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59"/>
        <v>start /low /b %USERPROFILE%\Documents\GitHub\eaglep3\Utilities\DownloadLogsFromS3.py --loco 4052 --day 2017-10-17</v>
      </c>
      <c r="AN231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09:26:11"},{"id":29,"name":"Sharepoint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61"/>
        <v>https://d0f6bd738d7f1b3e5a7ca70fe4ff75f0.us-east-1.aws.found.io/app/kibana#/discover/Steve-Slow-Train-Analysis-(2080s-and-2083s)?_g=(refreshInterval:(display:Off,pause:!f,section:0,value:0),time:(from:'2017-10-17T02:05:33-0600',mode:absolute,to:'2017-10-17T04:26:11-0600'))&amp;_a=(columns:!('Message%20ID',Summary),filters:!(),index:'emp_*',interval:auto,query:(query_string:(analyze_wildcard:!t,query:'%22rtdc.l.rtdc.4052%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637</v>
      </c>
      <c r="B232" s="7">
        <v>4051</v>
      </c>
      <c r="C232" s="21" t="s">
        <v>194</v>
      </c>
      <c r="D232" s="21" t="s">
        <v>922</v>
      </c>
      <c r="E232" s="13">
        <v>43025.140324074076</v>
      </c>
      <c r="F232" s="13">
        <v>43025.141712962963</v>
      </c>
      <c r="G232" s="7">
        <v>61</v>
      </c>
      <c r="H232" s="21" t="s">
        <v>923</v>
      </c>
      <c r="I232" s="13">
        <v>43025.143182870372</v>
      </c>
      <c r="J232" s="7">
        <v>0</v>
      </c>
      <c r="K232" s="89" t="str">
        <f>IF(ISEVEN(B232),(B232-1)&amp;"/"&amp;B232,B232&amp;"/"&amp;(B232+1))</f>
        <v>4051/4052</v>
      </c>
      <c r="L232" s="185" t="str">
        <f>VLOOKUP(A232,'Trips&amp;Operators'!$C$1:$G$99911,5,FALSE)</f>
        <v>STARKS ANGELINA</v>
      </c>
      <c r="M232" s="6">
        <f>I232-F232</f>
        <v>1.4699074090458453E-3</v>
      </c>
      <c r="N232" s="7">
        <f>24*60*SUM($M232:$M232)</f>
        <v>2.1166666690260172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-17T02:22:04-0600',mode:absolute,to:'2017-10-17T04:26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0</v>
      </c>
      <c r="Y232" s="204">
        <f>RIGHT(D232,LEN(D232)-4)/10000</f>
        <v>0.33910000000000001</v>
      </c>
      <c r="Z232" s="204">
        <f>RIGHT(H232,LEN(H232)-4)/10000</f>
        <v>0.11559999999999999</v>
      </c>
      <c r="AA232" s="204">
        <f>ABS(Z232-Y232)</f>
        <v>0.22350000000000003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56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s3://rtdc.mdm.uploadarchive.raw/RTDC4051/ "%USERPROFILE%\AppData\Local\Temp\OnboardLogs"\RTDC4051\2017-10-17 --exclude "*" --recursive --include "*20171017*" &amp; "%USERPROFILE%\Documents\GitHub\mrs-test-scripts\Headless Mode &amp; Sideloading\WalkAndUnGZ.bat" "%USERPROFILE%\AppData\Local\Temp\OnboardLogs"\RTDC4051\2017-10-17 &amp; aws s3 cp s3://rtdc.mdm.uploadarchive.raw/RTDC4051/ "%USERPROFILE%\AppData\Local\Temp\OnboardLogs"\RTDC4051\2017-10-18 --exclude "*" --recursive --include "*20171018*" &amp; "%USERPROFILE%\Documents\GitHub\mrs-test-scripts\Headless Mode &amp; Sideloading\WalkAndUnGZ.bat" "%USERPROFILE%\AppData\Local\Temp\OnboardLogs"\RTDC4051\2017-10-18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/stypes="app*4051*20171017*" /stext=" 09:.+((SYSTEM_STATE.+slice.+state.+changed )|(ment ac)|(multiple cpu faults)|(system.+state.+changed )|(\[timeout)|(PRM\|1\|D)|(kpr)|(kdp)|(train st.+moving)|(\|lc)|(penalty))"</v>
      </c>
      <c r="AG232" s="182" t="str">
        <f>DetSubdiv(A232)</f>
        <v>Shuttle/Test</v>
      </c>
      <c r="AH232" s="78" t="str">
        <f t="shared" si="57"/>
        <v>"%USERPROFILE%\Documents\GitHub\eaglep3\Utilities\RefineRTDCRunTimes.py" --tripid 56-17 --locoid 4051 --swversion DE.1.0.9.0 --startMP 204:3391 --initTime 2017-10-17T03:22:04 --startdatetime 2017-10-17T03:24:04 --delay 61 --endMP 204:1156 --enddatetime 2017-10-17T03:26:11 --enforcementcount 0 &gt;&gt;%USERPROFILE%\Documents\GitHub\eaglep3-reporting\EC\2017-10-17-refined-times.txt</v>
      </c>
      <c r="AI232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0.1156"},{"id":17,"name":"Train ID","value":"56-17"},{"id":16,"name":"Locomotive ID","value":"4051"},{"id":130,"name":"Impact","value":""},{"id":150,"name":"Time of Event (Mountain Time)","value":"03:26:11"},{"id":151,"name":"Denver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59"/>
        <v>start /low /b %USERPROFILE%\Documents\GitHub\eaglep3\Utilities\DownloadLogsFromS3.py --loco 4051 --day 2017-10-17</v>
      </c>
      <c r="AN232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09:26:11"},{"id":29,"name":"Sharepoint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61"/>
        <v>https://d0f6bd738d7f1b3e5a7ca70fe4ff75f0.us-east-1.aws.found.io/app/kibana#/discover/Steve-Slow-Train-Analysis-(2080s-and-2083s)?_g=(refreshInterval:(display:Off,pause:!f,section:0,value:0),time:(from:'2017-10-17T02:22:04-0600',mode:absolute,to:'2017-10-17T04:26:11-0600'))&amp;_a=(columns:!('Message%20ID',Summary),filters:!(),index:'emp_*',interval:auto,query:(query_string:(analyze_wildcard:!t,query:'%22rtdc.l.rtdc.4051%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730</v>
      </c>
      <c r="B233" s="7">
        <v>4033</v>
      </c>
      <c r="C233" s="21" t="s">
        <v>194</v>
      </c>
      <c r="D233" s="21" t="s">
        <v>924</v>
      </c>
      <c r="E233" s="13">
        <v>43025.487002314818</v>
      </c>
      <c r="F233" s="13">
        <v>43025.489629629628</v>
      </c>
      <c r="G233" s="7">
        <v>72</v>
      </c>
      <c r="H233" s="21" t="s">
        <v>925</v>
      </c>
      <c r="I233" s="13">
        <v>43025.494895833333</v>
      </c>
      <c r="J233" s="7">
        <v>0</v>
      </c>
      <c r="K233" s="89" t="str">
        <f>IF(ISEVEN(B233),(B233-1)&amp;"/"&amp;B233,B233&amp;"/"&amp;(B233+1))</f>
        <v>4033/4034</v>
      </c>
      <c r="L233" s="185" t="str">
        <f>VLOOKUP(A233,'Trips&amp;Operators'!$C$1:$G$99911,5,FALSE)</f>
        <v>LEVERE CRAIG</v>
      </c>
      <c r="M233" s="6">
        <f>I233-F233</f>
        <v>5.2662037051049992E-3</v>
      </c>
      <c r="N233" s="7">
        <f>24*60*SUM($M233:$M233)</f>
        <v>7.5833333353511989</v>
      </c>
      <c r="O233" s="7"/>
      <c r="P233" s="7"/>
      <c r="Q233" s="22"/>
      <c r="R233" s="174"/>
      <c r="S233" s="221">
        <f>1/IF(AG233="EC",12,1)*SUM(U233:U233)</f>
        <v>1</v>
      </c>
      <c r="T233" s="174" t="str">
        <f>IF(ISEVEN(LEFT(AD233,4)),"Southbound","NorthBound")</f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-17T10:41:17-0600',mode:absolute,to:'2017-10-17T12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2</v>
      </c>
      <c r="Y233" s="204">
        <f>RIGHT(D233,LEN(D233)-4)/10000</f>
        <v>2.1953999999999998</v>
      </c>
      <c r="Z233" s="204">
        <f>RIGHT(H233,LEN(H233)-4)/10000</f>
        <v>9.6199999999999994E-2</v>
      </c>
      <c r="AA233" s="204">
        <f>ABS(Z233-Y233)</f>
        <v>2.0991999999999997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58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s3://rtdc.mdm.uploadarchive.raw/RTDC4033/ "%USERPROFILE%\AppData\Local\Temp\OnboardLogs"\RTDC4033\2017-10-17 --exclude "*" --recursive --include "*20171017*" &amp; "%USERPROFILE%\Documents\GitHub\mrs-test-scripts\Headless Mode &amp; Sideloading\WalkAndUnGZ.bat" "%USERPROFILE%\AppData\Local\Temp\OnboardLogs"\RTDC4033\2017-10-17 &amp; aws s3 cp s3://rtdc.mdm.uploadarchive.raw/RTDC4033/ "%USERPROFILE%\AppData\Local\Temp\OnboardLogs"\RTDC4033\2017-10-18 --exclude "*" --recursive --include "*20171018*" &amp; "%USERPROFILE%\Documents\GitHub\mrs-test-scripts\Headless Mode &amp; Sideloading\WalkAndUnGZ.bat" "%USERPROFILE%\AppData\Local\Temp\OnboardLogs"\RTDC4033\2017-10-18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/stypes="app*4033*20171017*" /stext=" 17:.+((SYSTEM_STATE.+slice.+state.+changed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57"/>
        <v>"%USERPROFILE%\Documents\GitHub\eaglep3\Utilities\RefineRTDCRunTimes.py" --tripid 58-17 --locoid 4033 --swversion DE.1.0.9.0 --startMP 300:21954 --initTime 2017-10-17T11:41:17 --startdatetime 2017-10-17T11:45:04 --delay 72 --endMP 204:962 --enddatetime 2017-10-17T11:52:39 --enforcementcount 0 &gt;&gt;%USERPROFILE%\Documents\GitHub\eaglep3-reporting\EC\2017-10-17-refined-times.txt</v>
      </c>
      <c r="AI233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0.0962"},{"id":17,"name":"Train ID","value":"58-17"},{"id":16,"name":"Locomotive ID","value":"4033"},{"id":130,"name":"Impact","value":""},{"id":150,"name":"Time of Event (Mountain Time)","value":"11:52:39"},{"id":151,"name":"Denver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59"/>
        <v>start /low /b %USERPROFILE%\Documents\GitHub\eaglep3\Utilities\DownloadLogsFromS3.py --loco 4033 --day 2017-10-17</v>
      </c>
      <c r="AN233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17:52:39"},{"id":29,"name":"Sharepoint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61"/>
        <v>https://d0f6bd738d7f1b3e5a7ca70fe4ff75f0.us-east-1.aws.found.io/app/kibana#/discover/Steve-Slow-Train-Analysis-(2080s-and-2083s)?_g=(refreshInterval:(display:Off,pause:!f,section:0,value:0),time:(from:'2017-10-17T10:41:17-0600',mode:absolute,to:'2017-10-17T12:52:39-0600'))&amp;_a=(columns:!('Message%20ID',Summary),filters:!(),index:'emp_*',interval:auto,query:(query_string:(analyze_wildcard:!t,query:'%22rtdc.l.rtdc.4033%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736</v>
      </c>
      <c r="B234" s="7">
        <v>4034</v>
      </c>
      <c r="C234" s="21" t="s">
        <v>194</v>
      </c>
      <c r="D234" s="21" t="s">
        <v>926</v>
      </c>
      <c r="E234" s="13">
        <v>43025.502002314817</v>
      </c>
      <c r="F234" s="13">
        <v>43025.503668981481</v>
      </c>
      <c r="G234" s="7">
        <v>78</v>
      </c>
      <c r="H234" s="21" t="s">
        <v>927</v>
      </c>
      <c r="I234" s="13">
        <v>43025.510555555556</v>
      </c>
      <c r="J234" s="7">
        <v>0</v>
      </c>
      <c r="K234" s="89" t="str">
        <f>IF(ISEVEN(B234),(B234-1)&amp;"/"&amp;B234,B234&amp;"/"&amp;(B234+1))</f>
        <v>4033/4034</v>
      </c>
      <c r="L234" s="185" t="str">
        <f>VLOOKUP(A234,'Trips&amp;Operators'!$C$1:$G$99911,5,FALSE)</f>
        <v>YANG JAN</v>
      </c>
      <c r="M234" s="6">
        <f>I234-F234</f>
        <v>6.8865740759065375E-3</v>
      </c>
      <c r="N234" s="7">
        <f>24*60*SUM($M234:$M234)</f>
        <v>9.916666669305414</v>
      </c>
      <c r="O234" s="7"/>
      <c r="P234" s="7"/>
      <c r="Q234" s="22"/>
      <c r="R234" s="174"/>
      <c r="S234" s="221">
        <f>1/IF(AG234="EC",12,1)*SUM(U234:U234)</f>
        <v>1</v>
      </c>
      <c r="T234" s="174" t="str">
        <f>IF(ISEVEN(LEFT(AD234,4)),"Southbound","NorthBound")</f>
        <v>NorthBound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-17T11:02:53-0600',mode:absolute,to:'2017-10-17T13:15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1</v>
      </c>
      <c r="Y234" s="204">
        <f>RIGHT(D234,LEN(D234)-4)/10000</f>
        <v>0.12759999999999999</v>
      </c>
      <c r="Z234" s="204">
        <f>RIGHT(H234,LEN(H234)-4)/10000</f>
        <v>2.4220000000000002</v>
      </c>
      <c r="AA234" s="204">
        <f>ABS(Z234-Y234)</f>
        <v>2.2944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59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s3://rtdc.mdm.uploadarchive.raw/RTDC4034/ "%USERPROFILE%\AppData\Local\Temp\OnboardLogs"\RTDC4034\2017-10-17 --exclude "*" --recursive --include "*20171017*" &amp; "%USERPROFILE%\Documents\GitHub\mrs-test-scripts\Headless Mode &amp; Sideloading\WalkAndUnGZ.bat" "%USERPROFILE%\AppData\Local\Temp\OnboardLogs"\RTDC4034\2017-10-17 &amp; aws s3 cp s3://rtdc.mdm.uploadarchive.raw/RTDC4034/ "%USERPROFILE%\AppData\Local\Temp\OnboardLogs"\RTDC4034\2017-10-18 --exclude "*" --recursive --include "*20171018*" &amp; "%USERPROFILE%\Documents\GitHub\mrs-test-scripts\Headless Mode &amp; Sideloading\WalkAndUnGZ.bat" "%USERPROFILE%\AppData\Local\Temp\OnboardLogs"\RTDC4034\2017-10-18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/stypes="app*4034*20171017*" /stext=" 18:.+((SYSTEM_STATE.+slice.+state.+changed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57"/>
        <v>"%USERPROFILE%\Documents\GitHub\eaglep3\Utilities\RefineRTDCRunTimes.py" --tripid 59-17 --locoid 4034 --swversion DE.1.0.9.0 --startMP 204:1276 --initTime 2017-10-17T12:02:53 --startdatetime 2017-10-17T12:05:17 --delay 78 --endMP 300:24220 --enddatetime 2017-10-17T12:15:12 --enforcementcount 0 &gt;&gt;%USERPROFILE%\Documents\GitHub\eaglep3-reporting\EC\2017-10-17-refined-times.txt</v>
      </c>
      <c r="AI234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2.422"},{"id":17,"name":"Train ID","value":"59-17"},{"id":16,"name":"Locomotive ID","value":"4034"},{"id":130,"name":"Impact","value":""},{"id":150,"name":"Time of Event (Mountain Time)","value":"12:15:12"},{"id":151,"name":"Denver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59"/>
        <v>start /low /b %USERPROFILE%\Documents\GitHub\eaglep3\Utilities\DownloadLogsFromS3.py --loco 4034 --day 2017-10-17</v>
      </c>
      <c r="AN234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18:15:12"},{"id":29,"name":"Sharepoint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61"/>
        <v>https://d0f6bd738d7f1b3e5a7ca70fe4ff75f0.us-east-1.aws.found.io/app/kibana#/discover/Steve-Slow-Train-Analysis-(2080s-and-2083s)?_g=(refreshInterval:(display:Off,pause:!f,section:0,value:0),time:(from:'2017-10-17T11:02:53-0600',mode:absolute,to:'2017-10-17T13:15:12-0600'))&amp;_a=(columns:!('Message%20ID',Summary),filters:!(),index:'emp_*',interval:auto,query:(query_string:(analyze_wildcard:!t,query:'%22rtdc.l.rtdc.4034%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737</v>
      </c>
      <c r="B235" s="7">
        <v>4023</v>
      </c>
      <c r="C235" s="21" t="s">
        <v>194</v>
      </c>
      <c r="D235" s="21" t="s">
        <v>928</v>
      </c>
      <c r="E235" s="13">
        <v>43025.488437499997</v>
      </c>
      <c r="F235" s="13">
        <v>43025.506921296299</v>
      </c>
      <c r="G235" s="7">
        <v>1389</v>
      </c>
      <c r="H235" s="21" t="s">
        <v>929</v>
      </c>
      <c r="I235" s="13">
        <v>43025.513692129629</v>
      </c>
      <c r="J235" s="7">
        <v>0</v>
      </c>
      <c r="K235" s="89" t="str">
        <f>IF(ISEVEN(B235),(B235-1)&amp;"/"&amp;B235,B235&amp;"/"&amp;(B235+1))</f>
        <v>4023/4024</v>
      </c>
      <c r="L235" s="185" t="str">
        <f>VLOOKUP(A235,'Trips&amp;Operators'!$C$1:$G$99911,5,FALSE)</f>
        <v>SMITH MICHAEL</v>
      </c>
      <c r="M235" s="6">
        <f>I235-F235</f>
        <v>6.7708333299378864E-3</v>
      </c>
      <c r="N235" s="7">
        <f>24*60*SUM($M235:$M235)</f>
        <v>9.7499999951105565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-17T10:43:21-0600',mode:absolute,to:'2017-10-17T13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2.3433999999999999</v>
      </c>
      <c r="Z235" s="204">
        <f>RIGHT(H235,LEN(H235)-4)/10000</f>
        <v>8.7400000000000005E-2</v>
      </c>
      <c r="AA235" s="204">
        <f>ABS(Z235-Y235)</f>
        <v>2.2559999999999998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60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s3://rtdc.mdm.uploadarchive.raw/RTDC4023/ "%USERPROFILE%\AppData\Local\Temp\OnboardLogs"\RTDC4023\2017-10-17 --exclude "*" --recursive --include "*20171017*" &amp; "%USERPROFILE%\Documents\GitHub\mrs-test-scripts\Headless Mode &amp; Sideloading\WalkAndUnGZ.bat" "%USERPROFILE%\AppData\Local\Temp\OnboardLogs"\RTDC4023\2017-10-17 &amp; aws s3 cp s3://rtdc.mdm.uploadarchive.raw/RTDC4023/ "%USERPROFILE%\AppData\Local\Temp\OnboardLogs"\RTDC4023\2017-10-18 --exclude "*" --recursive --include "*20171018*" &amp; "%USERPROFILE%\Documents\GitHub\mrs-test-scripts\Headless Mode &amp; Sideloading\WalkAndUnGZ.bat" "%USERPROFILE%\AppData\Local\Temp\OnboardLogs"\RTDC4023\2017-10-18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/stypes="app*4023*20171017*" /stext=" 18:.+((SYSTEM_STATE.+slice.+state.+changed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57"/>
        <v>"%USERPROFILE%\Documents\GitHub\eaglep3\Utilities\RefineRTDCRunTimes.py" --tripid 60-17 --locoid 4023 --swversion DE.1.0.9.0 --startMP 300:23434 --initTime 2017-10-17T11:43:21 --startdatetime 2017-10-17T12:09:58 --delay 1389 --endMP 204:874 --enddatetime 2017-10-17T12:19:43 --enforcementcount 0 &gt;&gt;%USERPROFILE%\Documents\GitHub\eaglep3-reporting\EC\2017-10-17-refined-times.txt</v>
      </c>
      <c r="AI235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0.0874"},{"id":17,"name":"Train ID","value":"60-17"},{"id":16,"name":"Locomotive ID","value":"4023"},{"id":130,"name":"Impact","value":""},{"id":150,"name":"Time of Event (Mountain Time)","value":"12:19:43"},{"id":151,"name":"Denver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59"/>
        <v>start /low /b %USERPROFILE%\Documents\GitHub\eaglep3\Utilities\DownloadLogsFromS3.py --loco 4023 --day 2017-10-17</v>
      </c>
      <c r="AN235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61"/>
        <v>https://d0f6bd738d7f1b3e5a7ca70fe4ff75f0.us-east-1.aws.found.io/app/kibana#/discover/Steve-Slow-Train-Analysis-(2080s-and-2083s)?_g=(refreshInterval:(display:Off,pause:!f,section:0,value:0),time:(from:'2017-10-17T10:43:21-0600',mode:absolute,to:'2017-10-17T13:19:43-0600'))&amp;_a=(columns:!('Message%20ID',Summary),filters:!(),index:'emp_*',interval:auto,query:(query_string:(analyze_wildcard:!t,query:'%22rtdc.l.rtdc.4023%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745</v>
      </c>
      <c r="B236" s="7">
        <v>4024</v>
      </c>
      <c r="C236" s="21" t="s">
        <v>194</v>
      </c>
      <c r="D236" s="21" t="s">
        <v>930</v>
      </c>
      <c r="E236" s="13">
        <v>43025.532037037039</v>
      </c>
      <c r="F236" s="13">
        <v>43025.534120370372</v>
      </c>
      <c r="G236" s="7">
        <v>130</v>
      </c>
      <c r="H236" s="21" t="s">
        <v>931</v>
      </c>
      <c r="I236" s="13">
        <v>43025.5390625</v>
      </c>
      <c r="J236" s="7">
        <v>0</v>
      </c>
      <c r="K236" s="89" t="str">
        <f>IF(ISEVEN(B236),(B236-1)&amp;"/"&amp;B236,B236&amp;"/"&amp;(B236+1))</f>
        <v>4023/4024</v>
      </c>
      <c r="L236" s="185" t="str">
        <f>VLOOKUP(A236,'Trips&amp;Operators'!$C$1:$G$99911,5,FALSE)</f>
        <v>MACDONALD THOMAS</v>
      </c>
      <c r="M236" s="6">
        <f>I236-F236</f>
        <v>4.9421296280343086E-3</v>
      </c>
      <c r="N236" s="7">
        <f>24*60*SUM($M236:$M236)</f>
        <v>7.1166666643694043</v>
      </c>
      <c r="O236" s="7"/>
      <c r="P236" s="7"/>
      <c r="Q236" s="22"/>
      <c r="R236" s="174"/>
      <c r="S236" s="221">
        <f>1/IF(AG236="EC",12,1)*SUM(U236:U236)</f>
        <v>1</v>
      </c>
      <c r="T236" s="174" t="str">
        <f>IF(ISEVEN(LEFT(AD236,4)),"Southbound","NorthBound")</f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-17T11:46:08-0600',mode:absolute,to:'2017-10-17T13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1</v>
      </c>
      <c r="Y236" s="204">
        <f>RIGHT(D236,LEN(D236)-4)/10000</f>
        <v>0.11990000000000001</v>
      </c>
      <c r="Z236" s="204">
        <f>RIGHT(H236,LEN(H236)-4)/10000</f>
        <v>2.4201000000000001</v>
      </c>
      <c r="AA236" s="204">
        <f>ABS(Z236-Y236)</f>
        <v>2.3002000000000002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61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s3://rtdc.mdm.uploadarchive.raw/RTDC4024/ "%USERPROFILE%\AppData\Local\Temp\OnboardLogs"\RTDC4024\2017-10-17 --exclude "*" --recursive --include "*20171017*" &amp; "%USERPROFILE%\Documents\GitHub\mrs-test-scripts\Headless Mode &amp; Sideloading\WalkAndUnGZ.bat" "%USERPROFILE%\AppData\Local\Temp\OnboardLogs"\RTDC4024\2017-10-17 &amp; aws s3 cp s3://rtdc.mdm.uploadarchive.raw/RTDC4024/ "%USERPROFILE%\AppData\Local\Temp\OnboardLogs"\RTDC4024\2017-10-18 --exclude "*" --recursive --include "*20171018*" &amp; "%USERPROFILE%\Documents\GitHub\mrs-test-scripts\Headless Mode &amp; Sideloading\WalkAndUnGZ.bat" "%USERPROFILE%\AppData\Local\Temp\OnboardLogs"\RTDC4024\2017-10-18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/stypes="app*4024*20171017*" /stext=" 18:.+((SYSTEM_STATE.+slice.+state.+changed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57"/>
        <v>"%USERPROFILE%\Documents\GitHub\eaglep3\Utilities\RefineRTDCRunTimes.py" --tripid 61-17 --locoid 4024 --swversion DE.1.0.9.0 --startMP 204:1199 --initTime 2017-10-17T12:46:08 --startdatetime 2017-10-17T12:49:08 --delay 130 --endMP 300:24201 --enddatetime 2017-10-17T12:56:15 --enforcementcount 0 &gt;&gt;%USERPROFILE%\Documents\GitHub\eaglep3-reporting\EC\2017-10-17-refined-times.txt</v>
      </c>
      <c r="AI236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2.4201"},{"id":17,"name":"Train ID","value":"61-17"},{"id":16,"name":"Locomotive ID","value":"4024"},{"id":130,"name":"Impact","value":""},{"id":150,"name":"Time of Event (Mountain Time)","value":"12:56:15"},{"id":151,"name":"Denver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59"/>
        <v>start /low /b %USERPROFILE%\Documents\GitHub\eaglep3\Utilities\DownloadLogsFromS3.py --loco 4024 --day 2017-10-17</v>
      </c>
      <c r="AN236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18:56:15"},{"id":29,"name":"Sharepoint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61"/>
        <v>https://d0f6bd738d7f1b3e5a7ca70fe4ff75f0.us-east-1.aws.found.io/app/kibana#/discover/Steve-Slow-Train-Analysis-(2080s-and-2083s)?_g=(refreshInterval:(display:Off,pause:!f,section:0,value:0),time:(from:'2017-10-17T11:46:08-0600',mode:absolute,to:'2017-10-17T13:56:15-0600'))&amp;_a=(columns:!('Message%20ID',Summary),filters:!(),index:'emp_*',interval:auto,query:(query_string:(analyze_wildcard:!t,query:'%22rtdc.l.rtdc.4024%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794</v>
      </c>
      <c r="B237" s="7">
        <v>4004</v>
      </c>
      <c r="C237" s="21" t="s">
        <v>194</v>
      </c>
      <c r="D237" s="21" t="s">
        <v>930</v>
      </c>
      <c r="E237" s="13">
        <v>43025.720833333333</v>
      </c>
      <c r="F237" s="13">
        <v>43025.723483796297</v>
      </c>
      <c r="G237" s="7">
        <v>123</v>
      </c>
      <c r="H237" s="21" t="s">
        <v>432</v>
      </c>
      <c r="I237" s="13">
        <v>43025.813611111109</v>
      </c>
      <c r="J237" s="7">
        <v>0</v>
      </c>
      <c r="K237" s="89" t="str">
        <f>IF(ISEVEN(B237),(B237-1)&amp;"/"&amp;B237,B237&amp;"/"&amp;(B237+1))</f>
        <v>4003/4004</v>
      </c>
      <c r="L237" s="185" t="str">
        <f>VLOOKUP(A237,'Trips&amp;Operators'!$C$1:$G$99911,5,FALSE)</f>
        <v>NELSON ARIANE</v>
      </c>
      <c r="M237" s="6">
        <f>I237-F237</f>
        <v>9.0127314811979886E-2</v>
      </c>
      <c r="N237" s="7">
        <f>24*60*SUM($M237:$M237)</f>
        <v>129.78333332925104</v>
      </c>
      <c r="O237" s="7"/>
      <c r="P237" s="7"/>
      <c r="Q237" s="22"/>
      <c r="R237" s="174"/>
      <c r="S237" s="221">
        <f>1/IF(AG237="EC",12,1)*SUM(U237:U237)</f>
        <v>1</v>
      </c>
      <c r="T237" s="174" t="str">
        <f>IF(ISEVEN(LEFT(AD237,4)),"Southbound","NorthBound")</f>
        <v>NorthBound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-17T16:18:00-0600',mode:absolute,to:'2017-10-17T20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10</v>
      </c>
      <c r="Y237" s="204">
        <f>RIGHT(D237,LEN(D237)-4)/10000</f>
        <v>0.11990000000000001</v>
      </c>
      <c r="Z237" s="204">
        <f>RIGHT(H237,LEN(H237)-4)/10000</f>
        <v>2.3346</v>
      </c>
      <c r="AA237" s="204">
        <f>ABS(Z237-Y237)</f>
        <v>2.2147000000000001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71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s3://rtdc.mdm.uploadarchive.raw/RTDC4004/ "%USERPROFILE%\AppData\Local\Temp\OnboardLogs"\RTDC4004\2017-10-17 --exclude "*" --recursive --include "*20171017*" &amp; "%USERPROFILE%\Documents\GitHub\mrs-test-scripts\Headless Mode &amp; Sideloading\WalkAndUnGZ.bat" "%USERPROFILE%\AppData\Local\Temp\OnboardLogs"\RTDC4004\2017-10-17 &amp; aws s3 cp s3://rtdc.mdm.uploadarchive.raw/RTDC4004/ "%USERPROFILE%\AppData\Local\Temp\OnboardLogs"\RTDC4004\2017-10-18 --exclude "*" --recursive --include "*20171018*" &amp; "%USERPROFILE%\Documents\GitHub\mrs-test-scripts\Headless Mode &amp; Sideloading\WalkAndUnGZ.bat" "%USERPROFILE%\AppData\Local\Temp\OnboardLogs"\RTDC4004\2017-10-18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/stypes="app*4004*20171018*" /stext=" 01:.+((SYSTEM_STATE.+slice.+state.+changed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57"/>
        <v>"%USERPROFILE%\Documents\GitHub\eaglep3\Utilities\RefineRTDCRunTimes.py" --tripid 71-17 --locoid 4004 --swversion DE.1.0.9.0 --startMP 204:1199 --initTime 2017-10-17T17:18:00 --startdatetime 2017-10-17T17:21:49 --delay 123 --endMP 300:23346 --enddatetime 2017-10-17T19:31:36 --enforcementcount 0 &gt;&gt;%USERPROFILE%\Documents\GitHub\eaglep3-reporting\EC\2017-10-17-refined-times.txt</v>
      </c>
      <c r="AI237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2.3346"},{"id":17,"name":"Train ID","value":"71-17"},{"id":16,"name":"Locomotive ID","value":"4004"},{"id":130,"name":"Impact","value":""},{"id":150,"name":"Time of Event (Mountain Time)","value":"19:31:36"},{"id":151,"name":"Denver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59"/>
        <v>start /low /b %USERPROFILE%\Documents\GitHub\eaglep3\Utilities\DownloadLogsFromS3.py --loco 4004 --day 2017-10-17</v>
      </c>
      <c r="AN237" s="151" t="str">
        <f t="shared" si="60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01:31:36"},{"id":29,"name":"Sharepoint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61"/>
        <v>https://d0f6bd738d7f1b3e5a7ca70fe4ff75f0.us-east-1.aws.found.io/app/kibana#/discover/Steve-Slow-Train-Analysis-(2080s-and-2083s)?_g=(refreshInterval:(display:Off,pause:!f,section:0,value:0),time:(from:'2017-10-17T16:18:00-0600',mode:absolute,to:'2017-10-17T20:31:36-0600'))&amp;_a=(columns:!('Message%20ID',Summary),filters:!(),index:'emp_*',interval:auto,query:(query_string:(analyze_wildcard:!t,query:'%22rtdc.l.rtdc.4004%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801</v>
      </c>
      <c r="B238" s="7">
        <v>4029</v>
      </c>
      <c r="C238" s="21" t="s">
        <v>194</v>
      </c>
      <c r="D238" s="21" t="s">
        <v>932</v>
      </c>
      <c r="E238" s="13">
        <v>43025.734490740739</v>
      </c>
      <c r="F238" s="13">
        <v>43025.742199074077</v>
      </c>
      <c r="G238" s="7">
        <v>347</v>
      </c>
      <c r="H238" s="21" t="s">
        <v>933</v>
      </c>
      <c r="I238" s="13">
        <v>43025.743750000001</v>
      </c>
      <c r="J238" s="7">
        <v>0</v>
      </c>
      <c r="K238" s="89" t="str">
        <f>IF(ISEVEN(B238),(B238-1)&amp;"/"&amp;B238,B238&amp;"/"&amp;(B238+1))</f>
        <v>4029/4030</v>
      </c>
      <c r="L238" s="185" t="str">
        <f>VLOOKUP(A238,'Trips&amp;Operators'!$C$1:$G$99911,5,FALSE)</f>
        <v>BARRON PERLA</v>
      </c>
      <c r="M238" s="6">
        <f>I238-F238</f>
        <v>1.5509259246755391E-3</v>
      </c>
      <c r="N238" s="7">
        <f>24*60*SUM($M238:$M238)</f>
        <v>2.2333333315327764</v>
      </c>
      <c r="O238" s="7"/>
      <c r="P238" s="7"/>
      <c r="Q238" s="22"/>
      <c r="R238" s="174" t="s">
        <v>1004</v>
      </c>
      <c r="S238" s="221">
        <f>1/IF(AG238="EC",12,1)*SUM(U238:U238)</f>
        <v>0</v>
      </c>
      <c r="T238" s="174" t="str">
        <f>IF(ISEVEN(LEFT(AD238,4)),"Southbound","NorthBound")</f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-17T16:37:40-0600',mode:absolute,to:'2017-10-17T18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2.2631000000000001</v>
      </c>
      <c r="Z238" s="204">
        <f>RIGHT(H238,LEN(H238)-4)/10000</f>
        <v>1.9389000000000001</v>
      </c>
      <c r="AA238" s="204">
        <f>ABS(Z238-Y238)</f>
        <v>0.32420000000000004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72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s3://rtdc.mdm.uploadarchive.raw/RTDC4029/ "%USERPROFILE%\AppData\Local\Temp\OnboardLogs"\RTDC4029\2017-10-17 --exclude "*" --recursive --include "*20171017*" &amp; "%USERPROFILE%\Documents\GitHub\mrs-test-scripts\Headless Mode &amp; Sideloading\WalkAndUnGZ.bat" "%USERPROFILE%\AppData\Local\Temp\OnboardLogs"\RTDC4029\2017-10-17 &amp; aws s3 cp s3://rtdc.mdm.uploadarchive.raw/RTDC4029/ "%USERPROFILE%\AppData\Local\Temp\OnboardLogs"\RTDC4029\2017-10-18 --exclude "*" --recursive --include "*20171018*" &amp; "%USERPROFILE%\Documents\GitHub\mrs-test-scripts\Headless Mode &amp; Sideloading\WalkAndUnGZ.bat" "%USERPROFILE%\AppData\Local\Temp\OnboardLogs"\RTDC4029\2017-10-18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/stypes="app*4029*20171017*" /stext=" 23:.+((SYSTEM_STATE.+slice.+state.+changed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57"/>
        <v>"%USERPROFILE%\Documents\GitHub\eaglep3\Utilities\RefineRTDCRunTimes.py" --tripid 72-17 --locoid 4029 --swversion DE.1.0.9.0 --startMP 300:22631 --initTime 2017-10-17T17:37:40 --startdatetime 2017-10-17T17:48:46 --delay 347 --endMP 300:19389 --enddatetime 2017-10-17T17:51:00 --enforcementcount 0 &gt;&gt;%USERPROFILE%\Documents\GitHub\eaglep3-reporting\EC\2017-10-17-refined-times.txt</v>
      </c>
      <c r="AI238" s="96" t="str">
        <f t="shared" si="58"/>
        <v>echo {"issue":{"subject":"Mid-block init","project_id":79,"tracker_id":40,"status_id":1,"priority_id":2,"assigned_to_id":338,"start_date":"2017-10-17","description":"","custom_fields":[{"id":1,"name":"Subdivision","value":"Shuttle/Test"},{"id":4,"name":"Milepost","value":"1.9389"},{"id":17,"name":"Train ID","value":"72-17"},{"id":16,"name":"Locomotive ID","value":"4029"},{"id":130,"name":"Impact","value":""},{"id":150,"name":"Time of Event (Mountain Time)","value":"17:51:00"},{"id":151,"name":"Denver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59"/>
        <v>start /low /b %USERPROFILE%\Documents\GitHub\eaglep3\Utilities\DownloadLogsFromS3.py --loco 4029 --day 2017-10-17</v>
      </c>
      <c r="AN238" s="151" t="str">
        <f t="shared" si="60"/>
        <v>echo {"issue":{"subject":"Mid-block init","project_id":30,"tracker_id":4,"status_id":1,"priority_id":1,"assigned_to_id":10,"start_date":"2017-10-17","description":"","custom_fields":[{"id":30,"name":"Category","value":"Issue"},{"id":3,"name":"Functional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23:51:00"},{"id":29,"name":"Sharepoint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61"/>
        <v>https://d0f6bd738d7f1b3e5a7ca70fe4ff75f0.us-east-1.aws.found.io/app/kibana#/discover/Steve-Slow-Train-Analysis-(2080s-and-2083s)?_g=(refreshInterval:(display:Off,pause:!f,section:0,value:0),time:(from:'2017-10-17T16:37:40-0600',mode:absolute,to:'2017-10-17T18:51:00-0600'))&amp;_a=(columns:!('Message%20ID',Summary),filters:!(),index:'emp_*',interval:auto,query:(query_string:(analyze_wildcard:!t,query:'%22rtdc.l.rtdc.4029%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782</v>
      </c>
      <c r="B239" s="7">
        <v>4008</v>
      </c>
      <c r="C239" s="21" t="s">
        <v>194</v>
      </c>
      <c r="D239" s="21" t="s">
        <v>923</v>
      </c>
      <c r="E239" s="13">
        <v>43025.68167824074</v>
      </c>
      <c r="F239" s="13">
        <v>43025.684120370373</v>
      </c>
      <c r="G239" s="7">
        <v>71</v>
      </c>
      <c r="H239" s="21" t="s">
        <v>580</v>
      </c>
      <c r="I239" s="13">
        <v>43025.691157407404</v>
      </c>
      <c r="J239" s="7">
        <v>0</v>
      </c>
      <c r="K239" s="89" t="str">
        <f>IF(ISEVEN(B239),(B239-1)&amp;"/"&amp;B239,B239&amp;"/"&amp;(B239+1))</f>
        <v>4007/4008</v>
      </c>
      <c r="L239" s="185" t="str">
        <f>VLOOKUP(A239,'Trips&amp;Operators'!$C$1:$G$99911,5,FALSE)</f>
        <v>RESPASS AARON</v>
      </c>
      <c r="M239" s="6">
        <f>I239-F239</f>
        <v>7.0370370303862728E-3</v>
      </c>
      <c r="N239" s="7">
        <f>24*60*SUM($M239:$M239)</f>
        <v>10.133333323756233</v>
      </c>
      <c r="O239" s="7"/>
      <c r="P239" s="7"/>
      <c r="Q239" s="22"/>
      <c r="R239" s="174"/>
      <c r="S239" s="221">
        <f>1/IF(AG239="EC",12,1)*SUM(U239:U239)</f>
        <v>1</v>
      </c>
      <c r="T239" s="174" t="str">
        <f>IF(ISEVEN(LEFT(AD239,4)),"Southbound","NorthBound")</f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-17T15:21:37-0600',mode:absolute,to:'2017-10-17T17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3</v>
      </c>
      <c r="Y239" s="204">
        <f>RIGHT(D239,LEN(D239)-4)/10000</f>
        <v>0.11559999999999999</v>
      </c>
      <c r="Z239" s="204">
        <f>RIGHT(H239,LEN(H239)-4)/10000</f>
        <v>2.3308</v>
      </c>
      <c r="AA239" s="204">
        <f>ABS(Z239-Y239)</f>
        <v>2.2151999999999998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75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s3://rtdc.mdm.uploadarchive.raw/RTDC4008/ "%USERPROFILE%\AppData\Local\Temp\OnboardLogs"\RTDC4008\2017-10-17 --exclude "*" --recursive --include "*20171017*" &amp; "%USERPROFILE%\Documents\GitHub\mrs-test-scripts\Headless Mode &amp; Sideloading\WalkAndUnGZ.bat" "%USERPROFILE%\AppData\Local\Temp\OnboardLogs"\RTDC4008\2017-10-17 &amp; aws s3 cp s3://rtdc.mdm.uploadarchive.raw/RTDC4008/ "%USERPROFILE%\AppData\Local\Temp\OnboardLogs"\RTDC4008\2017-10-18 --exclude "*" --recursive --include "*20171018*" &amp; "%USERPROFILE%\Documents\GitHub\mrs-test-scripts\Headless Mode &amp; Sideloading\WalkAndUnGZ.bat" "%USERPROFILE%\AppData\Local\Temp\OnboardLogs"\RTDC4008\2017-10-18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/stypes="app*4008*20171017*" /stext=" 22:.+((SYSTEM_STATE.+slice.+state.+changed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57"/>
        <v>"%USERPROFILE%\Documents\GitHub\eaglep3\Utilities\RefineRTDCRunTimes.py" --tripid 75-17 --locoid 4008 --swversion DE.1.0.9.0 --startMP 204:1156 --initTime 2017-10-17T16:21:37 --startdatetime 2017-10-17T16:25:08 --delay 71 --endMP 300:23308 --enddatetime 2017-10-17T16:35:16 --enforcementcount 0 &gt;&gt;%USERPROFILE%\Documents\GitHub\eaglep3-reporting\EC\2017-10-17-refined-times.txt</v>
      </c>
      <c r="AI239" s="96" t="str">
        <f t="shared" si="58"/>
        <v>echo {"issue":{"subject":"","project_id":79,"tracker_id":40,"status_id":1,"priority_id":2,"assigned_to_id":338,"start_date":"2017-10-17","description":"","custom_fields":[{"id":1,"name":"Subdivision","value":"Shuttle/Test"},{"id":4,"name":"Milepost","value":"2.3308"},{"id":17,"name":"Train ID","value":"75-17"},{"id":16,"name":"Locomotive ID","value":"4008"},{"id":130,"name":"Impact","value":""},{"id":150,"name":"Time of Event (Mountain Time)","value":"16:35:16"},{"id":151,"name":"Denver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59"/>
        <v>start /low /b %USERPROFILE%\Documents\GitHub\eaglep3\Utilities\DownloadLogsFromS3.py --loco 4008 --day 2017-10-17</v>
      </c>
      <c r="AN239" s="151" t="str">
        <f t="shared" si="60"/>
        <v>echo {"issue":{"subject":"","project_id":30,"tracker_id":4,"status_id":1,"priority_id":1,"assigned_to_id":10,"start_date":"2017-10-17","description":"","custom_fields":[{"id":30,"name":"Category","value":"Issue"},{"id":3,"name":"Functional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UTC","value":"2017-10-17 22:35:16"},{"id":29,"name":"Sharepoint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61"/>
        <v>https://d0f6bd738d7f1b3e5a7ca70fe4ff75f0.us-east-1.aws.found.io/app/kibana#/discover/Steve-Slow-Train-Analysis-(2080s-and-2083s)?_g=(refreshInterval:(display:Off,pause:!f,section:0,value:0),time:(from:'2017-10-17T15:21:37-0600',mode:absolute,to:'2017-10-17T17:35:16-0600'))&amp;_a=(columns:!('Message%20ID',Summary),filters:!(),index:'emp_*',interval:auto,query:(query_string:(analyze_wildcard:!t,query:'%22rtdc.l.rtdc.4008%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852</v>
      </c>
      <c r="B240" s="7">
        <v>4030</v>
      </c>
      <c r="C240" s="21" t="s">
        <v>194</v>
      </c>
      <c r="D240" s="21" t="s">
        <v>978</v>
      </c>
      <c r="E240" s="13">
        <v>43026.037060185183</v>
      </c>
      <c r="F240" s="13">
        <v>43026.050659722219</v>
      </c>
      <c r="G240" s="7">
        <v>174</v>
      </c>
      <c r="H240" s="21" t="s">
        <v>979</v>
      </c>
      <c r="I240" s="13">
        <v>43026.062118055554</v>
      </c>
      <c r="J240" s="7">
        <v>0</v>
      </c>
      <c r="K240" s="89" t="str">
        <f>IF(ISEVEN(B240),(B240-1)&amp;"/"&amp;B240,B240&amp;"/"&amp;(B240+1))</f>
        <v>4029/4030</v>
      </c>
      <c r="L240" s="185" t="str">
        <f>VLOOKUP(A240,'Trips&amp;Operators'!$C$1:$G$99911,5,FALSE)</f>
        <v>BARRON PERLA</v>
      </c>
      <c r="M240" s="6">
        <f>I240-F240</f>
        <v>1.1458333334303461E-2</v>
      </c>
      <c r="N240" s="7">
        <f>24*60*SUM($M240:$M240)</f>
        <v>16.500000001396984</v>
      </c>
      <c r="O240" s="7"/>
      <c r="P240" s="7"/>
      <c r="Q240" s="22"/>
      <c r="R240" s="174"/>
      <c r="S240" s="221">
        <f>1/IF(AG240="EC",12,1)*SUM(U240:U240)</f>
        <v>1</v>
      </c>
      <c r="T240" s="174" t="str">
        <f>IF(ISEVEN(LEFT(AD240,4)),"Southbound","NorthBound")</f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-17T23:53:22-0600',mode:absolute,to:'2017-10-18T02:29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14</v>
      </c>
      <c r="Y240" s="204">
        <f>RIGHT(D240,LEN(D240)-4)/10000</f>
        <v>0.1152</v>
      </c>
      <c r="Z240" s="204">
        <f>RIGHT(H240,LEN(H240)-4)/10000</f>
        <v>2.4211999999999998</v>
      </c>
      <c r="AA240" s="204">
        <f>ABS(Z240-Y240)</f>
        <v>2.3059999999999996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89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s3://rtdc.mdm.uploadarchive.raw/RTDC4030/ "%USERPROFILE%\AppData\Local\Temp\OnboardLogs"\RTDC4030\2017-10-18 --exclude "*" --recursive --include "*20171018*" &amp; "%USERPROFILE%\Documents\GitHub\mrs-test-scripts\Headless Mode &amp; Sideloading\WalkAndUnGZ.bat" "%USERPROFILE%\AppData\Local\Temp\OnboardLogs"\RTDC4030\2017-10-18 &amp; aws s3 cp s3://rtdc.mdm.uploadarchive.raw/RTDC4030/ "%USERPROFILE%\AppData\Local\Temp\OnboardLogs"\RTDC4030\2017-10-19 --exclude "*" --recursive --include "*20171019*" &amp; "%USERPROFILE%\Documents\GitHub\mrs-test-scripts\Headless Mode &amp; Sideloading\WalkAndUnGZ.bat" "%USERPROFILE%\AppData\Local\Temp\OnboardLogs"\RTDC4030\2017-10-19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/stypes="app*4030*20171018*" /stext=" 07:.+((SYSTEM_STATE.+slice.+state.+changed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57"/>
        <v>"%USERPROFILE%\Documents\GitHub\eaglep3\Utilities\RefineRTDCRunTimes.py" --tripid 89-17 --locoid 4030 --swversion DE.1.0.9.0 --startMP 204:1152 --initTime 2017-10-18T00:53:22 --startdatetime 2017-10-18T01:12:57 --delay 174 --endMP 300:24212 --enddatetime 2017-10-18T01:29:27 --enforcementcount 0 &gt;&gt;%USERPROFILE%\Documents\GitHub\eaglep3-reporting\EC\2017-10-17-refined-times.txt</v>
      </c>
      <c r="AI240" s="96" t="str">
        <f t="shared" si="58"/>
        <v>echo {"issue":{"subject":"","project_id":79,"tracker_id":40,"status_id":1,"priority_id":2,"assigned_to_id":338,"start_date":"2017-10-18","description":"","custom_fields":[{"id":1,"name":"Subdivision","value":"Shuttle/Test"},{"id":4,"name":"Milepost","value":"2.4212"},{"id":17,"name":"Train ID","value":"89-17"},{"id":16,"name":"Locomotive ID","value":"4030"},{"id":130,"name":"Impact","value":""},{"id":150,"name":"Time of Event (Mountain Time)","value":"01:29:27"},{"id":151,"name":"Denver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59"/>
        <v>start /low /b %USERPROFILE%\Documents\GitHub\eaglep3\Utilities\DownloadLogsFromS3.py --loco 4030 --day 2017-10-18</v>
      </c>
      <c r="AN240" s="151" t="str">
        <f t="shared" si="60"/>
        <v>echo {"issue":{"subject":"","project_id":30,"tracker_id":4,"status_id":1,"priority_id":1,"assigned_to_id":10,"start_date":"2017-10-18","description":"","custom_fields":[{"id":30,"name":"Category","value":"Issue"},{"id":3,"name":"Functional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UTC","value":"2017-10-18 07:29:27"},{"id":29,"name":"Sharepoint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61"/>
        <v>https://d0f6bd738d7f1b3e5a7ca70fe4ff75f0.us-east-1.aws.found.io/app/kibana#/discover/Steve-Slow-Train-Analysis-(2080s-and-2083s)?_g=(refreshInterval:(display:Off,pause:!f,section:0,value:0),time:(from:'2017-10-17T23:53:22-0600',mode:absolute,to:'2017-10-18T02:29:27-0600'))&amp;_a=(columns:!('Message%20ID',Summary),filters:!(),index:'emp_*',interval:auto,query:(query_string:(analyze_wildcard:!t,query:'%22rtdc.l.rtdc.4030%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9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9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M326"/>
      <c r="AO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M330"/>
      <c r="AO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M331"/>
      <c r="AO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M333"/>
      <c r="AO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M335"/>
      <c r="AO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M336"/>
      <c r="AO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M339"/>
      <c r="AO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M341"/>
      <c r="AO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M343"/>
      <c r="AO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M353"/>
      <c r="AO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M357"/>
      <c r="AO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4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4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4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4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4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4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4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4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4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4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4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4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4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4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4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4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4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4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</sheetData>
  <autoFilter ref="A12:AG381">
    <sortState ref="A13:AG381">
      <sortCondition ref="AG13:AG240"/>
      <sortCondition ref="AD13:AD240"/>
    </sortState>
  </autoFilter>
  <sortState ref="A13:AN286">
    <sortCondition ref="AG13:AG286"/>
    <sortCondition ref="AD13:AD286"/>
  </sortState>
  <mergeCells count="1">
    <mergeCell ref="A11:P11"/>
  </mergeCells>
  <conditionalFormatting sqref="W11:W12 W387:X1048576 W13:X240">
    <cfRule type="cellIs" dxfId="12" priority="457" operator="equal">
      <formula>"Y"</formula>
    </cfRule>
  </conditionalFormatting>
  <conditionalFormatting sqref="X387:X1048576 X13:X240">
    <cfRule type="cellIs" dxfId="11" priority="440" operator="greaterThan">
      <formula>1</formula>
    </cfRule>
  </conditionalFormatting>
  <conditionalFormatting sqref="X387:X1048576 X12:X240">
    <cfRule type="cellIs" dxfId="10" priority="437" operator="equal">
      <formula>0</formula>
    </cfRule>
  </conditionalFormatting>
  <conditionalFormatting sqref="A13:S240">
    <cfRule type="expression" dxfId="9" priority="431" stopIfTrue="1">
      <formula>$P13&gt;0</formula>
    </cfRule>
    <cfRule type="expression" dxfId="8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AK13:AK240</xm:sqref>
        </x14:dataValidation>
        <x14:dataValidation type="list" allowBlank="1" showInputMessage="1" showErrorMessage="1">
          <x14:formula1>
            <xm:f>'Redmine List Values'!$C$2:$C$15</xm:f>
          </x14:formula1>
          <xm:sqref>AL13:AL240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15" zoomScaleNormal="100" workbookViewId="0">
      <selection activeCell="P37" sqref="P37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COUNTIF($O$7:$O$242,"=Y")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COUNTA($O$7:$O$242)-O2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5" t="str">
        <f>"Eagle P3 Braking Events - "&amp;TEXT(Variables!$A$2,"YYYY-mm-dd")</f>
        <v>Eagle P3 Braking Events - 2017-10-17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43025.237349537034</v>
      </c>
      <c r="B7" s="30" t="s">
        <v>526</v>
      </c>
      <c r="C7" s="30" t="s">
        <v>608</v>
      </c>
      <c r="D7" s="30" t="s">
        <v>49</v>
      </c>
      <c r="E7" s="30" t="s">
        <v>185</v>
      </c>
      <c r="F7" s="42">
        <v>0</v>
      </c>
      <c r="G7" s="42">
        <v>144</v>
      </c>
      <c r="H7" s="42">
        <v>31001</v>
      </c>
      <c r="I7" s="42">
        <v>30883</v>
      </c>
      <c r="J7" s="30" t="s">
        <v>186</v>
      </c>
      <c r="K7" s="42">
        <v>30970</v>
      </c>
      <c r="L7" s="131" t="s">
        <v>51</v>
      </c>
      <c r="M7" s="132">
        <f>CONVERT((I7-K7)/10000,"mi","ft")*IF(L7="Increasing Mileposts (1)",-1,1)</f>
        <v>-45.936</v>
      </c>
      <c r="N7" s="133" t="str">
        <f>VLOOKUP(C7,'Trips&amp;Operators'!$C$1:$G$99911,5,FALSE)</f>
        <v>BEAM ROSS</v>
      </c>
      <c r="O7" s="176" t="s">
        <v>178</v>
      </c>
      <c r="P7" s="134" t="s">
        <v>356</v>
      </c>
      <c r="Q7" s="30"/>
      <c r="R7" s="81" t="str">
        <f>VLOOKUP(C7,'Train Runs'!$A$13:$AE$10040,31,0)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S7" s="84" t="str">
        <f>VLOOKUP(C7,'Train Runs'!$A$13:$AE$10040,22,0)</f>
        <v>https://d0f6bd738d7f1b3e5a7ca70fe4ff75f0.us-east-1.aws.found.io/app/kibana#/discover/Steve-Slow-Train-Analysis-(2080s-and-2083s)?_g=(refreshInterval:(display:Off,pause:!f,section:0,value:0),time:(from:'2017-10-17T03:52:18-0600',mode:absolute,to:'2017-10-17T06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/stypes="*4049*201710171*" /stext=" 11:.+((SYSTEM_STATE.+slice.+state.+changed )|(ment ac)|(multiple cpu faults)|(system.+state.+changed )|(\[timeout)|(PRM\|1\|D)|(kpr)|(kdp)|(train st.+moving)|(\|lc)|(penalty))"</v>
      </c>
      <c r="U7" s="9" t="str">
        <f>MID(B7,13,4)</f>
        <v>4049</v>
      </c>
      <c r="V7" s="31">
        <f>A7-utc_offset/24</f>
        <v>43025.487349537034</v>
      </c>
      <c r="W7" s="45" t="str">
        <f>DetSubdiv(C7)</f>
        <v>EC</v>
      </c>
      <c r="X7" s="22">
        <f>VALUE(LEFT(C7,LEN(C7)-3))</f>
        <v>106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Arrival","project_id":79,"tracker_id":40,"status_id":1,"priority_id":2,"assigned_to_id":338,"start_date":"2017-10-17","description":"","custom_fields":[{"id":1,"name":"Subdivision","value":"EC"},{"id":4,"name":"Milepost","value":"3.097"},{"id":17,"name":"Train ID","value":"106-17"},{"id":16,"name":"Locomotive ID","value":"4049"},{"id":130,"name":"Impact","value":""},{"id":150,"name":"Time of Event (Mountain Time)","value":"05:41:47"},{"id":151,"name":"Denver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/c/Users/stu/AppData/Local/Temp/OnboardLogs/RTDC4049 --include="*4049*201710171*"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"%USERPROFILE%\AppData\Local\Temp\OnboardLogs"\RTDC4049\*4049*201710171* &gt;&gt; 2017-10-17-SliceDisagreementCheck.txt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4049 --day 2017-10-17</v>
      </c>
    </row>
    <row r="8" spans="1:32" s="1" customFormat="1" x14ac:dyDescent="0.3">
      <c r="A8" s="31">
        <v>43025.559953703705</v>
      </c>
      <c r="B8" s="30" t="s">
        <v>625</v>
      </c>
      <c r="C8" s="30" t="s">
        <v>626</v>
      </c>
      <c r="D8" s="30" t="s">
        <v>95</v>
      </c>
      <c r="E8" s="30" t="s">
        <v>185</v>
      </c>
      <c r="F8" s="42">
        <v>0</v>
      </c>
      <c r="G8" s="42">
        <v>198</v>
      </c>
      <c r="H8" s="42">
        <v>33228</v>
      </c>
      <c r="I8" s="42">
        <v>33124</v>
      </c>
      <c r="J8" s="30" t="s">
        <v>186</v>
      </c>
      <c r="K8" s="42">
        <v>33257</v>
      </c>
      <c r="L8" s="131" t="s">
        <v>51</v>
      </c>
      <c r="M8" s="132">
        <f>CONVERT((I8-K8)/10000,"mi","ft")*IF(L8="Increasing Mileposts (1)",-1,1)</f>
        <v>-70.224000000000004</v>
      </c>
      <c r="N8" s="133" t="str">
        <f>VLOOKUP(C8,'Trips&amp;Operators'!$C$1:$G$99911,5,FALSE)</f>
        <v>ROBINSON KADDIBA</v>
      </c>
      <c r="O8" s="176" t="s">
        <v>178</v>
      </c>
      <c r="P8" s="134" t="s">
        <v>356</v>
      </c>
      <c r="Q8" s="30"/>
      <c r="R8" s="81" t="str">
        <f>VLOOKUP(C8,'Train Runs'!$A$13:$AE$10040,31,0)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S8" s="84" t="str">
        <f>VLOOKUP(C8,'Train Runs'!$A$13:$AE$10040,22,0)</f>
        <v>https://d0f6bd738d7f1b3e5a7ca70fe4ff75f0.us-east-1.aws.found.io/app/kibana#/discover/Steve-Slow-Train-Analysis-(2080s-and-2083s)?_g=(refreshInterval:(display:Off,pause:!f,section:0,value:0),time:(from:'2017-10-17T11:52:31-0600',mode:absolute,to:'2017-10-17T14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/stypes="*4015*201710171*" /stext=" 19:.+((SYSTEM_STATE.+slice.+state.+changed )|(ment ac)|(multiple cpu faults)|(system.+state.+changed )|(\[timeout)|(PRM\|1\|D)|(kpr)|(kdp)|(train st.+moving)|(\|lc)|(penalty))"</v>
      </c>
      <c r="U8" s="9" t="str">
        <f>MID(B8,13,4)</f>
        <v>4015</v>
      </c>
      <c r="V8" s="31">
        <f>A8-utc_offset/24</f>
        <v>43025.809953703705</v>
      </c>
      <c r="W8" s="45" t="str">
        <f>DetSubdiv(C8)</f>
        <v>EC</v>
      </c>
      <c r="X8" s="22">
        <f>VALUE(LEFT(C8,LEN(C8)-3))</f>
        <v>168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Arrival","project_id":79,"tracker_id":40,"status_id":1,"priority_id":2,"assigned_to_id":338,"start_date":"2017-10-17","description":"","custom_fields":[{"id":1,"name":"Subdivision","value":"EC"},{"id":4,"name":"Milepost","value":"3.3257"},{"id":17,"name":"Train ID","value":"168-17"},{"id":16,"name":"Locomotive ID","value":"4015"},{"id":130,"name":"Impact","value":""},{"id":150,"name":"Time of Event (Mountain Time)","value":"13:26:20"},{"id":151,"name":"Denver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/c/Users/stu/AppData/Local/Temp/OnboardLogs/RTDC4015 --include="*4015*201710171*"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"%USERPROFILE%\AppData\Local\Temp\OnboardLogs"\RTDC4015\*4015*201710171* &gt;&gt; 2017-10-17-SliceDisagreementCheck.txt</v>
      </c>
      <c r="AE8" s="145" t="str">
        <f t="shared" ref="AE8:AE38" si="1">"start /low /b "&amp;dls3logs&amp;" --loco "&amp;U8&amp;" --day "&amp;TEXT(V8,"YYYY-MM-DD")</f>
        <v>start /low /b %USERPROFILE%\Documents\GitHub\eaglep3\Utilities\DownloadLogsFromS3.py --loco 4015 --day 2017-10-17</v>
      </c>
    </row>
    <row r="9" spans="1:32" s="1" customFormat="1" x14ac:dyDescent="0.3">
      <c r="A9" s="31">
        <v>43026.017754629633</v>
      </c>
      <c r="B9" s="30" t="s">
        <v>625</v>
      </c>
      <c r="C9" s="30" t="s">
        <v>635</v>
      </c>
      <c r="D9" s="30" t="s">
        <v>49</v>
      </c>
      <c r="E9" s="30" t="s">
        <v>185</v>
      </c>
      <c r="F9" s="42">
        <v>250</v>
      </c>
      <c r="G9" s="42">
        <v>345</v>
      </c>
      <c r="H9" s="42">
        <v>35811</v>
      </c>
      <c r="I9" s="42">
        <v>35061</v>
      </c>
      <c r="J9" s="30" t="s">
        <v>186</v>
      </c>
      <c r="K9" s="42">
        <v>33257</v>
      </c>
      <c r="L9" s="131" t="s">
        <v>51</v>
      </c>
      <c r="M9" s="132">
        <f>CONVERT((I9-K9)/10000,"mi","ft")*IF(L9="Increasing Mileposts (1)",-1,1)</f>
        <v>952.51199999999994</v>
      </c>
      <c r="N9" s="133" t="str">
        <f>VLOOKUP(C9,'Trips&amp;Operators'!$C$1:$G$99911,5,FALSE)</f>
        <v>DUNCAN SHEILA</v>
      </c>
      <c r="O9" s="176" t="s">
        <v>178</v>
      </c>
      <c r="P9" s="134" t="s">
        <v>356</v>
      </c>
      <c r="Q9" s="30"/>
      <c r="R9" s="81" t="str">
        <f>VLOOKUP(C9,'Train Runs'!$A$13:$AE$10040,31,0)</f>
        <v>aws s3 cp s3://rtdc.mdm.uploadarchive.raw/RTDC4015/ "%USERPROFILE%\AppData\Local\Temp\OnboardLogs"\RTDC4015\2017-10-17 --exclude "*" --recursive --include "*20171017*" &amp; "%USERPROFILE%\Documents\GitHub\mrs-test-scripts\Headless Mode &amp; Sideloading\WalkAndUnGZ.bat" "%USERPROFILE%\AppData\Local\Temp\OnboardLogs"\RTDC4015\2017-10-17 &amp; aws s3 cp s3://rtdc.mdm.uploadarchive.raw/RTDC4015/ "%USERPROFILE%\AppData\Local\Temp\OnboardLogs"\RTDC4015\2017-10-18 --exclude "*" --recursive --include "*20171018*" &amp; "%USERPROFILE%\Documents\GitHub\mrs-test-scripts\Headless Mode &amp; Sideloading\WalkAndUnGZ.bat" "%USERPROFILE%\AppData\Local\Temp\OnboardLogs"\RTDC4015\2017-10-18</v>
      </c>
      <c r="S9" s="84" t="str">
        <f>VLOOKUP(C9,'Train Runs'!$A$13:$AE$10040,22,0)</f>
        <v>https://d0f6bd738d7f1b3e5a7ca70fe4ff75f0.us-east-1.aws.found.io/app/kibana#/discover/Steve-Slow-Train-Analysis-(2080s-and-2083s)?_g=(refreshInterval:(display:Off,pause:!f,section:0,value:0),time:(from:'2017-10-17T22:38:55-0600',mode:absolute,to:'2017-10-18T01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/stypes="*4015*201710180*" /stext=" 06:.+((SYSTEM_STATE.+slice.+state.+changed )|(ment ac)|(multiple cpu faults)|(system.+state.+changed )|(\[timeout)|(PRM\|1\|D)|(kpr)|(kdp)|(train st.+moving)|(\|lc)|(penalty))"</v>
      </c>
      <c r="U9" s="9" t="str">
        <f>MID(B9,13,4)</f>
        <v>4015</v>
      </c>
      <c r="V9" s="31">
        <f>A9-utc_offset/24</f>
        <v>43026.267754629633</v>
      </c>
      <c r="W9" s="45" t="str">
        <f>DetSubdiv(C9)</f>
        <v>EC</v>
      </c>
      <c r="X9" s="22">
        <f>VALUE(LEFT(C9,LEN(C9)-3))</f>
        <v>238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Arrival","project_id":79,"tracker_id":40,"status_id":1,"priority_id":2,"assigned_to_id":338,"start_date":"2017-10-18","description":"","custom_fields":[{"id":1,"name":"Subdivision","value":"EC"},{"id":4,"name":"Milepost","value":"3.3257"},{"id":17,"name":"Train ID","value":"238-17"},{"id":16,"name":"Locomotive ID","value":"4015"},{"id":130,"name":"Impact","value":""},{"id":150,"name":"Time of Event (Mountain Time)","value":"00:25:34"},{"id":151,"name":"Denver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/c/Users/stu/AppData/Local/Temp/OnboardLogs/RTDC4015 --include="*4015*201710180*"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"%USERPROFILE%\AppData\Local\Temp\OnboardLogs"\RTDC4015\*4015*201710180* &gt;&gt; 2017-10-17-SliceDisagreementCheck.txt</v>
      </c>
      <c r="AE9" s="145" t="str">
        <f t="shared" si="1"/>
        <v>start /low /b %USERPROFILE%\Documents\GitHub\eaglep3\Utilities\DownloadLogsFromS3.py --loco 4015 --day 2017-10-18</v>
      </c>
    </row>
    <row r="10" spans="1:32" s="1" customFormat="1" x14ac:dyDescent="0.3">
      <c r="A10" s="31">
        <v>43025.328043981484</v>
      </c>
      <c r="B10" s="30" t="s">
        <v>423</v>
      </c>
      <c r="C10" s="30" t="s">
        <v>612</v>
      </c>
      <c r="D10" s="30" t="s">
        <v>49</v>
      </c>
      <c r="E10" s="30" t="s">
        <v>185</v>
      </c>
      <c r="F10" s="42">
        <v>430</v>
      </c>
      <c r="G10" s="42">
        <v>492</v>
      </c>
      <c r="H10" s="42">
        <v>54407</v>
      </c>
      <c r="I10" s="42">
        <v>52618</v>
      </c>
      <c r="J10" s="30" t="s">
        <v>186</v>
      </c>
      <c r="K10" s="42">
        <v>53277</v>
      </c>
      <c r="L10" s="131" t="s">
        <v>51</v>
      </c>
      <c r="M10" s="132">
        <f>CONVERT((I10-K10)/10000,"mi","ft")*IF(L10="Increasing Mileposts (1)",-1,1)</f>
        <v>-347.952</v>
      </c>
      <c r="N10" s="133" t="str">
        <f>VLOOKUP(C10,'Trips&amp;Operators'!$C$1:$G$99911,5,FALSE)</f>
        <v>LAMAR NEKESHA</v>
      </c>
      <c r="O10" s="176" t="s">
        <v>178</v>
      </c>
      <c r="P10" s="134" t="s">
        <v>356</v>
      </c>
      <c r="Q10" s="30"/>
      <c r="R10" s="81" t="str">
        <f>VLOOKUP(C10,'Train Runs'!$A$13:$AE$10040,31,0)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S10" s="84" t="str">
        <f>VLOOKUP(C10,'Train Runs'!$A$13:$AE$10040,22,0)</f>
        <v>https://d0f6bd738d7f1b3e5a7ca70fe4ff75f0.us-east-1.aws.found.io/app/kibana#/discover/Steve-Slow-Train-Analysis-(2080s-and-2083s)?_g=(refreshInterval:(display:Off,pause:!f,section:0,value:0),time:(from:'2017-10-17T06:24:15-0600',mode:absolute,to:'2017-10-17T09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/stypes="*4035*201710171*" /stext=" 13:.+((SYSTEM_STATE.+slice.+state.+changed )|(ment ac)|(multiple cpu faults)|(system.+state.+changed )|(\[timeout)|(PRM\|1\|D)|(kpr)|(kdp)|(train st.+moving)|(\|lc)|(penalty))"</v>
      </c>
      <c r="U10" s="9" t="str">
        <f>MID(B10,13,4)</f>
        <v>4035</v>
      </c>
      <c r="V10" s="31">
        <f>A10-utc_offset/24</f>
        <v>43025.578043981484</v>
      </c>
      <c r="W10" s="45" t="str">
        <f>DetSubdiv(C10)</f>
        <v>EC</v>
      </c>
      <c r="X10" s="22">
        <f>VALUE(LEFT(C10,LEN(C10)-3))</f>
        <v>124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Arrival","project_id":79,"tracker_id":40,"status_id":1,"priority_id":2,"assigned_to_id":338,"start_date":"2017-10-17","description":"","custom_fields":[{"id":1,"name":"Subdivision","value":"EC"},{"id":4,"name":"Milepost","value":"5.3277"},{"id":17,"name":"Train ID","value":"124-17"},{"id":16,"name":"Locomotive ID","value":"4035"},{"id":130,"name":"Impact","value":""},{"id":150,"name":"Time of Event (Mountain Time)","value":"07:52:23"},{"id":151,"name":"Denver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/c/Users/stu/AppData/Local/Temp/OnboardLogs/RTDC4035 --include="*4035*201710171*"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"%USERPROFILE%\AppData\Local\Temp\OnboardLogs"\RTDC4035\*4035*201710171* &gt;&gt; 2017-10-17-SliceDisagreementCheck.txt</v>
      </c>
      <c r="AE10" s="145" t="str">
        <f t="shared" si="1"/>
        <v>start /low /b %USERPROFILE%\Documents\GitHub\eaglep3\Utilities\DownloadLogsFromS3.py --loco 4035 --day 2017-10-17</v>
      </c>
    </row>
    <row r="11" spans="1:32" s="1" customFormat="1" x14ac:dyDescent="0.3">
      <c r="A11" s="31">
        <v>43025.547060185185</v>
      </c>
      <c r="B11" s="30" t="s">
        <v>423</v>
      </c>
      <c r="C11" s="30" t="s">
        <v>624</v>
      </c>
      <c r="D11" s="30" t="s">
        <v>49</v>
      </c>
      <c r="E11" s="30" t="s">
        <v>185</v>
      </c>
      <c r="F11" s="42">
        <v>0</v>
      </c>
      <c r="G11" s="42">
        <v>297</v>
      </c>
      <c r="H11" s="42">
        <v>58532</v>
      </c>
      <c r="I11" s="42">
        <v>57867</v>
      </c>
      <c r="J11" s="30" t="s">
        <v>186</v>
      </c>
      <c r="K11" s="42">
        <v>58301</v>
      </c>
      <c r="L11" s="131" t="s">
        <v>51</v>
      </c>
      <c r="M11" s="132">
        <f>CONVERT((I11-K11)/10000,"mi","ft")*IF(L11="Increasing Mileposts (1)",-1,1)</f>
        <v>-229.15199999999999</v>
      </c>
      <c r="N11" s="133" t="str">
        <f>VLOOKUP(C11,'Trips&amp;Operators'!$C$1:$G$99911,5,FALSE)</f>
        <v>LEVIN SCOTT</v>
      </c>
      <c r="O11" s="176" t="s">
        <v>178</v>
      </c>
      <c r="P11" s="134" t="s">
        <v>356</v>
      </c>
      <c r="Q11" s="30"/>
      <c r="R11" s="81" t="str">
        <f>VLOOKUP(C11,'Train Runs'!$A$13:$AE$10040,31,0)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S11" s="84" t="str">
        <f>VLOOKUP(C11,'Train Runs'!$A$13:$AE$10040,22,0)</f>
        <v>https://d0f6bd738d7f1b3e5a7ca70fe4ff75f0.us-east-1.aws.found.io/app/kibana#/discover/Steve-Slow-Train-Analysis-(2080s-and-2083s)?_g=(refreshInterval:(display:Off,pause:!f,section:0,value:0),time:(from:'2017-10-17T11:31:53-0600',mode:absolute,to:'2017-10-17T14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/stypes="*4035*201710171*" /stext=" 19:.+((SYSTEM_STATE.+slice.+state.+changed )|(ment ac)|(multiple cpu faults)|(system.+state.+changed )|(\[timeout)|(PRM\|1\|D)|(kpr)|(kdp)|(train st.+moving)|(\|lc)|(penalty))"</v>
      </c>
      <c r="U11" s="9" t="str">
        <f>MID(B11,13,4)</f>
        <v>4035</v>
      </c>
      <c r="V11" s="31">
        <f>A11-utc_offset/24</f>
        <v>43025.797060185185</v>
      </c>
      <c r="W11" s="45" t="str">
        <f>DetSubdiv(C11)</f>
        <v>EC</v>
      </c>
      <c r="X11" s="22">
        <f>VALUE(LEFT(C11,LEN(C11)-3))</f>
        <v>166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Arrival","project_id":79,"tracker_id":40,"status_id":1,"priority_id":2,"assigned_to_id":338,"start_date":"2017-10-17","description":"","custom_fields":[{"id":1,"name":"Subdivision","value":"EC"},{"id":4,"name":"Milepost","value":"5.8301"},{"id":17,"name":"Train ID","value":"166-17"},{"id":16,"name":"Locomotive ID","value":"4035"},{"id":130,"name":"Impact","value":""},{"id":150,"name":"Time of Event (Mountain Time)","value":"13:07:46"},{"id":151,"name":"Denver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/c/Users/stu/AppData/Local/Temp/OnboardLogs/RTDC4035 --include="*4035*201710171*"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"%USERPROFILE%\AppData\Local\Temp\OnboardLogs"\RTDC4035\*4035*201710171* &gt;&gt; 2017-10-17-SliceDisagreementCheck.txt</v>
      </c>
      <c r="AE11" s="145" t="str">
        <f t="shared" si="1"/>
        <v>start /low /b %USERPROFILE%\Documents\GitHub\eaglep3\Utilities\DownloadLogsFromS3.py --loco 4035 --day 2017-10-17</v>
      </c>
    </row>
    <row r="12" spans="1:32" x14ac:dyDescent="0.3">
      <c r="A12" s="31">
        <v>43025.379050925927</v>
      </c>
      <c r="B12" s="30" t="s">
        <v>526</v>
      </c>
      <c r="C12" s="30" t="s">
        <v>614</v>
      </c>
      <c r="D12" s="30" t="s">
        <v>95</v>
      </c>
      <c r="E12" s="30" t="s">
        <v>185</v>
      </c>
      <c r="F12" s="42">
        <v>240</v>
      </c>
      <c r="G12" s="42">
        <v>302</v>
      </c>
      <c r="H12" s="42">
        <v>63152</v>
      </c>
      <c r="I12" s="42">
        <v>62440</v>
      </c>
      <c r="J12" s="30" t="s">
        <v>186</v>
      </c>
      <c r="K12" s="42">
        <v>63309</v>
      </c>
      <c r="L12" s="131" t="s">
        <v>51</v>
      </c>
      <c r="M12" s="132">
        <f>CONVERT((I12-K12)/10000,"mi","ft")*IF(L12="Increasing Mileposts (1)",-1,1)</f>
        <v>-458.83199999999999</v>
      </c>
      <c r="N12" s="133" t="str">
        <f>VLOOKUP(C12,'Trips&amp;Operators'!$C$1:$G$99911,5,FALSE)</f>
        <v>BEAM ROSS</v>
      </c>
      <c r="O12" s="176" t="s">
        <v>178</v>
      </c>
      <c r="P12" s="134" t="s">
        <v>356</v>
      </c>
      <c r="Q12" s="30"/>
      <c r="R12" s="81" t="str">
        <f>VLOOKUP(C12,'Train Runs'!$A$13:$AE$10040,31,0)</f>
        <v>aws s3 cp s3://rtdc.mdm.uploadarchive.raw/RTDC4049/ "%USERPROFILE%\AppData\Local\Temp\OnboardLogs"\RTDC4049\2017-10-17 --exclude "*" --recursive --include "*20171017*" &amp; "%USERPROFILE%\Documents\GitHub\mrs-test-scripts\Headless Mode &amp; Sideloading\WalkAndUnGZ.bat" "%USERPROFILE%\AppData\Local\Temp\OnboardLogs"\RTDC4049\2017-10-17 &amp; aws s3 cp s3://rtdc.mdm.uploadarchive.raw/RTDC4049/ "%USERPROFILE%\AppData\Local\Temp\OnboardLogs"\RTDC4049\2017-10-18 --exclude "*" --recursive --include "*20171018*" &amp; "%USERPROFILE%\Documents\GitHub\mrs-test-scripts\Headless Mode &amp; Sideloading\WalkAndUnGZ.bat" "%USERPROFILE%\AppData\Local\Temp\OnboardLogs"\RTDC4049\2017-10-18</v>
      </c>
      <c r="S12" s="84" t="str">
        <f>VLOOKUP(C12,'Train Runs'!$A$13:$AE$10040,22,0)</f>
        <v>https://d0f6bd738d7f1b3e5a7ca70fe4ff75f0.us-east-1.aws.found.io/app/kibana#/discover/Steve-Slow-Train-Analysis-(2080s-and-2083s)?_g=(refreshInterval:(display:Off,pause:!f,section:0,value:0),time:(from:'2017-10-17T07:21:55-0600',mode:absolute,to:'2017-10-17T10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/stypes="*4049*201710171*" /stext=" 15:.+((SYSTEM_STATE.+slice.+state.+changed )|(ment ac)|(multiple cpu faults)|(system.+state.+changed )|(\[timeout)|(PRM\|1\|D)|(kpr)|(kdp)|(train st.+moving)|(\|lc)|(penalty))"</v>
      </c>
      <c r="U12" s="9" t="str">
        <f>MID(B12,13,4)</f>
        <v>4049</v>
      </c>
      <c r="V12" s="31">
        <f>A12-utc_offset/24</f>
        <v>43025.629050925927</v>
      </c>
      <c r="W12" s="45" t="str">
        <f>DetSubdiv(C12)</f>
        <v>EC</v>
      </c>
      <c r="X12" s="22">
        <f>VALUE(LEFT(C12,LEN(C12)-3))</f>
        <v>134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Arrival","project_id":79,"tracker_id":40,"status_id":1,"priority_id":2,"assigned_to_id":338,"start_date":"2017-10-17","description":"","custom_fields":[{"id":1,"name":"Subdivision","value":"EC"},{"id":4,"name":"Milepost","value":"6.3309"},{"id":17,"name":"Train ID","value":"134-17"},{"id":16,"name":"Locomotive ID","value":"4049"},{"id":130,"name":"Impact","value":""},{"id":150,"name":"Time of Event (Mountain Time)","value":"09:05:50"},{"id":151,"name":"Denver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/c/Users/stu/AppData/Local/Temp/OnboardLogs/RTDC4049 --include="*4049*201710171*"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"%USERPROFILE%\AppData\Local\Temp\OnboardLogs"\RTDC4049\*4049*201710171* &gt;&gt; 2017-10-17-SliceDisagreementCheck.txt</v>
      </c>
      <c r="AE12" s="145" t="str">
        <f t="shared" si="1"/>
        <v>start /low /b %USERPROFILE%\Documents\GitHub\eaglep3\Utilities\DownloadLogsFromS3.py --loco 4049 --day 2017-10-17</v>
      </c>
      <c r="AF12" s="1"/>
    </row>
    <row r="13" spans="1:32" x14ac:dyDescent="0.3">
      <c r="A13" s="31">
        <v>43025.780636574076</v>
      </c>
      <c r="B13" s="30" t="s">
        <v>399</v>
      </c>
      <c r="C13" s="30" t="s">
        <v>632</v>
      </c>
      <c r="D13" s="30" t="s">
        <v>49</v>
      </c>
      <c r="E13" s="30" t="s">
        <v>185</v>
      </c>
      <c r="F13" s="42">
        <v>350</v>
      </c>
      <c r="G13" s="42">
        <v>400</v>
      </c>
      <c r="H13" s="42">
        <v>110192</v>
      </c>
      <c r="I13" s="42">
        <v>108980</v>
      </c>
      <c r="J13" s="30" t="s">
        <v>186</v>
      </c>
      <c r="K13" s="42">
        <v>109135</v>
      </c>
      <c r="L13" s="131" t="s">
        <v>51</v>
      </c>
      <c r="M13" s="132">
        <f>CONVERT((I13-K13)/10000,"mi","ft")*IF(L13="Increasing Mileposts (1)",-1,1)</f>
        <v>-81.84</v>
      </c>
      <c r="N13" s="133" t="str">
        <f>VLOOKUP(C13,'Trips&amp;Operators'!$C$1:$G$99911,5,FALSE)</f>
        <v>KILLION DAVID</v>
      </c>
      <c r="O13" s="176" t="s">
        <v>178</v>
      </c>
      <c r="P13" s="134" t="s">
        <v>356</v>
      </c>
      <c r="Q13" s="30"/>
      <c r="R13" s="81" t="str">
        <f>VLOOKUP(C13,'Train Runs'!$A$13:$AE$10040,31,0)</f>
        <v>aws s3 cp s3://rtdc.mdm.uploadarchive.raw/RTDC4065/ "%USERPROFILE%\AppData\Local\Temp\OnboardLogs"\RTDC4065\2017-10-17 --exclude "*" --recursive --include "*20171017*" &amp; "%USERPROFILE%\Documents\GitHub\mrs-test-scripts\Headless Mode &amp; Sideloading\WalkAndUnGZ.bat" "%USERPROFILE%\AppData\Local\Temp\OnboardLogs"\RTDC4065\2017-10-17 &amp; aws s3 cp s3://rtdc.mdm.uploadarchive.raw/RTDC4065/ "%USERPROFILE%\AppData\Local\Temp\OnboardLogs"\RTDC4065\2017-10-18 --exclude "*" --recursive --include "*20171018*" &amp; "%USERPROFILE%\Documents\GitHub\mrs-test-scripts\Headless Mode &amp; Sideloading\WalkAndUnGZ.bat" "%USERPROFILE%\AppData\Local\Temp\OnboardLogs"\RTDC4065\2017-10-18</v>
      </c>
      <c r="S13" s="84" t="str">
        <f>VLOOKUP(C13,'Train Runs'!$A$13:$AE$10040,22,0)</f>
        <v>https://d0f6bd738d7f1b3e5a7ca70fe4ff75f0.us-east-1.aws.found.io/app/kibana#/discover/Steve-Slow-Train-Analysis-(2080s-and-2083s)?_g=(refreshInterval:(display:Off,pause:!f,section:0,value:0),time:(from:'2017-10-17T17:14:26-0600',mode:absolute,to:'2017-10-17T20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/stypes="*4065*201710180*" /stext=" 00:.+((SYSTEM_STATE.+slice.+state.+changed )|(ment ac)|(multiple cpu faults)|(system.+state.+changed )|(\[timeout)|(PRM\|1\|D)|(kpr)|(kdp)|(train st.+moving)|(\|lc)|(penalty))"</v>
      </c>
      <c r="U13" s="9" t="str">
        <f>MID(B13,13,4)</f>
        <v>4065</v>
      </c>
      <c r="V13" s="31">
        <f>A13-utc_offset/24</f>
        <v>43026.030636574076</v>
      </c>
      <c r="W13" s="45" t="str">
        <f>DetSubdiv(C13)</f>
        <v>EC</v>
      </c>
      <c r="X13" s="22">
        <f>VALUE(LEFT(C13,LEN(C13)-3))</f>
        <v>212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Arrival","project_id":79,"tracker_id":40,"status_id":1,"priority_id":2,"assigned_to_id":338,"start_date":"2017-10-17","description":"","custom_fields":[{"id":1,"name":"Subdivision","value":"EC"},{"id":4,"name":"Milepost","value":"10.9135"},{"id":17,"name":"Train ID","value":"212-17"},{"id":16,"name":"Locomotive ID","value":"4065"},{"id":130,"name":"Impact","value":""},{"id":150,"name":"Time of Event (Mountain Time)","value":"18:44:07"},{"id":151,"name":"Denver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/c/Users/stu/AppData/Local/Temp/OnboardLogs/RTDC4065 --include="*4065*201710180*"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"%USERPROFILE%\AppData\Local\Temp\OnboardLogs"\RTDC4065\*4065*201710180* &gt;&gt; 2017-10-17-SliceDisagreementCheck.txt</v>
      </c>
      <c r="AE13" s="145" t="str">
        <f t="shared" si="1"/>
        <v>start /low /b %USERPROFILE%\Documents\GitHub\eaglep3\Utilities\DownloadLogsFromS3.py --loco 4065 --day 2017-10-18</v>
      </c>
      <c r="AF13" s="1"/>
    </row>
    <row r="14" spans="1:32" x14ac:dyDescent="0.3">
      <c r="A14" s="31">
        <v>43025.467789351853</v>
      </c>
      <c r="B14" s="30" t="s">
        <v>423</v>
      </c>
      <c r="C14" s="30" t="s">
        <v>620</v>
      </c>
      <c r="D14" s="30" t="s">
        <v>49</v>
      </c>
      <c r="E14" s="30" t="s">
        <v>185</v>
      </c>
      <c r="F14" s="42">
        <v>380</v>
      </c>
      <c r="G14" s="42">
        <v>431</v>
      </c>
      <c r="H14" s="42">
        <v>110191</v>
      </c>
      <c r="I14" s="42">
        <v>109002</v>
      </c>
      <c r="J14" s="30" t="s">
        <v>186</v>
      </c>
      <c r="K14" s="42">
        <v>109135</v>
      </c>
      <c r="L14" s="131" t="s">
        <v>51</v>
      </c>
      <c r="M14" s="132">
        <f>CONVERT((I14-K14)/10000,"mi","ft")*IF(L14="Increasing Mileposts (1)",-1,1)</f>
        <v>-70.224000000000004</v>
      </c>
      <c r="N14" s="133" t="str">
        <f>VLOOKUP(C14,'Trips&amp;Operators'!$C$1:$G$99911,5,FALSE)</f>
        <v>LAMAR NEKESHA</v>
      </c>
      <c r="O14" s="176" t="s">
        <v>178</v>
      </c>
      <c r="P14" s="134" t="s">
        <v>356</v>
      </c>
      <c r="Q14" s="30"/>
      <c r="R14" s="81" t="str">
        <f>VLOOKUP(C14,'Train Runs'!$A$13:$AE$10040,31,0)</f>
        <v>aws s3 cp s3://rtdc.mdm.uploadarchive.raw/RTDC4035/ "%USERPROFILE%\AppData\Local\Temp\OnboardLogs"\RTDC4035\2017-10-17 --exclude "*" --recursive --include "*20171017*" &amp; "%USERPROFILE%\Documents\GitHub\mrs-test-scripts\Headless Mode &amp; Sideloading\WalkAndUnGZ.bat" "%USERPROFILE%\AppData\Local\Temp\OnboardLogs"\RTDC4035\2017-10-17 &amp; aws s3 cp s3://rtdc.mdm.uploadarchive.raw/RTDC4035/ "%USERPROFILE%\AppData\Local\Temp\OnboardLogs"\RTDC4035\2017-10-18 --exclude "*" --recursive --include "*20171018*" &amp; "%USERPROFILE%\Documents\GitHub\mrs-test-scripts\Headless Mode &amp; Sideloading\WalkAndUnGZ.bat" "%USERPROFILE%\AppData\Local\Temp\OnboardLogs"\RTDC4035\2017-10-18</v>
      </c>
      <c r="S14" s="84" t="str">
        <f>VLOOKUP(C14,'Train Runs'!$A$13:$AE$10040,22,0)</f>
        <v>https://d0f6bd738d7f1b3e5a7ca70fe4ff75f0.us-east-1.aws.found.io/app/kibana#/discover/Steve-Slow-Train-Analysis-(2080s-and-2083s)?_g=(refreshInterval:(display:Off,pause:!f,section:0,value:0),time:(from:'2017-10-17T09:53:34-0600',mode:absolute,to:'2017-10-17T12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/stypes="*4035*201710171*" /stext=" 17:.+((SYSTEM_STATE.+slice.+state.+changed )|(ment ac)|(multiple cpu faults)|(system.+state.+changed )|(\[timeout)|(PRM\|1\|D)|(kpr)|(kdp)|(train st.+moving)|(\|lc)|(penalty))"</v>
      </c>
      <c r="U14" s="9" t="str">
        <f>MID(B14,13,4)</f>
        <v>4035</v>
      </c>
      <c r="V14" s="31">
        <f>A14-utc_offset/24</f>
        <v>43025.717789351853</v>
      </c>
      <c r="W14" s="45" t="str">
        <f>DetSubdiv(C14)</f>
        <v>EC</v>
      </c>
      <c r="X14" s="22">
        <f>VALUE(LEFT(C14,LEN(C14)-3))</f>
        <v>152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Arrival","project_id":79,"tracker_id":40,"status_id":1,"priority_id":2,"assigned_to_id":338,"start_date":"2017-10-17","description":"","custom_fields":[{"id":1,"name":"Subdivision","value":"EC"},{"id":4,"name":"Milepost","value":"10.9135"},{"id":17,"name":"Train ID","value":"152-17"},{"id":16,"name":"Locomotive ID","value":"4035"},{"id":130,"name":"Impact","value":""},{"id":150,"name":"Time of Event (Mountain Time)","value":"11:13:37"},{"id":151,"name":"Denver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/c/Users/stu/AppData/Local/Temp/OnboardLogs/RTDC4035 --include="*4035*201710171*"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"%USERPROFILE%\AppData\Local\Temp\OnboardLogs"\RTDC4035\*4035*201710171* &gt;&gt; 2017-10-17-SliceDisagreementCheck.txt</v>
      </c>
      <c r="AE14" s="145" t="str">
        <f t="shared" si="1"/>
        <v>start /low /b %USERPROFILE%\Documents\GitHub\eaglep3\Utilities\DownloadLogsFromS3.py --loco 4035 --day 2017-10-17</v>
      </c>
      <c r="AF14" s="1"/>
    </row>
    <row r="15" spans="1:32" x14ac:dyDescent="0.3">
      <c r="A15" s="31">
        <v>43026.08394675926</v>
      </c>
      <c r="B15" s="30" t="s">
        <v>530</v>
      </c>
      <c r="C15" s="30" t="s">
        <v>636</v>
      </c>
      <c r="D15" s="30" t="s">
        <v>49</v>
      </c>
      <c r="E15" s="30" t="s">
        <v>192</v>
      </c>
      <c r="F15" s="42">
        <v>200</v>
      </c>
      <c r="G15" s="42">
        <v>255</v>
      </c>
      <c r="H15" s="42">
        <v>30875</v>
      </c>
      <c r="I15" s="42">
        <v>30341</v>
      </c>
      <c r="J15" s="30" t="s">
        <v>193</v>
      </c>
      <c r="K15" s="42">
        <v>30562</v>
      </c>
      <c r="L15" s="131" t="s">
        <v>51</v>
      </c>
      <c r="M15" s="132">
        <f>CONVERT((I15-K15)/10000,"mi","ft")*IF(L15="Increasing Mileposts (1)",-1,1)</f>
        <v>-116.688</v>
      </c>
      <c r="N15" s="133" t="str">
        <f>VLOOKUP(C15,'Trips&amp;Operators'!$C$1:$G$99911,5,FALSE)</f>
        <v>ANDERS STEVEN</v>
      </c>
      <c r="O15" s="176" t="s">
        <v>178</v>
      </c>
      <c r="P15" s="134"/>
      <c r="Q15" s="30"/>
      <c r="R15" s="81" t="str">
        <f>VLOOKUP(C15,'Train Runs'!$A$13:$AE$10040,31,0)</f>
        <v>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 &amp; aws s3 cp s3://rtdc.mdm.uploadarchive.raw/RTDC4009/ "%USERPROFILE%\AppData\Local\Temp\OnboardLogs"\RTDC4009\2017-10-19 --exclude "*" --recursive --include "*20171019*" &amp; "%USERPROFILE%\Documents\GitHub\mrs-test-scripts\Headless Mode &amp; Sideloading\WalkAndUnGZ.bat" "%USERPROFILE%\AppData\Local\Temp\OnboardLogs"\RTDC4009\2017-10-19</v>
      </c>
      <c r="S15" s="84" t="str">
        <f>VLOOKUP(C15,'Train Runs'!$A$13:$AE$10040,22,0)</f>
        <v>https://d0f6bd738d7f1b3e5a7ca70fe4ff75f0.us-east-1.aws.found.io/app/kibana#/discover/Steve-Slow-Train-Analysis-(2080s-and-2083s)?_g=(refreshInterval:(display:Off,pause:!f,section:0,value:0),time:(from:'2017-10-18T00:17:58-0600',mode:absolute,to:'2017-10-18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/stypes="*4009*201710180*" /stext=" 08:.+((SYSTEM_STATE.+slice.+state.+changed )|(ment ac)|(multiple cpu faults)|(system.+state.+changed )|(\[timeout)|(PRM\|1\|D)|(kpr)|(kdp)|(train st.+moving)|(\|lc)|(penalty))"</v>
      </c>
      <c r="U15" s="9" t="str">
        <f>MID(B15,13,4)</f>
        <v>4009</v>
      </c>
      <c r="V15" s="31">
        <f>A15-utc_offset/24</f>
        <v>43026.33394675926</v>
      </c>
      <c r="W15" s="45" t="str">
        <f>DetSubdiv(C15)</f>
        <v>EC</v>
      </c>
      <c r="X15" s="22">
        <f>VALUE(LEFT(C15,LEN(C15)-3))</f>
        <v>244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{"issue":{"subject":"","project_id":79,"tracker_id":40,"status_id":1,"priority_id":2,"assigned_to_id":338,"start_date":"2017-10-18","description":"","custom_fields":[{"id":1,"name":"Subdivision","value":"EC"},{"id":4,"name":"Milepost","value":"3.0562"},{"id":17,"name":"Train ID","value":"244-17"},{"id":16,"name":"Locomotive ID","value":"4009"},{"id":130,"name":"Impact","value":""},{"id":150,"name":"Time of Event (Mountain Time)","value":"02:00:53"},{"id":151,"name":"Denver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/c/Users/stu/AppData/Local/Temp/OnboardLogs/RTDC4009 --include="*4009*201710180*"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"%USERPROFILE%\AppData\Local\Temp\OnboardLogs"\RTDC4009\*4009*201710180* &gt;&gt; 2017-10-17-SliceDisagreementCheck.txt</v>
      </c>
      <c r="AE15" s="145" t="str">
        <f t="shared" si="1"/>
        <v>start /low /b %USERPROFILE%\Documents\GitHub\eaglep3\Utilities\DownloadLogsFromS3.py --loco 4009 --day 2017-10-18</v>
      </c>
      <c r="AF15" s="1"/>
    </row>
    <row r="16" spans="1:32" x14ac:dyDescent="0.3">
      <c r="A16" s="31">
        <v>43025.330057870371</v>
      </c>
      <c r="B16" s="30" t="s">
        <v>438</v>
      </c>
      <c r="C16" s="30" t="s">
        <v>611</v>
      </c>
      <c r="D16" s="30" t="s">
        <v>49</v>
      </c>
      <c r="E16" s="30" t="s">
        <v>192</v>
      </c>
      <c r="F16" s="42">
        <v>400</v>
      </c>
      <c r="G16" s="42">
        <v>494</v>
      </c>
      <c r="H16" s="42">
        <v>116160</v>
      </c>
      <c r="I16" s="42">
        <v>117378</v>
      </c>
      <c r="J16" s="30" t="s">
        <v>193</v>
      </c>
      <c r="K16" s="42">
        <v>116838</v>
      </c>
      <c r="L16" s="131" t="s">
        <v>50</v>
      </c>
      <c r="M16" s="132">
        <f>CONVERT((I16-K16)/10000,"mi","ft")*IF(L16="Increasing Mileposts (1)",-1,1)</f>
        <v>-285.12</v>
      </c>
      <c r="N16" s="133" t="str">
        <f>VLOOKUP(C16,'Trips&amp;Operators'!$C$1:$G$99911,5,FALSE)</f>
        <v>MACDONALD THOMAS</v>
      </c>
      <c r="O16" s="176" t="s">
        <v>178</v>
      </c>
      <c r="P16" s="134"/>
      <c r="Q16" s="30"/>
      <c r="R16" s="81" t="str">
        <f>VLOOKUP(C16,'Train Runs'!$A$13:$AE$10040,31,0)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S16" s="84" t="str">
        <f>VLOOKUP(C16,'Train Runs'!$A$13:$AE$10040,22,0)</f>
        <v>https://d0f6bd738d7f1b3e5a7ca70fe4ff75f0.us-east-1.aws.found.io/app/kibana#/discover/Steve-Slow-Train-Analysis-(2080s-and-2083s)?_g=(refreshInterval:(display:Off,pause:!f,section:0,value:0),time:(from:'2017-10-17T06:26:47-0600',mode:absolute,to:'2017-10-17T09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/stypes="*4014*201710171*" /stext=" 13:.+((SYSTEM_STATE.+slice.+state.+changed )|(ment ac)|(multiple cpu faults)|(system.+state.+changed )|(\[timeout)|(PRM\|1\|D)|(kpr)|(kdp)|(train st.+moving)|(\|lc)|(penalty))"</v>
      </c>
      <c r="U16" s="9" t="str">
        <f>MID(B16,13,4)</f>
        <v>4014</v>
      </c>
      <c r="V16" s="31">
        <f>A16-utc_offset/24</f>
        <v>43025.580057870371</v>
      </c>
      <c r="W16" s="45" t="str">
        <f>DetSubdiv(C16)</f>
        <v>EC</v>
      </c>
      <c r="X16" s="22">
        <f>VALUE(LEFT(C16,LEN(C16)-3))</f>
        <v>131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{"issue":{"subject":"","project_id":79,"tracker_id":40,"status_id":1,"priority_id":2,"assigned_to_id":338,"start_date":"2017-10-17","description":"","custom_fields":[{"id":1,"name":"Subdivision","value":"EC"},{"id":4,"name":"Milepost","value":"11.6838"},{"id":17,"name":"Train ID","value":"131-17"},{"id":16,"name":"Locomotive ID","value":"4014"},{"id":130,"name":"Impact","value":""},{"id":150,"name":"Time of Event (Mountain Time)","value":"07:55:17"},{"id":151,"name":"Denver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/c/Users/stu/AppData/Local/Temp/OnboardLogs/RTDC4014 --include="*4014*201710171*"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"%USERPROFILE%\AppData\Local\Temp\OnboardLogs"\RTDC4014\*4014*201710171* &gt;&gt; 2017-10-17-SliceDisagreementCheck.txt</v>
      </c>
      <c r="AE16" s="145" t="str">
        <f t="shared" si="1"/>
        <v>start /low /b %USERPROFILE%\Documents\GitHub\eaglep3\Utilities\DownloadLogsFromS3.py --loco 4014 --day 2017-10-17</v>
      </c>
      <c r="AF16" s="1"/>
    </row>
    <row r="17" spans="1:32" x14ac:dyDescent="0.3">
      <c r="A17" s="31">
        <v>43025.305960648147</v>
      </c>
      <c r="B17" s="30" t="s">
        <v>530</v>
      </c>
      <c r="C17" s="30" t="s">
        <v>610</v>
      </c>
      <c r="D17" s="30" t="s">
        <v>95</v>
      </c>
      <c r="E17" s="30" t="s">
        <v>192</v>
      </c>
      <c r="F17" s="42">
        <v>700</v>
      </c>
      <c r="G17" s="42">
        <v>751</v>
      </c>
      <c r="H17" s="42">
        <v>166570</v>
      </c>
      <c r="I17" s="42">
        <v>163714</v>
      </c>
      <c r="J17" s="30" t="s">
        <v>193</v>
      </c>
      <c r="K17" s="42">
        <v>183829</v>
      </c>
      <c r="L17" s="131" t="s">
        <v>51</v>
      </c>
      <c r="M17" s="132">
        <f>CONVERT((I17-K17)/10000,"mi","ft")*IF(L17="Increasing Mileposts (1)",-1,1)</f>
        <v>-10620.72</v>
      </c>
      <c r="N17" s="133" t="str">
        <f>VLOOKUP(C17,'Trips&amp;Operators'!$C$1:$G$99911,5,FALSE)</f>
        <v>LALONDE GREGORY</v>
      </c>
      <c r="O17" s="176" t="s">
        <v>178</v>
      </c>
      <c r="P17" s="134"/>
      <c r="Q17" s="30"/>
      <c r="R17" s="81" t="str">
        <f>VLOOKUP(C17,'Train Runs'!$A$13:$AE$10040,31,0)</f>
        <v>aws s3 cp s3://rtdc.mdm.uploadarchive.raw/RTDC4009/ "%USERPROFILE%\AppData\Local\Temp\OnboardLogs"\RTDC4009\2017-10-17 --exclude "*" --recursive --include "*20171017*" &amp; "%USERPROFILE%\Documents\GitHub\mrs-test-scripts\Headless Mode &amp; Sideloading\WalkAndUnGZ.bat" "%USERPROFILE%\AppData\Local\Temp\OnboardLogs"\RTDC4009\2017-10-17 &amp; aws s3 cp s3://rtdc.mdm.uploadarchive.raw/RTDC4009/ "%USERPROFILE%\AppData\Local\Temp\OnboardLogs"\RTDC4009\2017-10-18 --exclude "*" --recursive --include "*20171018*" &amp; "%USERPROFILE%\Documents\GitHub\mrs-test-scripts\Headless Mode &amp; Sideloading\WalkAndUnGZ.bat" "%USERPROFILE%\AppData\Local\Temp\OnboardLogs"\RTDC4009\2017-10-18</v>
      </c>
      <c r="S17" s="84" t="str">
        <f>VLOOKUP(C17,'Train Runs'!$A$13:$AE$10040,22,0)</f>
        <v>https://d0f6bd738d7f1b3e5a7ca70fe4ff75f0.us-east-1.aws.found.io/app/kibana#/discover/Steve-Slow-Train-Analysis-(2080s-and-2083s)?_g=(refreshInterval:(display:Off,pause:!f,section:0,value:0),time:(from:'2017-10-17T05:51:58-0600',mode:absolute,to:'2017-10-17T08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/stypes="*4009*201710171*" /stext=" 13:.+((SYSTEM_STATE.+slice.+state.+changed )|(ment ac)|(multiple cpu faults)|(system.+state.+changed )|(\[timeout)|(PRM\|1\|D)|(kpr)|(kdp)|(train st.+moving)|(\|lc)|(penalty))"</v>
      </c>
      <c r="U17" s="9" t="str">
        <f>MID(B17,13,4)</f>
        <v>4009</v>
      </c>
      <c r="V17" s="31">
        <f>A17-utc_offset/24</f>
        <v>43025.555960648147</v>
      </c>
      <c r="W17" s="45" t="str">
        <f>DetSubdiv(C17)</f>
        <v>EC</v>
      </c>
      <c r="X17" s="22">
        <f>VALUE(LEFT(C17,LEN(C17)-3))</f>
        <v>122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{"issue":{"subject":"","project_id":79,"tracker_id":40,"status_id":1,"priority_id":2,"assigned_to_id":338,"start_date":"2017-10-17","description":"","custom_fields":[{"id":1,"name":"Subdivision","value":"EC"},{"id":4,"name":"Milepost","value":"18.3829"},{"id":17,"name":"Train ID","value":"122-17"},{"id":16,"name":"Locomotive ID","value":"4009"},{"id":130,"name":"Impact","value":""},{"id":150,"name":"Time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/c/Users/stu/AppData/Local/Temp/OnboardLogs/RTDC4009 --include="*4009*201710171*"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"%USERPROFILE%\AppData\Local\Temp\OnboardLogs"\RTDC4009\*4009*201710171* &gt;&gt; 2017-10-17-SliceDisagreementCheck.txt</v>
      </c>
      <c r="AE17" s="145" t="str">
        <f t="shared" si="1"/>
        <v>start /low /b %USERPROFILE%\Documents\GitHub\eaglep3\Utilities\DownloadLogsFromS3.py --loco 4009 --day 2017-10-17</v>
      </c>
      <c r="AF17" s="1"/>
    </row>
    <row r="18" spans="1:32" x14ac:dyDescent="0.3">
      <c r="A18" s="31">
        <v>43025.577939814815</v>
      </c>
      <c r="B18" s="30" t="s">
        <v>469</v>
      </c>
      <c r="C18" s="30" t="s">
        <v>628</v>
      </c>
      <c r="D18" s="30" t="s">
        <v>95</v>
      </c>
      <c r="E18" s="30" t="s">
        <v>433</v>
      </c>
      <c r="F18" s="42">
        <v>0</v>
      </c>
      <c r="G18" s="42">
        <v>348</v>
      </c>
      <c r="H18" s="42">
        <v>57853</v>
      </c>
      <c r="I18" s="42">
        <v>57079</v>
      </c>
      <c r="J18" s="30" t="s">
        <v>434</v>
      </c>
      <c r="K18" s="42">
        <v>57897</v>
      </c>
      <c r="L18" s="131" t="s">
        <v>51</v>
      </c>
      <c r="M18" s="132">
        <f>CONVERT((I18-K18)/10000,"mi","ft")*IF(L18="Increasing Mileposts (1)",-1,1)</f>
        <v>-431.904</v>
      </c>
      <c r="N18" s="133" t="str">
        <f>VLOOKUP(C18,'Trips&amp;Operators'!$C$1:$G$99911,5,FALSE)</f>
        <v>MOSES BRADLEY</v>
      </c>
      <c r="O18" s="176" t="s">
        <v>377</v>
      </c>
      <c r="P18" s="134" t="s">
        <v>605</v>
      </c>
      <c r="Q18" s="30"/>
      <c r="R18" s="81" t="str">
        <f>VLOOKUP(C18,'Train Runs'!$A$13:$AE$10040,31,0)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S18" s="84" t="str">
        <f>VLOOKUP(C18,'Train Runs'!$A$13:$AE$10040,22,0)</f>
        <v>https://d0f6bd738d7f1b3e5a7ca70fe4ff75f0.us-east-1.aws.found.io/app/kibana#/discover/Steve-Slow-Train-Analysis-(2080s-and-2083s)?_g=(refreshInterval:(display:Off,pause:!f,section:0,value:0),time:(from:'2017-10-17T12:08:57-0600',mode:absolute,to:'2017-10-17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/stypes="*4003*201710171*" /stext=" 19:.+((SYSTEM_STATE.+slice.+state.+changed )|(ment ac)|(multiple cpu faults)|(system.+state.+changed )|(\[timeout)|(PRM\|1\|D)|(kpr)|(kdp)|(train st.+moving)|(\|lc)|(penalty))"</v>
      </c>
      <c r="U18" s="9" t="str">
        <f>MID(B18,13,4)</f>
        <v>4003</v>
      </c>
      <c r="V18" s="31">
        <f>A18-utc_offset/24</f>
        <v>43025.827939814815</v>
      </c>
      <c r="W18" s="45" t="str">
        <f>DetSubdiv(C18)</f>
        <v>EC</v>
      </c>
      <c r="X18" s="22">
        <f>VALUE(LEFT(C18,LEN(C18)-3))</f>
        <v>172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failure","project_id":79,"tracker_id":40,"status_id":1,"priority_id":2,"assigned_to_id":338,"start_date":"2017-10-17","description":"","custom_fields":[{"id":1,"name":"Subdivision","value":"EC"},{"id":4,"name":"Milepost","value":"5.7897"},{"id":17,"name":"Train ID","value":"172-17"},{"id":16,"name":"Locomotive ID","value":"4003"},{"id":130,"name":"Impact","value":""},{"id":150,"name":"Time of Event (Mountain Time)","value":"13:52:14"},{"id":151,"name":"Denver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/c/Users/stu/AppData/Local/Temp/OnboardLogs/RTDC4003 --include="*4003*201710171*"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"%USERPROFILE%\AppData\Local\Temp\OnboardLogs"\RTDC4003\*4003*201710171* &gt;&gt; 2017-10-17-SliceDisagreementCheck.txt</v>
      </c>
      <c r="AE18" s="145" t="str">
        <f t="shared" si="1"/>
        <v>start /low /b %USERPROFILE%\Documents\GitHub\eaglep3\Utilities\DownloadLogsFromS3.py --loco 4003 --day 2017-10-17</v>
      </c>
      <c r="AF18" s="1"/>
    </row>
    <row r="19" spans="1:32" x14ac:dyDescent="0.3">
      <c r="A19" s="31">
        <v>43025.323888888888</v>
      </c>
      <c r="B19" s="30" t="s">
        <v>438</v>
      </c>
      <c r="C19" s="30" t="s">
        <v>611</v>
      </c>
      <c r="D19" s="30" t="s">
        <v>49</v>
      </c>
      <c r="E19" s="30" t="s">
        <v>433</v>
      </c>
      <c r="F19" s="42">
        <v>0</v>
      </c>
      <c r="G19" s="42">
        <v>693</v>
      </c>
      <c r="H19" s="42">
        <v>72981</v>
      </c>
      <c r="I19" s="42">
        <v>76440</v>
      </c>
      <c r="J19" s="30" t="s">
        <v>434</v>
      </c>
      <c r="K19" s="42">
        <v>75566</v>
      </c>
      <c r="L19" s="131" t="s">
        <v>50</v>
      </c>
      <c r="M19" s="132">
        <f>CONVERT((I19-K19)/10000,"mi","ft")*IF(L19="Increasing Mileposts (1)",-1,1)</f>
        <v>-461.47199999999998</v>
      </c>
      <c r="N19" s="133" t="str">
        <f>VLOOKUP(C19,'Trips&amp;Operators'!$C$1:$G$99911,5,FALSE)</f>
        <v>MACDONALD THOMAS</v>
      </c>
      <c r="O19" s="176" t="s">
        <v>377</v>
      </c>
      <c r="P19" s="134" t="s">
        <v>491</v>
      </c>
      <c r="Q19" s="30"/>
      <c r="R19" s="81" t="str">
        <f>VLOOKUP(C19,'Train Runs'!$A$13:$AE$10040,31,0)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S19" s="84" t="str">
        <f>VLOOKUP(C19,'Train Runs'!$A$13:$AE$10040,22,0)</f>
        <v>https://d0f6bd738d7f1b3e5a7ca70fe4ff75f0.us-east-1.aws.found.io/app/kibana#/discover/Steve-Slow-Train-Analysis-(2080s-and-2083s)?_g=(refreshInterval:(display:Off,pause:!f,section:0,value:0),time:(from:'2017-10-17T06:26:47-0600',mode:absolute,to:'2017-10-17T09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/stypes="*4014*201710171*" /stext=" 13:.+((SYSTEM_STATE.+slice.+state.+changed )|(ment ac)|(multiple cpu faults)|(system.+state.+changed )|(\[timeout)|(PRM\|1\|D)|(kpr)|(kdp)|(train st.+moving)|(\|lc)|(penalty))"</v>
      </c>
      <c r="U19" s="9" t="str">
        <f>MID(B19,13,4)</f>
        <v>4014</v>
      </c>
      <c r="V19" s="31">
        <f>A19-utc_offset/24</f>
        <v>43025.573888888888</v>
      </c>
      <c r="W19" s="45" t="str">
        <f>DetSubdiv(C19)</f>
        <v>EC</v>
      </c>
      <c r="X19" s="22">
        <f>VALUE(LEFT(C19,LEN(C19)-3))</f>
        <v>131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drop","project_id":79,"tracker_id":40,"status_id":1,"priority_id":2,"assigned_to_id":338,"start_date":"2017-10-17","description":"","custom_fields":[{"id":1,"name":"Subdivision","value":"EC"},{"id":4,"name":"Milepost","value":"7.5566"},{"id":17,"name":"Train ID","value":"131-17"},{"id":16,"name":"Locomotive ID","value":"4014"},{"id":130,"name":"Impact","value":""},{"id":150,"name":"Time of Event (Mountain Time)","value":"07:46:24"},{"id":151,"name":"Denver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/c/Users/stu/AppData/Local/Temp/OnboardLogs/RTDC4014 --include="*4014*201710171*"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"%USERPROFILE%\AppData\Local\Temp\OnboardLogs"\RTDC4014\*4014*201710171* &gt;&gt; 2017-10-17-SliceDisagreementCheck.txt</v>
      </c>
      <c r="AE19" s="145" t="str">
        <f t="shared" si="1"/>
        <v>start /low /b %USERPROFILE%\Documents\GitHub\eaglep3\Utilities\DownloadLogsFromS3.py --loco 4014 --day 2017-10-17</v>
      </c>
      <c r="AF19" s="1"/>
    </row>
    <row r="20" spans="1:32" x14ac:dyDescent="0.3">
      <c r="A20" s="31">
        <v>43025.327928240738</v>
      </c>
      <c r="B20" s="30" t="s">
        <v>438</v>
      </c>
      <c r="C20" s="30" t="s">
        <v>611</v>
      </c>
      <c r="D20" s="30" t="s">
        <v>49</v>
      </c>
      <c r="E20" s="30" t="s">
        <v>433</v>
      </c>
      <c r="F20" s="42">
        <v>0</v>
      </c>
      <c r="G20" s="42">
        <v>526</v>
      </c>
      <c r="H20" s="42">
        <v>92005</v>
      </c>
      <c r="I20" s="42">
        <v>94024</v>
      </c>
      <c r="J20" s="30" t="s">
        <v>434</v>
      </c>
      <c r="K20" s="42">
        <v>95978</v>
      </c>
      <c r="L20" s="131" t="s">
        <v>50</v>
      </c>
      <c r="M20" s="132">
        <f>CONVERT((I20-K20)/10000,"mi","ft")*IF(L20="Increasing Mileposts (1)",-1,1)</f>
        <v>1031.712</v>
      </c>
      <c r="N20" s="133" t="str">
        <f>VLOOKUP(C20,'Trips&amp;Operators'!$C$1:$G$99911,5,FALSE)</f>
        <v>MACDONALD THOMAS</v>
      </c>
      <c r="O20" s="176" t="s">
        <v>377</v>
      </c>
      <c r="P20" s="134" t="s">
        <v>491</v>
      </c>
      <c r="Q20" s="30"/>
      <c r="R20" s="81" t="str">
        <f>VLOOKUP(C20,'Train Runs'!$A$13:$AE$10040,31,0)</f>
        <v>aws s3 cp s3://rtdc.mdm.uploadarchive.raw/RTDC4014/ "%USERPROFILE%\AppData\Local\Temp\OnboardLogs"\RTDC4014\2017-10-17 --exclude "*" --recursive --include "*20171017*" &amp; "%USERPROFILE%\Documents\GitHub\mrs-test-scripts\Headless Mode &amp; Sideloading\WalkAndUnGZ.bat" "%USERPROFILE%\AppData\Local\Temp\OnboardLogs"\RTDC4014\2017-10-17 &amp; aws s3 cp s3://rtdc.mdm.uploadarchive.raw/RTDC4014/ "%USERPROFILE%\AppData\Local\Temp\OnboardLogs"\RTDC4014\2017-10-18 --exclude "*" --recursive --include "*20171018*" &amp; "%USERPROFILE%\Documents\GitHub\mrs-test-scripts\Headless Mode &amp; Sideloading\WalkAndUnGZ.bat" "%USERPROFILE%\AppData\Local\Temp\OnboardLogs"\RTDC4014\2017-10-18</v>
      </c>
      <c r="S20" s="84" t="str">
        <f>VLOOKUP(C20,'Train Runs'!$A$13:$AE$10040,22,0)</f>
        <v>https://d0f6bd738d7f1b3e5a7ca70fe4ff75f0.us-east-1.aws.found.io/app/kibana#/discover/Steve-Slow-Train-Analysis-(2080s-and-2083s)?_g=(refreshInterval:(display:Off,pause:!f,section:0,value:0),time:(from:'2017-10-17T06:26:47-0600',mode:absolute,to:'2017-10-17T09:10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/stypes="*4014*201710171*" /stext=" 13:.+((SYSTEM_STATE.+slice.+state.+changed )|(ment ac)|(multiple cpu faults)|(system.+state.+changed )|(\[timeout)|(PRM\|1\|D)|(kpr)|(kdp)|(train st.+moving)|(\|lc)|(penalty))"</v>
      </c>
      <c r="U20" s="9" t="str">
        <f>MID(B20,13,4)</f>
        <v>4014</v>
      </c>
      <c r="V20" s="31">
        <f>A20-utc_offset/24</f>
        <v>43025.577928240738</v>
      </c>
      <c r="W20" s="45" t="str">
        <f>DetSubdiv(C20)</f>
        <v>EC</v>
      </c>
      <c r="X20" s="22">
        <f>VALUE(LEFT(C20,LEN(C20)-3))</f>
        <v>131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drop","project_id":79,"tracker_id":40,"status_id":1,"priority_id":2,"assigned_to_id":338,"start_date":"2017-10-17","description":"","custom_fields":[{"id":1,"name":"Subdivision","value":"EC"},{"id":4,"name":"Milepost","value":"9.5978"},{"id":17,"name":"Train ID","value":"131-17"},{"id":16,"name":"Locomotive ID","value":"4014"},{"id":130,"name":"Impact","value":""},{"id":150,"name":"Time of Event (Mountain Time)","value":"07:52:13"},{"id":151,"name":"Denver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/c/Users/stu/AppData/Local/Temp/OnboardLogs/RTDC4014 --include="*4014*201710171*"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"%USERPROFILE%\AppData\Local\Temp\OnboardLogs"\RTDC4014\*4014*201710171* &gt;&gt; 2017-10-17-SliceDisagreementCheck.txt</v>
      </c>
      <c r="AE20" s="145" t="str">
        <f t="shared" si="1"/>
        <v>start /low /b %USERPROFILE%\Documents\GitHub\eaglep3\Utilities\DownloadLogsFromS3.py --loco 4014 --day 2017-10-17</v>
      </c>
      <c r="AF20" s="1"/>
    </row>
    <row r="21" spans="1:32" x14ac:dyDescent="0.3">
      <c r="A21" s="31">
        <v>43025.152777777781</v>
      </c>
      <c r="B21" s="30" t="s">
        <v>492</v>
      </c>
      <c r="C21" s="30" t="s">
        <v>607</v>
      </c>
      <c r="D21" s="30" t="s">
        <v>49</v>
      </c>
      <c r="E21" s="30" t="s">
        <v>433</v>
      </c>
      <c r="F21" s="42">
        <v>0</v>
      </c>
      <c r="G21" s="42">
        <v>789</v>
      </c>
      <c r="H21" s="42">
        <v>146909</v>
      </c>
      <c r="I21" s="42">
        <v>150648</v>
      </c>
      <c r="J21" s="30" t="s">
        <v>434</v>
      </c>
      <c r="K21" s="42">
        <v>149694</v>
      </c>
      <c r="L21" s="131" t="s">
        <v>50</v>
      </c>
      <c r="M21" s="132">
        <f>CONVERT((I21-K21)/10000,"mi","ft")*IF(L21="Increasing Mileposts (1)",-1,1)</f>
        <v>-503.71199999999999</v>
      </c>
      <c r="N21" s="133" t="str">
        <f>VLOOKUP(C21,'Trips&amp;Operators'!$C$1:$G$99911,5,FALSE)</f>
        <v>YORK EDGAR</v>
      </c>
      <c r="O21" s="176" t="s">
        <v>377</v>
      </c>
      <c r="P21" s="134" t="s">
        <v>491</v>
      </c>
      <c r="Q21" s="30"/>
      <c r="R21" s="81" t="str">
        <f>VLOOKUP(C21,'Train Runs'!$A$13:$AE$10040,31,0)</f>
        <v>aws s3 cp s3://rtdc.mdm.uploadarchive.raw/RTDC4016/ "%USERPROFILE%\AppData\Local\Temp\OnboardLogs"\RTDC4016\2017-10-17 --exclude "*" --recursive --include "*20171017*" &amp; "%USERPROFILE%\Documents\GitHub\mrs-test-scripts\Headless Mode &amp; Sideloading\WalkAndUnGZ.bat" "%USERPROFILE%\AppData\Local\Temp\OnboardLogs"\RTDC4016\2017-10-17 &amp; aws s3 cp s3://rtdc.mdm.uploadarchive.raw/RTDC4016/ "%USERPROFILE%\AppData\Local\Temp\OnboardLogs"\RTDC4016\2017-10-18 --exclude "*" --recursive --include "*20171018*" &amp; "%USERPROFILE%\Documents\GitHub\mrs-test-scripts\Headless Mode &amp; Sideloading\WalkAndUnGZ.bat" "%USERPROFILE%\AppData\Local\Temp\OnboardLogs"\RTDC4016\2017-10-18</v>
      </c>
      <c r="S21" s="84" t="str">
        <f>VLOOKUP(C21,'Train Runs'!$A$13:$AE$10040,22,0)</f>
        <v>https://d0f6bd738d7f1b3e5a7ca70fe4ff75f0.us-east-1.aws.found.io/app/kibana#/discover/Steve-Slow-Train-Analysis-(2080s-and-2083s)?_g=(refreshInterval:(display:Off,pause:!f,section:0,value:0),time:(from:'2017-10-17T01:59:59-0600',mode:absolute,to:'2017-10-17T04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/stypes="*4016*201710170*" /stext=" 09:.+((SYSTEM_STATE.+slice.+state.+changed )|(ment ac)|(multiple cpu faults)|(system.+state.+changed )|(\[timeout)|(PRM\|1\|D)|(kpr)|(kdp)|(train st.+moving)|(\|lc)|(penalty))"</v>
      </c>
      <c r="U21" s="9" t="str">
        <f>MID(B21,13,4)</f>
        <v>4016</v>
      </c>
      <c r="V21" s="31">
        <f>A21-utc_offset/24</f>
        <v>43025.402777777781</v>
      </c>
      <c r="W21" s="45" t="str">
        <f>DetSubdiv(C21)</f>
        <v>EC</v>
      </c>
      <c r="X21" s="22">
        <f>VALUE(LEFT(C21,LEN(C21)-3))</f>
        <v>101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drop","project_id":79,"tracker_id":40,"status_id":1,"priority_id":2,"assigned_to_id":338,"start_date":"2017-10-17","description":"","custom_fields":[{"id":1,"name":"Subdivision","value":"EC"},{"id":4,"name":"Milepost","value":"14.9694"},{"id":17,"name":"Train ID","value":"101-17"},{"id":16,"name":"Locomotive ID","value":"4016"},{"id":130,"name":"Impact","value":""},{"id":150,"name":"Time of Event (Mountain Time)","value":"03:40:00"},{"id":151,"name":"Denver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/c/Users/stu/AppData/Local/Temp/OnboardLogs/RTDC4016 --include="*4016*201710170*"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"%USERPROFILE%\AppData\Local\Temp\OnboardLogs"\RTDC4016\*4016*201710170* &gt;&gt; 2017-10-17-SliceDisagreementCheck.txt</v>
      </c>
      <c r="AE21" s="145" t="str">
        <f t="shared" si="1"/>
        <v>start /low /b %USERPROFILE%\Documents\GitHub\eaglep3\Utilities\DownloadLogsFromS3.py --loco 4016 --day 2017-10-17</v>
      </c>
      <c r="AF21" s="1"/>
    </row>
    <row r="22" spans="1:32" x14ac:dyDescent="0.3">
      <c r="A22" s="31">
        <v>43025.440775462965</v>
      </c>
      <c r="B22" s="30" t="s">
        <v>469</v>
      </c>
      <c r="C22" s="30" t="s">
        <v>617</v>
      </c>
      <c r="D22" s="30" t="s">
        <v>49</v>
      </c>
      <c r="E22" s="30" t="s">
        <v>179</v>
      </c>
      <c r="F22" s="42">
        <v>0</v>
      </c>
      <c r="G22" s="42">
        <v>49</v>
      </c>
      <c r="H22" s="42">
        <v>169</v>
      </c>
      <c r="I22" s="42">
        <v>127</v>
      </c>
      <c r="J22" s="30" t="s">
        <v>180</v>
      </c>
      <c r="K22" s="42">
        <v>1</v>
      </c>
      <c r="L22" s="131" t="s">
        <v>51</v>
      </c>
      <c r="M22" s="132">
        <f>CONVERT((I22-K22)/10000,"mi","ft")*IF(L22="Increasing Mileposts (1)",-1,1)</f>
        <v>66.528000000000006</v>
      </c>
      <c r="N22" s="133" t="str">
        <f>VLOOKUP(C22,'Trips&amp;Operators'!$C$1:$G$99911,5,FALSE)</f>
        <v>BONDS REYNALDO</v>
      </c>
      <c r="O22" s="176" t="s">
        <v>178</v>
      </c>
      <c r="P22" s="134"/>
      <c r="Q22" s="30"/>
      <c r="R22" s="81" t="str">
        <f>VLOOKUP(C22,'Train Runs'!$A$13:$AE$10040,31,0)</f>
        <v>aws s3 cp s3://rtdc.mdm.uploadarchive.raw/RTDC4003/ "%USERPROFILE%\AppData\Local\Temp\OnboardLogs"\RTDC4003\2017-10-17 --exclude "*" --recursive --include "*20171017*" &amp; "%USERPROFILE%\Documents\GitHub\mrs-test-scripts\Headless Mode &amp; Sideloading\WalkAndUnGZ.bat" "%USERPROFILE%\AppData\Local\Temp\OnboardLogs"\RTDC4003\2017-10-17 &amp; aws s3 cp s3://rtdc.mdm.uploadarchive.raw/RTDC4003/ "%USERPROFILE%\AppData\Local\Temp\OnboardLogs"\RTDC4003\2017-10-18 --exclude "*" --recursive --include "*20171018*" &amp; "%USERPROFILE%\Documents\GitHub\mrs-test-scripts\Headless Mode &amp; Sideloading\WalkAndUnGZ.bat" "%USERPROFILE%\AppData\Local\Temp\OnboardLogs"\RTDC4003\2017-10-18</v>
      </c>
      <c r="S22" s="84" t="str">
        <f>VLOOKUP(C22,'Train Runs'!$A$13:$AE$10040,22,0)</f>
        <v>https://d0f6bd738d7f1b3e5a7ca70fe4ff75f0.us-east-1.aws.found.io/app/kibana#/discover/Steve-Slow-Train-Analysis-(2080s-and-2083s)?_g=(refreshInterval:(display:Off,pause:!f,section:0,value:0),time:(from:'2017-10-17T08:53:01-0600',mode:absolute,to:'2017-10-17T11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/stypes="*4003*201710171*" /stext=" 16:.+((SYSTEM_STATE.+slice.+state.+changed )|(ment ac)|(multiple cpu faults)|(system.+state.+changed )|(\[timeout)|(PRM\|1\|D)|(kpr)|(kdp)|(train st.+moving)|(\|lc)|(penalty))"</v>
      </c>
      <c r="U22" s="9" t="str">
        <f>MID(B22,13,4)</f>
        <v>4003</v>
      </c>
      <c r="V22" s="31">
        <f>A22-utc_offset/24</f>
        <v>43025.690775462965</v>
      </c>
      <c r="W22" s="45" t="str">
        <f>DetSubdiv(C22)</f>
        <v>EC</v>
      </c>
      <c r="X22" s="22">
        <f>VALUE(LEFT(C22,LEN(C22)-3))</f>
        <v>144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{"issue":{"subject":"","project_id":79,"tracker_id":40,"status_id":1,"priority_id":2,"assigned_to_id":338,"start_date":"2017-10-17","description":"","custom_fields":[{"id":1,"name":"Subdivision","value":"EC"},{"id":4,"name":"Milepost","value":"0.0001"},{"id":17,"name":"Train ID","value":"144-17"},{"id":16,"name":"Locomotive ID","value":"4003"},{"id":130,"name":"Impact","value":""},{"id":150,"name":"Time of Event (Mountain Time)","value":"10:34:43"},{"id":151,"name":"Denver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/c/Users/stu/AppData/Local/Temp/OnboardLogs/RTDC4003 --include="*4003*201710171*"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"%USERPROFILE%\AppData\Local\Temp\OnboardLogs"\RTDC4003\*4003*201710171* &gt;&gt; 2017-10-17-SliceDisagreementCheck.txt</v>
      </c>
      <c r="AE22" s="145" t="str">
        <f t="shared" si="1"/>
        <v>start /low /b %USERPROFILE%\Documents\GitHub\eaglep3\Utilities\DownloadLogsFromS3.py --loco 4003 --day 2017-10-17</v>
      </c>
      <c r="AF22" s="1"/>
    </row>
    <row r="23" spans="1:32" x14ac:dyDescent="0.3">
      <c r="A23" s="31">
        <v>43025.451909722222</v>
      </c>
      <c r="B23" s="30" t="s">
        <v>436</v>
      </c>
      <c r="C23" s="30" t="s">
        <v>618</v>
      </c>
      <c r="D23" s="30" t="s">
        <v>49</v>
      </c>
      <c r="E23" s="30" t="s">
        <v>179</v>
      </c>
      <c r="F23" s="42">
        <v>0</v>
      </c>
      <c r="G23" s="42">
        <v>55</v>
      </c>
      <c r="H23" s="42">
        <v>236</v>
      </c>
      <c r="I23" s="42">
        <v>136</v>
      </c>
      <c r="J23" s="30" t="s">
        <v>180</v>
      </c>
      <c r="K23" s="42">
        <v>1</v>
      </c>
      <c r="L23" s="131" t="s">
        <v>51</v>
      </c>
      <c r="M23" s="132">
        <f>CONVERT((I23-K23)/10000,"mi","ft")*IF(L23="Increasing Mileposts (1)",-1,1)</f>
        <v>71.28</v>
      </c>
      <c r="N23" s="133" t="str">
        <f>VLOOKUP(C23,'Trips&amp;Operators'!$C$1:$G$99911,5,FALSE)</f>
        <v>MACDONALD THOMAS</v>
      </c>
      <c r="O23" s="176" t="s">
        <v>178</v>
      </c>
      <c r="P23" s="134"/>
      <c r="Q23" s="30"/>
      <c r="R23" s="81" t="str">
        <f>VLOOKUP(C23,'Train Runs'!$A$13:$AE$10040,31,0)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S23" s="84" t="str">
        <f>VLOOKUP(C23,'Train Runs'!$A$13:$AE$10040,22,0)</f>
        <v>https://d0f6bd738d7f1b3e5a7ca70fe4ff75f0.us-east-1.aws.found.io/app/kibana#/discover/Steve-Slow-Train-Analysis-(2080s-and-2083s)?_g=(refreshInterval:(display:Off,pause:!f,section:0,value:0),time:(from:'2017-10-17T09:11:01-0600',mode:absolute,to:'2017-10-17T11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/stypes="*4013*201710171*" /stext=" 16:.+((SYSTEM_STATE.+slice.+state.+changed )|(ment ac)|(multiple cpu faults)|(system.+state.+changed )|(\[timeout)|(PRM\|1\|D)|(kpr)|(kdp)|(train st.+moving)|(\|lc)|(penalty))"</v>
      </c>
      <c r="U23" s="9" t="str">
        <f>MID(B23,13,4)</f>
        <v>4013</v>
      </c>
      <c r="V23" s="31">
        <f>A23-utc_offset/24</f>
        <v>43025.701909722222</v>
      </c>
      <c r="W23" s="45" t="str">
        <f>DetSubdiv(C23)</f>
        <v>EC</v>
      </c>
      <c r="X23" s="22">
        <f>VALUE(LEFT(C23,LEN(C23)-3))</f>
        <v>146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{"issue":{"subject":"","project_id":79,"tracker_id":40,"status_id":1,"priority_id":2,"assigned_to_id":338,"start_date":"2017-10-17","description":"","custom_fields":[{"id":1,"name":"Subdivision","value":"EC"},{"id":4,"name":"Milepost","value":"0.0001"},{"id":17,"name":"Train ID","value":"146-17"},{"id":16,"name":"Locomotive ID","value":"4013"},{"id":130,"name":"Impact","value":""},{"id":150,"name":"Time of Event (Mountain Time)","value":"10:50:45"},{"id":151,"name":"Denver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/c/Users/stu/AppData/Local/Temp/OnboardLogs/RTDC4013 --include="*4013*201710171*"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"%USERPROFILE%\AppData\Local\Temp\OnboardLogs"\RTDC4013\*4013*201710171* &gt;&gt; 2017-10-17-SliceDisagreementCheck.txt</v>
      </c>
      <c r="AE23" s="145" t="str">
        <f t="shared" si="1"/>
        <v>start /low /b %USERPROFILE%\Documents\GitHub\eaglep3\Utilities\DownloadLogsFromS3.py --loco 4013 --day 2017-10-17</v>
      </c>
      <c r="AF23" s="1"/>
    </row>
    <row r="24" spans="1:32" x14ac:dyDescent="0.3">
      <c r="A24" s="31">
        <v>43025.523344907408</v>
      </c>
      <c r="B24" s="30" t="s">
        <v>436</v>
      </c>
      <c r="C24" s="30" t="s">
        <v>622</v>
      </c>
      <c r="D24" s="30" t="s">
        <v>49</v>
      </c>
      <c r="E24" s="30" t="s">
        <v>179</v>
      </c>
      <c r="F24" s="42">
        <v>0</v>
      </c>
      <c r="G24" s="42">
        <v>156</v>
      </c>
      <c r="H24" s="42">
        <v>730</v>
      </c>
      <c r="I24" s="42">
        <v>544</v>
      </c>
      <c r="J24" s="30" t="s">
        <v>180</v>
      </c>
      <c r="K24" s="42">
        <v>1</v>
      </c>
      <c r="L24" s="131" t="s">
        <v>51</v>
      </c>
      <c r="M24" s="132">
        <f>CONVERT((I24-K24)/10000,"mi","ft")*IF(L24="Increasing Mileposts (1)",-1,1)</f>
        <v>286.70400000000001</v>
      </c>
      <c r="N24" s="133" t="str">
        <f>VLOOKUP(C24,'Trips&amp;Operators'!$C$1:$G$99911,5,FALSE)</f>
        <v>RESPASS AARON</v>
      </c>
      <c r="O24" s="176" t="s">
        <v>178</v>
      </c>
      <c r="P24" s="134"/>
      <c r="Q24" s="30"/>
      <c r="R24" s="81" t="str">
        <f>VLOOKUP(C24,'Train Runs'!$A$13:$AE$10040,31,0)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S24" s="84" t="str">
        <f>VLOOKUP(C24,'Train Runs'!$A$13:$AE$10040,22,0)</f>
        <v>https://d0f6bd738d7f1b3e5a7ca70fe4ff75f0.us-east-1.aws.found.io/app/kibana#/discover/Steve-Slow-Train-Analysis-(2080s-and-2083s)?_g=(refreshInterval:(display:Off,pause:!f,section:0,value:0),time:(from:'2017-10-17T10:49:40-0600',mode:absolute,to:'2017-10-17T13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/stypes="*4013*201710171*" /stext=" 18:.+((SYSTEM_STATE.+slice.+state.+changed )|(ment ac)|(multiple cpu faults)|(system.+state.+changed )|(\[timeout)|(PRM\|1\|D)|(kpr)|(kdp)|(train st.+moving)|(\|lc)|(penalty))"</v>
      </c>
      <c r="U24" s="9" t="str">
        <f>MID(B24,13,4)</f>
        <v>4013</v>
      </c>
      <c r="V24" s="31">
        <f>A24-utc_offset/24</f>
        <v>43025.773344907408</v>
      </c>
      <c r="W24" s="45" t="str">
        <f>DetSubdiv(C24)</f>
        <v>EC</v>
      </c>
      <c r="X24" s="22">
        <f>VALUE(LEFT(C24,LEN(C24)-3))</f>
        <v>160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{"issue":{"subject":"","project_id":79,"tracker_id":40,"status_id":1,"priority_id":2,"assigned_to_id":338,"start_date":"2017-10-17","description":"","custom_fields":[{"id":1,"name":"Subdivision","value":"EC"},{"id":4,"name":"Milepost","value":"0.0001"},{"id":17,"name":"Train ID","value":"160-17"},{"id":16,"name":"Locomotive ID","value":"4013"},{"id":130,"name":"Impact","value":""},{"id":150,"name":"Time of Event (Mountain Time)","value":"12:33:37"},{"id":151,"name":"Denver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/c/Users/stu/AppData/Local/Temp/OnboardLogs/RTDC4013 --include="*4013*201710171*"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"%USERPROFILE%\AppData\Local\Temp\OnboardLogs"\RTDC4013\*4013*201710171* &gt;&gt; 2017-10-17-SliceDisagreementCheck.txt</v>
      </c>
      <c r="AE24" s="145" t="str">
        <f t="shared" si="1"/>
        <v>start /low /b %USERPROFILE%\Documents\GitHub\eaglep3\Utilities\DownloadLogsFromS3.py --loco 4013 --day 2017-10-17</v>
      </c>
      <c r="AF24" s="1"/>
    </row>
    <row r="25" spans="1:32" x14ac:dyDescent="0.3">
      <c r="A25" s="31">
        <v>43025.523935185185</v>
      </c>
      <c r="B25" s="30" t="s">
        <v>436</v>
      </c>
      <c r="C25" s="30" t="s">
        <v>622</v>
      </c>
      <c r="D25" s="30" t="s">
        <v>49</v>
      </c>
      <c r="E25" s="30" t="s">
        <v>179</v>
      </c>
      <c r="F25" s="42">
        <v>0</v>
      </c>
      <c r="G25" s="42">
        <v>76</v>
      </c>
      <c r="H25" s="42">
        <v>303</v>
      </c>
      <c r="I25" s="42">
        <v>232</v>
      </c>
      <c r="J25" s="30" t="s">
        <v>180</v>
      </c>
      <c r="K25" s="42">
        <v>1</v>
      </c>
      <c r="L25" s="131" t="s">
        <v>51</v>
      </c>
      <c r="M25" s="132">
        <f>CONVERT((I25-K25)/10000,"mi","ft")*IF(L25="Increasing Mileposts (1)",-1,1)</f>
        <v>121.968</v>
      </c>
      <c r="N25" s="133" t="str">
        <f>VLOOKUP(C25,'Trips&amp;Operators'!$C$1:$G$99911,5,FALSE)</f>
        <v>RESPASS AARON</v>
      </c>
      <c r="O25" s="176" t="s">
        <v>178</v>
      </c>
      <c r="P25" s="134"/>
      <c r="Q25" s="30"/>
      <c r="R25" s="81" t="str">
        <f>VLOOKUP(C25,'Train Runs'!$A$13:$AE$10040,31,0)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S25" s="84" t="str">
        <f>VLOOKUP(C25,'Train Runs'!$A$13:$AE$10040,22,0)</f>
        <v>https://d0f6bd738d7f1b3e5a7ca70fe4ff75f0.us-east-1.aws.found.io/app/kibana#/discover/Steve-Slow-Train-Analysis-(2080s-and-2083s)?_g=(refreshInterval:(display:Off,pause:!f,section:0,value:0),time:(from:'2017-10-17T10:49:40-0600',mode:absolute,to:'2017-10-17T13:33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/stypes="*4013*201710171*" /stext=" 18:.+((SYSTEM_STATE.+slice.+state.+changed )|(ment ac)|(multiple cpu faults)|(system.+state.+changed )|(\[timeout)|(PRM\|1\|D)|(kpr)|(kdp)|(train st.+moving)|(\|lc)|(penalty))"</v>
      </c>
      <c r="U25" s="9" t="str">
        <f>MID(B25,13,4)</f>
        <v>4013</v>
      </c>
      <c r="V25" s="31">
        <f>A25-utc_offset/24</f>
        <v>43025.773935185185</v>
      </c>
      <c r="W25" s="45" t="str">
        <f>DetSubdiv(C25)</f>
        <v>EC</v>
      </c>
      <c r="X25" s="22">
        <f>VALUE(LEFT(C25,LEN(C25)-3))</f>
        <v>160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{"issue":{"subject":"","project_id":79,"tracker_id":40,"status_id":1,"priority_id":2,"assigned_to_id":338,"start_date":"2017-10-17","description":"","custom_fields":[{"id":1,"name":"Subdivision","value":"EC"},{"id":4,"name":"Milepost","value":"0.0001"},{"id":17,"name":"Train ID","value":"160-17"},{"id":16,"name":"Locomotive ID","value":"4013"},{"id":130,"name":"Impact","value":""},{"id":150,"name":"Time of Event (Mountain Time)","value":"12:34:28"},{"id":151,"name":"Denver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/c/Users/stu/AppData/Local/Temp/OnboardLogs/RTDC4013 --include="*4013*201710171*"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"%USERPROFILE%\AppData\Local\Temp\OnboardLogs"\RTDC4013\*4013*201710171* &gt;&gt; 2017-10-17-SliceDisagreementCheck.txt</v>
      </c>
      <c r="AE25" s="145" t="str">
        <f t="shared" si="1"/>
        <v>start /low /b %USERPROFILE%\Documents\GitHub\eaglep3\Utilities\DownloadLogsFromS3.py --loco 4013 --day 2017-10-17</v>
      </c>
      <c r="AF25" s="1"/>
    </row>
    <row r="26" spans="1:32" x14ac:dyDescent="0.3">
      <c r="A26" s="31">
        <v>43025.669965277775</v>
      </c>
      <c r="B26" s="30" t="s">
        <v>436</v>
      </c>
      <c r="C26" s="30" t="s">
        <v>631</v>
      </c>
      <c r="D26" s="30" t="s">
        <v>49</v>
      </c>
      <c r="E26" s="30" t="s">
        <v>179</v>
      </c>
      <c r="F26" s="42">
        <v>0</v>
      </c>
      <c r="G26" s="42">
        <v>74</v>
      </c>
      <c r="H26" s="42">
        <v>298</v>
      </c>
      <c r="I26" s="42">
        <v>214</v>
      </c>
      <c r="J26" s="30" t="s">
        <v>180</v>
      </c>
      <c r="K26" s="42">
        <v>1</v>
      </c>
      <c r="L26" s="131" t="s">
        <v>51</v>
      </c>
      <c r="M26" s="132">
        <f>CONVERT((I26-K26)/10000,"mi","ft")*IF(L26="Increasing Mileposts (1)",-1,1)</f>
        <v>112.464</v>
      </c>
      <c r="N26" s="133" t="str">
        <f>VLOOKUP(C26,'Trips&amp;Operators'!$C$1:$G$99911,5,FALSE)</f>
        <v>SMITH MICHAEL</v>
      </c>
      <c r="O26" s="176" t="s">
        <v>178</v>
      </c>
      <c r="P26" s="134"/>
      <c r="Q26" s="30"/>
      <c r="R26" s="81" t="str">
        <f>VLOOKUP(C26,'Train Runs'!$A$13:$AE$10040,31,0)</f>
        <v>aws s3 cp s3://rtdc.mdm.uploadarchive.raw/RTDC4013/ "%USERPROFILE%\AppData\Local\Temp\OnboardLogs"\RTDC4013\2017-10-17 --exclude "*" --recursive --include "*20171017*" &amp; "%USERPROFILE%\Documents\GitHub\mrs-test-scripts\Headless Mode &amp; Sideloading\WalkAndUnGZ.bat" "%USERPROFILE%\AppData\Local\Temp\OnboardLogs"\RTDC4013\2017-10-17 &amp; aws s3 cp s3://rtdc.mdm.uploadarchive.raw/RTDC4013/ "%USERPROFILE%\AppData\Local\Temp\OnboardLogs"\RTDC4013\2017-10-18 --exclude "*" --recursive --include "*20171018*" &amp; "%USERPROFILE%\Documents\GitHub\mrs-test-scripts\Headless Mode &amp; Sideloading\WalkAndUnGZ.bat" "%USERPROFILE%\AppData\Local\Temp\OnboardLogs"\RTDC4013\2017-10-18</v>
      </c>
      <c r="S26" s="84" t="str">
        <f>VLOOKUP(C26,'Train Runs'!$A$13:$AE$10040,22,0)</f>
        <v>https://d0f6bd738d7f1b3e5a7ca70fe4ff75f0.us-east-1.aws.found.io/app/kibana#/discover/Steve-Slow-Train-Analysis-(2080s-and-2083s)?_g=(refreshInterval:(display:Off,pause:!f,section:0,value:0),time:(from:'2017-10-17T14:19:29-0600',mode:absolute,to:'2017-10-17T17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/stypes="*4013*201710172*" /stext=" 22:.+((SYSTEM_STATE.+slice.+state.+changed )|(ment ac)|(multiple cpu faults)|(system.+state.+changed )|(\[timeout)|(PRM\|1\|D)|(kpr)|(kdp)|(train st.+moving)|(\|lc)|(penalty))"</v>
      </c>
      <c r="U26" s="9" t="str">
        <f>MID(B26,13,4)</f>
        <v>4013</v>
      </c>
      <c r="V26" s="31">
        <f>A26-utc_offset/24</f>
        <v>43025.919965277775</v>
      </c>
      <c r="W26" s="45" t="str">
        <f>DetSubdiv(C26)</f>
        <v>EC</v>
      </c>
      <c r="X26" s="22">
        <f>VALUE(LEFT(C26,LEN(C26)-3))</f>
        <v>188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{"issue":{"subject":"","project_id":79,"tracker_id":40,"status_id":1,"priority_id":2,"assigned_to_id":338,"start_date":"2017-10-17","description":"","custom_fields":[{"id":1,"name":"Subdivision","value":"EC"},{"id":4,"name":"Milepost","value":"0.0001"},{"id":17,"name":"Train ID","value":"188-17"},{"id":16,"name":"Locomotive ID","value":"4013"},{"id":130,"name":"Impact","value":""},{"id":150,"name":"Time of Event (Mountain Time)","value":"16:04:45"},{"id":151,"name":"Denver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/c/Users/stu/AppData/Local/Temp/OnboardLogs/RTDC4013 --include="*4013*201710172*"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"%USERPROFILE%\AppData\Local\Temp\OnboardLogs"\RTDC4013\*4013*201710172* &gt;&gt; 2017-10-17-SliceDisagreementCheck.txt</v>
      </c>
      <c r="AE26" s="145" t="str">
        <f t="shared" si="1"/>
        <v>start /low /b %USERPROFILE%\Documents\GitHub\eaglep3\Utilities\DownloadLogsFromS3.py --loco 4013 --day 2017-10-17</v>
      </c>
      <c r="AF26" s="1"/>
    </row>
    <row r="27" spans="1:32" x14ac:dyDescent="0.3">
      <c r="A27" s="31">
        <v>43025.284155092595</v>
      </c>
      <c r="B27" s="30" t="s">
        <v>533</v>
      </c>
      <c r="C27" s="30" t="s">
        <v>609</v>
      </c>
      <c r="D27" s="30" t="s">
        <v>49</v>
      </c>
      <c r="E27" s="30" t="s">
        <v>179</v>
      </c>
      <c r="F27" s="42">
        <v>0</v>
      </c>
      <c r="G27" s="42">
        <v>77</v>
      </c>
      <c r="H27" s="42">
        <v>233197</v>
      </c>
      <c r="I27" s="42">
        <v>233272</v>
      </c>
      <c r="J27" s="30" t="s">
        <v>180</v>
      </c>
      <c r="K27" s="42">
        <v>233491</v>
      </c>
      <c r="L27" s="131" t="s">
        <v>50</v>
      </c>
      <c r="M27" s="132">
        <f>CONVERT((I27-K27)/10000,"mi","ft")*IF(L27="Increasing Mileposts (1)",-1,1)</f>
        <v>115.63200000000001</v>
      </c>
      <c r="N27" s="133" t="str">
        <f>VLOOKUP(C27,'Trips&amp;Operators'!$C$1:$G$99911,5,FALSE)</f>
        <v>LALONDE GREGORY</v>
      </c>
      <c r="O27" s="176" t="s">
        <v>178</v>
      </c>
      <c r="P27" s="134"/>
      <c r="Q27" s="30"/>
      <c r="R27" s="81" t="str">
        <f>VLOOKUP(C27,'Train Runs'!$A$13:$AE$10040,31,0)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S27" s="84" t="str">
        <f>VLOOKUP(C27,'Train Runs'!$A$13:$AE$10040,22,0)</f>
        <v>https://d0f6bd738d7f1b3e5a7ca70fe4ff75f0.us-east-1.aws.found.io/app/kibana#/discover/Steve-Slow-Train-Analysis-(2080s-and-2083s)?_g=(refreshInterval:(display:Off,pause:!f,section:0,value:0),time:(from:'2017-10-17T05:06:58-0600',mode:absolute,to:'2017-10-17T07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/stypes="*4010*201710171*" /stext=" 12:.+((SYSTEM_STATE.+slice.+state.+changed )|(ment ac)|(multiple cpu faults)|(system.+state.+changed )|(\[timeout)|(PRM\|1\|D)|(kpr)|(kdp)|(train st.+moving)|(\|lc)|(penalty))"</v>
      </c>
      <c r="U27" s="9" t="str">
        <f>MID(B27,13,4)</f>
        <v>4010</v>
      </c>
      <c r="V27" s="31">
        <f>A27-utc_offset/24</f>
        <v>43025.534155092595</v>
      </c>
      <c r="W27" s="45" t="str">
        <f>DetSubdiv(C27)</f>
        <v>EC</v>
      </c>
      <c r="X27" s="22">
        <f>VALUE(LEFT(C27,LEN(C27)-3))</f>
        <v>121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{"issue":{"subject":"","project_id":79,"tracker_id":40,"status_id":1,"priority_id":2,"assigned_to_id":338,"start_date":"2017-10-17","description":"","custom_fields":[{"id":1,"name":"Subdivision","value":"EC"},{"id":4,"name":"Milepost","value":"23.3491"},{"id":17,"name":"Train ID","value":"121-17"},{"id":16,"name":"Locomotive ID","value":"4010"},{"id":130,"name":"Impact","value":""},{"id":150,"name":"Time of Event (Mountain Time)","value":"06:49:11"},{"id":151,"name":"Denver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/c/Users/stu/AppData/Local/Temp/OnboardLogs/RTDC4010 --include="*4010*201710171*"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"%USERPROFILE%\AppData\Local\Temp\OnboardLogs"\RTDC4010\*4010*201710171* &gt;&gt; 2017-10-17-SliceDisagreementCheck.txt</v>
      </c>
      <c r="AE27" s="145" t="str">
        <f t="shared" si="1"/>
        <v>start /low /b %USERPROFILE%\Documents\GitHub\eaglep3\Utilities\DownloadLogsFromS3.py --loco 4010 --day 2017-10-17</v>
      </c>
      <c r="AF27" s="1"/>
    </row>
    <row r="28" spans="1:32" x14ac:dyDescent="0.3">
      <c r="A28" s="31">
        <v>43025.576666666668</v>
      </c>
      <c r="B28" s="30" t="s">
        <v>533</v>
      </c>
      <c r="C28" s="30" t="s">
        <v>627</v>
      </c>
      <c r="D28" s="30" t="s">
        <v>49</v>
      </c>
      <c r="E28" s="30" t="s">
        <v>179</v>
      </c>
      <c r="F28" s="42">
        <v>0</v>
      </c>
      <c r="G28" s="42">
        <v>152</v>
      </c>
      <c r="H28" s="42">
        <v>232702</v>
      </c>
      <c r="I28" s="42">
        <v>232856</v>
      </c>
      <c r="J28" s="30" t="s">
        <v>180</v>
      </c>
      <c r="K28" s="42">
        <v>233491</v>
      </c>
      <c r="L28" s="131" t="s">
        <v>50</v>
      </c>
      <c r="M28" s="132">
        <f>CONVERT((I28-K28)/10000,"mi","ft")*IF(L28="Increasing Mileposts (1)",-1,1)</f>
        <v>335.28</v>
      </c>
      <c r="N28" s="133" t="str">
        <f>VLOOKUP(C28,'Trips&amp;Operators'!$C$1:$G$99911,5,FALSE)</f>
        <v>STEWART MICHAEL</v>
      </c>
      <c r="O28" s="176" t="s">
        <v>178</v>
      </c>
      <c r="P28" s="134"/>
      <c r="Q28" s="30"/>
      <c r="R28" s="81" t="str">
        <f>VLOOKUP(C28,'Train Runs'!$A$13:$AE$10040,31,0)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S28" s="84" t="str">
        <f>VLOOKUP(C28,'Train Runs'!$A$13:$AE$10040,22,0)</f>
        <v>https://d0f6bd738d7f1b3e5a7ca70fe4ff75f0.us-east-1.aws.found.io/app/kibana#/discover/Steve-Slow-Train-Analysis-(2080s-and-2083s)?_g=(refreshInterval:(display:Off,pause:!f,section:0,value:0),time:(from:'2017-10-17T12:11:39-0600',mode:absolute,to:'2017-10-17T14:50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/stypes="*4010*201710171*" /stext=" 19:.+((SYSTEM_STATE.+slice.+state.+changed )|(ment ac)|(multiple cpu faults)|(system.+state.+changed )|(\[timeout)|(PRM\|1\|D)|(kpr)|(kdp)|(train st.+moving)|(\|lc)|(penalty))"</v>
      </c>
      <c r="U28" s="9" t="str">
        <f>MID(B28,13,4)</f>
        <v>4010</v>
      </c>
      <c r="V28" s="31">
        <f>A28-utc_offset/24</f>
        <v>43025.826666666668</v>
      </c>
      <c r="W28" s="45" t="str">
        <f>DetSubdiv(C28)</f>
        <v>EC</v>
      </c>
      <c r="X28" s="22">
        <f>VALUE(LEFT(C28,LEN(C28)-3))</f>
        <v>177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{"issue":{"subject":"","project_id":79,"tracker_id":40,"status_id":1,"priority_id":2,"assigned_to_id":338,"start_date":"2017-10-17","description":"","custom_fields":[{"id":1,"name":"Subdivision","value":"EC"},{"id":4,"name":"Milepost","value":"23.3491"},{"id":17,"name":"Train ID","value":"177-17"},{"id":16,"name":"Locomotive ID","value":"4010"},{"id":130,"name":"Impact","value":""},{"id":150,"name":"Time of Event (Mountain Time)","value":"13:50:24"},{"id":151,"name":"Denver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/c/Users/stu/AppData/Local/Temp/OnboardLogs/RTDC4010 --include="*4010*201710171*"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"%USERPROFILE%\AppData\Local\Temp\OnboardLogs"\RTDC4010\*4010*201710171* &gt;&gt; 2017-10-17-SliceDisagreementCheck.txt</v>
      </c>
      <c r="AE28" s="145" t="str">
        <f t="shared" si="1"/>
        <v>start /low /b %USERPROFILE%\Documents\GitHub\eaglep3\Utilities\DownloadLogsFromS3.py --loco 4010 --day 2017-10-17</v>
      </c>
      <c r="AF28" s="1"/>
    </row>
    <row r="29" spans="1:32" x14ac:dyDescent="0.3">
      <c r="A29" s="31">
        <v>43025.650393518517</v>
      </c>
      <c r="B29" s="30" t="s">
        <v>533</v>
      </c>
      <c r="C29" s="30" t="s">
        <v>629</v>
      </c>
      <c r="D29" s="30" t="s">
        <v>49</v>
      </c>
      <c r="E29" s="30" t="s">
        <v>179</v>
      </c>
      <c r="F29" s="42">
        <v>0</v>
      </c>
      <c r="G29" s="42">
        <v>76</v>
      </c>
      <c r="H29" s="42">
        <v>233229</v>
      </c>
      <c r="I29" s="42">
        <v>233304</v>
      </c>
      <c r="J29" s="30" t="s">
        <v>180</v>
      </c>
      <c r="K29" s="42">
        <v>233491</v>
      </c>
      <c r="L29" s="131" t="s">
        <v>50</v>
      </c>
      <c r="M29" s="132">
        <f>CONVERT((I29-K29)/10000,"mi","ft")*IF(L29="Increasing Mileposts (1)",-1,1)</f>
        <v>98.736000000000004</v>
      </c>
      <c r="N29" s="133" t="str">
        <f>VLOOKUP(C29,'Trips&amp;Operators'!$C$1:$G$99911,5,FALSE)</f>
        <v>STEWART MICHAEL</v>
      </c>
      <c r="O29" s="176" t="s">
        <v>178</v>
      </c>
      <c r="P29" s="134"/>
      <c r="Q29" s="30"/>
      <c r="R29" s="81" t="str">
        <f>VLOOKUP(C29,'Train Runs'!$A$13:$AE$10040,31,0)</f>
        <v>aws s3 cp s3://rtdc.mdm.uploadarchive.raw/RTDC4010/ "%USERPROFILE%\AppData\Local\Temp\OnboardLogs"\RTDC4010\2017-10-17 --exclude "*" --recursive --include "*20171017*" &amp; "%USERPROFILE%\Documents\GitHub\mrs-test-scripts\Headless Mode &amp; Sideloading\WalkAndUnGZ.bat" "%USERPROFILE%\AppData\Local\Temp\OnboardLogs"\RTDC4010\2017-10-17 &amp; aws s3 cp s3://rtdc.mdm.uploadarchive.raw/RTDC4010/ "%USERPROFILE%\AppData\Local\Temp\OnboardLogs"\RTDC4010\2017-10-18 --exclude "*" --recursive --include "*20171018*" &amp; "%USERPROFILE%\Documents\GitHub\mrs-test-scripts\Headless Mode &amp; Sideloading\WalkAndUnGZ.bat" "%USERPROFILE%\AppData\Local\Temp\OnboardLogs"\RTDC4010\2017-10-18</v>
      </c>
      <c r="S29" s="84" t="str">
        <f>VLOOKUP(C29,'Train Runs'!$A$13:$AE$10040,22,0)</f>
        <v>https://d0f6bd738d7f1b3e5a7ca70fe4ff75f0.us-east-1.aws.found.io/app/kibana#/discover/Steve-Slow-Train-Analysis-(2080s-and-2083s)?_g=(refreshInterval:(display:Off,pause:!f,section:0,value:0),time:(from:'2017-10-17T13:55:22-0600',mode:absolute,to:'2017-10-17T16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/stypes="*4010*201710172*" /stext=" 21:.+((SYSTEM_STATE.+slice.+state.+changed )|(ment ac)|(multiple cpu faults)|(system.+state.+changed )|(\[timeout)|(PRM\|1\|D)|(kpr)|(kdp)|(train st.+moving)|(\|lc)|(penalty))"</v>
      </c>
      <c r="U29" s="9" t="str">
        <f>MID(B29,13,4)</f>
        <v>4010</v>
      </c>
      <c r="V29" s="31">
        <f>A29-utc_offset/24</f>
        <v>43025.900393518517</v>
      </c>
      <c r="W29" s="45" t="str">
        <f>DetSubdiv(C29)</f>
        <v>EC</v>
      </c>
      <c r="X29" s="22">
        <f>VALUE(LEFT(C29,LEN(C29)-3))</f>
        <v>191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{"issue":{"subject":"","project_id":79,"tracker_id":40,"status_id":1,"priority_id":2,"assigned_to_id":338,"start_date":"2017-10-17","description":"","custom_fields":[{"id":1,"name":"Subdivision","value":"EC"},{"id":4,"name":"Milepost","value":"23.3491"},{"id":17,"name":"Train ID","value":"191-17"},{"id":16,"name":"Locomotive ID","value":"4010"},{"id":130,"name":"Impact","value":""},{"id":150,"name":"Time of Event (Mountain Time)","value":"15:36:34"},{"id":151,"name":"Denver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/c/Users/stu/AppData/Local/Temp/OnboardLogs/RTDC4010 --include="*4010*201710172*"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"%USERPROFILE%\AppData\Local\Temp\OnboardLogs"\RTDC4010\*4010*201710172* &gt;&gt; 2017-10-17-SliceDisagreementCheck.txt</v>
      </c>
      <c r="AE29" s="145" t="str">
        <f t="shared" si="1"/>
        <v>start /low /b %USERPROFILE%\Documents\GitHub\eaglep3\Utilities\DownloadLogsFromS3.py --loco 4010 --day 2017-10-17</v>
      </c>
      <c r="AF29" s="1"/>
    </row>
    <row r="30" spans="1:32" x14ac:dyDescent="0.3">
      <c r="A30" s="31">
        <v>43025.537118055552</v>
      </c>
      <c r="B30" s="30" t="s">
        <v>440</v>
      </c>
      <c r="C30" s="30" t="s">
        <v>623</v>
      </c>
      <c r="D30" s="30" t="s">
        <v>95</v>
      </c>
      <c r="E30" s="30" t="s">
        <v>192</v>
      </c>
      <c r="F30" s="42">
        <v>150</v>
      </c>
      <c r="G30" s="42">
        <v>200</v>
      </c>
      <c r="H30" s="42">
        <v>3158</v>
      </c>
      <c r="I30" s="42">
        <v>2868</v>
      </c>
      <c r="J30" s="30" t="s">
        <v>193</v>
      </c>
      <c r="K30" s="42">
        <v>5315</v>
      </c>
      <c r="L30" s="131" t="s">
        <v>51</v>
      </c>
      <c r="M30" s="132">
        <f>CONVERT((I30-K30)/10000,"mi","ft")*IF(L30="Increasing Mileposts (1)",-1,1)</f>
        <v>-1292.0160000000001</v>
      </c>
      <c r="N30" s="133" t="str">
        <f>VLOOKUP(C30,'Trips&amp;Operators'!$C$1:$G$99911,5,FALSE)</f>
        <v>ROMERO CHAD</v>
      </c>
      <c r="O30" s="176" t="s">
        <v>178</v>
      </c>
      <c r="P30" s="134"/>
      <c r="Q30" s="30"/>
      <c r="R30" s="81" t="str">
        <f>VLOOKUP(C30,'Train Runs'!$A$13:$AE$10040,31,0)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S30" s="84" t="str">
        <f>VLOOKUP(C30,'Train Runs'!$A$13:$AE$10040,22,0)</f>
        <v>https://d0f6bd738d7f1b3e5a7ca70fe4ff75f0.us-east-1.aws.found.io/app/kibana#/discover/Steve-Slow-Train-Analysis-(2080s-and-2083s)?_g=(refreshInterval:(display:Off,pause:!f,section:0,value:0),time:(from:'2017-10-17T11:28:20-0600',mode:absolute,to:'2017-10-17T13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/stypes="*4031*201710171*" /stext=" 18:.+((SYSTEM_STATE.+slice.+state.+changed )|(ment ac)|(multiple cpu faults)|(system.+state.+changed )|(\[timeout)|(PRM\|1\|D)|(kpr)|(kdp)|(train st.+moving)|(\|lc)|(penalty))"</v>
      </c>
      <c r="U30" s="9" t="str">
        <f>MID(B30,13,4)</f>
        <v>4031</v>
      </c>
      <c r="V30" s="31">
        <f>A30-utc_offset/24</f>
        <v>43025.787118055552</v>
      </c>
      <c r="W30" s="45" t="str">
        <f>DetSubdiv(C30)</f>
        <v>NW</v>
      </c>
      <c r="X30" s="22">
        <f>VALUE(LEFT(C30,LEN(C30)-3))</f>
        <v>820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{"issue":{"subject":"","project_id":79,"tracker_id":40,"status_id":1,"priority_id":2,"assigned_to_id":338,"start_date":"2017-10-17","description":"","custom_fields":[{"id":1,"name":"Subdivision","value":"NW"},{"id":4,"name":"Milepost","value":"0.5315"},{"id":17,"name":"Train ID","value":"820-17"},{"id":16,"name":"Locomotive ID","value":"4031"},{"id":130,"name":"Impact","value":""},{"id":150,"name":"Time of Event (Mountain Time)","value":"12:53:27"},{"id":151,"name":"Denver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/c/Users/stu/AppData/Local/Temp/OnboardLogs/RTDC4031 --include="*4031*201710171*"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"%USERPROFILE%\AppData\Local\Temp\OnboardLogs"\RTDC4031\*4031*201710171* &gt;&gt; 2017-10-17-SliceDisagreementCheck.txt</v>
      </c>
      <c r="AE30" s="145" t="str">
        <f t="shared" si="1"/>
        <v>start /low /b %USERPROFILE%\Documents\GitHub\eaglep3\Utilities\DownloadLogsFromS3.py --loco 4031 --day 2017-10-17</v>
      </c>
      <c r="AF30" s="1"/>
    </row>
    <row r="31" spans="1:32" x14ac:dyDescent="0.3">
      <c r="A31" s="31">
        <v>43025.468310185184</v>
      </c>
      <c r="B31" s="30" t="s">
        <v>439</v>
      </c>
      <c r="C31" s="30" t="s">
        <v>621</v>
      </c>
      <c r="D31" s="30" t="s">
        <v>49</v>
      </c>
      <c r="E31" s="30" t="s">
        <v>192</v>
      </c>
      <c r="F31" s="42">
        <v>300</v>
      </c>
      <c r="G31" s="42">
        <v>352</v>
      </c>
      <c r="H31" s="42">
        <v>20915</v>
      </c>
      <c r="I31" s="42">
        <v>21912</v>
      </c>
      <c r="J31" s="30" t="s">
        <v>193</v>
      </c>
      <c r="K31" s="42">
        <v>21299</v>
      </c>
      <c r="L31" s="131" t="s">
        <v>50</v>
      </c>
      <c r="M31" s="132">
        <f>CONVERT((I31-K31)/10000,"mi","ft")*IF(L31="Increasing Mileposts (1)",-1,1)</f>
        <v>-323.66399999999999</v>
      </c>
      <c r="N31" s="133" t="str">
        <f>VLOOKUP(C31,'Trips&amp;Operators'!$C$1:$G$99911,5,FALSE)</f>
        <v>ROMERO CHAD</v>
      </c>
      <c r="O31" s="176" t="s">
        <v>178</v>
      </c>
      <c r="P31" s="134"/>
      <c r="Q31" s="30"/>
      <c r="R31" s="81" t="str">
        <f>VLOOKUP(C31,'Train Runs'!$A$13:$AE$10040,31,0)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S31" s="84" t="str">
        <f>VLOOKUP(C31,'Train Runs'!$A$13:$AE$10040,22,0)</f>
        <v>https://d0f6bd738d7f1b3e5a7ca70fe4ff75f0.us-east-1.aws.found.io/app/kibana#/discover/Steve-Slow-Train-Analysis-(2080s-and-2083s)?_g=(refreshInterval:(display:Off,pause:!f,section:0,value:0),time:(from:'2017-10-17T09:57:01-0600',mode:absolute,to:'2017-10-17T12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/stypes="*4032*201710171*" /stext=" 17:.+((SYSTEM_STATE.+slice.+state.+changed )|(ment ac)|(multiple cpu faults)|(system.+state.+changed )|(\[timeout)|(PRM\|1\|D)|(kpr)|(kdp)|(train st.+moving)|(\|lc)|(penalty))"</v>
      </c>
      <c r="U31" s="9" t="str">
        <f>MID(B31,13,4)</f>
        <v>4032</v>
      </c>
      <c r="V31" s="31">
        <f>A31-utc_offset/24</f>
        <v>43025.718310185184</v>
      </c>
      <c r="W31" s="45" t="str">
        <f>DetSubdiv(C31)</f>
        <v>NW</v>
      </c>
      <c r="X31" s="22">
        <f>VALUE(LEFT(C31,LEN(C31)-3))</f>
        <v>817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{"issue":{"subject":"","project_id":79,"tracker_id":40,"status_id":1,"priority_id":2,"assigned_to_id":338,"start_date":"2017-10-17","description":"","custom_fields":[{"id":1,"name":"Subdivision","value":"NW"},{"id":4,"name":"Milepost","value":"2.1299"},{"id":17,"name":"Train ID","value":"817-17"},{"id":16,"name":"Locomotive ID","value":"4032"},{"id":130,"name":"Impact","value":""},{"id":150,"name":"Time of Event (Mountain Time)","value":"11:14:22"},{"id":151,"name":"Denver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/c/Users/stu/AppData/Local/Temp/OnboardLogs/RTDC4032 --include="*4032*201710171*"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"%USERPROFILE%\AppData\Local\Temp\OnboardLogs"\RTDC4032\*4032*201710171* &gt;&gt; 2017-10-17-SliceDisagreementCheck.txt</v>
      </c>
      <c r="AE31" s="145" t="str">
        <f t="shared" si="1"/>
        <v>start /low /b %USERPROFILE%\Documents\GitHub\eaglep3\Utilities\DownloadLogsFromS3.py --loco 4032 --day 2017-10-17</v>
      </c>
      <c r="AF31" s="1"/>
    </row>
    <row r="32" spans="1:32" x14ac:dyDescent="0.3">
      <c r="A32" s="31">
        <v>43025.660381944443</v>
      </c>
      <c r="B32" s="30" t="s">
        <v>524</v>
      </c>
      <c r="C32" s="30" t="s">
        <v>630</v>
      </c>
      <c r="D32" s="30" t="s">
        <v>49</v>
      </c>
      <c r="E32" s="30" t="s">
        <v>192</v>
      </c>
      <c r="F32" s="42">
        <v>150</v>
      </c>
      <c r="G32" s="42">
        <v>311</v>
      </c>
      <c r="H32" s="42">
        <v>55719</v>
      </c>
      <c r="I32" s="42">
        <v>56278</v>
      </c>
      <c r="J32" s="30" t="s">
        <v>193</v>
      </c>
      <c r="K32" s="42">
        <v>57008</v>
      </c>
      <c r="L32" s="131" t="s">
        <v>50</v>
      </c>
      <c r="M32" s="132">
        <f>CONVERT((I32-K32)/10000,"mi","ft")*IF(L32="Increasing Mileposts (1)",-1,1)</f>
        <v>385.44</v>
      </c>
      <c r="N32" s="133" t="str">
        <f>VLOOKUP(C32,'Trips&amp;Operators'!$C$1:$G$99911,5,FALSE)</f>
        <v>STAMBAUGH JAMES</v>
      </c>
      <c r="O32" s="176" t="s">
        <v>178</v>
      </c>
      <c r="P32" s="134"/>
      <c r="Q32" s="30"/>
      <c r="R32" s="81" t="str">
        <f>VLOOKUP(C32,'Train Runs'!$A$13:$AE$10040,31,0)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S32" s="84" t="str">
        <f>VLOOKUP(C32,'Train Runs'!$A$13:$AE$10040,22,0)</f>
        <v>https://d0f6bd738d7f1b3e5a7ca70fe4ff75f0.us-east-1.aws.found.io/app/kibana#/discover/Steve-Slow-Train-Analysis-(2080s-and-2083s)?_g=(refreshInterval:(display:Off,pause:!f,section:0,value:0),time:(from:'2017-10-17T14:34:43-0600',mode:absolute,to:'2017-10-17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/stypes="*4060*201710172*" /stext=" 21:.+((SYSTEM_STATE.+slice.+state.+changed )|(ment ac)|(multiple cpu faults)|(system.+state.+changed )|(\[timeout)|(PRM\|1\|D)|(kpr)|(kdp)|(train st.+moving)|(\|lc)|(penalty))"</v>
      </c>
      <c r="U32" s="9" t="str">
        <f>MID(B32,13,4)</f>
        <v>4060</v>
      </c>
      <c r="V32" s="31">
        <f>A32-utc_offset/24</f>
        <v>43025.910381944443</v>
      </c>
      <c r="W32" s="45" t="str">
        <f>DetSubdiv(C32)</f>
        <v>NW</v>
      </c>
      <c r="X32" s="22">
        <f>VALUE(LEFT(C32,LEN(C32)-3))</f>
        <v>827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{"issue":{"subject":"","project_id":79,"tracker_id":40,"status_id":1,"priority_id":2,"assigned_to_id":338,"start_date":"2017-10-17","description":"","custom_fields":[{"id":1,"name":"Subdivision","value":"NW"},{"id":4,"name":"Milepost","value":"5.7008"},{"id":17,"name":"Train ID","value":"827-17"},{"id":16,"name":"Locomotive ID","value":"4060"},{"id":130,"name":"Impact","value":""},{"id":150,"name":"Time of Event (Mountain Time)","value":"15:50:57"},{"id":151,"name":"Denver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/c/Users/stu/AppData/Local/Temp/OnboardLogs/RTDC4060 --include="*4060*201710172*"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"%USERPROFILE%\AppData\Local\Temp\OnboardLogs"\RTDC4060\*4060*201710172* &gt;&gt; 2017-10-17-SliceDisagreementCheck.txt</v>
      </c>
      <c r="AE32" s="145" t="str">
        <f t="shared" si="1"/>
        <v>start /low /b %USERPROFILE%\Documents\GitHub\eaglep3\Utilities\DownloadLogsFromS3.py --loco 4060 --day 2017-10-17</v>
      </c>
      <c r="AF32" s="1"/>
    </row>
    <row r="33" spans="1:32" x14ac:dyDescent="0.3">
      <c r="A33" s="31">
        <v>43025.371203703704</v>
      </c>
      <c r="B33" s="30" t="s">
        <v>440</v>
      </c>
      <c r="C33" s="30" t="s">
        <v>613</v>
      </c>
      <c r="D33" s="30" t="s">
        <v>49</v>
      </c>
      <c r="E33" s="30" t="s">
        <v>179</v>
      </c>
      <c r="F33" s="42">
        <v>0</v>
      </c>
      <c r="G33" s="42">
        <v>23</v>
      </c>
      <c r="H33" s="42">
        <v>629</v>
      </c>
      <c r="I33" s="42">
        <v>614</v>
      </c>
      <c r="J33" s="30" t="s">
        <v>180</v>
      </c>
      <c r="K33" s="42">
        <v>575</v>
      </c>
      <c r="L33" s="131" t="s">
        <v>51</v>
      </c>
      <c r="M33" s="132">
        <f>CONVERT((I33-K33)/10000,"mi","ft")*IF(L33="Increasing Mileposts (1)",-1,1)</f>
        <v>20.591999999999999</v>
      </c>
      <c r="N33" s="133" t="str">
        <f>VLOOKUP(C33,'Trips&amp;Operators'!$C$1:$G$99911,5,FALSE)</f>
        <v>ROMERO CHAD</v>
      </c>
      <c r="O33" s="176" t="s">
        <v>178</v>
      </c>
      <c r="P33" s="134"/>
      <c r="Q33" s="30"/>
      <c r="R33" s="81" t="str">
        <f>VLOOKUP(C33,'Train Runs'!$A$13:$AE$10040,31,0)</f>
        <v>aws s3 cp s3://rtdc.mdm.uploadarchive.raw/RTDC4031/ "%USERPROFILE%\AppData\Local\Temp\OnboardLogs"\RTDC4031\2017-10-17 --exclude "*" --recursive --include "*20171017*" &amp; "%USERPROFILE%\Documents\GitHub\mrs-test-scripts\Headless Mode &amp; Sideloading\WalkAndUnGZ.bat" "%USERPROFILE%\AppData\Local\Temp\OnboardLogs"\RTDC4031\2017-10-17 &amp; aws s3 cp s3://rtdc.mdm.uploadarchive.raw/RTDC4031/ "%USERPROFILE%\AppData\Local\Temp\OnboardLogs"\RTDC4031\2017-10-18 --exclude "*" --recursive --include "*20171018*" &amp; "%USERPROFILE%\Documents\GitHub\mrs-test-scripts\Headless Mode &amp; Sideloading\WalkAndUnGZ.bat" "%USERPROFILE%\AppData\Local\Temp\OnboardLogs"\RTDC4031\2017-10-18</v>
      </c>
      <c r="S33" s="84" t="str">
        <f>VLOOKUP(C33,'Train Runs'!$A$13:$AE$10040,22,0)</f>
        <v>https://d0f6bd738d7f1b3e5a7ca70fe4ff75f0.us-east-1.aws.found.io/app/kibana#/discover/Steve-Slow-Train-Analysis-(2080s-and-2083s)?_g=(refreshInterval:(display:Off,pause:!f,section:0,value:0),time:(from:'2017-10-17T07:27:06-0600',mode:absolute,to:'2017-10-17T09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/stypes="*4031*201710171*" /stext=" 14:.+((SYSTEM_STATE.+slice.+state.+changed )|(ment ac)|(multiple cpu faults)|(system.+state.+changed )|(\[timeout)|(PRM\|1\|D)|(kpr)|(kdp)|(train st.+moving)|(\|lc)|(penalty))"</v>
      </c>
      <c r="U33" s="9" t="str">
        <f>MID(B33,13,4)</f>
        <v>4031</v>
      </c>
      <c r="V33" s="31">
        <f>A33-utc_offset/24</f>
        <v>43025.621203703704</v>
      </c>
      <c r="W33" s="45" t="str">
        <f>DetSubdiv(C33)</f>
        <v>NW</v>
      </c>
      <c r="X33" s="22">
        <f>VALUE(LEFT(C33,LEN(C33)-3))</f>
        <v>812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{"issue":{"subject":"","project_id":79,"tracker_id":40,"status_id":1,"priority_id":2,"assigned_to_id":338,"start_date":"2017-10-17","description":"","custom_fields":[{"id":1,"name":"Subdivision","value":"NW"},{"id":4,"name":"Milepost","value":"0.0575"},{"id":17,"name":"Train ID","value":"812-17"},{"id":16,"name":"Locomotive ID","value":"4031"},{"id":130,"name":"Impact","value":""},{"id":150,"name":"Time of Event (Mountain Time)","value":"08:54:32"},{"id":151,"name":"Denver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/c/Users/stu/AppData/Local/Temp/OnboardLogs/RTDC4031 --include="*4031*201710171*"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"%USERPROFILE%\AppData\Local\Temp\OnboardLogs"\RTDC4031\*4031*201710171* &gt;&gt; 2017-10-17-SliceDisagreementCheck.txt</v>
      </c>
      <c r="AE33" s="145" t="str">
        <f t="shared" si="1"/>
        <v>start /low /b %USERPROFILE%\Documents\GitHub\eaglep3\Utilities\DownloadLogsFromS3.py --loco 4031 --day 2017-10-17</v>
      </c>
      <c r="AF33" s="1"/>
    </row>
    <row r="34" spans="1:32" x14ac:dyDescent="0.3">
      <c r="A34" s="31">
        <v>43025.662106481483</v>
      </c>
      <c r="B34" s="30" t="s">
        <v>524</v>
      </c>
      <c r="C34" s="30" t="s">
        <v>630</v>
      </c>
      <c r="D34" s="30" t="s">
        <v>49</v>
      </c>
      <c r="E34" s="30" t="s">
        <v>179</v>
      </c>
      <c r="F34" s="42">
        <v>0</v>
      </c>
      <c r="G34" s="42">
        <v>134</v>
      </c>
      <c r="H34" s="42">
        <v>57912</v>
      </c>
      <c r="I34" s="42">
        <v>58167</v>
      </c>
      <c r="J34" s="30" t="s">
        <v>180</v>
      </c>
      <c r="K34" s="42">
        <v>59048</v>
      </c>
      <c r="L34" s="131" t="s">
        <v>50</v>
      </c>
      <c r="M34" s="132">
        <f>CONVERT((I34-K34)/10000,"mi","ft")*IF(L34="Increasing Mileposts (1)",-1,1)</f>
        <v>465.16800000000001</v>
      </c>
      <c r="N34" s="133" t="str">
        <f>VLOOKUP(C34,'Trips&amp;Operators'!$C$1:$G$99911,5,FALSE)</f>
        <v>STAMBAUGH JAMES</v>
      </c>
      <c r="O34" s="176" t="s">
        <v>178</v>
      </c>
      <c r="P34" s="134"/>
      <c r="Q34" s="30"/>
      <c r="R34" s="81" t="str">
        <f>VLOOKUP(C34,'Train Runs'!$A$13:$AE$10040,31,0)</f>
        <v>aws s3 cp s3://rtdc.mdm.uploadarchive.raw/RTDC4060/ "%USERPROFILE%\AppData\Local\Temp\OnboardLogs"\RTDC4060\2017-10-17 --exclude "*" --recursive --include "*20171017*" &amp; "%USERPROFILE%\Documents\GitHub\mrs-test-scripts\Headless Mode &amp; Sideloading\WalkAndUnGZ.bat" "%USERPROFILE%\AppData\Local\Temp\OnboardLogs"\RTDC4060\2017-10-17 &amp; aws s3 cp s3://rtdc.mdm.uploadarchive.raw/RTDC4060/ "%USERPROFILE%\AppData\Local\Temp\OnboardLogs"\RTDC4060\2017-10-18 --exclude "*" --recursive --include "*20171018*" &amp; "%USERPROFILE%\Documents\GitHub\mrs-test-scripts\Headless Mode &amp; Sideloading\WalkAndUnGZ.bat" "%USERPROFILE%\AppData\Local\Temp\OnboardLogs"\RTDC4060\2017-10-18</v>
      </c>
      <c r="S34" s="84" t="str">
        <f>VLOOKUP(C34,'Train Runs'!$A$13:$AE$10040,22,0)</f>
        <v>https://d0f6bd738d7f1b3e5a7ca70fe4ff75f0.us-east-1.aws.found.io/app/kibana#/discover/Steve-Slow-Train-Analysis-(2080s-and-2083s)?_g=(refreshInterval:(display:Off,pause:!f,section:0,value:0),time:(from:'2017-10-17T14:34:43-0600',mode:absolute,to:'2017-10-17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/stypes="*4060*201710172*" /stext=" 21:.+((SYSTEM_STATE.+slice.+state.+changed )|(ment ac)|(multiple cpu faults)|(system.+state.+changed )|(\[timeout)|(PRM\|1\|D)|(kpr)|(kdp)|(train st.+moving)|(\|lc)|(penalty))"</v>
      </c>
      <c r="U34" s="9" t="str">
        <f>MID(B34,13,4)</f>
        <v>4060</v>
      </c>
      <c r="V34" s="31">
        <f>A34-utc_offset/24</f>
        <v>43025.912106481483</v>
      </c>
      <c r="W34" s="45" t="str">
        <f>DetSubdiv(C34)</f>
        <v>NW</v>
      </c>
      <c r="X34" s="22">
        <f>VALUE(LEFT(C34,LEN(C34)-3))</f>
        <v>827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{"issue":{"subject":"","project_id":79,"tracker_id":40,"status_id":1,"priority_id":2,"assigned_to_id":338,"start_date":"2017-10-17","description":"","custom_fields":[{"id":1,"name":"Subdivision","value":"NW"},{"id":4,"name":"Milepost","value":"5.9048"},{"id":17,"name":"Train ID","value":"827-17"},{"id":16,"name":"Locomotive ID","value":"4060"},{"id":130,"name":"Impact","value":""},{"id":150,"name":"Time of Event (Mountain Time)","value":"15:53:26"},{"id":151,"name":"Denver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/c/Users/stu/AppData/Local/Temp/OnboardLogs/RTDC4060 --include="*4060*201710172*"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"%USERPROFILE%\AppData\Local\Temp\OnboardLogs"\RTDC4060\*4060*201710172* &gt;&gt; 2017-10-17-SliceDisagreementCheck.txt</v>
      </c>
      <c r="AE34" s="145" t="str">
        <f t="shared" si="1"/>
        <v>start /low /b %USERPROFILE%\Documents\GitHub\eaglep3\Utilities\DownloadLogsFromS3.py --loco 4060 --day 2017-10-17</v>
      </c>
      <c r="AF34" s="1"/>
    </row>
    <row r="35" spans="1:32" x14ac:dyDescent="0.3">
      <c r="A35" s="31">
        <v>43025.97347222222</v>
      </c>
      <c r="B35" s="30" t="s">
        <v>439</v>
      </c>
      <c r="C35" s="30" t="s">
        <v>634</v>
      </c>
      <c r="D35" s="30" t="s">
        <v>49</v>
      </c>
      <c r="E35" s="30" t="s">
        <v>179</v>
      </c>
      <c r="F35" s="42">
        <v>0</v>
      </c>
      <c r="G35" s="42">
        <v>118</v>
      </c>
      <c r="H35" s="42">
        <v>58615</v>
      </c>
      <c r="I35" s="42">
        <v>58796</v>
      </c>
      <c r="J35" s="30" t="s">
        <v>180</v>
      </c>
      <c r="K35" s="42">
        <v>59048</v>
      </c>
      <c r="L35" s="131" t="s">
        <v>50</v>
      </c>
      <c r="M35" s="132">
        <f>CONVERT((I35-K35)/10000,"mi","ft")*IF(L35="Increasing Mileposts (1)",-1,1)</f>
        <v>133.05600000000001</v>
      </c>
      <c r="N35" s="133" t="str">
        <f>VLOOKUP(C35,'Trips&amp;Operators'!$C$1:$G$99911,5,FALSE)</f>
        <v>STAMBAUGH JAMES</v>
      </c>
      <c r="O35" s="176" t="s">
        <v>178</v>
      </c>
      <c r="P35" s="134"/>
      <c r="Q35" s="30"/>
      <c r="R35" s="81" t="str">
        <f>VLOOKUP(C35,'Train Runs'!$A$13:$AE$10040,31,0)</f>
        <v>aws s3 cp s3://rtdc.mdm.uploadarchive.raw/RTDC4032/ "%USERPROFILE%\AppData\Local\Temp\OnboardLogs"\RTDC4032\2017-10-17 --exclude "*" --recursive --include "*20171017*" &amp; "%USERPROFILE%\Documents\GitHub\mrs-test-scripts\Headless Mode &amp; Sideloading\WalkAndUnGZ.bat" "%USERPROFILE%\AppData\Local\Temp\OnboardLogs"\RTDC4032\2017-10-17 &amp; aws s3 cp s3://rtdc.mdm.uploadarchive.raw/RTDC4032/ "%USERPROFILE%\AppData\Local\Temp\OnboardLogs"\RTDC4032\2017-10-18 --exclude "*" --recursive --include "*20171018*" &amp; "%USERPROFILE%\Documents\GitHub\mrs-test-scripts\Headless Mode &amp; Sideloading\WalkAndUnGZ.bat" "%USERPROFILE%\AppData\Local\Temp\OnboardLogs"\RTDC4032\2017-10-18</v>
      </c>
      <c r="S35" s="84" t="str">
        <f>VLOOKUP(C35,'Train Runs'!$A$13:$AE$10040,22,0)</f>
        <v>https://d0f6bd738d7f1b3e5a7ca70fe4ff75f0.us-east-1.aws.found.io/app/kibana#/discover/Steve-Slow-Train-Analysis-(2080s-and-2083s)?_g=(refreshInterval:(display:Off,pause:!f,section:0,value:0),time:(from:'2017-10-17T22:06:08-0600',mode:absolute,to:'2017-10-18T00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/stypes="*4032*201710180*" /stext=" 05:.+((SYSTEM_STATE.+slice.+state.+changed )|(ment ac)|(multiple cpu faults)|(system.+state.+changed )|(\[timeout)|(PRM\|1\|D)|(kpr)|(kdp)|(train st.+moving)|(\|lc)|(penalty))"</v>
      </c>
      <c r="U35" s="9" t="str">
        <f>MID(B35,13,4)</f>
        <v>4032</v>
      </c>
      <c r="V35" s="31">
        <f>A35-utc_offset/24</f>
        <v>43026.22347222222</v>
      </c>
      <c r="W35" s="45" t="str">
        <f>DetSubdiv(C35)</f>
        <v>NW</v>
      </c>
      <c r="X35" s="22">
        <f>VALUE(LEFT(C35,LEN(C35)-3))</f>
        <v>849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{"issue":{"subject":"","project_id":79,"tracker_id":40,"status_id":1,"priority_id":2,"assigned_to_id":338,"start_date":"2017-10-17","description":"","custom_fields":[{"id":1,"name":"Subdivision","value":"NW"},{"id":4,"name":"Milepost","value":"5.9048"},{"id":17,"name":"Train ID","value":"849-17"},{"id":16,"name":"Locomotive ID","value":"4032"},{"id":130,"name":"Impact","value":""},{"id":150,"name":"Time of Event (Mountain Time)","value":"23:21:48"},{"id":151,"name":"Denver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/c/Users/stu/AppData/Local/Temp/OnboardLogs/RTDC4032 --include="*4032*201710180*"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"%USERPROFILE%\AppData\Local\Temp\OnboardLogs"\RTDC4032\*4032*201710180* &gt;&gt; 2017-10-17-SliceDisagreementCheck.txt</v>
      </c>
      <c r="AE35" s="145" t="str">
        <f t="shared" si="1"/>
        <v>start /low /b %USERPROFILE%\Documents\GitHub\eaglep3\Utilities\DownloadLogsFromS3.py --loco 4032 --day 2017-10-18</v>
      </c>
      <c r="AF35" s="1"/>
    </row>
    <row r="36" spans="1:32" x14ac:dyDescent="0.3">
      <c r="A36" s="31">
        <v>43025.793379629627</v>
      </c>
      <c r="B36" s="30" t="s">
        <v>529</v>
      </c>
      <c r="C36" s="30" t="s">
        <v>633</v>
      </c>
      <c r="D36" s="30" t="s">
        <v>49</v>
      </c>
      <c r="E36" s="30" t="s">
        <v>433</v>
      </c>
      <c r="F36" s="42">
        <v>0</v>
      </c>
      <c r="G36" s="42">
        <v>162</v>
      </c>
      <c r="H36" s="42">
        <v>30818</v>
      </c>
      <c r="I36" s="42">
        <v>30521</v>
      </c>
      <c r="J36" s="30" t="s">
        <v>434</v>
      </c>
      <c r="K36" s="42">
        <v>30521</v>
      </c>
      <c r="L36" s="131" t="s">
        <v>51</v>
      </c>
      <c r="M36" s="132">
        <f>CONVERT((I36-K36)/10000,"mi","ft")*IF(L36="Increasing Mileposts (1)",-1,1)</f>
        <v>0</v>
      </c>
      <c r="N36" s="133" t="str">
        <f>VLOOKUP(C36,'Trips&amp;Operators'!$C$1:$G$99911,5,FALSE)</f>
        <v>STAMBAUGH JAMES</v>
      </c>
      <c r="O36" s="176" t="s">
        <v>178</v>
      </c>
      <c r="P36" s="134" t="s">
        <v>1005</v>
      </c>
      <c r="Q36" s="30"/>
      <c r="R36" s="81" t="e">
        <f>VLOOKUP(C36,'Train Runs'!$A$13:$AE$10040,31,0)</f>
        <v>#N/A</v>
      </c>
      <c r="S36" s="84" t="e">
        <f>VLOOKUP(C36,'Train Runs'!$A$13:$AE$10040,22,0)</f>
        <v>#N/A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/stypes="*4059*201710180*" /stext=" 01:.+((SYSTEM_STATE.+slice.+state.+changed )|(ment ac)|(multiple cpu faults)|(system.+state.+changed )|(\[timeout)|(PRM\|1\|D)|(kpr)|(kdp)|(train st.+moving)|(\|lc)|(penalty))"</v>
      </c>
      <c r="U36" s="9" t="str">
        <f>MID(B36,13,4)</f>
        <v>4059</v>
      </c>
      <c r="V36" s="31">
        <f>A36-utc_offset/24</f>
        <v>43026.043379629627</v>
      </c>
      <c r="W36" s="45" t="str">
        <f>DetSubdiv(C36)</f>
        <v>Other</v>
      </c>
      <c r="X36" s="22">
        <f>VALUE(LEFT(C36,LEN(C36)-3))</f>
        <v>906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{"issue":{"subject":"Wi-MAX data drop, reported as Trip 904 (Inc ID 55656)","project_id":79,"tracker_id":40,"status_id":1,"priority_id":2,"assigned_to_id":338,"start_date":"2017-10-17","description":"","custom_fields":[{"id":1,"name":"Subdivision","value":"Other"},{"id":4,"name":"Milepost","value":"3.0521"},{"id":17,"name":"Train ID","value":"906-17"},{"id":16,"name":"Locomotive ID","value":"4059"},{"id":130,"name":"Impact","value":""},{"id":150,"name":"Time of Event (Mountain Time)","value":"19:02:28"},{"id":151,"name":"Denver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/c/Users/stu/AppData/Local/Temp/OnboardLogs/RTDC4059 --include="*4059*201710180*"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"%USERPROFILE%\AppData\Local\Temp\OnboardLogs"\RTDC4059\*4059*201710180* &gt;&gt; 2017-10-17-SliceDisagreementCheck.txt</v>
      </c>
      <c r="AE36" s="145" t="str">
        <f t="shared" si="1"/>
        <v>start /low /b %USERPROFILE%\Documents\GitHub\eaglep3\Utilities\DownloadLogsFromS3.py --loco 4059 --day 2017-10-18</v>
      </c>
      <c r="AF36" s="1"/>
    </row>
    <row r="37" spans="1:32" x14ac:dyDescent="0.3">
      <c r="A37" s="31">
        <v>43025.412291666667</v>
      </c>
      <c r="B37" s="30" t="s">
        <v>615</v>
      </c>
      <c r="C37" s="30" t="s">
        <v>616</v>
      </c>
      <c r="D37" s="30" t="s">
        <v>49</v>
      </c>
      <c r="E37" s="30" t="s">
        <v>179</v>
      </c>
      <c r="F37" s="42">
        <v>0</v>
      </c>
      <c r="G37" s="42">
        <v>33</v>
      </c>
      <c r="H37" s="42">
        <v>949</v>
      </c>
      <c r="I37" s="42">
        <v>926</v>
      </c>
      <c r="J37" s="30" t="s">
        <v>180</v>
      </c>
      <c r="K37" s="42">
        <v>826</v>
      </c>
      <c r="L37" s="131" t="s">
        <v>51</v>
      </c>
      <c r="M37" s="132">
        <f>CONVERT((I37-K37)/10000,"mi","ft")*IF(L37="Increasing Mileposts (1)",-1,1)</f>
        <v>52.8</v>
      </c>
      <c r="N37" s="133" t="str">
        <f>VLOOKUP(C37,'Trips&amp;Operators'!$C$1:$G$99911,5,FALSE)</f>
        <v>YANG JAN</v>
      </c>
      <c r="O37" s="176" t="s">
        <v>178</v>
      </c>
      <c r="P37" s="134"/>
      <c r="Q37" s="30"/>
      <c r="R37" s="81" t="str">
        <f>VLOOKUP(C37,'Train Runs'!$A$13:$AE$10040,31,0)</f>
        <v>aws s3 cp s3://rtdc.mdm.uploadarchive.raw/RTDC4033/ "%USERPROFILE%\AppData\Local\Temp\OnboardLogs"\RTDC4033\2017-10-17 --exclude "*" --recursive --include "*20171017*" &amp; "%USERPROFILE%\Documents\GitHub\mrs-test-scripts\Headless Mode &amp; Sideloading\WalkAndUnGZ.bat" "%USERPROFILE%\AppData\Local\Temp\OnboardLogs"\RTDC4033\2017-10-17 &amp; aws s3 cp s3://rtdc.mdm.uploadarchive.raw/RTDC4033/ "%USERPROFILE%\AppData\Local\Temp\OnboardLogs"\RTDC4033\2017-10-18 --exclude "*" --recursive --include "*20171018*" &amp; "%USERPROFILE%\Documents\GitHub\mrs-test-scripts\Headless Mode &amp; Sideloading\WalkAndUnGZ.bat" "%USERPROFILE%\AppData\Local\Temp\OnboardLogs"\RTDC4033\2017-10-18</v>
      </c>
      <c r="S37" s="84" t="str">
        <f>VLOOKUP(C37,'Train Runs'!$A$13:$AE$10040,22,0)</f>
        <v>https://d0f6bd738d7f1b3e5a7ca70fe4ff75f0.us-east-1.aws.found.io/app/kibana#/discover/Steve-Slow-Train-Analysis-(2080s-and-2083s)?_g=(refreshInterval:(display:Off,pause:!f,section:0,value:0),time:(from:'2017-10-17T08:40:39-0600',mode:absolute,to:'2017-10-17T10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/stypes="*4033*201710171*" /stext=" 15:.+((SYSTEM_STATE.+slice.+state.+changed )|(ment ac)|(multiple cpu faults)|(system.+state.+changed )|(\[timeout)|(PRM\|1\|D)|(kpr)|(kdp)|(train st.+moving)|(\|lc)|(penalty))"</v>
      </c>
      <c r="U37" s="9" t="str">
        <f>MID(B37,13,4)</f>
        <v>4033</v>
      </c>
      <c r="V37" s="31">
        <f>A37-utc_offset/24</f>
        <v>43025.662291666667</v>
      </c>
      <c r="W37" s="45" t="str">
        <f>DetSubdiv(C37)</f>
        <v>Shuttle/Test</v>
      </c>
      <c r="X37" s="22">
        <f>VALUE(LEFT(C37,LEN(C37)-3))</f>
        <v>52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Shuttle/Test"},{"id":4,"name":"Milepost","value":"0.0826"},{"id":17,"name":"Train ID","value":"52-17"},{"id":16,"name":"Locomotive ID","value":"4033"},{"id":130,"name":"Impact","value":""},{"id":150,"name":"Time of Event (Mountain Time)","value":"09:53:42"},{"id":151,"name":"Denver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/c/Users/stu/AppData/Local/Temp/OnboardLogs/RTDC4033 --include="*4033*201710171*"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"%USERPROFILE%\AppData\Local\Temp\OnboardLogs"\RTDC4033\*4033*201710171* &gt;&gt; 2017-10-17-SliceDisagreementCheck.txt</v>
      </c>
      <c r="AE37" s="145" t="str">
        <f t="shared" si="1"/>
        <v>start /low /b %USERPROFILE%\Documents\GitHub\eaglep3\Utilities\DownloadLogsFromS3.py --loco 4033 --day 2017-10-17</v>
      </c>
      <c r="AF37" s="1"/>
    </row>
    <row r="38" spans="1:32" x14ac:dyDescent="0.3">
      <c r="A38" s="31">
        <v>43025.453368055554</v>
      </c>
      <c r="B38" s="30" t="s">
        <v>615</v>
      </c>
      <c r="C38" s="30" t="s">
        <v>619</v>
      </c>
      <c r="D38" s="30" t="s">
        <v>49</v>
      </c>
      <c r="E38" s="30" t="s">
        <v>179</v>
      </c>
      <c r="F38" s="42">
        <v>0</v>
      </c>
      <c r="G38" s="42">
        <v>19</v>
      </c>
      <c r="H38" s="42">
        <v>885</v>
      </c>
      <c r="I38" s="42">
        <v>869</v>
      </c>
      <c r="J38" s="30" t="s">
        <v>180</v>
      </c>
      <c r="K38" s="42">
        <v>826</v>
      </c>
      <c r="L38" s="131" t="s">
        <v>51</v>
      </c>
      <c r="M38" s="132">
        <f>CONVERT((I38-K38)/10000,"mi","ft")*IF(L38="Increasing Mileposts (1)",-1,1)</f>
        <v>22.704000000000001</v>
      </c>
      <c r="N38" s="133" t="str">
        <f>VLOOKUP(C38,'Trips&amp;Operators'!$C$1:$G$99911,5,FALSE)</f>
        <v>NELSON ARIANE</v>
      </c>
      <c r="O38" s="176" t="s">
        <v>178</v>
      </c>
      <c r="P38" s="134"/>
      <c r="Q38" s="30"/>
      <c r="R38" s="81" t="str">
        <f>VLOOKUP(C38,'Train Runs'!$A$13:$AE$10040,31,0)</f>
        <v>aws s3 cp s3://rtdc.mdm.uploadarchive.raw/RTDC4033/ "%USERPROFILE%\AppData\Local\Temp\OnboardLogs"\RTDC4033\2017-10-17 --exclude "*" --recursive --include "*20171017*" &amp; "%USERPROFILE%\Documents\GitHub\mrs-test-scripts\Headless Mode &amp; Sideloading\WalkAndUnGZ.bat" "%USERPROFILE%\AppData\Local\Temp\OnboardLogs"\RTDC4033\2017-10-17 &amp; aws s3 cp s3://rtdc.mdm.uploadarchive.raw/RTDC4033/ "%USERPROFILE%\AppData\Local\Temp\OnboardLogs"\RTDC4033\2017-10-18 --exclude "*" --recursive --include "*20171018*" &amp; "%USERPROFILE%\Documents\GitHub\mrs-test-scripts\Headless Mode &amp; Sideloading\WalkAndUnGZ.bat" "%USERPROFILE%\AppData\Local\Temp\OnboardLogs"\RTDC4033\2017-10-18</v>
      </c>
      <c r="S38" s="84" t="str">
        <f>VLOOKUP(C38,'Train Runs'!$A$13:$AE$10040,22,0)</f>
        <v>https://d0f6bd738d7f1b3e5a7ca70fe4ff75f0.us-east-1.aws.found.io/app/kibana#/discover/Steve-Slow-Train-Analysis-(2080s-and-2083s)?_g=(refreshInterval:(display:Off,pause:!f,section:0,value:0),time:(from:'2017-10-17T09:40:50-0600',mode:absolute,to:'2017-10-17T11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/stypes="*4033*201710171*" /stext=" 16:.+((SYSTEM_STATE.+slice.+state.+changed )|(ment ac)|(multiple cpu faults)|(system.+state.+changed )|(\[timeout)|(PRM\|1\|D)|(kpr)|(kdp)|(train st.+moving)|(\|lc)|(penalty))"</v>
      </c>
      <c r="U38" s="9" t="str">
        <f>MID(B38,13,4)</f>
        <v>4033</v>
      </c>
      <c r="V38" s="31">
        <f>A38-utc_offset/24</f>
        <v>43025.703368055554</v>
      </c>
      <c r="W38" s="45" t="str">
        <f>DetSubdiv(C38)</f>
        <v>Shuttle/Test</v>
      </c>
      <c r="X38" s="22">
        <f>VALUE(LEFT(C38,LEN(C38)-3))</f>
        <v>54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-17","description":"","custom_fields":[{"id":1,"name":"Subdivision","value":"Shuttle/Test"},{"id":4,"name":"Milepost","value":"0.0826"},{"id":17,"name":"Train ID","value":"54-17"},{"id":16,"name":"Locomotive ID","value":"4033"},{"id":130,"name":"Impact","value":""},{"id":150,"name":"Time of Event (Mountain Time)","value":"10:52:51"},{"id":151,"name":"Denver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/c/Users/stu/AppData/Local/Temp/OnboardLogs/RTDC4033 --include="*4033*201710171*"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"%USERPROFILE%\AppData\Local\Temp\OnboardLogs"\RTDC4033\*4033*201710171* &gt;&gt; 2017-10-17-SliceDisagreementCheck.txt</v>
      </c>
      <c r="AE38" s="145" t="str">
        <f t="shared" si="1"/>
        <v>start /low /b %USERPROFILE%\Documents\GitHub\eaglep3\Utilities\DownloadLogsFromS3.py --loco 4033 --day 2017-10-17</v>
      </c>
      <c r="AF38" s="1"/>
    </row>
    <row r="39" spans="1:32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41">
    <sortState ref="A7:AC41">
      <sortCondition ref="W7:W38"/>
      <sortCondition ref="E7:E38"/>
      <sortCondition ref="K7:K38"/>
      <sortCondition ref="F7:F3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7:O1048576">
    <cfRule type="cellIs" dxfId="5" priority="42" operator="equal">
      <formula>"Y"</formula>
    </cfRule>
  </conditionalFormatting>
  <conditionalFormatting sqref="O2:O3">
    <cfRule type="cellIs" dxfId="4" priority="33" operator="equal">
      <formula>"Y"</formula>
    </cfRule>
  </conditionalFormatting>
  <conditionalFormatting sqref="A7:N38">
    <cfRule type="expression" dxfId="3" priority="26">
      <formula>$O7="Y"</formula>
    </cfRule>
  </conditionalFormatting>
  <conditionalFormatting sqref="O7:O38">
    <cfRule type="cellIs" dxfId="2" priority="2" operator="equal">
      <formula>"Y"</formula>
    </cfRule>
  </conditionalFormatting>
  <conditionalFormatting sqref="O7:P38">
    <cfRule type="expression" dxfId="1" priority="1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6" t="str">
        <f>"Trips that did not appear in PTC Data "&amp;TEXT(Variables!$A$2,"YYYY-mm-dd")</f>
        <v>Trips that did not appear in PTC Data 2017-10-17</v>
      </c>
      <c r="C1" s="226"/>
      <c r="D1" s="226"/>
      <c r="E1" s="226"/>
      <c r="F1" s="226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-17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3" s="30" t="e">
        <f>VLOOKUP(B3,'Train Runs'!$A$13:$A$100037,1,FALSE)</f>
        <v>#N/A</v>
      </c>
    </row>
    <row r="4" spans="1:10" x14ac:dyDescent="0.3">
      <c r="A4" s="198"/>
      <c r="B4" s="42" t="str">
        <f>A4&amp;"-"&amp;IF(DAY(Variables!$A$2)&lt;10,0,"")&amp;DAY(Variables!$A$2)</f>
        <v>-17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4" s="30" t="e">
        <f>VLOOKUP(B4,'Train Runs'!$A$13:$A$100037,1,FALSE)</f>
        <v>#N/A</v>
      </c>
    </row>
    <row r="5" spans="1:10" x14ac:dyDescent="0.3">
      <c r="A5" s="198"/>
      <c r="B5" s="42" t="str">
        <f>A5&amp;"-"&amp;IF(DAY(Variables!$A$2)&lt;10,0,"")&amp;DAY(Variables!$A$2)</f>
        <v>-17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5" s="30" t="e">
        <f>VLOOKUP(B5,'Train Runs'!$A$13:$A$100037,1,FALSE)</f>
        <v>#N/A</v>
      </c>
    </row>
    <row r="6" spans="1:10" x14ac:dyDescent="0.3">
      <c r="A6" s="198"/>
      <c r="B6" s="42" t="str">
        <f>A6&amp;"-"&amp;IF(DAY(Variables!$A$2)&lt;10,0,"")&amp;DAY(Variables!$A$2)</f>
        <v>-17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6" s="30" t="e">
        <f>VLOOKUP(B6,'Train Runs'!$A$13:$A$100037,1,FALSE)</f>
        <v>#N/A</v>
      </c>
    </row>
    <row r="7" spans="1:10" x14ac:dyDescent="0.3">
      <c r="A7" s="198"/>
      <c r="B7" s="42" t="str">
        <f>A7&amp;"-"&amp;IF(DAY(Variables!$A$2)&lt;10,0,"")&amp;DAY(Variables!$A$2)</f>
        <v>-17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7" s="30" t="e">
        <f>VLOOKUP(B7,'Train Runs'!$A$13:$A$100037,1,FALSE)</f>
        <v>#N/A</v>
      </c>
    </row>
    <row r="8" spans="1:10" x14ac:dyDescent="0.3">
      <c r="A8" s="198"/>
      <c r="B8" s="42" t="str">
        <f>A8&amp;"-"&amp;IF(DAY(Variables!$A$2)&lt;10,0,"")&amp;DAY(Variables!$A$2)</f>
        <v>-17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8" s="30" t="e">
        <f>VLOOKUP(B8,'Train Runs'!$A$13:$A$100037,1,FALSE)</f>
        <v>#N/A</v>
      </c>
    </row>
    <row r="9" spans="1:10" x14ac:dyDescent="0.3">
      <c r="A9" s="198"/>
      <c r="B9" s="42" t="str">
        <f>A9&amp;"-"&amp;IF(DAY(Variables!$A$2)&lt;10,0,"")&amp;DAY(Variables!$A$2)</f>
        <v>-17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9" s="30" t="e">
        <f>VLOOKUP(B9,'Train Runs'!$A$13:$A$100037,1,FALSE)</f>
        <v>#N/A</v>
      </c>
    </row>
    <row r="10" spans="1:10" x14ac:dyDescent="0.3">
      <c r="A10" s="198"/>
      <c r="B10" s="42" t="str">
        <f>A10&amp;"-"&amp;IF(DAY(Variables!$A$2)&lt;10,0,"")&amp;DAY(Variables!$A$2)</f>
        <v>-17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0" s="30" t="e">
        <f>VLOOKUP(B10,'Train Runs'!$A$13:$A$100037,1,FALSE)</f>
        <v>#N/A</v>
      </c>
    </row>
    <row r="11" spans="1:10" x14ac:dyDescent="0.3">
      <c r="A11" s="198"/>
      <c r="B11" s="42" t="str">
        <f>A11&amp;"-"&amp;IF(DAY(Variables!$A$2)&lt;10,0,"")&amp;DAY(Variables!$A$2)</f>
        <v>-17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1" s="30" t="e">
        <f>VLOOKUP(B11,'Train Runs'!$A$13:$A$100037,1,FALSE)</f>
        <v>#N/A</v>
      </c>
    </row>
    <row r="12" spans="1:10" x14ac:dyDescent="0.3">
      <c r="A12" s="198"/>
      <c r="B12" s="42" t="str">
        <f>A12&amp;"-"&amp;IF(DAY(Variables!$A$2)&lt;10,0,"")&amp;DAY(Variables!$A$2)</f>
        <v>-17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2" s="30" t="e">
        <f>VLOOKUP(B12,'Train Runs'!$A$13:$A$100037,1,FALSE)</f>
        <v>#N/A</v>
      </c>
    </row>
    <row r="13" spans="1:10" x14ac:dyDescent="0.3">
      <c r="A13" s="198"/>
      <c r="B13" s="42" t="str">
        <f>A13&amp;"-"&amp;IF(DAY(Variables!$A$2)&lt;10,0,"")&amp;DAY(Variables!$A$2)</f>
        <v>-17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3" s="30" t="e">
        <f>VLOOKUP(B13,'Train Runs'!$A$13:$A$100037,1,FALSE)</f>
        <v>#N/A</v>
      </c>
    </row>
    <row r="14" spans="1:10" x14ac:dyDescent="0.3">
      <c r="A14" s="198"/>
      <c r="B14" s="42" t="str">
        <f>A14&amp;"-"&amp;IF(DAY(Variables!$A$2)&lt;10,0,"")&amp;DAY(Variables!$A$2)</f>
        <v>-17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4" s="30" t="e">
        <f>VLOOKUP(B14,'Train Runs'!$A$13:$A$100037,1,FALSE)</f>
        <v>#N/A</v>
      </c>
    </row>
    <row r="15" spans="1:10" x14ac:dyDescent="0.3">
      <c r="A15" s="198"/>
      <c r="B15" s="42" t="str">
        <f>A15&amp;"-"&amp;IF(DAY(Variables!$A$2)&lt;10,0,"")&amp;DAY(Variables!$A$2)</f>
        <v>-17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5" s="30" t="e">
        <f>VLOOKUP(B15,'Train Runs'!$A$13:$A$100037,1,FALSE)</f>
        <v>#N/A</v>
      </c>
    </row>
    <row r="16" spans="1:10" x14ac:dyDescent="0.3">
      <c r="A16" s="198"/>
      <c r="B16" s="42" t="str">
        <f>A16&amp;"-"&amp;IF(DAY(Variables!$A$2)&lt;10,0,"")&amp;DAY(Variables!$A$2)</f>
        <v>-17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6" s="30" t="e">
        <f>VLOOKUP(B16,'Train Runs'!$A$13:$A$100037,1,FALSE)</f>
        <v>#N/A</v>
      </c>
    </row>
    <row r="17" spans="1:10" x14ac:dyDescent="0.3">
      <c r="A17" s="198"/>
      <c r="B17" s="42" t="str">
        <f>A17&amp;"-"&amp;IF(DAY(Variables!$A$2)&lt;10,0,"")&amp;DAY(Variables!$A$2)</f>
        <v>-17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7" s="30" t="e">
        <f>VLOOKUP(B17,'Train Runs'!$A$13:$A$100037,1,FALSE)</f>
        <v>#N/A</v>
      </c>
    </row>
    <row r="18" spans="1:10" x14ac:dyDescent="0.3">
      <c r="A18" s="198"/>
      <c r="B18" s="42" t="str">
        <f>A18&amp;"-"&amp;IF(DAY(Variables!$A$2)&lt;10,0,"")&amp;DAY(Variables!$A$2)</f>
        <v>-17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-17%22)),sort:!(Time.ISO8601,asc))</v>
      </c>
      <c r="J18" s="30" t="e">
        <f>VLOOKUP(B18,'Train Runs'!$A$13:$A$100037,1,FALSE)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6"/>
  <sheetViews>
    <sheetView topLeftCell="A7" workbookViewId="0">
      <selection sqref="A1:F239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43025.047280092593</v>
      </c>
      <c r="B2" s="20" t="s">
        <v>467</v>
      </c>
      <c r="C2" s="20" t="s">
        <v>549</v>
      </c>
      <c r="D2" s="138">
        <v>890000</v>
      </c>
      <c r="E2" s="20" t="s">
        <v>358</v>
      </c>
      <c r="F2" s="20" t="s">
        <v>359</v>
      </c>
      <c r="G2" s="8" t="str">
        <f>E2&amp;" "&amp;F2</f>
        <v>LOZA FIDEL</v>
      </c>
      <c r="H2" t="str">
        <f>MID(B2,13,4)</f>
        <v>4030</v>
      </c>
    </row>
    <row r="3" spans="1:8" x14ac:dyDescent="0.3">
      <c r="A3" s="8">
        <v>43025.056122685186</v>
      </c>
      <c r="B3" s="20" t="s">
        <v>528</v>
      </c>
      <c r="C3" s="20" t="s">
        <v>550</v>
      </c>
      <c r="D3" s="138">
        <v>3040000</v>
      </c>
      <c r="E3" s="20" t="s">
        <v>471</v>
      </c>
      <c r="F3" s="20" t="s">
        <v>472</v>
      </c>
      <c r="G3" s="8" t="str">
        <f t="shared" ref="G3:G66" si="0">E3&amp;" "&amp;F3</f>
        <v>WILLIAMS DONTE</v>
      </c>
      <c r="H3" s="20" t="str">
        <f t="shared" ref="H3:H66" si="1">MID(B3,13,4)</f>
        <v>4019</v>
      </c>
    </row>
    <row r="4" spans="1:8" x14ac:dyDescent="0.3">
      <c r="A4" s="8">
        <v>43025.068252314813</v>
      </c>
      <c r="B4" s="20" t="s">
        <v>470</v>
      </c>
      <c r="C4" s="20" t="s">
        <v>551</v>
      </c>
      <c r="D4" s="138">
        <v>2680000</v>
      </c>
      <c r="E4" s="20" t="s">
        <v>364</v>
      </c>
      <c r="F4" s="20" t="s">
        <v>365</v>
      </c>
      <c r="G4" s="8" t="str">
        <f t="shared" si="0"/>
        <v>DUNCAN SHEILA</v>
      </c>
      <c r="H4" s="20" t="str">
        <f t="shared" si="1"/>
        <v>4026</v>
      </c>
    </row>
    <row r="5" spans="1:8" x14ac:dyDescent="0.3">
      <c r="A5" s="8">
        <v>43025.090671296297</v>
      </c>
      <c r="B5" s="20" t="s">
        <v>527</v>
      </c>
      <c r="C5" s="20" t="s">
        <v>552</v>
      </c>
      <c r="D5" s="138">
        <v>3040000</v>
      </c>
      <c r="E5" s="20" t="s">
        <v>471</v>
      </c>
      <c r="F5" s="20" t="s">
        <v>472</v>
      </c>
      <c r="G5" s="8" t="str">
        <f t="shared" si="0"/>
        <v>WILLIAMS DONTE</v>
      </c>
      <c r="H5" s="20" t="str">
        <f t="shared" si="1"/>
        <v>4020</v>
      </c>
    </row>
    <row r="6" spans="1:8" x14ac:dyDescent="0.3">
      <c r="A6" s="8">
        <v>43025.111828703702</v>
      </c>
      <c r="B6" s="20" t="s">
        <v>417</v>
      </c>
      <c r="C6" s="20" t="s">
        <v>553</v>
      </c>
      <c r="D6" s="138">
        <v>1830000</v>
      </c>
      <c r="E6" s="20" t="s">
        <v>375</v>
      </c>
      <c r="F6" s="20" t="s">
        <v>376</v>
      </c>
      <c r="G6" s="8" t="str">
        <f t="shared" si="0"/>
        <v>YORK EDGAR</v>
      </c>
      <c r="H6" s="20" t="str">
        <f t="shared" si="1"/>
        <v>4051</v>
      </c>
    </row>
    <row r="7" spans="1:8" x14ac:dyDescent="0.3">
      <c r="A7" s="8">
        <v>43025.125393518516</v>
      </c>
      <c r="B7" s="20" t="s">
        <v>492</v>
      </c>
      <c r="C7" s="20" t="s">
        <v>607</v>
      </c>
      <c r="D7" s="138">
        <v>1830000</v>
      </c>
      <c r="E7" s="20" t="s">
        <v>375</v>
      </c>
      <c r="F7" s="20" t="s">
        <v>376</v>
      </c>
      <c r="G7" s="8" t="str">
        <f t="shared" si="0"/>
        <v>YORK EDGAR</v>
      </c>
      <c r="H7" s="20" t="str">
        <f t="shared" si="1"/>
        <v>4016</v>
      </c>
    </row>
    <row r="8" spans="1:8" x14ac:dyDescent="0.3">
      <c r="A8" s="8">
        <v>43025.12945601852</v>
      </c>
      <c r="B8" s="20" t="s">
        <v>416</v>
      </c>
      <c r="C8" s="20" t="s">
        <v>637</v>
      </c>
      <c r="D8" s="138">
        <v>1110000</v>
      </c>
      <c r="E8" s="20" t="s">
        <v>538</v>
      </c>
      <c r="F8" s="20" t="s">
        <v>539</v>
      </c>
      <c r="G8" s="8" t="str">
        <f t="shared" si="0"/>
        <v>STARKS ANGELINA</v>
      </c>
      <c r="H8" s="20" t="str">
        <f t="shared" si="1"/>
        <v>4052</v>
      </c>
    </row>
    <row r="9" spans="1:8" ht="15" thickBot="1" x14ac:dyDescent="0.35">
      <c r="A9" s="24">
        <v>43025.138680555552</v>
      </c>
      <c r="B9" s="20" t="s">
        <v>469</v>
      </c>
      <c r="C9" s="20" t="s">
        <v>638</v>
      </c>
      <c r="D9" s="138">
        <v>940000</v>
      </c>
      <c r="E9" s="20" t="s">
        <v>639</v>
      </c>
      <c r="F9" s="20" t="s">
        <v>640</v>
      </c>
      <c r="G9" s="8" t="str">
        <f t="shared" si="0"/>
        <v>BONDS REYNALDO</v>
      </c>
      <c r="H9" s="20" t="str">
        <f t="shared" si="1"/>
        <v>4003</v>
      </c>
    </row>
    <row r="10" spans="1:8" x14ac:dyDescent="0.3">
      <c r="A10" s="8">
        <v>43025.140833333331</v>
      </c>
      <c r="B10" s="20" t="s">
        <v>417</v>
      </c>
      <c r="C10" s="20" t="s">
        <v>637</v>
      </c>
      <c r="D10" s="138">
        <v>1110000</v>
      </c>
      <c r="E10" s="20" t="s">
        <v>538</v>
      </c>
      <c r="F10" s="20" t="s">
        <v>539</v>
      </c>
      <c r="G10" s="8" t="str">
        <f t="shared" si="0"/>
        <v>STARKS ANGELINA</v>
      </c>
      <c r="H10" s="20" t="str">
        <f t="shared" si="1"/>
        <v>4051</v>
      </c>
    </row>
    <row r="11" spans="1:8" x14ac:dyDescent="0.3">
      <c r="A11" s="8">
        <v>43025.149837962963</v>
      </c>
      <c r="B11" s="20" t="s">
        <v>641</v>
      </c>
      <c r="C11" s="20" t="s">
        <v>642</v>
      </c>
      <c r="D11" s="138">
        <v>940000</v>
      </c>
      <c r="E11" s="20" t="s">
        <v>639</v>
      </c>
      <c r="F11" s="20" t="s">
        <v>640</v>
      </c>
      <c r="G11" s="8" t="str">
        <f t="shared" si="0"/>
        <v>BONDS REYNALDO</v>
      </c>
      <c r="H11" s="20" t="str">
        <f t="shared" si="1"/>
        <v>4004</v>
      </c>
    </row>
    <row r="12" spans="1:8" x14ac:dyDescent="0.3">
      <c r="A12" s="8">
        <v>43025.161400462966</v>
      </c>
      <c r="B12" s="20" t="s">
        <v>625</v>
      </c>
      <c r="C12" s="20" t="s">
        <v>643</v>
      </c>
      <c r="D12" s="138">
        <v>1830000</v>
      </c>
      <c r="E12" s="20" t="s">
        <v>375</v>
      </c>
      <c r="F12" s="20" t="s">
        <v>376</v>
      </c>
      <c r="G12" s="8" t="str">
        <f t="shared" si="0"/>
        <v>YORK EDGAR</v>
      </c>
      <c r="H12" s="20" t="str">
        <f t="shared" si="1"/>
        <v>4015</v>
      </c>
    </row>
    <row r="13" spans="1:8" x14ac:dyDescent="0.3">
      <c r="A13" s="8">
        <v>43025.161863425928</v>
      </c>
      <c r="B13" s="20" t="s">
        <v>526</v>
      </c>
      <c r="C13" s="20" t="s">
        <v>644</v>
      </c>
      <c r="D13" s="138">
        <v>1340000</v>
      </c>
      <c r="E13" s="20" t="s">
        <v>540</v>
      </c>
      <c r="F13" s="20" t="s">
        <v>541</v>
      </c>
      <c r="G13" s="8" t="str">
        <f t="shared" si="0"/>
        <v>BEAM ROSS</v>
      </c>
      <c r="H13" s="20" t="str">
        <f t="shared" si="1"/>
        <v>4049</v>
      </c>
    </row>
    <row r="14" spans="1:8" x14ac:dyDescent="0.3">
      <c r="A14" s="8">
        <v>43025.171898148146</v>
      </c>
      <c r="B14" s="20" t="s">
        <v>530</v>
      </c>
      <c r="C14" s="20" t="s">
        <v>645</v>
      </c>
      <c r="D14" s="138">
        <v>2530000</v>
      </c>
      <c r="E14" s="20" t="s">
        <v>495</v>
      </c>
      <c r="F14" s="20" t="s">
        <v>496</v>
      </c>
      <c r="G14" s="8" t="str">
        <f t="shared" si="0"/>
        <v>LALONDE GREGORY</v>
      </c>
      <c r="H14" s="20" t="str">
        <f t="shared" si="1"/>
        <v>4009</v>
      </c>
    </row>
    <row r="15" spans="1:8" x14ac:dyDescent="0.3">
      <c r="A15" s="8">
        <v>43025.172997685186</v>
      </c>
      <c r="B15" s="20" t="s">
        <v>525</v>
      </c>
      <c r="C15" s="20" t="s">
        <v>646</v>
      </c>
      <c r="D15" s="138">
        <v>1340000</v>
      </c>
      <c r="E15" s="20" t="s">
        <v>540</v>
      </c>
      <c r="F15" s="20" t="s">
        <v>541</v>
      </c>
      <c r="G15" s="8" t="str">
        <f t="shared" si="0"/>
        <v>BEAM ROSS</v>
      </c>
      <c r="H15" s="20" t="str">
        <f t="shared" si="1"/>
        <v>4050</v>
      </c>
    </row>
    <row r="16" spans="1:8" x14ac:dyDescent="0.3">
      <c r="A16" s="8">
        <v>43025.183668981481</v>
      </c>
      <c r="B16" s="20" t="s">
        <v>423</v>
      </c>
      <c r="C16" s="20" t="s">
        <v>647</v>
      </c>
      <c r="D16" s="138">
        <v>3090000</v>
      </c>
      <c r="E16" s="20" t="s">
        <v>498</v>
      </c>
      <c r="F16" s="20" t="s">
        <v>499</v>
      </c>
      <c r="G16" s="8" t="str">
        <f t="shared" si="0"/>
        <v>LAMAR NEKESHA</v>
      </c>
      <c r="H16" s="20" t="str">
        <f t="shared" si="1"/>
        <v>4035</v>
      </c>
    </row>
    <row r="17" spans="1:8" x14ac:dyDescent="0.3">
      <c r="A17" s="8">
        <v>43025.183923611112</v>
      </c>
      <c r="B17" s="20" t="s">
        <v>533</v>
      </c>
      <c r="C17" s="20" t="s">
        <v>648</v>
      </c>
      <c r="D17" s="138">
        <v>2530000</v>
      </c>
      <c r="E17" s="20" t="s">
        <v>495</v>
      </c>
      <c r="F17" s="20" t="s">
        <v>496</v>
      </c>
      <c r="G17" s="8" t="str">
        <f t="shared" si="0"/>
        <v>LALONDE GREGORY</v>
      </c>
      <c r="H17" s="20" t="str">
        <f t="shared" si="1"/>
        <v>4010</v>
      </c>
    </row>
    <row r="18" spans="1:8" x14ac:dyDescent="0.3">
      <c r="A18" s="8">
        <v>43025.192824074074</v>
      </c>
      <c r="B18" s="20" t="s">
        <v>469</v>
      </c>
      <c r="C18" s="20" t="s">
        <v>649</v>
      </c>
      <c r="D18" s="138">
        <v>940000</v>
      </c>
      <c r="E18" s="20" t="s">
        <v>639</v>
      </c>
      <c r="F18" s="20" t="s">
        <v>640</v>
      </c>
      <c r="G18" s="8" t="str">
        <f t="shared" si="0"/>
        <v>BONDS REYNALDO</v>
      </c>
      <c r="H18" s="20" t="str">
        <f t="shared" si="1"/>
        <v>4003</v>
      </c>
    </row>
    <row r="19" spans="1:8" x14ac:dyDescent="0.3">
      <c r="A19" s="8">
        <v>43025.194305555553</v>
      </c>
      <c r="B19" s="20" t="s">
        <v>399</v>
      </c>
      <c r="C19" s="20" t="s">
        <v>650</v>
      </c>
      <c r="D19" s="138">
        <v>1230000</v>
      </c>
      <c r="E19" s="20" t="s">
        <v>536</v>
      </c>
      <c r="F19" s="20" t="s">
        <v>537</v>
      </c>
      <c r="G19" s="8" t="str">
        <f t="shared" si="0"/>
        <v>YANAI IAN</v>
      </c>
      <c r="H19" s="20" t="str">
        <f t="shared" si="1"/>
        <v>4065</v>
      </c>
    </row>
    <row r="20" spans="1:8" x14ac:dyDescent="0.3">
      <c r="A20" s="8">
        <v>43025.195590277777</v>
      </c>
      <c r="B20" s="20" t="s">
        <v>412</v>
      </c>
      <c r="C20" s="20" t="s">
        <v>651</v>
      </c>
      <c r="D20" s="138">
        <v>3090000</v>
      </c>
      <c r="E20" s="20" t="s">
        <v>498</v>
      </c>
      <c r="F20" s="20" t="s">
        <v>499</v>
      </c>
      <c r="G20" s="8" t="str">
        <f t="shared" si="0"/>
        <v>LAMAR NEKESHA</v>
      </c>
      <c r="H20" s="20" t="str">
        <f t="shared" si="1"/>
        <v>4036</v>
      </c>
    </row>
    <row r="21" spans="1:8" x14ac:dyDescent="0.3">
      <c r="A21" s="8">
        <v>43025.198287037034</v>
      </c>
      <c r="B21" s="20" t="s">
        <v>524</v>
      </c>
      <c r="C21" s="20" t="s">
        <v>652</v>
      </c>
      <c r="D21" s="138">
        <v>2730000</v>
      </c>
      <c r="E21" s="20" t="s">
        <v>531</v>
      </c>
      <c r="F21" s="20" t="s">
        <v>532</v>
      </c>
      <c r="G21" s="8" t="str">
        <f t="shared" si="0"/>
        <v>YANG JAN</v>
      </c>
      <c r="H21" s="20" t="str">
        <f t="shared" si="1"/>
        <v>4060</v>
      </c>
    </row>
    <row r="22" spans="1:8" x14ac:dyDescent="0.3">
      <c r="A22" s="26">
        <v>43025.203379629631</v>
      </c>
      <c r="B22" s="20" t="s">
        <v>526</v>
      </c>
      <c r="C22" s="20" t="s">
        <v>608</v>
      </c>
      <c r="D22" s="138">
        <v>1340000</v>
      </c>
      <c r="E22" s="20" t="s">
        <v>540</v>
      </c>
      <c r="F22" s="20" t="s">
        <v>541</v>
      </c>
      <c r="G22" s="8" t="str">
        <f t="shared" si="0"/>
        <v>BEAM ROSS</v>
      </c>
      <c r="H22" s="20" t="str">
        <f t="shared" si="1"/>
        <v>4049</v>
      </c>
    </row>
    <row r="23" spans="1:8" x14ac:dyDescent="0.3">
      <c r="A23" s="8">
        <v>43025.203553240739</v>
      </c>
      <c r="B23" s="20" t="s">
        <v>492</v>
      </c>
      <c r="C23" s="20" t="s">
        <v>653</v>
      </c>
      <c r="D23" s="138">
        <v>1830000</v>
      </c>
      <c r="E23" s="20" t="s">
        <v>375</v>
      </c>
      <c r="F23" s="20" t="s">
        <v>376</v>
      </c>
      <c r="G23" s="8" t="str">
        <f t="shared" si="0"/>
        <v>YORK EDGAR</v>
      </c>
      <c r="H23" s="20" t="str">
        <f t="shared" si="1"/>
        <v>4016</v>
      </c>
    </row>
    <row r="24" spans="1:8" x14ac:dyDescent="0.3">
      <c r="A24" s="8">
        <v>43025.210590277777</v>
      </c>
      <c r="B24" s="20" t="s">
        <v>529</v>
      </c>
      <c r="C24" s="20" t="s">
        <v>654</v>
      </c>
      <c r="D24" s="138">
        <v>2730000</v>
      </c>
      <c r="E24" s="20" t="s">
        <v>531</v>
      </c>
      <c r="F24" s="20" t="s">
        <v>532</v>
      </c>
      <c r="G24" s="8" t="str">
        <f t="shared" si="0"/>
        <v>YANG JAN</v>
      </c>
      <c r="H24" s="20" t="str">
        <f t="shared" si="1"/>
        <v>4059</v>
      </c>
    </row>
    <row r="25" spans="1:8" x14ac:dyDescent="0.3">
      <c r="A25" s="8">
        <v>43025.213472222225</v>
      </c>
      <c r="B25" s="20" t="s">
        <v>530</v>
      </c>
      <c r="C25" s="20" t="s">
        <v>655</v>
      </c>
      <c r="D25" s="138">
        <v>2530000</v>
      </c>
      <c r="E25" s="20" t="s">
        <v>495</v>
      </c>
      <c r="F25" s="20" t="s">
        <v>496</v>
      </c>
      <c r="G25" s="8" t="str">
        <f t="shared" si="0"/>
        <v>LALONDE GREGORY</v>
      </c>
      <c r="H25" s="20" t="str">
        <f t="shared" si="1"/>
        <v>4009</v>
      </c>
    </row>
    <row r="26" spans="1:8" x14ac:dyDescent="0.3">
      <c r="A26" s="8">
        <v>43025.214502314811</v>
      </c>
      <c r="B26" s="20" t="s">
        <v>398</v>
      </c>
      <c r="C26" s="20" t="s">
        <v>656</v>
      </c>
      <c r="D26" s="138">
        <v>1230000</v>
      </c>
      <c r="E26" s="20" t="s">
        <v>536</v>
      </c>
      <c r="F26" s="20" t="s">
        <v>537</v>
      </c>
      <c r="G26" s="8" t="str">
        <f t="shared" si="0"/>
        <v>YANAI IAN</v>
      </c>
      <c r="H26" s="20" t="str">
        <f t="shared" si="1"/>
        <v>4066</v>
      </c>
    </row>
    <row r="27" spans="1:8" x14ac:dyDescent="0.3">
      <c r="A27" s="8">
        <v>43025.223715277774</v>
      </c>
      <c r="B27" s="20" t="s">
        <v>436</v>
      </c>
      <c r="C27" s="20" t="s">
        <v>657</v>
      </c>
      <c r="D27" s="138">
        <v>2560000</v>
      </c>
      <c r="E27" s="20" t="s">
        <v>497</v>
      </c>
      <c r="F27" s="20" t="s">
        <v>473</v>
      </c>
      <c r="G27" s="8" t="str">
        <f t="shared" si="0"/>
        <v>MACDONALD THOMAS</v>
      </c>
      <c r="H27" s="20" t="str">
        <f t="shared" si="1"/>
        <v>4013</v>
      </c>
    </row>
    <row r="28" spans="1:8" x14ac:dyDescent="0.3">
      <c r="A28" s="8">
        <v>43025.225787037038</v>
      </c>
      <c r="B28" s="20" t="s">
        <v>641</v>
      </c>
      <c r="C28" s="20" t="s">
        <v>658</v>
      </c>
      <c r="D28" s="138">
        <v>940000</v>
      </c>
      <c r="E28" s="20" t="s">
        <v>639</v>
      </c>
      <c r="F28" s="20" t="s">
        <v>640</v>
      </c>
      <c r="G28" s="8" t="str">
        <f t="shared" si="0"/>
        <v>BONDS REYNALDO</v>
      </c>
      <c r="H28" s="20" t="str">
        <f t="shared" si="1"/>
        <v>4004</v>
      </c>
    </row>
    <row r="29" spans="1:8" x14ac:dyDescent="0.3">
      <c r="A29" s="8">
        <v>43025.231041666666</v>
      </c>
      <c r="B29" s="20" t="s">
        <v>524</v>
      </c>
      <c r="C29" s="20" t="s">
        <v>659</v>
      </c>
      <c r="D29" s="138">
        <v>2730000</v>
      </c>
      <c r="E29" s="20" t="s">
        <v>531</v>
      </c>
      <c r="F29" s="20" t="s">
        <v>532</v>
      </c>
      <c r="G29" s="8" t="str">
        <f t="shared" si="0"/>
        <v>YANG JAN</v>
      </c>
      <c r="H29" s="20" t="str">
        <f t="shared" si="1"/>
        <v>4060</v>
      </c>
    </row>
    <row r="30" spans="1:8" x14ac:dyDescent="0.3">
      <c r="A30" s="8">
        <v>43025.234907407408</v>
      </c>
      <c r="B30" s="20" t="s">
        <v>625</v>
      </c>
      <c r="C30" s="20" t="s">
        <v>660</v>
      </c>
      <c r="D30" s="138">
        <v>1830000</v>
      </c>
      <c r="E30" s="20" t="s">
        <v>375</v>
      </c>
      <c r="F30" s="20" t="s">
        <v>376</v>
      </c>
      <c r="G30" s="8" t="str">
        <f t="shared" si="0"/>
        <v>YORK EDGAR</v>
      </c>
      <c r="H30" s="20" t="str">
        <f t="shared" si="1"/>
        <v>4015</v>
      </c>
    </row>
    <row r="31" spans="1:8" x14ac:dyDescent="0.3">
      <c r="A31" s="8">
        <v>43025.235879629632</v>
      </c>
      <c r="B31" s="20" t="s">
        <v>423</v>
      </c>
      <c r="C31" s="20" t="s">
        <v>661</v>
      </c>
      <c r="D31" s="138">
        <v>3090000</v>
      </c>
      <c r="E31" s="20" t="s">
        <v>498</v>
      </c>
      <c r="F31" s="20" t="s">
        <v>499</v>
      </c>
      <c r="G31" s="8" t="str">
        <f t="shared" si="0"/>
        <v>LAMAR NEKESHA</v>
      </c>
      <c r="H31" s="20" t="str">
        <f t="shared" si="1"/>
        <v>4035</v>
      </c>
    </row>
    <row r="32" spans="1:8" x14ac:dyDescent="0.3">
      <c r="A32" s="8">
        <v>43025.236516203702</v>
      </c>
      <c r="B32" s="20" t="s">
        <v>438</v>
      </c>
      <c r="C32" s="20" t="s">
        <v>662</v>
      </c>
      <c r="D32" s="138">
        <v>2560000</v>
      </c>
      <c r="E32" s="20" t="s">
        <v>497</v>
      </c>
      <c r="F32" s="20" t="s">
        <v>473</v>
      </c>
      <c r="G32" s="8" t="str">
        <f t="shared" si="0"/>
        <v>MACDONALD THOMAS</v>
      </c>
      <c r="H32" s="20" t="str">
        <f t="shared" si="1"/>
        <v>4014</v>
      </c>
    </row>
    <row r="33" spans="1:8" x14ac:dyDescent="0.3">
      <c r="A33" s="8">
        <v>43025.237986111111</v>
      </c>
      <c r="B33" s="20" t="s">
        <v>440</v>
      </c>
      <c r="C33" s="20" t="s">
        <v>663</v>
      </c>
      <c r="D33" s="138">
        <v>2470000</v>
      </c>
      <c r="E33" s="20" t="s">
        <v>664</v>
      </c>
      <c r="F33" s="20" t="s">
        <v>665</v>
      </c>
      <c r="G33" s="8" t="str">
        <f t="shared" si="0"/>
        <v>ROMERO CHAD</v>
      </c>
      <c r="H33" s="20" t="str">
        <f t="shared" si="1"/>
        <v>4031</v>
      </c>
    </row>
    <row r="34" spans="1:8" x14ac:dyDescent="0.3">
      <c r="A34" s="8">
        <v>43025.245729166665</v>
      </c>
      <c r="B34" s="20" t="s">
        <v>399</v>
      </c>
      <c r="C34" s="20" t="s">
        <v>666</v>
      </c>
      <c r="D34" s="138">
        <v>1230000</v>
      </c>
      <c r="E34" s="20" t="s">
        <v>536</v>
      </c>
      <c r="F34" s="20" t="s">
        <v>537</v>
      </c>
      <c r="G34" s="8" t="str">
        <f t="shared" si="0"/>
        <v>YANAI IAN</v>
      </c>
      <c r="H34" s="20" t="str">
        <f t="shared" si="1"/>
        <v>4065</v>
      </c>
    </row>
    <row r="35" spans="1:8" x14ac:dyDescent="0.3">
      <c r="A35" s="8">
        <v>43025.247395833336</v>
      </c>
      <c r="B35" s="20" t="s">
        <v>529</v>
      </c>
      <c r="C35" s="20" t="s">
        <v>667</v>
      </c>
      <c r="D35" s="138">
        <v>2730000</v>
      </c>
      <c r="E35" s="20" t="s">
        <v>531</v>
      </c>
      <c r="F35" s="20" t="s">
        <v>532</v>
      </c>
      <c r="G35" s="8" t="str">
        <f t="shared" si="0"/>
        <v>YANG JAN</v>
      </c>
      <c r="H35" s="20" t="str">
        <f t="shared" si="1"/>
        <v>4059</v>
      </c>
    </row>
    <row r="36" spans="1:8" x14ac:dyDescent="0.3">
      <c r="A36" s="8">
        <v>43025.247789351852</v>
      </c>
      <c r="B36" s="20" t="s">
        <v>525</v>
      </c>
      <c r="C36" s="20" t="s">
        <v>668</v>
      </c>
      <c r="D36" s="138">
        <v>1340000</v>
      </c>
      <c r="E36" s="20" t="s">
        <v>540</v>
      </c>
      <c r="F36" s="20" t="s">
        <v>541</v>
      </c>
      <c r="G36" s="8" t="str">
        <f t="shared" si="0"/>
        <v>BEAM ROSS</v>
      </c>
      <c r="H36" s="20" t="str">
        <f t="shared" si="1"/>
        <v>4050</v>
      </c>
    </row>
    <row r="37" spans="1:8" x14ac:dyDescent="0.3">
      <c r="A37" s="8">
        <v>43025.250011574077</v>
      </c>
      <c r="B37" s="20" t="s">
        <v>439</v>
      </c>
      <c r="C37" s="20" t="s">
        <v>669</v>
      </c>
      <c r="D37" s="138">
        <v>2470000</v>
      </c>
      <c r="E37" s="20" t="s">
        <v>664</v>
      </c>
      <c r="F37" s="20" t="s">
        <v>665</v>
      </c>
      <c r="G37" s="8" t="str">
        <f t="shared" si="0"/>
        <v>ROMERO CHAD</v>
      </c>
      <c r="H37" s="20" t="str">
        <f t="shared" si="1"/>
        <v>4032</v>
      </c>
    </row>
    <row r="38" spans="1:8" x14ac:dyDescent="0.3">
      <c r="A38" s="8">
        <v>43025.255497685182</v>
      </c>
      <c r="B38" s="20" t="s">
        <v>533</v>
      </c>
      <c r="C38" s="20" t="s">
        <v>609</v>
      </c>
      <c r="D38" s="138">
        <v>2530000</v>
      </c>
      <c r="E38" s="20" t="s">
        <v>495</v>
      </c>
      <c r="F38" s="20" t="s">
        <v>496</v>
      </c>
      <c r="G38" s="8" t="str">
        <f t="shared" si="0"/>
        <v>LALONDE GREGORY</v>
      </c>
      <c r="H38" s="20" t="str">
        <f t="shared" si="1"/>
        <v>4010</v>
      </c>
    </row>
    <row r="39" spans="1:8" x14ac:dyDescent="0.3">
      <c r="A39" s="8">
        <v>43025.267280092594</v>
      </c>
      <c r="B39" s="20" t="s">
        <v>412</v>
      </c>
      <c r="C39" s="20" t="s">
        <v>670</v>
      </c>
      <c r="D39" s="138">
        <v>3090000</v>
      </c>
      <c r="E39" s="20" t="s">
        <v>498</v>
      </c>
      <c r="F39" s="20" t="s">
        <v>499</v>
      </c>
      <c r="G39" s="8" t="str">
        <f t="shared" si="0"/>
        <v>LAMAR NEKESHA</v>
      </c>
      <c r="H39" s="20" t="str">
        <f t="shared" si="1"/>
        <v>4036</v>
      </c>
    </row>
    <row r="40" spans="1:8" x14ac:dyDescent="0.3">
      <c r="A40" s="8">
        <v>43025.267928240741</v>
      </c>
      <c r="B40" s="25" t="s">
        <v>440</v>
      </c>
      <c r="C40" s="20" t="s">
        <v>671</v>
      </c>
      <c r="D40" s="138">
        <v>2470000</v>
      </c>
      <c r="E40" s="20" t="s">
        <v>664</v>
      </c>
      <c r="F40" s="20" t="s">
        <v>665</v>
      </c>
      <c r="G40" s="8" t="str">
        <f t="shared" si="0"/>
        <v>ROMERO CHAD</v>
      </c>
      <c r="H40" s="20" t="str">
        <f t="shared" si="1"/>
        <v>4031</v>
      </c>
    </row>
    <row r="41" spans="1:8" x14ac:dyDescent="0.3">
      <c r="A41" s="8">
        <v>43025.268564814818</v>
      </c>
      <c r="B41" s="20" t="s">
        <v>469</v>
      </c>
      <c r="C41" s="20" t="s">
        <v>672</v>
      </c>
      <c r="D41" s="138">
        <v>940000</v>
      </c>
      <c r="E41" s="20" t="s">
        <v>639</v>
      </c>
      <c r="F41" s="20" t="s">
        <v>640</v>
      </c>
      <c r="G41" s="8" t="str">
        <f t="shared" si="0"/>
        <v>BONDS REYNALDO</v>
      </c>
      <c r="H41" s="20" t="str">
        <f t="shared" si="1"/>
        <v>4003</v>
      </c>
    </row>
    <row r="42" spans="1:8" x14ac:dyDescent="0.3">
      <c r="A42" s="8">
        <v>43025.274004629631</v>
      </c>
      <c r="B42" s="20" t="s">
        <v>524</v>
      </c>
      <c r="C42" s="20" t="s">
        <v>673</v>
      </c>
      <c r="D42" s="138">
        <v>2730000</v>
      </c>
      <c r="E42" s="20" t="s">
        <v>531</v>
      </c>
      <c r="F42" s="20" t="s">
        <v>532</v>
      </c>
      <c r="G42" s="8" t="str">
        <f t="shared" si="0"/>
        <v>YANG JAN</v>
      </c>
      <c r="H42" s="20" t="str">
        <f t="shared" si="1"/>
        <v>4060</v>
      </c>
    </row>
    <row r="43" spans="1:8" x14ac:dyDescent="0.3">
      <c r="A43" s="8">
        <v>43025.275879629633</v>
      </c>
      <c r="B43" s="20" t="s">
        <v>492</v>
      </c>
      <c r="C43" s="20" t="s">
        <v>674</v>
      </c>
      <c r="D43" s="138">
        <v>1830000</v>
      </c>
      <c r="E43" s="20" t="s">
        <v>375</v>
      </c>
      <c r="F43" s="20" t="s">
        <v>376</v>
      </c>
      <c r="G43" s="8" t="str">
        <f t="shared" si="0"/>
        <v>YORK EDGAR</v>
      </c>
      <c r="H43" s="20" t="str">
        <f t="shared" si="1"/>
        <v>4016</v>
      </c>
    </row>
    <row r="44" spans="1:8" x14ac:dyDescent="0.3">
      <c r="A44" s="8">
        <v>43025.27783564815</v>
      </c>
      <c r="B44" s="20" t="s">
        <v>436</v>
      </c>
      <c r="C44" s="20" t="s">
        <v>675</v>
      </c>
      <c r="D44" s="138">
        <v>2560000</v>
      </c>
      <c r="E44" s="20" t="s">
        <v>497</v>
      </c>
      <c r="F44" s="20" t="s">
        <v>473</v>
      </c>
      <c r="G44" s="8" t="str">
        <f t="shared" si="0"/>
        <v>MACDONALD THOMAS</v>
      </c>
      <c r="H44" s="20" t="str">
        <f t="shared" si="1"/>
        <v>4013</v>
      </c>
    </row>
    <row r="45" spans="1:8" x14ac:dyDescent="0.3">
      <c r="A45" s="8">
        <v>43025.284201388888</v>
      </c>
      <c r="B45" s="20" t="s">
        <v>526</v>
      </c>
      <c r="C45" s="20" t="s">
        <v>676</v>
      </c>
      <c r="D45" s="138">
        <v>1340000</v>
      </c>
      <c r="E45" s="20" t="s">
        <v>540</v>
      </c>
      <c r="F45" s="20" t="s">
        <v>541</v>
      </c>
      <c r="G45" s="8" t="str">
        <f t="shared" si="0"/>
        <v>BEAM ROSS</v>
      </c>
      <c r="H45" s="20" t="str">
        <f t="shared" si="1"/>
        <v>4049</v>
      </c>
    </row>
    <row r="46" spans="1:8" x14ac:dyDescent="0.3">
      <c r="A46" s="8">
        <v>43025.28670138889</v>
      </c>
      <c r="B46" s="20" t="s">
        <v>398</v>
      </c>
      <c r="C46" s="20" t="s">
        <v>677</v>
      </c>
      <c r="D46" s="138">
        <v>1230000</v>
      </c>
      <c r="E46" s="20" t="s">
        <v>536</v>
      </c>
      <c r="F46" s="20" t="s">
        <v>537</v>
      </c>
      <c r="G46" s="8" t="str">
        <f t="shared" si="0"/>
        <v>YANAI IAN</v>
      </c>
      <c r="H46" s="20" t="str">
        <f t="shared" si="1"/>
        <v>4066</v>
      </c>
    </row>
    <row r="47" spans="1:8" x14ac:dyDescent="0.3">
      <c r="A47" s="8">
        <v>43025.28670138889</v>
      </c>
      <c r="B47" s="20" t="s">
        <v>530</v>
      </c>
      <c r="C47" s="20" t="s">
        <v>610</v>
      </c>
      <c r="D47" s="138">
        <v>2530000</v>
      </c>
      <c r="E47" s="20" t="s">
        <v>495</v>
      </c>
      <c r="F47" s="20" t="s">
        <v>496</v>
      </c>
      <c r="G47" s="8" t="str">
        <f t="shared" si="0"/>
        <v>LALONDE GREGORY</v>
      </c>
      <c r="H47" s="20" t="str">
        <f t="shared" si="1"/>
        <v>4009</v>
      </c>
    </row>
    <row r="48" spans="1:8" x14ac:dyDescent="0.3">
      <c r="A48" s="8">
        <v>43025.289282407408</v>
      </c>
      <c r="B48" s="20" t="s">
        <v>529</v>
      </c>
      <c r="C48" s="20" t="s">
        <v>678</v>
      </c>
      <c r="D48" s="138">
        <v>2730000</v>
      </c>
      <c r="E48" s="20" t="s">
        <v>531</v>
      </c>
      <c r="F48" s="20" t="s">
        <v>532</v>
      </c>
      <c r="G48" s="8" t="str">
        <f t="shared" si="0"/>
        <v>YANG JAN</v>
      </c>
      <c r="H48" s="20" t="str">
        <f t="shared" si="1"/>
        <v>4059</v>
      </c>
    </row>
    <row r="49" spans="1:8" x14ac:dyDescent="0.3">
      <c r="A49" s="8">
        <v>43025.291412037041</v>
      </c>
      <c r="B49" s="20" t="s">
        <v>439</v>
      </c>
      <c r="C49" s="20" t="s">
        <v>679</v>
      </c>
      <c r="D49" s="138">
        <v>2470000</v>
      </c>
      <c r="E49" s="20" t="s">
        <v>664</v>
      </c>
      <c r="F49" s="20" t="s">
        <v>665</v>
      </c>
      <c r="G49" s="8" t="str">
        <f t="shared" si="0"/>
        <v>ROMERO CHAD</v>
      </c>
      <c r="H49" s="20" t="str">
        <f t="shared" si="1"/>
        <v>4032</v>
      </c>
    </row>
    <row r="50" spans="1:8" x14ac:dyDescent="0.3">
      <c r="A50" s="8">
        <v>43025.299317129633</v>
      </c>
      <c r="B50" s="20" t="s">
        <v>641</v>
      </c>
      <c r="C50" s="20" t="s">
        <v>680</v>
      </c>
      <c r="D50" s="138">
        <v>940000</v>
      </c>
      <c r="E50" s="20" t="s">
        <v>639</v>
      </c>
      <c r="F50" s="20" t="s">
        <v>640</v>
      </c>
      <c r="G50" s="8" t="str">
        <f t="shared" si="0"/>
        <v>BONDS REYNALDO</v>
      </c>
      <c r="H50" s="20" t="str">
        <f t="shared" si="1"/>
        <v>4004</v>
      </c>
    </row>
    <row r="51" spans="1:8" x14ac:dyDescent="0.3">
      <c r="A51" s="8">
        <v>43025.306145833332</v>
      </c>
      <c r="B51" s="20" t="s">
        <v>625</v>
      </c>
      <c r="C51" s="20" t="s">
        <v>681</v>
      </c>
      <c r="D51" s="138">
        <v>1830000</v>
      </c>
      <c r="E51" s="20" t="s">
        <v>375</v>
      </c>
      <c r="F51" s="20" t="s">
        <v>376</v>
      </c>
      <c r="G51" s="8" t="str">
        <f t="shared" si="0"/>
        <v>YORK EDGAR</v>
      </c>
      <c r="H51" s="20" t="str">
        <f t="shared" si="1"/>
        <v>4015</v>
      </c>
    </row>
    <row r="52" spans="1:8" x14ac:dyDescent="0.3">
      <c r="A52" s="8">
        <v>43025.309004629627</v>
      </c>
      <c r="B52" s="20" t="s">
        <v>423</v>
      </c>
      <c r="C52" s="20" t="s">
        <v>612</v>
      </c>
      <c r="D52" s="138">
        <v>3090000</v>
      </c>
      <c r="E52" s="20" t="s">
        <v>498</v>
      </c>
      <c r="F52" s="20" t="s">
        <v>499</v>
      </c>
      <c r="G52" s="8" t="str">
        <f t="shared" si="0"/>
        <v>LAMAR NEKESHA</v>
      </c>
      <c r="H52" s="20" t="str">
        <f t="shared" si="1"/>
        <v>4035</v>
      </c>
    </row>
    <row r="53" spans="1:8" x14ac:dyDescent="0.3">
      <c r="A53" s="8">
        <v>43025.309166666666</v>
      </c>
      <c r="B53" s="20" t="s">
        <v>440</v>
      </c>
      <c r="C53" s="20" t="s">
        <v>682</v>
      </c>
      <c r="D53" s="138">
        <v>2470000</v>
      </c>
      <c r="E53" s="20" t="s">
        <v>664</v>
      </c>
      <c r="F53" s="20" t="s">
        <v>665</v>
      </c>
      <c r="G53" s="8" t="str">
        <f t="shared" si="0"/>
        <v>ROMERO CHAD</v>
      </c>
      <c r="H53" s="20" t="str">
        <f t="shared" si="1"/>
        <v>4031</v>
      </c>
    </row>
    <row r="54" spans="1:8" x14ac:dyDescent="0.3">
      <c r="A54" s="8">
        <v>43025.310636574075</v>
      </c>
      <c r="B54" s="20" t="s">
        <v>438</v>
      </c>
      <c r="C54" s="20" t="s">
        <v>611</v>
      </c>
      <c r="D54" s="138">
        <v>2560000</v>
      </c>
      <c r="E54" s="20" t="s">
        <v>497</v>
      </c>
      <c r="F54" s="20" t="s">
        <v>473</v>
      </c>
      <c r="G54" s="8" t="str">
        <f t="shared" si="0"/>
        <v>MACDONALD THOMAS</v>
      </c>
      <c r="H54" s="20" t="str">
        <f t="shared" si="1"/>
        <v>4014</v>
      </c>
    </row>
    <row r="55" spans="1:8" x14ac:dyDescent="0.3">
      <c r="A55" s="8">
        <v>43025.313611111109</v>
      </c>
      <c r="B55" s="20" t="s">
        <v>524</v>
      </c>
      <c r="C55" s="20" t="s">
        <v>683</v>
      </c>
      <c r="D55" s="138">
        <v>2730000</v>
      </c>
      <c r="E55" s="20" t="s">
        <v>531</v>
      </c>
      <c r="F55" s="20" t="s">
        <v>532</v>
      </c>
      <c r="G55" s="8" t="str">
        <f t="shared" si="0"/>
        <v>YANG JAN</v>
      </c>
      <c r="H55" s="20" t="str">
        <f t="shared" si="1"/>
        <v>4060</v>
      </c>
    </row>
    <row r="56" spans="1:8" x14ac:dyDescent="0.3">
      <c r="A56" s="8">
        <v>43025.318402777775</v>
      </c>
      <c r="B56" s="20" t="s">
        <v>399</v>
      </c>
      <c r="C56" s="20" t="s">
        <v>684</v>
      </c>
      <c r="D56" s="138">
        <v>1230000</v>
      </c>
      <c r="E56" s="20" t="s">
        <v>536</v>
      </c>
      <c r="F56" s="20" t="s">
        <v>537</v>
      </c>
      <c r="G56" s="8" t="str">
        <f t="shared" si="0"/>
        <v>YANAI IAN</v>
      </c>
      <c r="H56" s="20" t="str">
        <f t="shared" si="1"/>
        <v>4065</v>
      </c>
    </row>
    <row r="57" spans="1:8" x14ac:dyDescent="0.3">
      <c r="A57" s="8">
        <v>43025.319791666669</v>
      </c>
      <c r="B57" s="20" t="s">
        <v>525</v>
      </c>
      <c r="C57" s="20" t="s">
        <v>685</v>
      </c>
      <c r="D57" s="138">
        <v>1340000</v>
      </c>
      <c r="E57" s="20" t="s">
        <v>540</v>
      </c>
      <c r="F57" s="20" t="s">
        <v>541</v>
      </c>
      <c r="G57" s="8" t="str">
        <f t="shared" si="0"/>
        <v>BEAM ROSS</v>
      </c>
      <c r="H57" s="20" t="str">
        <f t="shared" si="1"/>
        <v>4050</v>
      </c>
    </row>
    <row r="58" spans="1:8" x14ac:dyDescent="0.3">
      <c r="A58" s="8">
        <v>43025.331006944441</v>
      </c>
      <c r="B58" s="20" t="s">
        <v>529</v>
      </c>
      <c r="C58" s="20" t="s">
        <v>686</v>
      </c>
      <c r="D58" s="138">
        <v>2730000</v>
      </c>
      <c r="E58" s="20" t="s">
        <v>531</v>
      </c>
      <c r="F58" s="20" t="s">
        <v>532</v>
      </c>
      <c r="G58" s="8" t="str">
        <f t="shared" si="0"/>
        <v>YANG JAN</v>
      </c>
      <c r="H58" s="20" t="str">
        <f t="shared" si="1"/>
        <v>4059</v>
      </c>
    </row>
    <row r="59" spans="1:8" x14ac:dyDescent="0.3">
      <c r="A59" s="8">
        <v>43025.331446759257</v>
      </c>
      <c r="B59" s="20" t="s">
        <v>533</v>
      </c>
      <c r="C59" s="20" t="s">
        <v>687</v>
      </c>
      <c r="D59" s="138">
        <v>2530000</v>
      </c>
      <c r="E59" s="20" t="s">
        <v>495</v>
      </c>
      <c r="F59" s="20" t="s">
        <v>496</v>
      </c>
      <c r="G59" s="8" t="str">
        <f t="shared" si="0"/>
        <v>LALONDE GREGORY</v>
      </c>
      <c r="H59" s="20" t="str">
        <f t="shared" si="1"/>
        <v>4010</v>
      </c>
    </row>
    <row r="60" spans="1:8" x14ac:dyDescent="0.3">
      <c r="A60" s="8">
        <v>43025.332199074073</v>
      </c>
      <c r="B60" s="20" t="s">
        <v>439</v>
      </c>
      <c r="C60" s="20" t="s">
        <v>688</v>
      </c>
      <c r="D60" s="138">
        <v>2470000</v>
      </c>
      <c r="E60" s="20" t="s">
        <v>664</v>
      </c>
      <c r="F60" s="20" t="s">
        <v>665</v>
      </c>
      <c r="G60" s="8" t="str">
        <f t="shared" si="0"/>
        <v>ROMERO CHAD</v>
      </c>
      <c r="H60" s="20" t="str">
        <f t="shared" si="1"/>
        <v>4032</v>
      </c>
    </row>
    <row r="61" spans="1:8" x14ac:dyDescent="0.3">
      <c r="A61" s="8">
        <v>43025.333067129628</v>
      </c>
      <c r="B61" s="20" t="s">
        <v>439</v>
      </c>
      <c r="C61" s="20" t="s">
        <v>688</v>
      </c>
      <c r="D61" s="138">
        <v>2470000</v>
      </c>
      <c r="E61" s="20" t="s">
        <v>664</v>
      </c>
      <c r="F61" s="20" t="s">
        <v>665</v>
      </c>
      <c r="G61" s="8" t="str">
        <f t="shared" si="0"/>
        <v>ROMERO CHAD</v>
      </c>
      <c r="H61" s="20" t="str">
        <f t="shared" si="1"/>
        <v>4032</v>
      </c>
    </row>
    <row r="62" spans="1:8" x14ac:dyDescent="0.3">
      <c r="A62" s="8">
        <v>43025.338877314818</v>
      </c>
      <c r="B62" s="20" t="s">
        <v>469</v>
      </c>
      <c r="C62" s="20" t="s">
        <v>689</v>
      </c>
      <c r="D62" s="138">
        <v>940000</v>
      </c>
      <c r="E62" s="20" t="s">
        <v>639</v>
      </c>
      <c r="F62" s="20" t="s">
        <v>640</v>
      </c>
      <c r="G62" s="8" t="str">
        <f t="shared" si="0"/>
        <v>BONDS REYNALDO</v>
      </c>
      <c r="H62" s="20" t="str">
        <f t="shared" si="1"/>
        <v>4003</v>
      </c>
    </row>
    <row r="63" spans="1:8" x14ac:dyDescent="0.3">
      <c r="A63" s="8">
        <v>43025.340648148151</v>
      </c>
      <c r="B63" s="20" t="s">
        <v>412</v>
      </c>
      <c r="C63" s="20" t="s">
        <v>690</v>
      </c>
      <c r="D63" s="138">
        <v>3090000</v>
      </c>
      <c r="E63" s="20" t="s">
        <v>498</v>
      </c>
      <c r="F63" s="20" t="s">
        <v>499</v>
      </c>
      <c r="G63" s="8" t="str">
        <f t="shared" si="0"/>
        <v>LAMAR NEKESHA</v>
      </c>
      <c r="H63" s="20" t="str">
        <f t="shared" si="1"/>
        <v>4036</v>
      </c>
    </row>
    <row r="64" spans="1:8" x14ac:dyDescent="0.3">
      <c r="A64" s="26">
        <v>43025.348969907405</v>
      </c>
      <c r="B64" s="20" t="s">
        <v>526</v>
      </c>
      <c r="C64" s="20" t="s">
        <v>614</v>
      </c>
      <c r="D64" s="138">
        <v>1340000</v>
      </c>
      <c r="E64" s="20" t="s">
        <v>540</v>
      </c>
      <c r="F64" s="20" t="s">
        <v>541</v>
      </c>
      <c r="G64" s="8" t="str">
        <f t="shared" si="0"/>
        <v>BEAM ROSS</v>
      </c>
      <c r="H64" s="20" t="str">
        <f t="shared" si="1"/>
        <v>4049</v>
      </c>
    </row>
    <row r="65" spans="1:8" x14ac:dyDescent="0.3">
      <c r="A65" s="8">
        <v>43025.35</v>
      </c>
      <c r="B65" s="20" t="s">
        <v>492</v>
      </c>
      <c r="C65" s="20" t="s">
        <v>691</v>
      </c>
      <c r="D65" s="138">
        <v>1830000</v>
      </c>
      <c r="E65" s="20" t="s">
        <v>375</v>
      </c>
      <c r="F65" s="20" t="s">
        <v>376</v>
      </c>
      <c r="G65" s="8" t="str">
        <f t="shared" si="0"/>
        <v>YORK EDGAR</v>
      </c>
      <c r="H65" s="20" t="str">
        <f t="shared" si="1"/>
        <v>4016</v>
      </c>
    </row>
    <row r="66" spans="1:8" x14ac:dyDescent="0.3">
      <c r="A66" s="8">
        <v>43025.351747685185</v>
      </c>
      <c r="B66" s="20" t="s">
        <v>436</v>
      </c>
      <c r="C66" s="20" t="s">
        <v>692</v>
      </c>
      <c r="D66" s="138">
        <v>2560000</v>
      </c>
      <c r="E66" s="20" t="s">
        <v>497</v>
      </c>
      <c r="F66" s="20" t="s">
        <v>473</v>
      </c>
      <c r="G66" s="8" t="str">
        <f t="shared" si="0"/>
        <v>MACDONALD THOMAS</v>
      </c>
      <c r="H66" s="20" t="str">
        <f t="shared" si="1"/>
        <v>4013</v>
      </c>
    </row>
    <row r="67" spans="1:8" x14ac:dyDescent="0.3">
      <c r="A67" s="8">
        <v>43025.352650462963</v>
      </c>
      <c r="B67" s="20" t="s">
        <v>440</v>
      </c>
      <c r="C67" s="20" t="s">
        <v>613</v>
      </c>
      <c r="D67" s="138">
        <v>2470000</v>
      </c>
      <c r="E67" s="20" t="s">
        <v>664</v>
      </c>
      <c r="F67" s="20" t="s">
        <v>665</v>
      </c>
      <c r="G67" s="8" t="str">
        <f t="shared" ref="G67:G130" si="2">E67&amp;" "&amp;F67</f>
        <v>ROMERO CHAD</v>
      </c>
      <c r="H67" s="20" t="str">
        <f t="shared" ref="H67:H130" si="3">MID(B67,13,4)</f>
        <v>4031</v>
      </c>
    </row>
    <row r="68" spans="1:8" x14ac:dyDescent="0.3">
      <c r="A68" s="8">
        <v>43025.353414351855</v>
      </c>
      <c r="B68" s="20" t="s">
        <v>524</v>
      </c>
      <c r="C68" s="20" t="s">
        <v>693</v>
      </c>
      <c r="D68" s="138">
        <v>2730000</v>
      </c>
      <c r="E68" s="20" t="s">
        <v>531</v>
      </c>
      <c r="F68" s="20" t="s">
        <v>532</v>
      </c>
      <c r="G68" s="8" t="str">
        <f t="shared" si="2"/>
        <v>YANG JAN</v>
      </c>
      <c r="H68" s="20" t="str">
        <f t="shared" si="3"/>
        <v>4060</v>
      </c>
    </row>
    <row r="69" spans="1:8" x14ac:dyDescent="0.3">
      <c r="A69" s="8">
        <v>43025.359756944446</v>
      </c>
      <c r="B69" s="20" t="s">
        <v>530</v>
      </c>
      <c r="C69" s="20" t="s">
        <v>694</v>
      </c>
      <c r="D69" s="138">
        <v>2530000</v>
      </c>
      <c r="E69" s="20" t="s">
        <v>495</v>
      </c>
      <c r="F69" s="20" t="s">
        <v>496</v>
      </c>
      <c r="G69" s="8" t="str">
        <f t="shared" si="2"/>
        <v>LALONDE GREGORY</v>
      </c>
      <c r="H69" s="20" t="str">
        <f t="shared" si="3"/>
        <v>4009</v>
      </c>
    </row>
    <row r="70" spans="1:8" x14ac:dyDescent="0.3">
      <c r="A70" s="8">
        <v>43025.361458333333</v>
      </c>
      <c r="B70" s="20" t="s">
        <v>398</v>
      </c>
      <c r="C70" s="20" t="s">
        <v>695</v>
      </c>
      <c r="D70" s="138">
        <v>1230000</v>
      </c>
      <c r="E70" s="20" t="s">
        <v>536</v>
      </c>
      <c r="F70" s="20" t="s">
        <v>537</v>
      </c>
      <c r="G70" s="8" t="str">
        <f t="shared" si="2"/>
        <v>YANAI IAN</v>
      </c>
      <c r="H70" s="20" t="str">
        <f t="shared" si="3"/>
        <v>4066</v>
      </c>
    </row>
    <row r="71" spans="1:8" x14ac:dyDescent="0.3">
      <c r="A71" s="8">
        <v>43025.372303240743</v>
      </c>
      <c r="B71" s="20" t="s">
        <v>641</v>
      </c>
      <c r="C71" s="20" t="s">
        <v>696</v>
      </c>
      <c r="D71" s="138">
        <v>940000</v>
      </c>
      <c r="E71" s="20" t="s">
        <v>639</v>
      </c>
      <c r="F71" s="20" t="s">
        <v>640</v>
      </c>
      <c r="G71" s="8" t="str">
        <f t="shared" si="2"/>
        <v>BONDS REYNALDO</v>
      </c>
      <c r="H71" s="20" t="str">
        <f t="shared" si="3"/>
        <v>4004</v>
      </c>
    </row>
    <row r="72" spans="1:8" x14ac:dyDescent="0.3">
      <c r="A72" s="8">
        <v>43025.372997685183</v>
      </c>
      <c r="B72" s="20" t="s">
        <v>439</v>
      </c>
      <c r="C72" s="20" t="s">
        <v>697</v>
      </c>
      <c r="D72" s="138">
        <v>2470000</v>
      </c>
      <c r="E72" s="20" t="s">
        <v>664</v>
      </c>
      <c r="F72" s="20" t="s">
        <v>665</v>
      </c>
      <c r="G72" s="8" t="str">
        <f t="shared" si="2"/>
        <v>ROMERO CHAD</v>
      </c>
      <c r="H72" s="20" t="str">
        <f t="shared" si="3"/>
        <v>4032</v>
      </c>
    </row>
    <row r="73" spans="1:8" x14ac:dyDescent="0.3">
      <c r="A73" s="8">
        <v>43025.379803240743</v>
      </c>
      <c r="B73" s="20" t="s">
        <v>438</v>
      </c>
      <c r="C73" s="20" t="s">
        <v>698</v>
      </c>
      <c r="D73" s="138">
        <v>2560000</v>
      </c>
      <c r="E73" s="20" t="s">
        <v>497</v>
      </c>
      <c r="F73" s="20" t="s">
        <v>473</v>
      </c>
      <c r="G73" s="8" t="str">
        <f t="shared" si="2"/>
        <v>MACDONALD THOMAS</v>
      </c>
      <c r="H73" s="20" t="str">
        <f t="shared" si="3"/>
        <v>4014</v>
      </c>
    </row>
    <row r="74" spans="1:8" x14ac:dyDescent="0.3">
      <c r="A74" s="8">
        <v>43025.381516203706</v>
      </c>
      <c r="B74" s="20" t="s">
        <v>423</v>
      </c>
      <c r="C74" s="20" t="s">
        <v>699</v>
      </c>
      <c r="D74" s="138">
        <v>3090000</v>
      </c>
      <c r="E74" s="20" t="s">
        <v>498</v>
      </c>
      <c r="F74" s="20" t="s">
        <v>499</v>
      </c>
      <c r="G74" s="8" t="str">
        <f t="shared" si="2"/>
        <v>LAMAR NEKESHA</v>
      </c>
      <c r="H74" s="20" t="str">
        <f t="shared" si="3"/>
        <v>4035</v>
      </c>
    </row>
    <row r="75" spans="1:8" x14ac:dyDescent="0.3">
      <c r="A75" s="8">
        <v>43025.389930555553</v>
      </c>
      <c r="B75" s="20" t="s">
        <v>399</v>
      </c>
      <c r="C75" s="20" t="s">
        <v>700</v>
      </c>
      <c r="D75" s="138">
        <v>1230000</v>
      </c>
      <c r="E75" s="20" t="s">
        <v>536</v>
      </c>
      <c r="F75" s="20" t="s">
        <v>537</v>
      </c>
      <c r="G75" s="8" t="str">
        <f t="shared" si="2"/>
        <v>YANAI IAN</v>
      </c>
      <c r="H75" s="20" t="str">
        <f t="shared" si="3"/>
        <v>4065</v>
      </c>
    </row>
    <row r="76" spans="1:8" x14ac:dyDescent="0.3">
      <c r="A76" s="8">
        <v>43025.392337962963</v>
      </c>
      <c r="B76" s="20" t="s">
        <v>525</v>
      </c>
      <c r="C76" s="20" t="s">
        <v>701</v>
      </c>
      <c r="D76" s="138">
        <v>1340000</v>
      </c>
      <c r="E76" s="20" t="s">
        <v>540</v>
      </c>
      <c r="F76" s="20" t="s">
        <v>541</v>
      </c>
      <c r="G76" s="8" t="str">
        <f t="shared" si="2"/>
        <v>BEAM ROSS</v>
      </c>
      <c r="H76" s="20" t="str">
        <f t="shared" si="3"/>
        <v>4050</v>
      </c>
    </row>
    <row r="77" spans="1:8" x14ac:dyDescent="0.3">
      <c r="A77" s="8">
        <v>43025.392766203702</v>
      </c>
      <c r="B77" s="20" t="s">
        <v>440</v>
      </c>
      <c r="C77" s="20" t="s">
        <v>702</v>
      </c>
      <c r="D77" s="138">
        <v>2470000</v>
      </c>
      <c r="E77" s="20" t="s">
        <v>664</v>
      </c>
      <c r="F77" s="20" t="s">
        <v>665</v>
      </c>
      <c r="G77" s="8" t="str">
        <f t="shared" si="2"/>
        <v>ROMERO CHAD</v>
      </c>
      <c r="H77" s="20" t="str">
        <f t="shared" si="3"/>
        <v>4031</v>
      </c>
    </row>
    <row r="78" spans="1:8" x14ac:dyDescent="0.3">
      <c r="A78" s="8">
        <v>43025.393113425926</v>
      </c>
      <c r="B78" s="20" t="s">
        <v>625</v>
      </c>
      <c r="C78" s="20" t="s">
        <v>703</v>
      </c>
      <c r="D78" s="138">
        <v>1830000</v>
      </c>
      <c r="E78" s="20" t="s">
        <v>375</v>
      </c>
      <c r="F78" s="20" t="s">
        <v>376</v>
      </c>
      <c r="G78" s="8" t="str">
        <f t="shared" si="2"/>
        <v>YORK EDGAR</v>
      </c>
      <c r="H78" s="20" t="str">
        <f t="shared" si="3"/>
        <v>4015</v>
      </c>
    </row>
    <row r="79" spans="1:8" x14ac:dyDescent="0.3">
      <c r="A79" s="8">
        <v>43025.401388888888</v>
      </c>
      <c r="B79" s="20" t="s">
        <v>533</v>
      </c>
      <c r="C79" s="20" t="s">
        <v>704</v>
      </c>
      <c r="D79" s="138">
        <v>2530000</v>
      </c>
      <c r="E79" s="20" t="s">
        <v>495</v>
      </c>
      <c r="F79" s="20" t="s">
        <v>496</v>
      </c>
      <c r="G79" s="8" t="str">
        <f t="shared" si="2"/>
        <v>LALONDE GREGORY</v>
      </c>
      <c r="H79" s="20" t="str">
        <f t="shared" si="3"/>
        <v>4010</v>
      </c>
    </row>
    <row r="80" spans="1:8" x14ac:dyDescent="0.3">
      <c r="A80" s="8">
        <v>43025.403831018521</v>
      </c>
      <c r="B80" s="20" t="s">
        <v>615</v>
      </c>
      <c r="C80" s="20" t="s">
        <v>616</v>
      </c>
      <c r="D80" s="138">
        <v>2730000</v>
      </c>
      <c r="E80" s="20" t="s">
        <v>531</v>
      </c>
      <c r="F80" s="20" t="s">
        <v>532</v>
      </c>
      <c r="G80" s="8" t="str">
        <f t="shared" si="2"/>
        <v>YANG JAN</v>
      </c>
      <c r="H80" s="20" t="str">
        <f t="shared" si="3"/>
        <v>4033</v>
      </c>
    </row>
    <row r="81" spans="1:8" x14ac:dyDescent="0.3">
      <c r="A81" s="8">
        <v>43025.412233796298</v>
      </c>
      <c r="B81" s="20" t="s">
        <v>469</v>
      </c>
      <c r="C81" s="20" t="s">
        <v>617</v>
      </c>
      <c r="D81" s="138">
        <v>940000</v>
      </c>
      <c r="E81" s="20" t="s">
        <v>639</v>
      </c>
      <c r="F81" s="20" t="s">
        <v>640</v>
      </c>
      <c r="G81" s="8" t="str">
        <f t="shared" si="2"/>
        <v>BONDS REYNALDO</v>
      </c>
      <c r="H81" s="20" t="str">
        <f t="shared" si="3"/>
        <v>4003</v>
      </c>
    </row>
    <row r="82" spans="1:8" x14ac:dyDescent="0.3">
      <c r="A82" s="8">
        <v>43025.412893518522</v>
      </c>
      <c r="B82" s="20" t="s">
        <v>412</v>
      </c>
      <c r="C82" s="20" t="s">
        <v>705</v>
      </c>
      <c r="D82" s="138">
        <v>3090000</v>
      </c>
      <c r="E82" s="20" t="s">
        <v>498</v>
      </c>
      <c r="F82" s="20" t="s">
        <v>499</v>
      </c>
      <c r="G82" s="8" t="str">
        <f t="shared" si="2"/>
        <v>LAMAR NEKESHA</v>
      </c>
      <c r="H82" s="20" t="str">
        <f t="shared" si="3"/>
        <v>4036</v>
      </c>
    </row>
    <row r="83" spans="1:8" x14ac:dyDescent="0.3">
      <c r="A83" s="8">
        <v>43025.414444444446</v>
      </c>
      <c r="B83" s="20" t="s">
        <v>439</v>
      </c>
      <c r="C83" s="20" t="s">
        <v>706</v>
      </c>
      <c r="D83" s="138">
        <v>2470000</v>
      </c>
      <c r="E83" s="20" t="s">
        <v>664</v>
      </c>
      <c r="F83" s="20" t="s">
        <v>665</v>
      </c>
      <c r="G83" s="8" t="str">
        <f t="shared" si="2"/>
        <v>ROMERO CHAD</v>
      </c>
      <c r="H83" s="20" t="str">
        <f t="shared" si="3"/>
        <v>4032</v>
      </c>
    </row>
    <row r="84" spans="1:8" x14ac:dyDescent="0.3">
      <c r="A84" s="8">
        <v>43025.422083333331</v>
      </c>
      <c r="B84" s="20" t="s">
        <v>492</v>
      </c>
      <c r="C84" s="20" t="s">
        <v>707</v>
      </c>
      <c r="D84" s="138">
        <v>2730000</v>
      </c>
      <c r="E84" s="20" t="s">
        <v>531</v>
      </c>
      <c r="F84" s="20" t="s">
        <v>532</v>
      </c>
      <c r="G84" s="8" t="str">
        <f t="shared" si="2"/>
        <v>YANG JAN</v>
      </c>
      <c r="H84" s="20" t="str">
        <f t="shared" si="3"/>
        <v>4016</v>
      </c>
    </row>
    <row r="85" spans="1:8" x14ac:dyDescent="0.3">
      <c r="A85" s="8">
        <v>43025.422349537039</v>
      </c>
      <c r="B85" s="20" t="s">
        <v>526</v>
      </c>
      <c r="C85" s="20" t="s">
        <v>708</v>
      </c>
      <c r="D85" s="138">
        <v>1340000</v>
      </c>
      <c r="E85" s="20" t="s">
        <v>540</v>
      </c>
      <c r="F85" s="20" t="s">
        <v>541</v>
      </c>
      <c r="G85" s="8" t="str">
        <f t="shared" si="2"/>
        <v>BEAM ROSS</v>
      </c>
      <c r="H85" s="20" t="str">
        <f t="shared" si="3"/>
        <v>4049</v>
      </c>
    </row>
    <row r="86" spans="1:8" x14ac:dyDescent="0.3">
      <c r="A86" s="8">
        <v>43025.422453703701</v>
      </c>
      <c r="B86" s="20" t="s">
        <v>709</v>
      </c>
      <c r="C86" s="20" t="s">
        <v>710</v>
      </c>
      <c r="D86" s="138">
        <v>1780000</v>
      </c>
      <c r="E86" s="20" t="s">
        <v>711</v>
      </c>
      <c r="F86" s="20" t="s">
        <v>712</v>
      </c>
      <c r="G86" s="8" t="str">
        <f t="shared" si="2"/>
        <v>DE LA ROSA ALEX</v>
      </c>
      <c r="H86" s="20" t="str">
        <f t="shared" si="3"/>
        <v>4034</v>
      </c>
    </row>
    <row r="87" spans="1:8" x14ac:dyDescent="0.3">
      <c r="A87" s="8">
        <v>43025.424618055556</v>
      </c>
      <c r="B87" s="20" t="s">
        <v>436</v>
      </c>
      <c r="C87" s="20" t="s">
        <v>618</v>
      </c>
      <c r="D87" s="138">
        <v>2560000</v>
      </c>
      <c r="E87" s="20" t="s">
        <v>497</v>
      </c>
      <c r="F87" s="20" t="s">
        <v>473</v>
      </c>
      <c r="G87" s="8" t="str">
        <f t="shared" si="2"/>
        <v>MACDONALD THOMAS</v>
      </c>
      <c r="H87" s="20" t="str">
        <f t="shared" si="3"/>
        <v>4013</v>
      </c>
    </row>
    <row r="88" spans="1:8" x14ac:dyDescent="0.3">
      <c r="A88" s="8">
        <v>43025.431759259256</v>
      </c>
      <c r="B88" s="20" t="s">
        <v>398</v>
      </c>
      <c r="C88" s="20" t="s">
        <v>713</v>
      </c>
      <c r="D88" s="138">
        <v>1230000</v>
      </c>
      <c r="E88" s="20" t="s">
        <v>536</v>
      </c>
      <c r="F88" s="20" t="s">
        <v>537</v>
      </c>
      <c r="G88" s="8" t="str">
        <f t="shared" si="2"/>
        <v>YANAI IAN</v>
      </c>
      <c r="H88" s="20" t="str">
        <f t="shared" si="3"/>
        <v>4066</v>
      </c>
    </row>
    <row r="89" spans="1:8" x14ac:dyDescent="0.3">
      <c r="A89" s="8">
        <v>43025.432928240742</v>
      </c>
      <c r="B89" s="20" t="s">
        <v>530</v>
      </c>
      <c r="C89" s="20" t="s">
        <v>714</v>
      </c>
      <c r="D89" s="138">
        <v>2530000</v>
      </c>
      <c r="E89" s="20" t="s">
        <v>495</v>
      </c>
      <c r="F89" s="20" t="s">
        <v>496</v>
      </c>
      <c r="G89" s="8" t="str">
        <f t="shared" si="2"/>
        <v>LALONDE GREGORY</v>
      </c>
      <c r="H89" s="20" t="str">
        <f t="shared" si="3"/>
        <v>4009</v>
      </c>
    </row>
    <row r="90" spans="1:8" x14ac:dyDescent="0.3">
      <c r="A90" s="8">
        <v>43025.433587962965</v>
      </c>
      <c r="B90" s="20" t="s">
        <v>440</v>
      </c>
      <c r="C90" s="20" t="s">
        <v>715</v>
      </c>
      <c r="D90" s="138">
        <v>2470000</v>
      </c>
      <c r="E90" s="20" t="s">
        <v>664</v>
      </c>
      <c r="F90" s="20" t="s">
        <v>665</v>
      </c>
      <c r="G90" s="8" t="str">
        <f t="shared" si="2"/>
        <v>ROMERO CHAD</v>
      </c>
      <c r="H90" s="20" t="str">
        <f t="shared" si="3"/>
        <v>4031</v>
      </c>
    </row>
    <row r="91" spans="1:8" x14ac:dyDescent="0.3">
      <c r="A91" s="8">
        <v>43025.444062499999</v>
      </c>
      <c r="B91" s="20" t="s">
        <v>641</v>
      </c>
      <c r="C91" s="20" t="s">
        <v>716</v>
      </c>
      <c r="D91" s="138">
        <v>1810000</v>
      </c>
      <c r="E91" s="20" t="s">
        <v>717</v>
      </c>
      <c r="F91" s="20" t="s">
        <v>361</v>
      </c>
      <c r="G91" s="8" t="str">
        <f t="shared" si="2"/>
        <v>NEWELL JAMES</v>
      </c>
      <c r="H91" s="20" t="str">
        <f t="shared" si="3"/>
        <v>4004</v>
      </c>
    </row>
    <row r="92" spans="1:8" x14ac:dyDescent="0.3">
      <c r="A92" s="8">
        <v>43025.445613425924</v>
      </c>
      <c r="B92" s="20" t="s">
        <v>615</v>
      </c>
      <c r="C92" s="20" t="s">
        <v>619</v>
      </c>
      <c r="D92" s="138">
        <v>2450000</v>
      </c>
      <c r="E92" s="20" t="s">
        <v>718</v>
      </c>
      <c r="F92" s="20" t="s">
        <v>719</v>
      </c>
      <c r="G92" s="8" t="str">
        <f t="shared" si="2"/>
        <v>NELSON ARIANE</v>
      </c>
      <c r="H92" s="20" t="str">
        <f t="shared" si="3"/>
        <v>4033</v>
      </c>
    </row>
    <row r="93" spans="1:8" x14ac:dyDescent="0.3">
      <c r="A93" s="8">
        <v>43025.453692129631</v>
      </c>
      <c r="B93" s="20" t="s">
        <v>438</v>
      </c>
      <c r="C93" s="20" t="s">
        <v>720</v>
      </c>
      <c r="D93" s="138">
        <v>3220000</v>
      </c>
      <c r="E93" s="20" t="s">
        <v>500</v>
      </c>
      <c r="F93" s="20" t="s">
        <v>501</v>
      </c>
      <c r="G93" s="8" t="str">
        <f t="shared" si="2"/>
        <v>RESPASS AARON</v>
      </c>
      <c r="H93" s="20" t="str">
        <f t="shared" si="3"/>
        <v>4014</v>
      </c>
    </row>
    <row r="94" spans="1:8" x14ac:dyDescent="0.3">
      <c r="A94" s="8">
        <v>43025.454467592594</v>
      </c>
      <c r="B94" s="20" t="s">
        <v>423</v>
      </c>
      <c r="C94" s="20" t="s">
        <v>620</v>
      </c>
      <c r="D94" s="138">
        <v>3090000</v>
      </c>
      <c r="E94" s="20" t="s">
        <v>498</v>
      </c>
      <c r="F94" s="20" t="s">
        <v>499</v>
      </c>
      <c r="G94" s="8" t="str">
        <f t="shared" si="2"/>
        <v>LAMAR NEKESHA</v>
      </c>
      <c r="H94" s="20" t="str">
        <f t="shared" si="3"/>
        <v>4035</v>
      </c>
    </row>
    <row r="95" spans="1:8" x14ac:dyDescent="0.3">
      <c r="A95" s="8">
        <v>43025.454618055555</v>
      </c>
      <c r="B95" s="20" t="s">
        <v>625</v>
      </c>
      <c r="C95" s="20" t="s">
        <v>721</v>
      </c>
      <c r="D95" s="138">
        <v>2730000</v>
      </c>
      <c r="E95" s="20" t="s">
        <v>531</v>
      </c>
      <c r="F95" s="20" t="s">
        <v>532</v>
      </c>
      <c r="G95" s="8" t="str">
        <f t="shared" si="2"/>
        <v>YANG JAN</v>
      </c>
      <c r="H95" s="20" t="str">
        <f t="shared" si="3"/>
        <v>4015</v>
      </c>
    </row>
    <row r="96" spans="1:8" x14ac:dyDescent="0.3">
      <c r="A96" s="8">
        <v>43025.456689814811</v>
      </c>
      <c r="B96" s="20" t="s">
        <v>439</v>
      </c>
      <c r="C96" s="20" t="s">
        <v>621</v>
      </c>
      <c r="D96" s="138">
        <v>2470000</v>
      </c>
      <c r="E96" s="20" t="s">
        <v>664</v>
      </c>
      <c r="F96" s="20" t="s">
        <v>665</v>
      </c>
      <c r="G96" s="8" t="str">
        <f t="shared" si="2"/>
        <v>ROMERO CHAD</v>
      </c>
      <c r="H96" s="20" t="str">
        <f t="shared" si="3"/>
        <v>4032</v>
      </c>
    </row>
    <row r="97" spans="1:8" x14ac:dyDescent="0.3">
      <c r="A97" s="8">
        <v>43025.463692129626</v>
      </c>
      <c r="B97" s="20" t="s">
        <v>399</v>
      </c>
      <c r="C97" s="20" t="s">
        <v>722</v>
      </c>
      <c r="D97" s="138">
        <v>1230000</v>
      </c>
      <c r="E97" s="20" t="s">
        <v>536</v>
      </c>
      <c r="F97" s="20" t="s">
        <v>537</v>
      </c>
      <c r="G97" s="8" t="str">
        <f t="shared" si="2"/>
        <v>YANAI IAN</v>
      </c>
      <c r="H97" s="20" t="str">
        <f t="shared" si="3"/>
        <v>4065</v>
      </c>
    </row>
    <row r="98" spans="1:8" x14ac:dyDescent="0.3">
      <c r="A98" s="8">
        <v>43025.465636574074</v>
      </c>
      <c r="B98" s="20" t="s">
        <v>525</v>
      </c>
      <c r="C98" s="20" t="s">
        <v>723</v>
      </c>
      <c r="D98" s="138">
        <v>1770000</v>
      </c>
      <c r="E98" s="20" t="s">
        <v>724</v>
      </c>
      <c r="F98" s="20" t="s">
        <v>725</v>
      </c>
      <c r="G98" s="8" t="str">
        <f t="shared" si="2"/>
        <v>BRUDER RICHARD</v>
      </c>
      <c r="H98" s="20" t="str">
        <f t="shared" si="3"/>
        <v>4050</v>
      </c>
    </row>
    <row r="99" spans="1:8" x14ac:dyDescent="0.3">
      <c r="A99" s="8">
        <v>43025.474398148152</v>
      </c>
      <c r="B99" s="20" t="s">
        <v>533</v>
      </c>
      <c r="C99" s="20" t="s">
        <v>726</v>
      </c>
      <c r="D99" s="138">
        <v>880000</v>
      </c>
      <c r="E99" s="20" t="s">
        <v>419</v>
      </c>
      <c r="F99" s="20" t="s">
        <v>393</v>
      </c>
      <c r="G99" s="8" t="str">
        <f t="shared" si="2"/>
        <v>STEWART MICHAEL</v>
      </c>
      <c r="H99" s="20" t="str">
        <f t="shared" si="3"/>
        <v>4010</v>
      </c>
    </row>
    <row r="100" spans="1:8" x14ac:dyDescent="0.3">
      <c r="A100" s="8">
        <v>43025.474606481483</v>
      </c>
      <c r="B100" s="20" t="s">
        <v>709</v>
      </c>
      <c r="C100" s="20" t="s">
        <v>727</v>
      </c>
      <c r="D100" s="138">
        <v>1340000</v>
      </c>
      <c r="E100" s="20" t="s">
        <v>540</v>
      </c>
      <c r="F100" s="20" t="s">
        <v>541</v>
      </c>
      <c r="G100" s="8" t="str">
        <f t="shared" si="2"/>
        <v>BEAM ROSS</v>
      </c>
      <c r="H100" s="20" t="str">
        <f t="shared" si="3"/>
        <v>4034</v>
      </c>
    </row>
    <row r="101" spans="1:8" x14ac:dyDescent="0.3">
      <c r="A101" s="8">
        <v>43025.476157407407</v>
      </c>
      <c r="B101" s="20" t="s">
        <v>440</v>
      </c>
      <c r="C101" s="20" t="s">
        <v>728</v>
      </c>
      <c r="D101" s="138">
        <v>2470000</v>
      </c>
      <c r="E101" s="20" t="s">
        <v>664</v>
      </c>
      <c r="F101" s="20" t="s">
        <v>665</v>
      </c>
      <c r="G101" s="8" t="str">
        <f t="shared" si="2"/>
        <v>ROMERO CHAD</v>
      </c>
      <c r="H101" s="20" t="str">
        <f t="shared" si="3"/>
        <v>4031</v>
      </c>
    </row>
    <row r="102" spans="1:8" x14ac:dyDescent="0.3">
      <c r="A102" s="8">
        <v>43025.480578703704</v>
      </c>
      <c r="B102" s="20" t="s">
        <v>469</v>
      </c>
      <c r="C102" s="20" t="s">
        <v>729</v>
      </c>
      <c r="D102" s="138">
        <v>1810000</v>
      </c>
      <c r="E102" s="20" t="s">
        <v>717</v>
      </c>
      <c r="F102" s="20" t="s">
        <v>361</v>
      </c>
      <c r="G102" s="8" t="str">
        <f t="shared" si="2"/>
        <v>NEWELL JAMES</v>
      </c>
      <c r="H102" s="20" t="str">
        <f t="shared" si="3"/>
        <v>4003</v>
      </c>
    </row>
    <row r="103" spans="1:8" x14ac:dyDescent="0.3">
      <c r="A103" s="8">
        <v>43025.484780092593</v>
      </c>
      <c r="B103" s="20" t="s">
        <v>615</v>
      </c>
      <c r="C103" s="20" t="s">
        <v>730</v>
      </c>
      <c r="D103" s="138">
        <v>1180000</v>
      </c>
      <c r="E103" s="20" t="s">
        <v>542</v>
      </c>
      <c r="F103" s="20" t="s">
        <v>543</v>
      </c>
      <c r="G103" s="8" t="str">
        <f t="shared" si="2"/>
        <v>LEVERE CRAIG</v>
      </c>
      <c r="H103" s="20" t="str">
        <f t="shared" si="3"/>
        <v>4033</v>
      </c>
    </row>
    <row r="104" spans="1:8" x14ac:dyDescent="0.3">
      <c r="A104" s="8">
        <v>43025.486122685186</v>
      </c>
      <c r="B104" s="20" t="s">
        <v>412</v>
      </c>
      <c r="C104" s="20" t="s">
        <v>731</v>
      </c>
      <c r="D104" s="138">
        <v>1300000</v>
      </c>
      <c r="E104" s="20" t="s">
        <v>544</v>
      </c>
      <c r="F104" s="20" t="s">
        <v>545</v>
      </c>
      <c r="G104" s="8" t="str">
        <f t="shared" si="2"/>
        <v>LEVIN SCOTT</v>
      </c>
      <c r="H104" s="20" t="str">
        <f t="shared" si="3"/>
        <v>4036</v>
      </c>
    </row>
    <row r="105" spans="1:8" x14ac:dyDescent="0.3">
      <c r="A105" s="8">
        <v>43025.486273148148</v>
      </c>
      <c r="B105" s="20" t="s">
        <v>615</v>
      </c>
      <c r="C105" s="20" t="s">
        <v>730</v>
      </c>
      <c r="D105" s="138">
        <v>1180000</v>
      </c>
      <c r="E105" s="20" t="s">
        <v>542</v>
      </c>
      <c r="F105" s="20" t="s">
        <v>543</v>
      </c>
      <c r="G105" s="8" t="str">
        <f t="shared" si="2"/>
        <v>LEVERE CRAIG</v>
      </c>
      <c r="H105" s="20" t="str">
        <f t="shared" si="3"/>
        <v>4033</v>
      </c>
    </row>
    <row r="106" spans="1:8" x14ac:dyDescent="0.3">
      <c r="A106" s="8">
        <v>43025.48746527778</v>
      </c>
      <c r="B106" s="20" t="s">
        <v>615</v>
      </c>
      <c r="C106" s="20" t="s">
        <v>730</v>
      </c>
      <c r="D106" s="138">
        <v>1180000</v>
      </c>
      <c r="E106" s="20" t="s">
        <v>542</v>
      </c>
      <c r="F106" s="20" t="s">
        <v>543</v>
      </c>
      <c r="G106" s="8" t="str">
        <f t="shared" si="2"/>
        <v>LEVERE CRAIG</v>
      </c>
      <c r="H106" s="20" t="str">
        <f t="shared" si="3"/>
        <v>4033</v>
      </c>
    </row>
    <row r="107" spans="1:8" x14ac:dyDescent="0.3">
      <c r="A107" s="8">
        <v>43025.493310185186</v>
      </c>
      <c r="B107" s="20" t="s">
        <v>436</v>
      </c>
      <c r="C107" s="20" t="s">
        <v>622</v>
      </c>
      <c r="D107" s="138">
        <v>3220000</v>
      </c>
      <c r="E107" s="20" t="s">
        <v>500</v>
      </c>
      <c r="F107" s="20" t="s">
        <v>501</v>
      </c>
      <c r="G107" s="8" t="str">
        <f t="shared" si="2"/>
        <v>RESPASS AARON</v>
      </c>
      <c r="H107" s="20" t="str">
        <f t="shared" si="3"/>
        <v>4013</v>
      </c>
    </row>
    <row r="108" spans="1:8" x14ac:dyDescent="0.3">
      <c r="A108" s="8">
        <v>43025.496562499997</v>
      </c>
      <c r="B108" s="20" t="s">
        <v>492</v>
      </c>
      <c r="C108" s="20" t="s">
        <v>732</v>
      </c>
      <c r="D108" s="138">
        <v>2140000</v>
      </c>
      <c r="E108" s="20" t="s">
        <v>733</v>
      </c>
      <c r="F108" s="20" t="s">
        <v>734</v>
      </c>
      <c r="G108" s="8" t="str">
        <f t="shared" si="2"/>
        <v>ROBINSON KADDIBA</v>
      </c>
      <c r="H108" s="20" t="str">
        <f t="shared" si="3"/>
        <v>4016</v>
      </c>
    </row>
    <row r="109" spans="1:8" x14ac:dyDescent="0.3">
      <c r="A109" s="8">
        <v>43025.498402777775</v>
      </c>
      <c r="B109" s="20" t="s">
        <v>439</v>
      </c>
      <c r="C109" s="20" t="s">
        <v>735</v>
      </c>
      <c r="D109" s="138">
        <v>2470000</v>
      </c>
      <c r="E109" s="20" t="s">
        <v>664</v>
      </c>
      <c r="F109" s="20" t="s">
        <v>665</v>
      </c>
      <c r="G109" s="8" t="str">
        <f t="shared" si="2"/>
        <v>ROMERO CHAD</v>
      </c>
      <c r="H109" s="20" t="str">
        <f t="shared" si="3"/>
        <v>4032</v>
      </c>
    </row>
    <row r="110" spans="1:8" x14ac:dyDescent="0.3">
      <c r="A110" s="8">
        <v>43025.502592592595</v>
      </c>
      <c r="B110" s="20" t="s">
        <v>709</v>
      </c>
      <c r="C110" s="20" t="s">
        <v>736</v>
      </c>
      <c r="D110" s="138">
        <v>2730000</v>
      </c>
      <c r="E110" s="20" t="s">
        <v>531</v>
      </c>
      <c r="F110" s="20" t="s">
        <v>532</v>
      </c>
      <c r="G110" s="8" t="str">
        <f t="shared" si="2"/>
        <v>YANG JAN</v>
      </c>
      <c r="H110" s="20" t="str">
        <f t="shared" si="3"/>
        <v>4034</v>
      </c>
    </row>
    <row r="111" spans="1:8" x14ac:dyDescent="0.3">
      <c r="A111" s="8">
        <v>43025.504293981481</v>
      </c>
      <c r="B111" s="20" t="s">
        <v>534</v>
      </c>
      <c r="C111" s="20" t="s">
        <v>737</v>
      </c>
      <c r="D111" s="138">
        <v>2230000</v>
      </c>
      <c r="E111" s="20" t="s">
        <v>504</v>
      </c>
      <c r="F111" s="20" t="s">
        <v>393</v>
      </c>
      <c r="G111" s="8" t="str">
        <f t="shared" si="2"/>
        <v>SMITH MICHAEL</v>
      </c>
      <c r="H111" s="20" t="str">
        <f t="shared" si="3"/>
        <v>4023</v>
      </c>
    </row>
    <row r="112" spans="1:8" x14ac:dyDescent="0.3">
      <c r="A112" s="8">
        <v>43025.505277777775</v>
      </c>
      <c r="B112" s="20" t="s">
        <v>398</v>
      </c>
      <c r="C112" s="20" t="s">
        <v>738</v>
      </c>
      <c r="D112" s="138">
        <v>2030000</v>
      </c>
      <c r="E112" s="20" t="s">
        <v>442</v>
      </c>
      <c r="F112" s="20" t="s">
        <v>443</v>
      </c>
      <c r="G112" s="8" t="str">
        <f t="shared" si="2"/>
        <v>KILLION DAVID</v>
      </c>
      <c r="H112" s="20" t="str">
        <f t="shared" si="3"/>
        <v>4066</v>
      </c>
    </row>
    <row r="113" spans="1:8" x14ac:dyDescent="0.3">
      <c r="A113" s="8">
        <v>43025.505555555559</v>
      </c>
      <c r="B113" s="20" t="s">
        <v>526</v>
      </c>
      <c r="C113" s="20" t="s">
        <v>739</v>
      </c>
      <c r="D113" s="138">
        <v>1770000</v>
      </c>
      <c r="E113" s="20" t="s">
        <v>724</v>
      </c>
      <c r="F113" s="20" t="s">
        <v>725</v>
      </c>
      <c r="G113" s="8" t="str">
        <f t="shared" si="2"/>
        <v>BRUDER RICHARD</v>
      </c>
      <c r="H113" s="20" t="str">
        <f t="shared" si="3"/>
        <v>4049</v>
      </c>
    </row>
    <row r="114" spans="1:8" x14ac:dyDescent="0.3">
      <c r="A114" s="8">
        <v>43025.51221064815</v>
      </c>
      <c r="B114" s="20" t="s">
        <v>530</v>
      </c>
      <c r="C114" s="20" t="s">
        <v>740</v>
      </c>
      <c r="D114" s="138">
        <v>880000</v>
      </c>
      <c r="E114" s="20" t="s">
        <v>419</v>
      </c>
      <c r="F114" s="20" t="s">
        <v>393</v>
      </c>
      <c r="G114" s="8" t="str">
        <f t="shared" si="2"/>
        <v>STEWART MICHAEL</v>
      </c>
      <c r="H114" s="20" t="str">
        <f t="shared" si="3"/>
        <v>4009</v>
      </c>
    </row>
    <row r="115" spans="1:8" x14ac:dyDescent="0.3">
      <c r="A115" s="8">
        <v>43025.51734953704</v>
      </c>
      <c r="B115" s="20" t="s">
        <v>641</v>
      </c>
      <c r="C115" s="20" t="s">
        <v>741</v>
      </c>
      <c r="D115" s="138">
        <v>2040000</v>
      </c>
      <c r="E115" s="20" t="s">
        <v>742</v>
      </c>
      <c r="F115" s="20" t="s">
        <v>743</v>
      </c>
      <c r="G115" s="8" t="str">
        <f t="shared" si="2"/>
        <v>MOSES BRADLEY</v>
      </c>
      <c r="H115" s="20" t="str">
        <f t="shared" si="3"/>
        <v>4004</v>
      </c>
    </row>
    <row r="116" spans="1:8" x14ac:dyDescent="0.3">
      <c r="A116" s="8">
        <v>43025.520115740743</v>
      </c>
      <c r="B116" s="20" t="s">
        <v>440</v>
      </c>
      <c r="C116" s="20" t="s">
        <v>623</v>
      </c>
      <c r="D116" s="138">
        <v>2470000</v>
      </c>
      <c r="E116" s="20" t="s">
        <v>664</v>
      </c>
      <c r="F116" s="20" t="s">
        <v>665</v>
      </c>
      <c r="G116" s="8" t="str">
        <f t="shared" si="2"/>
        <v>ROMERO CHAD</v>
      </c>
      <c r="H116" s="20" t="str">
        <f t="shared" si="3"/>
        <v>4031</v>
      </c>
    </row>
    <row r="117" spans="1:8" x14ac:dyDescent="0.3">
      <c r="A117" s="8">
        <v>43025.522824074076</v>
      </c>
      <c r="B117" s="20" t="s">
        <v>423</v>
      </c>
      <c r="C117" s="20" t="s">
        <v>624</v>
      </c>
      <c r="D117" s="138">
        <v>1300000</v>
      </c>
      <c r="E117" s="20" t="s">
        <v>544</v>
      </c>
      <c r="F117" s="20" t="s">
        <v>545</v>
      </c>
      <c r="G117" s="8" t="str">
        <f t="shared" si="2"/>
        <v>LEVIN SCOTT</v>
      </c>
      <c r="H117" s="20" t="str">
        <f t="shared" si="3"/>
        <v>4035</v>
      </c>
    </row>
    <row r="118" spans="1:8" x14ac:dyDescent="0.3">
      <c r="A118" s="8">
        <v>43025.526446759257</v>
      </c>
      <c r="B118" s="20" t="s">
        <v>438</v>
      </c>
      <c r="C118" s="20" t="s">
        <v>744</v>
      </c>
      <c r="D118" s="138">
        <v>2230000</v>
      </c>
      <c r="E118" s="20" t="s">
        <v>504</v>
      </c>
      <c r="F118" s="20" t="s">
        <v>393</v>
      </c>
      <c r="G118" s="8" t="str">
        <f t="shared" si="2"/>
        <v>SMITH MICHAEL</v>
      </c>
      <c r="H118" s="20" t="str">
        <f t="shared" si="3"/>
        <v>4014</v>
      </c>
    </row>
    <row r="119" spans="1:8" x14ac:dyDescent="0.3">
      <c r="A119" s="8">
        <v>43025.533321759256</v>
      </c>
      <c r="B119" s="20" t="s">
        <v>535</v>
      </c>
      <c r="C119" s="20" t="s">
        <v>745</v>
      </c>
      <c r="D119" s="138">
        <v>2560000</v>
      </c>
      <c r="E119" s="20" t="s">
        <v>497</v>
      </c>
      <c r="F119" s="20" t="s">
        <v>473</v>
      </c>
      <c r="G119" s="8" t="str">
        <f t="shared" si="2"/>
        <v>MACDONALD THOMAS</v>
      </c>
      <c r="H119" s="20" t="str">
        <f t="shared" si="3"/>
        <v>4024</v>
      </c>
    </row>
    <row r="120" spans="1:8" x14ac:dyDescent="0.3">
      <c r="A120" s="8">
        <v>43025.537048611113</v>
      </c>
      <c r="B120" s="20" t="s">
        <v>625</v>
      </c>
      <c r="C120" s="20" t="s">
        <v>626</v>
      </c>
      <c r="D120" s="138">
        <v>2140000</v>
      </c>
      <c r="E120" s="20" t="s">
        <v>733</v>
      </c>
      <c r="F120" s="20" t="s">
        <v>734</v>
      </c>
      <c r="G120" s="8" t="str">
        <f t="shared" si="2"/>
        <v>ROBINSON KADDIBA</v>
      </c>
      <c r="H120" s="20" t="str">
        <f t="shared" si="3"/>
        <v>4015</v>
      </c>
    </row>
    <row r="121" spans="1:8" x14ac:dyDescent="0.3">
      <c r="A121" s="8">
        <v>43025.537986111114</v>
      </c>
      <c r="B121" s="20" t="s">
        <v>525</v>
      </c>
      <c r="C121" s="20" t="s">
        <v>746</v>
      </c>
      <c r="D121" s="138">
        <v>1770000</v>
      </c>
      <c r="E121" s="20" t="s">
        <v>724</v>
      </c>
      <c r="F121" s="20" t="s">
        <v>725</v>
      </c>
      <c r="G121" s="8" t="str">
        <f t="shared" si="2"/>
        <v>BRUDER RICHARD</v>
      </c>
      <c r="H121" s="20" t="str">
        <f t="shared" si="3"/>
        <v>4050</v>
      </c>
    </row>
    <row r="122" spans="1:8" x14ac:dyDescent="0.3">
      <c r="A122" s="8">
        <v>43025.540462962963</v>
      </c>
      <c r="B122" s="25" t="s">
        <v>399</v>
      </c>
      <c r="C122" s="20" t="s">
        <v>747</v>
      </c>
      <c r="D122" s="138">
        <v>2030000</v>
      </c>
      <c r="E122" s="20" t="s">
        <v>442</v>
      </c>
      <c r="F122" s="20" t="s">
        <v>443</v>
      </c>
      <c r="G122" s="8" t="str">
        <f t="shared" si="2"/>
        <v>KILLION DAVID</v>
      </c>
      <c r="H122" s="20" t="str">
        <f t="shared" si="3"/>
        <v>4065</v>
      </c>
    </row>
    <row r="123" spans="1:8" x14ac:dyDescent="0.3">
      <c r="A123" s="8">
        <v>43025.540891203702</v>
      </c>
      <c r="B123" s="20" t="s">
        <v>439</v>
      </c>
      <c r="C123" s="20" t="s">
        <v>748</v>
      </c>
      <c r="D123" s="138">
        <v>2970000</v>
      </c>
      <c r="E123" s="20" t="s">
        <v>502</v>
      </c>
      <c r="F123" s="20" t="s">
        <v>503</v>
      </c>
      <c r="G123" s="8" t="str">
        <f t="shared" si="2"/>
        <v>GUZMAN DANNY</v>
      </c>
      <c r="H123" s="20" t="str">
        <f t="shared" si="3"/>
        <v>4032</v>
      </c>
    </row>
    <row r="124" spans="1:8" x14ac:dyDescent="0.3">
      <c r="A124" s="8">
        <v>43025.550162037034</v>
      </c>
      <c r="B124" s="20" t="s">
        <v>533</v>
      </c>
      <c r="C124" s="20" t="s">
        <v>627</v>
      </c>
      <c r="D124" s="138">
        <v>880000</v>
      </c>
      <c r="E124" s="20" t="s">
        <v>419</v>
      </c>
      <c r="F124" s="20" t="s">
        <v>393</v>
      </c>
      <c r="G124" s="8" t="str">
        <f t="shared" si="2"/>
        <v>STEWART MICHAEL</v>
      </c>
      <c r="H124" s="20" t="str">
        <f t="shared" si="3"/>
        <v>4010</v>
      </c>
    </row>
    <row r="125" spans="1:8" x14ac:dyDescent="0.3">
      <c r="A125" s="8">
        <v>43025.5549537037</v>
      </c>
      <c r="B125" s="20" t="s">
        <v>469</v>
      </c>
      <c r="C125" s="20" t="s">
        <v>628</v>
      </c>
      <c r="D125" s="138">
        <v>2040000</v>
      </c>
      <c r="E125" s="20" t="s">
        <v>742</v>
      </c>
      <c r="F125" s="20" t="s">
        <v>743</v>
      </c>
      <c r="G125" s="8" t="str">
        <f t="shared" si="2"/>
        <v>MOSES BRADLEY</v>
      </c>
      <c r="H125" s="20" t="str">
        <f t="shared" si="3"/>
        <v>4003</v>
      </c>
    </row>
    <row r="126" spans="1:8" x14ac:dyDescent="0.3">
      <c r="A126" s="8">
        <v>43025.561342592591</v>
      </c>
      <c r="B126" s="20" t="s">
        <v>440</v>
      </c>
      <c r="C126" s="20" t="s">
        <v>749</v>
      </c>
      <c r="D126" s="138">
        <v>2970000</v>
      </c>
      <c r="E126" s="20" t="s">
        <v>502</v>
      </c>
      <c r="F126" s="20" t="s">
        <v>503</v>
      </c>
      <c r="G126" s="8" t="str">
        <f t="shared" si="2"/>
        <v>GUZMAN DANNY</v>
      </c>
      <c r="H126" s="20" t="str">
        <f t="shared" si="3"/>
        <v>4031</v>
      </c>
    </row>
    <row r="127" spans="1:8" x14ac:dyDescent="0.3">
      <c r="A127" s="8">
        <v>43025.561736111114</v>
      </c>
      <c r="B127" s="20" t="s">
        <v>412</v>
      </c>
      <c r="C127" s="20" t="s">
        <v>750</v>
      </c>
      <c r="D127" s="138">
        <v>1300000</v>
      </c>
      <c r="E127" s="20" t="s">
        <v>544</v>
      </c>
      <c r="F127" s="20" t="s">
        <v>545</v>
      </c>
      <c r="G127" s="8" t="str">
        <f t="shared" si="2"/>
        <v>LEVIN SCOTT</v>
      </c>
      <c r="H127" s="20" t="str">
        <f t="shared" si="3"/>
        <v>4036</v>
      </c>
    </row>
    <row r="128" spans="1:8" x14ac:dyDescent="0.3">
      <c r="A128" s="8">
        <v>43025.565347222226</v>
      </c>
      <c r="B128" s="20" t="s">
        <v>436</v>
      </c>
      <c r="C128" s="20" t="s">
        <v>751</v>
      </c>
      <c r="D128" s="138">
        <v>2230000</v>
      </c>
      <c r="E128" s="20" t="s">
        <v>504</v>
      </c>
      <c r="F128" s="20" t="s">
        <v>393</v>
      </c>
      <c r="G128" s="8" t="str">
        <f t="shared" si="2"/>
        <v>SMITH MICHAEL</v>
      </c>
      <c r="H128" s="20" t="str">
        <f t="shared" si="3"/>
        <v>4013</v>
      </c>
    </row>
    <row r="129" spans="1:8" x14ac:dyDescent="0.3">
      <c r="A129" s="8">
        <v>43025.568958333337</v>
      </c>
      <c r="B129" s="20" t="s">
        <v>492</v>
      </c>
      <c r="C129" s="20" t="s">
        <v>752</v>
      </c>
      <c r="D129" s="138">
        <v>1180000</v>
      </c>
      <c r="E129" s="20" t="s">
        <v>542</v>
      </c>
      <c r="F129" s="20" t="s">
        <v>543</v>
      </c>
      <c r="G129" s="8" t="str">
        <f t="shared" si="2"/>
        <v>LEVERE CRAIG</v>
      </c>
      <c r="H129" s="20" t="str">
        <f t="shared" si="3"/>
        <v>4016</v>
      </c>
    </row>
    <row r="130" spans="1:8" x14ac:dyDescent="0.3">
      <c r="A130" s="8">
        <v>43025.578206018516</v>
      </c>
      <c r="B130" s="20" t="s">
        <v>398</v>
      </c>
      <c r="C130" s="20" t="s">
        <v>753</v>
      </c>
      <c r="D130" s="138">
        <v>2030000</v>
      </c>
      <c r="E130" s="20" t="s">
        <v>442</v>
      </c>
      <c r="F130" s="20" t="s">
        <v>443</v>
      </c>
      <c r="G130" s="8" t="str">
        <f t="shared" si="2"/>
        <v>KILLION DAVID</v>
      </c>
      <c r="H130" s="20" t="str">
        <f t="shared" si="3"/>
        <v>4066</v>
      </c>
    </row>
    <row r="131" spans="1:8" x14ac:dyDescent="0.3">
      <c r="A131" s="8">
        <v>43025.578912037039</v>
      </c>
      <c r="B131" s="20" t="s">
        <v>526</v>
      </c>
      <c r="C131" s="20" t="s">
        <v>754</v>
      </c>
      <c r="D131" s="138">
        <v>1770000</v>
      </c>
      <c r="E131" s="20" t="s">
        <v>724</v>
      </c>
      <c r="F131" s="20" t="s">
        <v>725</v>
      </c>
      <c r="G131" s="8" t="str">
        <f t="shared" ref="G131:G194" si="4">E131&amp;" "&amp;F131</f>
        <v>BRUDER RICHARD</v>
      </c>
      <c r="H131" s="20" t="str">
        <f t="shared" ref="H131:H194" si="5">MID(B131,13,4)</f>
        <v>4049</v>
      </c>
    </row>
    <row r="132" spans="1:8" x14ac:dyDescent="0.3">
      <c r="A132" s="8">
        <v>43025.581250000003</v>
      </c>
      <c r="B132" s="20" t="s">
        <v>416</v>
      </c>
      <c r="C132" s="20" t="s">
        <v>755</v>
      </c>
      <c r="D132" s="138">
        <v>3220000</v>
      </c>
      <c r="E132" s="20" t="s">
        <v>500</v>
      </c>
      <c r="F132" s="20" t="s">
        <v>501</v>
      </c>
      <c r="G132" s="8" t="str">
        <f t="shared" si="4"/>
        <v>RESPASS AARON</v>
      </c>
      <c r="H132" s="20" t="str">
        <f t="shared" si="5"/>
        <v>4052</v>
      </c>
    </row>
    <row r="133" spans="1:8" x14ac:dyDescent="0.3">
      <c r="A133" s="8">
        <v>43025.583124999997</v>
      </c>
      <c r="B133" s="20" t="s">
        <v>530</v>
      </c>
      <c r="C133" s="20" t="s">
        <v>756</v>
      </c>
      <c r="D133" s="138">
        <v>880000</v>
      </c>
      <c r="E133" s="20" t="s">
        <v>419</v>
      </c>
      <c r="F133" s="20" t="s">
        <v>393</v>
      </c>
      <c r="G133" s="8" t="str">
        <f t="shared" si="4"/>
        <v>STEWART MICHAEL</v>
      </c>
      <c r="H133" s="20" t="str">
        <f t="shared" si="5"/>
        <v>4009</v>
      </c>
    </row>
    <row r="134" spans="1:8" x14ac:dyDescent="0.3">
      <c r="A134" s="8">
        <v>43025.583541666667</v>
      </c>
      <c r="B134" s="20" t="s">
        <v>439</v>
      </c>
      <c r="C134" s="20" t="s">
        <v>757</v>
      </c>
      <c r="D134" s="138">
        <v>2970000</v>
      </c>
      <c r="E134" s="20" t="s">
        <v>502</v>
      </c>
      <c r="F134" s="20" t="s">
        <v>503</v>
      </c>
      <c r="G134" s="8" t="str">
        <f t="shared" si="4"/>
        <v>GUZMAN DANNY</v>
      </c>
      <c r="H134" s="20" t="str">
        <f t="shared" si="5"/>
        <v>4032</v>
      </c>
    </row>
    <row r="135" spans="1:8" x14ac:dyDescent="0.3">
      <c r="A135" s="8">
        <v>43025.587094907409</v>
      </c>
      <c r="B135" s="20" t="s">
        <v>417</v>
      </c>
      <c r="C135" s="20" t="s">
        <v>755</v>
      </c>
      <c r="D135" s="138">
        <v>3220000</v>
      </c>
      <c r="E135" s="20" t="s">
        <v>500</v>
      </c>
      <c r="F135" s="20" t="s">
        <v>501</v>
      </c>
      <c r="G135" s="8" t="str">
        <f t="shared" si="4"/>
        <v>RESPASS AARON</v>
      </c>
      <c r="H135" s="20" t="str">
        <f t="shared" si="5"/>
        <v>4051</v>
      </c>
    </row>
    <row r="136" spans="1:8" x14ac:dyDescent="0.3">
      <c r="A136" s="8">
        <v>43025.589050925926</v>
      </c>
      <c r="B136" s="20" t="s">
        <v>417</v>
      </c>
      <c r="C136" s="20" t="s">
        <v>755</v>
      </c>
      <c r="D136" s="138">
        <v>3220000</v>
      </c>
      <c r="E136" s="20" t="s">
        <v>500</v>
      </c>
      <c r="F136" s="20" t="s">
        <v>501</v>
      </c>
      <c r="G136" s="8" t="str">
        <f t="shared" si="4"/>
        <v>RESPASS AARON</v>
      </c>
      <c r="H136" s="20" t="str">
        <f t="shared" si="5"/>
        <v>4051</v>
      </c>
    </row>
    <row r="137" spans="1:8" x14ac:dyDescent="0.3">
      <c r="A137" s="8">
        <v>43025.598749999997</v>
      </c>
      <c r="B137" s="20" t="s">
        <v>423</v>
      </c>
      <c r="C137" s="20" t="s">
        <v>758</v>
      </c>
      <c r="D137" s="138">
        <v>1300000</v>
      </c>
      <c r="E137" s="20" t="s">
        <v>544</v>
      </c>
      <c r="F137" s="20" t="s">
        <v>545</v>
      </c>
      <c r="G137" s="8" t="str">
        <f t="shared" si="4"/>
        <v>LEVIN SCOTT</v>
      </c>
      <c r="H137" s="20" t="str">
        <f t="shared" si="5"/>
        <v>4035</v>
      </c>
    </row>
    <row r="138" spans="1:8" x14ac:dyDescent="0.3">
      <c r="A138" s="8">
        <v>43025.599085648151</v>
      </c>
      <c r="B138" s="20" t="s">
        <v>416</v>
      </c>
      <c r="C138" s="20" t="s">
        <v>759</v>
      </c>
      <c r="D138" s="138">
        <v>1810000</v>
      </c>
      <c r="E138" s="20" t="s">
        <v>717</v>
      </c>
      <c r="F138" s="20" t="s">
        <v>361</v>
      </c>
      <c r="G138" s="8" t="str">
        <f t="shared" si="4"/>
        <v>NEWELL JAMES</v>
      </c>
      <c r="H138" s="20" t="str">
        <f t="shared" si="5"/>
        <v>4052</v>
      </c>
    </row>
    <row r="139" spans="1:8" x14ac:dyDescent="0.3">
      <c r="A139" s="8">
        <v>43025.600127314814</v>
      </c>
      <c r="B139" s="20" t="s">
        <v>438</v>
      </c>
      <c r="C139" s="20" t="s">
        <v>760</v>
      </c>
      <c r="D139" s="138">
        <v>2230000</v>
      </c>
      <c r="E139" s="20" t="s">
        <v>504</v>
      </c>
      <c r="F139" s="20" t="s">
        <v>393</v>
      </c>
      <c r="G139" s="8" t="str">
        <f t="shared" si="4"/>
        <v>SMITH MICHAEL</v>
      </c>
      <c r="H139" s="20" t="str">
        <f t="shared" si="5"/>
        <v>4014</v>
      </c>
    </row>
    <row r="140" spans="1:8" x14ac:dyDescent="0.3">
      <c r="A140" s="8">
        <v>43025.601331018515</v>
      </c>
      <c r="B140" s="20" t="s">
        <v>440</v>
      </c>
      <c r="C140" s="20" t="s">
        <v>761</v>
      </c>
      <c r="D140" s="138">
        <v>2970000</v>
      </c>
      <c r="E140" s="20" t="s">
        <v>502</v>
      </c>
      <c r="F140" s="20" t="s">
        <v>503</v>
      </c>
      <c r="G140" s="8" t="str">
        <f t="shared" si="4"/>
        <v>GUZMAN DANNY</v>
      </c>
      <c r="H140" s="20" t="str">
        <f t="shared" si="5"/>
        <v>4031</v>
      </c>
    </row>
    <row r="141" spans="1:8" x14ac:dyDescent="0.3">
      <c r="A141" s="8">
        <v>43025.606840277775</v>
      </c>
      <c r="B141" s="20" t="s">
        <v>625</v>
      </c>
      <c r="C141" s="20" t="s">
        <v>762</v>
      </c>
      <c r="D141" s="138">
        <v>1180000</v>
      </c>
      <c r="E141" s="20" t="s">
        <v>542</v>
      </c>
      <c r="F141" s="20" t="s">
        <v>543</v>
      </c>
      <c r="G141" s="8" t="str">
        <f t="shared" si="4"/>
        <v>LEVERE CRAIG</v>
      </c>
      <c r="H141" s="20" t="str">
        <f t="shared" si="5"/>
        <v>4015</v>
      </c>
    </row>
    <row r="142" spans="1:8" x14ac:dyDescent="0.3">
      <c r="A142" s="8">
        <v>43025.61010416667</v>
      </c>
      <c r="B142" s="20" t="s">
        <v>525</v>
      </c>
      <c r="C142" s="20" t="s">
        <v>763</v>
      </c>
      <c r="D142" s="138">
        <v>1770000</v>
      </c>
      <c r="E142" s="20" t="s">
        <v>724</v>
      </c>
      <c r="F142" s="20" t="s">
        <v>725</v>
      </c>
      <c r="G142" s="8" t="str">
        <f t="shared" si="4"/>
        <v>BRUDER RICHARD</v>
      </c>
      <c r="H142" s="20" t="str">
        <f t="shared" si="5"/>
        <v>4050</v>
      </c>
    </row>
    <row r="143" spans="1:8" x14ac:dyDescent="0.3">
      <c r="A143" s="8">
        <v>43025.614050925928</v>
      </c>
      <c r="B143" s="20" t="s">
        <v>399</v>
      </c>
      <c r="C143" s="20" t="s">
        <v>764</v>
      </c>
      <c r="D143" s="138">
        <v>2030000</v>
      </c>
      <c r="E143" s="20" t="s">
        <v>442</v>
      </c>
      <c r="F143" s="20" t="s">
        <v>443</v>
      </c>
      <c r="G143" s="8" t="str">
        <f t="shared" si="4"/>
        <v>KILLION DAVID</v>
      </c>
      <c r="H143" s="20" t="str">
        <f t="shared" si="5"/>
        <v>4065</v>
      </c>
    </row>
    <row r="144" spans="1:8" x14ac:dyDescent="0.3">
      <c r="A144" s="8">
        <v>43025.62222222222</v>
      </c>
      <c r="B144" s="20" t="s">
        <v>533</v>
      </c>
      <c r="C144" s="20" t="s">
        <v>629</v>
      </c>
      <c r="D144" s="138">
        <v>880000</v>
      </c>
      <c r="E144" s="20" t="s">
        <v>419</v>
      </c>
      <c r="F144" s="20" t="s">
        <v>393</v>
      </c>
      <c r="G144" s="8" t="str">
        <f t="shared" si="4"/>
        <v>STEWART MICHAEL</v>
      </c>
      <c r="H144" s="20" t="str">
        <f t="shared" si="5"/>
        <v>4010</v>
      </c>
    </row>
    <row r="145" spans="1:8" x14ac:dyDescent="0.3">
      <c r="A145" s="8">
        <v>43025.624907407408</v>
      </c>
      <c r="B145" s="20" t="s">
        <v>439</v>
      </c>
      <c r="C145" s="20" t="s">
        <v>765</v>
      </c>
      <c r="D145" s="138">
        <v>2970000</v>
      </c>
      <c r="E145" s="20" t="s">
        <v>502</v>
      </c>
      <c r="F145" s="20" t="s">
        <v>503</v>
      </c>
      <c r="G145" s="8" t="str">
        <f t="shared" si="4"/>
        <v>GUZMAN DANNY</v>
      </c>
      <c r="H145" s="20" t="str">
        <f t="shared" si="5"/>
        <v>4032</v>
      </c>
    </row>
    <row r="146" spans="1:8" x14ac:dyDescent="0.3">
      <c r="A146" s="8">
        <v>43025.627523148149</v>
      </c>
      <c r="B146" s="20" t="s">
        <v>417</v>
      </c>
      <c r="C146" s="20" t="s">
        <v>766</v>
      </c>
      <c r="D146" s="138">
        <v>1810000</v>
      </c>
      <c r="E146" s="20" t="s">
        <v>717</v>
      </c>
      <c r="F146" s="20" t="s">
        <v>361</v>
      </c>
      <c r="G146" s="8" t="str">
        <f t="shared" si="4"/>
        <v>NEWELL JAMES</v>
      </c>
      <c r="H146" s="20" t="str">
        <f t="shared" si="5"/>
        <v>4051</v>
      </c>
    </row>
    <row r="147" spans="1:8" x14ac:dyDescent="0.3">
      <c r="A147" s="8">
        <v>43025.634143518517</v>
      </c>
      <c r="B147" s="20" t="s">
        <v>412</v>
      </c>
      <c r="C147" s="20" t="s">
        <v>767</v>
      </c>
      <c r="D147" s="138">
        <v>1300000</v>
      </c>
      <c r="E147" s="20" t="s">
        <v>544</v>
      </c>
      <c r="F147" s="20" t="s">
        <v>545</v>
      </c>
      <c r="G147" s="8" t="str">
        <f t="shared" si="4"/>
        <v>LEVIN SCOTT</v>
      </c>
      <c r="H147" s="20" t="str">
        <f t="shared" si="5"/>
        <v>4036</v>
      </c>
    </row>
    <row r="148" spans="1:8" x14ac:dyDescent="0.3">
      <c r="A148" s="8">
        <v>43025.637453703705</v>
      </c>
      <c r="B148" s="20" t="s">
        <v>529</v>
      </c>
      <c r="C148" s="20" t="s">
        <v>768</v>
      </c>
      <c r="D148" s="138">
        <v>2000000</v>
      </c>
      <c r="E148" s="20" t="s">
        <v>372</v>
      </c>
      <c r="F148" s="20" t="s">
        <v>361</v>
      </c>
      <c r="G148" s="8" t="str">
        <f t="shared" si="4"/>
        <v>STAMBAUGH JAMES</v>
      </c>
      <c r="H148" s="20" t="str">
        <f t="shared" si="5"/>
        <v>4059</v>
      </c>
    </row>
    <row r="149" spans="1:8" x14ac:dyDescent="0.3">
      <c r="A149" s="8">
        <v>43025.639050925929</v>
      </c>
      <c r="B149" s="20" t="s">
        <v>436</v>
      </c>
      <c r="C149" s="20" t="s">
        <v>631</v>
      </c>
      <c r="D149" s="138">
        <v>2230000</v>
      </c>
      <c r="E149" s="20" t="s">
        <v>504</v>
      </c>
      <c r="F149" s="20" t="s">
        <v>393</v>
      </c>
      <c r="G149" s="8" t="str">
        <f t="shared" si="4"/>
        <v>SMITH MICHAEL</v>
      </c>
      <c r="H149" s="20" t="str">
        <f t="shared" si="5"/>
        <v>4013</v>
      </c>
    </row>
    <row r="150" spans="1:8" x14ac:dyDescent="0.3">
      <c r="A150" s="8">
        <v>43025.642962962964</v>
      </c>
      <c r="B150" s="20" t="s">
        <v>440</v>
      </c>
      <c r="C150" s="20" t="s">
        <v>769</v>
      </c>
      <c r="D150" s="138">
        <v>2970000</v>
      </c>
      <c r="E150" s="20" t="s">
        <v>502</v>
      </c>
      <c r="F150" s="20" t="s">
        <v>503</v>
      </c>
      <c r="G150" s="8" t="str">
        <f t="shared" si="4"/>
        <v>GUZMAN DANNY</v>
      </c>
      <c r="H150" s="20" t="str">
        <f t="shared" si="5"/>
        <v>4031</v>
      </c>
    </row>
    <row r="151" spans="1:8" x14ac:dyDescent="0.3">
      <c r="A151" s="8">
        <v>43025.643240740741</v>
      </c>
      <c r="B151" s="20" t="s">
        <v>492</v>
      </c>
      <c r="C151" s="20" t="s">
        <v>770</v>
      </c>
      <c r="D151" s="138">
        <v>1180000</v>
      </c>
      <c r="E151" s="20" t="s">
        <v>542</v>
      </c>
      <c r="F151" s="20" t="s">
        <v>543</v>
      </c>
      <c r="G151" s="8" t="str">
        <f t="shared" si="4"/>
        <v>LEVERE CRAIG</v>
      </c>
      <c r="H151" s="20" t="str">
        <f t="shared" si="5"/>
        <v>4016</v>
      </c>
    </row>
    <row r="152" spans="1:8" x14ac:dyDescent="0.3">
      <c r="A152" s="8">
        <v>43025.649641203701</v>
      </c>
      <c r="B152" s="20" t="s">
        <v>524</v>
      </c>
      <c r="C152" s="20" t="s">
        <v>630</v>
      </c>
      <c r="D152" s="138">
        <v>2000000</v>
      </c>
      <c r="E152" s="20" t="s">
        <v>372</v>
      </c>
      <c r="F152" s="20" t="s">
        <v>361</v>
      </c>
      <c r="G152" s="8" t="str">
        <f t="shared" si="4"/>
        <v>STAMBAUGH JAMES</v>
      </c>
      <c r="H152" s="20" t="str">
        <f t="shared" si="5"/>
        <v>4060</v>
      </c>
    </row>
    <row r="153" spans="1:8" x14ac:dyDescent="0.3">
      <c r="A153" s="8">
        <v>43025.651006944441</v>
      </c>
      <c r="B153" s="20" t="s">
        <v>526</v>
      </c>
      <c r="C153" s="20" t="s">
        <v>771</v>
      </c>
      <c r="D153" s="138">
        <v>1770000</v>
      </c>
      <c r="E153" s="20" t="s">
        <v>724</v>
      </c>
      <c r="F153" s="20" t="s">
        <v>725</v>
      </c>
      <c r="G153" s="8" t="str">
        <f t="shared" si="4"/>
        <v>BRUDER RICHARD</v>
      </c>
      <c r="H153" s="20" t="str">
        <f t="shared" si="5"/>
        <v>4049</v>
      </c>
    </row>
    <row r="154" spans="1:8" x14ac:dyDescent="0.3">
      <c r="A154" s="8">
        <v>43025.654687499999</v>
      </c>
      <c r="B154" s="20" t="s">
        <v>398</v>
      </c>
      <c r="C154" s="20" t="s">
        <v>772</v>
      </c>
      <c r="D154" s="138">
        <v>860000</v>
      </c>
      <c r="E154" s="20" t="s">
        <v>773</v>
      </c>
      <c r="F154" s="20" t="s">
        <v>774</v>
      </c>
      <c r="G154" s="8" t="str">
        <f t="shared" si="4"/>
        <v>ARNOLD PAUL</v>
      </c>
      <c r="H154" s="20" t="str">
        <f t="shared" si="5"/>
        <v>4066</v>
      </c>
    </row>
    <row r="155" spans="1:8" x14ac:dyDescent="0.3">
      <c r="A155" s="8">
        <v>43025.661099537036</v>
      </c>
      <c r="B155" s="20" t="s">
        <v>530</v>
      </c>
      <c r="C155" s="20" t="s">
        <v>775</v>
      </c>
      <c r="D155" s="138">
        <v>880000</v>
      </c>
      <c r="E155" s="20" t="s">
        <v>419</v>
      </c>
      <c r="F155" s="20" t="s">
        <v>393</v>
      </c>
      <c r="G155" s="8" t="str">
        <f t="shared" si="4"/>
        <v>STEWART MICHAEL</v>
      </c>
      <c r="H155" s="20" t="str">
        <f t="shared" si="5"/>
        <v>4009</v>
      </c>
    </row>
    <row r="156" spans="1:8" x14ac:dyDescent="0.3">
      <c r="A156" s="8">
        <v>43025.662083333336</v>
      </c>
      <c r="B156" s="20" t="s">
        <v>416</v>
      </c>
      <c r="C156" s="20" t="s">
        <v>776</v>
      </c>
      <c r="D156" s="138">
        <v>1810000</v>
      </c>
      <c r="E156" s="20" t="s">
        <v>717</v>
      </c>
      <c r="F156" s="20" t="s">
        <v>361</v>
      </c>
      <c r="G156" s="8" t="str">
        <f t="shared" si="4"/>
        <v>NEWELL JAMES</v>
      </c>
      <c r="H156" s="20" t="str">
        <f t="shared" si="5"/>
        <v>4052</v>
      </c>
    </row>
    <row r="157" spans="1:8" x14ac:dyDescent="0.3">
      <c r="A157" s="8">
        <v>43025.664618055554</v>
      </c>
      <c r="B157" s="20" t="s">
        <v>529</v>
      </c>
      <c r="C157" s="20" t="s">
        <v>777</v>
      </c>
      <c r="D157" s="138">
        <v>2000000</v>
      </c>
      <c r="E157" s="20" t="s">
        <v>372</v>
      </c>
      <c r="F157" s="20" t="s">
        <v>361</v>
      </c>
      <c r="G157" s="8" t="str">
        <f t="shared" si="4"/>
        <v>STAMBAUGH JAMES</v>
      </c>
      <c r="H157" s="20" t="str">
        <f t="shared" si="5"/>
        <v>4059</v>
      </c>
    </row>
    <row r="158" spans="1:8" x14ac:dyDescent="0.3">
      <c r="A158" s="8">
        <v>43025.666631944441</v>
      </c>
      <c r="B158" s="20" t="s">
        <v>439</v>
      </c>
      <c r="C158" s="20" t="s">
        <v>778</v>
      </c>
      <c r="D158" s="138">
        <v>2970000</v>
      </c>
      <c r="E158" s="20" t="s">
        <v>502</v>
      </c>
      <c r="F158" s="20" t="s">
        <v>503</v>
      </c>
      <c r="G158" s="8" t="str">
        <f t="shared" si="4"/>
        <v>GUZMAN DANNY</v>
      </c>
      <c r="H158" s="20" t="str">
        <f t="shared" si="5"/>
        <v>4032</v>
      </c>
    </row>
    <row r="159" spans="1:8" x14ac:dyDescent="0.3">
      <c r="A159" s="8">
        <v>43025.672592592593</v>
      </c>
      <c r="B159" s="20" t="s">
        <v>423</v>
      </c>
      <c r="C159" s="20" t="s">
        <v>779</v>
      </c>
      <c r="D159" s="138">
        <v>1300000</v>
      </c>
      <c r="E159" s="20" t="s">
        <v>544</v>
      </c>
      <c r="F159" s="20" t="s">
        <v>545</v>
      </c>
      <c r="G159" s="8" t="str">
        <f t="shared" si="4"/>
        <v>LEVIN SCOTT</v>
      </c>
      <c r="H159" s="20" t="str">
        <f t="shared" si="5"/>
        <v>4035</v>
      </c>
    </row>
    <row r="160" spans="1:8" x14ac:dyDescent="0.3">
      <c r="A160" s="8">
        <v>43025.672708333332</v>
      </c>
      <c r="B160" s="20" t="s">
        <v>438</v>
      </c>
      <c r="C160" s="20" t="s">
        <v>780</v>
      </c>
      <c r="D160" s="138">
        <v>2230000</v>
      </c>
      <c r="E160" s="20" t="s">
        <v>504</v>
      </c>
      <c r="F160" s="20" t="s">
        <v>393</v>
      </c>
      <c r="G160" s="8" t="str">
        <f t="shared" si="4"/>
        <v>SMITH MICHAEL</v>
      </c>
      <c r="H160" s="20" t="str">
        <f t="shared" si="5"/>
        <v>4014</v>
      </c>
    </row>
    <row r="161" spans="1:8" x14ac:dyDescent="0.3">
      <c r="A161" s="8">
        <v>43025.680694444447</v>
      </c>
      <c r="B161" s="20" t="s">
        <v>625</v>
      </c>
      <c r="C161" s="20" t="s">
        <v>781</v>
      </c>
      <c r="D161" s="138">
        <v>1180000</v>
      </c>
      <c r="E161" s="20" t="s">
        <v>542</v>
      </c>
      <c r="F161" s="20" t="s">
        <v>543</v>
      </c>
      <c r="G161" s="8" t="str">
        <f t="shared" si="4"/>
        <v>LEVERE CRAIG</v>
      </c>
      <c r="H161" s="20" t="str">
        <f t="shared" si="5"/>
        <v>4015</v>
      </c>
    </row>
    <row r="162" spans="1:8" x14ac:dyDescent="0.3">
      <c r="A162" s="8">
        <v>43025.682280092595</v>
      </c>
      <c r="B162" s="20" t="s">
        <v>505</v>
      </c>
      <c r="C162" s="20" t="s">
        <v>782</v>
      </c>
      <c r="D162" s="138">
        <v>3220000</v>
      </c>
      <c r="E162" s="20" t="s">
        <v>500</v>
      </c>
      <c r="F162" s="20" t="s">
        <v>501</v>
      </c>
      <c r="G162" s="8" t="str">
        <f t="shared" si="4"/>
        <v>RESPASS AARON</v>
      </c>
      <c r="H162" s="20" t="str">
        <f t="shared" si="5"/>
        <v>4008</v>
      </c>
    </row>
    <row r="163" spans="1:8" x14ac:dyDescent="0.3">
      <c r="A163" s="8">
        <v>43025.682962962965</v>
      </c>
      <c r="B163" s="20" t="s">
        <v>525</v>
      </c>
      <c r="C163" s="20" t="s">
        <v>783</v>
      </c>
      <c r="D163" s="138">
        <v>1770000</v>
      </c>
      <c r="E163" s="20" t="s">
        <v>724</v>
      </c>
      <c r="F163" s="20" t="s">
        <v>725</v>
      </c>
      <c r="G163" s="8" t="str">
        <f t="shared" si="4"/>
        <v>BRUDER RICHARD</v>
      </c>
      <c r="H163" s="20" t="str">
        <f t="shared" si="5"/>
        <v>4050</v>
      </c>
    </row>
    <row r="164" spans="1:8" x14ac:dyDescent="0.3">
      <c r="A164" s="8">
        <v>43025.685300925928</v>
      </c>
      <c r="B164" s="20" t="s">
        <v>440</v>
      </c>
      <c r="C164" s="20" t="s">
        <v>784</v>
      </c>
      <c r="D164" s="138">
        <v>2970000</v>
      </c>
      <c r="E164" s="20" t="s">
        <v>502</v>
      </c>
      <c r="F164" s="20" t="s">
        <v>503</v>
      </c>
      <c r="G164" s="8" t="str">
        <f t="shared" si="4"/>
        <v>GUZMAN DANNY</v>
      </c>
      <c r="H164" s="20" t="str">
        <f t="shared" si="5"/>
        <v>4031</v>
      </c>
    </row>
    <row r="165" spans="1:8" x14ac:dyDescent="0.3">
      <c r="A165" s="8">
        <v>43025.685752314814</v>
      </c>
      <c r="B165" s="20" t="s">
        <v>399</v>
      </c>
      <c r="C165" s="20" t="s">
        <v>785</v>
      </c>
      <c r="D165" s="138">
        <v>860000</v>
      </c>
      <c r="E165" s="20" t="s">
        <v>773</v>
      </c>
      <c r="F165" s="20" t="s">
        <v>774</v>
      </c>
      <c r="G165" s="8" t="str">
        <f t="shared" si="4"/>
        <v>ARNOLD PAUL</v>
      </c>
      <c r="H165" s="20" t="str">
        <f t="shared" si="5"/>
        <v>4065</v>
      </c>
    </row>
    <row r="166" spans="1:8" x14ac:dyDescent="0.3">
      <c r="A166" s="8">
        <v>43025.691296296296</v>
      </c>
      <c r="B166" s="20" t="s">
        <v>524</v>
      </c>
      <c r="C166" s="20" t="s">
        <v>786</v>
      </c>
      <c r="D166" s="138">
        <v>2000000</v>
      </c>
      <c r="E166" s="20" t="s">
        <v>372</v>
      </c>
      <c r="F166" s="20" t="s">
        <v>361</v>
      </c>
      <c r="G166" s="8" t="str">
        <f t="shared" si="4"/>
        <v>STAMBAUGH JAMES</v>
      </c>
      <c r="H166" s="20" t="str">
        <f t="shared" si="5"/>
        <v>4060</v>
      </c>
    </row>
    <row r="167" spans="1:8" x14ac:dyDescent="0.3">
      <c r="A167" s="8">
        <v>43025.692766203705</v>
      </c>
      <c r="B167" s="20" t="s">
        <v>417</v>
      </c>
      <c r="C167" s="20" t="s">
        <v>787</v>
      </c>
      <c r="D167" s="138">
        <v>1810000</v>
      </c>
      <c r="E167" s="20" t="s">
        <v>717</v>
      </c>
      <c r="F167" s="20" t="s">
        <v>361</v>
      </c>
      <c r="G167" s="8" t="str">
        <f t="shared" si="4"/>
        <v>NEWELL JAMES</v>
      </c>
      <c r="H167" s="20" t="str">
        <f t="shared" si="5"/>
        <v>4051</v>
      </c>
    </row>
    <row r="168" spans="1:8" x14ac:dyDescent="0.3">
      <c r="A168" s="8">
        <v>43025.693969907406</v>
      </c>
      <c r="B168" s="20" t="s">
        <v>533</v>
      </c>
      <c r="C168" s="20" t="s">
        <v>788</v>
      </c>
      <c r="D168" s="138">
        <v>880000</v>
      </c>
      <c r="E168" s="20" t="s">
        <v>419</v>
      </c>
      <c r="F168" s="20" t="s">
        <v>393</v>
      </c>
      <c r="G168" s="8" t="str">
        <f t="shared" si="4"/>
        <v>STEWART MICHAEL</v>
      </c>
      <c r="H168" s="20" t="str">
        <f t="shared" si="5"/>
        <v>4010</v>
      </c>
    </row>
    <row r="169" spans="1:8" x14ac:dyDescent="0.3">
      <c r="A169" s="8">
        <v>43025.703460648147</v>
      </c>
      <c r="B169" s="20" t="s">
        <v>412</v>
      </c>
      <c r="C169" s="20" t="s">
        <v>789</v>
      </c>
      <c r="D169" s="138">
        <v>1300000</v>
      </c>
      <c r="E169" s="20" t="s">
        <v>544</v>
      </c>
      <c r="F169" s="20" t="s">
        <v>545</v>
      </c>
      <c r="G169" s="8" t="str">
        <f t="shared" si="4"/>
        <v>LEVIN SCOTT</v>
      </c>
      <c r="H169" s="20" t="str">
        <f t="shared" si="5"/>
        <v>4036</v>
      </c>
    </row>
    <row r="170" spans="1:8" x14ac:dyDescent="0.3">
      <c r="A170" s="8">
        <v>43025.705335648148</v>
      </c>
      <c r="B170" s="20" t="s">
        <v>529</v>
      </c>
      <c r="C170" s="20" t="s">
        <v>790</v>
      </c>
      <c r="D170" s="138">
        <v>2000000</v>
      </c>
      <c r="E170" s="20" t="s">
        <v>372</v>
      </c>
      <c r="F170" s="20" t="s">
        <v>361</v>
      </c>
      <c r="G170" s="8" t="str">
        <f t="shared" si="4"/>
        <v>STAMBAUGH JAMES</v>
      </c>
      <c r="H170" s="20" t="str">
        <f t="shared" si="5"/>
        <v>4059</v>
      </c>
    </row>
    <row r="171" spans="1:8" x14ac:dyDescent="0.3">
      <c r="A171" s="8">
        <v>43025.708252314813</v>
      </c>
      <c r="B171" s="20" t="s">
        <v>439</v>
      </c>
      <c r="C171" s="20" t="s">
        <v>791</v>
      </c>
      <c r="D171" s="138">
        <v>2970000</v>
      </c>
      <c r="E171" s="20" t="s">
        <v>502</v>
      </c>
      <c r="F171" s="20" t="s">
        <v>503</v>
      </c>
      <c r="G171" s="8" t="str">
        <f t="shared" si="4"/>
        <v>GUZMAN DANNY</v>
      </c>
      <c r="H171" s="20" t="str">
        <f t="shared" si="5"/>
        <v>4032</v>
      </c>
    </row>
    <row r="172" spans="1:8" x14ac:dyDescent="0.3">
      <c r="A172" s="8">
        <v>43025.711782407408</v>
      </c>
      <c r="B172" s="20" t="s">
        <v>436</v>
      </c>
      <c r="C172" s="20" t="s">
        <v>792</v>
      </c>
      <c r="D172" s="138">
        <v>2230000</v>
      </c>
      <c r="E172" s="20" t="s">
        <v>504</v>
      </c>
      <c r="F172" s="20" t="s">
        <v>393</v>
      </c>
      <c r="G172" s="8" t="str">
        <f t="shared" si="4"/>
        <v>SMITH MICHAEL</v>
      </c>
      <c r="H172" s="20" t="str">
        <f t="shared" si="5"/>
        <v>4013</v>
      </c>
    </row>
    <row r="173" spans="1:8" x14ac:dyDescent="0.3">
      <c r="A173" s="8">
        <v>43025.714467592596</v>
      </c>
      <c r="B173" s="20" t="s">
        <v>492</v>
      </c>
      <c r="C173" s="20" t="s">
        <v>793</v>
      </c>
      <c r="D173" s="138">
        <v>1180000</v>
      </c>
      <c r="E173" s="20" t="s">
        <v>542</v>
      </c>
      <c r="F173" s="20" t="s">
        <v>543</v>
      </c>
      <c r="G173" s="8" t="str">
        <f t="shared" si="4"/>
        <v>LEVERE CRAIG</v>
      </c>
      <c r="H173" s="20" t="str">
        <f t="shared" si="5"/>
        <v>4016</v>
      </c>
    </row>
    <row r="174" spans="1:8" x14ac:dyDescent="0.3">
      <c r="A174" s="8">
        <v>43025.721932870372</v>
      </c>
      <c r="B174" s="20" t="s">
        <v>641</v>
      </c>
      <c r="C174" s="20" t="s">
        <v>794</v>
      </c>
      <c r="D174" s="138">
        <v>2450000</v>
      </c>
      <c r="E174" s="20" t="s">
        <v>718</v>
      </c>
      <c r="F174" s="20" t="s">
        <v>719</v>
      </c>
      <c r="G174" s="8" t="str">
        <f t="shared" si="4"/>
        <v>NELSON ARIANE</v>
      </c>
      <c r="H174" s="20" t="str">
        <f t="shared" si="5"/>
        <v>4004</v>
      </c>
    </row>
    <row r="175" spans="1:8" x14ac:dyDescent="0.3">
      <c r="A175" s="8">
        <v>43025.72415509259</v>
      </c>
      <c r="B175" s="20" t="s">
        <v>526</v>
      </c>
      <c r="C175" s="20" t="s">
        <v>795</v>
      </c>
      <c r="D175" s="138">
        <v>1770000</v>
      </c>
      <c r="E175" s="20" t="s">
        <v>724</v>
      </c>
      <c r="F175" s="20" t="s">
        <v>725</v>
      </c>
      <c r="G175" s="8" t="str">
        <f t="shared" si="4"/>
        <v>BRUDER RICHARD</v>
      </c>
      <c r="H175" s="20" t="str">
        <f t="shared" si="5"/>
        <v>4049</v>
      </c>
    </row>
    <row r="176" spans="1:8" x14ac:dyDescent="0.3">
      <c r="A176" s="8">
        <v>43025.725231481483</v>
      </c>
      <c r="B176" s="20" t="s">
        <v>398</v>
      </c>
      <c r="C176" s="20" t="s">
        <v>796</v>
      </c>
      <c r="D176" s="138">
        <v>2030000</v>
      </c>
      <c r="E176" s="20" t="s">
        <v>442</v>
      </c>
      <c r="F176" s="20" t="s">
        <v>443</v>
      </c>
      <c r="G176" s="8" t="str">
        <f t="shared" si="4"/>
        <v>KILLION DAVID</v>
      </c>
      <c r="H176" s="20" t="str">
        <f t="shared" si="5"/>
        <v>4066</v>
      </c>
    </row>
    <row r="177" spans="1:8" x14ac:dyDescent="0.3">
      <c r="A177" s="8">
        <v>43025.726863425924</v>
      </c>
      <c r="B177" s="20" t="s">
        <v>440</v>
      </c>
      <c r="C177" s="20" t="s">
        <v>797</v>
      </c>
      <c r="D177" s="138">
        <v>2970000</v>
      </c>
      <c r="E177" s="20" t="s">
        <v>502</v>
      </c>
      <c r="F177" s="20" t="s">
        <v>503</v>
      </c>
      <c r="G177" s="8" t="str">
        <f t="shared" si="4"/>
        <v>GUZMAN DANNY</v>
      </c>
      <c r="H177" s="20" t="str">
        <f t="shared" si="5"/>
        <v>4031</v>
      </c>
    </row>
    <row r="178" spans="1:8" x14ac:dyDescent="0.3">
      <c r="A178" s="8">
        <v>43025.73333333333</v>
      </c>
      <c r="B178" s="20" t="s">
        <v>530</v>
      </c>
      <c r="C178" s="20" t="s">
        <v>798</v>
      </c>
      <c r="D178" s="138">
        <v>880000</v>
      </c>
      <c r="E178" s="20" t="s">
        <v>419</v>
      </c>
      <c r="F178" s="20" t="s">
        <v>393</v>
      </c>
      <c r="G178" s="8" t="str">
        <f t="shared" si="4"/>
        <v>STEWART MICHAEL</v>
      </c>
      <c r="H178" s="20" t="str">
        <f t="shared" si="5"/>
        <v>4009</v>
      </c>
    </row>
    <row r="179" spans="1:8" x14ac:dyDescent="0.3">
      <c r="A179" s="8">
        <v>43025.733969907407</v>
      </c>
      <c r="B179" s="20" t="s">
        <v>524</v>
      </c>
      <c r="C179" s="20" t="s">
        <v>799</v>
      </c>
      <c r="D179" s="138">
        <v>2000000</v>
      </c>
      <c r="E179" s="20" t="s">
        <v>372</v>
      </c>
      <c r="F179" s="20" t="s">
        <v>361</v>
      </c>
      <c r="G179" s="8" t="str">
        <f t="shared" si="4"/>
        <v>STAMBAUGH JAMES</v>
      </c>
      <c r="H179" s="20" t="str">
        <f t="shared" si="5"/>
        <v>4060</v>
      </c>
    </row>
    <row r="180" spans="1:8" x14ac:dyDescent="0.3">
      <c r="A180" s="8">
        <v>43025.73605324074</v>
      </c>
      <c r="B180" s="20" t="s">
        <v>416</v>
      </c>
      <c r="C180" s="20" t="s">
        <v>800</v>
      </c>
      <c r="D180" s="138">
        <v>890000</v>
      </c>
      <c r="E180" s="20" t="s">
        <v>358</v>
      </c>
      <c r="F180" s="20" t="s">
        <v>359</v>
      </c>
      <c r="G180" s="8" t="str">
        <f t="shared" si="4"/>
        <v>LOZA FIDEL</v>
      </c>
      <c r="H180" s="20" t="str">
        <f t="shared" si="5"/>
        <v>4052</v>
      </c>
    </row>
    <row r="181" spans="1:8" x14ac:dyDescent="0.3">
      <c r="A181" s="8">
        <v>43025.737256944441</v>
      </c>
      <c r="B181" s="20" t="s">
        <v>523</v>
      </c>
      <c r="C181" s="20" t="s">
        <v>801</v>
      </c>
      <c r="D181" s="138">
        <v>3510000</v>
      </c>
      <c r="E181" s="20" t="s">
        <v>493</v>
      </c>
      <c r="F181" s="20" t="s">
        <v>494</v>
      </c>
      <c r="G181" s="8" t="str">
        <f t="shared" si="4"/>
        <v>BARRON PERLA</v>
      </c>
      <c r="H181" s="20" t="str">
        <f t="shared" si="5"/>
        <v>4029</v>
      </c>
    </row>
    <row r="182" spans="1:8" x14ac:dyDescent="0.3">
      <c r="A182" s="8">
        <v>43025.738009259258</v>
      </c>
      <c r="B182" s="20" t="s">
        <v>423</v>
      </c>
      <c r="C182" s="20" t="s">
        <v>802</v>
      </c>
      <c r="D182" s="138">
        <v>1300000</v>
      </c>
      <c r="E182" s="20" t="s">
        <v>544</v>
      </c>
      <c r="F182" s="20" t="s">
        <v>545</v>
      </c>
      <c r="G182" s="8" t="str">
        <f t="shared" si="4"/>
        <v>LEVIN SCOTT</v>
      </c>
      <c r="H182" s="20" t="str">
        <f t="shared" si="5"/>
        <v>4035</v>
      </c>
    </row>
    <row r="183" spans="1:8" x14ac:dyDescent="0.3">
      <c r="A183" s="8">
        <v>43025.745000000003</v>
      </c>
      <c r="B183" s="20" t="s">
        <v>438</v>
      </c>
      <c r="C183" s="20" t="s">
        <v>803</v>
      </c>
      <c r="D183" s="138">
        <v>2230000</v>
      </c>
      <c r="E183" s="20" t="s">
        <v>504</v>
      </c>
      <c r="F183" s="20" t="s">
        <v>393</v>
      </c>
      <c r="G183" s="8" t="str">
        <f t="shared" si="4"/>
        <v>SMITH MICHAEL</v>
      </c>
      <c r="H183" s="20" t="str">
        <f t="shared" si="5"/>
        <v>4014</v>
      </c>
    </row>
    <row r="184" spans="1:8" x14ac:dyDescent="0.3">
      <c r="A184" s="8">
        <v>43025.747303240743</v>
      </c>
      <c r="B184" s="20" t="s">
        <v>529</v>
      </c>
      <c r="C184" s="20" t="s">
        <v>804</v>
      </c>
      <c r="D184" s="138">
        <v>2000000</v>
      </c>
      <c r="E184" s="20" t="s">
        <v>372</v>
      </c>
      <c r="F184" s="20" t="s">
        <v>361</v>
      </c>
      <c r="G184" s="8" t="str">
        <f t="shared" si="4"/>
        <v>STAMBAUGH JAMES</v>
      </c>
      <c r="H184" s="20" t="str">
        <f t="shared" si="5"/>
        <v>4059</v>
      </c>
    </row>
    <row r="185" spans="1:8" x14ac:dyDescent="0.3">
      <c r="A185" s="8">
        <v>43025.75340277778</v>
      </c>
      <c r="B185" s="20" t="s">
        <v>625</v>
      </c>
      <c r="C185" s="20" t="s">
        <v>805</v>
      </c>
      <c r="D185" s="138">
        <v>1180000</v>
      </c>
      <c r="E185" s="20" t="s">
        <v>542</v>
      </c>
      <c r="F185" s="20" t="s">
        <v>543</v>
      </c>
      <c r="G185" s="8" t="str">
        <f t="shared" si="4"/>
        <v>LEVERE CRAIG</v>
      </c>
      <c r="H185" s="20" t="str">
        <f t="shared" si="5"/>
        <v>4015</v>
      </c>
    </row>
    <row r="186" spans="1:8" x14ac:dyDescent="0.3">
      <c r="A186" s="8">
        <v>43025.754004629627</v>
      </c>
      <c r="B186" s="20" t="s">
        <v>439</v>
      </c>
      <c r="C186" s="20" t="s">
        <v>806</v>
      </c>
      <c r="D186" s="138">
        <v>2970000</v>
      </c>
      <c r="E186" s="20" t="s">
        <v>502</v>
      </c>
      <c r="F186" s="20" t="s">
        <v>503</v>
      </c>
      <c r="G186" s="8" t="str">
        <f t="shared" si="4"/>
        <v>GUZMAN DANNY</v>
      </c>
      <c r="H186" s="20" t="str">
        <f t="shared" si="5"/>
        <v>4032</v>
      </c>
    </row>
    <row r="187" spans="1:8" x14ac:dyDescent="0.3">
      <c r="A187" s="8">
        <v>43025.755335648151</v>
      </c>
      <c r="B187" s="20" t="s">
        <v>525</v>
      </c>
      <c r="C187" s="20" t="s">
        <v>807</v>
      </c>
      <c r="D187" s="138">
        <v>3280000</v>
      </c>
      <c r="E187" s="20" t="s">
        <v>808</v>
      </c>
      <c r="F187" s="20" t="s">
        <v>809</v>
      </c>
      <c r="G187" s="8" t="str">
        <f t="shared" si="4"/>
        <v>BIRKHOLZ NADINE</v>
      </c>
      <c r="H187" s="20" t="str">
        <f t="shared" si="5"/>
        <v>4050</v>
      </c>
    </row>
    <row r="188" spans="1:8" x14ac:dyDescent="0.3">
      <c r="A188" s="8">
        <v>43025.760625000003</v>
      </c>
      <c r="B188" s="20" t="s">
        <v>399</v>
      </c>
      <c r="C188" s="20" t="s">
        <v>632</v>
      </c>
      <c r="D188" s="138">
        <v>2030000</v>
      </c>
      <c r="E188" s="20" t="s">
        <v>442</v>
      </c>
      <c r="F188" s="20" t="s">
        <v>443</v>
      </c>
      <c r="G188" s="8" t="str">
        <f t="shared" si="4"/>
        <v>KILLION DAVID</v>
      </c>
      <c r="H188" s="20" t="str">
        <f t="shared" si="5"/>
        <v>4065</v>
      </c>
    </row>
    <row r="189" spans="1:8" x14ac:dyDescent="0.3">
      <c r="A189" s="8">
        <v>43025.768761574072</v>
      </c>
      <c r="B189" s="20" t="s">
        <v>533</v>
      </c>
      <c r="C189" s="20" t="s">
        <v>810</v>
      </c>
      <c r="D189" s="138">
        <v>3310000</v>
      </c>
      <c r="E189" s="20" t="s">
        <v>386</v>
      </c>
      <c r="F189" s="20" t="s">
        <v>387</v>
      </c>
      <c r="G189" s="8" t="str">
        <f t="shared" si="4"/>
        <v>ANDERS STEVEN</v>
      </c>
      <c r="H189" s="20" t="str">
        <f t="shared" si="5"/>
        <v>4010</v>
      </c>
    </row>
    <row r="190" spans="1:8" x14ac:dyDescent="0.3">
      <c r="A190" s="8">
        <v>43025.769363425927</v>
      </c>
      <c r="B190" s="20" t="s">
        <v>440</v>
      </c>
      <c r="C190" s="20" t="s">
        <v>811</v>
      </c>
      <c r="D190" s="138">
        <v>2970000</v>
      </c>
      <c r="E190" s="20" t="s">
        <v>502</v>
      </c>
      <c r="F190" s="20" t="s">
        <v>503</v>
      </c>
      <c r="G190" s="8" t="str">
        <f t="shared" si="4"/>
        <v>GUZMAN DANNY</v>
      </c>
      <c r="H190" s="20" t="str">
        <f t="shared" si="5"/>
        <v>4031</v>
      </c>
    </row>
    <row r="191" spans="1:8" x14ac:dyDescent="0.3">
      <c r="A191" s="8">
        <v>43025.775219907409</v>
      </c>
      <c r="B191" s="20" t="s">
        <v>524</v>
      </c>
      <c r="C191" s="20" t="s">
        <v>812</v>
      </c>
      <c r="D191" s="138">
        <v>2000000</v>
      </c>
      <c r="E191" s="20" t="s">
        <v>372</v>
      </c>
      <c r="F191" s="20" t="s">
        <v>361</v>
      </c>
      <c r="G191" s="8" t="str">
        <f t="shared" si="4"/>
        <v>STAMBAUGH JAMES</v>
      </c>
      <c r="H191" s="20" t="str">
        <f t="shared" si="5"/>
        <v>4060</v>
      </c>
    </row>
    <row r="192" spans="1:8" x14ac:dyDescent="0.3">
      <c r="A192" s="8">
        <v>43025.776354166665</v>
      </c>
      <c r="B192" s="20" t="s">
        <v>412</v>
      </c>
      <c r="C192" s="20" t="s">
        <v>813</v>
      </c>
      <c r="D192" s="138">
        <v>1300000</v>
      </c>
      <c r="E192" s="20" t="s">
        <v>544</v>
      </c>
      <c r="F192" s="20" t="s">
        <v>545</v>
      </c>
      <c r="G192" s="8" t="str">
        <f t="shared" si="4"/>
        <v>LEVIN SCOTT</v>
      </c>
      <c r="H192" s="20" t="str">
        <f t="shared" si="5"/>
        <v>4036</v>
      </c>
    </row>
    <row r="193" spans="1:8" x14ac:dyDescent="0.3">
      <c r="A193" s="8">
        <v>43025.777407407404</v>
      </c>
      <c r="B193" s="20" t="s">
        <v>417</v>
      </c>
      <c r="C193" s="20" t="s">
        <v>814</v>
      </c>
      <c r="D193" s="138">
        <v>890000</v>
      </c>
      <c r="E193" s="20" t="s">
        <v>358</v>
      </c>
      <c r="F193" s="20" t="s">
        <v>359</v>
      </c>
      <c r="G193" s="8" t="str">
        <f t="shared" si="4"/>
        <v>LOZA FIDEL</v>
      </c>
      <c r="H193" s="20" t="str">
        <f t="shared" si="5"/>
        <v>4051</v>
      </c>
    </row>
    <row r="194" spans="1:8" x14ac:dyDescent="0.3">
      <c r="A194" s="8">
        <v>43025.781608796293</v>
      </c>
      <c r="B194" s="20" t="s">
        <v>436</v>
      </c>
      <c r="C194" s="20" t="s">
        <v>815</v>
      </c>
      <c r="D194" s="138">
        <v>2230000</v>
      </c>
      <c r="E194" s="20" t="s">
        <v>504</v>
      </c>
      <c r="F194" s="20" t="s">
        <v>393</v>
      </c>
      <c r="G194" s="8" t="str">
        <f t="shared" si="4"/>
        <v>SMITH MICHAEL</v>
      </c>
      <c r="H194" s="20" t="str">
        <f t="shared" si="5"/>
        <v>4013</v>
      </c>
    </row>
    <row r="195" spans="1:8" x14ac:dyDescent="0.3">
      <c r="A195" s="8">
        <v>43025.788055555553</v>
      </c>
      <c r="B195" s="20" t="s">
        <v>492</v>
      </c>
      <c r="C195" s="20" t="s">
        <v>816</v>
      </c>
      <c r="D195" s="138">
        <v>2680000</v>
      </c>
      <c r="E195" s="20" t="s">
        <v>364</v>
      </c>
      <c r="F195" s="20" t="s">
        <v>365</v>
      </c>
      <c r="G195" s="8" t="str">
        <f t="shared" ref="G195:G258" si="6">E195&amp;" "&amp;F195</f>
        <v>DUNCAN SHEILA</v>
      </c>
      <c r="H195" s="20" t="str">
        <f t="shared" ref="H195:H258" si="7">MID(B195,13,4)</f>
        <v>4016</v>
      </c>
    </row>
    <row r="196" spans="1:8" x14ac:dyDescent="0.3">
      <c r="A196" s="8">
        <v>43025.788587962961</v>
      </c>
      <c r="B196" s="20" t="s">
        <v>529</v>
      </c>
      <c r="C196" s="20" t="s">
        <v>633</v>
      </c>
      <c r="D196" s="138">
        <v>2000000</v>
      </c>
      <c r="E196" s="20" t="s">
        <v>372</v>
      </c>
      <c r="F196" s="20" t="s">
        <v>361</v>
      </c>
      <c r="G196" s="8" t="str">
        <f t="shared" si="6"/>
        <v>STAMBAUGH JAMES</v>
      </c>
      <c r="H196" s="20" t="str">
        <f t="shared" si="7"/>
        <v>4059</v>
      </c>
    </row>
    <row r="197" spans="1:8" x14ac:dyDescent="0.3">
      <c r="A197" s="8">
        <v>43025.790891203702</v>
      </c>
      <c r="B197" s="20" t="s">
        <v>439</v>
      </c>
      <c r="C197" s="20" t="s">
        <v>817</v>
      </c>
      <c r="D197" s="138">
        <v>2970000</v>
      </c>
      <c r="E197" s="20" t="s">
        <v>502</v>
      </c>
      <c r="F197" s="20" t="s">
        <v>503</v>
      </c>
      <c r="G197" s="8" t="str">
        <f t="shared" si="6"/>
        <v>GUZMAN DANNY</v>
      </c>
      <c r="H197" s="20" t="str">
        <f t="shared" si="7"/>
        <v>4032</v>
      </c>
    </row>
    <row r="198" spans="1:8" x14ac:dyDescent="0.3">
      <c r="A198" s="8">
        <v>43025.79614583333</v>
      </c>
      <c r="B198" s="20" t="s">
        <v>526</v>
      </c>
      <c r="C198" s="20" t="s">
        <v>818</v>
      </c>
      <c r="D198" s="138">
        <v>3280000</v>
      </c>
      <c r="E198" s="20" t="s">
        <v>808</v>
      </c>
      <c r="F198" s="20" t="s">
        <v>809</v>
      </c>
      <c r="G198" s="8" t="str">
        <f t="shared" si="6"/>
        <v>BIRKHOLZ NADINE</v>
      </c>
      <c r="H198" s="20" t="str">
        <f t="shared" si="7"/>
        <v>4049</v>
      </c>
    </row>
    <row r="199" spans="1:8" x14ac:dyDescent="0.3">
      <c r="A199" s="8">
        <v>43025.798148148147</v>
      </c>
      <c r="B199" s="20" t="s">
        <v>398</v>
      </c>
      <c r="C199" s="20" t="s">
        <v>819</v>
      </c>
      <c r="D199" s="138">
        <v>2030000</v>
      </c>
      <c r="E199" s="20" t="s">
        <v>442</v>
      </c>
      <c r="F199" s="20" t="s">
        <v>443</v>
      </c>
      <c r="G199" s="8" t="str">
        <f t="shared" si="6"/>
        <v>KILLION DAVID</v>
      </c>
      <c r="H199" s="20" t="str">
        <f t="shared" si="7"/>
        <v>4066</v>
      </c>
    </row>
    <row r="200" spans="1:8" x14ac:dyDescent="0.3">
      <c r="A200" s="8">
        <v>43025.808275462965</v>
      </c>
      <c r="B200" s="20" t="s">
        <v>530</v>
      </c>
      <c r="C200" s="20" t="s">
        <v>820</v>
      </c>
      <c r="D200" s="138">
        <v>3310000</v>
      </c>
      <c r="E200" s="20" t="s">
        <v>386</v>
      </c>
      <c r="F200" s="20" t="s">
        <v>387</v>
      </c>
      <c r="G200" s="8" t="str">
        <f t="shared" si="6"/>
        <v>ANDERS STEVEN</v>
      </c>
      <c r="H200" s="20" t="str">
        <f t="shared" si="7"/>
        <v>4009</v>
      </c>
    </row>
    <row r="201" spans="1:8" x14ac:dyDescent="0.3">
      <c r="A201" s="8">
        <v>43025.808912037035</v>
      </c>
      <c r="B201" s="20" t="s">
        <v>416</v>
      </c>
      <c r="C201" s="20" t="s">
        <v>821</v>
      </c>
      <c r="D201" s="138">
        <v>890000</v>
      </c>
      <c r="E201" s="20" t="s">
        <v>358</v>
      </c>
      <c r="F201" s="20" t="s">
        <v>359</v>
      </c>
      <c r="G201" s="8" t="str">
        <f t="shared" si="6"/>
        <v>LOZA FIDEL</v>
      </c>
      <c r="H201" s="20" t="str">
        <f t="shared" si="7"/>
        <v>4052</v>
      </c>
    </row>
    <row r="202" spans="1:8" x14ac:dyDescent="0.3">
      <c r="A202" s="26">
        <v>43025.809618055559</v>
      </c>
      <c r="B202" s="20" t="s">
        <v>440</v>
      </c>
      <c r="C202" s="20" t="s">
        <v>822</v>
      </c>
      <c r="D202" s="138">
        <v>2970000</v>
      </c>
      <c r="E202" s="20" t="s">
        <v>502</v>
      </c>
      <c r="F202" s="20" t="s">
        <v>503</v>
      </c>
      <c r="G202" s="8" t="str">
        <f t="shared" si="6"/>
        <v>GUZMAN DANNY</v>
      </c>
      <c r="H202" s="20" t="str">
        <f t="shared" si="7"/>
        <v>4031</v>
      </c>
    </row>
    <row r="203" spans="1:8" x14ac:dyDescent="0.3">
      <c r="A203" s="8">
        <v>43025.818379629629</v>
      </c>
      <c r="B203" s="20" t="s">
        <v>438</v>
      </c>
      <c r="C203" s="20" t="s">
        <v>823</v>
      </c>
      <c r="D203" s="138">
        <v>2230000</v>
      </c>
      <c r="E203" s="20" t="s">
        <v>504</v>
      </c>
      <c r="F203" s="20" t="s">
        <v>393</v>
      </c>
      <c r="G203" s="8" t="str">
        <f t="shared" si="6"/>
        <v>SMITH MICHAEL</v>
      </c>
      <c r="H203" s="20" t="str">
        <f t="shared" si="7"/>
        <v>4014</v>
      </c>
    </row>
    <row r="204" spans="1:8" x14ac:dyDescent="0.3">
      <c r="A204" s="8">
        <v>43025.826226851852</v>
      </c>
      <c r="B204" s="20" t="s">
        <v>625</v>
      </c>
      <c r="C204" s="20" t="s">
        <v>824</v>
      </c>
      <c r="D204" s="138">
        <v>2680000</v>
      </c>
      <c r="E204" s="20" t="s">
        <v>364</v>
      </c>
      <c r="F204" s="20" t="s">
        <v>365</v>
      </c>
      <c r="G204" s="8" t="str">
        <f t="shared" si="6"/>
        <v>DUNCAN SHEILA</v>
      </c>
      <c r="H204" s="20" t="str">
        <f t="shared" si="7"/>
        <v>4015</v>
      </c>
    </row>
    <row r="205" spans="1:8" x14ac:dyDescent="0.3">
      <c r="A205" s="8">
        <v>43025.829293981478</v>
      </c>
      <c r="B205" s="20" t="s">
        <v>525</v>
      </c>
      <c r="C205" s="20" t="s">
        <v>825</v>
      </c>
      <c r="D205" s="138">
        <v>3280000</v>
      </c>
      <c r="E205" s="20" t="s">
        <v>808</v>
      </c>
      <c r="F205" s="20" t="s">
        <v>809</v>
      </c>
      <c r="G205" s="8" t="str">
        <f t="shared" si="6"/>
        <v>BIRKHOLZ NADINE</v>
      </c>
      <c r="H205" s="20" t="str">
        <f t="shared" si="7"/>
        <v>4050</v>
      </c>
    </row>
    <row r="206" spans="1:8" x14ac:dyDescent="0.3">
      <c r="A206" s="8">
        <v>43025.833726851852</v>
      </c>
      <c r="B206" s="20" t="s">
        <v>439</v>
      </c>
      <c r="C206" s="20" t="s">
        <v>826</v>
      </c>
      <c r="D206" s="138">
        <v>2970000</v>
      </c>
      <c r="E206" s="20" t="s">
        <v>502</v>
      </c>
      <c r="F206" s="20" t="s">
        <v>503</v>
      </c>
      <c r="G206" s="8" t="str">
        <f t="shared" si="6"/>
        <v>GUZMAN DANNY</v>
      </c>
      <c r="H206" s="20" t="str">
        <f t="shared" si="7"/>
        <v>4032</v>
      </c>
    </row>
    <row r="207" spans="1:8" x14ac:dyDescent="0.3">
      <c r="A207" s="8">
        <v>43025.850578703707</v>
      </c>
      <c r="B207" s="20" t="s">
        <v>417</v>
      </c>
      <c r="C207" s="20" t="s">
        <v>827</v>
      </c>
      <c r="D207" s="138">
        <v>890000</v>
      </c>
      <c r="E207" s="20" t="s">
        <v>358</v>
      </c>
      <c r="F207" s="20" t="s">
        <v>359</v>
      </c>
      <c r="G207" s="8" t="str">
        <f t="shared" si="6"/>
        <v>LOZA FIDEL</v>
      </c>
      <c r="H207" s="20" t="str">
        <f t="shared" si="7"/>
        <v>4051</v>
      </c>
    </row>
    <row r="208" spans="1:8" x14ac:dyDescent="0.3">
      <c r="A208" s="8">
        <v>43025.851238425923</v>
      </c>
      <c r="B208" s="20" t="s">
        <v>440</v>
      </c>
      <c r="C208" s="20" t="s">
        <v>828</v>
      </c>
      <c r="D208" s="138">
        <v>2970000</v>
      </c>
      <c r="E208" s="20" t="s">
        <v>502</v>
      </c>
      <c r="F208" s="20" t="s">
        <v>503</v>
      </c>
      <c r="G208" s="8" t="str">
        <f t="shared" si="6"/>
        <v>GUZMAN DANNY</v>
      </c>
      <c r="H208" s="20" t="str">
        <f t="shared" si="7"/>
        <v>4031</v>
      </c>
    </row>
    <row r="209" spans="1:8" x14ac:dyDescent="0.3">
      <c r="A209" s="8">
        <v>43025.851631944446</v>
      </c>
      <c r="B209" s="20" t="s">
        <v>533</v>
      </c>
      <c r="C209" s="20" t="s">
        <v>829</v>
      </c>
      <c r="D209" s="138">
        <v>3310000</v>
      </c>
      <c r="E209" s="20" t="s">
        <v>386</v>
      </c>
      <c r="F209" s="20" t="s">
        <v>387</v>
      </c>
      <c r="G209" s="8" t="str">
        <f t="shared" si="6"/>
        <v>ANDERS STEVEN</v>
      </c>
      <c r="H209" s="20" t="str">
        <f t="shared" si="7"/>
        <v>4010</v>
      </c>
    </row>
    <row r="210" spans="1:8" x14ac:dyDescent="0.3">
      <c r="A210" s="8">
        <v>43025.865543981483</v>
      </c>
      <c r="B210" s="20" t="s">
        <v>492</v>
      </c>
      <c r="C210" s="20" t="s">
        <v>830</v>
      </c>
      <c r="D210" s="138">
        <v>3500000</v>
      </c>
      <c r="E210" s="20" t="s">
        <v>546</v>
      </c>
      <c r="F210" s="20" t="s">
        <v>547</v>
      </c>
      <c r="G210" s="8" t="str">
        <f t="shared" si="6"/>
        <v>GUNTHIER ERIC</v>
      </c>
      <c r="H210" s="20" t="str">
        <f t="shared" si="7"/>
        <v>4016</v>
      </c>
    </row>
    <row r="211" spans="1:8" x14ac:dyDescent="0.3">
      <c r="A211" s="8">
        <v>43025.867118055554</v>
      </c>
      <c r="B211" s="20" t="s">
        <v>526</v>
      </c>
      <c r="C211" s="20" t="s">
        <v>831</v>
      </c>
      <c r="D211" s="138">
        <v>3280000</v>
      </c>
      <c r="E211" s="20" t="s">
        <v>808</v>
      </c>
      <c r="F211" s="20" t="s">
        <v>809</v>
      </c>
      <c r="G211" s="8" t="str">
        <f t="shared" si="6"/>
        <v>BIRKHOLZ NADINE</v>
      </c>
      <c r="H211" s="20" t="str">
        <f t="shared" si="7"/>
        <v>4049</v>
      </c>
    </row>
    <row r="212" spans="1:8" x14ac:dyDescent="0.3">
      <c r="A212" s="8">
        <v>43025.875520833331</v>
      </c>
      <c r="B212" s="20" t="s">
        <v>439</v>
      </c>
      <c r="C212" s="20" t="s">
        <v>832</v>
      </c>
      <c r="D212" s="138">
        <v>2000000</v>
      </c>
      <c r="E212" s="20" t="s">
        <v>372</v>
      </c>
      <c r="F212" s="20" t="s">
        <v>361</v>
      </c>
      <c r="G212" s="8" t="str">
        <f t="shared" si="6"/>
        <v>STAMBAUGH JAMES</v>
      </c>
      <c r="H212" s="20" t="str">
        <f t="shared" si="7"/>
        <v>4032</v>
      </c>
    </row>
    <row r="213" spans="1:8" x14ac:dyDescent="0.3">
      <c r="A213" s="8">
        <v>43025.881516203706</v>
      </c>
      <c r="B213" s="20" t="s">
        <v>416</v>
      </c>
      <c r="C213" s="20" t="s">
        <v>833</v>
      </c>
      <c r="D213" s="138">
        <v>890000</v>
      </c>
      <c r="E213" s="20" t="s">
        <v>358</v>
      </c>
      <c r="F213" s="20" t="s">
        <v>359</v>
      </c>
      <c r="G213" s="8" t="str">
        <f t="shared" si="6"/>
        <v>LOZA FIDEL</v>
      </c>
      <c r="H213" s="20" t="str">
        <f t="shared" si="7"/>
        <v>4052</v>
      </c>
    </row>
    <row r="214" spans="1:8" x14ac:dyDescent="0.3">
      <c r="A214" s="8">
        <v>43025.890740740739</v>
      </c>
      <c r="B214" s="20" t="s">
        <v>530</v>
      </c>
      <c r="C214" s="20" t="s">
        <v>834</v>
      </c>
      <c r="D214" s="138">
        <v>3310000</v>
      </c>
      <c r="E214" s="20" t="s">
        <v>386</v>
      </c>
      <c r="F214" s="20" t="s">
        <v>387</v>
      </c>
      <c r="G214" s="8" t="str">
        <f t="shared" si="6"/>
        <v>ANDERS STEVEN</v>
      </c>
      <c r="H214" s="20" t="str">
        <f t="shared" si="7"/>
        <v>4009</v>
      </c>
    </row>
    <row r="215" spans="1:8" x14ac:dyDescent="0.3">
      <c r="A215" s="8">
        <v>43025.892488425925</v>
      </c>
      <c r="B215" s="20" t="s">
        <v>440</v>
      </c>
      <c r="C215" s="20" t="s">
        <v>835</v>
      </c>
      <c r="D215" s="138">
        <v>2000000</v>
      </c>
      <c r="E215" s="20" t="s">
        <v>372</v>
      </c>
      <c r="F215" s="20" t="s">
        <v>361</v>
      </c>
      <c r="G215" s="8" t="str">
        <f t="shared" si="6"/>
        <v>STAMBAUGH JAMES</v>
      </c>
      <c r="H215" s="20" t="str">
        <f t="shared" si="7"/>
        <v>4031</v>
      </c>
    </row>
    <row r="216" spans="1:8" x14ac:dyDescent="0.3">
      <c r="A216" s="8">
        <v>43025.909456018519</v>
      </c>
      <c r="B216" s="20" t="s">
        <v>625</v>
      </c>
      <c r="C216" s="20" t="s">
        <v>836</v>
      </c>
      <c r="D216" s="138">
        <v>3500000</v>
      </c>
      <c r="E216" s="20" t="s">
        <v>546</v>
      </c>
      <c r="F216" s="20" t="s">
        <v>547</v>
      </c>
      <c r="G216" s="8" t="str">
        <f t="shared" si="6"/>
        <v>GUNTHIER ERIC</v>
      </c>
      <c r="H216" s="20" t="str">
        <f t="shared" si="7"/>
        <v>4015</v>
      </c>
    </row>
    <row r="217" spans="1:8" x14ac:dyDescent="0.3">
      <c r="A217" s="8">
        <v>43025.911550925928</v>
      </c>
      <c r="B217" s="20" t="s">
        <v>525</v>
      </c>
      <c r="C217" s="20" t="s">
        <v>837</v>
      </c>
      <c r="D217" s="138">
        <v>3280000</v>
      </c>
      <c r="E217" s="20" t="s">
        <v>808</v>
      </c>
      <c r="F217" s="20" t="s">
        <v>809</v>
      </c>
      <c r="G217" s="8" t="str">
        <f t="shared" si="6"/>
        <v>BIRKHOLZ NADINE</v>
      </c>
      <c r="H217" s="20" t="str">
        <f t="shared" si="7"/>
        <v>4050</v>
      </c>
    </row>
    <row r="218" spans="1:8" x14ac:dyDescent="0.3">
      <c r="A218" s="8">
        <v>43025.921087962961</v>
      </c>
      <c r="B218" s="20" t="s">
        <v>439</v>
      </c>
      <c r="C218" s="20" t="s">
        <v>838</v>
      </c>
      <c r="D218" s="138">
        <v>2000000</v>
      </c>
      <c r="E218" s="20" t="s">
        <v>372</v>
      </c>
      <c r="F218" s="20" t="s">
        <v>361</v>
      </c>
      <c r="G218" s="8" t="str">
        <f t="shared" si="6"/>
        <v>STAMBAUGH JAMES</v>
      </c>
      <c r="H218" s="20" t="str">
        <f t="shared" si="7"/>
        <v>4032</v>
      </c>
    </row>
    <row r="219" spans="1:8" x14ac:dyDescent="0.3">
      <c r="A219" s="8">
        <v>43025.925844907404</v>
      </c>
      <c r="B219" s="20" t="s">
        <v>533</v>
      </c>
      <c r="C219" s="20" t="s">
        <v>839</v>
      </c>
      <c r="D219" s="138">
        <v>3310000</v>
      </c>
      <c r="E219" s="20" t="s">
        <v>386</v>
      </c>
      <c r="F219" s="20" t="s">
        <v>387</v>
      </c>
      <c r="G219" s="8" t="str">
        <f t="shared" si="6"/>
        <v>ANDERS STEVEN</v>
      </c>
      <c r="H219" s="20" t="str">
        <f t="shared" si="7"/>
        <v>4010</v>
      </c>
    </row>
    <row r="220" spans="1:8" x14ac:dyDescent="0.3">
      <c r="A220" s="8">
        <v>43025.932962962965</v>
      </c>
      <c r="B220" s="20" t="s">
        <v>417</v>
      </c>
      <c r="C220" s="20" t="s">
        <v>840</v>
      </c>
      <c r="D220" s="138">
        <v>890000</v>
      </c>
      <c r="E220" s="20" t="s">
        <v>358</v>
      </c>
      <c r="F220" s="20" t="s">
        <v>359</v>
      </c>
      <c r="G220" s="8" t="str">
        <f t="shared" si="6"/>
        <v>LOZA FIDEL</v>
      </c>
      <c r="H220" s="20" t="str">
        <f t="shared" si="7"/>
        <v>4051</v>
      </c>
    </row>
    <row r="221" spans="1:8" x14ac:dyDescent="0.3">
      <c r="A221" s="8">
        <v>43025.933958333335</v>
      </c>
      <c r="B221" s="20" t="s">
        <v>440</v>
      </c>
      <c r="C221" s="20" t="s">
        <v>841</v>
      </c>
      <c r="D221" s="138">
        <v>2000000</v>
      </c>
      <c r="E221" s="20" t="s">
        <v>372</v>
      </c>
      <c r="F221" s="20" t="s">
        <v>361</v>
      </c>
      <c r="G221" s="8" t="str">
        <f t="shared" si="6"/>
        <v>STAMBAUGH JAMES</v>
      </c>
      <c r="H221" s="20" t="str">
        <f t="shared" si="7"/>
        <v>4031</v>
      </c>
    </row>
    <row r="222" spans="1:8" x14ac:dyDescent="0.3">
      <c r="A222" s="8">
        <v>43025.950821759259</v>
      </c>
      <c r="B222" s="20" t="s">
        <v>492</v>
      </c>
      <c r="C222" s="20" t="s">
        <v>842</v>
      </c>
      <c r="D222" s="138">
        <v>2680000</v>
      </c>
      <c r="E222" s="20" t="s">
        <v>364</v>
      </c>
      <c r="F222" s="20" t="s">
        <v>365</v>
      </c>
      <c r="G222" s="8" t="str">
        <f t="shared" si="6"/>
        <v>DUNCAN SHEILA</v>
      </c>
      <c r="H222" s="20" t="str">
        <f t="shared" si="7"/>
        <v>4016</v>
      </c>
    </row>
    <row r="223" spans="1:8" x14ac:dyDescent="0.3">
      <c r="A223" s="8">
        <v>43025.950856481482</v>
      </c>
      <c r="B223" s="20" t="s">
        <v>526</v>
      </c>
      <c r="C223" s="20" t="s">
        <v>843</v>
      </c>
      <c r="D223" s="138">
        <v>3280000</v>
      </c>
      <c r="E223" s="20" t="s">
        <v>808</v>
      </c>
      <c r="F223" s="20" t="s">
        <v>809</v>
      </c>
      <c r="G223" s="8" t="str">
        <f t="shared" si="6"/>
        <v>BIRKHOLZ NADINE</v>
      </c>
      <c r="H223" s="20" t="str">
        <f t="shared" si="7"/>
        <v>4049</v>
      </c>
    </row>
    <row r="224" spans="1:8" x14ac:dyDescent="0.3">
      <c r="A224" s="8">
        <v>43025.962951388887</v>
      </c>
      <c r="B224" t="s">
        <v>439</v>
      </c>
      <c r="C224" t="s">
        <v>634</v>
      </c>
      <c r="D224" s="138">
        <v>2000000</v>
      </c>
      <c r="E224" t="s">
        <v>372</v>
      </c>
      <c r="F224" s="20" t="s">
        <v>361</v>
      </c>
      <c r="G224" s="8" t="str">
        <f t="shared" si="6"/>
        <v>STAMBAUGH JAMES</v>
      </c>
      <c r="H224" s="20" t="str">
        <f t="shared" si="7"/>
        <v>4032</v>
      </c>
    </row>
    <row r="225" spans="1:8" x14ac:dyDescent="0.3">
      <c r="A225" s="8">
        <v>43025.974050925928</v>
      </c>
      <c r="B225" t="s">
        <v>530</v>
      </c>
      <c r="C225" t="s">
        <v>844</v>
      </c>
      <c r="D225" s="138">
        <v>3310000</v>
      </c>
      <c r="E225" t="s">
        <v>386</v>
      </c>
      <c r="F225" s="20" t="s">
        <v>387</v>
      </c>
      <c r="G225" s="8" t="str">
        <f t="shared" si="6"/>
        <v>ANDERS STEVEN</v>
      </c>
      <c r="H225" s="20" t="str">
        <f t="shared" si="7"/>
        <v>4009</v>
      </c>
    </row>
    <row r="226" spans="1:8" x14ac:dyDescent="0.3">
      <c r="A226" s="8">
        <v>43025.975277777776</v>
      </c>
      <c r="B226" t="s">
        <v>440</v>
      </c>
      <c r="C226" t="s">
        <v>845</v>
      </c>
      <c r="D226" s="138">
        <v>2000000</v>
      </c>
      <c r="E226" t="s">
        <v>372</v>
      </c>
      <c r="F226" s="20" t="s">
        <v>361</v>
      </c>
      <c r="G226" s="8" t="str">
        <f t="shared" si="6"/>
        <v>STAMBAUGH JAMES</v>
      </c>
      <c r="H226" s="20" t="str">
        <f t="shared" si="7"/>
        <v>4031</v>
      </c>
    </row>
    <row r="227" spans="1:8" x14ac:dyDescent="0.3">
      <c r="A227" s="8">
        <v>43025.978252314817</v>
      </c>
      <c r="B227" t="s">
        <v>416</v>
      </c>
      <c r="C227" t="s">
        <v>846</v>
      </c>
      <c r="D227" s="138">
        <v>890000</v>
      </c>
      <c r="E227" t="s">
        <v>358</v>
      </c>
      <c r="F227" s="20" t="s">
        <v>359</v>
      </c>
      <c r="G227" s="8" t="str">
        <f t="shared" si="6"/>
        <v>LOZA FIDEL</v>
      </c>
      <c r="H227" s="20" t="str">
        <f t="shared" si="7"/>
        <v>4052</v>
      </c>
    </row>
    <row r="228" spans="1:8" x14ac:dyDescent="0.3">
      <c r="A228" s="8">
        <v>43025.986354166664</v>
      </c>
      <c r="B228" t="s">
        <v>625</v>
      </c>
      <c r="C228" t="s">
        <v>635</v>
      </c>
      <c r="D228" s="138">
        <v>2680000</v>
      </c>
      <c r="E228" t="s">
        <v>364</v>
      </c>
      <c r="F228" s="20" t="s">
        <v>365</v>
      </c>
      <c r="G228" s="8" t="str">
        <f t="shared" si="6"/>
        <v>DUNCAN SHEILA</v>
      </c>
      <c r="H228" s="20" t="str">
        <f t="shared" si="7"/>
        <v>4015</v>
      </c>
    </row>
    <row r="229" spans="1:8" x14ac:dyDescent="0.3">
      <c r="A229" s="8">
        <v>43025.993043981478</v>
      </c>
      <c r="B229" t="s">
        <v>525</v>
      </c>
      <c r="C229" t="s">
        <v>847</v>
      </c>
      <c r="D229" s="138">
        <v>3280000</v>
      </c>
      <c r="E229" t="s">
        <v>808</v>
      </c>
      <c r="F229" s="20" t="s">
        <v>809</v>
      </c>
      <c r="G229" s="8" t="str">
        <f t="shared" si="6"/>
        <v>BIRKHOLZ NADINE</v>
      </c>
      <c r="H229" s="20" t="str">
        <f t="shared" si="7"/>
        <v>4050</v>
      </c>
    </row>
    <row r="230" spans="1:8" x14ac:dyDescent="0.3">
      <c r="A230" s="8">
        <v>43026.007581018515</v>
      </c>
      <c r="B230" t="s">
        <v>533</v>
      </c>
      <c r="C230" t="s">
        <v>848</v>
      </c>
      <c r="D230" s="138">
        <v>3310000</v>
      </c>
      <c r="E230" t="s">
        <v>386</v>
      </c>
      <c r="F230" s="20" t="s">
        <v>387</v>
      </c>
      <c r="G230" s="8" t="str">
        <f t="shared" si="6"/>
        <v>ANDERS STEVEN</v>
      </c>
      <c r="H230" s="20" t="str">
        <f t="shared" si="7"/>
        <v>4010</v>
      </c>
    </row>
    <row r="231" spans="1:8" x14ac:dyDescent="0.3">
      <c r="A231" s="8">
        <v>43026.017118055555</v>
      </c>
      <c r="B231" t="s">
        <v>417</v>
      </c>
      <c r="C231" t="s">
        <v>849</v>
      </c>
      <c r="D231" s="138">
        <v>890000</v>
      </c>
      <c r="E231" t="s">
        <v>358</v>
      </c>
      <c r="F231" s="20" t="s">
        <v>359</v>
      </c>
      <c r="G231" s="8" t="str">
        <f t="shared" si="6"/>
        <v>LOZA FIDEL</v>
      </c>
      <c r="H231" s="20" t="str">
        <f t="shared" si="7"/>
        <v>4051</v>
      </c>
    </row>
    <row r="232" spans="1:8" x14ac:dyDescent="0.3">
      <c r="A232" s="8">
        <v>43026.026620370372</v>
      </c>
      <c r="B232" t="s">
        <v>492</v>
      </c>
      <c r="C232" t="s">
        <v>850</v>
      </c>
      <c r="D232" s="138">
        <v>2680000</v>
      </c>
      <c r="E232" t="s">
        <v>364</v>
      </c>
      <c r="F232" s="20" t="s">
        <v>365</v>
      </c>
      <c r="G232" s="8" t="str">
        <f t="shared" si="6"/>
        <v>DUNCAN SHEILA</v>
      </c>
      <c r="H232" s="20" t="str">
        <f t="shared" si="7"/>
        <v>4016</v>
      </c>
    </row>
    <row r="233" spans="1:8" x14ac:dyDescent="0.3">
      <c r="A233" s="8">
        <v>43026.028321759259</v>
      </c>
      <c r="B233" t="s">
        <v>526</v>
      </c>
      <c r="C233" t="s">
        <v>851</v>
      </c>
      <c r="D233" s="138">
        <v>3280000</v>
      </c>
      <c r="E233" t="s">
        <v>808</v>
      </c>
      <c r="F233" s="20" t="s">
        <v>809</v>
      </c>
      <c r="G233" s="8" t="str">
        <f t="shared" si="6"/>
        <v>BIRKHOLZ NADINE</v>
      </c>
      <c r="H233" s="20" t="str">
        <f t="shared" si="7"/>
        <v>4049</v>
      </c>
    </row>
    <row r="234" spans="1:8" x14ac:dyDescent="0.3">
      <c r="A234" s="8">
        <v>43026.037928240738</v>
      </c>
      <c r="B234" t="s">
        <v>467</v>
      </c>
      <c r="C234" t="s">
        <v>852</v>
      </c>
      <c r="D234" s="138">
        <v>3510000</v>
      </c>
      <c r="E234" t="s">
        <v>493</v>
      </c>
      <c r="F234" s="20" t="s">
        <v>494</v>
      </c>
      <c r="G234" s="8" t="str">
        <f t="shared" si="6"/>
        <v>BARRON PERLA</v>
      </c>
      <c r="H234" s="20" t="str">
        <f t="shared" si="7"/>
        <v>4030</v>
      </c>
    </row>
    <row r="235" spans="1:8" x14ac:dyDescent="0.3">
      <c r="A235" s="8">
        <v>43026.047418981485</v>
      </c>
      <c r="B235" t="s">
        <v>416</v>
      </c>
      <c r="C235" t="s">
        <v>853</v>
      </c>
      <c r="D235" s="138">
        <v>890000</v>
      </c>
      <c r="E235" t="s">
        <v>358</v>
      </c>
      <c r="F235" s="20" t="s">
        <v>359</v>
      </c>
      <c r="G235" s="8" t="str">
        <f t="shared" si="6"/>
        <v>LOZA FIDEL</v>
      </c>
      <c r="H235" s="20" t="str">
        <f t="shared" si="7"/>
        <v>4052</v>
      </c>
    </row>
    <row r="236" spans="1:8" x14ac:dyDescent="0.3">
      <c r="A236" s="8">
        <v>43026.054548611108</v>
      </c>
      <c r="B236" t="s">
        <v>530</v>
      </c>
      <c r="C236" t="s">
        <v>636</v>
      </c>
      <c r="D236" s="138">
        <v>3310000</v>
      </c>
      <c r="E236" t="s">
        <v>386</v>
      </c>
      <c r="F236" s="20" t="s">
        <v>387</v>
      </c>
      <c r="G236" s="8" t="str">
        <f t="shared" si="6"/>
        <v>ANDERS STEVEN</v>
      </c>
      <c r="H236" s="20" t="str">
        <f t="shared" si="7"/>
        <v>4009</v>
      </c>
    </row>
    <row r="237" spans="1:8" x14ac:dyDescent="0.3">
      <c r="A237" s="8">
        <v>43026.068530092591</v>
      </c>
      <c r="B237" t="s">
        <v>525</v>
      </c>
      <c r="C237" t="s">
        <v>854</v>
      </c>
      <c r="D237" s="138">
        <v>3280000</v>
      </c>
      <c r="E237" t="s">
        <v>808</v>
      </c>
      <c r="F237" s="20" t="s">
        <v>809</v>
      </c>
      <c r="G237" s="8" t="str">
        <f t="shared" si="6"/>
        <v>BIRKHOLZ NADINE</v>
      </c>
      <c r="H237" s="20" t="str">
        <f t="shared" si="7"/>
        <v>4050</v>
      </c>
    </row>
    <row r="238" spans="1:8" x14ac:dyDescent="0.3">
      <c r="A238" s="8">
        <v>43026.068564814814</v>
      </c>
      <c r="B238" t="s">
        <v>530</v>
      </c>
      <c r="C238" t="s">
        <v>636</v>
      </c>
      <c r="D238" s="138">
        <v>3310000</v>
      </c>
      <c r="E238" t="s">
        <v>386</v>
      </c>
      <c r="F238" s="20" t="s">
        <v>387</v>
      </c>
      <c r="G238" s="8" t="str">
        <f t="shared" si="6"/>
        <v>ANDERS STEVEN</v>
      </c>
      <c r="H238" s="20" t="str">
        <f t="shared" si="7"/>
        <v>4009</v>
      </c>
    </row>
    <row r="239" spans="1:8" x14ac:dyDescent="0.3">
      <c r="A239" s="8">
        <v>43026.093055555553</v>
      </c>
      <c r="B239" t="s">
        <v>533</v>
      </c>
      <c r="C239" t="s">
        <v>855</v>
      </c>
      <c r="D239" s="138">
        <v>3310000</v>
      </c>
      <c r="E239" t="s">
        <v>386</v>
      </c>
      <c r="F239" s="20" t="s">
        <v>387</v>
      </c>
      <c r="G239" s="8" t="str">
        <f t="shared" si="6"/>
        <v>ANDERS STEVEN</v>
      </c>
      <c r="H239" s="20" t="str">
        <f t="shared" si="7"/>
        <v>4010</v>
      </c>
    </row>
    <row r="240" spans="1:8" x14ac:dyDescent="0.3">
      <c r="A240" s="8">
        <v>43025.029363425929</v>
      </c>
      <c r="B240" t="s">
        <v>468</v>
      </c>
      <c r="C240" t="s">
        <v>548</v>
      </c>
      <c r="D240" s="138">
        <v>2680000</v>
      </c>
      <c r="E240" t="s">
        <v>364</v>
      </c>
      <c r="F240" s="20" t="s">
        <v>365</v>
      </c>
      <c r="G240" s="8" t="str">
        <f t="shared" si="6"/>
        <v>DUNCAN SHEILA</v>
      </c>
      <c r="H240" s="20" t="str">
        <f t="shared" si="7"/>
        <v>4025</v>
      </c>
    </row>
    <row r="241" spans="1:8" x14ac:dyDescent="0.3">
      <c r="A241" s="8">
        <v>43025.047280092593</v>
      </c>
      <c r="B241" t="s">
        <v>467</v>
      </c>
      <c r="C241" t="s">
        <v>549</v>
      </c>
      <c r="D241" s="138">
        <v>890000</v>
      </c>
      <c r="E241" t="s">
        <v>358</v>
      </c>
      <c r="F241" s="20" t="s">
        <v>359</v>
      </c>
      <c r="G241" s="8" t="str">
        <f t="shared" si="6"/>
        <v>LOZA FIDEL</v>
      </c>
      <c r="H241" s="20" t="str">
        <f t="shared" si="7"/>
        <v>4030</v>
      </c>
    </row>
    <row r="242" spans="1:8" x14ac:dyDescent="0.3">
      <c r="A242" s="8">
        <v>43025.056122685186</v>
      </c>
      <c r="B242" t="s">
        <v>528</v>
      </c>
      <c r="C242" t="s">
        <v>550</v>
      </c>
      <c r="D242" s="138">
        <v>3040000</v>
      </c>
      <c r="E242" t="s">
        <v>471</v>
      </c>
      <c r="F242" s="20" t="s">
        <v>472</v>
      </c>
      <c r="G242" s="8" t="str">
        <f t="shared" si="6"/>
        <v>WILLIAMS DONTE</v>
      </c>
      <c r="H242" s="20" t="str">
        <f t="shared" si="7"/>
        <v>4019</v>
      </c>
    </row>
    <row r="243" spans="1:8" x14ac:dyDescent="0.3">
      <c r="A243" s="8">
        <v>43025.068252314813</v>
      </c>
      <c r="B243" t="s">
        <v>470</v>
      </c>
      <c r="C243" t="s">
        <v>551</v>
      </c>
      <c r="D243" s="138">
        <v>2680000</v>
      </c>
      <c r="E243" t="s">
        <v>364</v>
      </c>
      <c r="F243" s="20" t="s">
        <v>365</v>
      </c>
      <c r="G243" s="8" t="str">
        <f t="shared" si="6"/>
        <v>DUNCAN SHEILA</v>
      </c>
      <c r="H243" s="20" t="str">
        <f t="shared" si="7"/>
        <v>4026</v>
      </c>
    </row>
    <row r="244" spans="1:8" x14ac:dyDescent="0.3">
      <c r="A244" s="8">
        <v>43025.090671296297</v>
      </c>
      <c r="B244" t="s">
        <v>527</v>
      </c>
      <c r="C244" t="s">
        <v>552</v>
      </c>
      <c r="D244" s="138">
        <v>3040000</v>
      </c>
      <c r="E244" t="s">
        <v>471</v>
      </c>
      <c r="F244" s="20" t="s">
        <v>472</v>
      </c>
      <c r="G244" s="8" t="str">
        <f t="shared" si="6"/>
        <v>WILLIAMS DONTE</v>
      </c>
      <c r="H244" s="20" t="str">
        <f t="shared" si="7"/>
        <v>4020</v>
      </c>
    </row>
    <row r="245" spans="1:8" x14ac:dyDescent="0.3">
      <c r="A245" s="8">
        <v>43025.111828703702</v>
      </c>
      <c r="B245" t="s">
        <v>417</v>
      </c>
      <c r="C245" t="s">
        <v>553</v>
      </c>
      <c r="D245" s="138">
        <v>1830000</v>
      </c>
      <c r="E245" t="s">
        <v>375</v>
      </c>
      <c r="F245" s="20" t="s">
        <v>376</v>
      </c>
      <c r="G245" s="8" t="str">
        <f t="shared" si="6"/>
        <v>YORK EDGAR</v>
      </c>
      <c r="H245" s="20" t="str">
        <f t="shared" si="7"/>
        <v>4051</v>
      </c>
    </row>
    <row r="246" spans="1:8" x14ac:dyDescent="0.3">
      <c r="A246" s="8">
        <v>43021.04828703704</v>
      </c>
      <c r="B246" t="s">
        <v>383</v>
      </c>
      <c r="C246" t="s">
        <v>476</v>
      </c>
      <c r="D246" s="138">
        <v>890000</v>
      </c>
      <c r="E246" t="s">
        <v>358</v>
      </c>
      <c r="F246" s="20" t="s">
        <v>359</v>
      </c>
      <c r="G246" s="8" t="str">
        <f t="shared" si="6"/>
        <v>LOZA FIDEL</v>
      </c>
      <c r="H246" s="20" t="str">
        <f t="shared" si="7"/>
        <v>4064</v>
      </c>
    </row>
    <row r="247" spans="1:8" x14ac:dyDescent="0.3">
      <c r="A247" s="8">
        <v>43021.056157407409</v>
      </c>
      <c r="B247" t="s">
        <v>417</v>
      </c>
      <c r="C247" t="s">
        <v>477</v>
      </c>
      <c r="D247" s="138">
        <v>2540000</v>
      </c>
      <c r="E247" t="s">
        <v>401</v>
      </c>
      <c r="F247" s="20" t="s">
        <v>402</v>
      </c>
      <c r="G247" s="8" t="str">
        <f t="shared" si="6"/>
        <v>MCREYNOLDS KYLE</v>
      </c>
      <c r="H247" s="20" t="str">
        <f t="shared" si="7"/>
        <v>4051</v>
      </c>
    </row>
    <row r="248" spans="1:8" x14ac:dyDescent="0.3">
      <c r="A248" s="8">
        <v>43021.066805555558</v>
      </c>
      <c r="B248" t="s">
        <v>441</v>
      </c>
      <c r="C248" t="s">
        <v>478</v>
      </c>
      <c r="D248" s="138">
        <v>3340000</v>
      </c>
      <c r="E248" t="s">
        <v>474</v>
      </c>
      <c r="F248" s="20" t="s">
        <v>475</v>
      </c>
      <c r="G248" s="8" t="str">
        <f t="shared" si="6"/>
        <v>ELBAUM MIKE</v>
      </c>
      <c r="H248" s="20" t="str">
        <f t="shared" si="7"/>
        <v>4002</v>
      </c>
    </row>
    <row r="249" spans="1:8" x14ac:dyDescent="0.3">
      <c r="A249" s="8">
        <v>43021.08934027778</v>
      </c>
      <c r="B249" t="s">
        <v>416</v>
      </c>
      <c r="C249" t="s">
        <v>479</v>
      </c>
      <c r="D249" s="138">
        <v>2540000</v>
      </c>
      <c r="E249" t="s">
        <v>401</v>
      </c>
      <c r="F249" s="20" t="s">
        <v>402</v>
      </c>
      <c r="G249" s="8" t="str">
        <f t="shared" si="6"/>
        <v>MCREYNOLDS KYLE</v>
      </c>
      <c r="H249" s="20" t="str">
        <f t="shared" si="7"/>
        <v>4052</v>
      </c>
    </row>
    <row r="250" spans="1:8" x14ac:dyDescent="0.3">
      <c r="A250" s="8">
        <v>43019.975057870368</v>
      </c>
      <c r="B250" t="s">
        <v>382</v>
      </c>
      <c r="C250" t="s">
        <v>446</v>
      </c>
      <c r="D250" s="138">
        <v>2000000</v>
      </c>
      <c r="E250" t="s">
        <v>372</v>
      </c>
      <c r="F250" s="20" t="s">
        <v>361</v>
      </c>
      <c r="G250" s="8" t="str">
        <f t="shared" si="6"/>
        <v>STAMBAUGH JAMES</v>
      </c>
      <c r="H250" s="20" t="str">
        <f t="shared" si="7"/>
        <v>4063</v>
      </c>
    </row>
    <row r="251" spans="1:8" x14ac:dyDescent="0.3">
      <c r="A251" s="8">
        <v>43019.985497685186</v>
      </c>
      <c r="B251" t="s">
        <v>437</v>
      </c>
      <c r="C251" t="s">
        <v>447</v>
      </c>
      <c r="D251" s="138">
        <v>3310000</v>
      </c>
      <c r="E251" t="s">
        <v>386</v>
      </c>
      <c r="F251" s="20" t="s">
        <v>387</v>
      </c>
      <c r="G251" s="8" t="str">
        <f t="shared" si="6"/>
        <v>ANDERS STEVEN</v>
      </c>
      <c r="H251" s="20" t="str">
        <f t="shared" si="7"/>
        <v>4045</v>
      </c>
    </row>
    <row r="252" spans="1:8" x14ac:dyDescent="0.3">
      <c r="A252" s="8">
        <v>43019.98809027778</v>
      </c>
      <c r="B252" t="s">
        <v>439</v>
      </c>
      <c r="C252" t="s">
        <v>448</v>
      </c>
      <c r="D252" s="138">
        <v>890000</v>
      </c>
      <c r="E252" t="s">
        <v>358</v>
      </c>
      <c r="F252" s="20" t="s">
        <v>359</v>
      </c>
      <c r="G252" s="8" t="str">
        <f t="shared" si="6"/>
        <v>LOZA FIDEL</v>
      </c>
      <c r="H252" s="20" t="str">
        <f t="shared" si="7"/>
        <v>4032</v>
      </c>
    </row>
    <row r="253" spans="1:8" x14ac:dyDescent="0.3">
      <c r="A253" s="8">
        <v>43020.005173611113</v>
      </c>
      <c r="B253" t="s">
        <v>436</v>
      </c>
      <c r="C253" t="s">
        <v>449</v>
      </c>
      <c r="D253" s="138">
        <v>2680000</v>
      </c>
      <c r="E253" t="s">
        <v>364</v>
      </c>
      <c r="F253" s="20" t="s">
        <v>365</v>
      </c>
      <c r="G253" s="8" t="str">
        <f t="shared" si="6"/>
        <v>DUNCAN SHEILA</v>
      </c>
      <c r="H253" s="20" t="str">
        <f t="shared" si="7"/>
        <v>4013</v>
      </c>
    </row>
    <row r="254" spans="1:8" x14ac:dyDescent="0.3">
      <c r="A254" s="8">
        <v>43020.006828703707</v>
      </c>
      <c r="B254" t="s">
        <v>412</v>
      </c>
      <c r="C254" t="s">
        <v>450</v>
      </c>
      <c r="D254" s="138">
        <v>2440000</v>
      </c>
      <c r="E254" t="s">
        <v>444</v>
      </c>
      <c r="F254" s="20" t="s">
        <v>445</v>
      </c>
      <c r="G254" s="8" t="str">
        <f t="shared" si="6"/>
        <v>LOPES KIMBERLY</v>
      </c>
      <c r="H254" s="20" t="str">
        <f t="shared" si="7"/>
        <v>4036</v>
      </c>
    </row>
    <row r="255" spans="1:8" x14ac:dyDescent="0.3">
      <c r="A255" s="8">
        <v>43020.027303240742</v>
      </c>
      <c r="B255" t="s">
        <v>418</v>
      </c>
      <c r="C255" t="s">
        <v>451</v>
      </c>
      <c r="D255" s="138">
        <v>3310000</v>
      </c>
      <c r="E255" t="s">
        <v>386</v>
      </c>
      <c r="F255" s="20" t="s">
        <v>387</v>
      </c>
      <c r="G255" s="8" t="str">
        <f t="shared" si="6"/>
        <v>ANDERS STEVEN</v>
      </c>
      <c r="H255" s="20" t="str">
        <f t="shared" si="7"/>
        <v>4046</v>
      </c>
    </row>
    <row r="256" spans="1:8" x14ac:dyDescent="0.3">
      <c r="A256" s="8">
        <v>43020.028726851851</v>
      </c>
      <c r="B256" t="s">
        <v>418</v>
      </c>
      <c r="C256" t="s">
        <v>451</v>
      </c>
      <c r="D256" s="138">
        <v>3310000</v>
      </c>
      <c r="E256" t="s">
        <v>386</v>
      </c>
      <c r="F256" s="20" t="s">
        <v>387</v>
      </c>
      <c r="G256" s="8" t="str">
        <f t="shared" si="6"/>
        <v>ANDERS STEVEN</v>
      </c>
      <c r="H256" s="20" t="str">
        <f t="shared" si="7"/>
        <v>4046</v>
      </c>
    </row>
    <row r="257" spans="1:8" x14ac:dyDescent="0.3">
      <c r="A257" s="8">
        <v>43020.030185185184</v>
      </c>
      <c r="B257" t="s">
        <v>441</v>
      </c>
      <c r="C257" t="s">
        <v>452</v>
      </c>
      <c r="D257" s="138">
        <v>3320000</v>
      </c>
      <c r="E257" t="s">
        <v>367</v>
      </c>
      <c r="F257" s="20" t="s">
        <v>368</v>
      </c>
      <c r="G257" s="8" t="str">
        <f t="shared" si="6"/>
        <v>NICHOLSON WESLEY</v>
      </c>
      <c r="H257" s="20" t="str">
        <f t="shared" si="7"/>
        <v>4002</v>
      </c>
    </row>
    <row r="258" spans="1:8" x14ac:dyDescent="0.3">
      <c r="A258" s="8">
        <v>43020.032430555555</v>
      </c>
      <c r="B258" t="s">
        <v>441</v>
      </c>
      <c r="C258" t="s">
        <v>452</v>
      </c>
      <c r="D258" s="138">
        <v>3320000</v>
      </c>
      <c r="E258" t="s">
        <v>367</v>
      </c>
      <c r="F258" s="20" t="s">
        <v>368</v>
      </c>
      <c r="G258" s="8" t="str">
        <f t="shared" si="6"/>
        <v>NICHOLSON WESLEY</v>
      </c>
      <c r="H258" s="20" t="str">
        <f t="shared" si="7"/>
        <v>4002</v>
      </c>
    </row>
    <row r="259" spans="1:8" x14ac:dyDescent="0.3">
      <c r="A259" s="8">
        <v>43020.03837962963</v>
      </c>
      <c r="B259" t="s">
        <v>435</v>
      </c>
      <c r="C259" t="s">
        <v>453</v>
      </c>
      <c r="D259" s="138">
        <v>3320000</v>
      </c>
      <c r="E259" t="s">
        <v>367</v>
      </c>
      <c r="F259" s="20" t="s">
        <v>368</v>
      </c>
      <c r="G259" s="8" t="str">
        <f t="shared" ref="G259:G273" si="8">E259&amp;" "&amp;F259</f>
        <v>NICHOLSON WESLEY</v>
      </c>
      <c r="H259" s="20" t="str">
        <f t="shared" ref="H259:H273" si="9">MID(B259,13,4)</f>
        <v>4001</v>
      </c>
    </row>
    <row r="260" spans="1:8" x14ac:dyDescent="0.3">
      <c r="A260" s="8">
        <v>43020.039004629631</v>
      </c>
      <c r="B260" t="s">
        <v>440</v>
      </c>
      <c r="C260" t="s">
        <v>454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4031</v>
      </c>
    </row>
    <row r="261" spans="1:8" x14ac:dyDescent="0.3">
      <c r="A261" s="8">
        <v>43020.040671296294</v>
      </c>
      <c r="B261" t="s">
        <v>435</v>
      </c>
      <c r="C261" t="s">
        <v>453</v>
      </c>
      <c r="D261" s="138">
        <v>3320000</v>
      </c>
      <c r="E261" t="s">
        <v>367</v>
      </c>
      <c r="F261" s="20" t="s">
        <v>368</v>
      </c>
      <c r="G261" s="8" t="str">
        <f t="shared" si="8"/>
        <v>NICHOLSON WESLEY</v>
      </c>
      <c r="H261" s="20" t="str">
        <f t="shared" si="9"/>
        <v>4001</v>
      </c>
    </row>
    <row r="262" spans="1:8" x14ac:dyDescent="0.3">
      <c r="A262" s="8">
        <v>43020.046909722223</v>
      </c>
      <c r="B262" t="s">
        <v>438</v>
      </c>
      <c r="C262" t="s">
        <v>455</v>
      </c>
      <c r="D262" s="138">
        <v>2680000</v>
      </c>
      <c r="E262" t="s">
        <v>364</v>
      </c>
      <c r="F262" s="20" t="s">
        <v>365</v>
      </c>
      <c r="G262" s="8" t="str">
        <f t="shared" si="8"/>
        <v>DUNCAN SHEILA</v>
      </c>
      <c r="H262" s="20" t="str">
        <f t="shared" si="9"/>
        <v>4014</v>
      </c>
    </row>
    <row r="263" spans="1:8" x14ac:dyDescent="0.3">
      <c r="A263" s="8">
        <v>43020.050694444442</v>
      </c>
      <c r="B263" t="s">
        <v>423</v>
      </c>
      <c r="C263" t="s">
        <v>456</v>
      </c>
      <c r="D263" s="138">
        <v>2440000</v>
      </c>
      <c r="E263" t="s">
        <v>444</v>
      </c>
      <c r="F263" s="20" t="s">
        <v>445</v>
      </c>
      <c r="G263" s="8" t="str">
        <f t="shared" si="8"/>
        <v>LOPES KIMBERLY</v>
      </c>
      <c r="H263" s="20" t="str">
        <f t="shared" si="9"/>
        <v>4035</v>
      </c>
    </row>
    <row r="264" spans="1:8" x14ac:dyDescent="0.3">
      <c r="A264" s="8">
        <v>43020.067916666667</v>
      </c>
      <c r="B264" t="s">
        <v>439</v>
      </c>
      <c r="C264" t="s">
        <v>457</v>
      </c>
      <c r="D264" s="138">
        <v>890000</v>
      </c>
      <c r="E264" t="s">
        <v>358</v>
      </c>
      <c r="F264" s="20" t="s">
        <v>359</v>
      </c>
      <c r="G264" s="8" t="str">
        <f t="shared" si="8"/>
        <v>LOZA FIDEL</v>
      </c>
      <c r="H264" s="20" t="str">
        <f t="shared" si="9"/>
        <v>4032</v>
      </c>
    </row>
    <row r="265" spans="1:8" x14ac:dyDescent="0.3">
      <c r="A265" s="8">
        <v>43020.088923611111</v>
      </c>
      <c r="B265" t="s">
        <v>412</v>
      </c>
      <c r="C265" t="s">
        <v>458</v>
      </c>
      <c r="D265" s="138">
        <v>2440000</v>
      </c>
      <c r="E265" t="s">
        <v>444</v>
      </c>
      <c r="F265" s="20" t="s">
        <v>445</v>
      </c>
      <c r="G265" s="8" t="str">
        <f t="shared" si="8"/>
        <v>LOPES KIMBERLY</v>
      </c>
      <c r="H265" s="20" t="str">
        <f t="shared" si="9"/>
        <v>4036</v>
      </c>
    </row>
    <row r="266" spans="1:8" x14ac:dyDescent="0.3">
      <c r="A266" s="8">
        <v>43020.112002314818</v>
      </c>
      <c r="B266" t="s">
        <v>391</v>
      </c>
      <c r="C266" t="s">
        <v>459</v>
      </c>
      <c r="D266" s="138">
        <v>1830000</v>
      </c>
      <c r="E266" t="s">
        <v>375</v>
      </c>
      <c r="F266" s="20" t="s">
        <v>376</v>
      </c>
      <c r="G266" s="8" t="str">
        <f t="shared" si="8"/>
        <v>YORK EDGAR</v>
      </c>
      <c r="H266" s="20" t="str">
        <f t="shared" si="9"/>
        <v>4061</v>
      </c>
    </row>
    <row r="267" spans="1:8" x14ac:dyDescent="0.3">
      <c r="A267" s="8">
        <v>43013.038958333331</v>
      </c>
      <c r="B267" t="s">
        <v>399</v>
      </c>
      <c r="C267" t="s">
        <v>403</v>
      </c>
      <c r="D267" s="138">
        <v>890000</v>
      </c>
      <c r="E267" t="s">
        <v>358</v>
      </c>
      <c r="F267" s="20" t="s">
        <v>359</v>
      </c>
      <c r="G267" s="8" t="str">
        <f t="shared" si="8"/>
        <v>LOZA FIDEL</v>
      </c>
      <c r="H267" s="20" t="str">
        <f t="shared" si="9"/>
        <v>4065</v>
      </c>
    </row>
    <row r="268" spans="1:8" x14ac:dyDescent="0.3">
      <c r="A268" s="8">
        <v>43013.047430555554</v>
      </c>
      <c r="B268" t="s">
        <v>381</v>
      </c>
      <c r="C268" t="s">
        <v>404</v>
      </c>
      <c r="D268" s="138">
        <v>2680000</v>
      </c>
      <c r="E268" t="s">
        <v>364</v>
      </c>
      <c r="F268" s="20" t="s">
        <v>365</v>
      </c>
      <c r="G268" s="8" t="str">
        <f t="shared" si="8"/>
        <v>DUNCAN SHEILA</v>
      </c>
      <c r="H268" s="20" t="str">
        <f t="shared" si="9"/>
        <v>4040</v>
      </c>
    </row>
    <row r="269" spans="1:8" x14ac:dyDescent="0.3">
      <c r="A269" s="8">
        <v>43013.056331018517</v>
      </c>
      <c r="B269" t="s">
        <v>382</v>
      </c>
      <c r="C269" t="s">
        <v>405</v>
      </c>
      <c r="D269" s="138">
        <v>2540000</v>
      </c>
      <c r="E269" t="s">
        <v>401</v>
      </c>
      <c r="F269" s="20" t="s">
        <v>402</v>
      </c>
      <c r="G269" s="8" t="str">
        <f t="shared" si="8"/>
        <v>MCREYNOLDS KYLE</v>
      </c>
      <c r="H269" s="20" t="str">
        <f t="shared" si="9"/>
        <v>4063</v>
      </c>
    </row>
    <row r="270" spans="1:8" x14ac:dyDescent="0.3">
      <c r="A270" s="8">
        <v>43013.06894675926</v>
      </c>
      <c r="B270" t="s">
        <v>398</v>
      </c>
      <c r="C270" t="s">
        <v>400</v>
      </c>
      <c r="D270" s="138">
        <v>890000</v>
      </c>
      <c r="E270" t="s">
        <v>358</v>
      </c>
      <c r="F270" s="20" t="s">
        <v>359</v>
      </c>
      <c r="G270" s="8" t="str">
        <f t="shared" si="8"/>
        <v>LOZA FIDEL</v>
      </c>
      <c r="H270" s="20" t="str">
        <f t="shared" si="9"/>
        <v>4066</v>
      </c>
    </row>
    <row r="271" spans="1:8" x14ac:dyDescent="0.3">
      <c r="A271" s="8">
        <v>43013.090011574073</v>
      </c>
      <c r="B271" t="s">
        <v>383</v>
      </c>
      <c r="C271" t="s">
        <v>406</v>
      </c>
      <c r="D271" s="138">
        <v>2540000</v>
      </c>
      <c r="E271" t="s">
        <v>401</v>
      </c>
      <c r="F271" s="20" t="s">
        <v>402</v>
      </c>
      <c r="G271" s="8" t="str">
        <f t="shared" si="8"/>
        <v>MCREYNOLDS KYLE</v>
      </c>
      <c r="H271" s="20" t="str">
        <f t="shared" si="9"/>
        <v>4064</v>
      </c>
    </row>
    <row r="272" spans="1:8" x14ac:dyDescent="0.3">
      <c r="A272" s="8">
        <v>43013.10837962963</v>
      </c>
      <c r="B272" t="s">
        <v>392</v>
      </c>
      <c r="C272" t="s">
        <v>407</v>
      </c>
      <c r="D272" s="138">
        <v>900000</v>
      </c>
      <c r="E272" t="s">
        <v>384</v>
      </c>
      <c r="F272" s="20" t="s">
        <v>385</v>
      </c>
      <c r="G272" s="8" t="str">
        <f t="shared" si="8"/>
        <v>ROCHA YAOTL</v>
      </c>
      <c r="H272" s="20" t="str">
        <f t="shared" si="9"/>
        <v>4055</v>
      </c>
    </row>
    <row r="273" spans="1:8" x14ac:dyDescent="0.3">
      <c r="A273" s="8">
        <v>43013.109976851854</v>
      </c>
      <c r="B273" t="s">
        <v>392</v>
      </c>
      <c r="C273" t="s">
        <v>407</v>
      </c>
      <c r="D273" s="138">
        <v>900000</v>
      </c>
      <c r="E273" t="s">
        <v>384</v>
      </c>
      <c r="F273" s="20" t="s">
        <v>385</v>
      </c>
      <c r="G273" s="8" t="str">
        <f t="shared" si="8"/>
        <v>ROCHA YAOTL</v>
      </c>
      <c r="H273" s="20" t="str">
        <f t="shared" si="9"/>
        <v>4055</v>
      </c>
    </row>
    <row r="274" spans="1:8" x14ac:dyDescent="0.3">
      <c r="A274" s="8">
        <v>43013.111643518518</v>
      </c>
      <c r="B274" t="s">
        <v>391</v>
      </c>
      <c r="C274" t="s">
        <v>408</v>
      </c>
      <c r="D274" s="138">
        <v>1830000</v>
      </c>
      <c r="E274" t="s">
        <v>375</v>
      </c>
      <c r="F274" s="20" t="s">
        <v>376</v>
      </c>
    </row>
    <row r="275" spans="1:8" x14ac:dyDescent="0.3">
      <c r="A275" s="8">
        <v>43013.112997685188</v>
      </c>
      <c r="B275" t="s">
        <v>391</v>
      </c>
      <c r="C275" t="s">
        <v>408</v>
      </c>
      <c r="D275" s="138">
        <v>1830000</v>
      </c>
      <c r="E275" t="s">
        <v>375</v>
      </c>
      <c r="F275" s="20" t="s">
        <v>376</v>
      </c>
    </row>
    <row r="276" spans="1:8" x14ac:dyDescent="0.3">
      <c r="A276" s="8">
        <v>43013.113483796296</v>
      </c>
      <c r="B276" t="s">
        <v>391</v>
      </c>
      <c r="C276" t="s">
        <v>408</v>
      </c>
      <c r="D276" s="138">
        <v>1830000</v>
      </c>
      <c r="E276" t="s">
        <v>375</v>
      </c>
      <c r="F276" s="20" t="s">
        <v>376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3">
      <c r="A2" s="196">
        <v>47.37</v>
      </c>
      <c r="B2" s="196">
        <v>0.02</v>
      </c>
      <c r="C2" s="196">
        <v>21.6</v>
      </c>
      <c r="D2" s="8">
        <v>43025</v>
      </c>
      <c r="E2" s="196">
        <v>0.36</v>
      </c>
      <c r="F2" s="196" t="s">
        <v>396</v>
      </c>
      <c r="G2" s="196">
        <v>292.44</v>
      </c>
      <c r="H2" s="196">
        <v>0</v>
      </c>
      <c r="I2" s="196">
        <v>0</v>
      </c>
      <c r="J2" s="196">
        <v>1021.85</v>
      </c>
      <c r="K2" s="196" t="s">
        <v>397</v>
      </c>
      <c r="L2" s="196">
        <v>47.37</v>
      </c>
      <c r="M2" s="196">
        <v>1508220000</v>
      </c>
      <c r="N2" s="196">
        <v>0</v>
      </c>
      <c r="O2" s="196">
        <v>2.78</v>
      </c>
      <c r="P2" s="196">
        <v>167</v>
      </c>
      <c r="Q2" s="196">
        <v>3.79</v>
      </c>
      <c r="R2" s="196">
        <v>0.96</v>
      </c>
      <c r="S2"/>
      <c r="T2"/>
    </row>
    <row r="3" spans="1:20" x14ac:dyDescent="0.3">
      <c r="A3" s="196">
        <v>44.32</v>
      </c>
      <c r="B3" s="196">
        <v>0.03</v>
      </c>
      <c r="C3" s="196">
        <v>22.49</v>
      </c>
      <c r="D3" s="8">
        <v>43025.041666666664</v>
      </c>
      <c r="E3" s="196">
        <v>0.42</v>
      </c>
      <c r="F3" s="196" t="s">
        <v>396</v>
      </c>
      <c r="G3" s="196">
        <v>292.67</v>
      </c>
      <c r="H3" s="196">
        <v>0</v>
      </c>
      <c r="I3" s="196">
        <v>0</v>
      </c>
      <c r="J3" s="196">
        <v>1020.81</v>
      </c>
      <c r="K3" s="196" t="s">
        <v>397</v>
      </c>
      <c r="L3" s="196">
        <v>44.32</v>
      </c>
      <c r="M3" s="196">
        <v>1508223600</v>
      </c>
      <c r="N3" s="196">
        <v>0</v>
      </c>
      <c r="O3" s="196">
        <v>2.57</v>
      </c>
      <c r="P3" s="196">
        <v>174</v>
      </c>
      <c r="Q3" s="196">
        <v>3.22</v>
      </c>
      <c r="R3" s="196">
        <v>1.36</v>
      </c>
      <c r="S3"/>
      <c r="T3"/>
    </row>
    <row r="4" spans="1:20" x14ac:dyDescent="0.3">
      <c r="A4" s="196">
        <v>42.97</v>
      </c>
      <c r="B4" s="196">
        <v>0.02</v>
      </c>
      <c r="C4" s="196">
        <v>21.43</v>
      </c>
      <c r="D4" s="8">
        <v>43025.083333333336</v>
      </c>
      <c r="E4" s="196">
        <v>0.42</v>
      </c>
      <c r="F4" s="196" t="s">
        <v>396</v>
      </c>
      <c r="G4" s="196">
        <v>292.88</v>
      </c>
      <c r="H4" s="196">
        <v>0</v>
      </c>
      <c r="I4" s="196">
        <v>0</v>
      </c>
      <c r="J4" s="196">
        <v>1020.86</v>
      </c>
      <c r="K4" s="196" t="s">
        <v>397</v>
      </c>
      <c r="L4" s="196">
        <v>42.97</v>
      </c>
      <c r="M4" s="196">
        <v>1508227200</v>
      </c>
      <c r="N4" s="196">
        <v>0</v>
      </c>
      <c r="O4" s="196">
        <v>4.08</v>
      </c>
      <c r="P4" s="196">
        <v>188</v>
      </c>
      <c r="Q4" s="196">
        <v>3.36</v>
      </c>
      <c r="R4" s="196">
        <v>1.57</v>
      </c>
      <c r="S4"/>
      <c r="T4"/>
    </row>
    <row r="5" spans="1:20" x14ac:dyDescent="0.3">
      <c r="A5" s="196">
        <v>42.27</v>
      </c>
      <c r="B5" s="196">
        <v>0.02</v>
      </c>
      <c r="C5" s="196">
        <v>20.11</v>
      </c>
      <c r="D5" s="8">
        <v>43025.125</v>
      </c>
      <c r="E5" s="196">
        <v>0.41</v>
      </c>
      <c r="F5" s="196" t="s">
        <v>396</v>
      </c>
      <c r="G5" s="196">
        <v>292.77</v>
      </c>
      <c r="H5" s="196">
        <v>0</v>
      </c>
      <c r="I5" s="196">
        <v>0</v>
      </c>
      <c r="J5" s="196">
        <v>1020.83</v>
      </c>
      <c r="K5" s="196" t="s">
        <v>397</v>
      </c>
      <c r="L5" s="196">
        <v>42.27</v>
      </c>
      <c r="M5" s="196">
        <v>1508230800</v>
      </c>
      <c r="N5" s="196">
        <v>0</v>
      </c>
      <c r="O5" s="196">
        <v>3.33</v>
      </c>
      <c r="P5" s="196">
        <v>194</v>
      </c>
      <c r="Q5" s="196">
        <v>3.51</v>
      </c>
      <c r="R5" s="196">
        <v>1.58</v>
      </c>
      <c r="S5"/>
      <c r="T5"/>
    </row>
    <row r="6" spans="1:20" x14ac:dyDescent="0.3">
      <c r="A6" s="196">
        <v>41.39</v>
      </c>
      <c r="B6" s="196">
        <v>0.02</v>
      </c>
      <c r="C6" s="196">
        <v>19.239999999999998</v>
      </c>
      <c r="D6" s="8">
        <v>43025.166666666664</v>
      </c>
      <c r="E6" s="196">
        <v>0.41</v>
      </c>
      <c r="F6" s="196" t="s">
        <v>396</v>
      </c>
      <c r="G6" s="196">
        <v>292.52999999999997</v>
      </c>
      <c r="H6" s="196">
        <v>0</v>
      </c>
      <c r="I6" s="196">
        <v>0</v>
      </c>
      <c r="J6" s="196">
        <v>1020.72</v>
      </c>
      <c r="K6" s="196" t="s">
        <v>397</v>
      </c>
      <c r="L6" s="196">
        <v>41.39</v>
      </c>
      <c r="M6" s="196">
        <v>1508234400</v>
      </c>
      <c r="N6" s="196">
        <v>0</v>
      </c>
      <c r="O6" s="196">
        <v>3.15</v>
      </c>
      <c r="P6" s="196">
        <v>202</v>
      </c>
      <c r="Q6" s="196">
        <v>3.27</v>
      </c>
      <c r="R6" s="196">
        <v>1.52</v>
      </c>
      <c r="S6"/>
      <c r="T6"/>
    </row>
    <row r="7" spans="1:20" x14ac:dyDescent="0.3">
      <c r="A7" s="196">
        <v>40.6</v>
      </c>
      <c r="B7" s="196">
        <v>0.01</v>
      </c>
      <c r="C7" s="196">
        <v>18.28</v>
      </c>
      <c r="D7" s="8">
        <v>43025.208333333336</v>
      </c>
      <c r="E7" s="196">
        <v>0.4</v>
      </c>
      <c r="F7" s="196" t="s">
        <v>396</v>
      </c>
      <c r="G7" s="196">
        <v>291.95999999999998</v>
      </c>
      <c r="H7" s="196">
        <v>0</v>
      </c>
      <c r="I7" s="196">
        <v>0</v>
      </c>
      <c r="J7" s="196">
        <v>1022.21</v>
      </c>
      <c r="K7" s="196" t="s">
        <v>397</v>
      </c>
      <c r="L7" s="196">
        <v>40.6</v>
      </c>
      <c r="M7" s="196">
        <v>1508238000</v>
      </c>
      <c r="N7" s="196">
        <v>0</v>
      </c>
      <c r="O7" s="196">
        <v>3.46</v>
      </c>
      <c r="P7" s="196">
        <v>190</v>
      </c>
      <c r="Q7" s="196">
        <v>3.91</v>
      </c>
      <c r="R7" s="196">
        <v>1.54</v>
      </c>
      <c r="S7"/>
      <c r="T7"/>
    </row>
    <row r="8" spans="1:20" x14ac:dyDescent="0.3">
      <c r="A8" s="196">
        <v>40.43</v>
      </c>
      <c r="B8" s="196">
        <v>0.02</v>
      </c>
      <c r="C8" s="196">
        <v>18.079999999999998</v>
      </c>
      <c r="D8" s="8">
        <v>43025.25</v>
      </c>
      <c r="E8" s="196">
        <v>0.4</v>
      </c>
      <c r="F8" s="196" t="s">
        <v>396</v>
      </c>
      <c r="G8" s="196">
        <v>291.38</v>
      </c>
      <c r="H8" s="196">
        <v>0</v>
      </c>
      <c r="I8" s="196">
        <v>0</v>
      </c>
      <c r="J8" s="196">
        <v>1020.86</v>
      </c>
      <c r="K8" s="196" t="s">
        <v>397</v>
      </c>
      <c r="L8" s="196">
        <v>40.43</v>
      </c>
      <c r="M8" s="196">
        <v>1508241600</v>
      </c>
      <c r="N8" s="196">
        <v>0</v>
      </c>
      <c r="O8" s="196">
        <v>2.96</v>
      </c>
      <c r="P8" s="196">
        <v>194</v>
      </c>
      <c r="Q8" s="196">
        <v>4.07</v>
      </c>
      <c r="R8" s="196">
        <v>1.82</v>
      </c>
      <c r="S8"/>
      <c r="T8"/>
    </row>
    <row r="9" spans="1:20" x14ac:dyDescent="0.3">
      <c r="A9" s="196">
        <v>39.700000000000003</v>
      </c>
      <c r="B9" s="196">
        <v>0.03</v>
      </c>
      <c r="C9" s="196">
        <v>18.14</v>
      </c>
      <c r="D9" s="8">
        <v>43025.291666666664</v>
      </c>
      <c r="E9" s="196">
        <v>0.41</v>
      </c>
      <c r="F9" s="196" t="s">
        <v>396</v>
      </c>
      <c r="G9" s="196">
        <v>290.02</v>
      </c>
      <c r="H9" s="196">
        <v>0</v>
      </c>
      <c r="I9" s="196">
        <v>0</v>
      </c>
      <c r="J9" s="196">
        <v>1022.11</v>
      </c>
      <c r="K9" s="196" t="s">
        <v>397</v>
      </c>
      <c r="L9" s="196">
        <v>39.700000000000003</v>
      </c>
      <c r="M9" s="196">
        <v>1508245200</v>
      </c>
      <c r="N9" s="196">
        <v>0</v>
      </c>
      <c r="O9" s="196">
        <v>3.17</v>
      </c>
      <c r="P9" s="196">
        <v>204</v>
      </c>
      <c r="Q9" s="196">
        <v>3.9</v>
      </c>
      <c r="R9" s="196">
        <v>1.1399999999999999</v>
      </c>
      <c r="S9"/>
      <c r="T9"/>
    </row>
    <row r="10" spans="1:20" x14ac:dyDescent="0.3">
      <c r="A10" s="196">
        <v>40.840000000000003</v>
      </c>
      <c r="B10" s="196">
        <v>0.04</v>
      </c>
      <c r="C10" s="196">
        <v>18.95</v>
      </c>
      <c r="D10" s="8">
        <v>43025.333333333336</v>
      </c>
      <c r="E10" s="196">
        <v>0.41</v>
      </c>
      <c r="F10" s="196" t="s">
        <v>424</v>
      </c>
      <c r="G10" s="196">
        <v>288.19</v>
      </c>
      <c r="H10" s="196">
        <v>0</v>
      </c>
      <c r="I10" s="196">
        <v>0</v>
      </c>
      <c r="J10" s="196">
        <v>1022.3</v>
      </c>
      <c r="K10" s="196" t="s">
        <v>397</v>
      </c>
      <c r="L10" s="196">
        <v>40.840000000000003</v>
      </c>
      <c r="M10" s="196">
        <v>1508248800</v>
      </c>
      <c r="N10" s="196">
        <v>0</v>
      </c>
      <c r="O10" s="196">
        <v>2.86</v>
      </c>
      <c r="P10" s="196">
        <v>185</v>
      </c>
      <c r="Q10" s="196">
        <v>3.24</v>
      </c>
      <c r="R10" s="196">
        <v>1.07</v>
      </c>
      <c r="S10"/>
      <c r="T10"/>
    </row>
    <row r="11" spans="1:20" x14ac:dyDescent="0.3">
      <c r="A11" s="196">
        <v>49.3</v>
      </c>
      <c r="B11" s="196">
        <v>0.05</v>
      </c>
      <c r="C11" s="196">
        <v>20.82</v>
      </c>
      <c r="D11" s="8">
        <v>43025.375</v>
      </c>
      <c r="E11" s="196">
        <v>0.32</v>
      </c>
      <c r="F11" s="196" t="s">
        <v>424</v>
      </c>
      <c r="G11" s="196">
        <v>286.45999999999998</v>
      </c>
      <c r="H11" s="196">
        <v>0</v>
      </c>
      <c r="I11" s="196">
        <v>0</v>
      </c>
      <c r="J11" s="196">
        <v>1021.41</v>
      </c>
      <c r="K11" s="196" t="s">
        <v>397</v>
      </c>
      <c r="L11" s="196">
        <v>49.3</v>
      </c>
      <c r="M11" s="196">
        <v>1508252400</v>
      </c>
      <c r="N11" s="196">
        <v>1</v>
      </c>
      <c r="O11" s="196">
        <v>4.79</v>
      </c>
      <c r="P11" s="196">
        <v>195</v>
      </c>
      <c r="Q11" s="196">
        <v>5.04</v>
      </c>
      <c r="R11" s="196">
        <v>1.84</v>
      </c>
      <c r="S11"/>
      <c r="T11"/>
    </row>
    <row r="12" spans="1:20" x14ac:dyDescent="0.3">
      <c r="A12" s="196">
        <v>58.08</v>
      </c>
      <c r="B12" s="196">
        <v>0.04</v>
      </c>
      <c r="C12" s="196">
        <v>21.27</v>
      </c>
      <c r="D12" s="8">
        <v>43025.416666666664</v>
      </c>
      <c r="E12" s="196">
        <v>0.24</v>
      </c>
      <c r="F12" s="196" t="s">
        <v>424</v>
      </c>
      <c r="G12" s="196">
        <v>284.83999999999997</v>
      </c>
      <c r="H12" s="196">
        <v>0</v>
      </c>
      <c r="I12" s="196">
        <v>0</v>
      </c>
      <c r="J12" s="196">
        <v>1020.72</v>
      </c>
      <c r="K12" s="196" t="s">
        <v>397</v>
      </c>
      <c r="L12" s="196">
        <v>58.08</v>
      </c>
      <c r="M12" s="196">
        <v>1508256000</v>
      </c>
      <c r="N12" s="196">
        <v>2</v>
      </c>
      <c r="O12" s="196">
        <v>4.79</v>
      </c>
      <c r="P12" s="196">
        <v>185</v>
      </c>
      <c r="Q12" s="196">
        <v>6.07</v>
      </c>
      <c r="R12" s="196">
        <v>2.2200000000000002</v>
      </c>
      <c r="S12"/>
      <c r="T12"/>
    </row>
    <row r="13" spans="1:20" x14ac:dyDescent="0.3">
      <c r="A13" s="196">
        <v>65.37</v>
      </c>
      <c r="B13" s="196">
        <v>0.04</v>
      </c>
      <c r="C13" s="196">
        <v>19.97</v>
      </c>
      <c r="D13" s="8">
        <v>43025.458333333336</v>
      </c>
      <c r="E13" s="196">
        <v>0.17</v>
      </c>
      <c r="F13" s="196" t="s">
        <v>424</v>
      </c>
      <c r="G13" s="196">
        <v>283.33</v>
      </c>
      <c r="H13" s="196">
        <v>0</v>
      </c>
      <c r="I13" s="196">
        <v>0</v>
      </c>
      <c r="J13" s="196">
        <v>1019.67</v>
      </c>
      <c r="K13" s="196" t="s">
        <v>397</v>
      </c>
      <c r="L13" s="196">
        <v>65.37</v>
      </c>
      <c r="M13" s="196">
        <v>1508259600</v>
      </c>
      <c r="N13" s="196">
        <v>3</v>
      </c>
      <c r="O13" s="196">
        <v>4.41</v>
      </c>
      <c r="P13" s="196">
        <v>168</v>
      </c>
      <c r="Q13" s="196">
        <v>6.82</v>
      </c>
      <c r="R13" s="196">
        <v>2.54</v>
      </c>
      <c r="S13"/>
      <c r="T13"/>
    </row>
    <row r="14" spans="1:20" x14ac:dyDescent="0.3">
      <c r="A14" s="196">
        <v>70.069999999999993</v>
      </c>
      <c r="B14" s="196">
        <v>0.04</v>
      </c>
      <c r="C14" s="196">
        <v>17.489999999999998</v>
      </c>
      <c r="D14" s="8">
        <v>43025.5</v>
      </c>
      <c r="E14" s="196">
        <v>0.13</v>
      </c>
      <c r="F14" s="196" t="s">
        <v>424</v>
      </c>
      <c r="G14" s="196">
        <v>280.99</v>
      </c>
      <c r="H14" s="196">
        <v>0</v>
      </c>
      <c r="I14" s="196">
        <v>0</v>
      </c>
      <c r="J14" s="196">
        <v>1018.31</v>
      </c>
      <c r="K14" s="196" t="s">
        <v>397</v>
      </c>
      <c r="L14" s="196">
        <v>70.069999999999993</v>
      </c>
      <c r="M14" s="196">
        <v>1508263200</v>
      </c>
      <c r="N14" s="196">
        <v>4</v>
      </c>
      <c r="O14" s="196">
        <v>4.79</v>
      </c>
      <c r="P14" s="196">
        <v>151</v>
      </c>
      <c r="Q14" s="196">
        <v>6.53</v>
      </c>
      <c r="R14" s="196">
        <v>2.2400000000000002</v>
      </c>
      <c r="S14"/>
      <c r="T14"/>
    </row>
    <row r="15" spans="1:20" x14ac:dyDescent="0.3">
      <c r="A15" s="196">
        <v>73.75</v>
      </c>
      <c r="B15" s="196">
        <v>0.05</v>
      </c>
      <c r="C15" s="196">
        <v>15.63</v>
      </c>
      <c r="D15" s="8">
        <v>43025.541666666664</v>
      </c>
      <c r="E15" s="196">
        <v>0.11</v>
      </c>
      <c r="F15" s="196" t="s">
        <v>424</v>
      </c>
      <c r="G15" s="196">
        <v>279.93</v>
      </c>
      <c r="H15" s="196">
        <v>0</v>
      </c>
      <c r="I15" s="196">
        <v>0</v>
      </c>
      <c r="J15" s="196">
        <v>1017.21</v>
      </c>
      <c r="K15" s="196" t="s">
        <v>397</v>
      </c>
      <c r="L15" s="196">
        <v>73.75</v>
      </c>
      <c r="M15" s="196">
        <v>1508266800</v>
      </c>
      <c r="N15" s="196">
        <v>4</v>
      </c>
      <c r="O15" s="196">
        <v>4.79</v>
      </c>
      <c r="P15" s="196">
        <v>137</v>
      </c>
      <c r="Q15" s="196">
        <v>6.87</v>
      </c>
      <c r="R15" s="196">
        <v>2.19</v>
      </c>
      <c r="S15"/>
      <c r="T15"/>
    </row>
    <row r="16" spans="1:20" x14ac:dyDescent="0.3">
      <c r="A16" s="196">
        <v>75.8</v>
      </c>
      <c r="B16" s="196">
        <v>0.05</v>
      </c>
      <c r="C16" s="196">
        <v>12.92</v>
      </c>
      <c r="D16" s="8">
        <v>43025.583333333336</v>
      </c>
      <c r="E16" s="196">
        <v>0.09</v>
      </c>
      <c r="F16" s="196" t="s">
        <v>424</v>
      </c>
      <c r="G16" s="196">
        <v>279.33999999999997</v>
      </c>
      <c r="H16" s="196">
        <v>0</v>
      </c>
      <c r="I16" s="196">
        <v>0</v>
      </c>
      <c r="J16" s="196">
        <v>1015.8</v>
      </c>
      <c r="K16" s="196" t="s">
        <v>397</v>
      </c>
      <c r="L16" s="196">
        <v>75.8</v>
      </c>
      <c r="M16" s="196">
        <v>1508270400</v>
      </c>
      <c r="N16" s="196">
        <v>4</v>
      </c>
      <c r="O16" s="196">
        <v>4.6900000000000004</v>
      </c>
      <c r="P16" s="196">
        <v>78</v>
      </c>
      <c r="Q16" s="196">
        <v>6.32</v>
      </c>
      <c r="R16" s="196">
        <v>1.08</v>
      </c>
      <c r="S16"/>
      <c r="T16"/>
    </row>
    <row r="17" spans="1:20" x14ac:dyDescent="0.3">
      <c r="A17" s="196">
        <v>76.790000000000006</v>
      </c>
      <c r="B17" s="196">
        <v>0.09</v>
      </c>
      <c r="C17" s="196">
        <v>11.93</v>
      </c>
      <c r="D17" s="8">
        <v>43025.625</v>
      </c>
      <c r="E17" s="196">
        <v>0.08</v>
      </c>
      <c r="F17" s="196" t="s">
        <v>424</v>
      </c>
      <c r="G17" s="196">
        <v>278.51</v>
      </c>
      <c r="H17" s="196">
        <v>0</v>
      </c>
      <c r="I17" s="196">
        <v>0</v>
      </c>
      <c r="J17" s="196">
        <v>1015</v>
      </c>
      <c r="K17" s="196" t="s">
        <v>397</v>
      </c>
      <c r="L17" s="196">
        <v>76.790000000000006</v>
      </c>
      <c r="M17" s="196">
        <v>1508274000</v>
      </c>
      <c r="N17" s="196">
        <v>3</v>
      </c>
      <c r="O17" s="196">
        <v>4.79</v>
      </c>
      <c r="P17" s="196">
        <v>48</v>
      </c>
      <c r="Q17" s="196">
        <v>5.79</v>
      </c>
      <c r="R17" s="196">
        <v>0.65</v>
      </c>
      <c r="S17"/>
      <c r="T17"/>
    </row>
    <row r="18" spans="1:20" x14ac:dyDescent="0.3">
      <c r="A18" s="196">
        <v>76.569999999999993</v>
      </c>
      <c r="B18" s="196">
        <v>0.15</v>
      </c>
      <c r="C18" s="196">
        <v>13.19</v>
      </c>
      <c r="D18" s="8">
        <v>43025.666666666664</v>
      </c>
      <c r="E18" s="196">
        <v>0.09</v>
      </c>
      <c r="F18" s="196" t="s">
        <v>424</v>
      </c>
      <c r="G18" s="196">
        <v>277.56</v>
      </c>
      <c r="H18" s="196">
        <v>0</v>
      </c>
      <c r="I18" s="196">
        <v>0</v>
      </c>
      <c r="J18" s="196">
        <v>1014.54</v>
      </c>
      <c r="K18" s="196" t="s">
        <v>397</v>
      </c>
      <c r="L18" s="196">
        <v>76.569999999999993</v>
      </c>
      <c r="M18" s="196">
        <v>1508277600</v>
      </c>
      <c r="N18" s="196">
        <v>1</v>
      </c>
      <c r="O18" s="196">
        <v>4.79</v>
      </c>
      <c r="P18" s="196">
        <v>16</v>
      </c>
      <c r="Q18" s="196">
        <v>4.2699999999999996</v>
      </c>
      <c r="R18" s="196">
        <v>0.48</v>
      </c>
      <c r="S18"/>
      <c r="T18"/>
    </row>
    <row r="19" spans="1:20" x14ac:dyDescent="0.3">
      <c r="A19" s="196">
        <v>74.72</v>
      </c>
      <c r="B19" s="196">
        <v>0.27</v>
      </c>
      <c r="C19" s="196">
        <v>14.65</v>
      </c>
      <c r="D19" s="8">
        <v>43025.708333333336</v>
      </c>
      <c r="E19" s="196">
        <v>0.1</v>
      </c>
      <c r="F19" s="196" t="s">
        <v>554</v>
      </c>
      <c r="G19" s="196">
        <v>276.48</v>
      </c>
      <c r="H19" s="196">
        <v>0</v>
      </c>
      <c r="I19" s="196">
        <v>0</v>
      </c>
      <c r="J19" s="196">
        <v>1014.69</v>
      </c>
      <c r="K19" s="196" t="s">
        <v>555</v>
      </c>
      <c r="L19" s="196">
        <v>74.72</v>
      </c>
      <c r="M19" s="196">
        <v>1508281200</v>
      </c>
      <c r="N19" s="196">
        <v>1</v>
      </c>
      <c r="O19" s="196">
        <v>4.79</v>
      </c>
      <c r="P19" s="196">
        <v>119</v>
      </c>
      <c r="Q19" s="196">
        <v>4.0199999999999996</v>
      </c>
      <c r="R19" s="196">
        <v>0.76</v>
      </c>
      <c r="S19"/>
      <c r="T19"/>
    </row>
    <row r="20" spans="1:20" x14ac:dyDescent="0.3">
      <c r="A20" s="196">
        <v>71.7</v>
      </c>
      <c r="B20" s="196">
        <v>0.27</v>
      </c>
      <c r="C20" s="196">
        <v>17.64</v>
      </c>
      <c r="D20" s="8">
        <v>43025.75</v>
      </c>
      <c r="E20" s="196">
        <v>0.13</v>
      </c>
      <c r="F20" s="196" t="s">
        <v>554</v>
      </c>
      <c r="G20" s="196">
        <v>273.45999999999998</v>
      </c>
      <c r="H20" s="196">
        <v>0</v>
      </c>
      <c r="I20" s="196">
        <v>0</v>
      </c>
      <c r="J20" s="196">
        <v>1014.5</v>
      </c>
      <c r="K20" s="196" t="s">
        <v>555</v>
      </c>
      <c r="L20" s="196">
        <v>71.7</v>
      </c>
      <c r="M20" s="196">
        <v>1508284800</v>
      </c>
      <c r="N20" s="196">
        <v>0</v>
      </c>
      <c r="O20" s="196">
        <v>4.8</v>
      </c>
      <c r="P20" s="196">
        <v>112</v>
      </c>
      <c r="Q20" s="196">
        <v>3.09</v>
      </c>
      <c r="R20" s="196">
        <v>0.83</v>
      </c>
      <c r="S20"/>
      <c r="T20"/>
    </row>
    <row r="21" spans="1:20" x14ac:dyDescent="0.3">
      <c r="A21" s="196">
        <v>62.96</v>
      </c>
      <c r="B21" s="196">
        <v>0.14000000000000001</v>
      </c>
      <c r="C21" s="196">
        <v>21.86</v>
      </c>
      <c r="D21" s="8">
        <v>43025.791666666664</v>
      </c>
      <c r="E21" s="196">
        <v>0.2</v>
      </c>
      <c r="F21" s="196" t="s">
        <v>396</v>
      </c>
      <c r="G21" s="196">
        <v>272.37</v>
      </c>
      <c r="H21" s="196">
        <v>0</v>
      </c>
      <c r="I21" s="196">
        <v>0</v>
      </c>
      <c r="J21" s="196">
        <v>1015.66</v>
      </c>
      <c r="K21" s="196" t="s">
        <v>397</v>
      </c>
      <c r="L21" s="196">
        <v>62.96</v>
      </c>
      <c r="M21" s="196">
        <v>1508288400</v>
      </c>
      <c r="N21" s="196">
        <v>0</v>
      </c>
      <c r="O21" s="196">
        <v>3.42</v>
      </c>
      <c r="P21" s="196">
        <v>225</v>
      </c>
      <c r="Q21" s="196">
        <v>2.36</v>
      </c>
      <c r="R21" s="196">
        <v>0.68</v>
      </c>
      <c r="S21"/>
      <c r="T21"/>
    </row>
    <row r="22" spans="1:20" x14ac:dyDescent="0.3">
      <c r="A22" s="196">
        <v>58.08</v>
      </c>
      <c r="B22" s="196">
        <v>0.12</v>
      </c>
      <c r="C22" s="196">
        <v>22.96</v>
      </c>
      <c r="D22" s="8">
        <v>43025.833333333336</v>
      </c>
      <c r="E22" s="196">
        <v>0.26</v>
      </c>
      <c r="F22" s="196" t="s">
        <v>396</v>
      </c>
      <c r="G22" s="196">
        <v>271.51</v>
      </c>
      <c r="H22" s="196">
        <v>0</v>
      </c>
      <c r="I22" s="196">
        <v>0</v>
      </c>
      <c r="J22" s="196">
        <v>1015.84</v>
      </c>
      <c r="K22" s="196" t="s">
        <v>397</v>
      </c>
      <c r="L22" s="196">
        <v>58.08</v>
      </c>
      <c r="M22" s="196">
        <v>1508292000</v>
      </c>
      <c r="N22" s="196">
        <v>0</v>
      </c>
      <c r="O22" s="196">
        <v>2.92</v>
      </c>
      <c r="P22" s="196">
        <v>187</v>
      </c>
      <c r="Q22" s="196">
        <v>2.92</v>
      </c>
      <c r="R22" s="196">
        <v>1.1000000000000001</v>
      </c>
      <c r="S22"/>
      <c r="T22"/>
    </row>
    <row r="23" spans="1:20" x14ac:dyDescent="0.3">
      <c r="A23" s="196">
        <v>55.11</v>
      </c>
      <c r="B23" s="196">
        <v>0.17</v>
      </c>
      <c r="C23" s="196">
        <v>22.98</v>
      </c>
      <c r="D23" s="8">
        <v>43025.875</v>
      </c>
      <c r="E23" s="196">
        <v>0.28000000000000003</v>
      </c>
      <c r="F23" s="196" t="s">
        <v>396</v>
      </c>
      <c r="G23" s="196">
        <v>270.41000000000003</v>
      </c>
      <c r="H23" s="196">
        <v>0</v>
      </c>
      <c r="I23" s="196">
        <v>0</v>
      </c>
      <c r="J23" s="196">
        <v>1016.26</v>
      </c>
      <c r="K23" s="196" t="s">
        <v>397</v>
      </c>
      <c r="L23" s="196">
        <v>55.11</v>
      </c>
      <c r="M23" s="196">
        <v>1508295600</v>
      </c>
      <c r="N23" s="196">
        <v>0</v>
      </c>
      <c r="O23" s="196">
        <v>2.73</v>
      </c>
      <c r="P23" s="196">
        <v>184</v>
      </c>
      <c r="Q23" s="196">
        <v>4.0999999999999996</v>
      </c>
      <c r="R23" s="196">
        <v>1.57</v>
      </c>
      <c r="S23"/>
      <c r="T23"/>
    </row>
    <row r="24" spans="1:20" x14ac:dyDescent="0.3">
      <c r="A24" s="196">
        <v>53.18</v>
      </c>
      <c r="B24" s="196">
        <v>0.03</v>
      </c>
      <c r="C24" s="196">
        <v>22.57</v>
      </c>
      <c r="D24" s="8">
        <v>43025.916666666664</v>
      </c>
      <c r="E24" s="196">
        <v>0.3</v>
      </c>
      <c r="F24" s="196" t="s">
        <v>396</v>
      </c>
      <c r="G24" s="196">
        <v>268.81</v>
      </c>
      <c r="H24" s="196">
        <v>0</v>
      </c>
      <c r="I24" s="196">
        <v>0</v>
      </c>
      <c r="J24" s="196">
        <v>1015.38</v>
      </c>
      <c r="K24" s="196" t="s">
        <v>397</v>
      </c>
      <c r="L24" s="196">
        <v>53.18</v>
      </c>
      <c r="M24" s="196">
        <v>1508299200</v>
      </c>
      <c r="N24" s="196">
        <v>0</v>
      </c>
      <c r="O24" s="196">
        <v>2.64</v>
      </c>
      <c r="P24" s="196">
        <v>181</v>
      </c>
      <c r="Q24" s="196">
        <v>4.49</v>
      </c>
      <c r="R24" s="196">
        <v>1.96</v>
      </c>
      <c r="S24"/>
      <c r="T24"/>
    </row>
    <row r="25" spans="1:20" x14ac:dyDescent="0.3">
      <c r="A25" s="196">
        <v>52.28</v>
      </c>
      <c r="B25" s="196">
        <v>0.02</v>
      </c>
      <c r="C25" s="196">
        <v>22.47</v>
      </c>
      <c r="D25" s="8">
        <v>43025.958333333336</v>
      </c>
      <c r="E25" s="196">
        <v>0.31</v>
      </c>
      <c r="F25" s="196" t="s">
        <v>396</v>
      </c>
      <c r="G25" s="196">
        <v>266.82</v>
      </c>
      <c r="H25" s="196">
        <v>0</v>
      </c>
      <c r="I25" s="196">
        <v>0</v>
      </c>
      <c r="J25" s="196">
        <v>1015.12</v>
      </c>
      <c r="K25" s="196" t="s">
        <v>397</v>
      </c>
      <c r="L25" s="196">
        <v>52.28</v>
      </c>
      <c r="M25" s="196">
        <v>1508302800</v>
      </c>
      <c r="N25" s="196">
        <v>0</v>
      </c>
      <c r="O25" s="196">
        <v>3.27</v>
      </c>
      <c r="P25" s="196">
        <v>179</v>
      </c>
      <c r="Q25" s="196">
        <v>4.5599999999999996</v>
      </c>
      <c r="R25" s="196">
        <v>1.92</v>
      </c>
      <c r="S25"/>
      <c r="T25"/>
    </row>
    <row r="26" spans="1:20" x14ac:dyDescent="0.3">
      <c r="A26" s="196">
        <v>51.29</v>
      </c>
      <c r="B26" s="196">
        <v>0.06</v>
      </c>
      <c r="C26" s="196">
        <v>22.72</v>
      </c>
      <c r="D26" s="8">
        <v>43026</v>
      </c>
      <c r="E26" s="196">
        <v>0.32</v>
      </c>
      <c r="F26" s="196" t="s">
        <v>396</v>
      </c>
      <c r="G26" s="196">
        <v>265.07</v>
      </c>
      <c r="H26" s="196">
        <v>0</v>
      </c>
      <c r="I26" s="196">
        <v>0</v>
      </c>
      <c r="J26" s="196">
        <v>1013.69</v>
      </c>
      <c r="K26" s="196" t="s">
        <v>397</v>
      </c>
      <c r="L26" s="196">
        <v>51.29</v>
      </c>
      <c r="M26" s="196">
        <v>1508306400</v>
      </c>
      <c r="N26" s="196">
        <v>0</v>
      </c>
      <c r="O26" s="196">
        <v>2.64</v>
      </c>
      <c r="P26" s="196">
        <v>176</v>
      </c>
      <c r="Q26" s="196">
        <v>5.35</v>
      </c>
      <c r="R26" s="196">
        <v>2.1</v>
      </c>
      <c r="S26"/>
      <c r="T26"/>
    </row>
    <row r="27" spans="1:20" x14ac:dyDescent="0.3">
      <c r="A27" s="196">
        <v>51.1</v>
      </c>
      <c r="B27" s="196">
        <v>7.0000000000000007E-2</v>
      </c>
      <c r="C27" s="196">
        <v>22.09</v>
      </c>
      <c r="D27" s="8">
        <v>43026.041666666664</v>
      </c>
      <c r="E27" s="196">
        <v>0.32</v>
      </c>
      <c r="F27" s="196" t="s">
        <v>396</v>
      </c>
      <c r="G27" s="196">
        <v>263.81</v>
      </c>
      <c r="H27" s="196">
        <v>0</v>
      </c>
      <c r="I27" s="196">
        <v>0</v>
      </c>
      <c r="J27" s="196">
        <v>1014.46</v>
      </c>
      <c r="K27" s="196" t="s">
        <v>397</v>
      </c>
      <c r="L27" s="196">
        <v>51.1</v>
      </c>
      <c r="M27" s="196">
        <v>1508310000</v>
      </c>
      <c r="N27" s="196">
        <v>0</v>
      </c>
      <c r="O27" s="196">
        <v>2.4300000000000002</v>
      </c>
      <c r="P27" s="196">
        <v>183</v>
      </c>
      <c r="Q27" s="196">
        <v>5.46</v>
      </c>
      <c r="R27" s="196">
        <v>2.08</v>
      </c>
      <c r="S27"/>
      <c r="T27"/>
    </row>
    <row r="28" spans="1:20" x14ac:dyDescent="0.3">
      <c r="A28" s="196">
        <v>51.77</v>
      </c>
      <c r="B28" s="196">
        <v>0.04</v>
      </c>
      <c r="C28" s="196">
        <v>22.06</v>
      </c>
      <c r="D28" s="8">
        <v>43026.083333333336</v>
      </c>
      <c r="E28" s="196">
        <v>0.31</v>
      </c>
      <c r="F28" s="196" t="s">
        <v>396</v>
      </c>
      <c r="G28" s="196">
        <v>262.92</v>
      </c>
      <c r="H28" s="196">
        <v>0</v>
      </c>
      <c r="I28" s="196">
        <v>0</v>
      </c>
      <c r="J28" s="196">
        <v>1013.21</v>
      </c>
      <c r="K28" s="196" t="s">
        <v>397</v>
      </c>
      <c r="L28" s="196">
        <v>51.77</v>
      </c>
      <c r="M28" s="196">
        <v>1508313600</v>
      </c>
      <c r="N28" s="196">
        <v>0</v>
      </c>
      <c r="O28" s="196">
        <v>3.06</v>
      </c>
      <c r="P28" s="196">
        <v>196</v>
      </c>
      <c r="Q28" s="196">
        <v>4.78</v>
      </c>
      <c r="R28" s="196">
        <v>1.84</v>
      </c>
      <c r="S28"/>
      <c r="T28"/>
    </row>
    <row r="29" spans="1:20" x14ac:dyDescent="0.3">
      <c r="A29" s="196">
        <v>52.47</v>
      </c>
      <c r="B29" s="196">
        <v>0.05</v>
      </c>
      <c r="C29" s="196">
        <v>21.91</v>
      </c>
      <c r="D29" s="8">
        <v>43026.125</v>
      </c>
      <c r="E29" s="196">
        <v>0.3</v>
      </c>
      <c r="F29" s="196" t="s">
        <v>396</v>
      </c>
      <c r="G29" s="196">
        <v>262.04000000000002</v>
      </c>
      <c r="H29" s="196">
        <v>0</v>
      </c>
      <c r="I29" s="196">
        <v>0</v>
      </c>
      <c r="J29" s="196">
        <v>1012.92</v>
      </c>
      <c r="K29" s="196" t="s">
        <v>397</v>
      </c>
      <c r="L29" s="196">
        <v>52.47</v>
      </c>
      <c r="M29" s="196">
        <v>1508317200</v>
      </c>
      <c r="N29" s="196">
        <v>0</v>
      </c>
      <c r="O29" s="196">
        <v>2.92</v>
      </c>
      <c r="P29" s="196">
        <v>206</v>
      </c>
      <c r="Q29" s="196">
        <v>5.52</v>
      </c>
      <c r="R29" s="196">
        <v>2.17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topLeftCell="A11" workbookViewId="0">
      <selection activeCell="C18" sqref="C18:C33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43025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987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988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989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990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991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992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993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994</v>
      </c>
      <c r="J25" s="140" t="s">
        <v>144</v>
      </c>
      <c r="M25" s="154" t="b">
        <v>1</v>
      </c>
    </row>
    <row r="26" spans="3:24" x14ac:dyDescent="0.3">
      <c r="C26" t="s">
        <v>995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%USERPROFILE%\Documents\GitHub\eaglep3-reporting\EC\2017-10-17-refined-times.txt</v>
      </c>
    </row>
    <row r="27" spans="3:24" x14ac:dyDescent="0.3">
      <c r="C27" t="s">
        <v>996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%USERPROFILE%\Documents\GitHub\eaglep3-reporting\EC\2017-10-17-Enforcements.txt</v>
      </c>
    </row>
    <row r="28" spans="3:24" x14ac:dyDescent="0.3">
      <c r="C28" t="s">
        <v>997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%USERPROFILE%\Documents\GitHub\eaglep3-reporting\EC\2017-10-17-Runs-refined.txt</v>
      </c>
    </row>
    <row r="29" spans="3:24" x14ac:dyDescent="0.3">
      <c r="C29" t="s">
        <v>998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%USERPROFILE%\Documents\GitHub\eaglep3-reporting\EC\2017-10-17-Trips.txt</v>
      </c>
    </row>
    <row r="30" spans="3:24" x14ac:dyDescent="0.3">
      <c r="C30" t="s">
        <v>999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%USERPROFILE%\Documents\GitHub\eaglep3-reporting\EC\2017-10-17-Weather.txt</v>
      </c>
    </row>
    <row r="31" spans="3:24" x14ac:dyDescent="0.3">
      <c r="C31" t="s">
        <v>1000</v>
      </c>
      <c r="J31" s="140" t="s">
        <v>190</v>
      </c>
      <c r="M31" s="154" t="s">
        <v>191</v>
      </c>
    </row>
    <row r="32" spans="3:24" x14ac:dyDescent="0.3">
      <c r="C32" t="s">
        <v>1001</v>
      </c>
    </row>
    <row r="33" spans="3:3" x14ac:dyDescent="0.3">
      <c r="C33" t="s">
        <v>1002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411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2017-10-18T15:06:55Z</dcterms:modified>
</cp:coreProperties>
</file>