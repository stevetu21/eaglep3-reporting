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Enforcements!$A$6:$AC$21</definedName>
    <definedName name="_xlnm._FilterDatabase" localSheetId="2" hidden="1">'Missing Trips'!$A$2:$J$26</definedName>
    <definedName name="_xlnm._FilterDatabase" localSheetId="0" hidden="1">'Train Runs'!$A$12:$AG$483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8" i="1" l="1"/>
  <c r="K162" i="1"/>
  <c r="L162" i="1"/>
  <c r="M162" i="1"/>
  <c r="N162" i="1" s="1"/>
  <c r="V162" i="1"/>
  <c r="AA162" i="1"/>
  <c r="AB162" i="1"/>
  <c r="AC162" i="1"/>
  <c r="AD162" i="1"/>
  <c r="T162" i="1" s="1"/>
  <c r="AE162" i="1"/>
  <c r="AF162" i="1"/>
  <c r="AH162" i="1"/>
  <c r="AM162" i="1"/>
  <c r="AN162" i="1"/>
  <c r="AO162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P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S14" i="3" s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P34" i="1" s="1"/>
  <c r="V34" i="1"/>
  <c r="S22" i="3" s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R12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R26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P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7" i="1"/>
  <c r="AM97" i="1"/>
  <c r="AN97" i="1"/>
  <c r="AO97" i="1"/>
  <c r="K166" i="1"/>
  <c r="L166" i="1"/>
  <c r="M166" i="1"/>
  <c r="N166" i="1" s="1"/>
  <c r="V166" i="1"/>
  <c r="S27" i="3" s="1"/>
  <c r="Y166" i="1"/>
  <c r="Z166" i="1"/>
  <c r="AB166" i="1"/>
  <c r="AC166" i="1"/>
  <c r="AD166" i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9" i="1"/>
  <c r="AM99" i="1"/>
  <c r="AN99" i="1"/>
  <c r="AO99" i="1"/>
  <c r="K168" i="1"/>
  <c r="L168" i="1"/>
  <c r="V168" i="1"/>
  <c r="Y168" i="1"/>
  <c r="Z168" i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AO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AO102" i="1"/>
  <c r="K171" i="1"/>
  <c r="L171" i="1"/>
  <c r="M171" i="1"/>
  <c r="N171" i="1" s="1"/>
  <c r="V171" i="1"/>
  <c r="Y171" i="1"/>
  <c r="Z171" i="1"/>
  <c r="AB171" i="1"/>
  <c r="AC171" i="1"/>
  <c r="AD171" i="1"/>
  <c r="AE171" i="1"/>
  <c r="R29" i="3" s="1"/>
  <c r="AF171" i="1"/>
  <c r="AH103" i="1"/>
  <c r="AM103" i="1"/>
  <c r="AN103" i="1"/>
  <c r="AO10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4" i="1"/>
  <c r="AM104" i="1"/>
  <c r="AN104" i="1"/>
  <c r="AO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AO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AO10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07" i="1"/>
  <c r="AM107" i="1"/>
  <c r="AN107" i="1"/>
  <c r="AO1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8" i="1"/>
  <c r="AM108" i="1"/>
  <c r="AN108" i="1"/>
  <c r="AO108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109" i="1"/>
  <c r="AM109" i="1"/>
  <c r="AN109" i="1"/>
  <c r="AO109" i="1"/>
  <c r="K177" i="1"/>
  <c r="L177" i="1"/>
  <c r="M177" i="1"/>
  <c r="N177" i="1"/>
  <c r="V177" i="1"/>
  <c r="Y177" i="1"/>
  <c r="Z177" i="1"/>
  <c r="AB177" i="1"/>
  <c r="AC177" i="1"/>
  <c r="AD177" i="1"/>
  <c r="AE177" i="1"/>
  <c r="AF177" i="1"/>
  <c r="AH110" i="1"/>
  <c r="AM110" i="1"/>
  <c r="AN110" i="1"/>
  <c r="AO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AO111" i="1"/>
  <c r="K179" i="1"/>
  <c r="L179" i="1"/>
  <c r="M179" i="1"/>
  <c r="N179" i="1" s="1"/>
  <c r="V179" i="1"/>
  <c r="Y179" i="1"/>
  <c r="Z179" i="1"/>
  <c r="AB179" i="1"/>
  <c r="AC179" i="1"/>
  <c r="AD179" i="1"/>
  <c r="AE179" i="1"/>
  <c r="R30" i="3" s="1"/>
  <c r="AF179" i="1"/>
  <c r="AH112" i="1"/>
  <c r="AM112" i="1"/>
  <c r="AN112" i="1"/>
  <c r="AO11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3" i="1"/>
  <c r="AM113" i="1"/>
  <c r="AN113" i="1"/>
  <c r="AO11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4" i="1"/>
  <c r="AM114" i="1"/>
  <c r="AN114" i="1"/>
  <c r="AO11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5" i="1"/>
  <c r="AM115" i="1"/>
  <c r="AN115" i="1"/>
  <c r="AO11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6" i="1"/>
  <c r="AM116" i="1"/>
  <c r="AN116" i="1"/>
  <c r="AO1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7" i="1"/>
  <c r="AM117" i="1"/>
  <c r="AN117" i="1"/>
  <c r="AO117" i="1"/>
  <c r="K98" i="1"/>
  <c r="L98" i="1"/>
  <c r="M98" i="1"/>
  <c r="N98" i="1" s="1"/>
  <c r="V98" i="1"/>
  <c r="S9" i="3" s="1"/>
  <c r="Y98" i="1"/>
  <c r="Z98" i="1"/>
  <c r="AB98" i="1"/>
  <c r="AC98" i="1"/>
  <c r="AD98" i="1"/>
  <c r="T98" i="1" s="1"/>
  <c r="AE98" i="1"/>
  <c r="AF98" i="1"/>
  <c r="AH118" i="1"/>
  <c r="AM118" i="1"/>
  <c r="AN118" i="1"/>
  <c r="AO1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9" i="1"/>
  <c r="AM119" i="1"/>
  <c r="AN119" i="1"/>
  <c r="AO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AO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AO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AO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AO12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4" i="1"/>
  <c r="AM124" i="1"/>
  <c r="AN124" i="1"/>
  <c r="AO12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5" i="1"/>
  <c r="AM125" i="1"/>
  <c r="AN125" i="1"/>
  <c r="AO12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6" i="1"/>
  <c r="AM126" i="1"/>
  <c r="AN126" i="1"/>
  <c r="AO126" i="1"/>
  <c r="K193" i="1"/>
  <c r="L193" i="1"/>
  <c r="M193" i="1"/>
  <c r="N193" i="1" s="1"/>
  <c r="V193" i="1"/>
  <c r="S33" i="3" s="1"/>
  <c r="Y193" i="1"/>
  <c r="Z193" i="1"/>
  <c r="AB193" i="1"/>
  <c r="AC193" i="1"/>
  <c r="AD193" i="1"/>
  <c r="AE193" i="1"/>
  <c r="AF193" i="1"/>
  <c r="AH127" i="1"/>
  <c r="AM127" i="1"/>
  <c r="AN127" i="1"/>
  <c r="AO12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8" i="1"/>
  <c r="AM128" i="1"/>
  <c r="AN128" i="1"/>
  <c r="AO12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29" i="1"/>
  <c r="AM129" i="1"/>
  <c r="AN129" i="1"/>
  <c r="AO129" i="1"/>
  <c r="K195" i="1"/>
  <c r="L195" i="1"/>
  <c r="M195" i="1"/>
  <c r="N195" i="1" s="1"/>
  <c r="V195" i="1"/>
  <c r="Y195" i="1"/>
  <c r="Z195" i="1"/>
  <c r="AB195" i="1"/>
  <c r="AC195" i="1"/>
  <c r="AD195" i="1"/>
  <c r="AE195" i="1"/>
  <c r="R32" i="3" s="1"/>
  <c r="AF195" i="1"/>
  <c r="AH130" i="1"/>
  <c r="AM130" i="1"/>
  <c r="AN130" i="1"/>
  <c r="AO13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1" i="1"/>
  <c r="AM131" i="1"/>
  <c r="AN131" i="1"/>
  <c r="AO13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2" i="1"/>
  <c r="AM132" i="1"/>
  <c r="AN132" i="1"/>
  <c r="AO132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133" i="1"/>
  <c r="AM133" i="1"/>
  <c r="AN133" i="1"/>
  <c r="AO133" i="1"/>
  <c r="K199" i="1"/>
  <c r="L199" i="1"/>
  <c r="M199" i="1"/>
  <c r="N199" i="1" s="1"/>
  <c r="V199" i="1"/>
  <c r="Y199" i="1"/>
  <c r="Z199" i="1"/>
  <c r="AB199" i="1"/>
  <c r="AC199" i="1"/>
  <c r="AD199" i="1"/>
  <c r="AE199" i="1"/>
  <c r="R35" i="3" s="1"/>
  <c r="AF199" i="1"/>
  <c r="AH134" i="1"/>
  <c r="AM134" i="1"/>
  <c r="AN134" i="1"/>
  <c r="AO134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AN138" i="1"/>
  <c r="AO138" i="1"/>
  <c r="K103" i="1"/>
  <c r="L103" i="1"/>
  <c r="M103" i="1"/>
  <c r="P103" i="1" s="1"/>
  <c r="V103" i="1"/>
  <c r="S19" i="3" s="1"/>
  <c r="Y103" i="1"/>
  <c r="Z103" i="1"/>
  <c r="AB103" i="1"/>
  <c r="AC103" i="1"/>
  <c r="AD103" i="1"/>
  <c r="AE103" i="1"/>
  <c r="AF103" i="1"/>
  <c r="AH139" i="1"/>
  <c r="AM139" i="1"/>
  <c r="AN139" i="1"/>
  <c r="AO139" i="1"/>
  <c r="K104" i="1"/>
  <c r="L104" i="1"/>
  <c r="M104" i="1"/>
  <c r="V104" i="1"/>
  <c r="Y104" i="1"/>
  <c r="Z104" i="1"/>
  <c r="AB104" i="1"/>
  <c r="AC104" i="1"/>
  <c r="AD104" i="1"/>
  <c r="AE104" i="1"/>
  <c r="AF104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AO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AO14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44" i="1"/>
  <c r="AM144" i="1"/>
  <c r="AN144" i="1"/>
  <c r="AO14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AM158" i="1"/>
  <c r="AN158" i="1"/>
  <c r="AO158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3" i="1"/>
  <c r="AM163" i="1"/>
  <c r="AN163" i="1"/>
  <c r="AO163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4" i="1"/>
  <c r="AM164" i="1"/>
  <c r="AN164" i="1"/>
  <c r="AO164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5" i="1"/>
  <c r="AM165" i="1"/>
  <c r="AN165" i="1"/>
  <c r="AO165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6" i="1"/>
  <c r="AM166" i="1"/>
  <c r="AN166" i="1"/>
  <c r="AO16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7" i="1"/>
  <c r="AM167" i="1"/>
  <c r="AN167" i="1"/>
  <c r="AO167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8" i="1"/>
  <c r="AM168" i="1"/>
  <c r="AN168" i="1"/>
  <c r="AO168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70" i="1"/>
  <c r="AM170" i="1"/>
  <c r="AN170" i="1"/>
  <c r="AO170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AO173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R15" i="3" s="1"/>
  <c r="AF135" i="1"/>
  <c r="AH174" i="1"/>
  <c r="AM174" i="1"/>
  <c r="AN174" i="1"/>
  <c r="AO17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AO175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76" i="1"/>
  <c r="AM176" i="1"/>
  <c r="AN176" i="1"/>
  <c r="AO17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7" i="1"/>
  <c r="AM177" i="1"/>
  <c r="AN177" i="1"/>
  <c r="AO177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AO179" i="1"/>
  <c r="K141" i="1"/>
  <c r="L141" i="1"/>
  <c r="M141" i="1"/>
  <c r="N141" i="1"/>
  <c r="V141" i="1"/>
  <c r="Y141" i="1"/>
  <c r="Z141" i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R18" i="3" s="1"/>
  <c r="AF144" i="1"/>
  <c r="AH183" i="1"/>
  <c r="AM183" i="1"/>
  <c r="AN183" i="1"/>
  <c r="AO183" i="1"/>
  <c r="K145" i="1"/>
  <c r="L145" i="1"/>
  <c r="M145" i="1"/>
  <c r="N145" i="1" s="1"/>
  <c r="V145" i="1"/>
  <c r="S11" i="3" s="1"/>
  <c r="Y145" i="1"/>
  <c r="Z145" i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6" i="1"/>
  <c r="AM186" i="1"/>
  <c r="AN186" i="1"/>
  <c r="AO186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S7" i="3" s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R8" i="3" s="1"/>
  <c r="AF151" i="1"/>
  <c r="AH190" i="1"/>
  <c r="AM190" i="1"/>
  <c r="AN190" i="1"/>
  <c r="AO190" i="1"/>
  <c r="K152" i="1"/>
  <c r="L152" i="1"/>
  <c r="M152" i="1"/>
  <c r="P152" i="1" s="1"/>
  <c r="V152" i="1"/>
  <c r="Y152" i="1"/>
  <c r="Z152" i="1"/>
  <c r="AA152" i="1" s="1"/>
  <c r="AB152" i="1"/>
  <c r="AC152" i="1"/>
  <c r="AD152" i="1"/>
  <c r="T152" i="1" s="1"/>
  <c r="AE152" i="1"/>
  <c r="R24" i="3" s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4" i="1"/>
  <c r="AM194" i="1"/>
  <c r="AN194" i="1"/>
  <c r="AO194" i="1"/>
  <c r="K156" i="1"/>
  <c r="L156" i="1"/>
  <c r="M156" i="1"/>
  <c r="P156" i="1" s="1"/>
  <c r="V156" i="1"/>
  <c r="Y156" i="1"/>
  <c r="Z156" i="1"/>
  <c r="AA156" i="1" s="1"/>
  <c r="AB156" i="1"/>
  <c r="AC156" i="1"/>
  <c r="AD156" i="1"/>
  <c r="AE156" i="1"/>
  <c r="R20" i="3" s="1"/>
  <c r="AF156" i="1"/>
  <c r="AH195" i="1"/>
  <c r="AM195" i="1"/>
  <c r="AN195" i="1"/>
  <c r="AO195" i="1"/>
  <c r="K157" i="1"/>
  <c r="L157" i="1"/>
  <c r="M157" i="1"/>
  <c r="V157" i="1"/>
  <c r="Y157" i="1"/>
  <c r="Z157" i="1"/>
  <c r="AB157" i="1"/>
  <c r="AC157" i="1"/>
  <c r="AD157" i="1"/>
  <c r="AE157" i="1"/>
  <c r="AF157" i="1"/>
  <c r="AH196" i="1"/>
  <c r="AM196" i="1"/>
  <c r="AN196" i="1"/>
  <c r="AO19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7" i="1"/>
  <c r="AM197" i="1"/>
  <c r="AN197" i="1"/>
  <c r="AO197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8" i="1"/>
  <c r="AM198" i="1"/>
  <c r="AN198" i="1"/>
  <c r="AO198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99" i="1"/>
  <c r="AM199" i="1"/>
  <c r="AN199" i="1"/>
  <c r="AO199" i="1"/>
  <c r="K161" i="1"/>
  <c r="L161" i="1"/>
  <c r="M161" i="1"/>
  <c r="P161" i="1" s="1"/>
  <c r="V161" i="1"/>
  <c r="Y161" i="1"/>
  <c r="Z161" i="1"/>
  <c r="AB161" i="1"/>
  <c r="AC161" i="1"/>
  <c r="AD161" i="1"/>
  <c r="AE161" i="1"/>
  <c r="AF161" i="1"/>
  <c r="AH200" i="1"/>
  <c r="AM200" i="1"/>
  <c r="AN200" i="1"/>
  <c r="AO200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201" i="1"/>
  <c r="AM201" i="1"/>
  <c r="AN201" i="1"/>
  <c r="AO2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X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X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AA210" i="1" s="1"/>
  <c r="Z210" i="1"/>
  <c r="AB210" i="1"/>
  <c r="AC210" i="1"/>
  <c r="AD210" i="1"/>
  <c r="AE210" i="1"/>
  <c r="AF210" i="1"/>
  <c r="AH212" i="1"/>
  <c r="AM212" i="1"/>
  <c r="AN212" i="1"/>
  <c r="AO212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3" i="1"/>
  <c r="AM213" i="1"/>
  <c r="AN213" i="1"/>
  <c r="AO21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4" i="1"/>
  <c r="AM214" i="1"/>
  <c r="AN214" i="1"/>
  <c r="AO214" i="1"/>
  <c r="K213" i="1"/>
  <c r="L213" i="1"/>
  <c r="M213" i="1"/>
  <c r="N213" i="1" s="1"/>
  <c r="V213" i="1"/>
  <c r="S37" i="3" s="1"/>
  <c r="Y213" i="1"/>
  <c r="Z213" i="1"/>
  <c r="AB213" i="1"/>
  <c r="AC213" i="1"/>
  <c r="AD213" i="1"/>
  <c r="AE213" i="1"/>
  <c r="R37" i="3" s="1"/>
  <c r="AF213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AO220" i="1"/>
  <c r="M37" i="3"/>
  <c r="U37" i="3"/>
  <c r="T37" i="3" s="1"/>
  <c r="V37" i="3"/>
  <c r="X37" i="3"/>
  <c r="M13" i="3"/>
  <c r="R13" i="3"/>
  <c r="S13" i="3"/>
  <c r="U13" i="3"/>
  <c r="V13" i="3"/>
  <c r="X13" i="3"/>
  <c r="AC13" i="3"/>
  <c r="M27" i="3"/>
  <c r="R27" i="3"/>
  <c r="U27" i="3"/>
  <c r="AC27" i="3" s="1"/>
  <c r="V27" i="3"/>
  <c r="X27" i="3"/>
  <c r="M14" i="3"/>
  <c r="R14" i="3"/>
  <c r="U14" i="3"/>
  <c r="AC14" i="3" s="1"/>
  <c r="V14" i="3"/>
  <c r="X14" i="3"/>
  <c r="M28" i="3"/>
  <c r="R28" i="3"/>
  <c r="S28" i="3"/>
  <c r="U28" i="3"/>
  <c r="V28" i="3"/>
  <c r="X28" i="3"/>
  <c r="M22" i="3"/>
  <c r="R22" i="3"/>
  <c r="U22" i="3"/>
  <c r="AC22" i="3" s="1"/>
  <c r="V22" i="3"/>
  <c r="X22" i="3"/>
  <c r="M23" i="3"/>
  <c r="R23" i="3"/>
  <c r="S23" i="3"/>
  <c r="U23" i="3"/>
  <c r="AC23" i="3" s="1"/>
  <c r="V23" i="3"/>
  <c r="X23" i="3"/>
  <c r="M21" i="3"/>
  <c r="R21" i="3"/>
  <c r="S21" i="3"/>
  <c r="U21" i="3"/>
  <c r="T21" i="3" s="1"/>
  <c r="V21" i="3"/>
  <c r="X21" i="3"/>
  <c r="M29" i="3"/>
  <c r="S29" i="3"/>
  <c r="U29" i="3"/>
  <c r="AC29" i="3" s="1"/>
  <c r="V29" i="3"/>
  <c r="X29" i="3"/>
  <c r="M10" i="3"/>
  <c r="R10" i="3"/>
  <c r="S10" i="3"/>
  <c r="U10" i="3"/>
  <c r="AC10" i="3" s="1"/>
  <c r="V10" i="3"/>
  <c r="X10" i="3"/>
  <c r="M12" i="3"/>
  <c r="S12" i="3"/>
  <c r="U12" i="3"/>
  <c r="T12" i="3" s="1"/>
  <c r="V12" i="3"/>
  <c r="X12" i="3"/>
  <c r="M26" i="3"/>
  <c r="S26" i="3"/>
  <c r="U26" i="3"/>
  <c r="T26" i="3" s="1"/>
  <c r="V26" i="3"/>
  <c r="X26" i="3"/>
  <c r="M25" i="3"/>
  <c r="R25" i="3"/>
  <c r="S25" i="3"/>
  <c r="U25" i="3"/>
  <c r="AC25" i="3" s="1"/>
  <c r="V25" i="3"/>
  <c r="X25" i="3"/>
  <c r="M17" i="3"/>
  <c r="R17" i="3"/>
  <c r="S17" i="3"/>
  <c r="U17" i="3"/>
  <c r="AC17" i="3" s="1"/>
  <c r="V17" i="3"/>
  <c r="X17" i="3"/>
  <c r="M30" i="3"/>
  <c r="S30" i="3"/>
  <c r="U30" i="3"/>
  <c r="T30" i="3" s="1"/>
  <c r="V30" i="3"/>
  <c r="X30" i="3"/>
  <c r="M16" i="3"/>
  <c r="R16" i="3"/>
  <c r="S16" i="3"/>
  <c r="U16" i="3"/>
  <c r="T16" i="3" s="1"/>
  <c r="V16" i="3"/>
  <c r="X16" i="3"/>
  <c r="M19" i="3"/>
  <c r="R19" i="3"/>
  <c r="U19" i="3"/>
  <c r="AC19" i="3" s="1"/>
  <c r="V19" i="3"/>
  <c r="X19" i="3"/>
  <c r="M9" i="3"/>
  <c r="R9" i="3"/>
  <c r="U9" i="3"/>
  <c r="AC9" i="3" s="1"/>
  <c r="V9" i="3"/>
  <c r="X9" i="3"/>
  <c r="M15" i="3"/>
  <c r="S15" i="3"/>
  <c r="U15" i="3"/>
  <c r="T15" i="3" s="1"/>
  <c r="V15" i="3"/>
  <c r="X15" i="3"/>
  <c r="AD28" i="3"/>
  <c r="M33" i="3"/>
  <c r="R33" i="3"/>
  <c r="U33" i="3"/>
  <c r="AC33" i="3" s="1"/>
  <c r="V33" i="3"/>
  <c r="X33" i="3"/>
  <c r="M18" i="3"/>
  <c r="S18" i="3"/>
  <c r="U18" i="3"/>
  <c r="AC18" i="3" s="1"/>
  <c r="V18" i="3"/>
  <c r="X18" i="3"/>
  <c r="M32" i="3"/>
  <c r="S32" i="3"/>
  <c r="U32" i="3"/>
  <c r="T32" i="3" s="1"/>
  <c r="V32" i="3"/>
  <c r="X32" i="3"/>
  <c r="M31" i="3"/>
  <c r="R31" i="3"/>
  <c r="S31" i="3"/>
  <c r="U31" i="3"/>
  <c r="T31" i="3" s="1"/>
  <c r="V31" i="3"/>
  <c r="X31" i="3"/>
  <c r="M11" i="3"/>
  <c r="R11" i="3"/>
  <c r="U11" i="3"/>
  <c r="AD33" i="3" s="1"/>
  <c r="V11" i="3"/>
  <c r="X11" i="3"/>
  <c r="M35" i="3"/>
  <c r="S35" i="3"/>
  <c r="U35" i="3"/>
  <c r="AC35" i="3" s="1"/>
  <c r="V35" i="3"/>
  <c r="X35" i="3"/>
  <c r="M7" i="3"/>
  <c r="R7" i="3"/>
  <c r="U7" i="3"/>
  <c r="T7" i="3" s="1"/>
  <c r="V7" i="3"/>
  <c r="X7" i="3"/>
  <c r="M24" i="3"/>
  <c r="S24" i="3"/>
  <c r="U24" i="3"/>
  <c r="T24" i="3" s="1"/>
  <c r="V24" i="3"/>
  <c r="X24" i="3"/>
  <c r="M34" i="3"/>
  <c r="S34" i="3"/>
  <c r="U34" i="3"/>
  <c r="V34" i="3"/>
  <c r="X34" i="3"/>
  <c r="M8" i="3"/>
  <c r="S8" i="3"/>
  <c r="U8" i="3"/>
  <c r="AC8" i="3" s="1"/>
  <c r="V8" i="3"/>
  <c r="X8" i="3"/>
  <c r="M20" i="3"/>
  <c r="S20" i="3"/>
  <c r="U20" i="3"/>
  <c r="AE37" i="3" s="1"/>
  <c r="V20" i="3"/>
  <c r="X20" i="3"/>
  <c r="AD37" i="3"/>
  <c r="AG162" i="1"/>
  <c r="AG14" i="1"/>
  <c r="AG18" i="1"/>
  <c r="AG22" i="1"/>
  <c r="AG26" i="1"/>
  <c r="AG30" i="1"/>
  <c r="AG34" i="1"/>
  <c r="AG38" i="1"/>
  <c r="AG42" i="1"/>
  <c r="AG46" i="1"/>
  <c r="AG50" i="1"/>
  <c r="AG54" i="1"/>
  <c r="AG57" i="1"/>
  <c r="AG61" i="1"/>
  <c r="AG63" i="1"/>
  <c r="AG75" i="1"/>
  <c r="AG83" i="1"/>
  <c r="AG91" i="1"/>
  <c r="AG167" i="1"/>
  <c r="AG69" i="1"/>
  <c r="AG78" i="1"/>
  <c r="AG86" i="1"/>
  <c r="AG94" i="1"/>
  <c r="AG97" i="1"/>
  <c r="AG183" i="1"/>
  <c r="AG186" i="1"/>
  <c r="AG190" i="1"/>
  <c r="AG194" i="1"/>
  <c r="AG197" i="1"/>
  <c r="AG100" i="1"/>
  <c r="AG104" i="1"/>
  <c r="AG214" i="1"/>
  <c r="AG110" i="1"/>
  <c r="AG170" i="1"/>
  <c r="AG179" i="1"/>
  <c r="AG172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164" i="1"/>
  <c r="AG204" i="1"/>
  <c r="AG208" i="1"/>
  <c r="AG212" i="1"/>
  <c r="AG218" i="1"/>
  <c r="AG43" i="1"/>
  <c r="AG58" i="1"/>
  <c r="AG77" i="1"/>
  <c r="AG93" i="1"/>
  <c r="AG72" i="1"/>
  <c r="AG88" i="1"/>
  <c r="AG96" i="1"/>
  <c r="AG184" i="1"/>
  <c r="AG191" i="1"/>
  <c r="AG99" i="1"/>
  <c r="AG101" i="1"/>
  <c r="AG215" i="1"/>
  <c r="AG174" i="1"/>
  <c r="AG176" i="1"/>
  <c r="AG120" i="1"/>
  <c r="AG128" i="1"/>
  <c r="AG136" i="1"/>
  <c r="AG144" i="1"/>
  <c r="AG152" i="1"/>
  <c r="AG160" i="1"/>
  <c r="AG205" i="1"/>
  <c r="AG209" i="1"/>
  <c r="AG219" i="1"/>
  <c r="AG28" i="1"/>
  <c r="AG44" i="1"/>
  <c r="AG52" i="1"/>
  <c r="AG59" i="1"/>
  <c r="AG71" i="1"/>
  <c r="AG87" i="1"/>
  <c r="AG68" i="1"/>
  <c r="AG82" i="1"/>
  <c r="AG166" i="1"/>
  <c r="AG98" i="1"/>
  <c r="AG188" i="1"/>
  <c r="AG195" i="1"/>
  <c r="AG102" i="1"/>
  <c r="AG108" i="1"/>
  <c r="AG175" i="1"/>
  <c r="AG178" i="1"/>
  <c r="AG121" i="1"/>
  <c r="AG129" i="1"/>
  <c r="AG141" i="1"/>
  <c r="AG149" i="1"/>
  <c r="AG157" i="1"/>
  <c r="AG202" i="1"/>
  <c r="AG206" i="1"/>
  <c r="AG216" i="1"/>
  <c r="AG17" i="1"/>
  <c r="AG21" i="1"/>
  <c r="AG25" i="1"/>
  <c r="AG33" i="1"/>
  <c r="AG37" i="1"/>
  <c r="AG45" i="1"/>
  <c r="AG53" i="1"/>
  <c r="AG60" i="1"/>
  <c r="AG73" i="1"/>
  <c r="AG89" i="1"/>
  <c r="AG65" i="1"/>
  <c r="AG84" i="1"/>
  <c r="AG182" i="1"/>
  <c r="AG189" i="1"/>
  <c r="AG196" i="1"/>
  <c r="AG103" i="1"/>
  <c r="AG109" i="1"/>
  <c r="AG177" i="1"/>
  <c r="AG118" i="1"/>
  <c r="AG126" i="1"/>
  <c r="AG134" i="1"/>
  <c r="AG142" i="1"/>
  <c r="AG154" i="1"/>
  <c r="AG163" i="1"/>
  <c r="AG211" i="1"/>
  <c r="AG15" i="1"/>
  <c r="AG19" i="1"/>
  <c r="AG23" i="1"/>
  <c r="AG27" i="1"/>
  <c r="AG31" i="1"/>
  <c r="AG35" i="1"/>
  <c r="AG39" i="1"/>
  <c r="AG47" i="1"/>
  <c r="AG51" i="1"/>
  <c r="AG55" i="1"/>
  <c r="AG62" i="1"/>
  <c r="AG67" i="1"/>
  <c r="AG85" i="1"/>
  <c r="AG64" i="1"/>
  <c r="AG80" i="1"/>
  <c r="AG180" i="1"/>
  <c r="AG187" i="1"/>
  <c r="AG198" i="1"/>
  <c r="AG105" i="1"/>
  <c r="AG111" i="1"/>
  <c r="AG169" i="1"/>
  <c r="AG116" i="1"/>
  <c r="AG124" i="1"/>
  <c r="AG132" i="1"/>
  <c r="AG140" i="1"/>
  <c r="AG148" i="1"/>
  <c r="AG156" i="1"/>
  <c r="AG201" i="1"/>
  <c r="AG213" i="1"/>
  <c r="AG16" i="1"/>
  <c r="AG20" i="1"/>
  <c r="AG24" i="1"/>
  <c r="AG32" i="1"/>
  <c r="AG36" i="1"/>
  <c r="AG40" i="1"/>
  <c r="AG48" i="1"/>
  <c r="AG66" i="1"/>
  <c r="AG79" i="1"/>
  <c r="AG95" i="1"/>
  <c r="AG74" i="1"/>
  <c r="AG90" i="1"/>
  <c r="AG181" i="1"/>
  <c r="AG192" i="1"/>
  <c r="AG199" i="1"/>
  <c r="AG106" i="1"/>
  <c r="AG112" i="1"/>
  <c r="AG173" i="1"/>
  <c r="AG117" i="1"/>
  <c r="AG125" i="1"/>
  <c r="AG137" i="1"/>
  <c r="AG145" i="1"/>
  <c r="AG153" i="1"/>
  <c r="AG161" i="1"/>
  <c r="AG210" i="1"/>
  <c r="AG171" i="1"/>
  <c r="AG114" i="1"/>
  <c r="AG146" i="1"/>
  <c r="AG203" i="1"/>
  <c r="AG133" i="1"/>
  <c r="AG220" i="1"/>
  <c r="AG29" i="1"/>
  <c r="AG41" i="1"/>
  <c r="AG49" i="1"/>
  <c r="AG56" i="1"/>
  <c r="AG70" i="1"/>
  <c r="AG81" i="1"/>
  <c r="AG165" i="1"/>
  <c r="AG76" i="1"/>
  <c r="AG92" i="1"/>
  <c r="AG185" i="1"/>
  <c r="AG193" i="1"/>
  <c r="AG200" i="1"/>
  <c r="AG107" i="1"/>
  <c r="AG113" i="1"/>
  <c r="AG168" i="1"/>
  <c r="AG122" i="1"/>
  <c r="AG130" i="1"/>
  <c r="AG138" i="1"/>
  <c r="AG150" i="1"/>
  <c r="AG158" i="1"/>
  <c r="AG207" i="1"/>
  <c r="AG217" i="1"/>
  <c r="W31" i="3"/>
  <c r="W29" i="3"/>
  <c r="W11" i="3"/>
  <c r="W20" i="3"/>
  <c r="W17" i="3"/>
  <c r="W8" i="3"/>
  <c r="W30" i="3"/>
  <c r="W26" i="3"/>
  <c r="W24" i="3"/>
  <c r="W25" i="3"/>
  <c r="W34" i="3"/>
  <c r="W14" i="3"/>
  <c r="W9" i="3"/>
  <c r="W37" i="3"/>
  <c r="W13" i="3"/>
  <c r="W16" i="3"/>
  <c r="W27" i="3"/>
  <c r="W19" i="3"/>
  <c r="W21" i="3"/>
  <c r="W23" i="3"/>
  <c r="W18" i="3"/>
  <c r="W32" i="3"/>
  <c r="W28" i="3"/>
  <c r="W15" i="3"/>
  <c r="W22" i="3"/>
  <c r="W33" i="3"/>
  <c r="W7" i="3"/>
  <c r="W10" i="3"/>
  <c r="W35" i="3"/>
  <c r="W12" i="3"/>
  <c r="X214" i="1" l="1"/>
  <c r="AA130" i="1"/>
  <c r="AA126" i="1"/>
  <c r="AA118" i="1"/>
  <c r="AA214" i="1"/>
  <c r="T205" i="1"/>
  <c r="AA112" i="1"/>
  <c r="AA108" i="1"/>
  <c r="X215" i="1"/>
  <c r="AA207" i="1"/>
  <c r="AA113" i="1"/>
  <c r="AA109" i="1"/>
  <c r="AA64" i="1"/>
  <c r="AA56" i="1"/>
  <c r="AA34" i="1"/>
  <c r="X56" i="1"/>
  <c r="X125" i="1"/>
  <c r="X121" i="1"/>
  <c r="X117" i="1"/>
  <c r="AA195" i="1"/>
  <c r="X58" i="1"/>
  <c r="X203" i="1"/>
  <c r="X202" i="1"/>
  <c r="AA132" i="1"/>
  <c r="AA128" i="1"/>
  <c r="AA120" i="1"/>
  <c r="X119" i="1"/>
  <c r="AA105" i="1"/>
  <c r="AA100" i="1"/>
  <c r="AA194" i="1"/>
  <c r="AA190" i="1"/>
  <c r="AA186" i="1"/>
  <c r="AA183" i="1"/>
  <c r="AA179" i="1"/>
  <c r="AA169" i="1"/>
  <c r="AA167" i="1"/>
  <c r="AA50" i="1"/>
  <c r="X57" i="1"/>
  <c r="R34" i="3"/>
  <c r="AI162" i="1"/>
  <c r="U162" i="1"/>
  <c r="S162" i="1" s="1"/>
  <c r="W162" i="1"/>
  <c r="X162" i="1"/>
  <c r="AD27" i="3"/>
  <c r="AC37" i="3"/>
  <c r="AA220" i="1"/>
  <c r="AA218" i="1"/>
  <c r="W218" i="1" s="1"/>
  <c r="X216" i="1"/>
  <c r="AA216" i="1"/>
  <c r="X136" i="1"/>
  <c r="AA131" i="1"/>
  <c r="W131" i="1" s="1"/>
  <c r="X130" i="1"/>
  <c r="AA127" i="1"/>
  <c r="T119" i="1"/>
  <c r="AA111" i="1"/>
  <c r="W111" i="1" s="1"/>
  <c r="AA215" i="1"/>
  <c r="AA107" i="1"/>
  <c r="AA106" i="1"/>
  <c r="AA103" i="1"/>
  <c r="W103" i="1" s="1"/>
  <c r="AA197" i="1"/>
  <c r="AA193" i="1"/>
  <c r="AA189" i="1"/>
  <c r="AA185" i="1"/>
  <c r="W185" i="1" s="1"/>
  <c r="AA182" i="1"/>
  <c r="AA46" i="1"/>
  <c r="AA42" i="1"/>
  <c r="AA18" i="1"/>
  <c r="AA136" i="1"/>
  <c r="AA125" i="1"/>
  <c r="AA124" i="1"/>
  <c r="X122" i="1"/>
  <c r="AA90" i="1"/>
  <c r="AA86" i="1"/>
  <c r="AA82" i="1"/>
  <c r="AA78" i="1"/>
  <c r="W78" i="1" s="1"/>
  <c r="AA74" i="1"/>
  <c r="AA70" i="1"/>
  <c r="X60" i="1"/>
  <c r="AA54" i="1"/>
  <c r="W54" i="1" s="1"/>
  <c r="AA38" i="1"/>
  <c r="AA204" i="1"/>
  <c r="AA202" i="1"/>
  <c r="T201" i="1"/>
  <c r="U201" i="1" s="1"/>
  <c r="S201" i="1" s="1"/>
  <c r="AA163" i="1"/>
  <c r="AA158" i="1"/>
  <c r="AA154" i="1"/>
  <c r="AA150" i="1"/>
  <c r="W150" i="1" s="1"/>
  <c r="AA146" i="1"/>
  <c r="AA142" i="1"/>
  <c r="T121" i="1"/>
  <c r="AA116" i="1"/>
  <c r="W116" i="1" s="1"/>
  <c r="AA114" i="1"/>
  <c r="AA101" i="1"/>
  <c r="AA196" i="1"/>
  <c r="AA192" i="1"/>
  <c r="AA188" i="1"/>
  <c r="AA98" i="1"/>
  <c r="AA181" i="1"/>
  <c r="AA68" i="1"/>
  <c r="W68" i="1" s="1"/>
  <c r="AA67" i="1"/>
  <c r="AA48" i="1"/>
  <c r="AA44" i="1"/>
  <c r="AA40" i="1"/>
  <c r="AA102" i="1"/>
  <c r="AA175" i="1"/>
  <c r="AA97" i="1"/>
  <c r="W97" i="1" s="1"/>
  <c r="AA51" i="1"/>
  <c r="AA49" i="1"/>
  <c r="AA35" i="1"/>
  <c r="AA33" i="1"/>
  <c r="W33" i="1" s="1"/>
  <c r="AA29" i="1"/>
  <c r="AA25" i="1"/>
  <c r="AA21" i="1"/>
  <c r="AA17" i="1"/>
  <c r="W17" i="1" s="1"/>
  <c r="AA208" i="1"/>
  <c r="AA206" i="1"/>
  <c r="AA161" i="1"/>
  <c r="AA157" i="1"/>
  <c r="W157" i="1" s="1"/>
  <c r="AA153" i="1"/>
  <c r="AA149" i="1"/>
  <c r="AA145" i="1"/>
  <c r="AA141" i="1"/>
  <c r="W141" i="1" s="1"/>
  <c r="AA140" i="1"/>
  <c r="AA137" i="1"/>
  <c r="T137" i="1"/>
  <c r="X135" i="1"/>
  <c r="AA134" i="1"/>
  <c r="AA133" i="1"/>
  <c r="AA129" i="1"/>
  <c r="AA123" i="1"/>
  <c r="W123" i="1" s="1"/>
  <c r="AA122" i="1"/>
  <c r="T122" i="1"/>
  <c r="T215" i="1"/>
  <c r="X106" i="1"/>
  <c r="AA104" i="1"/>
  <c r="AA99" i="1"/>
  <c r="AA191" i="1"/>
  <c r="AA187" i="1"/>
  <c r="W187" i="1" s="1"/>
  <c r="AA184" i="1"/>
  <c r="AA180" i="1"/>
  <c r="AA178" i="1"/>
  <c r="AA177" i="1"/>
  <c r="W177" i="1" s="1"/>
  <c r="AA173" i="1"/>
  <c r="AA172" i="1"/>
  <c r="AA96" i="1"/>
  <c r="AA92" i="1"/>
  <c r="W92" i="1" s="1"/>
  <c r="AA88" i="1"/>
  <c r="AA84" i="1"/>
  <c r="AA80" i="1"/>
  <c r="AA76" i="1"/>
  <c r="W76" i="1" s="1"/>
  <c r="AA72" i="1"/>
  <c r="AA60" i="1"/>
  <c r="AA57" i="1"/>
  <c r="AA55" i="1"/>
  <c r="W55" i="1" s="1"/>
  <c r="AA53" i="1"/>
  <c r="AA52" i="1"/>
  <c r="AA39" i="1"/>
  <c r="AA37" i="1"/>
  <c r="W37" i="1" s="1"/>
  <c r="AA36" i="1"/>
  <c r="AA30" i="1"/>
  <c r="AA26" i="1"/>
  <c r="AA22" i="1"/>
  <c r="AA61" i="1"/>
  <c r="AA43" i="1"/>
  <c r="AA41" i="1"/>
  <c r="AA31" i="1"/>
  <c r="W31" i="1" s="1"/>
  <c r="AA27" i="1"/>
  <c r="AA23" i="1"/>
  <c r="AA19" i="1"/>
  <c r="AA15" i="1"/>
  <c r="W15" i="1" s="1"/>
  <c r="AA219" i="1"/>
  <c r="AA217" i="1"/>
  <c r="AA213" i="1"/>
  <c r="AA212" i="1"/>
  <c r="W212" i="1" s="1"/>
  <c r="X206" i="1"/>
  <c r="AA164" i="1"/>
  <c r="AA159" i="1"/>
  <c r="AA155" i="1"/>
  <c r="W155" i="1" s="1"/>
  <c r="AA151" i="1"/>
  <c r="AA147" i="1"/>
  <c r="AA143" i="1"/>
  <c r="X140" i="1"/>
  <c r="X138" i="1"/>
  <c r="AA135" i="1"/>
  <c r="T130" i="1"/>
  <c r="T125" i="1"/>
  <c r="AA121" i="1"/>
  <c r="X120" i="1"/>
  <c r="AA117" i="1"/>
  <c r="AA110" i="1"/>
  <c r="AA200" i="1"/>
  <c r="AA199" i="1"/>
  <c r="X180" i="1"/>
  <c r="AA170" i="1"/>
  <c r="W170" i="1" s="1"/>
  <c r="AA166" i="1"/>
  <c r="AA94" i="1"/>
  <c r="AA47" i="1"/>
  <c r="AA45" i="1"/>
  <c r="AA32" i="1"/>
  <c r="AA28" i="1"/>
  <c r="AA24" i="1"/>
  <c r="AA20" i="1"/>
  <c r="AA16" i="1"/>
  <c r="X209" i="1"/>
  <c r="AA205" i="1"/>
  <c r="AA201" i="1"/>
  <c r="W201" i="1" s="1"/>
  <c r="X139" i="1"/>
  <c r="AA138" i="1"/>
  <c r="T138" i="1"/>
  <c r="X132" i="1"/>
  <c r="T132" i="1"/>
  <c r="X126" i="1"/>
  <c r="X113" i="1"/>
  <c r="T113" i="1"/>
  <c r="U113" i="1" s="1"/>
  <c r="S113" i="1" s="1"/>
  <c r="X108" i="1"/>
  <c r="T219" i="1"/>
  <c r="X217" i="1"/>
  <c r="X131" i="1"/>
  <c r="T115" i="1"/>
  <c r="X115" i="1"/>
  <c r="X112" i="1"/>
  <c r="T213" i="1"/>
  <c r="U213" i="1" s="1"/>
  <c r="S213" i="1" s="1"/>
  <c r="X213" i="1"/>
  <c r="X211" i="1"/>
  <c r="T203" i="1"/>
  <c r="X220" i="1"/>
  <c r="X218" i="1"/>
  <c r="X212" i="1"/>
  <c r="X210" i="1"/>
  <c r="AA209" i="1"/>
  <c r="W209" i="1" s="1"/>
  <c r="AA203" i="1"/>
  <c r="AA139" i="1"/>
  <c r="X123" i="1"/>
  <c r="T123" i="1"/>
  <c r="U123" i="1" s="1"/>
  <c r="S123" i="1" s="1"/>
  <c r="X124" i="1"/>
  <c r="X110" i="1"/>
  <c r="X107" i="1"/>
  <c r="T107" i="1"/>
  <c r="U107" i="1" s="1"/>
  <c r="S107" i="1" s="1"/>
  <c r="X133" i="1"/>
  <c r="X128" i="1"/>
  <c r="T128" i="1"/>
  <c r="X129" i="1"/>
  <c r="X127" i="1"/>
  <c r="T127" i="1"/>
  <c r="X109" i="1"/>
  <c r="T109" i="1"/>
  <c r="U109" i="1" s="1"/>
  <c r="S109" i="1" s="1"/>
  <c r="T133" i="1"/>
  <c r="T120" i="1"/>
  <c r="X114" i="1"/>
  <c r="T110" i="1"/>
  <c r="U110" i="1" s="1"/>
  <c r="S110" i="1" s="1"/>
  <c r="AA171" i="1"/>
  <c r="AA165" i="1"/>
  <c r="AA93" i="1"/>
  <c r="AA89" i="1"/>
  <c r="W89" i="1" s="1"/>
  <c r="AA85" i="1"/>
  <c r="AA81" i="1"/>
  <c r="AA77" i="1"/>
  <c r="AA73" i="1"/>
  <c r="W73" i="1" s="1"/>
  <c r="AA69" i="1"/>
  <c r="AA63" i="1"/>
  <c r="X62" i="1"/>
  <c r="AA59" i="1"/>
  <c r="AA58" i="1"/>
  <c r="AA14" i="1"/>
  <c r="X134" i="1"/>
  <c r="AA119" i="1"/>
  <c r="X118" i="1"/>
  <c r="X116" i="1"/>
  <c r="AA115" i="1"/>
  <c r="T114" i="1"/>
  <c r="X111" i="1"/>
  <c r="X105" i="1"/>
  <c r="AA176" i="1"/>
  <c r="AA174" i="1"/>
  <c r="AA168" i="1"/>
  <c r="AA95" i="1"/>
  <c r="AA91" i="1"/>
  <c r="AA87" i="1"/>
  <c r="AA83" i="1"/>
  <c r="AA79" i="1"/>
  <c r="AA75" i="1"/>
  <c r="AA71" i="1"/>
  <c r="AA66" i="1"/>
  <c r="AA62" i="1"/>
  <c r="AI220" i="1"/>
  <c r="U219" i="1"/>
  <c r="S219" i="1" s="1"/>
  <c r="AI219" i="1"/>
  <c r="AI218" i="1"/>
  <c r="U217" i="1"/>
  <c r="S217" i="1" s="1"/>
  <c r="AI217" i="1"/>
  <c r="AI216" i="1"/>
  <c r="AI215" i="1"/>
  <c r="AI214" i="1"/>
  <c r="U211" i="1"/>
  <c r="S211" i="1" s="1"/>
  <c r="AI213" i="1"/>
  <c r="AI212" i="1"/>
  <c r="U209" i="1"/>
  <c r="S209" i="1" s="1"/>
  <c r="AI211" i="1"/>
  <c r="AI210" i="1"/>
  <c r="U207" i="1"/>
  <c r="S207" i="1" s="1"/>
  <c r="AI209" i="1"/>
  <c r="U206" i="1"/>
  <c r="S206" i="1" s="1"/>
  <c r="AI208" i="1"/>
  <c r="U205" i="1"/>
  <c r="S205" i="1" s="1"/>
  <c r="AI207" i="1"/>
  <c r="U204" i="1"/>
  <c r="S204" i="1" s="1"/>
  <c r="AI206" i="1"/>
  <c r="U203" i="1"/>
  <c r="S203" i="1" s="1"/>
  <c r="AI205" i="1"/>
  <c r="U202" i="1"/>
  <c r="S202" i="1" s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U152" i="1"/>
  <c r="S152" i="1" s="1"/>
  <c r="AI191" i="1"/>
  <c r="U151" i="1"/>
  <c r="S151" i="1" s="1"/>
  <c r="AI190" i="1"/>
  <c r="U150" i="1"/>
  <c r="S150" i="1" s="1"/>
  <c r="AI189" i="1"/>
  <c r="U149" i="1"/>
  <c r="S149" i="1" s="1"/>
  <c r="AI188" i="1"/>
  <c r="U148" i="1"/>
  <c r="S148" i="1" s="1"/>
  <c r="AI187" i="1"/>
  <c r="U147" i="1"/>
  <c r="S147" i="1" s="1"/>
  <c r="AI186" i="1"/>
  <c r="U146" i="1"/>
  <c r="S146" i="1" s="1"/>
  <c r="AI185" i="1"/>
  <c r="U145" i="1"/>
  <c r="S145" i="1" s="1"/>
  <c r="AI184" i="1"/>
  <c r="U144" i="1"/>
  <c r="S144" i="1" s="1"/>
  <c r="AI183" i="1"/>
  <c r="U143" i="1"/>
  <c r="S143" i="1" s="1"/>
  <c r="AI182" i="1"/>
  <c r="U142" i="1"/>
  <c r="S142" i="1"/>
  <c r="AI181" i="1"/>
  <c r="U141" i="1"/>
  <c r="S141" i="1" s="1"/>
  <c r="AI180" i="1"/>
  <c r="U140" i="1"/>
  <c r="S140" i="1" s="1"/>
  <c r="AI179" i="1"/>
  <c r="U139" i="1"/>
  <c r="S139" i="1" s="1"/>
  <c r="AI178" i="1"/>
  <c r="U138" i="1"/>
  <c r="S138" i="1" s="1"/>
  <c r="AI177" i="1"/>
  <c r="U137" i="1"/>
  <c r="S137" i="1" s="1"/>
  <c r="AI176" i="1"/>
  <c r="U136" i="1"/>
  <c r="S136" i="1" s="1"/>
  <c r="AI175" i="1"/>
  <c r="U135" i="1"/>
  <c r="S135" i="1" s="1"/>
  <c r="AI174" i="1"/>
  <c r="U134" i="1"/>
  <c r="S134" i="1" s="1"/>
  <c r="AI173" i="1"/>
  <c r="U133" i="1"/>
  <c r="S133" i="1" s="1"/>
  <c r="AI172" i="1"/>
  <c r="U132" i="1"/>
  <c r="S132" i="1" s="1"/>
  <c r="AI171" i="1"/>
  <c r="U131" i="1"/>
  <c r="S131" i="1" s="1"/>
  <c r="AI170" i="1"/>
  <c r="U130" i="1"/>
  <c r="S130" i="1" s="1"/>
  <c r="AI169" i="1"/>
  <c r="U129" i="1"/>
  <c r="S129" i="1" s="1"/>
  <c r="AI168" i="1"/>
  <c r="U128" i="1"/>
  <c r="S128" i="1"/>
  <c r="AI167" i="1"/>
  <c r="U127" i="1"/>
  <c r="S127" i="1" s="1"/>
  <c r="AI166" i="1"/>
  <c r="U126" i="1"/>
  <c r="S126" i="1" s="1"/>
  <c r="AI165" i="1"/>
  <c r="U125" i="1"/>
  <c r="S125" i="1" s="1"/>
  <c r="AI164" i="1"/>
  <c r="U124" i="1"/>
  <c r="S124" i="1" s="1"/>
  <c r="AI163" i="1"/>
  <c r="AI161" i="1"/>
  <c r="U122" i="1"/>
  <c r="S122" i="1" s="1"/>
  <c r="AI160" i="1"/>
  <c r="U121" i="1"/>
  <c r="S121" i="1" s="1"/>
  <c r="AI159" i="1"/>
  <c r="U120" i="1"/>
  <c r="S120" i="1" s="1"/>
  <c r="AI158" i="1"/>
  <c r="U119" i="1"/>
  <c r="S119" i="1" s="1"/>
  <c r="AI157" i="1"/>
  <c r="U118" i="1"/>
  <c r="S118" i="1" s="1"/>
  <c r="AI156" i="1"/>
  <c r="AI155" i="1"/>
  <c r="AI154" i="1"/>
  <c r="U116" i="1"/>
  <c r="S116" i="1" s="1"/>
  <c r="AI153" i="1"/>
  <c r="U115" i="1"/>
  <c r="S115" i="1" s="1"/>
  <c r="AI152" i="1"/>
  <c r="U114" i="1"/>
  <c r="S114" i="1" s="1"/>
  <c r="AI111" i="1"/>
  <c r="AI109" i="1"/>
  <c r="AI104" i="1"/>
  <c r="AI100" i="1"/>
  <c r="AI105" i="1"/>
  <c r="AI101" i="1"/>
  <c r="W179" i="1"/>
  <c r="AI112" i="1"/>
  <c r="AI110" i="1"/>
  <c r="W175" i="1"/>
  <c r="AI108" i="1"/>
  <c r="AI106" i="1"/>
  <c r="AI102" i="1"/>
  <c r="AI151" i="1"/>
  <c r="W113" i="1"/>
  <c r="U112" i="1"/>
  <c r="S112" i="1" s="1"/>
  <c r="AI150" i="1"/>
  <c r="U111" i="1"/>
  <c r="S111" i="1" s="1"/>
  <c r="AI149" i="1"/>
  <c r="AI148" i="1"/>
  <c r="AI147" i="1"/>
  <c r="U108" i="1"/>
  <c r="S108" i="1" s="1"/>
  <c r="AI146" i="1"/>
  <c r="U215" i="1"/>
  <c r="S215" i="1" s="1"/>
  <c r="AI145" i="1"/>
  <c r="W215" i="1"/>
  <c r="U214" i="1"/>
  <c r="S214" i="1" s="1"/>
  <c r="AI144" i="1"/>
  <c r="AI143" i="1"/>
  <c r="W107" i="1"/>
  <c r="U106" i="1"/>
  <c r="S106" i="1" s="1"/>
  <c r="AI142" i="1"/>
  <c r="U105" i="1"/>
  <c r="S105" i="1" s="1"/>
  <c r="AI141" i="1"/>
  <c r="W105" i="1"/>
  <c r="AI140" i="1"/>
  <c r="AI139" i="1"/>
  <c r="AI138" i="1"/>
  <c r="AI137" i="1"/>
  <c r="AI136" i="1"/>
  <c r="AI135" i="1"/>
  <c r="AI134" i="1"/>
  <c r="AI133" i="1"/>
  <c r="AI132" i="1"/>
  <c r="AI131" i="1"/>
  <c r="W195" i="1"/>
  <c r="AI130" i="1"/>
  <c r="W99" i="1"/>
  <c r="AI129" i="1"/>
  <c r="AI128" i="1"/>
  <c r="AI127" i="1"/>
  <c r="AI126" i="1"/>
  <c r="AI125" i="1"/>
  <c r="AI124" i="1"/>
  <c r="AI123" i="1"/>
  <c r="AI122" i="1"/>
  <c r="AI121" i="1"/>
  <c r="U186" i="1"/>
  <c r="S186" i="1" s="1"/>
  <c r="AI120" i="1"/>
  <c r="U185" i="1"/>
  <c r="S185" i="1" s="1"/>
  <c r="AI119" i="1"/>
  <c r="U98" i="1"/>
  <c r="S98" i="1" s="1"/>
  <c r="AI118" i="1"/>
  <c r="U184" i="1"/>
  <c r="S184" i="1" s="1"/>
  <c r="AI117" i="1"/>
  <c r="U183" i="1"/>
  <c r="S183" i="1" s="1"/>
  <c r="AI116" i="1"/>
  <c r="U182" i="1"/>
  <c r="S182" i="1" s="1"/>
  <c r="AI115" i="1"/>
  <c r="U181" i="1"/>
  <c r="S181" i="1" s="1"/>
  <c r="AI114" i="1"/>
  <c r="U180" i="1"/>
  <c r="S180" i="1" s="1"/>
  <c r="AI113" i="1"/>
  <c r="AI107" i="1"/>
  <c r="AI103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U69" i="1"/>
  <c r="S69" i="1" s="1"/>
  <c r="AI69" i="1"/>
  <c r="U65" i="1"/>
  <c r="S65" i="1" s="1"/>
  <c r="AI65" i="1"/>
  <c r="AI68" i="1"/>
  <c r="U68" i="1"/>
  <c r="S68" i="1" s="1"/>
  <c r="AI64" i="1"/>
  <c r="W64" i="1"/>
  <c r="U64" i="1"/>
  <c r="S64" i="1" s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U71" i="1"/>
  <c r="S71" i="1" s="1"/>
  <c r="AI71" i="1"/>
  <c r="U67" i="1"/>
  <c r="S67" i="1" s="1"/>
  <c r="AI67" i="1"/>
  <c r="U63" i="1"/>
  <c r="S63" i="1" s="1"/>
  <c r="AI63" i="1"/>
  <c r="U70" i="1"/>
  <c r="S70" i="1" s="1"/>
  <c r="AI70" i="1"/>
  <c r="U66" i="1"/>
  <c r="S66" i="1" s="1"/>
  <c r="AI66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W217" i="1"/>
  <c r="W211" i="1"/>
  <c r="W208" i="1"/>
  <c r="W220" i="1"/>
  <c r="W216" i="1"/>
  <c r="W210" i="1"/>
  <c r="W207" i="1"/>
  <c r="W219" i="1"/>
  <c r="W213" i="1"/>
  <c r="W128" i="1"/>
  <c r="W126" i="1"/>
  <c r="W108" i="1"/>
  <c r="W205" i="1"/>
  <c r="W203" i="1"/>
  <c r="W138" i="1"/>
  <c r="W136" i="1"/>
  <c r="W134" i="1"/>
  <c r="W129" i="1"/>
  <c r="W124" i="1"/>
  <c r="W121" i="1"/>
  <c r="W214" i="1"/>
  <c r="T218" i="1"/>
  <c r="U218" i="1" s="1"/>
  <c r="S218" i="1" s="1"/>
  <c r="T212" i="1"/>
  <c r="U212" i="1" s="1"/>
  <c r="S212" i="1" s="1"/>
  <c r="T210" i="1"/>
  <c r="U210" i="1" s="1"/>
  <c r="S210" i="1" s="1"/>
  <c r="T208" i="1"/>
  <c r="U208" i="1" s="1"/>
  <c r="S208" i="1" s="1"/>
  <c r="W206" i="1"/>
  <c r="W204" i="1"/>
  <c r="W202" i="1"/>
  <c r="W164" i="1"/>
  <c r="W163" i="1"/>
  <c r="W161" i="1"/>
  <c r="W160" i="1"/>
  <c r="W159" i="1"/>
  <c r="W158" i="1"/>
  <c r="W156" i="1"/>
  <c r="W154" i="1"/>
  <c r="W153" i="1"/>
  <c r="W152" i="1"/>
  <c r="W151" i="1"/>
  <c r="W149" i="1"/>
  <c r="W148" i="1"/>
  <c r="W147" i="1"/>
  <c r="W146" i="1"/>
  <c r="W145" i="1"/>
  <c r="W144" i="1"/>
  <c r="W143" i="1"/>
  <c r="W142" i="1"/>
  <c r="W140" i="1"/>
  <c r="W132" i="1"/>
  <c r="W127" i="1"/>
  <c r="W122" i="1"/>
  <c r="W119" i="1"/>
  <c r="W112" i="1"/>
  <c r="W109" i="1"/>
  <c r="W106" i="1"/>
  <c r="T220" i="1"/>
  <c r="U220" i="1" s="1"/>
  <c r="S220" i="1" s="1"/>
  <c r="T216" i="1"/>
  <c r="U216" i="1" s="1"/>
  <c r="S216" i="1" s="1"/>
  <c r="T164" i="1"/>
  <c r="U164" i="1" s="1"/>
  <c r="S164" i="1" s="1"/>
  <c r="X164" i="1"/>
  <c r="T163" i="1"/>
  <c r="U163" i="1" s="1"/>
  <c r="S163" i="1" s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W139" i="1"/>
  <c r="W137" i="1"/>
  <c r="W135" i="1"/>
  <c r="W133" i="1"/>
  <c r="W130" i="1"/>
  <c r="W125" i="1"/>
  <c r="W120" i="1"/>
  <c r="W118" i="1"/>
  <c r="W110" i="1"/>
  <c r="W200" i="1"/>
  <c r="W196" i="1"/>
  <c r="W117" i="1"/>
  <c r="T117" i="1"/>
  <c r="U117" i="1" s="1"/>
  <c r="S117" i="1" s="1"/>
  <c r="W115" i="1"/>
  <c r="W102" i="1"/>
  <c r="W199" i="1"/>
  <c r="W101" i="1"/>
  <c r="W198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W114" i="1"/>
  <c r="W104" i="1"/>
  <c r="W100" i="1"/>
  <c r="W197" i="1"/>
  <c r="T104" i="1"/>
  <c r="U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99" i="1"/>
  <c r="U99" i="1" s="1"/>
  <c r="S99" i="1" s="1"/>
  <c r="X99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W171" i="1"/>
  <c r="W178" i="1"/>
  <c r="W172" i="1"/>
  <c r="W176" i="1"/>
  <c r="W174" i="1"/>
  <c r="W168" i="1"/>
  <c r="W194" i="1"/>
  <c r="W193" i="1"/>
  <c r="W192" i="1"/>
  <c r="W191" i="1"/>
  <c r="W190" i="1"/>
  <c r="W189" i="1"/>
  <c r="W188" i="1"/>
  <c r="W186" i="1"/>
  <c r="W98" i="1"/>
  <c r="W184" i="1"/>
  <c r="W183" i="1"/>
  <c r="W182" i="1"/>
  <c r="W181" i="1"/>
  <c r="W180" i="1"/>
  <c r="X186" i="1"/>
  <c r="X185" i="1"/>
  <c r="X98" i="1"/>
  <c r="X184" i="1"/>
  <c r="X183" i="1"/>
  <c r="X182" i="1"/>
  <c r="X181" i="1"/>
  <c r="W167" i="1"/>
  <c r="W165" i="1"/>
  <c r="W93" i="1"/>
  <c r="W85" i="1"/>
  <c r="W81" i="1"/>
  <c r="W77" i="1"/>
  <c r="W69" i="1"/>
  <c r="W63" i="1"/>
  <c r="T179" i="1"/>
  <c r="U179" i="1" s="1"/>
  <c r="S179" i="1" s="1"/>
  <c r="X179" i="1"/>
  <c r="T177" i="1"/>
  <c r="U177" i="1" s="1"/>
  <c r="S177" i="1" s="1"/>
  <c r="X177" i="1"/>
  <c r="W166" i="1"/>
  <c r="W94" i="1"/>
  <c r="W90" i="1"/>
  <c r="W86" i="1"/>
  <c r="W82" i="1"/>
  <c r="W74" i="1"/>
  <c r="W70" i="1"/>
  <c r="W65" i="1"/>
  <c r="W95" i="1"/>
  <c r="W91" i="1"/>
  <c r="W87" i="1"/>
  <c r="W83" i="1"/>
  <c r="W79" i="1"/>
  <c r="W75" i="1"/>
  <c r="W71" i="1"/>
  <c r="W66" i="1"/>
  <c r="T178" i="1"/>
  <c r="U178" i="1" s="1"/>
  <c r="S178" i="1" s="1"/>
  <c r="X178" i="1"/>
  <c r="T176" i="1"/>
  <c r="U176" i="1" s="1"/>
  <c r="S176" i="1" s="1"/>
  <c r="X176" i="1"/>
  <c r="W173" i="1"/>
  <c r="W169" i="1"/>
  <c r="W96" i="1"/>
  <c r="W88" i="1"/>
  <c r="W84" i="1"/>
  <c r="W80" i="1"/>
  <c r="W72" i="1"/>
  <c r="W67" i="1"/>
  <c r="W62" i="1"/>
  <c r="W58" i="1"/>
  <c r="W53" i="1"/>
  <c r="W49" i="1"/>
  <c r="W45" i="1"/>
  <c r="W41" i="1"/>
  <c r="T97" i="1"/>
  <c r="U97" i="1" s="1"/>
  <c r="S97" i="1" s="1"/>
  <c r="X97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X61" i="1"/>
  <c r="W59" i="1"/>
  <c r="W52" i="1"/>
  <c r="W48" i="1"/>
  <c r="W44" i="1"/>
  <c r="W40" i="1"/>
  <c r="W36" i="1"/>
  <c r="W60" i="1"/>
  <c r="W56" i="1"/>
  <c r="W51" i="1"/>
  <c r="W47" i="1"/>
  <c r="W43" i="1"/>
  <c r="W39" i="1"/>
  <c r="T175" i="1"/>
  <c r="U175" i="1" s="1"/>
  <c r="S175" i="1" s="1"/>
  <c r="X175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61" i="1"/>
  <c r="X59" i="1"/>
  <c r="W57" i="1"/>
  <c r="W50" i="1"/>
  <c r="W46" i="1"/>
  <c r="W42" i="1"/>
  <c r="W38" i="1"/>
  <c r="W32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6" i="1"/>
  <c r="W14" i="1"/>
  <c r="X71" i="1"/>
  <c r="X70" i="1"/>
  <c r="X69" i="1"/>
  <c r="X68" i="1"/>
  <c r="X67" i="1"/>
  <c r="X66" i="1"/>
  <c r="X65" i="1"/>
  <c r="X64" i="1"/>
  <c r="X63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13" i="3"/>
  <c r="AD35" i="3"/>
  <c r="AC7" i="3"/>
  <c r="AC11" i="3"/>
  <c r="AD32" i="3"/>
  <c r="AD31" i="3"/>
  <c r="AE30" i="3"/>
  <c r="T18" i="3"/>
  <c r="T9" i="3"/>
  <c r="AD25" i="3"/>
  <c r="AD24" i="3"/>
  <c r="AE23" i="3"/>
  <c r="T17" i="3"/>
  <c r="AD21" i="3"/>
  <c r="AD20" i="3"/>
  <c r="AE19" i="3"/>
  <c r="T10" i="3"/>
  <c r="AD17" i="3"/>
  <c r="AD16" i="3"/>
  <c r="AE15" i="3"/>
  <c r="T23" i="3"/>
  <c r="AC28" i="3"/>
  <c r="AD12" i="3"/>
  <c r="AE11" i="3"/>
  <c r="AC24" i="3"/>
  <c r="AE35" i="3"/>
  <c r="AD9" i="3"/>
  <c r="AD8" i="3"/>
  <c r="AC20" i="3"/>
  <c r="T20" i="3"/>
  <c r="AC34" i="3"/>
  <c r="AC31" i="3"/>
  <c r="AE31" i="3"/>
  <c r="AC15" i="3"/>
  <c r="AE27" i="3"/>
  <c r="AC16" i="3"/>
  <c r="AE24" i="3"/>
  <c r="AC26" i="3"/>
  <c r="AE20" i="3"/>
  <c r="AE16" i="3"/>
  <c r="AC32" i="3"/>
  <c r="AC30" i="3"/>
  <c r="AC12" i="3"/>
  <c r="AC21" i="3"/>
  <c r="AE12" i="3"/>
  <c r="AD11" i="3"/>
  <c r="T14" i="3"/>
  <c r="Y32" i="3"/>
  <c r="Y30" i="3"/>
  <c r="Y12" i="3"/>
  <c r="Y37" i="3"/>
  <c r="Y8" i="3"/>
  <c r="Y35" i="3"/>
  <c r="Y18" i="3"/>
  <c r="Y9" i="3"/>
  <c r="Y17" i="3"/>
  <c r="Y10" i="3"/>
  <c r="Y23" i="3"/>
  <c r="Y14" i="3"/>
  <c r="Y20" i="3"/>
  <c r="Y7" i="3"/>
  <c r="Y21" i="3"/>
  <c r="Y34" i="3"/>
  <c r="Y11" i="3"/>
  <c r="Y33" i="3"/>
  <c r="Y19" i="3"/>
  <c r="Y25" i="3"/>
  <c r="Y29" i="3"/>
  <c r="Y22" i="3"/>
  <c r="Y27" i="3"/>
  <c r="Y24" i="3"/>
  <c r="Y31" i="3"/>
  <c r="Y15" i="3"/>
  <c r="Y16" i="3"/>
  <c r="Y26" i="3"/>
  <c r="Y28" i="3"/>
  <c r="Y13" i="3"/>
  <c r="T8" i="3"/>
  <c r="AE34" i="3"/>
  <c r="T35" i="3"/>
  <c r="AD34" i="3"/>
  <c r="AE33" i="3"/>
  <c r="T11" i="3"/>
  <c r="AD30" i="3"/>
  <c r="AE29" i="3"/>
  <c r="T33" i="3"/>
  <c r="AE26" i="3"/>
  <c r="T19" i="3"/>
  <c r="AD23" i="3"/>
  <c r="AE22" i="3"/>
  <c r="T25" i="3"/>
  <c r="AD19" i="3"/>
  <c r="AE18" i="3"/>
  <c r="T29" i="3"/>
  <c r="AD15" i="3"/>
  <c r="AE14" i="3"/>
  <c r="T22" i="3"/>
  <c r="AE10" i="3"/>
  <c r="T27" i="3"/>
  <c r="T34" i="3"/>
  <c r="AE32" i="3"/>
  <c r="AD29" i="3"/>
  <c r="AE28" i="3"/>
  <c r="AD26" i="3"/>
  <c r="AE25" i="3"/>
  <c r="AD22" i="3"/>
  <c r="AE21" i="3"/>
  <c r="AD18" i="3"/>
  <c r="AE17" i="3"/>
  <c r="AD14" i="3"/>
  <c r="AE13" i="3"/>
  <c r="T28" i="3"/>
  <c r="AD10" i="3"/>
  <c r="AE9" i="3"/>
  <c r="T13" i="3"/>
  <c r="AE8" i="3"/>
  <c r="R36" i="3"/>
  <c r="M36" i="3"/>
  <c r="S36" i="3"/>
  <c r="U36" i="3"/>
  <c r="AC36" i="3" s="1"/>
  <c r="V36" i="3"/>
  <c r="X36" i="3"/>
  <c r="W36" i="3"/>
  <c r="AD36" i="3" l="1"/>
  <c r="AE36" i="3"/>
  <c r="Y36" i="3"/>
  <c r="T36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3" i="3" s="1"/>
  <c r="G29" i="4"/>
  <c r="G30" i="4"/>
  <c r="G31" i="4"/>
  <c r="N37" i="3" s="1"/>
  <c r="G32" i="4"/>
  <c r="G33" i="4"/>
  <c r="G34" i="4"/>
  <c r="G35" i="4"/>
  <c r="G36" i="4"/>
  <c r="G37" i="4"/>
  <c r="N14" i="3" s="1"/>
  <c r="G38" i="4"/>
  <c r="G39" i="4"/>
  <c r="G40" i="4"/>
  <c r="N27" i="3" s="1"/>
  <c r="G41" i="4"/>
  <c r="G42" i="4"/>
  <c r="G43" i="4"/>
  <c r="G44" i="4"/>
  <c r="G45" i="4"/>
  <c r="G46" i="4"/>
  <c r="G47" i="4"/>
  <c r="G48" i="4"/>
  <c r="G49" i="4"/>
  <c r="G50" i="4"/>
  <c r="N28" i="3" s="1"/>
  <c r="G51" i="4"/>
  <c r="G52" i="4"/>
  <c r="G53" i="4"/>
  <c r="G54" i="4"/>
  <c r="G55" i="4"/>
  <c r="G56" i="4"/>
  <c r="N21" i="3" s="1"/>
  <c r="G57" i="4"/>
  <c r="G58" i="4"/>
  <c r="G59" i="4"/>
  <c r="G60" i="4"/>
  <c r="G61" i="4"/>
  <c r="G62" i="4"/>
  <c r="G63" i="4"/>
  <c r="G64" i="4"/>
  <c r="G65" i="4"/>
  <c r="N29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0" i="3" s="1"/>
  <c r="G93" i="4"/>
  <c r="G94" i="4"/>
  <c r="G95" i="4"/>
  <c r="G96" i="4"/>
  <c r="N12" i="3" s="1"/>
  <c r="G97" i="4"/>
  <c r="G98" i="4"/>
  <c r="G99" i="4"/>
  <c r="G100" i="4"/>
  <c r="N26" i="3" s="1"/>
  <c r="G101" i="4"/>
  <c r="G102" i="4"/>
  <c r="G103" i="4"/>
  <c r="N25" i="3" s="1"/>
  <c r="G104" i="4"/>
  <c r="G105" i="4"/>
  <c r="G106" i="4"/>
  <c r="G107" i="4"/>
  <c r="G108" i="4"/>
  <c r="N30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19" i="3" s="1"/>
  <c r="G127" i="4"/>
  <c r="G128" i="4"/>
  <c r="N9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15" i="3" s="1"/>
  <c r="G178" i="4"/>
  <c r="G179" i="4"/>
  <c r="G180" i="4"/>
  <c r="G181" i="4"/>
  <c r="G182" i="4"/>
  <c r="G183" i="4"/>
  <c r="N33" i="3" s="1"/>
  <c r="G184" i="4"/>
  <c r="G185" i="4"/>
  <c r="G186" i="4"/>
  <c r="G187" i="4"/>
  <c r="G188" i="4"/>
  <c r="G189" i="4"/>
  <c r="N18" i="3" s="1"/>
  <c r="G190" i="4"/>
  <c r="N32" i="3" s="1"/>
  <c r="G191" i="4"/>
  <c r="G192" i="4"/>
  <c r="G193" i="4"/>
  <c r="G194" i="4"/>
  <c r="G195" i="4"/>
  <c r="N11" i="3" s="1"/>
  <c r="G196" i="4"/>
  <c r="N31" i="3" s="1"/>
  <c r="G197" i="4"/>
  <c r="G198" i="4"/>
  <c r="G199" i="4"/>
  <c r="G200" i="4"/>
  <c r="N7" i="3" s="1"/>
  <c r="G201" i="4"/>
  <c r="N24" i="3" s="1"/>
  <c r="G202" i="4"/>
  <c r="G203" i="4"/>
  <c r="N8" i="3" s="1"/>
  <c r="G204" i="4"/>
  <c r="G205" i="4"/>
  <c r="G206" i="4"/>
  <c r="N20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6" i="3" l="1"/>
  <c r="N17" i="3"/>
  <c r="N35" i="3"/>
  <c r="N34" i="3"/>
  <c r="N23" i="3"/>
  <c r="N22" i="3"/>
  <c r="N3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<sst xmlns="http://schemas.openxmlformats.org/spreadsheetml/2006/main" count="2799" uniqueCount="1098">
  <si>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</si>
  <si>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</si>
  <si>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</si>
  <si>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</si>
  <si>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</si>
  <si>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</si>
  <si>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</si>
  <si>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</si>
  <si>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</si>
  <si>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</si>
  <si>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</si>
  <si>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</si>
  <si>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</si>
  <si>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</si>
  <si>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</si>
  <si>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</si>
  <si>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</si>
  <si>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</si>
  <si>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</si>
  <si>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</si>
  <si>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</si>
  <si>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</si>
  <si>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</si>
  <si>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</si>
  <si>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</si>
  <si>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</si>
  <si>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</si>
  <si>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</si>
  <si>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</si>
  <si>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</si>
  <si>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</si>
  <si>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</si>
  <si>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</si>
  <si>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</si>
  <si>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</si>
  <si>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</si>
  <si>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</si>
  <si>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</si>
  <si>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</si>
  <si>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</si>
  <si>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</si>
  <si>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</si>
  <si>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</si>
  <si>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</si>
  <si>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</si>
  <si>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</si>
  <si>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</si>
  <si>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</si>
  <si>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</si>
  <si>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</si>
  <si>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</si>
  <si>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</si>
  <si>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</si>
  <si>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</si>
  <si>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</si>
  <si>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</si>
  <si>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</si>
  <si>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</si>
  <si>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</si>
  <si>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</si>
  <si>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</si>
  <si>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</si>
  <si>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</si>
  <si>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</si>
  <si>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</si>
  <si>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</si>
  <si>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</si>
  <si>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</si>
  <si>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</si>
  <si>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</si>
  <si>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</si>
  <si>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</si>
  <si>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</si>
  <si>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</si>
  <si>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</si>
  <si>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</si>
  <si>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</si>
  <si>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</si>
  <si>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</si>
  <si>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</si>
  <si>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</si>
  <si>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</si>
  <si>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</si>
  <si>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</si>
  <si>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</si>
  <si>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</si>
  <si>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</si>
  <si>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</si>
  <si>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</si>
  <si>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</si>
  <si>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</si>
  <si>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</si>
  <si>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</si>
  <si>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</si>
  <si>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</si>
  <si>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</si>
  <si>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</si>
  <si>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</si>
  <si>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</si>
  <si>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</si>
  <si>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</si>
  <si>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</si>
  <si>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</si>
  <si>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</si>
  <si>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</si>
  <si>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</si>
  <si>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</si>
  <si>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</si>
  <si>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</si>
  <si>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</si>
  <si>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</si>
  <si>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</si>
  <si>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</si>
  <si>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</si>
  <si>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</si>
  <si>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</si>
  <si>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</si>
  <si>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</si>
  <si>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</si>
  <si>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</si>
  <si>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</si>
  <si>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</si>
  <si>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</si>
  <si>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</si>
  <si>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</si>
  <si>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</si>
  <si>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</si>
  <si>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</si>
  <si>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</si>
  <si>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</si>
  <si>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</si>
  <si>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</si>
  <si>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</si>
  <si>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</si>
  <si>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</si>
  <si>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</si>
  <si>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</si>
  <si>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</si>
  <si>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</si>
  <si>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</si>
  <si>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</si>
  <si>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</si>
  <si>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</si>
  <si>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</si>
  <si>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</si>
  <si>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</si>
  <si>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</si>
  <si>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</si>
  <si>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</si>
  <si>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</si>
  <si>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</si>
  <si>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</si>
  <si>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</si>
  <si>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</si>
  <si>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</si>
  <si>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</si>
  <si>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</si>
  <si>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</si>
  <si>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</si>
  <si>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</si>
  <si>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</si>
  <si>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</si>
  <si>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</si>
  <si>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</si>
  <si>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</si>
  <si>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</si>
  <si>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</si>
  <si>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</si>
  <si>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</si>
  <si>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</si>
  <si>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</si>
  <si>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</si>
  <si>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</si>
  <si>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</si>
  <si>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</si>
  <si>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</si>
  <si>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</si>
  <si>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</si>
  <si>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</si>
  <si>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</si>
  <si>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</si>
  <si>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</si>
  <si>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</si>
  <si>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</si>
  <si>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</si>
  <si>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</si>
  <si>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</si>
  <si>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</si>
  <si>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</si>
  <si>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</si>
  <si>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</si>
  <si>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</si>
  <si>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</si>
  <si>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</si>
  <si>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</si>
  <si>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</si>
  <si>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</si>
  <si>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</si>
  <si>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</si>
  <si>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</si>
  <si>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</si>
  <si>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</si>
  <si>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</si>
  <si>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</si>
  <si>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</si>
  <si>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</si>
  <si>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</si>
  <si>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</si>
  <si>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</si>
  <si>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</si>
  <si>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</si>
  <si>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</si>
  <si>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</si>
  <si>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</si>
  <si>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</si>
  <si>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</si>
  <si>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</si>
  <si>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</si>
  <si>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</si>
  <si>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</si>
  <si>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</si>
  <si>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</si>
  <si>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</si>
  <si>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</si>
  <si>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</si>
  <si>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</si>
  <si>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</si>
  <si>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</si>
  <si>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</si>
  <si>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</si>
  <si>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</si>
  <si>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</si>
  <si>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</si>
  <si>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</si>
  <si>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</si>
  <si>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</si>
  <si>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</si>
  <si>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</si>
  <si>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</si>
  <si>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</si>
  <si>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</si>
  <si>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</si>
  <si>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</si>
  <si>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</si>
  <si>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</si>
  <si>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</si>
  <si>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</si>
  <si>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</si>
  <si>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</si>
  <si>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</si>
  <si>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</si>
  <si>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</si>
  <si>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</si>
  <si>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</si>
  <si>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</si>
  <si>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</si>
  <si>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</si>
  <si>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</si>
  <si>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</si>
  <si>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</si>
  <si>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</si>
  <si>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</si>
  <si>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</si>
  <si>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</si>
  <si>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</si>
  <si>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</si>
  <si>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</si>
  <si>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</si>
  <si>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</si>
  <si>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</si>
  <si>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</si>
  <si>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</si>
  <si>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</si>
  <si>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</si>
  <si>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</si>
  <si>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</si>
  <si>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</si>
  <si>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</si>
  <si>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</si>
  <si>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</si>
  <si>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</si>
  <si>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</si>
  <si>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</si>
  <si>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</si>
  <si>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</si>
  <si>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</si>
  <si>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</si>
  <si>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</si>
  <si>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</si>
  <si>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</si>
  <si>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</si>
  <si>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</si>
  <si>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</si>
  <si>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</si>
  <si>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</si>
  <si>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</si>
  <si>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</si>
  <si>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</si>
  <si>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</si>
  <si>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</si>
  <si>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</si>
  <si>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</si>
  <si>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</si>
  <si>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</si>
  <si>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</si>
  <si>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</si>
  <si>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</si>
  <si>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</si>
  <si>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</si>
  <si>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</si>
  <si>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</si>
  <si>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</si>
  <si>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</si>
  <si>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</si>
  <si>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</si>
  <si>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</si>
  <si>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</si>
  <si>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</si>
  <si>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</si>
  <si>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</si>
  <si>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</si>
  <si>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</si>
  <si>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</si>
  <si>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</si>
  <si>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</si>
  <si>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</si>
  <si>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</si>
  <si>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</si>
  <si>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</si>
  <si>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</si>
  <si>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</si>
  <si>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</si>
  <si>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</si>
  <si>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</si>
  <si>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</si>
  <si>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</si>
  <si>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</si>
  <si>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</si>
  <si>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</si>
  <si>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</si>
  <si>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</si>
  <si>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</si>
  <si>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</si>
  <si>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</si>
  <si>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</si>
  <si>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</si>
  <si>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</si>
  <si>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</si>
  <si>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</si>
  <si>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</si>
  <si>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</si>
  <si>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</si>
  <si>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</si>
  <si>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</si>
  <si>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</si>
  <si>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</si>
  <si>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</si>
  <si>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</si>
  <si>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</si>
  <si>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</si>
  <si>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</si>
  <si>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</si>
  <si>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</si>
  <si>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</si>
  <si>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</si>
  <si>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</si>
  <si>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</si>
  <si>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</si>
  <si>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</si>
  <si>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</si>
  <si>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</si>
  <si>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</si>
  <si>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</si>
  <si>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</si>
  <si>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</si>
  <si>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</si>
  <si>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</si>
  <si>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</si>
  <si>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</si>
  <si>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</si>
  <si>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</si>
  <si>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</si>
  <si>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</si>
  <si>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</si>
  <si>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</si>
  <si>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</si>
  <si>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</si>
  <si>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</si>
  <si>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</si>
  <si>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</si>
  <si>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</si>
  <si>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</si>
  <si>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</si>
  <si>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</si>
  <si>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</si>
  <si>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</si>
  <si>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</si>
  <si>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</si>
  <si>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</si>
  <si>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</si>
  <si>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</si>
  <si>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</si>
  <si>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</si>
  <si>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</si>
  <si>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</si>
  <si>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</si>
  <si>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</si>
  <si>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</si>
  <si>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</si>
  <si>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</si>
  <si>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</si>
  <si>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</si>
  <si>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</si>
  <si>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</si>
  <si>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</si>
  <si>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</si>
  <si>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</si>
  <si>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</si>
  <si>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</si>
  <si>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</si>
  <si>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</si>
  <si>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</si>
  <si>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</si>
  <si>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</si>
  <si>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</si>
  <si>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</si>
  <si>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</si>
  <si>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</si>
  <si>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</si>
  <si>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</si>
  <si>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</si>
  <si>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</si>
  <si>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</si>
  <si>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</si>
  <si>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</si>
  <si>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</si>
  <si>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</si>
  <si>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</si>
  <si>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</si>
  <si>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</si>
  <si>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</si>
  <si>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</si>
  <si>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</si>
  <si>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</si>
  <si>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204:233289</t>
  </si>
  <si>
    <t>204:221</t>
  </si>
  <si>
    <t>204:214</t>
  </si>
  <si>
    <t>204:517</t>
  </si>
  <si>
    <t>partly-cloudy-day</t>
  </si>
  <si>
    <t>204:207</t>
  </si>
  <si>
    <t>204:233257</t>
  </si>
  <si>
    <t>204:212</t>
  </si>
  <si>
    <t>204:566</t>
  </si>
  <si>
    <t>204:506</t>
  </si>
  <si>
    <t>rtdc.l.rtdc.4009:itc</t>
  </si>
  <si>
    <t>rtdc.l.rtdc.4010:itc</t>
  </si>
  <si>
    <t>precipType</t>
  </si>
  <si>
    <t>rain</t>
  </si>
  <si>
    <t>204:495</t>
  </si>
  <si>
    <t>rtdc.l.rtdc.4049:itc</t>
  </si>
  <si>
    <t>rtdc.l.rtdc.4050:itc</t>
  </si>
  <si>
    <t>AUSTIN</t>
  </si>
  <si>
    <t>204:509</t>
  </si>
  <si>
    <t>204:528</t>
  </si>
  <si>
    <t>204:229</t>
  </si>
  <si>
    <t>FORTUNATO</t>
  </si>
  <si>
    <t>FRANK</t>
  </si>
  <si>
    <t>BRUDER</t>
  </si>
  <si>
    <t>RICHARD</t>
  </si>
  <si>
    <t>204:209</t>
  </si>
  <si>
    <t>204:233259</t>
  </si>
  <si>
    <t>204:233293</t>
  </si>
  <si>
    <t>204:234</t>
  </si>
  <si>
    <t>204:232869</t>
  </si>
  <si>
    <t>204:232875</t>
  </si>
  <si>
    <t>204:535</t>
  </si>
  <si>
    <t>204:232913</t>
  </si>
  <si>
    <t>300:58666</t>
  </si>
  <si>
    <t>rtdc.l.rtdc.4052:itc</t>
  </si>
  <si>
    <t>rtdc.l.rtdc.4024:itc</t>
  </si>
  <si>
    <t>rtdc.l.rtdc.4023:itc</t>
  </si>
  <si>
    <t>235-08</t>
  </si>
  <si>
    <t>243-08</t>
  </si>
  <si>
    <t>rtdc.l.rtdc.4051:itc</t>
  </si>
  <si>
    <t>BERLING</t>
  </si>
  <si>
    <t>GARY</t>
  </si>
  <si>
    <t>rtdc.l.rtdc.4016:itc</t>
  </si>
  <si>
    <t>LOPES</t>
  </si>
  <si>
    <t>KIMBERLY</t>
  </si>
  <si>
    <t>rtdc.l.rtdc.4013:itc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</si>
  <si>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</si>
  <si>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</si>
  <si>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</si>
  <si>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</si>
  <si>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</si>
  <si>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</si>
  <si>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</si>
  <si>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</si>
  <si>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</si>
  <si>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</si>
  <si>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</si>
  <si>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</si>
  <si>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</si>
  <si>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</si>
  <si>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</si>
  <si>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</si>
  <si>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</si>
  <si>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</si>
  <si>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</si>
  <si>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</si>
  <si>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</si>
  <si>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</si>
  <si>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</si>
  <si>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</si>
  <si>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</si>
  <si>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</si>
  <si>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</si>
  <si>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</si>
  <si>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204:201</t>
  </si>
  <si>
    <t>204:511</t>
  </si>
  <si>
    <t>204:211</t>
  </si>
  <si>
    <t>204:232982</t>
  </si>
  <si>
    <t>204:232</t>
  </si>
  <si>
    <t>204:220</t>
  </si>
  <si>
    <t>204:233295</t>
  </si>
  <si>
    <t>204:524</t>
  </si>
  <si>
    <t>204:526</t>
  </si>
  <si>
    <t>204:559</t>
  </si>
  <si>
    <t>204:529</t>
  </si>
  <si>
    <t>300:23308</t>
  </si>
  <si>
    <t>204:1171</t>
  </si>
  <si>
    <t>300:23346</t>
  </si>
  <si>
    <t>300:58971</t>
  </si>
  <si>
    <t>rtdc.l.rtdc.4026:itc</t>
  </si>
  <si>
    <t>242-09</t>
  </si>
  <si>
    <t>MAELZER</t>
  </si>
  <si>
    <t>KURT</t>
  </si>
  <si>
    <t>rtdc.l.rtdc.4025:itc</t>
  </si>
  <si>
    <t>DONTE</t>
  </si>
  <si>
    <t>rtdc.l.rtdc.4015:itc</t>
  </si>
  <si>
    <t>PAGE</t>
  </si>
  <si>
    <t>MARCUS</t>
  </si>
  <si>
    <t>BADERTSCHER</t>
  </si>
  <si>
    <t>DIANE</t>
  </si>
  <si>
    <t>rtdc.l.rtdc.4014:itc</t>
  </si>
  <si>
    <t>ELBAUM</t>
  </si>
  <si>
    <t>MIKE</t>
  </si>
  <si>
    <t>307-09</t>
  </si>
  <si>
    <t>244-09</t>
  </si>
  <si>
    <t>309-09</t>
  </si>
  <si>
    <t>311-09</t>
  </si>
  <si>
    <t>204:203</t>
  </si>
  <si>
    <t>204:233297</t>
  </si>
  <si>
    <t>204:232980</t>
  </si>
  <si>
    <t>204:152</t>
  </si>
  <si>
    <t>204:233272</t>
  </si>
  <si>
    <t>204:232966</t>
  </si>
  <si>
    <t>204:223</t>
  </si>
  <si>
    <t>204:546</t>
  </si>
  <si>
    <t>204:181</t>
  </si>
  <si>
    <t>204:145</t>
  </si>
  <si>
    <t>204:245</t>
  </si>
  <si>
    <t>204:489</t>
  </si>
  <si>
    <t>204:444</t>
  </si>
  <si>
    <t>204:233213</t>
  </si>
  <si>
    <t>204:262</t>
  </si>
  <si>
    <t>204:233212</t>
  </si>
  <si>
    <t>204:551</t>
  </si>
  <si>
    <t>204:233188</t>
  </si>
  <si>
    <t>204:232863</t>
  </si>
  <si>
    <t>300:58656</t>
  </si>
  <si>
    <t>SWITCH UNKNOWN</t>
  </si>
  <si>
    <t>Track device (7)</t>
  </si>
  <si>
    <t>GEBRETEKLE</t>
  </si>
  <si>
    <t>DAGNEW</t>
  </si>
  <si>
    <t>BIRENBAUM</t>
  </si>
  <si>
    <t>THOMAS</t>
  </si>
  <si>
    <t>MACDONALD</t>
  </si>
  <si>
    <t>GONZALEZ</t>
  </si>
  <si>
    <t>ARMANDO</t>
  </si>
  <si>
    <t>HOLCOMB</t>
  </si>
  <si>
    <t>KAMDEN</t>
  </si>
  <si>
    <t>908-10</t>
  </si>
  <si>
    <t>241-10</t>
  </si>
  <si>
    <t>238-10</t>
  </si>
  <si>
    <t>240-10</t>
  </si>
  <si>
    <t>243-10</t>
  </si>
  <si>
    <t>245-10</t>
  </si>
  <si>
    <t>242-10</t>
  </si>
  <si>
    <t>307-10</t>
  </si>
  <si>
    <t>244-10</t>
  </si>
  <si>
    <t>309-10</t>
  </si>
  <si>
    <t>246-10</t>
  </si>
  <si>
    <t>311-10</t>
  </si>
  <si>
    <t>313-10</t>
  </si>
  <si>
    <t>204:785</t>
  </si>
  <si>
    <t>204:232989</t>
  </si>
  <si>
    <t>204:232991</t>
  </si>
  <si>
    <t>204:233247</t>
  </si>
  <si>
    <t>204:455</t>
  </si>
  <si>
    <t>204:232985</t>
  </si>
  <si>
    <t>204:156</t>
  </si>
  <si>
    <t>204:233195</t>
  </si>
  <si>
    <t>204:453</t>
  </si>
  <si>
    <t>204:233291</t>
  </si>
  <si>
    <t>204:232961</t>
  </si>
  <si>
    <t>204:205</t>
  </si>
  <si>
    <t>204:233191</t>
  </si>
  <si>
    <t>204:198</t>
  </si>
  <si>
    <t>204:500</t>
  </si>
  <si>
    <t>204:504</t>
  </si>
  <si>
    <t>204:232857</t>
  </si>
  <si>
    <t>204:232940</t>
  </si>
  <si>
    <t>204:233282</t>
  </si>
  <si>
    <t>204:233236</t>
  </si>
  <si>
    <t>204:267</t>
  </si>
  <si>
    <t>204:138</t>
  </si>
  <si>
    <t>204:232879</t>
  </si>
  <si>
    <t>204:247</t>
  </si>
  <si>
    <t>204:232874</t>
  </si>
  <si>
    <t>204:233230</t>
  </si>
  <si>
    <t>204:233207</t>
  </si>
  <si>
    <t>204:236</t>
  </si>
  <si>
    <t>204:553</t>
  </si>
  <si>
    <t>204:233200</t>
  </si>
  <si>
    <t>204:232859</t>
  </si>
  <si>
    <t>204:216</t>
  </si>
  <si>
    <t>204:233182</t>
  </si>
  <si>
    <t>204:233203</t>
  </si>
  <si>
    <t>204:249</t>
  </si>
  <si>
    <t>204:196</t>
  </si>
  <si>
    <t>204:548</t>
  </si>
  <si>
    <t>204:233304</t>
  </si>
  <si>
    <t>204:232877</t>
  </si>
  <si>
    <t>204:233190</t>
  </si>
  <si>
    <t>204:232867</t>
  </si>
  <si>
    <t>204:233287</t>
  </si>
  <si>
    <t>204:493</t>
  </si>
  <si>
    <t>204:232943</t>
  </si>
  <si>
    <t>204:233186</t>
  </si>
  <si>
    <t>204:233222</t>
  </si>
  <si>
    <t>204:498</t>
  </si>
  <si>
    <t>204:522</t>
  </si>
  <si>
    <t>204:571</t>
  </si>
  <si>
    <t>300:58617</t>
  </si>
  <si>
    <t>300:58941</t>
  </si>
  <si>
    <t>300:58636</t>
  </si>
  <si>
    <t>300:58660</t>
  </si>
  <si>
    <t>300:58993</t>
  </si>
  <si>
    <t>204:1086</t>
  </si>
  <si>
    <t>204:1084</t>
  </si>
  <si>
    <t>204:1076</t>
  </si>
  <si>
    <t>300:59003</t>
  </si>
  <si>
    <t>300:23633</t>
  </si>
  <si>
    <t>204:675</t>
  </si>
  <si>
    <t>Poor GPS at DUS</t>
  </si>
  <si>
    <t>Wi-MAX data drop</t>
  </si>
  <si>
    <t>rtdc.l.rtdc.4019:itc</t>
  </si>
  <si>
    <t>300-11</t>
  </si>
  <si>
    <t>312-11</t>
  </si>
  <si>
    <t>106-11</t>
  </si>
  <si>
    <t>rtdc.l.rtdc.4006:itc</t>
  </si>
  <si>
    <t>1801-11</t>
  </si>
  <si>
    <t>rtdc.l.rtdc.4043:itc</t>
  </si>
  <si>
    <t>112-11</t>
  </si>
  <si>
    <t>rtdc.l.rtdc.4005:itc</t>
  </si>
  <si>
    <t>1802-11</t>
  </si>
  <si>
    <t>1803-11</t>
  </si>
  <si>
    <t>120-11</t>
  </si>
  <si>
    <t>126-11</t>
  </si>
  <si>
    <t>1806-11</t>
  </si>
  <si>
    <t>154-11</t>
  </si>
  <si>
    <t>rtdc.l.rtdc.4065:itc</t>
  </si>
  <si>
    <t>156-11</t>
  </si>
  <si>
    <t>160-11</t>
  </si>
  <si>
    <t>rtdc.l.rtdc.4066:itc</t>
  </si>
  <si>
    <t>169-11</t>
  </si>
  <si>
    <t>173-11</t>
  </si>
  <si>
    <t>1814-11</t>
  </si>
  <si>
    <t>187-11</t>
  </si>
  <si>
    <t>182-11</t>
  </si>
  <si>
    <t>1823-11</t>
  </si>
  <si>
    <t>218-11</t>
  </si>
  <si>
    <t>1828-11</t>
  </si>
  <si>
    <t>227-11</t>
  </si>
  <si>
    <t>1830-11</t>
  </si>
  <si>
    <t>1832-11</t>
  </si>
  <si>
    <t>rtdc.l.rtdc.4021:itc</t>
  </si>
  <si>
    <t>228-11</t>
  </si>
  <si>
    <t>1834-11</t>
  </si>
  <si>
    <t>rtdc.l.rtdc.4057:itc</t>
  </si>
  <si>
    <t>232-11</t>
  </si>
  <si>
    <t>235-11</t>
  </si>
  <si>
    <t>234-11</t>
  </si>
  <si>
    <t>rtdc.l.rtdc.4058:itc</t>
  </si>
  <si>
    <t>239-11</t>
  </si>
  <si>
    <t>LESTER</t>
  </si>
  <si>
    <t>rtdc.l.rtdc.4020:itc</t>
  </si>
  <si>
    <t>51-11</t>
  </si>
  <si>
    <t>rtdc.l.rtdc.4044:itc</t>
  </si>
  <si>
    <t>101-11</t>
  </si>
  <si>
    <t>302-11</t>
  </si>
  <si>
    <t>52-11</t>
  </si>
  <si>
    <t>103-11</t>
  </si>
  <si>
    <t>304-11</t>
  </si>
  <si>
    <t>306-11</t>
  </si>
  <si>
    <t>102-11</t>
  </si>
  <si>
    <t>105-11</t>
  </si>
  <si>
    <t>308-11</t>
  </si>
  <si>
    <t>HUFFSMITH</t>
  </si>
  <si>
    <t>MONTY</t>
  </si>
  <si>
    <t>107-11</t>
  </si>
  <si>
    <t>104-11</t>
  </si>
  <si>
    <t>109-11</t>
  </si>
  <si>
    <t>310-11</t>
  </si>
  <si>
    <t>111-11</t>
  </si>
  <si>
    <t>108-11</t>
  </si>
  <si>
    <t>113-11</t>
  </si>
  <si>
    <t>1901-11</t>
  </si>
  <si>
    <t>LAMAR</t>
  </si>
  <si>
    <t>NEKESHA</t>
  </si>
  <si>
    <t>115-11</t>
  </si>
  <si>
    <t>110-11</t>
  </si>
  <si>
    <t>1800-11</t>
  </si>
  <si>
    <t>117-11</t>
  </si>
  <si>
    <t>119-11</t>
  </si>
  <si>
    <t>114-11</t>
  </si>
  <si>
    <t>121-11</t>
  </si>
  <si>
    <t>116-11</t>
  </si>
  <si>
    <t>123-11</t>
  </si>
  <si>
    <t>118-11</t>
  </si>
  <si>
    <t>125-11</t>
  </si>
  <si>
    <t>122-11</t>
  </si>
  <si>
    <t>127-11</t>
  </si>
  <si>
    <t>129-11</t>
  </si>
  <si>
    <t>124-11</t>
  </si>
  <si>
    <t>131-11</t>
  </si>
  <si>
    <t>1804-11</t>
  </si>
  <si>
    <t>133-11</t>
  </si>
  <si>
    <t>135-11</t>
  </si>
  <si>
    <t>128-11</t>
  </si>
  <si>
    <t>130-11</t>
  </si>
  <si>
    <t>1805-11</t>
  </si>
  <si>
    <t>137-11</t>
  </si>
  <si>
    <t>132-11</t>
  </si>
  <si>
    <t>139-11</t>
  </si>
  <si>
    <t>134-11</t>
  </si>
  <si>
    <t>136-11</t>
  </si>
  <si>
    <t>141-11</t>
  </si>
  <si>
    <t>143-11</t>
  </si>
  <si>
    <t>138-11</t>
  </si>
  <si>
    <t>145-11</t>
  </si>
  <si>
    <t>1807-11</t>
  </si>
  <si>
    <t>147-11</t>
  </si>
  <si>
    <t>140-11</t>
  </si>
  <si>
    <t>1808-11</t>
  </si>
  <si>
    <t>149-11</t>
  </si>
  <si>
    <t>142-11</t>
  </si>
  <si>
    <t>144-11</t>
  </si>
  <si>
    <t>151-11</t>
  </si>
  <si>
    <t>146-11</t>
  </si>
  <si>
    <t>1809-11</t>
  </si>
  <si>
    <t>153-11</t>
  </si>
  <si>
    <t>148-11</t>
  </si>
  <si>
    <t>150-11</t>
  </si>
  <si>
    <t>1810-11</t>
  </si>
  <si>
    <t>155-11</t>
  </si>
  <si>
    <t>157-11</t>
  </si>
  <si>
    <t>152-11</t>
  </si>
  <si>
    <t>159-11</t>
  </si>
  <si>
    <t>1811-11</t>
  </si>
  <si>
    <t>161-11</t>
  </si>
  <si>
    <t>DAVIS</t>
  </si>
  <si>
    <t>1812-11</t>
  </si>
  <si>
    <t>163-11</t>
  </si>
  <si>
    <t>158-11</t>
  </si>
  <si>
    <t>165-11</t>
  </si>
  <si>
    <t>167-11</t>
  </si>
  <si>
    <t>1813-11</t>
  </si>
  <si>
    <t>162-11</t>
  </si>
  <si>
    <t>164-11</t>
  </si>
  <si>
    <t>166-11</t>
  </si>
  <si>
    <t>171-11</t>
  </si>
  <si>
    <t>168-11</t>
  </si>
  <si>
    <t>175-11</t>
  </si>
  <si>
    <t>1815-11</t>
  </si>
  <si>
    <t>170-11</t>
  </si>
  <si>
    <t>177-11</t>
  </si>
  <si>
    <t>179-11</t>
  </si>
  <si>
    <t>172-11</t>
  </si>
  <si>
    <t>1816-11</t>
  </si>
  <si>
    <t>174-11</t>
  </si>
  <si>
    <t>181-11</t>
  </si>
  <si>
    <t>176-11</t>
  </si>
  <si>
    <t>183-11</t>
  </si>
  <si>
    <t>178-11</t>
  </si>
  <si>
    <t>1817-11</t>
  </si>
  <si>
    <t>185-11</t>
  </si>
  <si>
    <t>180-11</t>
  </si>
  <si>
    <t>1818-11</t>
  </si>
  <si>
    <t>189-11</t>
  </si>
  <si>
    <t>184-11</t>
  </si>
  <si>
    <t>191-11</t>
  </si>
  <si>
    <t>1819-11</t>
  </si>
  <si>
    <t>186-11</t>
  </si>
  <si>
    <t>193-11</t>
  </si>
  <si>
    <t>188-11</t>
  </si>
  <si>
    <t>1820-11</t>
  </si>
  <si>
    <t>195-11</t>
  </si>
  <si>
    <t>190-11</t>
  </si>
  <si>
    <t>197-11</t>
  </si>
  <si>
    <t>192-11</t>
  </si>
  <si>
    <t>194-11</t>
  </si>
  <si>
    <t>199-11</t>
  </si>
  <si>
    <t>1821-11</t>
  </si>
  <si>
    <t>66-11</t>
  </si>
  <si>
    <t>65-11</t>
  </si>
  <si>
    <t>201-11</t>
  </si>
  <si>
    <t>196-11</t>
  </si>
  <si>
    <t>1822-11</t>
  </si>
  <si>
    <t>203-11</t>
  </si>
  <si>
    <t>198-11</t>
  </si>
  <si>
    <t>205-11</t>
  </si>
  <si>
    <t>200-11</t>
  </si>
  <si>
    <t>207-11</t>
  </si>
  <si>
    <t>202-11</t>
  </si>
  <si>
    <t>SANTIZO</t>
  </si>
  <si>
    <t>D. EDY</t>
  </si>
  <si>
    <t>209-11</t>
  </si>
  <si>
    <t>67-11</t>
  </si>
  <si>
    <t>206-11</t>
  </si>
  <si>
    <t>204-11</t>
  </si>
  <si>
    <t>211-11</t>
  </si>
  <si>
    <t>1824-11</t>
  </si>
  <si>
    <t>rtdc.l.rtdc.4063:itc</t>
  </si>
  <si>
    <t>75-11</t>
  </si>
  <si>
    <t>208-11</t>
  </si>
  <si>
    <t>213-11</t>
  </si>
  <si>
    <t>215-11</t>
  </si>
  <si>
    <t>1825-11</t>
  </si>
  <si>
    <t>210-11</t>
  </si>
  <si>
    <t>217-11</t>
  </si>
  <si>
    <t>212-11</t>
  </si>
  <si>
    <t>219-11</t>
  </si>
  <si>
    <t>1826-11</t>
  </si>
  <si>
    <t>214-11</t>
  </si>
  <si>
    <t>301-11</t>
  </si>
  <si>
    <t>216-11</t>
  </si>
  <si>
    <t>221-11</t>
  </si>
  <si>
    <t>ANDERS</t>
  </si>
  <si>
    <t>STEVEN</t>
  </si>
  <si>
    <t>1827-11</t>
  </si>
  <si>
    <t>303-11</t>
  </si>
  <si>
    <t>220-11</t>
  </si>
  <si>
    <t>223-11</t>
  </si>
  <si>
    <t>305-11</t>
  </si>
  <si>
    <t>225-11</t>
  </si>
  <si>
    <t>222-11</t>
  </si>
  <si>
    <t>1829-11</t>
  </si>
  <si>
    <t>224-11</t>
  </si>
  <si>
    <t>226-11</t>
  </si>
  <si>
    <t>229-11</t>
  </si>
  <si>
    <t>1831-11</t>
  </si>
  <si>
    <t>231-11</t>
  </si>
  <si>
    <t>233-11</t>
  </si>
  <si>
    <t>230-11</t>
  </si>
  <si>
    <t>1833-11</t>
  </si>
  <si>
    <t>237-11</t>
  </si>
  <si>
    <t>1835-11</t>
  </si>
  <si>
    <t>236-11</t>
  </si>
  <si>
    <t>1902-11</t>
  </si>
  <si>
    <t>241-11</t>
  </si>
  <si>
    <t>238-11</t>
  </si>
  <si>
    <t>243-11</t>
  </si>
  <si>
    <t>240-11</t>
  </si>
  <si>
    <t>242-11</t>
  </si>
  <si>
    <t>245-11</t>
  </si>
  <si>
    <t>307-11</t>
  </si>
  <si>
    <t>244-11</t>
  </si>
  <si>
    <t>309-11</t>
  </si>
  <si>
    <t>246-11</t>
  </si>
  <si>
    <t>311-11</t>
  </si>
  <si>
    <t>313-11</t>
  </si>
  <si>
    <t>rtdc.l.rtdc.4001:itc</t>
  </si>
  <si>
    <t>300-12</t>
  </si>
  <si>
    <t>204:710</t>
  </si>
  <si>
    <t>204:232984</t>
  </si>
  <si>
    <t>204:232965</t>
  </si>
  <si>
    <t>204:127896</t>
  </si>
  <si>
    <t>204:161</t>
  </si>
  <si>
    <t>204:233307</t>
  </si>
  <si>
    <t>204:469</t>
  </si>
  <si>
    <t>204:149</t>
  </si>
  <si>
    <t>204:424</t>
  </si>
  <si>
    <t>204:5542</t>
  </si>
  <si>
    <t>204:64700</t>
  </si>
  <si>
    <t>204:69281</t>
  </si>
  <si>
    <t>204:233312</t>
  </si>
  <si>
    <t>204:233001</t>
  </si>
  <si>
    <t>204:129</t>
  </si>
  <si>
    <t>204:477</t>
  </si>
  <si>
    <t>204:165</t>
  </si>
  <si>
    <t>204:232856</t>
  </si>
  <si>
    <t>204:233241</t>
  </si>
  <si>
    <t>204:232936</t>
  </si>
  <si>
    <t>204:486</t>
  </si>
  <si>
    <t>204:109685</t>
  </si>
  <si>
    <t>204:86352</t>
  </si>
  <si>
    <t>204:416</t>
  </si>
  <si>
    <t>204:233338</t>
  </si>
  <si>
    <t>204:233013</t>
  </si>
  <si>
    <t>204:121</t>
  </si>
  <si>
    <t>204:473</t>
  </si>
  <si>
    <t>204:232951</t>
  </si>
  <si>
    <t>204:187</t>
  </si>
  <si>
    <t>204:447</t>
  </si>
  <si>
    <t>204:233309</t>
  </si>
  <si>
    <t>204:143</t>
  </si>
  <si>
    <t>204:232960</t>
  </si>
  <si>
    <t>204:160</t>
  </si>
  <si>
    <t>204:1819</t>
  </si>
  <si>
    <t>204:19136</t>
  </si>
  <si>
    <t>204:227</t>
  </si>
  <si>
    <t>204:112</t>
  </si>
  <si>
    <t>204:832</t>
  </si>
  <si>
    <t>204:232957</t>
  </si>
  <si>
    <t>204:174</t>
  </si>
  <si>
    <t>204:232890</t>
  </si>
  <si>
    <t>204:232911</t>
  </si>
  <si>
    <t>204:163</t>
  </si>
  <si>
    <t>204:515</t>
  </si>
  <si>
    <t>204:232972</t>
  </si>
  <si>
    <t>204:232975</t>
  </si>
  <si>
    <t>204:420</t>
  </si>
  <si>
    <t>204:233332</t>
  </si>
  <si>
    <t>204:233021</t>
  </si>
  <si>
    <t>204:130</t>
  </si>
  <si>
    <t>204:232971</t>
  </si>
  <si>
    <t>204:560</t>
  </si>
  <si>
    <t>204:233221</t>
  </si>
  <si>
    <t>204:232902</t>
  </si>
  <si>
    <t>204:491</t>
  </si>
  <si>
    <t>204:232906</t>
  </si>
  <si>
    <t>204:233215</t>
  </si>
  <si>
    <t>204:232896</t>
  </si>
  <si>
    <t>204:233238</t>
  </si>
  <si>
    <t>204:427</t>
  </si>
  <si>
    <t>204:232861</t>
  </si>
  <si>
    <t>204:233217</t>
  </si>
  <si>
    <t>204:232905</t>
  </si>
  <si>
    <t>204:280</t>
  </si>
  <si>
    <t>204:564</t>
  </si>
  <si>
    <t>204:233227</t>
  </si>
  <si>
    <t>204:232887</t>
  </si>
  <si>
    <t>204:488</t>
  </si>
  <si>
    <t>204:233192</t>
  </si>
  <si>
    <t>204:231</t>
  </si>
  <si>
    <t>204:233300</t>
  </si>
  <si>
    <t>204:232983</t>
  </si>
  <si>
    <t>204:573</t>
  </si>
  <si>
    <t>204:232926</t>
  </si>
  <si>
    <t>204:36775</t>
  </si>
  <si>
    <t>300:58674</t>
  </si>
  <si>
    <t>204:972</t>
  </si>
  <si>
    <t>300:58986</t>
  </si>
  <si>
    <t>204:666</t>
  </si>
  <si>
    <t>204:1574</t>
  </si>
  <si>
    <t>204:1875</t>
  </si>
  <si>
    <t>300:58677</t>
  </si>
  <si>
    <t>204:3084</t>
  </si>
  <si>
    <t>300:58978</t>
  </si>
  <si>
    <t>300:58658</t>
  </si>
  <si>
    <t>204:4571</t>
  </si>
  <si>
    <t>204:967</t>
  </si>
  <si>
    <t>204:670</t>
  </si>
  <si>
    <t>204:992</t>
  </si>
  <si>
    <t>204:233251</t>
  </si>
  <si>
    <t>204:701</t>
  </si>
  <si>
    <t>204:943</t>
  </si>
  <si>
    <t>300:58961</t>
  </si>
  <si>
    <t>204:685</t>
  </si>
  <si>
    <t>204:960</t>
  </si>
  <si>
    <t>300:58672</t>
  </si>
  <si>
    <t>204:4515</t>
  </si>
  <si>
    <t>204:734</t>
  </si>
  <si>
    <t>204:1028</t>
  </si>
  <si>
    <t>204:813</t>
  </si>
  <si>
    <t>300:59010</t>
  </si>
  <si>
    <t>204:232927</t>
  </si>
  <si>
    <t>300:58694</t>
  </si>
  <si>
    <t>204:780</t>
  </si>
  <si>
    <t>204:1077</t>
  </si>
  <si>
    <t>300:58692</t>
  </si>
  <si>
    <t>204:1081</t>
  </si>
  <si>
    <t>300:59014</t>
  </si>
  <si>
    <t>204:789</t>
  </si>
  <si>
    <t>300:58673</t>
  </si>
  <si>
    <t>300:58943</t>
  </si>
  <si>
    <t>204:801</t>
  </si>
  <si>
    <t>204:1098</t>
  </si>
  <si>
    <t>300:58939</t>
  </si>
  <si>
    <t>204:233246</t>
  </si>
  <si>
    <t>204:705</t>
  </si>
  <si>
    <t>204:1000</t>
  </si>
  <si>
    <t>300:58922</t>
  </si>
  <si>
    <t>300:58613</t>
  </si>
  <si>
    <t>204:713</t>
  </si>
  <si>
    <t>204:979</t>
  </si>
  <si>
    <t>300:58928</t>
  </si>
  <si>
    <t>300:58621</t>
  </si>
  <si>
    <t>204:4716</t>
  </si>
  <si>
    <t>204:232930</t>
  </si>
  <si>
    <t>204:334</t>
  </si>
  <si>
    <t>204:232871</t>
  </si>
  <si>
    <t>204:36805</t>
  </si>
  <si>
    <t>204:232919</t>
  </si>
  <si>
    <t>204:233253</t>
  </si>
  <si>
    <t>204:232934</t>
  </si>
  <si>
    <t>300:30104</t>
  </si>
  <si>
    <t>300:58982</t>
  </si>
  <si>
    <t>300:58634</t>
  </si>
  <si>
    <t>300:28789</t>
  </si>
  <si>
    <t>204:232873</t>
  </si>
  <si>
    <t>204:271</t>
  </si>
  <si>
    <t>204:533</t>
  </si>
  <si>
    <t>204:232908</t>
  </si>
  <si>
    <t>204:240</t>
  </si>
  <si>
    <t>204:626</t>
  </si>
  <si>
    <t>204:232923</t>
  </si>
  <si>
    <t>204:243</t>
  </si>
  <si>
    <t>204:540</t>
  </si>
  <si>
    <t>204:232891</t>
  </si>
  <si>
    <t>204:233185</t>
  </si>
  <si>
    <t>204:283</t>
  </si>
  <si>
    <t>204:233240</t>
  </si>
  <si>
    <t>204:233151</t>
  </si>
  <si>
    <t>204:233264</t>
  </si>
  <si>
    <t>204:276</t>
  </si>
  <si>
    <t>204:232925</t>
  </si>
  <si>
    <t>204:233198</t>
  </si>
  <si>
    <t>204:232885</t>
  </si>
  <si>
    <t>204:233245</t>
  </si>
  <si>
    <t>204:520</t>
  </si>
  <si>
    <t>204:497</t>
  </si>
  <si>
    <t>204:233202</t>
  </si>
  <si>
    <t>204:233263</t>
  </si>
  <si>
    <t>204:256</t>
  </si>
  <si>
    <t>204:154574</t>
  </si>
  <si>
    <t>204:233174</t>
  </si>
  <si>
    <t>204:36933</t>
  </si>
  <si>
    <t>204:273</t>
  </si>
  <si>
    <t>300:23536</t>
  </si>
  <si>
    <t>204:4602</t>
  </si>
  <si>
    <t>204:599</t>
  </si>
  <si>
    <t>300:23314</t>
  </si>
  <si>
    <t>300:19505</t>
  </si>
  <si>
    <t>300:23300</t>
  </si>
  <si>
    <t>300:23301</t>
  </si>
  <si>
    <t>300:23593</t>
  </si>
  <si>
    <t>204:108</t>
  </si>
  <si>
    <t>300:23519</t>
  </si>
  <si>
    <t>204:134</t>
  </si>
  <si>
    <t>204:580</t>
  </si>
  <si>
    <t>300:23606</t>
  </si>
  <si>
    <t>204:4664</t>
  </si>
  <si>
    <t>204:3646</t>
  </si>
  <si>
    <t>204:3341</t>
  </si>
  <si>
    <t>204:1500</t>
  </si>
  <si>
    <t>204:1152</t>
  </si>
  <si>
    <t>300:23304</t>
  </si>
  <si>
    <t>300:23510</t>
  </si>
  <si>
    <t>204:1022</t>
  </si>
  <si>
    <t>start /low /b %USERPROFILE%\Documents\GitHub\eaglep3\Utilities\DownloadLogsFromS3.py --loco 4043 --day 2017-11-11</t>
  </si>
  <si>
    <t>start /low /b %USERPROFILE%\Documents\GitHub\eaglep3\Utilities\DownloadLogsFromS3.py --loco 4022 --day 2017-11-11</t>
  </si>
  <si>
    <t>start /low /b %USERPROFILE%\Documents\GitHub\eaglep3\Utilities\DownloadLogsFromS3.py --loco 4009 --day 2017-11-11</t>
  </si>
  <si>
    <t>start /low /b %USERPROFILE%\Documents\GitHub\eaglep3\Utilities\DownloadLogsFromS3.py --loco 4035 --day 2017-11-11</t>
  </si>
  <si>
    <t>start /low /b %USERPROFILE%\Documents\GitHub\eaglep3\Utilities\DownloadLogsFromS3.py --loco 4026 --day 2017-11-11</t>
  </si>
  <si>
    <t>start /low /b %USERPROFILE%\Documents\GitHub\eaglep3\Utilities\DownloadLogsFromS3.py --loco 4058 --day 2017-11-12</t>
  </si>
  <si>
    <t>start /low /b %USERPROFILE%\Documents\GitHub\eaglep3\Utilities\DownloadLogsFromS3.py --loco 4022 --day 1969-12-31</t>
  </si>
  <si>
    <t>start /low /b %USERPROFILE%\Documents\GitHub\eaglep3\Utilities\DownloadLogsFromS3.py --loco 4006 --day 2017-11-11</t>
  </si>
  <si>
    <t>start /low /b %USERPROFILE%\Documents\GitHub\eaglep3\Utilities\DownloadLogsFromS3.py --loco 4005 --day 2017-11-11</t>
  </si>
  <si>
    <t>start /low /b %USERPROFILE%\Documents\GitHub\eaglep3\Utilities\DownloadLogsFromS3.py --loco 4057 --day 2017-11-12</t>
  </si>
  <si>
    <t>start /low /b %USERPROFILE%\Documents\GitHub\eaglep3\Utilities\DownloadLogsFromS3.py --loco 4009 --day 2017-11-12</t>
  </si>
  <si>
    <t>start /low /b %USERPROFILE%\Documents\GitHub\eaglep3\Utilities\DownloadLogsFromS3.py --loco 4021 --day 2017-11-12</t>
  </si>
  <si>
    <t>start /low /b %USERPROFILE%\Documents\GitHub\eaglep3\Utilities\DownloadLogsFromS3.py --loco 4065 --day 2017-11-11</t>
  </si>
  <si>
    <t>start /low /b %USERPROFILE%\Documents\GitHub\eaglep3\Utilities\DownloadLogsFromS3.py --loco 4022 --day 2017-11-12</t>
  </si>
  <si>
    <t>start /low /b %USERPROFILE%\Documents\GitHub\eaglep3\Utilities\DownloadLogsFromS3.py --loco 4066 --day 2017-11-11</t>
  </si>
  <si>
    <t>start /low /b %USERPROFILE%\Documents\GitHub\eaglep3\Utilities\DownloadLogsFromS3.py --loco 4025 --day 2017-11-11</t>
  </si>
  <si>
    <t>start /low /b %USERPROFILE%\Documents\GitHub\eaglep3\Utilities\DownloadLogsFromS3.py --loco 4005 --day 2017-11-12</t>
  </si>
  <si>
    <t>Onboard in-route failure</t>
  </si>
  <si>
    <t>Wheel tach sensor issue</t>
  </si>
  <si>
    <t>Premature downgrade at EC0365RH 27-1T 1N</t>
  </si>
  <si>
    <t>At 14:38:24 - EC0365RH 27-1T 1N dropped from 270 to 0 (STOP &amp; PROCEED) - do logs indicate anything unusual?</t>
  </si>
  <si>
    <t>Poor GPS under Wewatta St bridge</t>
  </si>
  <si>
    <t>Form C</t>
  </si>
  <si>
    <t>Premature downgrade at DUS 2N</t>
  </si>
  <si>
    <t>Overspeed</t>
  </si>
  <si>
    <t>No PTC penalty activity found (56997) - ATC issue?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</si>
</sst>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8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COUNTIFS($N$13:$N$9531,"&gt;0",$AG$13:$AG$9531,I1)</f>
        <v>137</v>
      </c>
      <c r="K5" s="39"/>
      <c r="L5" s="172"/>
      <c r="M5" s="40">
        <f>AVERAGEIFS($N$13:$N$9531,$AG$13:$AG$9531,I1)</f>
        <v>37.460827250424501</v>
      </c>
      <c r="N5" s="38">
        <f t="array" ref="N5">MIN(IF($AG$13:$AG$9531=I1,IF(ISNUMBER($N$13:$N$9531),IF($N$13:$N$9531&gt;0,$N$13:$N$9531))))</f>
        <v>34.049999996786937</v>
      </c>
      <c r="O5" s="3">
        <f t="array" ref="O5">MAX(IF($AG$13:$AG$9531=I1,IF(ISNUMBER($N$13:$N$9531),IF($N$13:$N$9531&gt;0,$N$13:$N$9531))))</f>
        <v>45.433333340333775</v>
      </c>
      <c r="P5" s="2"/>
      <c r="R5" s="163" t="s">
        <v>17</v>
      </c>
      <c r="S5" s="207">
        <f>COUNTIFS($N$13:$N$9531,"&gt;0",$AG$13:$AG$9531,R1)</f>
        <v>35</v>
      </c>
      <c r="T5" s="172"/>
      <c r="U5" s="195"/>
      <c r="V5" s="211">
        <f>AVERAGEIFS($N$13:$N$9531,$AG$13:$AG$9531,R1)</f>
        <v>13.832380951648313</v>
      </c>
      <c r="W5" s="212">
        <f t="array" ref="W5">MIN(IF($AG$13:$AG$9531=R1,IF(ISNUMBER($N$13:$N$9531),IF($N$13:$N$9531&gt;0,$N$13:$N$9531))))</f>
        <v>11.34999999194406</v>
      </c>
      <c r="X5" s="200">
        <f t="array" ref="X5">MAX(IF($AG$13:$AG$9531=R1,IF(ISNUMBER($N$13:$N$9531),IF($N$13:$N$9531&gt;0,$N$13:$N$9531))))</f>
        <v>17.216666667954996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COUNT($O$13:$O$289)</f>
        <v>0</v>
      </c>
      <c r="K6" s="39"/>
      <c r="L6" s="172"/>
      <c r="M6" s="40">
        <f>IFERROR(AVERAGE($O$13:$O$289),0)</f>
        <v>0</v>
      </c>
      <c r="N6" s="38">
        <f>MIN($O$13:$O$289)</f>
        <v>0</v>
      </c>
      <c r="O6" s="3">
        <f>MAX($O$13:$O$289)</f>
        <v>0</v>
      </c>
      <c r="P6" s="2"/>
      <c r="R6" s="164" t="s">
        <v>43</v>
      </c>
      <c r="S6" s="207">
        <f>COUNT($O$13:$O$289)</f>
        <v>0</v>
      </c>
      <c r="T6" s="172"/>
      <c r="U6" s="195"/>
      <c r="V6" s="211">
        <f>IFERROR(AVERAGE($O$13:$O$289),0)</f>
        <v>0</v>
      </c>
      <c r="W6" s="212">
        <f>MIN($O$13:$O$289)</f>
        <v>0</v>
      </c>
      <c r="X6" s="200">
        <f>MAX($O$13:$O$289)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COUNTIFS($P$13:$P$9531,"&gt;0",$AG$13:$AG$9531,I1)</f>
        <v>9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COUNTIFS($P$13:$P$9531,"&gt;0",$AG$13:$AG$9531,R1)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2"/>
      <c r="M8" s="40">
        <f>M5</f>
        <v>37.460827250424501</v>
      </c>
      <c r="N8" s="38">
        <f>N5</f>
        <v>34.049999996786937</v>
      </c>
      <c r="O8" s="3">
        <f>O5</f>
        <v>45.433333340333775</v>
      </c>
      <c r="P8" s="2"/>
      <c r="R8" s="163" t="s">
        <v>16</v>
      </c>
      <c r="S8" s="207">
        <f>S5</f>
        <v>35</v>
      </c>
      <c r="T8" s="172"/>
      <c r="U8" s="195"/>
      <c r="V8" s="211">
        <f>V5</f>
        <v>13.832380951648313</v>
      </c>
      <c r="W8" s="212">
        <f>W5</f>
        <v>11.34999999194406</v>
      </c>
      <c r="X8" s="200">
        <f>X5</f>
        <v>17.216666667954996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0.93835616438356162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- 2017-11-11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AVERAGE(S13:S119)</f>
        <v>0.98120915032679734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700</v>
      </c>
      <c r="B13" s="7">
        <v>4044</v>
      </c>
      <c r="C13" s="21" t="s">
        <v>192</v>
      </c>
      <c r="D13" s="21" t="s">
        <v>885</v>
      </c>
      <c r="E13" s="13">
        <v>43050.134143518517</v>
      </c>
      <c r="F13" s="13">
        <v>43050.13590277778</v>
      </c>
      <c r="G13" s="7">
        <v>70</v>
      </c>
      <c r="H13" s="21" t="s">
        <v>552</v>
      </c>
      <c r="I13" s="13">
        <v>43050.161168981482</v>
      </c>
      <c r="J13" s="7">
        <v>0</v>
      </c>
      <c r="K13" s="89" t="str">
        <f t="shared" ref="K13:K76" si="0">IF(ISEVEN(B13),(B13-1)&amp;"/"&amp;B13,B13&amp;"/"&amp;(B13+1))</f>
        <v>4043/4044</v>
      </c>
      <c r="L13" s="185" t="str">
        <f>VLOOKUP(A13,'Trips&amp;Operators'!$C$1:$G$99911,5,FALSE)</f>
        <v>THOMPSON LESTER</v>
      </c>
      <c r="M13" s="6">
        <f t="shared" ref="M13:M76" si="1">I13-F13</f>
        <v>2.5266203701903578E-2</v>
      </c>
      <c r="N13" s="7">
        <f>24*60*SUM($M13:$M13)</f>
        <v>36.383333330741152</v>
      </c>
      <c r="O13" s="7"/>
      <c r="P13" s="7"/>
      <c r="Q13" s="22"/>
      <c r="R13" s="167"/>
      <c r="S13" s="221">
        <f>1/IF(AG13="EC",12,1)*SUM(U13:U13)</f>
        <v>1</v>
      </c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-11T02:13:10-0700',mode:absolute,to:'2017-11-11T04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4" t="str">
        <f>IF(AA13&lt;VLOOKUP(AG13,Variables!$AC$3:$AD$8,2,FALSE),"Y","N")</f>
        <v>N</v>
      </c>
      <c r="X13" s="204" t="e">
        <f t="shared" ref="X13:X55" si="4">VALUE(LEFT(AD13,4))-VALUE(LEFT(AD12,4))</f>
        <v>#VALUE!</v>
      </c>
      <c r="Y13" s="204">
        <f t="shared" ref="Y13:Y44" si="5">RIGHT(D13,LEN(D13)-4)/10000</f>
        <v>7.0999999999999994E-2</v>
      </c>
      <c r="Z13" s="204">
        <f t="shared" ref="Z13:Z44" si="6">RIGHT(H13,LEN(H13)-4)/10000</f>
        <v>23.329699999999999</v>
      </c>
      <c r="AA13" s="204">
        <f t="shared" ref="AA13:AA76" si="7">ABS(Z13-Y13)</f>
        <v>23.258699999999997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/stypes="app*4044*20171111*"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4044 --swversion DE.1.0.9.0 --startMP 204:710 --initTime 2017-11-11T03:13:10 --startdatetime 2017-11-11T03:15:42 --delay 70 --endMP 204:233297 --enddatetime 2017-11-11T03:52:05 --enforcementcount 0 &gt;&gt;%USERPROFILE%\Documents\GitHub\eaglep3-reporting\EC\2017-11-11-refined-times.txt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{"issue":{"subject":"","project_id":79,"tracker_id":40,"status_id":1,"priority_id":2,"assigned_to_id":338,"start_date":"2017-11-11","description":"","custom_fields":[{"id":1,"name":"Subdivision","value":"EC"},{"id":4,"name":"Milepost","value":"23.3297"},{"id":17,"name":"Train ID","value":"101-11"},{"id":16,"name":"Locomotive ID","value":"4044"},{"id":130,"name":"Impact","value":""},{"id":150,"name":"Time of Event (Mountain Time)","value":"03:52:05"},{"id":151,"name":"Denver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4044 --day 2017-11-11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-11T02:13:10-0700',mode:absolute,to:'2017-11-11T04:52:05-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706</v>
      </c>
      <c r="B14" s="7">
        <v>4043</v>
      </c>
      <c r="C14" s="21" t="s">
        <v>192</v>
      </c>
      <c r="D14" s="21" t="s">
        <v>886</v>
      </c>
      <c r="E14" s="13">
        <v>43050.172986111109</v>
      </c>
      <c r="F14" s="13">
        <v>43050.189791666664</v>
      </c>
      <c r="G14" s="7">
        <v>72</v>
      </c>
      <c r="H14" s="21" t="s">
        <v>887</v>
      </c>
      <c r="I14" s="13">
        <v>43050.207928240743</v>
      </c>
      <c r="J14" s="7">
        <v>0</v>
      </c>
      <c r="K14" s="89" t="str">
        <f t="shared" si="0"/>
        <v>4043/4044</v>
      </c>
      <c r="L14" s="185" t="str">
        <f>VLOOKUP(A14,'Trips&amp;Operators'!$C$1:$G$99911,5,FALSE)</f>
        <v>THOMPSON LESTER</v>
      </c>
      <c r="M14" s="6">
        <f t="shared" si="1"/>
        <v>1.8136574079107959E-2</v>
      </c>
      <c r="N14" s="7"/>
      <c r="O14" s="7"/>
      <c r="P14" s="7"/>
      <c r="Q14" s="22"/>
      <c r="R14" s="174"/>
      <c r="S14" s="221"/>
      <c r="T14" s="174" t="str">
        <f t="shared" si="2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-11-11T03:09:06-0700',mode:absolute,to:'2017-11-11T05:59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04" t="str">
        <f>IF(AA14&lt;VLOOKUP(AG14,Variables!$AC$3:$AD$8,2,FALSE),"Y","N")</f>
        <v>Y</v>
      </c>
      <c r="X14" s="204">
        <f t="shared" si="4"/>
        <v>1</v>
      </c>
      <c r="Y14" s="204">
        <f t="shared" si="5"/>
        <v>23.298400000000001</v>
      </c>
      <c r="Z14" s="204">
        <f t="shared" si="6"/>
        <v>23.296500000000002</v>
      </c>
      <c r="AA14" s="204">
        <f t="shared" si="7"/>
        <v>1.8999999999991246E-3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8"/>
        <v>102</v>
      </c>
      <c r="AE14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4" s="74" t="str">
        <f t="shared" si="10"/>
        <v>"C:\Program Files (x86)\AstroGrep\AstroGrep.exe" /e /r /s /spath="%USERPROFILE%\AppData\Local\Temp\OnboardLogs" /stypes="app*4043*20171111*" /stext=" 11:.+((SYSTEM_STATE.+slice.+state.+changed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4043 --swversion DE.1.0.9.0 --startMP 204:232984 --initTime 2017-11-11T04:09:06 --startdatetime 2017-11-11T04:33:18 --delay 72 --endMP 204:232965 --enddatetime 2017-11-11T04:59:25 --enforcementcount 0 &gt;&gt;%USERPROFILE%\Documents\GitHub\eaglep3-reporting\EC\2017-11-11-refined-times.txt</v>
      </c>
      <c r="AI14" s="96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{"issue":{"subject":"","project_id":79,"tracker_id":40,"status_id":1,"priority_id":2,"assigned_to_id":338,"start_date":"2017-11-11","description":"","custom_fields":[{"id":1,"name":"Subdivision","value":"EC"},{"id":4,"name":"Milepost","value":"23.2965"},{"id":17,"name":"Train ID","value":"102-11"},{"id":16,"name":"Locomotive ID","value":"4043"},{"id":130,"name":"Impact","value":""},{"id":150,"name":"Time of Event (Mountain Time)","value":"04:59:25"},{"id":151,"name":"Denver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19">"start /low /b "&amp;dls3logs&amp;" --loco "&amp;B14&amp;" --day "&amp;TEXT(F14,"YYYY-MM-DD")</f>
        <v>start /low /b %USERPROFILE%\Documents\GitHub\eaglep3\Utilities\DownloadLogsFromS3.py --loco 4043 --day 2017-11-11</v>
      </c>
      <c r="AN14" s="151" t="str">
        <f t="shared" ref="AN14:AN76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11:59:25"},{"id":29,"name":"Sharepoint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-11T03:09:06-0700',mode:absolute,to:'2017-11-11T05:59:25-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706</v>
      </c>
      <c r="B15" s="7">
        <v>4043</v>
      </c>
      <c r="C15" s="21" t="s">
        <v>192</v>
      </c>
      <c r="D15" s="21" t="s">
        <v>888</v>
      </c>
      <c r="E15" s="13">
        <v>43050.188113425924</v>
      </c>
      <c r="F15" s="13">
        <v>43050.189791666664</v>
      </c>
      <c r="G15" s="7">
        <v>92</v>
      </c>
      <c r="H15" s="21" t="s">
        <v>889</v>
      </c>
      <c r="I15" s="13">
        <v>43050.207928240743</v>
      </c>
      <c r="J15" s="7">
        <v>0</v>
      </c>
      <c r="K15" s="89" t="str">
        <f t="shared" si="0"/>
        <v>4043/4044</v>
      </c>
      <c r="L15" s="185" t="str">
        <f>VLOOKUP(A15,'Trips&amp;Operators'!$C$1:$G$99911,5,FALSE)</f>
        <v>THOMPSON LESTER</v>
      </c>
      <c r="M15" s="6">
        <f t="shared" si="1"/>
        <v>1.8136574079107959E-2</v>
      </c>
      <c r="N15" s="7"/>
      <c r="O15" s="7"/>
      <c r="P15" s="7">
        <f>24*60*SUM($M15:$M15)</f>
        <v>26.116666673915461</v>
      </c>
      <c r="Q15" s="22"/>
      <c r="R15" s="174" t="s">
        <v>1089</v>
      </c>
      <c r="S15" s="221">
        <f t="shared" ref="S15:S20" si="22">1/IF(AG15="EC",12,1)*SUM(U15:U15)</f>
        <v>1</v>
      </c>
      <c r="T15" s="174" t="str">
        <f t="shared" si="2"/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-11-11T03:30:53-0700',mode:absolute,to:'2017-11-11T05:59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" s="204" t="str">
        <f>IF(AA15&lt;VLOOKUP(AG15,Variables!$AC$3:$AD$8,2,FALSE),"Y","N")</f>
        <v>Y</v>
      </c>
      <c r="X15" s="204">
        <f t="shared" si="4"/>
        <v>0</v>
      </c>
      <c r="Y15" s="204">
        <f t="shared" si="5"/>
        <v>12.7896</v>
      </c>
      <c r="Z15" s="204">
        <f t="shared" si="6"/>
        <v>1.61E-2</v>
      </c>
      <c r="AA15" s="204">
        <f t="shared" si="7"/>
        <v>12.7735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8"/>
        <v>102</v>
      </c>
      <c r="AE15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5" s="74" t="str">
        <f t="shared" si="10"/>
        <v>"C:\Program Files (x86)\AstroGrep\AstroGrep.exe" /e /r /s /spath="%USERPROFILE%\AppData\Local\Temp\OnboardLogs" /stypes="app*4043*20171111*" /stext=" 11:.+((SYSTEM_STATE.+slice.+state.+changed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102-11 --locoid 4043 --swversion DE.1.0.9.0 --startMP 204:127896 --initTime 2017-11-11T04:30:53 --startdatetime 2017-11-11T04:33:18 --delay 92 --endMP 204:161 --enddatetime 2017-11-11T04:59:25 --enforcementcount 0 &gt;&gt;%USERPROFILE%\Documents\GitHub\eaglep3-reporting\EC\2017-11-11-refined-times.txt</v>
      </c>
      <c r="AI15" s="96" t="str">
        <f t="shared" si="18"/>
        <v>echo {"issue":{"subject":"Onboard in-route failure","project_id":79,"tracker_id":40,"status_id":1,"priority_id":2,"assigned_to_id":338,"start_date":"2017-11-11","description":"","custom_fields":[{"id":1,"name":"Subdivision","value":"EC"},{"id":4,"name":"Milepost","value":"0.0161"},{"id":17,"name":"Train ID","value":"102-11"},{"id":16,"name":"Locomotive ID","value":"4043"},{"id":130,"name":"Impact","value":""},{"id":150,"name":"Time of Event (Mountain Time)","value":"04:59:25"},{"id":151,"name":"Denver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4043 --day 2017-11-11</v>
      </c>
      <c r="AN15" s="151" t="str">
        <f t="shared" si="20"/>
        <v>echo {"issue":{"subject":"Onboard in-route failure","project_id":30,"tracker_id":4,"status_id":1,"priority_id":1,"assigned_to_id":10,"start_date":"2017-11-11","description":"","custom_fields":[{"id":30,"name":"Category","value":"Issue"},{"id":3,"name":"Functional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11:59:25"},{"id":29,"name":"Sharepoint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-11-11T03:30:53-0700',mode:absolute,to:'2017-11-11T05:59:25-0700'))&amp;_a=(columns:!('Message%20ID',Summary),filters:!(),index:'emp_*',interval:auto,query:(query_string:(analyze_wildcard:!t,query:'%22rtdc.l.rtdc.4043%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703</v>
      </c>
      <c r="B16" s="7">
        <v>4058</v>
      </c>
      <c r="C16" s="21" t="s">
        <v>192</v>
      </c>
      <c r="D16" s="21" t="s">
        <v>603</v>
      </c>
      <c r="E16" s="13">
        <v>43050.152071759258</v>
      </c>
      <c r="F16" s="13">
        <v>43050.156458333331</v>
      </c>
      <c r="G16" s="7">
        <v>54</v>
      </c>
      <c r="H16" s="21" t="s">
        <v>890</v>
      </c>
      <c r="I16" s="13">
        <v>43050.182141203702</v>
      </c>
      <c r="J16" s="7">
        <v>0</v>
      </c>
      <c r="K16" s="89" t="str">
        <f t="shared" si="0"/>
        <v>4057/4058</v>
      </c>
      <c r="L16" s="185" t="str">
        <f>VLOOKUP(A16,'Trips&amp;Operators'!$C$1:$G$99911,5,FALSE)</f>
        <v>MAELZER KURT</v>
      </c>
      <c r="M16" s="6">
        <f t="shared" si="1"/>
        <v>2.5682870371383615E-2</v>
      </c>
      <c r="N16" s="7">
        <f>24*60*SUM($M16:$M16)</f>
        <v>36.983333334792405</v>
      </c>
      <c r="O16" s="7"/>
      <c r="P16" s="7"/>
      <c r="Q16" s="22"/>
      <c r="R16" s="174"/>
      <c r="S16" s="221">
        <f t="shared" si="22"/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-11-11T02:38:59-0700',mode:absolute,to:'2017-11-11T05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" s="204" t="str">
        <f>IF(AA16&lt;VLOOKUP(AG16,Variables!$AC$3:$AD$8,2,FALSE),"Y","N")</f>
        <v>N</v>
      </c>
      <c r="X16" s="204">
        <f t="shared" si="4"/>
        <v>1</v>
      </c>
      <c r="Y16" s="204">
        <f t="shared" si="5"/>
        <v>4.53E-2</v>
      </c>
      <c r="Z16" s="204">
        <f t="shared" si="6"/>
        <v>23.3307</v>
      </c>
      <c r="AA16" s="204">
        <f t="shared" si="7"/>
        <v>23.285399999999999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8"/>
        <v>103</v>
      </c>
      <c r="AE16" s="77" t="str">
        <f t="shared" si="9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6" s="74" t="str">
        <f t="shared" si="10"/>
        <v>"C:\Program Files (x86)\AstroGrep\AstroGrep.exe" /e /r /s /spath="%USERPROFILE%\AppData\Local\Temp\OnboardLogs" /stypes="app*4058*20171111*"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103-11 --locoid 4058 --swversion DE.1.0.9.0 --startMP 204:453 --initTime 2017-11-11T03:38:59 --startdatetime 2017-11-11T03:45:18 --delay 54 --endMP 204:233307 --enddatetime 2017-11-11T04:22:17 --enforcementcount 0 &gt;&gt;%USERPROFILE%\Documents\GitHub\eaglep3-reporting\EC\2017-11-11-refined-times.txt</v>
      </c>
      <c r="AI1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{"issue":{"subject":"","project_id":79,"tracker_id":40,"status_id":1,"priority_id":2,"assigned_to_id":338,"start_date":"2017-11-11","description":"","custom_fields":[{"id":1,"name":"Subdivision","value":"EC"},{"id":4,"name":"Milepost","value":"23.3307"},{"id":17,"name":"Train ID","value":"103-11"},{"id":16,"name":"Locomotive ID","value":"4058"},{"id":130,"name":"Impact","value":""},{"id":150,"name":"Time of Event (Mountain Time)","value":"04:22:17"},{"id":151,"name":"Denver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4058 --day 2017-11-11</v>
      </c>
      <c r="AN1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-11-11T02:38:59-0700',mode:absolute,to:'2017-11-11T05:22:17-0700'))&amp;_a=(columns:!('Message%20ID',Summary),filters:!(),index:'emp_*',interval:auto,query:(query_string:(analyze_wildcard:!t,query:'%22rtdc.l.rtdc.4058%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712</v>
      </c>
      <c r="B17" s="7">
        <v>4057</v>
      </c>
      <c r="C17" s="21" t="s">
        <v>192</v>
      </c>
      <c r="D17" s="21" t="s">
        <v>443</v>
      </c>
      <c r="E17" s="13">
        <v>43050.186909722222</v>
      </c>
      <c r="F17" s="13">
        <v>43050.19604166667</v>
      </c>
      <c r="G17" s="7">
        <v>46</v>
      </c>
      <c r="H17" s="21" t="s">
        <v>616</v>
      </c>
      <c r="I17" s="13">
        <v>43050.223298611112</v>
      </c>
      <c r="J17" s="7">
        <v>0</v>
      </c>
      <c r="K17" s="89" t="str">
        <f t="shared" si="0"/>
        <v>4057/4058</v>
      </c>
      <c r="L17" s="185" t="str">
        <f>VLOOKUP(A17,'Trips&amp;Operators'!$C$1:$G$99911,5,FALSE)</f>
        <v>MAELZER KURT</v>
      </c>
      <c r="M17" s="6">
        <f t="shared" si="1"/>
        <v>2.7256944442342501E-2</v>
      </c>
      <c r="N17" s="7">
        <f>24*60*SUM($M17:$M17)</f>
        <v>39.249999996973202</v>
      </c>
      <c r="O17" s="7"/>
      <c r="P17" s="7"/>
      <c r="Q17" s="22"/>
      <c r="R17" s="174"/>
      <c r="S17" s="221">
        <f t="shared" si="22"/>
        <v>1</v>
      </c>
      <c r="T17" s="174" t="str">
        <f t="shared" si="2"/>
        <v>Southbound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-11-11T03:29:09-0700',mode:absolute,to:'2017-11-11T06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" s="204" t="str">
        <f>IF(AA17&lt;VLOOKUP(AG17,Variables!$AC$3:$AD$8,2,FALSE),"Y","N")</f>
        <v>N</v>
      </c>
      <c r="X17" s="204">
        <f t="shared" si="4"/>
        <v>1</v>
      </c>
      <c r="Y17" s="204">
        <f t="shared" si="5"/>
        <v>23.297699999999999</v>
      </c>
      <c r="Z17" s="204">
        <f t="shared" si="6"/>
        <v>1.38E-2</v>
      </c>
      <c r="AA17" s="204">
        <f t="shared" si="7"/>
        <v>23.283899999999999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8"/>
        <v>104</v>
      </c>
      <c r="AE17" s="77" t="str">
        <f t="shared" si="9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7" s="74" t="str">
        <f t="shared" si="10"/>
        <v>"C:\Program Files (x86)\AstroGrep\AstroGrep.exe" /e /r /s /spath="%USERPROFILE%\AppData\Local\Temp\OnboardLogs" /stypes="app*4057*20171111*" /stext=" 12:.+((SYSTEM_STATE.+slice.+state.+changed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104-11 --locoid 4057 --swversion DE.1.0.9.0 --startMP 204:232977 --initTime 2017-11-11T04:29:09 --startdatetime 2017-11-11T04:42:18 --delay 46 --endMP 204:138 --enddatetime 2017-11-11T05:21:33 --enforcementcount 0 &gt;&gt;%USERPROFILE%\Documents\GitHub\eaglep3-reporting\EC\2017-11-11-refined-times.txt</v>
      </c>
      <c r="AI1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{"issue":{"subject":"","project_id":79,"tracker_id":40,"status_id":1,"priority_id":2,"assigned_to_id":338,"start_date":"2017-11-11","description":"","custom_fields":[{"id":1,"name":"Subdivision","value":"EC"},{"id":4,"name":"Milepost","value":"0.0138"},{"id":17,"name":"Train ID","value":"104-11"},{"id":16,"name":"Locomotive ID","value":"4057"},{"id":130,"name":"Impact","value":""},{"id":150,"name":"Time of Event (Mountain Time)","value":"05:21:33"},{"id":151,"name":"Denver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4057 --day 2017-11-11</v>
      </c>
      <c r="AN1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-11-11T03:29:09-0700',mode:absolute,to:'2017-11-11T06:21:33-0700'))&amp;_a=(columns:!('Message%20ID',Summary),filters:!(),index:'emp_*',interval:auto,query:(query_string:(analyze_wildcard:!t,query:'%22rtdc.l.rtdc.4057%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707</v>
      </c>
      <c r="B18" s="7">
        <v>4010</v>
      </c>
      <c r="C18" s="21" t="s">
        <v>192</v>
      </c>
      <c r="D18" s="21" t="s">
        <v>891</v>
      </c>
      <c r="E18" s="13">
        <v>43050.175046296295</v>
      </c>
      <c r="F18" s="13">
        <v>43050.177766203706</v>
      </c>
      <c r="G18" s="7">
        <v>74</v>
      </c>
      <c r="H18" s="21" t="s">
        <v>444</v>
      </c>
      <c r="I18" s="13">
        <v>43050.203842592593</v>
      </c>
      <c r="J18" s="7">
        <v>0</v>
      </c>
      <c r="K18" s="89" t="str">
        <f t="shared" si="0"/>
        <v>4009/4010</v>
      </c>
      <c r="L18" s="185" t="str">
        <f>VLOOKUP(A18,'Trips&amp;Operators'!$C$1:$G$99911,5,FALSE)</f>
        <v>PAGE MARCUS</v>
      </c>
      <c r="M18" s="6">
        <f t="shared" si="1"/>
        <v>2.6076388887304347E-2</v>
      </c>
      <c r="N18" s="7">
        <f>24*60*SUM($M18:$M18)</f>
        <v>37.54999999771826</v>
      </c>
      <c r="O18" s="7"/>
      <c r="P18" s="7"/>
      <c r="Q18" s="22"/>
      <c r="R18" s="174"/>
      <c r="S18" s="221">
        <f t="shared" si="22"/>
        <v>1</v>
      </c>
      <c r="T18" s="174" t="str">
        <f t="shared" si="2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-11-11T03:12:04-0700',mode:absolute,to:'2017-11-11T05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4.6899999999999997E-2</v>
      </c>
      <c r="Z18" s="204">
        <f t="shared" si="6"/>
        <v>23.328900000000001</v>
      </c>
      <c r="AA18" s="204">
        <f t="shared" si="7"/>
        <v>23.282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8"/>
        <v>105</v>
      </c>
      <c r="AE18" s="77" t="str">
        <f t="shared" si="9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8" s="74" t="str">
        <f t="shared" si="10"/>
        <v>"C:\Program Files (x86)\AstroGrep\AstroGrep.exe" /e /r /s /spath="%USERPROFILE%\AppData\Local\Temp\OnboardLogs" /stypes="app*4010*20171111*" /stext=" 11:.+((SYSTEM_STATE.+slice.+state.+changed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7"/>
        <v>"%USERPROFILE%\Documents\GitHub\eaglep3\Utilities\RefineRTDCRunTimes.py" --tripid 105-11 --locoid 4010 --swversion DE.1.0.9.0 --startMP 204:469 --initTime 2017-11-11T04:12:04 --startdatetime 2017-11-11T04:15:59 --delay 74 --endMP 204:233289 --enddatetime 2017-11-11T04:53:32 --enforcementcount 0 &gt;&gt;%USERPROFILE%\Documents\GitHub\eaglep3-reporting\EC\2017-11-11-refined-times.txt</v>
      </c>
      <c r="AI1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{"issue":{"subject":"","project_id":79,"tracker_id":40,"status_id":1,"priority_id":2,"assigned_to_id":338,"start_date":"2017-11-11","description":"","custom_fields":[{"id":1,"name":"Subdivision","value":"EC"},{"id":4,"name":"Milepost","value":"23.3289"},{"id":17,"name":"Train ID","value":"105-11"},{"id":16,"name":"Locomotive ID","value":"4010"},{"id":130,"name":"Impact","value":""},{"id":150,"name":"Time of Event (Mountain Time)","value":"04:53:32"},{"id":151,"name":"Denver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4010 --day 2017-11-11</v>
      </c>
      <c r="AN1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1"/>
        <v>https://d0f6bd738d7f1b3e5a7ca70fe4ff75f0.us-east-1.aws.found.io/app/kibana#/discover/Steve-Slow-Train-Analysis-(2080s-and-2083s)?_g=(refreshInterval:(display:Off,pause:!f,section:0,value:0),time:(from:'2017-11-11T03:12:04-0700',mode:absolute,to:'2017-11-11T05:53:32-0700'))&amp;_a=(columns:!('Message%20ID',Summary),filters:!(),index:'emp_*',interval:auto,query:(query_string:(analyze_wildcard:!t,query:'%22rtdc.l.rtdc.4010%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660</v>
      </c>
      <c r="B19" s="7">
        <v>4009</v>
      </c>
      <c r="C19" s="21" t="s">
        <v>192</v>
      </c>
      <c r="D19" s="21" t="s">
        <v>443</v>
      </c>
      <c r="E19" s="13">
        <v>43050.211261574077</v>
      </c>
      <c r="F19" s="13">
        <v>43050.216851851852</v>
      </c>
      <c r="G19" s="7">
        <v>53</v>
      </c>
      <c r="H19" s="21" t="s">
        <v>892</v>
      </c>
      <c r="I19" s="13">
        <v>43050.243645833332</v>
      </c>
      <c r="J19" s="7">
        <v>0</v>
      </c>
      <c r="K19" s="89" t="str">
        <f t="shared" si="0"/>
        <v>4009/4010</v>
      </c>
      <c r="L19" s="185" t="str">
        <f>VLOOKUP(A19,'Trips&amp;Operators'!$C$1:$G$99911,5,FALSE)</f>
        <v>PAGE MARCUS</v>
      </c>
      <c r="M19" s="6">
        <f t="shared" si="1"/>
        <v>2.679398148029577E-2</v>
      </c>
      <c r="N19" s="7">
        <f>24*60*SUM($M19:$M19)</f>
        <v>38.583333331625909</v>
      </c>
      <c r="O19" s="7"/>
      <c r="P19" s="7"/>
      <c r="Q19" s="22"/>
      <c r="R19" s="174"/>
      <c r="S19" s="221">
        <f t="shared" si="22"/>
        <v>1</v>
      </c>
      <c r="T19" s="174" t="str">
        <f t="shared" si="2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-11-11T04:04:13-0700',mode:absolute,to:'2017-11-11T06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23.297699999999999</v>
      </c>
      <c r="Z19" s="204">
        <f t="shared" si="6"/>
        <v>1.49E-2</v>
      </c>
      <c r="AA19" s="204">
        <f t="shared" si="7"/>
        <v>23.282799999999998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8"/>
        <v>106</v>
      </c>
      <c r="AE19" s="77" t="str">
        <f t="shared" si="9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9" s="74" t="str">
        <f t="shared" si="10"/>
        <v>"C:\Program Files (x86)\AstroGrep\AstroGrep.exe" /e /r /s /spath="%USERPROFILE%\AppData\Local\Temp\OnboardLogs" /stypes="app*4009*20171111*" /stext=" 12:.+((SYSTEM_STATE.+slice.+state.+changed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106-11 --locoid 4009 --swversion DE.1.0.9.0 --startMP 204:232977 --initTime 2017-11-11T05:04:13 --startdatetime 2017-11-11T05:12:16 --delay 53 --endMP 204:149 --enddatetime 2017-11-11T05:50:51 --enforcementcount 0 &gt;&gt;%USERPROFILE%\Documents\GitHub\eaglep3-reporting\EC\2017-11-11-refined-times.txt</v>
      </c>
      <c r="AI1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{"issue":{"subject":"","project_id":79,"tracker_id":40,"status_id":1,"priority_id":2,"assigned_to_id":338,"start_date":"2017-11-11","description":"","custom_fields":[{"id":1,"name":"Subdivision","value":"EC"},{"id":4,"name":"Milepost","value":"0.0149"},{"id":17,"name":"Train ID","value":"106-11"},{"id":16,"name":"Locomotive ID","value":"4009"},{"id":130,"name":"Impact","value":""},{"id":150,"name":"Time of Event (Mountain Time)","value":"05:50:51"},{"id":151,"name":"Denver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4009 --day 2017-11-11</v>
      </c>
      <c r="AN1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-11-11T04:04:13-0700',mode:absolute,to:'2017-11-11T06:50:51-0700'))&amp;_a=(columns:!('Message%20ID',Summary),filters:!(),index:'emp_*',interval:auto,query:(query_string:(analyze_wildcard:!t,query:'%22rtdc.l.rtdc.4009%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711</v>
      </c>
      <c r="B20" s="7">
        <v>4022</v>
      </c>
      <c r="C20" s="21" t="s">
        <v>192</v>
      </c>
      <c r="D20" s="21" t="s">
        <v>893</v>
      </c>
      <c r="E20" s="13">
        <v>43050.185717592591</v>
      </c>
      <c r="F20" s="13">
        <v>43050.199074074073</v>
      </c>
      <c r="G20" s="7">
        <v>72</v>
      </c>
      <c r="H20" s="21" t="s">
        <v>894</v>
      </c>
      <c r="I20" s="13">
        <v>43050.200104166666</v>
      </c>
      <c r="J20" s="7">
        <v>0</v>
      </c>
      <c r="K20" s="89" t="str">
        <f t="shared" si="0"/>
        <v>4021/4022</v>
      </c>
      <c r="L20" s="185" t="str">
        <f>VLOOKUP(A20,'Trips&amp;Operators'!$C$1:$G$99911,5,FALSE)</f>
        <v>GEBRETEKLE DAGNEW</v>
      </c>
      <c r="M20" s="6">
        <f t="shared" si="1"/>
        <v>1.0300925932824612E-3</v>
      </c>
      <c r="N20" s="7"/>
      <c r="O20" s="7"/>
      <c r="P20" s="7">
        <f>24*60*SUM($M20:$M20)</f>
        <v>1.4833333343267441</v>
      </c>
      <c r="Q20" s="22"/>
      <c r="R20" s="174" t="s">
        <v>655</v>
      </c>
      <c r="S20" s="221">
        <f t="shared" si="22"/>
        <v>0</v>
      </c>
      <c r="T20" s="174" t="str">
        <f t="shared" si="2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-11-11T03:27:26-0700',mode:absolute,to:'2017-11-11T05:48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" s="204" t="str">
        <f>IF(AA20&lt;VLOOKUP(AG20,Variables!$AC$3:$AD$8,2,FALSE),"Y","N")</f>
        <v>Y</v>
      </c>
      <c r="X20" s="204">
        <f t="shared" si="4"/>
        <v>1</v>
      </c>
      <c r="Y20" s="204">
        <f t="shared" si="5"/>
        <v>4.24E-2</v>
      </c>
      <c r="Z20" s="204">
        <f t="shared" si="6"/>
        <v>0.55420000000000003</v>
      </c>
      <c r="AA20" s="204">
        <f t="shared" si="7"/>
        <v>0.51180000000000003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8"/>
        <v>107</v>
      </c>
      <c r="AE20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20" s="74" t="str">
        <f t="shared" si="10"/>
        <v>"C:\Program Files (x86)\AstroGrep\AstroGrep.exe" /e /r /s /spath="%USERPROFILE%\AppData\Local\Temp\OnboardLogs" /stypes="app*4022*20171111*" /stext=" 11:.+((SYSTEM_STATE.+slice.+state.+changed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107-11 --locoid 4022 --swversion DE.1.0.9.0 --startMP 204:424 --initTime 2017-11-11T04:27:26 --startdatetime 2017-11-11T04:46:40 --delay 72 --endMP 204:5542 --enddatetime 2017-11-11T04:48:09 --enforcementcount 0 &gt;&gt;%USERPROFILE%\Documents\GitHub\eaglep3-reporting\EC\2017-11-11-refined-times.txt</v>
      </c>
      <c r="AI20" s="96" t="str">
        <f t="shared" si="18"/>
        <v>echo {"issue":{"subject":"Poor GPS at DUS","project_id":79,"tracker_id":40,"status_id":1,"priority_id":2,"assigned_to_id":338,"start_date":"2017-11-11","description":"","custom_fields":[{"id":1,"name":"Subdivision","value":"EC"},{"id":4,"name":"Milepost","value":"0.5542"},{"id":17,"name":"Train ID","value":"107-11"},{"id":16,"name":"Locomotive ID","value":"4022"},{"id":130,"name":"Impact","value":""},{"id":150,"name":"Time of Event (Mountain Time)","value":"04:48:09"},{"id":151,"name":"Denver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4022 --day 2017-11-11</v>
      </c>
      <c r="AN20" s="151" t="str">
        <f t="shared" si="20"/>
        <v>echo {"issue":{"subject":"Poor GPS at DUS","project_id":30,"tracker_id":4,"status_id":1,"priority_id":1,"assigned_to_id":10,"start_date":"2017-11-11","description":"","custom_fields":[{"id":30,"name":"Category","value":"Issue"},{"id":3,"name":"Functional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-11-11T03:27:26-0700',mode:absolute,to:'2017-11-11T05:48:09-0700'))&amp;_a=(columns:!('Message%20ID',Summary),filters:!(),index:'emp_*',interval:auto,query:(query_string:(analyze_wildcard:!t,query:'%22rtdc.l.rtdc.4022%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711</v>
      </c>
      <c r="B21" s="7">
        <v>4022</v>
      </c>
      <c r="C21" s="21" t="s">
        <v>192</v>
      </c>
      <c r="D21" s="21" t="s">
        <v>895</v>
      </c>
      <c r="E21" s="13">
        <v>43050.19798611111</v>
      </c>
      <c r="F21" s="13">
        <v>43050.199074074073</v>
      </c>
      <c r="G21" s="7">
        <v>50</v>
      </c>
      <c r="H21" s="21" t="s">
        <v>896</v>
      </c>
      <c r="I21" s="13">
        <v>43050.200104166666</v>
      </c>
      <c r="J21" s="7">
        <v>0</v>
      </c>
      <c r="K21" s="89" t="str">
        <f t="shared" si="0"/>
        <v>4021/4022</v>
      </c>
      <c r="L21" s="185" t="str">
        <f>VLOOKUP(A21,'Trips&amp;Operators'!$C$1:$G$99911,5,FALSE)</f>
        <v>GEBRETEKLE DAGNEW</v>
      </c>
      <c r="M21" s="6">
        <f t="shared" si="1"/>
        <v>1.0300925932824612E-3</v>
      </c>
      <c r="N21" s="7"/>
      <c r="O21" s="7"/>
      <c r="P21" s="7"/>
      <c r="Q21" s="22"/>
      <c r="R21" s="174"/>
      <c r="S21" s="221"/>
      <c r="T21" s="174" t="str">
        <f t="shared" si="2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-11-11T03:45:06-0700',mode:absolute,to:'2017-11-11T05:48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204" t="str">
        <f>IF(AA21&lt;VLOOKUP(AG21,Variables!$AC$3:$AD$8,2,FALSE),"Y","N")</f>
        <v>Y</v>
      </c>
      <c r="X21" s="204">
        <f t="shared" si="4"/>
        <v>0</v>
      </c>
      <c r="Y21" s="204">
        <f t="shared" si="5"/>
        <v>6.47</v>
      </c>
      <c r="Z21" s="204">
        <f t="shared" si="6"/>
        <v>6.9280999999999997</v>
      </c>
      <c r="AA21" s="204">
        <f t="shared" si="7"/>
        <v>0.45809999999999995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8"/>
        <v>107</v>
      </c>
      <c r="AE21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21" s="74" t="str">
        <f t="shared" si="10"/>
        <v>"C:\Program Files (x86)\AstroGrep\AstroGrep.exe" /e /r /s /spath="%USERPROFILE%\AppData\Local\Temp\OnboardLogs" /stypes="app*4022*20171111*" /stext=" 11:.+((SYSTEM_STATE.+slice.+state.+changed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107-11 --locoid 4022 --swversion DE.1.0.9.0 --startMP 204:64700 --initTime 2017-11-11T04:45:06 --startdatetime 2017-11-11T04:46:40 --delay 50 --endMP 204:69281 --enddatetime 2017-11-11T04:48:09 --enforcementcount 0 &gt;&gt;%USERPROFILE%\Documents\GitHub\eaglep3-reporting\EC\2017-11-11-refined-times.txt</v>
      </c>
      <c r="AI2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{"issue":{"subject":"","project_id":79,"tracker_id":40,"status_id":1,"priority_id":2,"assigned_to_id":338,"start_date":"2017-11-11","description":"","custom_fields":[{"id":1,"name":"Subdivision","value":"EC"},{"id":4,"name":"Milepost","value":"6.9281"},{"id":17,"name":"Train ID","value":"107-11"},{"id":16,"name":"Locomotive ID","value":"4022"},{"id":130,"name":"Impact","value":""},{"id":150,"name":"Time of Event (Mountain Time)","value":"04:48:09"},{"id":151,"name":"Denver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4022 --day 2017-11-11</v>
      </c>
      <c r="AN2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-11-11T03:45:06-0700',mode:absolute,to:'2017-11-11T05:48:09-0700'))&amp;_a=(columns:!('Message%20ID',Summary),filters:!(),index:'emp_*',interval:auto,query:(query_string:(analyze_wildcard:!t,query:'%22rtdc.l.rtdc.4022%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716</v>
      </c>
      <c r="B22" s="7">
        <v>4021</v>
      </c>
      <c r="C22" s="21" t="s">
        <v>192</v>
      </c>
      <c r="D22" s="21" t="s">
        <v>596</v>
      </c>
      <c r="E22" s="13">
        <v>43050.215937499997</v>
      </c>
      <c r="F22" s="13">
        <v>43050.227256944447</v>
      </c>
      <c r="G22" s="7">
        <v>53</v>
      </c>
      <c r="H22" s="21" t="s">
        <v>522</v>
      </c>
      <c r="I22" s="13">
        <v>43050.254710648151</v>
      </c>
      <c r="J22" s="7">
        <v>0</v>
      </c>
      <c r="K22" s="89" t="str">
        <f t="shared" si="0"/>
        <v>4021/4022</v>
      </c>
      <c r="L22" s="185" t="str">
        <f>VLOOKUP(A22,'Trips&amp;Operators'!$C$1:$G$99911,5,FALSE)</f>
        <v>GEBRETEKLE DAGNEW</v>
      </c>
      <c r="M22" s="6">
        <f t="shared" si="1"/>
        <v>2.7453703703940846E-2</v>
      </c>
      <c r="N22" s="7">
        <f t="shared" ref="N22:N33" si="23">24*60*SUM($M22:$M22)</f>
        <v>39.533333333674818</v>
      </c>
      <c r="O22" s="7"/>
      <c r="P22" s="7"/>
      <c r="Q22" s="22"/>
      <c r="R22" s="174"/>
      <c r="S22" s="221">
        <f t="shared" ref="S22:S33" si="24">1/IF(AG22="EC",12,1)*SUM(U22:U22)</f>
        <v>1</v>
      </c>
      <c r="T22" s="174" t="str">
        <f t="shared" si="2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-11-11T04:10:57-0700',mode:absolute,to:'2017-11-11T07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23.2989</v>
      </c>
      <c r="Z22" s="204">
        <f t="shared" si="6"/>
        <v>2.3199999999999998E-2</v>
      </c>
      <c r="AA22" s="204">
        <f t="shared" si="7"/>
        <v>23.275700000000001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8"/>
        <v>108</v>
      </c>
      <c r="AE22" s="77" t="str">
        <f t="shared" si="9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22" s="74" t="str">
        <f t="shared" si="10"/>
        <v>"C:\Program Files (x86)\AstroGrep\AstroGrep.exe" /e /r /s /spath="%USERPROFILE%\AppData\Local\Temp\OnboardLogs" /stypes="app*4021*20171111*" /stext=" 13:.+((SYSTEM_STATE.+slice.+state.+changed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108-11 --locoid 4021 --swversion DE.1.0.9.0 --startMP 204:232989 --initTime 2017-11-11T05:10:57 --startdatetime 2017-11-11T05:27:15 --delay 53 --endMP 204:232 --enddatetime 2017-11-11T06:06:47 --enforcementcount 0 &gt;&gt;%USERPROFILE%\Documents\GitHub\eaglep3-reporting\EC\2017-11-11-refined-times.txt</v>
      </c>
      <c r="AI2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{"issue":{"subject":"","project_id":79,"tracker_id":40,"status_id":1,"priority_id":2,"assigned_to_id":338,"start_date":"2017-11-11","description":"","custom_fields":[{"id":1,"name":"Subdivision","value":"EC"},{"id":4,"name":"Milepost","value":"0.0232"},{"id":17,"name":"Train ID","value":"108-11"},{"id":16,"name":"Locomotive ID","value":"4021"},{"id":130,"name":"Impact","value":""},{"id":150,"name":"Time of Event (Mountain Time)","value":"06:06:47"},{"id":151,"name":"Denver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4021 --day 2017-11-11</v>
      </c>
      <c r="AN2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-11-11T04:10:57-0700',mode:absolute,to:'2017-11-11T07:06:47-0700'))&amp;_a=(columns:!('Message%20ID',Summary),filters:!(),index:'emp_*',interval:auto,query:(query_string:(analyze_wildcard:!t,query:'%22rtdc.l.rtdc.4021%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713</v>
      </c>
      <c r="B23" s="7">
        <v>4036</v>
      </c>
      <c r="C23" s="21" t="s">
        <v>192</v>
      </c>
      <c r="D23" s="21" t="s">
        <v>563</v>
      </c>
      <c r="E23" s="13">
        <v>43050.1953587963</v>
      </c>
      <c r="F23" s="13">
        <v>43050.198101851849</v>
      </c>
      <c r="G23" s="7">
        <v>60</v>
      </c>
      <c r="H23" s="21" t="s">
        <v>897</v>
      </c>
      <c r="I23" s="13">
        <v>43050.224224537036</v>
      </c>
      <c r="J23" s="7">
        <v>0</v>
      </c>
      <c r="K23" s="89" t="str">
        <f t="shared" si="0"/>
        <v>4035/4036</v>
      </c>
      <c r="L23" s="185" t="str">
        <f>VLOOKUP(A23,'Trips&amp;Operators'!$C$1:$G$99911,5,FALSE)</f>
        <v>HUFFSMITH MONTY</v>
      </c>
      <c r="M23" s="6">
        <f t="shared" si="1"/>
        <v>2.6122685187146999E-2</v>
      </c>
      <c r="N23" s="7">
        <f t="shared" si="23"/>
        <v>37.616666669491678</v>
      </c>
      <c r="O23" s="7"/>
      <c r="P23" s="7"/>
      <c r="Q23" s="22"/>
      <c r="R23" s="174"/>
      <c r="S23" s="221">
        <f t="shared" si="24"/>
        <v>1</v>
      </c>
      <c r="T23" s="174" t="str">
        <f t="shared" si="2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-11-11T03:41:19-0700',mode:absolute,to:'2017-11-11T06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4.4400000000000002E-2</v>
      </c>
      <c r="Z23" s="204">
        <f t="shared" si="6"/>
        <v>23.331199999999999</v>
      </c>
      <c r="AA23" s="204">
        <f t="shared" si="7"/>
        <v>23.286799999999999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8"/>
        <v>109</v>
      </c>
      <c r="AE23" s="77" t="str">
        <f t="shared" si="9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23" s="74" t="str">
        <f t="shared" si="10"/>
        <v>"C:\Program Files (x86)\AstroGrep\AstroGrep.exe" /e /r /s /spath="%USERPROFILE%\AppData\Local\Temp\OnboardLogs" /stypes="app*4036*20171111*"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109-11 --locoid 4036 --swversion DE.1.0.9.0 --startMP 204:444 --initTime 2017-11-11T04:41:19 --startdatetime 2017-11-11T04:45:16 --delay 60 --endMP 204:233312 --enddatetime 2017-11-11T05:22:53 --enforcementcount 0 &gt;&gt;%USERPROFILE%\Documents\GitHub\eaglep3-reporting\EC\2017-11-11-refined-times.txt</v>
      </c>
      <c r="AI2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{"issue":{"subject":"","project_id":79,"tracker_id":40,"status_id":1,"priority_id":2,"assigned_to_id":338,"start_date":"2017-11-11","description":"","custom_fields":[{"id":1,"name":"Subdivision","value":"EC"},{"id":4,"name":"Milepost","value":"23.3312"},{"id":17,"name":"Train ID","value":"109-11"},{"id":16,"name":"Locomotive ID","value":"4036"},{"id":130,"name":"Impact","value":""},{"id":150,"name":"Time of Event (Mountain Time)","value":"05:22:53"},{"id":151,"name":"Denver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4036 --day 2017-11-11</v>
      </c>
      <c r="AN2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-11-11T03:41:19-0700',mode:absolute,to:'2017-11-11T06:22:53-0700'))&amp;_a=(columns:!('Message%20ID',Summary),filters:!(),index:'emp_*',interval:auto,query:(query_string:(analyze_wildcard:!t,query:'%22rtdc.l.rtdc.4036%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722</v>
      </c>
      <c r="B24" s="7">
        <v>4035</v>
      </c>
      <c r="C24" s="21" t="s">
        <v>192</v>
      </c>
      <c r="D24" s="21" t="s">
        <v>898</v>
      </c>
      <c r="E24" s="13">
        <v>43050.229745370372</v>
      </c>
      <c r="F24" s="13">
        <v>43050.237696759257</v>
      </c>
      <c r="G24" s="7">
        <v>79</v>
      </c>
      <c r="H24" s="21" t="s">
        <v>899</v>
      </c>
      <c r="I24" s="13">
        <v>43050.264953703707</v>
      </c>
      <c r="J24" s="7">
        <v>0</v>
      </c>
      <c r="K24" s="89" t="str">
        <f t="shared" si="0"/>
        <v>4035/4036</v>
      </c>
      <c r="L24" s="185" t="str">
        <f>VLOOKUP(A24,'Trips&amp;Operators'!$C$1:$G$99911,5,FALSE)</f>
        <v>HUFFSMITH MONTY</v>
      </c>
      <c r="M24" s="6">
        <f t="shared" si="1"/>
        <v>2.7256944449618459E-2</v>
      </c>
      <c r="N24" s="7">
        <f t="shared" si="23"/>
        <v>39.250000007450581</v>
      </c>
      <c r="O24" s="7"/>
      <c r="P24" s="7"/>
      <c r="Q24" s="22"/>
      <c r="R24" s="174"/>
      <c r="S24" s="221">
        <f t="shared" si="24"/>
        <v>1</v>
      </c>
      <c r="T24" s="174" t="str">
        <f t="shared" si="2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-11-11T04:30:50-0700',mode:absolute,to:'2017-11-11T07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23.3001</v>
      </c>
      <c r="Z24" s="204">
        <f t="shared" si="6"/>
        <v>1.29E-2</v>
      </c>
      <c r="AA24" s="204">
        <f t="shared" si="7"/>
        <v>23.287200000000002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8"/>
        <v>110</v>
      </c>
      <c r="AE24" s="77" t="str">
        <f t="shared" si="9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24" s="74" t="str">
        <f t="shared" si="10"/>
        <v>"C:\Program Files (x86)\AstroGrep\AstroGrep.exe" /e /r /s /spath="%USERPROFILE%\AppData\Local\Temp\OnboardLogs" /stypes="app*4035*20171111*"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110-11 --locoid 4035 --swversion DE.1.0.9.0 --startMP 204:233001 --initTime 2017-11-11T05:30:50 --startdatetime 2017-11-11T05:42:17 --delay 79 --endMP 204:129 --enddatetime 2017-11-11T06:21:32 --enforcementcount 0 &gt;&gt;%USERPROFILE%\Documents\GitHub\eaglep3-reporting\EC\2017-11-11-refined-times.txt</v>
      </c>
      <c r="AI24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{"issue":{"subject":"","project_id":79,"tracker_id":40,"status_id":1,"priority_id":2,"assigned_to_id":338,"start_date":"2017-11-11","description":"","custom_fields":[{"id":1,"name":"Subdivision","value":"EC"},{"id":4,"name":"Milepost","value":"0.0129"},{"id":17,"name":"Train ID","value":"110-11"},{"id":16,"name":"Locomotive ID","value":"4035"},{"id":130,"name":"Impact","value":""},{"id":150,"name":"Time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4035 --day 2017-11-11</v>
      </c>
      <c r="AN24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-11-11T04:30:50-0700',mode:absolute,to:'2017-11-11T07:21:32-0700'))&amp;_a=(columns:!('Message%20ID',Summary),filters:!(),index:'emp_*',interval:auto,query:(query_string:(analyze_wildcard:!t,query:'%22rtdc.l.rtdc.4035%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715</v>
      </c>
      <c r="B25" s="7">
        <v>4044</v>
      </c>
      <c r="C25" s="21" t="s">
        <v>192</v>
      </c>
      <c r="D25" s="21" t="s">
        <v>900</v>
      </c>
      <c r="E25" s="13">
        <v>43050.20884259259</v>
      </c>
      <c r="F25" s="13">
        <v>43050.210509259261</v>
      </c>
      <c r="G25" s="7">
        <v>56</v>
      </c>
      <c r="H25" s="21" t="s">
        <v>566</v>
      </c>
      <c r="I25" s="13">
        <v>43050.236226851855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THOMPSON LESTER</v>
      </c>
      <c r="M25" s="6">
        <f t="shared" si="1"/>
        <v>2.5717592594446614E-2</v>
      </c>
      <c r="N25" s="7">
        <f t="shared" si="23"/>
        <v>37.033333336003125</v>
      </c>
      <c r="O25" s="7"/>
      <c r="P25" s="7"/>
      <c r="Q25" s="22"/>
      <c r="R25" s="174"/>
      <c r="S25" s="221">
        <f t="shared" si="24"/>
        <v>1</v>
      </c>
      <c r="T25" s="174" t="str">
        <f t="shared" si="2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-11-11T04:00:44-0700',mode:absolute,to:'2017-11-11T06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4.7699999999999999E-2</v>
      </c>
      <c r="Z25" s="204">
        <f t="shared" si="6"/>
        <v>23.321200000000001</v>
      </c>
      <c r="AA25" s="204">
        <f t="shared" si="7"/>
        <v>23.273500000000002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8"/>
        <v>111</v>
      </c>
      <c r="AE25" s="77" t="str">
        <f t="shared" si="9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25" s="74" t="str">
        <f t="shared" si="10"/>
        <v>"C:\Program Files (x86)\AstroGrep\AstroGrep.exe" /e /r /s /spath="%USERPROFILE%\AppData\Local\Temp\OnboardLogs" /stypes="app*4044*20171111*"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111-11 --locoid 4044 --swversion DE.1.0.9.0 --startMP 204:477 --initTime 2017-11-11T05:00:44 --startdatetime 2017-11-11T05:03:08 --delay 56 --endMP 204:233212 --enddatetime 2017-11-11T05:40:10 --enforcementcount 0 &gt;&gt;%USERPROFILE%\Documents\GitHub\eaglep3-reporting\EC\2017-11-11-refined-times.txt</v>
      </c>
      <c r="AI2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{"issue":{"subject":"","project_id":79,"tracker_id":40,"status_id":1,"priority_id":2,"assigned_to_id":338,"start_date":"2017-11-11","description":"","custom_fields":[{"id":1,"name":"Subdivision","value":"EC"},{"id":4,"name":"Milepost","value":"23.3212"},{"id":17,"name":"Train ID","value":"111-11"},{"id":16,"name":"Locomotive ID","value":"4044"},{"id":130,"name":"Impact","value":""},{"id":150,"name":"Time of Event (Mountain Time)","value":"05:40:10"},{"id":151,"name":"Denver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4044 --day 2017-11-11</v>
      </c>
      <c r="AN2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-11-11T04:00:44-0700',mode:absolute,to:'2017-11-11T06:40:10-0700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664</v>
      </c>
      <c r="B26" s="7">
        <v>4043</v>
      </c>
      <c r="C26" s="21" t="s">
        <v>192</v>
      </c>
      <c r="D26" s="21" t="s">
        <v>474</v>
      </c>
      <c r="E26" s="13">
        <v>43050.244409722225</v>
      </c>
      <c r="F26" s="13">
        <v>43050.248090277775</v>
      </c>
      <c r="G26" s="7">
        <v>60</v>
      </c>
      <c r="H26" s="21" t="s">
        <v>901</v>
      </c>
      <c r="I26" s="13">
        <v>43050.275347222225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THOMPSON LESTER</v>
      </c>
      <c r="M26" s="6">
        <f t="shared" si="1"/>
        <v>2.7256944449618459E-2</v>
      </c>
      <c r="N26" s="7">
        <f t="shared" si="23"/>
        <v>39.250000007450581</v>
      </c>
      <c r="O26" s="7"/>
      <c r="P26" s="7"/>
      <c r="Q26" s="22"/>
      <c r="R26" s="174"/>
      <c r="S26" s="221">
        <f t="shared" si="24"/>
        <v>1</v>
      </c>
      <c r="T26" s="174" t="str">
        <f t="shared" si="2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-11-11T04:51:57-0700',mode:absolute,to:'2017-11-11T07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23.287500000000001</v>
      </c>
      <c r="Z26" s="204">
        <f t="shared" si="6"/>
        <v>1.6500000000000001E-2</v>
      </c>
      <c r="AA26" s="204">
        <f t="shared" si="7"/>
        <v>23.271000000000001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8"/>
        <v>112</v>
      </c>
      <c r="AE26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26" s="74" t="str">
        <f t="shared" si="10"/>
        <v>"C:\Program Files (x86)\AstroGrep\AstroGrep.exe" /e /r /s /spath="%USERPROFILE%\AppData\Local\Temp\OnboardLogs" /stypes="app*4043*20171111*" /stext=" 13:.+((SYSTEM_STATE.+slice.+state.+changed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112-11 --locoid 4043 --swversion DE.1.0.9.0 --startMP 204:232875 --initTime 2017-11-11T05:51:57 --startdatetime 2017-11-11T05:57:15 --delay 60 --endMP 204:165 --enddatetime 2017-11-11T06:36:30 --enforcementcount 0 &gt;&gt;%USERPROFILE%\Documents\GitHub\eaglep3-reporting\EC\2017-11-11-refined-times.txt</v>
      </c>
      <c r="AI2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{"issue":{"subject":"","project_id":79,"tracker_id":40,"status_id":1,"priority_id":2,"assigned_to_id":338,"start_date":"2017-11-11","description":"","custom_fields":[{"id":1,"name":"Subdivision","value":"EC"},{"id":4,"name":"Milepost","value":"0.0165"},{"id":17,"name":"Train ID","value":"112-11"},{"id":16,"name":"Locomotive ID","value":"4043"},{"id":130,"name":"Impact","value":""},{"id":150,"name":"Time of Event (Mountain Time)","value":"06:36:30"},{"id":151,"name":"Denver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4043 --day 2017-11-11</v>
      </c>
      <c r="AN2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-11-11T04:51:57-0700',mode:absolute,to:'2017-11-11T07:36:30-0700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717</v>
      </c>
      <c r="B27" s="7">
        <v>4066</v>
      </c>
      <c r="C27" s="21" t="s">
        <v>192</v>
      </c>
      <c r="D27" s="21" t="s">
        <v>610</v>
      </c>
      <c r="E27" s="13">
        <v>43050.215590277781</v>
      </c>
      <c r="F27" s="13">
        <v>43050.21947916667</v>
      </c>
      <c r="G27" s="7">
        <v>171</v>
      </c>
      <c r="H27" s="21" t="s">
        <v>627</v>
      </c>
      <c r="I27" s="13">
        <v>43050.244687500002</v>
      </c>
      <c r="J27" s="7">
        <v>0</v>
      </c>
      <c r="K27" s="89" t="str">
        <f t="shared" si="0"/>
        <v>4065/4066</v>
      </c>
      <c r="L27" s="185" t="str">
        <f>VLOOKUP(A27,'Trips&amp;Operators'!$C$1:$G$99911,5,FALSE)</f>
        <v>MACDONALD THOMAS</v>
      </c>
      <c r="M27" s="6">
        <f t="shared" si="1"/>
        <v>2.5208333332557231E-2</v>
      </c>
      <c r="N27" s="7">
        <f t="shared" si="23"/>
        <v>36.299999998882413</v>
      </c>
      <c r="O27" s="7"/>
      <c r="P27" s="7"/>
      <c r="Q27" s="22"/>
      <c r="R27" s="174"/>
      <c r="S27" s="221">
        <f t="shared" si="24"/>
        <v>1</v>
      </c>
      <c r="T27" s="174" t="str">
        <f t="shared" si="2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-11-11T04:10:27-0700',mode:absolute,to:'2017-11-11T06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5.04E-2</v>
      </c>
      <c r="Z27" s="204">
        <f t="shared" si="6"/>
        <v>23.318200000000001</v>
      </c>
      <c r="AA27" s="204">
        <f t="shared" si="7"/>
        <v>23.267800000000001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8"/>
        <v>113</v>
      </c>
      <c r="AE27" s="77" t="str">
        <f t="shared" si="9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27" s="74" t="str">
        <f t="shared" si="10"/>
        <v>"C:\Program Files (x86)\AstroGrep\AstroGrep.exe" /e /r /s /spath="%USERPROFILE%\AppData\Local\Temp\OnboardLogs" /stypes="app*4066*20171111*"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113-11 --locoid 4066 --swversion DE.1.0.9.0 --startMP 204:504 --initTime 2017-11-11T05:10:27 --startdatetime 2017-11-11T05:16:03 --delay 171 --endMP 204:233182 --enddatetime 2017-11-11T05:52:21 --enforcementcount 0 &gt;&gt;%USERPROFILE%\Documents\GitHub\eaglep3-reporting\EC\2017-11-11-refined-times.txt</v>
      </c>
      <c r="AI2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{"issue":{"subject":"","project_id":79,"tracker_id":40,"status_id":1,"priority_id":2,"assigned_to_id":338,"start_date":"2017-11-11","description":"","custom_fields":[{"id":1,"name":"Subdivision","value":"EC"},{"id":4,"name":"Milepost","value":"23.3182"},{"id":17,"name":"Train ID","value":"113-11"},{"id":16,"name":"Locomotive ID","value":"4066"},{"id":130,"name":"Impact","value":""},{"id":150,"name":"Time of Event (Mountain Time)","value":"05:52:21"},{"id":151,"name":"Denver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4066 --day 2017-11-11</v>
      </c>
      <c r="AN2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-11-11T04:10:27-0700',mode:absolute,to:'2017-11-11T06:52:21-0700'))&amp;_a=(columns:!('Message%20ID',Summary),filters:!(),index:'emp_*',interval:auto,query:(query_string:(analyze_wildcard:!t,query:'%22rtdc.l.rtdc.4066%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726</v>
      </c>
      <c r="B28" s="7">
        <v>4065</v>
      </c>
      <c r="C28" s="21" t="s">
        <v>192</v>
      </c>
      <c r="D28" s="21" t="s">
        <v>902</v>
      </c>
      <c r="E28" s="13">
        <v>43050.246296296296</v>
      </c>
      <c r="F28" s="13">
        <v>43050.258761574078</v>
      </c>
      <c r="G28" s="7">
        <v>105</v>
      </c>
      <c r="H28" s="21" t="s">
        <v>559</v>
      </c>
      <c r="I28" s="13">
        <v>43050.284733796296</v>
      </c>
      <c r="J28" s="7">
        <v>0</v>
      </c>
      <c r="K28" s="89" t="str">
        <f t="shared" si="0"/>
        <v>4065/4066</v>
      </c>
      <c r="L28" s="185" t="str">
        <f>VLOOKUP(A28,'Trips&amp;Operators'!$C$1:$G$99911,5,FALSE)</f>
        <v>MACDONALD THOMAS</v>
      </c>
      <c r="M28" s="6">
        <f t="shared" si="1"/>
        <v>2.5972222218115348E-2</v>
      </c>
      <c r="N28" s="7">
        <f t="shared" si="23"/>
        <v>37.399999994086102</v>
      </c>
      <c r="O28" s="7"/>
      <c r="P28" s="7"/>
      <c r="Q28" s="22"/>
      <c r="R28" s="174"/>
      <c r="S28" s="221">
        <f t="shared" si="24"/>
        <v>1</v>
      </c>
      <c r="T28" s="174" t="str">
        <f t="shared" si="2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-11-11T04:54:40-0700',mode:absolute,to:'2017-11-11T07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23.285599999999999</v>
      </c>
      <c r="Z28" s="204">
        <f t="shared" si="6"/>
        <v>1.8100000000000002E-2</v>
      </c>
      <c r="AA28" s="204">
        <f t="shared" si="7"/>
        <v>23.267499999999998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8"/>
        <v>114</v>
      </c>
      <c r="AE28" s="77" t="str">
        <f t="shared" si="9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28" s="74" t="str">
        <f t="shared" si="10"/>
        <v>"C:\Program Files (x86)\AstroGrep\AstroGrep.exe" /e /r /s /spath="%USERPROFILE%\AppData\Local\Temp\OnboardLogs" /stypes="app*4065*20171111*"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114-11 --locoid 4065 --swversion DE.1.0.9.0 --startMP 204:232856 --initTime 2017-11-11T05:54:40 --startdatetime 2017-11-11T06:12:37 --delay 105 --endMP 204:181 --enddatetime 2017-11-11T06:50:01 --enforcementcount 0 &gt;&gt;%USERPROFILE%\Documents\GitHub\eaglep3-reporting\EC\2017-11-11-refined-times.txt</v>
      </c>
      <c r="AI2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{"issue":{"subject":"","project_id":79,"tracker_id":40,"status_id":1,"priority_id":2,"assigned_to_id":338,"start_date":"2017-11-11","description":"","custom_fields":[{"id":1,"name":"Subdivision","value":"EC"},{"id":4,"name":"Milepost","value":"0.0181"},{"id":17,"name":"Train ID","value":"114-11"},{"id":16,"name":"Locomotive ID","value":"4065"},{"id":130,"name":"Impact","value":""},{"id":150,"name":"Time of Event (Mountain Time)","value":"06:50:01"},{"id":151,"name":"Denver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4065 --day 2017-11-11</v>
      </c>
      <c r="AN2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-11-11T04:54:40-0700',mode:absolute,to:'2017-11-11T07:50:01-0700'))&amp;_a=(columns:!('Message%20ID',Summary),filters:!(),index:'emp_*',interval:auto,query:(query_string:(analyze_wildcard:!t,query:'%22rtdc.l.rtdc.4065%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721</v>
      </c>
      <c r="B29" s="7">
        <v>4058</v>
      </c>
      <c r="C29" s="21" t="s">
        <v>192</v>
      </c>
      <c r="D29" s="21" t="s">
        <v>603</v>
      </c>
      <c r="E29" s="13">
        <v>43050.227199074077</v>
      </c>
      <c r="F29" s="13">
        <v>43050.229363425926</v>
      </c>
      <c r="G29" s="7">
        <v>45</v>
      </c>
      <c r="H29" s="21" t="s">
        <v>632</v>
      </c>
      <c r="I29" s="13">
        <v>43050.254189814812</v>
      </c>
      <c r="J29" s="7">
        <v>0</v>
      </c>
      <c r="K29" s="89" t="str">
        <f t="shared" si="0"/>
        <v>4057/4058</v>
      </c>
      <c r="L29" s="185" t="str">
        <f>VLOOKUP(A29,'Trips&amp;Operators'!$C$1:$G$99911,5,FALSE)</f>
        <v>MAELZER KURT</v>
      </c>
      <c r="M29" s="6">
        <f t="shared" si="1"/>
        <v>2.4826388886140194E-2</v>
      </c>
      <c r="N29" s="7">
        <f t="shared" si="23"/>
        <v>35.749999996041879</v>
      </c>
      <c r="O29" s="7"/>
      <c r="P29" s="7"/>
      <c r="Q29" s="22"/>
      <c r="R29" s="174"/>
      <c r="S29" s="221">
        <f t="shared" si="24"/>
        <v>1</v>
      </c>
      <c r="T29" s="174" t="str">
        <f t="shared" si="2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-11-11T04:27:10-0700',mode:absolute,to:'2017-11-11T07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4.53E-2</v>
      </c>
      <c r="Z29" s="204">
        <f t="shared" si="6"/>
        <v>23.330400000000001</v>
      </c>
      <c r="AA29" s="204">
        <f t="shared" si="7"/>
        <v>23.2851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8"/>
        <v>115</v>
      </c>
      <c r="AE29" s="77" t="str">
        <f t="shared" si="9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29" s="74" t="str">
        <f t="shared" si="10"/>
        <v>"C:\Program Files (x86)\AstroGrep\AstroGrep.exe" /e /r /s /spath="%USERPROFILE%\AppData\Local\Temp\OnboardLogs" /stypes="app*4058*20171111*"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115-11 --locoid 4058 --swversion DE.1.0.9.0 --startMP 204:453 --initTime 2017-11-11T05:27:10 --startdatetime 2017-11-11T05:30:17 --delay 45 --endMP 204:233304 --enddatetime 2017-11-11T06:06:02 --enforcementcount 0 &gt;&gt;%USERPROFILE%\Documents\GitHub\eaglep3-reporting\EC\2017-11-11-refined-times.txt</v>
      </c>
      <c r="AI2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{"issue":{"subject":"","project_id":79,"tracker_id":40,"status_id":1,"priority_id":2,"assigned_to_id":338,"start_date":"2017-11-11","description":"","custom_fields":[{"id":1,"name":"Subdivision","value":"EC"},{"id":4,"name":"Milepost","value":"23.3304"},{"id":17,"name":"Train ID","value":"115-11"},{"id":16,"name":"Locomotive ID","value":"4058"},{"id":130,"name":"Impact","value":""},{"id":150,"name":"Time of Event (Mountain Time)","value":"06:06:02"},{"id":151,"name":"Denver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4058 --day 2017-11-11</v>
      </c>
      <c r="AN2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-11-11T04:27:10-0700',mode:absolute,to:'2017-11-11T07:06:02-0700'))&amp;_a=(columns:!('Message%20ID',Summary),filters:!(),index:'emp_*',interval:auto,query:(query_string:(analyze_wildcard:!t,query:'%22rtdc.l.rtdc.4058%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728</v>
      </c>
      <c r="B30" s="7">
        <v>4057</v>
      </c>
      <c r="C30" s="21" t="s">
        <v>192</v>
      </c>
      <c r="D30" s="21" t="s">
        <v>597</v>
      </c>
      <c r="E30" s="13">
        <v>43050.262372685182</v>
      </c>
      <c r="F30" s="13">
        <v>43050.268993055557</v>
      </c>
      <c r="G30" s="7">
        <v>46</v>
      </c>
      <c r="H30" s="21" t="s">
        <v>616</v>
      </c>
      <c r="I30" s="13">
        <v>43050.294571759259</v>
      </c>
      <c r="J30" s="7">
        <v>0</v>
      </c>
      <c r="K30" s="89" t="str">
        <f t="shared" si="0"/>
        <v>4057/4058</v>
      </c>
      <c r="L30" s="185" t="str">
        <f>VLOOKUP(A30,'Trips&amp;Operators'!$C$1:$G$99911,5,FALSE)</f>
        <v>MAELZER KURT</v>
      </c>
      <c r="M30" s="6">
        <f t="shared" si="1"/>
        <v>2.5578703702194616E-2</v>
      </c>
      <c r="N30" s="7">
        <f t="shared" si="23"/>
        <v>36.833333331160247</v>
      </c>
      <c r="O30" s="7"/>
      <c r="P30" s="7"/>
      <c r="Q30" s="22"/>
      <c r="R30" s="174"/>
      <c r="S30" s="221">
        <f t="shared" si="24"/>
        <v>1</v>
      </c>
      <c r="T30" s="174" t="str">
        <f t="shared" si="2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-11-11T05:17:49-0700',mode:absolute,to:'2017-11-11T08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23.299099999999999</v>
      </c>
      <c r="Z30" s="204">
        <f t="shared" si="6"/>
        <v>1.38E-2</v>
      </c>
      <c r="AA30" s="204">
        <f t="shared" si="7"/>
        <v>23.285299999999999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8"/>
        <v>116</v>
      </c>
      <c r="AE30" s="77" t="str">
        <f t="shared" si="9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30" s="74" t="str">
        <f t="shared" si="10"/>
        <v>"C:\Program Files (x86)\AstroGrep\AstroGrep.exe" /e /r /s /spath="%USERPROFILE%\AppData\Local\Temp\OnboardLogs" /stypes="app*4057*20171111*" /stext=" 14:.+((SYSTEM_STATE.+slice.+state.+changed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116-11 --locoid 4057 --swversion DE.1.0.9.0 --startMP 204:232991 --initTime 2017-11-11T06:17:49 --startdatetime 2017-11-11T06:27:21 --delay 46 --endMP 204:138 --enddatetime 2017-11-11T07:04:11 --enforcementcount 0 &gt;&gt;%USERPROFILE%\Documents\GitHub\eaglep3-reporting\EC\2017-11-11-refined-times.txt</v>
      </c>
      <c r="AI30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{"issue":{"subject":"","project_id":79,"tracker_id":40,"status_id":1,"priority_id":2,"assigned_to_id":338,"start_date":"2017-11-11","description":"","custom_fields":[{"id":1,"name":"Subdivision","value":"EC"},{"id":4,"name":"Milepost","value":"0.0138"},{"id":17,"name":"Train ID","value":"116-11"},{"id":16,"name":"Locomotive ID","value":"4057"},{"id":130,"name":"Impact","value":""},{"id":150,"name":"Time of Event (Mountain Time)","value":"07:04:11"},{"id":151,"name":"Denver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4057 --day 2017-11-11</v>
      </c>
      <c r="AN30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-11-11T05:17:49-0700',mode:absolute,to:'2017-11-11T08:04:11-0700'))&amp;_a=(columns:!('Message%20ID',Summary),filters:!(),index:'emp_*',interval:auto,query:(query_string:(analyze_wildcard:!t,query:'%22rtdc.l.rtdc.4057%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724</v>
      </c>
      <c r="B31" s="7">
        <v>4026</v>
      </c>
      <c r="C31" s="21" t="s">
        <v>192</v>
      </c>
      <c r="D31" s="21" t="s">
        <v>558</v>
      </c>
      <c r="E31" s="13">
        <v>43050.23673611111</v>
      </c>
      <c r="F31" s="13">
        <v>43050.239872685182</v>
      </c>
      <c r="G31" s="7">
        <v>101</v>
      </c>
      <c r="H31" s="21" t="s">
        <v>903</v>
      </c>
      <c r="I31" s="13">
        <v>43050.264849537038</v>
      </c>
      <c r="J31" s="7">
        <v>0</v>
      </c>
      <c r="K31" s="89" t="str">
        <f t="shared" si="0"/>
        <v>4025/4026</v>
      </c>
      <c r="L31" s="185" t="str">
        <f>VLOOKUP(A31,'Trips&amp;Operators'!$C$1:$G$99911,5,FALSE)</f>
        <v>WILLIAMS DONTE</v>
      </c>
      <c r="M31" s="6">
        <f t="shared" si="1"/>
        <v>2.4976851855171844E-2</v>
      </c>
      <c r="N31" s="7">
        <f t="shared" si="23"/>
        <v>35.966666671447456</v>
      </c>
      <c r="O31" s="7"/>
      <c r="P31" s="7"/>
      <c r="Q31" s="22"/>
      <c r="R31" s="174"/>
      <c r="S31" s="221">
        <f t="shared" si="24"/>
        <v>1</v>
      </c>
      <c r="T31" s="174" t="str">
        <f t="shared" si="2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-11-11T04:40:54-0700',mode:absolute,to:'2017-11-11T07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5.4600000000000003E-2</v>
      </c>
      <c r="Z31" s="204">
        <f t="shared" si="6"/>
        <v>23.324100000000001</v>
      </c>
      <c r="AA31" s="204">
        <f t="shared" si="7"/>
        <v>23.269500000000001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8"/>
        <v>117</v>
      </c>
      <c r="AE31" s="77" t="str">
        <f t="shared" si="9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31" s="74" t="str">
        <f t="shared" si="10"/>
        <v>"C:\Program Files (x86)\AstroGrep\AstroGrep.exe" /e /r /s /spath="%USERPROFILE%\AppData\Local\Temp\OnboardLogs" /stypes="app*4026*20171111*"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117-11 --locoid 4026 --swversion DE.1.0.9.0 --startMP 204:546 --initTime 2017-11-11T05:40:54 --startdatetime 2017-11-11T05:45:25 --delay 101 --endMP 204:233241 --enddatetime 2017-11-11T06:21:23 --enforcementcount 0 &gt;&gt;%USERPROFILE%\Documents\GitHub\eaglep3-reporting\EC\2017-11-11-refined-times.txt</v>
      </c>
      <c r="AI3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{"issue":{"subject":"","project_id":79,"tracker_id":40,"status_id":1,"priority_id":2,"assigned_to_id":338,"start_date":"2017-11-11","description":"","custom_fields":[{"id":1,"name":"Subdivision","value":"EC"},{"id":4,"name":"Milepost","value":"23.3241"},{"id":17,"name":"Train ID","value":"117-11"},{"id":16,"name":"Locomotive ID","value":"4026"},{"id":130,"name":"Impact","value":""},{"id":150,"name":"Time of Event (Mountain Time)","value":"06:21:23"},{"id":151,"name":"Denver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4026 --day 2017-11-11</v>
      </c>
      <c r="AN3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-11-11T04:40:54-0700',mode:absolute,to:'2017-11-11T07:21:23-0700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730</v>
      </c>
      <c r="B32" s="7">
        <v>4025</v>
      </c>
      <c r="C32" s="21" t="s">
        <v>192</v>
      </c>
      <c r="D32" s="21" t="s">
        <v>904</v>
      </c>
      <c r="E32" s="13">
        <v>43050.27138888889</v>
      </c>
      <c r="F32" s="13">
        <v>43050.279351851852</v>
      </c>
      <c r="G32" s="7">
        <v>63</v>
      </c>
      <c r="H32" s="21" t="s">
        <v>630</v>
      </c>
      <c r="I32" s="13">
        <v>43050.306307870371</v>
      </c>
      <c r="J32" s="7">
        <v>0</v>
      </c>
      <c r="K32" s="89" t="str">
        <f t="shared" si="0"/>
        <v>4025/4026</v>
      </c>
      <c r="L32" s="185" t="str">
        <f>VLOOKUP(A32,'Trips&amp;Operators'!$C$1:$G$99911,5,FALSE)</f>
        <v>WILLIAMS DONTE</v>
      </c>
      <c r="M32" s="6">
        <f t="shared" si="1"/>
        <v>2.6956018518831115E-2</v>
      </c>
      <c r="N32" s="7">
        <f t="shared" si="23"/>
        <v>38.816666667116806</v>
      </c>
      <c r="O32" s="7"/>
      <c r="P32" s="7"/>
      <c r="Q32" s="22"/>
      <c r="R32" s="174"/>
      <c r="S32" s="221">
        <f t="shared" si="24"/>
        <v>1</v>
      </c>
      <c r="T32" s="174" t="str">
        <f t="shared" si="2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-11-11T05:30:48-0700',mode:absolute,to:'2017-11-11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23.293600000000001</v>
      </c>
      <c r="Z32" s="204">
        <f t="shared" si="6"/>
        <v>1.9599999999999999E-2</v>
      </c>
      <c r="AA32" s="204">
        <f t="shared" si="7"/>
        <v>23.274000000000001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8"/>
        <v>118</v>
      </c>
      <c r="AE32" s="77" t="str">
        <f t="shared" si="9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32" s="74" t="str">
        <f t="shared" si="10"/>
        <v>"C:\Program Files (x86)\AstroGrep\AstroGrep.exe" /e /r /s /spath="%USERPROFILE%\AppData\Local\Temp\OnboardLogs" /stypes="app*4025*20171111*" /stext=" 14:.+((SYSTEM_STATE.+slice.+state.+changed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118-11 --locoid 4025 --swversion DE.1.0.9.0 --startMP 204:232936 --initTime 2017-11-11T06:30:48 --startdatetime 2017-11-11T06:42:16 --delay 63 --endMP 204:196 --enddatetime 2017-11-11T07:21:05 --enforcementcount 0 &gt;&gt;%USERPROFILE%\Documents\GitHub\eaglep3-reporting\EC\2017-11-11-refined-times.txt</v>
      </c>
      <c r="AI3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{"issue":{"subject":"","project_id":79,"tracker_id":40,"status_id":1,"priority_id":2,"assigned_to_id":338,"start_date":"2017-11-11","description":"","custom_fields":[{"id":1,"name":"Subdivision","value":"EC"},{"id":4,"name":"Milepost","value":"0.0196"},{"id":17,"name":"Train ID","value":"118-11"},{"id":16,"name":"Locomotive ID","value":"4025"},{"id":130,"name":"Impact","value":""},{"id":150,"name":"Time of Event (Mountain Time)","value":"07:21:05"},{"id":151,"name":"Denver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4025 --day 2017-11-11</v>
      </c>
      <c r="AN3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-11-11T05:30:48-0700',mode:absolute,to:'2017-11-11T08:21:05-0700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725</v>
      </c>
      <c r="B33" s="7">
        <v>4010</v>
      </c>
      <c r="C33" s="21" t="s">
        <v>192</v>
      </c>
      <c r="D33" s="21" t="s">
        <v>905</v>
      </c>
      <c r="E33" s="13">
        <v>43050.24559027778</v>
      </c>
      <c r="F33" s="13">
        <v>43050.250173611108</v>
      </c>
      <c r="G33" s="7">
        <v>53</v>
      </c>
      <c r="H33" s="21" t="s">
        <v>471</v>
      </c>
      <c r="I33" s="13">
        <v>43050.274675925924</v>
      </c>
      <c r="J33" s="7">
        <v>0</v>
      </c>
      <c r="K33" s="89" t="str">
        <f t="shared" si="0"/>
        <v>4009/4010</v>
      </c>
      <c r="L33" s="185" t="str">
        <f>VLOOKUP(A33,'Trips&amp;Operators'!$C$1:$G$99911,5,FALSE)</f>
        <v>PAGE MARCUS</v>
      </c>
      <c r="M33" s="6">
        <f t="shared" si="1"/>
        <v>2.4502314816345461E-2</v>
      </c>
      <c r="N33" s="7">
        <f t="shared" si="23"/>
        <v>35.283333335537463</v>
      </c>
      <c r="O33" s="7"/>
      <c r="P33" s="7"/>
      <c r="Q33" s="22"/>
      <c r="R33" s="174"/>
      <c r="S33" s="221">
        <f t="shared" si="24"/>
        <v>1</v>
      </c>
      <c r="T33" s="174" t="str">
        <f t="shared" si="2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-11-11T04:53:39-0700',mode:absolute,to:'2017-11-11T07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4.8599999999999997E-2</v>
      </c>
      <c r="Z33" s="204">
        <f t="shared" si="6"/>
        <v>23.3293</v>
      </c>
      <c r="AA33" s="204">
        <f t="shared" si="7"/>
        <v>23.2807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8"/>
        <v>119</v>
      </c>
      <c r="AE33" s="77" t="str">
        <f t="shared" si="9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33" s="74" t="str">
        <f t="shared" si="10"/>
        <v>"C:\Program Files (x86)\AstroGrep\AstroGrep.exe" /e /r /s /spath="%USERPROFILE%\AppData\Local\Temp\OnboardLogs" /stypes="app*4010*20171111*"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119-11 --locoid 4010 --swversion DE.1.0.9.0 --startMP 204:486 --initTime 2017-11-11T05:53:39 --startdatetime 2017-11-11T06:00:15 --delay 53 --endMP 204:233293 --enddatetime 2017-11-11T06:35:32 --enforcementcount 0 &gt;&gt;%USERPROFILE%\Documents\GitHub\eaglep3-reporting\EC\2017-11-11-refined-times.txt</v>
      </c>
      <c r="AI3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{"issue":{"subject":"","project_id":79,"tracker_id":40,"status_id":1,"priority_id":2,"assigned_to_id":338,"start_date":"2017-11-11","description":"","custom_fields":[{"id":1,"name":"Subdivision","value":"EC"},{"id":4,"name":"Milepost","value":"23.3293"},{"id":17,"name":"Train ID","value":"119-11"},{"id":16,"name":"Locomotive ID","value":"4010"},{"id":130,"name":"Impact","value":""},{"id":150,"name":"Time of Event (Mountain Time)","value":"06:35:32"},{"id":151,"name":"Denver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4010 --day 2017-11-11</v>
      </c>
      <c r="AN3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-11-11T04:53:39-0700',mode:absolute,to:'2017-11-11T07:35:32-0700'))&amp;_a=(columns:!('Message%20ID',Summary),filters:!(),index:'emp_*',interval:auto,query:(query_string:(analyze_wildcard:!t,query:'%22rtdc.l.rtdc.4010%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668</v>
      </c>
      <c r="B34" s="7">
        <v>4009</v>
      </c>
      <c r="C34" s="21" t="s">
        <v>192</v>
      </c>
      <c r="D34" s="21" t="s">
        <v>600</v>
      </c>
      <c r="E34" s="13">
        <v>43050.282743055555</v>
      </c>
      <c r="F34" s="13">
        <v>43050.304803240739</v>
      </c>
      <c r="G34" s="7">
        <v>54</v>
      </c>
      <c r="H34" s="21" t="s">
        <v>906</v>
      </c>
      <c r="I34" s="13">
        <v>43050.317916666667</v>
      </c>
      <c r="J34" s="7">
        <v>0</v>
      </c>
      <c r="K34" s="89" t="str">
        <f t="shared" si="0"/>
        <v>4009/4010</v>
      </c>
      <c r="L34" s="185" t="str">
        <f>VLOOKUP(A34,'Trips&amp;Operators'!$C$1:$G$99911,5,FALSE)</f>
        <v>PAGE MARCUS</v>
      </c>
      <c r="M34" s="6">
        <f t="shared" si="1"/>
        <v>1.3113425928167999E-2</v>
      </c>
      <c r="N34" s="7"/>
      <c r="O34" s="7"/>
      <c r="P34" s="7">
        <f>24*60*SUM($M34:$M34)</f>
        <v>18.883333336561918</v>
      </c>
      <c r="Q34" s="22"/>
      <c r="R34" s="174" t="s">
        <v>656</v>
      </c>
      <c r="S34" s="221">
        <f>1/IF(AG34="EC",12,1)*SUM(U34:U35)</f>
        <v>0.83333333333333326</v>
      </c>
      <c r="T34" s="174" t="str">
        <f t="shared" si="2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-11-11T05:47:09-0700',mode:absolute,to:'2017-11-11T08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204" t="str">
        <f>IF(AA34&lt;VLOOKUP(AG34,Variables!$AC$3:$AD$8,2,FALSE),"Y","N")</f>
        <v>Y</v>
      </c>
      <c r="X34" s="204">
        <f t="shared" si="4"/>
        <v>1</v>
      </c>
      <c r="Y34" s="204">
        <f t="shared" si="5"/>
        <v>23.298500000000001</v>
      </c>
      <c r="Z34" s="204">
        <f t="shared" si="6"/>
        <v>10.968500000000001</v>
      </c>
      <c r="AA34" s="204">
        <f t="shared" si="7"/>
        <v>12.33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8"/>
        <v>120</v>
      </c>
      <c r="AE34" s="77" t="str">
        <f t="shared" si="9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34" s="74" t="str">
        <f t="shared" si="10"/>
        <v>"C:\Program Files (x86)\AstroGrep\AstroGrep.exe" /e /r /s /spath="%USERPROFILE%\AppData\Local\Temp\OnboardLogs" /stypes="app*4009*20171111*" /stext=" 14:.+((SYSTEM_STATE.+slice.+state.+changed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120-11 --locoid 4009 --swversion DE.1.0.9.0 --startMP 204:232985 --initTime 2017-11-11T06:47:09 --startdatetime 2017-11-11T07:18:55 --delay 54 --endMP 204:109685 --enddatetime 2017-11-11T07:37:48 --enforcementcount 0 &gt;&gt;%USERPROFILE%\Documents\GitHub\eaglep3-reporting\EC\2017-11-11-refined-times.txt</v>
      </c>
      <c r="AI34" s="96" t="str">
        <f t="shared" si="18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drop","project_id":79,"tracker_id":40,"status_id":1,"priority_id":2,"assigned_to_id":338,"start_date":"2017-11-11","description":"","custom_fields":[{"id":1,"name":"Subdivision","value":"EC"},{"id":4,"name":"Milepost","value":"10.9685"},{"id":17,"name":"Train ID","value":"120-11"},{"id":16,"name":"Locomotive ID","value":"4009"},{"id":130,"name":"Impact","value":""},{"id":150,"name":"Time of Event (Mountain Time)","value":"07:37:48"},{"id":151,"name":"Denver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4009 --day 2017-11-11</v>
      </c>
      <c r="AN34" s="151" t="str">
        <f t="shared" si="20"/>
        <v>echo {"issue":{"subject":"Wi-MAX data drop","project_id":30,"tracker_id":4,"status_id":1,"priority_id":1,"assigned_to_id":10,"start_date":"2017-11-11","description":"","custom_fields":[{"id":30,"name":"Category","value":"Issue"},{"id":3,"name":"Functional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-11-11T05:47:09-0700',mode:absolute,to:'2017-11-11T08:37:48-0700'))&amp;_a=(columns:!('Message%20ID',Summary),filters:!(),index:'emp_*',interval:auto,query:(query_string:(analyze_wildcard:!t,query:'%22rtdc.l.rtdc.4009%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668</v>
      </c>
      <c r="B35" s="7">
        <v>4009</v>
      </c>
      <c r="C35" s="21" t="s">
        <v>192</v>
      </c>
      <c r="D35" s="21" t="s">
        <v>907</v>
      </c>
      <c r="E35" s="13">
        <v>43050.303969907407</v>
      </c>
      <c r="F35" s="13">
        <v>43050.304803240739</v>
      </c>
      <c r="G35" s="7">
        <v>38</v>
      </c>
      <c r="H35" s="21" t="s">
        <v>889</v>
      </c>
      <c r="I35" s="13">
        <v>43050.317916666667</v>
      </c>
      <c r="J35" s="7">
        <v>0</v>
      </c>
      <c r="K35" s="89" t="str">
        <f t="shared" si="0"/>
        <v>4009/4010</v>
      </c>
      <c r="L35" s="185" t="str">
        <f>VLOOKUP(A35,'Trips&amp;Operators'!$C$1:$G$99911,5,FALSE)</f>
        <v>PAGE MARCUS</v>
      </c>
      <c r="M35" s="6">
        <f t="shared" si="1"/>
        <v>1.3113425928167999E-2</v>
      </c>
      <c r="N35" s="7"/>
      <c r="O35" s="7"/>
      <c r="P35" s="7"/>
      <c r="Q35" s="22"/>
      <c r="R35" s="174"/>
      <c r="S35" s="221"/>
      <c r="T35" s="174" t="str">
        <f t="shared" si="2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10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-11-11T06:17:43-0700',mode:absolute,to:'2017-11-11T08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204" t="str">
        <f>IF(AA35&lt;VLOOKUP(AG35,Variables!$AC$3:$AD$8,2,FALSE),"Y","N")</f>
        <v>Y</v>
      </c>
      <c r="X35" s="204">
        <f t="shared" si="4"/>
        <v>0</v>
      </c>
      <c r="Y35" s="204">
        <f t="shared" si="5"/>
        <v>8.6351999999999993</v>
      </c>
      <c r="Z35" s="204">
        <f t="shared" si="6"/>
        <v>1.61E-2</v>
      </c>
      <c r="AA35" s="204">
        <f t="shared" si="7"/>
        <v>8.6190999999999995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8"/>
        <v>120</v>
      </c>
      <c r="AE35" s="77" t="str">
        <f t="shared" si="9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35" s="74" t="str">
        <f t="shared" si="10"/>
        <v>"C:\Program Files (x86)\AstroGrep\AstroGrep.exe" /e /r /s /spath="%USERPROFILE%\AppData\Local\Temp\OnboardLogs" /stypes="app*4009*20171111*" /stext=" 14:.+((SYSTEM_STATE.+slice.+state.+changed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120-11 --locoid 4009 --swversion DE.1.0.9.0 --startMP 204:86352 --initTime 2017-11-11T07:17:43 --startdatetime 2017-11-11T07:18:55 --delay 38 --endMP 204:161 --enddatetime 2017-11-11T07:37:48 --enforcementcount 0 &gt;&gt;%USERPROFILE%\Documents\GitHub\eaglep3-reporting\EC\2017-11-11-refined-times.txt</v>
      </c>
      <c r="AI3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{"issue":{"subject":"","project_id":79,"tracker_id":40,"status_id":1,"priority_id":2,"assigned_to_id":338,"start_date":"2017-11-11","description":"","custom_fields":[{"id":1,"name":"Subdivision","value":"EC"},{"id":4,"name":"Milepost","value":"0.0161"},{"id":17,"name":"Train ID","value":"120-11"},{"id":16,"name":"Locomotive ID","value":"4009"},{"id":130,"name":"Impact","value":""},{"id":150,"name":"Time of Event (Mountain Time)","value":"07:37:48"},{"id":151,"name":"Denver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4009 --day 2017-11-11</v>
      </c>
      <c r="AN3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-11-11T06:17:43-0700',mode:absolute,to:'2017-11-11T08:37:48-0700'))&amp;_a=(columns:!('Message%20ID',Summary),filters:!(),index:'emp_*',interval:auto,query:(query_string:(analyze_wildcard:!t,query:'%22rtdc.l.rtdc.4009%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727</v>
      </c>
      <c r="B36" s="7">
        <v>4022</v>
      </c>
      <c r="C36" s="21" t="s">
        <v>192</v>
      </c>
      <c r="D36" s="21" t="s">
        <v>641</v>
      </c>
      <c r="E36" s="13">
        <v>43050.257175925923</v>
      </c>
      <c r="F36" s="13">
        <v>43050.260613425926</v>
      </c>
      <c r="G36" s="7">
        <v>57</v>
      </c>
      <c r="H36" s="21" t="s">
        <v>555</v>
      </c>
      <c r="I36" s="13">
        <v>43050.284791666665</v>
      </c>
      <c r="J36" s="7">
        <v>0</v>
      </c>
      <c r="K36" s="89" t="str">
        <f t="shared" si="0"/>
        <v>4021/4022</v>
      </c>
      <c r="L36" s="185" t="str">
        <f>VLOOKUP(A36,'Trips&amp;Operators'!$C$1:$G$99911,5,FALSE)</f>
        <v>GEBRETEKLE DAGNEW</v>
      </c>
      <c r="M36" s="6">
        <f t="shared" si="1"/>
        <v>2.417824073927477E-2</v>
      </c>
      <c r="N36" s="7">
        <f t="shared" ref="N36:N49" si="25">24*60*SUM($M36:$M36)</f>
        <v>34.816666664555669</v>
      </c>
      <c r="O36" s="7"/>
      <c r="P36" s="7"/>
      <c r="Q36" s="22"/>
      <c r="R36" s="174"/>
      <c r="S36" s="221">
        <f t="shared" ref="S36:S49" si="26">1/IF(AG36="EC",12,1)*SUM(U36:U36)</f>
        <v>1</v>
      </c>
      <c r="T36" s="174" t="str">
        <f t="shared" si="2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-11-11T05:10:20-0700',mode:absolute,to:'2017-11-11T07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4.9799999999999997E-2</v>
      </c>
      <c r="Z36" s="204">
        <f t="shared" si="6"/>
        <v>23.327200000000001</v>
      </c>
      <c r="AA36" s="204">
        <f t="shared" si="7"/>
        <v>23.2774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8"/>
        <v>121</v>
      </c>
      <c r="AE36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36" s="74" t="str">
        <f t="shared" si="10"/>
        <v>"C:\Program Files (x86)\AstroGrep\AstroGrep.exe" /e /r /s /spath="%USERPROFILE%\AppData\Local\Temp\OnboardLogs" /stypes="app*4022*20171111*" /stext=" 13:.+((SYSTEM_STATE.+slice.+state.+changed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121-11 --locoid 4022 --swversion DE.1.0.9.0 --startMP 204:498 --initTime 2017-11-11T06:10:20 --startdatetime 2017-11-11T06:15:17 --delay 57 --endMP 204:233272 --enddatetime 2017-11-11T06:50:06 --enforcementcount 0 &gt;&gt;%USERPROFILE%\Documents\GitHub\eaglep3-reporting\EC\2017-11-11-refined-times.txt</v>
      </c>
      <c r="AI3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{"issue":{"subject":"","project_id":79,"tracker_id":40,"status_id":1,"priority_id":2,"assigned_to_id":338,"start_date":"2017-11-11","description":"","custom_fields":[{"id":1,"name":"Subdivision","value":"EC"},{"id":4,"name":"Milepost","value":"23.3272"},{"id":17,"name":"Train ID","value":"121-11"},{"id":16,"name":"Locomotive ID","value":"4022"},{"id":130,"name":"Impact","value":""},{"id":150,"name":"Time of Event (Mountain Time)","value":"06:50:06"},{"id":151,"name":"Denver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4022 --day 2017-11-11</v>
      </c>
      <c r="AN3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-11-11T05:10:20-0700',mode:absolute,to:'2017-11-11T07:50:06-0700'))&amp;_a=(columns:!('Message%20ID',Summary),filters:!(),index:'emp_*',interval:auto,query:(query_string:(analyze_wildcard:!t,query:'%22rtdc.l.rtdc.4022%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732</v>
      </c>
      <c r="B37" s="7">
        <v>4021</v>
      </c>
      <c r="C37" s="21" t="s">
        <v>192</v>
      </c>
      <c r="D37" s="21" t="s">
        <v>605</v>
      </c>
      <c r="E37" s="13">
        <v>43050.285949074074</v>
      </c>
      <c r="F37" s="13">
        <v>43050.300162037034</v>
      </c>
      <c r="G37" s="7">
        <v>51</v>
      </c>
      <c r="H37" s="21" t="s">
        <v>469</v>
      </c>
      <c r="I37" s="13">
        <v>43050.32608796296</v>
      </c>
      <c r="J37" s="7">
        <v>0</v>
      </c>
      <c r="K37" s="89" t="str">
        <f t="shared" si="0"/>
        <v>4021/4022</v>
      </c>
      <c r="L37" s="185" t="str">
        <f>VLOOKUP(A37,'Trips&amp;Operators'!$C$1:$G$99911,5,FALSE)</f>
        <v>GEBRETEKLE DAGNEW</v>
      </c>
      <c r="M37" s="6">
        <f t="shared" si="1"/>
        <v>2.5925925925548654E-2</v>
      </c>
      <c r="N37" s="7">
        <f t="shared" si="25"/>
        <v>37.333333332790062</v>
      </c>
      <c r="O37" s="7"/>
      <c r="P37" s="7"/>
      <c r="Q37" s="22"/>
      <c r="R37" s="174"/>
      <c r="S37" s="221">
        <f t="shared" si="26"/>
        <v>1</v>
      </c>
      <c r="T37" s="174" t="str">
        <f t="shared" si="2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-11-11T05:51:46-0700',mode:absolute,to:'2017-11-11T08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23.296099999999999</v>
      </c>
      <c r="Z37" s="204">
        <f t="shared" si="6"/>
        <v>2.0899999999999998E-2</v>
      </c>
      <c r="AA37" s="204">
        <f t="shared" si="7"/>
        <v>23.275199999999998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8"/>
        <v>122</v>
      </c>
      <c r="AE37" s="77" t="str">
        <f t="shared" si="9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37" s="74" t="str">
        <f t="shared" si="10"/>
        <v>"C:\Program Files (x86)\AstroGrep\AstroGrep.exe" /e /r /s /spath="%USERPROFILE%\AppData\Local\Temp\OnboardLogs" /stypes="app*4021*20171111*"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122-11 --locoid 4021 --swversion DE.1.0.9.0 --startMP 204:232961 --initTime 2017-11-11T06:51:46 --startdatetime 2017-11-11T07:12:14 --delay 51 --endMP 204:209 --enddatetime 2017-11-11T07:49:34 --enforcementcount 0 &gt;&gt;%USERPROFILE%\Documents\GitHub\eaglep3-reporting\EC\2017-11-11-refined-times.txt</v>
      </c>
      <c r="AI3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{"issue":{"subject":"","project_id":79,"tracker_id":40,"status_id":1,"priority_id":2,"assigned_to_id":338,"start_date":"2017-11-11","description":"","custom_fields":[{"id":1,"name":"Subdivision","value":"EC"},{"id":4,"name":"Milepost","value":"0.0209"},{"id":17,"name":"Train ID","value":"122-11"},{"id":16,"name":"Locomotive ID","value":"4021"},{"id":130,"name":"Impact","value":""},{"id":150,"name":"Time of Event (Mountain Time)","value":"07:49:34"},{"id":151,"name":"Denver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4021 --day 2017-11-11</v>
      </c>
      <c r="AN3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-11-11T05:51:46-0700',mode:absolute,to:'2017-11-11T08:49:34-0700'))&amp;_a=(columns:!('Message%20ID',Summary),filters:!(),index:'emp_*',interval:auto,query:(query_string:(analyze_wildcard:!t,query:'%22rtdc.l.rtdc.4021%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729</v>
      </c>
      <c r="B38" s="7">
        <v>4036</v>
      </c>
      <c r="C38" s="21" t="s">
        <v>192</v>
      </c>
      <c r="D38" s="21" t="s">
        <v>908</v>
      </c>
      <c r="E38" s="13">
        <v>43050.267152777778</v>
      </c>
      <c r="F38" s="13">
        <v>43050.271041666667</v>
      </c>
      <c r="G38" s="7">
        <v>51</v>
      </c>
      <c r="H38" s="21" t="s">
        <v>909</v>
      </c>
      <c r="I38" s="13">
        <v>43050.296759259261</v>
      </c>
      <c r="J38" s="7">
        <v>0</v>
      </c>
      <c r="K38" s="89" t="str">
        <f t="shared" si="0"/>
        <v>4035/4036</v>
      </c>
      <c r="L38" s="185" t="str">
        <f>VLOOKUP(A38,'Trips&amp;Operators'!$C$1:$G$99911,5,FALSE)</f>
        <v>HUFFSMITH MONTY</v>
      </c>
      <c r="M38" s="6">
        <f t="shared" si="1"/>
        <v>2.5717592594446614E-2</v>
      </c>
      <c r="N38" s="7">
        <f t="shared" si="25"/>
        <v>37.033333336003125</v>
      </c>
      <c r="O38" s="7"/>
      <c r="P38" s="7"/>
      <c r="Q38" s="22"/>
      <c r="R38" s="174"/>
      <c r="S38" s="221">
        <f t="shared" si="26"/>
        <v>1</v>
      </c>
      <c r="T38" s="174" t="str">
        <f t="shared" si="2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-11-11T05:24:42-0700',mode:absolute,to:'2017-11-11T08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4.1599999999999998E-2</v>
      </c>
      <c r="Z38" s="204">
        <f t="shared" si="6"/>
        <v>23.3338</v>
      </c>
      <c r="AA38" s="204">
        <f t="shared" si="7"/>
        <v>23.292200000000001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8"/>
        <v>123</v>
      </c>
      <c r="AE38" s="77" t="str">
        <f t="shared" si="9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38" s="74" t="str">
        <f t="shared" si="10"/>
        <v>"C:\Program Files (x86)\AstroGrep\AstroGrep.exe" /e /r /s /spath="%USERPROFILE%\AppData\Local\Temp\OnboardLogs" /stypes="app*4036*20171111*" /stext=" 14:.+((SYSTEM_STATE.+slice.+state.+changed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123-11 --locoid 4036 --swversion DE.1.0.9.0 --startMP 204:416 --initTime 2017-11-11T06:24:42 --startdatetime 2017-11-11T06:30:18 --delay 51 --endMP 204:233338 --enddatetime 2017-11-11T07:07:20 --enforcementcount 0 &gt;&gt;%USERPROFILE%\Documents\GitHub\eaglep3-reporting\EC\2017-11-11-refined-times.txt</v>
      </c>
      <c r="AI3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{"issue":{"subject":"","project_id":79,"tracker_id":40,"status_id":1,"priority_id":2,"assigned_to_id":338,"start_date":"2017-11-11","description":"","custom_fields":[{"id":1,"name":"Subdivision","value":"EC"},{"id":4,"name":"Milepost","value":"23.3338"},{"id":17,"name":"Train ID","value":"123-11"},{"id":16,"name":"Locomotive ID","value":"4036"},{"id":130,"name":"Impact","value":""},{"id":150,"name":"Time of Event (Mountain Time)","value":"07:07:20"},{"id":151,"name":"Denver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4036 --day 2017-11-11</v>
      </c>
      <c r="AN3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-11-11T05:24:42-0700',mode:absolute,to:'2017-11-11T08:07:20-0700'))&amp;_a=(columns:!('Message%20ID',Summary),filters:!(),index:'emp_*',interval:auto,query:(query_string:(analyze_wildcard:!t,query:'%22rtdc.l.rtdc.4036%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735</v>
      </c>
      <c r="B39" s="7">
        <v>4035</v>
      </c>
      <c r="C39" s="21" t="s">
        <v>192</v>
      </c>
      <c r="D39" s="21" t="s">
        <v>910</v>
      </c>
      <c r="E39" s="13">
        <v>43050.302997685183</v>
      </c>
      <c r="F39" s="13">
        <v>43050.310613425929</v>
      </c>
      <c r="G39" s="7">
        <v>53</v>
      </c>
      <c r="H39" s="21" t="s">
        <v>911</v>
      </c>
      <c r="I39" s="13">
        <v>43050.336875000001</v>
      </c>
      <c r="J39" s="7">
        <v>0</v>
      </c>
      <c r="K39" s="89" t="str">
        <f t="shared" si="0"/>
        <v>4035/4036</v>
      </c>
      <c r="L39" s="185" t="str">
        <f>VLOOKUP(A39,'Trips&amp;Operators'!$C$1:$G$99911,5,FALSE)</f>
        <v>HUFFSMITH MONTY</v>
      </c>
      <c r="M39" s="6">
        <f t="shared" si="1"/>
        <v>2.626157407212304E-2</v>
      </c>
      <c r="N39" s="7">
        <f t="shared" si="25"/>
        <v>37.816666663857177</v>
      </c>
      <c r="O39" s="7"/>
      <c r="P39" s="7"/>
      <c r="Q39" s="22"/>
      <c r="R39" s="174"/>
      <c r="S39" s="221">
        <f t="shared" si="26"/>
        <v>1</v>
      </c>
      <c r="T39" s="174" t="str">
        <f t="shared" si="2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-11-11T06:16:19-0700',mode:absolute,to:'2017-11-11T09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23.301300000000001</v>
      </c>
      <c r="Z39" s="204">
        <f t="shared" si="6"/>
        <v>1.21E-2</v>
      </c>
      <c r="AA39" s="204">
        <f t="shared" si="7"/>
        <v>23.289200000000001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8"/>
        <v>124</v>
      </c>
      <c r="AE39" s="77" t="str">
        <f t="shared" si="9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39" s="74" t="str">
        <f t="shared" si="10"/>
        <v>"C:\Program Files (x86)\AstroGrep\AstroGrep.exe" /e /r /s /spath="%USERPROFILE%\AppData\Local\Temp\OnboardLogs" /stypes="app*4035*20171111*" /stext=" 15:.+((SYSTEM_STATE.+slice.+state.+changed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124-11 --locoid 4035 --swversion DE.1.0.9.0 --startMP 204:233013 --initTime 2017-11-11T07:16:19 --startdatetime 2017-11-11T07:27:17 --delay 53 --endMP 204:121 --enddatetime 2017-11-11T08:05:06 --enforcementcount 0 &gt;&gt;%USERPROFILE%\Documents\GitHub\eaglep3-reporting\EC\2017-11-11-refined-times.txt</v>
      </c>
      <c r="AI3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{"issue":{"subject":"","project_id":79,"tracker_id":40,"status_id":1,"priority_id":2,"assigned_to_id":338,"start_date":"2017-11-11","description":"","custom_fields":[{"id":1,"name":"Subdivision","value":"EC"},{"id":4,"name":"Milepost","value":"0.0121"},{"id":17,"name":"Train ID","value":"124-11"},{"id":16,"name":"Locomotive ID","value":"4035"},{"id":130,"name":"Impact","value":""},{"id":150,"name":"Time of Event (Mountain Time)","value":"08:05:06"},{"id":151,"name":"Denver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4035 --day 2017-11-11</v>
      </c>
      <c r="AN3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-11-11T06:16:19-0700',mode:absolute,to:'2017-11-11T09:05:06-0700'))&amp;_a=(columns:!('Message%20ID',Summary),filters:!(),index:'emp_*',interval:auto,query:(query_string:(analyze_wildcard:!t,query:'%22rtdc.l.rtdc.4035%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731</v>
      </c>
      <c r="B40" s="7">
        <v>4044</v>
      </c>
      <c r="C40" s="21" t="s">
        <v>192</v>
      </c>
      <c r="D40" s="21" t="s">
        <v>912</v>
      </c>
      <c r="E40" s="13">
        <v>43050.279120370367</v>
      </c>
      <c r="F40" s="13">
        <v>43050.281828703701</v>
      </c>
      <c r="G40" s="7">
        <v>49</v>
      </c>
      <c r="H40" s="21" t="s">
        <v>524</v>
      </c>
      <c r="I40" s="13">
        <v>43050.306296296294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THOMPSON LESTER</v>
      </c>
      <c r="M40" s="6">
        <f t="shared" si="1"/>
        <v>2.4467592593282461E-2</v>
      </c>
      <c r="N40" s="7">
        <f t="shared" si="25"/>
        <v>35.233333334326744</v>
      </c>
      <c r="O40" s="7"/>
      <c r="P40" s="7"/>
      <c r="Q40" s="22"/>
      <c r="R40" s="174"/>
      <c r="S40" s="221">
        <f t="shared" si="26"/>
        <v>1</v>
      </c>
      <c r="T40" s="174" t="str">
        <f t="shared" si="2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-11-11T05:41:56-0700',mode:absolute,to:'2017-11-11T08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4.7300000000000002E-2</v>
      </c>
      <c r="Z40" s="204">
        <f t="shared" si="6"/>
        <v>23.329499999999999</v>
      </c>
      <c r="AA40" s="204">
        <f t="shared" si="7"/>
        <v>23.2822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8"/>
        <v>125</v>
      </c>
      <c r="AE40" s="77" t="str">
        <f t="shared" si="9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40" s="74" t="str">
        <f t="shared" si="10"/>
        <v>"C:\Program Files (x86)\AstroGrep\AstroGrep.exe" /e /r /s /spath="%USERPROFILE%\AppData\Local\Temp\OnboardLogs" /stypes="app*4044*20171111*" /stext=" 14:.+((SYSTEM_STATE.+slice.+state.+changed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125-11 --locoid 4044 --swversion DE.1.0.9.0 --startMP 204:473 --initTime 2017-11-11T06:41:56 --startdatetime 2017-11-11T06:45:50 --delay 49 --endMP 204:233295 --enddatetime 2017-11-11T07:21:04 --enforcementcount 0 &gt;&gt;%USERPROFILE%\Documents\GitHub\eaglep3-reporting\EC\2017-11-11-refined-times.txt</v>
      </c>
      <c r="AI40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{"issue":{"subject":"","project_id":79,"tracker_id":40,"status_id":1,"priority_id":2,"assigned_to_id":338,"start_date":"2017-11-11","description":"","custom_fields":[{"id":1,"name":"Subdivision","value":"EC"},{"id":4,"name":"Milepost","value":"23.3295"},{"id":17,"name":"Train ID","value":"125-11"},{"id":16,"name":"Locomotive ID","value":"4044"},{"id":130,"name":"Impact","value":""},{"id":150,"name":"Time of Event (Mountain Time)","value":"07:21:04"},{"id":151,"name":"Denver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4044 --day 2017-11-11</v>
      </c>
      <c r="AN40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-11-11T05:41:56-0700',mode:absolute,to:'2017-11-11T08:21:04-0700'))&amp;_a=(columns:!('Message%20ID',Summary),filters:!(),index:'emp_*',interval:auto,query:(query_string:(analyze_wildcard:!t,query:'%22rtdc.l.rtdc.4044%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4043</v>
      </c>
      <c r="C41" s="21" t="s">
        <v>192</v>
      </c>
      <c r="D41" s="21" t="s">
        <v>521</v>
      </c>
      <c r="E41" s="13">
        <v>43050.318101851852</v>
      </c>
      <c r="F41" s="13">
        <v>43050.32099537037</v>
      </c>
      <c r="G41" s="7">
        <v>59</v>
      </c>
      <c r="H41" s="21" t="s">
        <v>554</v>
      </c>
      <c r="I41" s="13">
        <v>43050.35</v>
      </c>
      <c r="J41" s="7">
        <v>0</v>
      </c>
      <c r="K41" s="89" t="str">
        <f t="shared" si="0"/>
        <v>4043/4044</v>
      </c>
      <c r="L41" s="185" t="str">
        <f>VLOOKUP(A41,'Trips&amp;Operators'!$C$1:$G$99911,5,FALSE)</f>
        <v>THOMPSON LESTER</v>
      </c>
      <c r="M41" s="6">
        <f t="shared" si="1"/>
        <v>2.9004629628616385E-2</v>
      </c>
      <c r="N41" s="7">
        <f t="shared" si="25"/>
        <v>41.766666665207595</v>
      </c>
      <c r="O41" s="7"/>
      <c r="P41" s="7"/>
      <c r="Q41" s="22"/>
      <c r="R41" s="174"/>
      <c r="S41" s="221">
        <f t="shared" si="26"/>
        <v>1</v>
      </c>
      <c r="T41" s="174" t="str">
        <f t="shared" si="2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-11-11T06:38:04-0700',mode:absolute,to:'2017-11-11T09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23.298200000000001</v>
      </c>
      <c r="Z41" s="204">
        <f t="shared" si="6"/>
        <v>1.52E-2</v>
      </c>
      <c r="AA41" s="204">
        <f t="shared" si="7"/>
        <v>23.283000000000001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8"/>
        <v>126</v>
      </c>
      <c r="AE41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41" s="74" t="str">
        <f t="shared" si="10"/>
        <v>"C:\Program Files (x86)\AstroGrep\AstroGrep.exe" /e /r /s /spath="%USERPROFILE%\AppData\Local\Temp\OnboardLogs" /stypes="app*4043*20171111*" /stext=" 15:.+((SYSTEM_STATE.+slice.+state.+changed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126-11 --locoid 4043 --swversion DE.1.0.9.0 --startMP 204:232982 --initTime 2017-11-11T07:38:04 --startdatetime 2017-11-11T07:42:14 --delay 59 --endMP 204:152 --enddatetime 2017-11-11T08:24:00 --enforcementcount 0 &gt;&gt;%USERPROFILE%\Documents\GitHub\eaglep3-reporting\EC\2017-11-11-refined-times.txt</v>
      </c>
      <c r="AI4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{"issue":{"subject":"","project_id":79,"tracker_id":40,"status_id":1,"priority_id":2,"assigned_to_id":338,"start_date":"2017-11-11","description":"","custom_fields":[{"id":1,"name":"Subdivision","value":"EC"},{"id":4,"name":"Milepost","value":"0.0152"},{"id":17,"name":"Train ID","value":"126-11"},{"id":16,"name":"Locomotive ID","value":"4043"},{"id":130,"name":"Impact","value":""},{"id":150,"name":"Time of Event (Mountain Time)","value":"08:24:00"},{"id":151,"name":"Denver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4043 --day 2017-11-11</v>
      </c>
      <c r="AN4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-11-11T06:38:04-0700',mode:absolute,to:'2017-11-11T09:24:00-0700'))&amp;_a=(columns:!('Message%20ID',Summary),filters:!(),index:'emp_*',interval:auto,query:(query_string:(analyze_wildcard:!t,query:'%22rtdc.l.rtdc.4043%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733</v>
      </c>
      <c r="B42" s="7">
        <v>4066</v>
      </c>
      <c r="C42" s="21" t="s">
        <v>192</v>
      </c>
      <c r="D42" s="21" t="s">
        <v>637</v>
      </c>
      <c r="E42" s="13">
        <v>43050.288124999999</v>
      </c>
      <c r="F42" s="13">
        <v>43050.29215277778</v>
      </c>
      <c r="G42" s="7">
        <v>74</v>
      </c>
      <c r="H42" s="21" t="s">
        <v>450</v>
      </c>
      <c r="I42" s="13">
        <v>43050.316631944443</v>
      </c>
      <c r="J42" s="7">
        <v>0</v>
      </c>
      <c r="K42" s="89" t="str">
        <f t="shared" si="0"/>
        <v>4065/4066</v>
      </c>
      <c r="L42" s="185" t="str">
        <f>VLOOKUP(A42,'Trips&amp;Operators'!$C$1:$G$99911,5,FALSE)</f>
        <v>MACDONALD THOMAS</v>
      </c>
      <c r="M42" s="6">
        <f t="shared" si="1"/>
        <v>2.4479166662786156E-2</v>
      </c>
      <c r="N42" s="7">
        <f t="shared" si="25"/>
        <v>35.249999994412065</v>
      </c>
      <c r="O42" s="7"/>
      <c r="P42" s="7"/>
      <c r="Q42" s="22"/>
      <c r="R42" s="174"/>
      <c r="S42" s="221">
        <f t="shared" si="26"/>
        <v>1</v>
      </c>
      <c r="T42" s="174" t="str">
        <f t="shared" si="2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-11-11T05:54:54-0700',mode:absolute,to:'2017-11-11T08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4.9299999999999997E-2</v>
      </c>
      <c r="Z42" s="204">
        <f t="shared" si="6"/>
        <v>23.325700000000001</v>
      </c>
      <c r="AA42" s="204">
        <f t="shared" si="7"/>
        <v>23.276400000000002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8"/>
        <v>127</v>
      </c>
      <c r="AE42" s="77" t="str">
        <f t="shared" si="9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42" s="74" t="str">
        <f t="shared" si="10"/>
        <v>"C:\Program Files (x86)\AstroGrep\AstroGrep.exe" /e /r /s /spath="%USERPROFILE%\AppData\Local\Temp\OnboardLogs" /stypes="app*4066*20171111*" /stext=" 14:.+((SYSTEM_STATE.+slice.+state.+changed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127-11 --locoid 4066 --swversion DE.1.0.9.0 --startMP 204:493 --initTime 2017-11-11T06:54:54 --startdatetime 2017-11-11T07:00:42 --delay 74 --endMP 204:233257 --enddatetime 2017-11-11T07:35:57 --enforcementcount 0 &gt;&gt;%USERPROFILE%\Documents\GitHub\eaglep3-reporting\EC\2017-11-11-refined-times.txt</v>
      </c>
      <c r="AI4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{"issue":{"subject":"","project_id":79,"tracker_id":40,"status_id":1,"priority_id":2,"assigned_to_id":338,"start_date":"2017-11-11","description":"","custom_fields":[{"id":1,"name":"Subdivision","value":"EC"},{"id":4,"name":"Milepost","value":"23.3257"},{"id":17,"name":"Train ID","value":"127-11"},{"id":16,"name":"Locomotive ID","value":"4066"},{"id":130,"name":"Impact","value":""},{"id":150,"name":"Time of Event (Mountain Time)","value":"07:35:57"},{"id":151,"name":"Denver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4066 --day 2017-11-11</v>
      </c>
      <c r="AN4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-11-11T05:54:54-0700',mode:absolute,to:'2017-11-11T08:35:57-0700'))&amp;_a=(columns:!('Message%20ID',Summary),filters:!(),index:'emp_*',interval:auto,query:(query_string:(analyze_wildcard:!t,query:'%22rtdc.l.rtdc.4066%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740</v>
      </c>
      <c r="B43" s="7">
        <v>4065</v>
      </c>
      <c r="C43" s="21" t="s">
        <v>192</v>
      </c>
      <c r="D43" s="21" t="s">
        <v>913</v>
      </c>
      <c r="E43" s="13">
        <v>43050.329421296294</v>
      </c>
      <c r="F43" s="13">
        <v>43050.331712962965</v>
      </c>
      <c r="G43" s="7">
        <v>65</v>
      </c>
      <c r="H43" s="21" t="s">
        <v>914</v>
      </c>
      <c r="I43" s="13">
        <v>43050.357939814814</v>
      </c>
      <c r="J43" s="7">
        <v>0</v>
      </c>
      <c r="K43" s="89" t="str">
        <f t="shared" si="0"/>
        <v>4065/4066</v>
      </c>
      <c r="L43" s="185" t="str">
        <f>VLOOKUP(A43,'Trips&amp;Operators'!$C$1:$G$99911,5,FALSE)</f>
        <v>MACDONALD THOMAS</v>
      </c>
      <c r="M43" s="6">
        <f t="shared" si="1"/>
        <v>2.622685184906004E-2</v>
      </c>
      <c r="N43" s="7">
        <f t="shared" si="25"/>
        <v>37.766666662646458</v>
      </c>
      <c r="O43" s="7"/>
      <c r="P43" s="7"/>
      <c r="Q43" s="22"/>
      <c r="R43" s="174"/>
      <c r="S43" s="221">
        <f t="shared" si="26"/>
        <v>1</v>
      </c>
      <c r="T43" s="174" t="str">
        <f t="shared" si="2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-11-11T06:54:22-0700',mode:absolute,to:'2017-11-11T09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23.295100000000001</v>
      </c>
      <c r="Z43" s="204">
        <f t="shared" si="6"/>
        <v>1.8700000000000001E-2</v>
      </c>
      <c r="AA43" s="204">
        <f t="shared" si="7"/>
        <v>23.276400000000002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8"/>
        <v>128</v>
      </c>
      <c r="AE43" s="77" t="str">
        <f t="shared" si="9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43" s="74" t="str">
        <f t="shared" si="10"/>
        <v>"C:\Program Files (x86)\AstroGrep\AstroGrep.exe" /e /r /s /spath="%USERPROFILE%\AppData\Local\Temp\OnboardLogs" /stypes="app*4065*20171111*" /stext=" 15:.+((SYSTEM_STATE.+slice.+state.+changed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128-11 --locoid 4065 --swversion DE.1.0.9.0 --startMP 204:232951 --initTime 2017-11-11T07:54:22 --startdatetime 2017-11-11T07:57:40 --delay 65 --endMP 204:187 --enddatetime 2017-11-11T08:35:26 --enforcementcount 0 &gt;&gt;%USERPROFILE%\Documents\GitHub\eaglep3-reporting\EC\2017-11-11-refined-times.txt</v>
      </c>
      <c r="AI4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{"issue":{"subject":"","project_id":79,"tracker_id":40,"status_id":1,"priority_id":2,"assigned_to_id":338,"start_date":"2017-11-11","description":"","custom_fields":[{"id":1,"name":"Subdivision","value":"EC"},{"id":4,"name":"Milepost","value":"0.0187"},{"id":17,"name":"Train ID","value":"128-11"},{"id":16,"name":"Locomotive ID","value":"4065"},{"id":130,"name":"Impact","value":""},{"id":150,"name":"Time of Event (Mountain Time)","value":"08:35:26"},{"id":151,"name":"Denver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4065 --day 2017-11-11</v>
      </c>
      <c r="AN4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-11-11T06:54:22-0700',mode:absolute,to:'2017-11-11T09:35:26-0700'))&amp;_a=(columns:!('Message%20ID',Summary),filters:!(),index:'emp_*',interval:auto,query:(query_string:(analyze_wildcard:!t,query:'%22rtdc.l.rtdc.4065%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734</v>
      </c>
      <c r="B44" s="7">
        <v>4058</v>
      </c>
      <c r="C44" s="21" t="s">
        <v>192</v>
      </c>
      <c r="D44" s="21" t="s">
        <v>915</v>
      </c>
      <c r="E44" s="13">
        <v>43050.299814814818</v>
      </c>
      <c r="F44" s="13">
        <v>43050.30232638889</v>
      </c>
      <c r="G44" s="7">
        <v>55</v>
      </c>
      <c r="H44" s="21" t="s">
        <v>916</v>
      </c>
      <c r="I44" s="13">
        <v>43050.326782407406</v>
      </c>
      <c r="J44" s="7">
        <v>0</v>
      </c>
      <c r="K44" s="89" t="str">
        <f t="shared" si="0"/>
        <v>4057/4058</v>
      </c>
      <c r="L44" s="185" t="str">
        <f>VLOOKUP(A44,'Trips&amp;Operators'!$C$1:$G$99911,5,FALSE)</f>
        <v>MAELZER KURT</v>
      </c>
      <c r="M44" s="6">
        <f t="shared" si="1"/>
        <v>2.4456018516502809E-2</v>
      </c>
      <c r="N44" s="7">
        <f t="shared" si="25"/>
        <v>35.216666663764045</v>
      </c>
      <c r="O44" s="7"/>
      <c r="P44" s="7"/>
      <c r="Q44" s="22"/>
      <c r="R44" s="174"/>
      <c r="S44" s="221">
        <f t="shared" si="26"/>
        <v>1</v>
      </c>
      <c r="T44" s="174" t="str">
        <f t="shared" si="2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-11-11T06:11:44-0700',mode:absolute,to:'2017-11-11T08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4.4699999999999997E-2</v>
      </c>
      <c r="Z44" s="204">
        <f t="shared" si="6"/>
        <v>23.3309</v>
      </c>
      <c r="AA44" s="204">
        <f t="shared" si="7"/>
        <v>23.286200000000001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8"/>
        <v>129</v>
      </c>
      <c r="AE44" s="77" t="str">
        <f t="shared" si="9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44" s="74" t="str">
        <f t="shared" si="10"/>
        <v>"C:\Program Files (x86)\AstroGrep\AstroGrep.exe" /e /r /s /spath="%USERPROFILE%\AppData\Local\Temp\OnboardLogs" /stypes="app*4058*20171111*"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129-11 --locoid 4058 --swversion DE.1.0.9.0 --startMP 204:447 --initTime 2017-11-11T07:11:44 --startdatetime 2017-11-11T07:15:21 --delay 55 --endMP 204:233309 --enddatetime 2017-11-11T07:50:34 --enforcementcount 0 &gt;&gt;%USERPROFILE%\Documents\GitHub\eaglep3-reporting\EC\2017-11-11-refined-times.txt</v>
      </c>
      <c r="AI44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{"issue":{"subject":"","project_id":79,"tracker_id":40,"status_id":1,"priority_id":2,"assigned_to_id":338,"start_date":"2017-11-11","description":"","custom_fields":[{"id":1,"name":"Subdivision","value":"EC"},{"id":4,"name":"Milepost","value":"23.3309"},{"id":17,"name":"Train ID","value":"129-11"},{"id":16,"name":"Locomotive ID","value":"4058"},{"id":130,"name":"Impact","value":""},{"id":150,"name":"Time of Event (Mountain Time)","value":"07:50:34"},{"id":151,"name":"Denver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4058 --day 2017-11-11</v>
      </c>
      <c r="AN44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-11-11T06:11:44-0700',mode:absolute,to:'2017-11-11T08:50:34-0700'))&amp;_a=(columns:!('Message%20ID',Summary),filters:!(),index:'emp_*',interval:auto,query:(query_string:(analyze_wildcard:!t,query:'%22rtdc.l.rtdc.4058%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741</v>
      </c>
      <c r="B45" s="7">
        <v>4057</v>
      </c>
      <c r="C45" s="21" t="s">
        <v>192</v>
      </c>
      <c r="D45" s="21" t="s">
        <v>886</v>
      </c>
      <c r="E45" s="13">
        <v>43050.336041666669</v>
      </c>
      <c r="F45" s="13">
        <v>43050.341932870368</v>
      </c>
      <c r="G45" s="7">
        <v>49</v>
      </c>
      <c r="H45" s="21" t="s">
        <v>917</v>
      </c>
      <c r="I45" s="13">
        <v>43050.36855324074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MAELZER KURT</v>
      </c>
      <c r="M45" s="6">
        <f t="shared" si="1"/>
        <v>2.662037037225673E-2</v>
      </c>
      <c r="N45" s="7">
        <f t="shared" si="25"/>
        <v>38.333333336049691</v>
      </c>
      <c r="O45" s="7"/>
      <c r="P45" s="7"/>
      <c r="Q45" s="22"/>
      <c r="R45" s="174"/>
      <c r="S45" s="221">
        <f t="shared" si="26"/>
        <v>1</v>
      </c>
      <c r="T45" s="174" t="str">
        <f t="shared" si="2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-11-11T07:03:54-0700',mode:absolute,to:'2017-11-11T09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5" s="204" t="str">
        <f>IF(AA45&lt;VLOOKUP(AG45,Variables!$AC$3:$AD$8,2,FALSE),"Y","N")</f>
        <v>N</v>
      </c>
      <c r="X45" s="204">
        <f t="shared" si="4"/>
        <v>1</v>
      </c>
      <c r="Y45" s="204">
        <f t="shared" ref="Y45:Y76" si="27">RIGHT(D45,LEN(D45)-4)/10000</f>
        <v>23.298400000000001</v>
      </c>
      <c r="Z45" s="204">
        <f t="shared" ref="Z45:Z76" si="28">RIGHT(H45,LEN(H45)-4)/10000</f>
        <v>1.43E-2</v>
      </c>
      <c r="AA45" s="204">
        <f t="shared" si="7"/>
        <v>23.284100000000002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8"/>
        <v>130</v>
      </c>
      <c r="AE45" s="77" t="str">
        <f t="shared" si="9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45" s="74" t="str">
        <f t="shared" si="10"/>
        <v>"C:\Program Files (x86)\AstroGrep\AstroGrep.exe" /e /r /s /spath="%USERPROFILE%\AppData\Local\Temp\OnboardLogs" /stypes="app*4057*20171111*"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7"/>
        <v>"%USERPROFILE%\Documents\GitHub\eaglep3\Utilities\RefineRTDCRunTimes.py" --tripid 130-11 --locoid 4057 --swversion DE.1.0.9.0 --startMP 204:232984 --initTime 2017-11-11T08:03:54 --startdatetime 2017-11-11T08:12:23 --delay 49 --endMP 204:143 --enddatetime 2017-11-11T08:50:43 --enforcementcount 0 &gt;&gt;%USERPROFILE%\Documents\GitHub\eaglep3-reporting\EC\2017-11-11-refined-times.txt</v>
      </c>
      <c r="AI4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{"issue":{"subject":"","project_id":79,"tracker_id":40,"status_id":1,"priority_id":2,"assigned_to_id":338,"start_date":"2017-11-11","description":"","custom_fields":[{"id":1,"name":"Subdivision","value":"EC"},{"id":4,"name":"Milepost","value":"0.0143"},{"id":17,"name":"Train ID","value":"130-11"},{"id":16,"name":"Locomotive ID","value":"4057"},{"id":130,"name":"Impact","value":""},{"id":150,"name":"Time of Event (Mountain Time)","value":"08:50:43"},{"id":151,"name":"Denver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4057 --day 2017-11-11</v>
      </c>
      <c r="AN4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-11-11T07:03:54-0700',mode:absolute,to:'2017-11-11T09:50:43-0700'))&amp;_a=(columns:!('Message%20ID',Summary),filters:!(),index:'emp_*',interval:auto,query:(query_string:(analyze_wildcard:!t,query:'%22rtdc.l.rtdc.4057%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736</v>
      </c>
      <c r="B46" s="7">
        <v>4026</v>
      </c>
      <c r="C46" s="21" t="s">
        <v>192</v>
      </c>
      <c r="D46" s="21" t="s">
        <v>642</v>
      </c>
      <c r="E46" s="13">
        <v>43050.307789351849</v>
      </c>
      <c r="F46" s="13">
        <v>43050.312743055554</v>
      </c>
      <c r="G46" s="7">
        <v>85</v>
      </c>
      <c r="H46" s="21" t="s">
        <v>604</v>
      </c>
      <c r="I46" s="13">
        <v>43050.337800925925</v>
      </c>
      <c r="J46" s="7">
        <v>0</v>
      </c>
      <c r="K46" s="89" t="str">
        <f t="shared" si="0"/>
        <v>4025/4026</v>
      </c>
      <c r="L46" s="185" t="str">
        <f>VLOOKUP(A46,'Trips&amp;Operators'!$C$1:$G$99911,5,FALSE)</f>
        <v>WILLIAMS DONTE</v>
      </c>
      <c r="M46" s="6">
        <f t="shared" si="1"/>
        <v>2.5057870370801538E-2</v>
      </c>
      <c r="N46" s="7">
        <f t="shared" si="25"/>
        <v>36.083333333954215</v>
      </c>
      <c r="O46" s="7"/>
      <c r="P46" s="7"/>
      <c r="Q46" s="22"/>
      <c r="R46" s="174"/>
      <c r="S46" s="221">
        <f t="shared" si="26"/>
        <v>1</v>
      </c>
      <c r="T46" s="174" t="str">
        <f t="shared" si="2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-11-11T06:23:13-0700',mode:absolute,to:'2017-11-11T09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204" t="str">
        <f>IF(AA46&lt;VLOOKUP(AG46,Variables!$AC$3:$AD$8,2,FALSE),"Y","N")</f>
        <v>N</v>
      </c>
      <c r="X46" s="204">
        <f t="shared" si="4"/>
        <v>1</v>
      </c>
      <c r="Y46" s="204">
        <f t="shared" si="27"/>
        <v>5.2200000000000003E-2</v>
      </c>
      <c r="Z46" s="204">
        <f t="shared" si="28"/>
        <v>23.3291</v>
      </c>
      <c r="AA46" s="204">
        <f t="shared" si="7"/>
        <v>23.276900000000001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8"/>
        <v>131</v>
      </c>
      <c r="AE46" s="77" t="str">
        <f t="shared" si="9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46" s="74" t="str">
        <f t="shared" si="10"/>
        <v>"C:\Program Files (x86)\AstroGrep\AstroGrep.exe" /e /r /s /spath="%USERPROFILE%\AppData\Local\Temp\OnboardLogs" /stypes="app*4026*20171111*" /stext=" 15:.+((SYSTEM_STATE.+slice.+state.+changed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7"/>
        <v>"%USERPROFILE%\Documents\GitHub\eaglep3\Utilities\RefineRTDCRunTimes.py" --tripid 131-11 --locoid 4026 --swversion DE.1.0.9.0 --startMP 204:522 --initTime 2017-11-11T07:23:13 --startdatetime 2017-11-11T07:30:21 --delay 85 --endMP 204:233291 --enddatetime 2017-11-11T08:06:26 --enforcementcount 0 &gt;&gt;%USERPROFILE%\Documents\GitHub\eaglep3-reporting\EC\2017-11-11-refined-times.txt</v>
      </c>
      <c r="AI4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{"issue":{"subject":"","project_id":79,"tracker_id":40,"status_id":1,"priority_id":2,"assigned_to_id":338,"start_date":"2017-11-11","description":"","custom_fields":[{"id":1,"name":"Subdivision","value":"EC"},{"id":4,"name":"Milepost","value":"23.3291"},{"id":17,"name":"Train ID","value":"131-11"},{"id":16,"name":"Locomotive ID","value":"4026"},{"id":130,"name":"Impact","value":""},{"id":150,"name":"Time of Event (Mountain Time)","value":"08:06:26"},{"id":151,"name":"Denver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4026 --day 2017-11-11</v>
      </c>
      <c r="AN4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-11-11T06:23:13-0700',mode:absolute,to:'2017-11-11T09:06:26-0700'))&amp;_a=(columns:!('Message%20ID',Summary),filters:!(),index:'emp_*',interval:auto,query:(query_string:(analyze_wildcard:!t,query:'%22rtdc.l.rtdc.4026%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744</v>
      </c>
      <c r="B47" s="7">
        <v>4025</v>
      </c>
      <c r="C47" s="21" t="s">
        <v>192</v>
      </c>
      <c r="D47" s="21" t="s">
        <v>918</v>
      </c>
      <c r="E47" s="13">
        <v>43050.349421296298</v>
      </c>
      <c r="F47" s="13">
        <v>43050.35229166667</v>
      </c>
      <c r="G47" s="7">
        <v>64</v>
      </c>
      <c r="H47" s="21" t="s">
        <v>518</v>
      </c>
      <c r="I47" s="13">
        <v>43050.378263888888</v>
      </c>
      <c r="J47" s="7">
        <v>0</v>
      </c>
      <c r="K47" s="89" t="str">
        <f t="shared" si="0"/>
        <v>4025/4026</v>
      </c>
      <c r="L47" s="185" t="str">
        <f>VLOOKUP(A47,'Trips&amp;Operators'!$C$1:$G$99911,5,FALSE)</f>
        <v>WILLIAMS DONTE</v>
      </c>
      <c r="M47" s="6">
        <f t="shared" si="1"/>
        <v>2.5972222218115348E-2</v>
      </c>
      <c r="N47" s="7">
        <f t="shared" si="25"/>
        <v>37.399999994086102</v>
      </c>
      <c r="O47" s="7"/>
      <c r="P47" s="7"/>
      <c r="Q47" s="22"/>
      <c r="R47" s="174"/>
      <c r="S47" s="221">
        <f t="shared" si="26"/>
        <v>1</v>
      </c>
      <c r="T47" s="174" t="str">
        <f t="shared" si="2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-11-11T07:23:10-0700',mode:absolute,to:'2017-11-11T10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204" t="str">
        <f>IF(AA47&lt;VLOOKUP(AG47,Variables!$AC$3:$AD$8,2,FALSE),"Y","N")</f>
        <v>N</v>
      </c>
      <c r="X47" s="204">
        <f t="shared" si="4"/>
        <v>1</v>
      </c>
      <c r="Y47" s="204">
        <f t="shared" si="27"/>
        <v>23.295999999999999</v>
      </c>
      <c r="Z47" s="204">
        <f t="shared" si="28"/>
        <v>2.01E-2</v>
      </c>
      <c r="AA47" s="204">
        <f t="shared" si="7"/>
        <v>23.2759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8"/>
        <v>132</v>
      </c>
      <c r="AE47" s="77" t="str">
        <f t="shared" si="9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47" s="74" t="str">
        <f t="shared" si="10"/>
        <v>"C:\Program Files (x86)\AstroGrep\AstroGrep.exe" /e /r /s /spath="%USERPROFILE%\AppData\Local\Temp\OnboardLogs" /stypes="app*4025*20171111*" /stext=" 16:.+((SYSTEM_STATE.+slice.+state.+changed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7"/>
        <v>"%USERPROFILE%\Documents\GitHub\eaglep3\Utilities\RefineRTDCRunTimes.py" --tripid 132-11 --locoid 4025 --swversion DE.1.0.9.0 --startMP 204:232960 --initTime 2017-11-11T08:23:10 --startdatetime 2017-11-11T08:27:18 --delay 64 --endMP 204:201 --enddatetime 2017-11-11T09:04:42 --enforcementcount 0 &gt;&gt;%USERPROFILE%\Documents\GitHub\eaglep3-reporting\EC\2017-11-11-refined-times.txt</v>
      </c>
      <c r="AI4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{"issue":{"subject":"","project_id":79,"tracker_id":40,"status_id":1,"priority_id":2,"assigned_to_id":338,"start_date":"2017-11-11","description":"","custom_fields":[{"id":1,"name":"Subdivision","value":"EC"},{"id":4,"name":"Milepost","value":"0.0201"},{"id":17,"name":"Train ID","value":"132-11"},{"id":16,"name":"Locomotive ID","value":"4025"},{"id":130,"name":"Impact","value":""},{"id":150,"name":"Time of Event (Mountain Time)","value":"09:04:42"},{"id":151,"name":"Denver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4025 --day 2017-11-11</v>
      </c>
      <c r="AN4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-11-11T07:23:10-0700',mode:absolute,to:'2017-11-11T10:04:42-0700'))&amp;_a=(columns:!('Message%20ID',Summary),filters:!(),index:'emp_*',interval:auto,query:(query_string:(analyze_wildcard:!t,query:'%22rtdc.l.rtdc.4025%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738</v>
      </c>
      <c r="B48" s="7">
        <v>4010</v>
      </c>
      <c r="C48" s="21" t="s">
        <v>192</v>
      </c>
      <c r="D48" s="21" t="s">
        <v>599</v>
      </c>
      <c r="E48" s="13">
        <v>43050.319537037038</v>
      </c>
      <c r="F48" s="13">
        <v>43050.32309027778</v>
      </c>
      <c r="G48" s="7">
        <v>53</v>
      </c>
      <c r="H48" s="21" t="s">
        <v>613</v>
      </c>
      <c r="I48" s="13">
        <v>43050.346759259257</v>
      </c>
      <c r="J48" s="7">
        <v>0</v>
      </c>
      <c r="K48" s="89" t="str">
        <f t="shared" si="0"/>
        <v>4009/4010</v>
      </c>
      <c r="L48" s="185" t="str">
        <f>VLOOKUP(A48,'Trips&amp;Operators'!$C$1:$G$99911,5,FALSE)</f>
        <v>PAGE MARCUS</v>
      </c>
      <c r="M48" s="6">
        <f t="shared" si="1"/>
        <v>2.3668981477385387E-2</v>
      </c>
      <c r="N48" s="7">
        <f t="shared" si="25"/>
        <v>34.083333327434957</v>
      </c>
      <c r="O48" s="7"/>
      <c r="P48" s="7"/>
      <c r="Q48" s="22"/>
      <c r="R48" s="174"/>
      <c r="S48" s="221">
        <f t="shared" si="26"/>
        <v>1</v>
      </c>
      <c r="T48" s="174" t="str">
        <f t="shared" si="2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-11-11T06:40:08-0700',mode:absolute,to:'2017-11-11T09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204" t="str">
        <f>IF(AA48&lt;VLOOKUP(AG48,Variables!$AC$3:$AD$8,2,FALSE),"Y","N")</f>
        <v>N</v>
      </c>
      <c r="X48" s="204">
        <f t="shared" si="4"/>
        <v>1</v>
      </c>
      <c r="Y48" s="204">
        <f t="shared" si="27"/>
        <v>4.5499999999999999E-2</v>
      </c>
      <c r="Z48" s="204">
        <f t="shared" si="28"/>
        <v>23.328199999999999</v>
      </c>
      <c r="AA48" s="204">
        <f t="shared" si="7"/>
        <v>23.282699999999998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8"/>
        <v>133</v>
      </c>
      <c r="AE48" s="77" t="str">
        <f t="shared" si="9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48" s="74" t="str">
        <f t="shared" si="10"/>
        <v>"C:\Program Files (x86)\AstroGrep\AstroGrep.exe" /e /r /s /spath="%USERPROFILE%\AppData\Local\Temp\OnboardLogs" /stypes="app*4010*20171111*" /stext=" 15:.+((SYSTEM_STATE.+slice.+state.+changed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7"/>
        <v>"%USERPROFILE%\Documents\GitHub\eaglep3\Utilities\RefineRTDCRunTimes.py" --tripid 133-11 --locoid 4010 --swversion DE.1.0.9.0 --startMP 204:455 --initTime 2017-11-11T07:40:08 --startdatetime 2017-11-11T07:45:15 --delay 53 --endMP 204:233282 --enddatetime 2017-11-11T08:19:20 --enforcementcount 0 &gt;&gt;%USERPROFILE%\Documents\GitHub\eaglep3-reporting\EC\2017-11-11-refined-times.txt</v>
      </c>
      <c r="AI4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{"issue":{"subject":"","project_id":79,"tracker_id":40,"status_id":1,"priority_id":2,"assigned_to_id":338,"start_date":"2017-11-11","description":"","custom_fields":[{"id":1,"name":"Subdivision","value":"EC"},{"id":4,"name":"Milepost","value":"23.3282"},{"id":17,"name":"Train ID","value":"133-11"},{"id":16,"name":"Locomotive ID","value":"4010"},{"id":130,"name":"Impact","value":""},{"id":150,"name":"Time of Event (Mountain Time)","value":"08:19:20"},{"id":151,"name":"Denver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4010 --day 2017-11-11</v>
      </c>
      <c r="AN4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-11-11T06:40:08-0700',mode:absolute,to:'2017-11-11T09:19:20-0700'))&amp;_a=(columns:!('Message%20ID',Summary),filters:!(),index:'emp_*',interval:auto,query:(query_string:(analyze_wildcard:!t,query:'%22rtdc.l.rtdc.4010%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746</v>
      </c>
      <c r="B49" s="7">
        <v>4009</v>
      </c>
      <c r="C49" s="21" t="s">
        <v>192</v>
      </c>
      <c r="D49" s="21" t="s">
        <v>605</v>
      </c>
      <c r="E49" s="13">
        <v>43050.356886574074</v>
      </c>
      <c r="F49" s="13">
        <v>43050.362673611111</v>
      </c>
      <c r="G49" s="7">
        <v>75</v>
      </c>
      <c r="H49" s="21" t="s">
        <v>919</v>
      </c>
      <c r="I49" s="13">
        <v>43050.388391203705</v>
      </c>
      <c r="J49" s="7">
        <v>0</v>
      </c>
      <c r="K49" s="89" t="str">
        <f t="shared" si="0"/>
        <v>4009/4010</v>
      </c>
      <c r="L49" s="185" t="str">
        <f>VLOOKUP(A49,'Trips&amp;Operators'!$C$1:$G$99911,5,FALSE)</f>
        <v>PAGE MARCUS</v>
      </c>
      <c r="M49" s="6">
        <f t="shared" si="1"/>
        <v>2.5717592594446614E-2</v>
      </c>
      <c r="N49" s="7">
        <f t="shared" si="25"/>
        <v>37.033333336003125</v>
      </c>
      <c r="O49" s="7"/>
      <c r="P49" s="7"/>
      <c r="Q49" s="22"/>
      <c r="R49" s="174"/>
      <c r="S49" s="221">
        <f t="shared" si="26"/>
        <v>1</v>
      </c>
      <c r="T49" s="174" t="str">
        <f t="shared" si="2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-11-11T07:33:55-0700',mode:absolute,to:'2017-11-11T10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204" t="str">
        <f>IF(AA49&lt;VLOOKUP(AG49,Variables!$AC$3:$AD$8,2,FALSE),"Y","N")</f>
        <v>N</v>
      </c>
      <c r="X49" s="204">
        <f t="shared" si="4"/>
        <v>1</v>
      </c>
      <c r="Y49" s="204">
        <f t="shared" si="27"/>
        <v>23.296099999999999</v>
      </c>
      <c r="Z49" s="204">
        <f t="shared" si="28"/>
        <v>1.6E-2</v>
      </c>
      <c r="AA49" s="204">
        <f t="shared" si="7"/>
        <v>23.280100000000001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8"/>
        <v>134</v>
      </c>
      <c r="AE49" s="77" t="str">
        <f t="shared" si="9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49" s="74" t="str">
        <f t="shared" si="10"/>
        <v>"C:\Program Files (x86)\AstroGrep\AstroGrep.exe" /e /r /s /spath="%USERPROFILE%\AppData\Local\Temp\OnboardLogs" /stypes="app*4009*20171111*" /stext=" 16:.+((SYSTEM_STATE.+slice.+state.+changed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7"/>
        <v>"%USERPROFILE%\Documents\GitHub\eaglep3\Utilities\RefineRTDCRunTimes.py" --tripid 134-11 --locoid 4009 --swversion DE.1.0.9.0 --startMP 204:232961 --initTime 2017-11-11T08:33:55 --startdatetime 2017-11-11T08:42:15 --delay 75 --endMP 204:160 --enddatetime 2017-11-11T09:19:17 --enforcementcount 0 &gt;&gt;%USERPROFILE%\Documents\GitHub\eaglep3-reporting\EC\2017-11-11-refined-times.txt</v>
      </c>
      <c r="AI4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{"issue":{"subject":"","project_id":79,"tracker_id":40,"status_id":1,"priority_id":2,"assigned_to_id":338,"start_date":"2017-11-11","description":"","custom_fields":[{"id":1,"name":"Subdivision","value":"EC"},{"id":4,"name":"Milepost","value":"0.016"},{"id":17,"name":"Train ID","value":"134-11"},{"id":16,"name":"Locomotive ID","value":"4009"},{"id":130,"name":"Impact","value":""},{"id":150,"name":"Time of Event (Mountain Time)","value":"09:19:17"},{"id":151,"name":"Denver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4009 --day 2017-11-11</v>
      </c>
      <c r="AN4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-11-11T07:33:55-0700',mode:absolute,to:'2017-11-11T10:19:17-0700'))&amp;_a=(columns:!('Message%20ID',Summary),filters:!(),index:'emp_*',interval:auto,query:(query_string:(analyze_wildcard:!t,query:'%22rtdc.l.rtdc.4009%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739</v>
      </c>
      <c r="B50" s="7">
        <v>4022</v>
      </c>
      <c r="C50" s="21" t="s">
        <v>192</v>
      </c>
      <c r="D50" s="21" t="s">
        <v>528</v>
      </c>
      <c r="E50" s="13">
        <v>43050.328622685185</v>
      </c>
      <c r="F50" s="13">
        <v>43050.338159722225</v>
      </c>
      <c r="G50" s="7">
        <v>54</v>
      </c>
      <c r="H50" s="21" t="s">
        <v>920</v>
      </c>
      <c r="I50" s="13">
        <v>43050.3591087963</v>
      </c>
      <c r="J50" s="7">
        <v>0</v>
      </c>
      <c r="K50" s="89" t="str">
        <f t="shared" si="0"/>
        <v>4021/4022</v>
      </c>
      <c r="L50" s="185" t="str">
        <f>VLOOKUP(A50,'Trips&amp;Operators'!$C$1:$G$99911,5,FALSE)</f>
        <v>GEBRETEKLE DAGNEW</v>
      </c>
      <c r="M50" s="6">
        <f t="shared" si="1"/>
        <v>2.0949074074451346E-2</v>
      </c>
      <c r="N50" s="7"/>
      <c r="O50" s="7"/>
      <c r="P50" s="7">
        <f>24*60*SUM($M50:$M50)</f>
        <v>30.166666667209938</v>
      </c>
      <c r="Q50" s="22"/>
      <c r="R50" s="174" t="s">
        <v>1090</v>
      </c>
      <c r="S50" s="221">
        <f>1/IF(AG50="EC",12,1)*SUM(U50:U51)</f>
        <v>1</v>
      </c>
      <c r="T50" s="174" t="str">
        <f t="shared" si="2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-11-11T06:53:13-0700',mode:absolute,to:'2017-11-11T09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0" s="204" t="str">
        <f>IF(AA50&lt;VLOOKUP(AG50,Variables!$AC$3:$AD$8,2,FALSE),"Y","N")</f>
        <v>Y</v>
      </c>
      <c r="X50" s="204">
        <f t="shared" si="4"/>
        <v>1</v>
      </c>
      <c r="Y50" s="204">
        <f t="shared" si="27"/>
        <v>5.2900000000000003E-2</v>
      </c>
      <c r="Z50" s="204">
        <f t="shared" si="28"/>
        <v>0.18190000000000001</v>
      </c>
      <c r="AA50" s="204">
        <f t="shared" si="7"/>
        <v>0.129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8"/>
        <v>135</v>
      </c>
      <c r="AE50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50" s="74" t="str">
        <f t="shared" si="10"/>
        <v>"C:\Program Files (x86)\AstroGrep\AstroGrep.exe" /e /r /s /spath="%USERPROFILE%\AppData\Local\Temp\OnboardLogs" /stypes="app*4022*20171111*" /stext=" 15:.+((SYSTEM_STATE.+slice.+state.+changed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7"/>
        <v>"%USERPROFILE%\Documents\GitHub\eaglep3\Utilities\RefineRTDCRunTimes.py" --tripid 135-11 --locoid 4022 --swversion DE.1.0.9.0 --startMP 204:529 --initTime 2017-11-11T07:53:13 --startdatetime 2017-11-11T08:06:57 --delay 54 --endMP 204:1819 --enddatetime 2017-11-11T08:37:07 --enforcementcount 0 &gt;&gt;%USERPROFILE%\Documents\GitHub\eaglep3-reporting\EC\2017-11-11-refined-times.txt</v>
      </c>
      <c r="AI50" s="96" t="str">
        <f t="shared" si="18"/>
        <v>echo {"issue":{"subject":"Wheel tach sensor issue","project_id":79,"tracker_id":40,"status_id":1,"priority_id":2,"assigned_to_id":338,"start_date":"2017-11-11","description":"","custom_fields":[{"id":1,"name":"Subdivision","value":"EC"},{"id":4,"name":"Milepost","value":"0.1819"},{"id":17,"name":"Train ID","value":"135-11"},{"id":16,"name":"Locomotive ID","value":"4022"},{"id":130,"name":"Impact","value":""},{"id":150,"name":"Time of Event (Mountain Time)","value":"08:37:07"},{"id":151,"name":"Denver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4022 --day 2017-11-11</v>
      </c>
      <c r="AN50" s="151" t="str">
        <f t="shared" si="20"/>
        <v>echo {"issue":{"subject":"Wheel tach sensor issue","project_id":30,"tracker_id":4,"status_id":1,"priority_id":1,"assigned_to_id":10,"start_date":"2017-11-11","description":"","custom_fields":[{"id":30,"name":"Category","value":"Issue"},{"id":3,"name":"Functional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-11-11T06:53:13-0700',mode:absolute,to:'2017-11-11T09:37:07-0700'))&amp;_a=(columns:!('Message%20ID',Summary),filters:!(),index:'emp_*',interval:auto,query:(query_string:(analyze_wildcard:!t,query:'%22rtdc.l.rtdc.4022%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739</v>
      </c>
      <c r="B51" s="7">
        <v>4022</v>
      </c>
      <c r="C51" s="21" t="s">
        <v>192</v>
      </c>
      <c r="D51" s="21" t="s">
        <v>921</v>
      </c>
      <c r="E51" s="13">
        <v>43050.337187500001</v>
      </c>
      <c r="F51" s="13">
        <v>43050.338159722225</v>
      </c>
      <c r="G51" s="7">
        <v>39</v>
      </c>
      <c r="H51" s="21" t="s">
        <v>470</v>
      </c>
      <c r="I51" s="13">
        <v>43050.3591087963</v>
      </c>
      <c r="J51" s="7">
        <v>0</v>
      </c>
      <c r="K51" s="89" t="str">
        <f t="shared" si="0"/>
        <v>4021/4022</v>
      </c>
      <c r="L51" s="185" t="str">
        <f>VLOOKUP(A51,'Trips&amp;Operators'!$C$1:$G$99911,5,FALSE)</f>
        <v>GEBRETEKLE DAGNEW</v>
      </c>
      <c r="M51" s="6">
        <f t="shared" si="1"/>
        <v>2.0949074074451346E-2</v>
      </c>
      <c r="N51" s="7"/>
      <c r="O51" s="7"/>
      <c r="P51" s="7"/>
      <c r="Q51" s="22"/>
      <c r="R51" s="174"/>
      <c r="S51" s="221"/>
      <c r="T51" s="174" t="str">
        <f t="shared" si="2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-11-11T07:05:33-0700',mode:absolute,to:'2017-11-11T09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1" s="204" t="str">
        <f>IF(AA51&lt;VLOOKUP(AG51,Variables!$AC$3:$AD$8,2,FALSE),"Y","N")</f>
        <v>Y</v>
      </c>
      <c r="X51" s="204">
        <f t="shared" si="4"/>
        <v>0</v>
      </c>
      <c r="Y51" s="204">
        <f t="shared" si="27"/>
        <v>1.9136</v>
      </c>
      <c r="Z51" s="204">
        <f t="shared" si="28"/>
        <v>23.325900000000001</v>
      </c>
      <c r="AA51" s="204">
        <f t="shared" si="7"/>
        <v>21.412300000000002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8"/>
        <v>135</v>
      </c>
      <c r="AE51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51" s="74" t="str">
        <f t="shared" si="10"/>
        <v>"C:\Program Files (x86)\AstroGrep\AstroGrep.exe" /e /r /s /spath="%USERPROFILE%\AppData\Local\Temp\OnboardLogs" /stypes="app*4022*20171111*"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7"/>
        <v>"%USERPROFILE%\Documents\GitHub\eaglep3\Utilities\RefineRTDCRunTimes.py" --tripid 135-11 --locoid 4022 --swversion DE.1.0.9.0 --startMP 204:19136 --initTime 2017-11-11T08:05:33 --startdatetime 2017-11-11T08:06:57 --delay 39 --endMP 204:233259 --enddatetime 2017-11-11T08:37:07 --enforcementcount 0 &gt;&gt;%USERPROFILE%\Documents\GitHub\eaglep3-reporting\EC\2017-11-11-refined-times.txt</v>
      </c>
      <c r="AI5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{"issue":{"subject":"","project_id":79,"tracker_id":40,"status_id":1,"priority_id":2,"assigned_to_id":338,"start_date":"2017-11-11","description":"","custom_fields":[{"id":1,"name":"Subdivision","value":"EC"},{"id":4,"name":"Milepost","value":"23.3259"},{"id":17,"name":"Train ID","value":"135-11"},{"id":16,"name":"Locomotive ID","value":"4022"},{"id":130,"name":"Impact","value":""},{"id":150,"name":"Time of Event (Mountain Time)","value":"08:37:07"},{"id":151,"name":"Denver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4022 --day 2017-11-11</v>
      </c>
      <c r="AN5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-11-11T07:05:33-0700',mode:absolute,to:'2017-11-11T09:37:07-0700'))&amp;_a=(columns:!('Message%20ID',Summary),filters:!(),index:'emp_*',interval:auto,query:(query_string:(analyze_wildcard:!t,query:'%22rtdc.l.rtdc.4022%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747</v>
      </c>
      <c r="B52" s="7">
        <v>4021</v>
      </c>
      <c r="C52" s="21" t="s">
        <v>192</v>
      </c>
      <c r="D52" s="21" t="s">
        <v>913</v>
      </c>
      <c r="E52" s="13">
        <v>43050.360682870371</v>
      </c>
      <c r="F52" s="13">
        <v>43050.373124999998</v>
      </c>
      <c r="G52" s="7">
        <v>53</v>
      </c>
      <c r="H52" s="21" t="s">
        <v>922</v>
      </c>
      <c r="I52" s="13">
        <v>43050.39949074074</v>
      </c>
      <c r="J52" s="7">
        <v>0</v>
      </c>
      <c r="K52" s="89" t="str">
        <f t="shared" si="0"/>
        <v>4021/4022</v>
      </c>
      <c r="L52" s="185" t="str">
        <f>VLOOKUP(A52,'Trips&amp;Operators'!$C$1:$G$99911,5,FALSE)</f>
        <v>GEBRETEKLE DAGNEW</v>
      </c>
      <c r="M52" s="6">
        <f t="shared" si="1"/>
        <v>2.6365740741312038E-2</v>
      </c>
      <c r="N52" s="7">
        <f t="shared" ref="N52:N95" si="29">24*60*SUM($M52:$M52)</f>
        <v>37.966666667489335</v>
      </c>
      <c r="O52" s="7"/>
      <c r="P52" s="7"/>
      <c r="Q52" s="22"/>
      <c r="R52" s="174"/>
      <c r="S52" s="221">
        <f t="shared" ref="S52:S83" si="30">1/IF(AG52="EC",12,1)*SUM(U52:U52)</f>
        <v>1</v>
      </c>
      <c r="T52" s="174" t="str">
        <f t="shared" si="2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-11-11T07:39:23-0700',mode:absolute,to:'2017-11-11T10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2" s="204" t="str">
        <f>IF(AA52&lt;VLOOKUP(AG52,Variables!$AC$3:$AD$8,2,FALSE),"Y","N")</f>
        <v>N</v>
      </c>
      <c r="X52" s="204">
        <f t="shared" si="4"/>
        <v>1</v>
      </c>
      <c r="Y52" s="204">
        <f t="shared" si="27"/>
        <v>23.295100000000001</v>
      </c>
      <c r="Z52" s="204">
        <f t="shared" si="28"/>
        <v>2.2700000000000001E-2</v>
      </c>
      <c r="AA52" s="204">
        <f t="shared" si="7"/>
        <v>23.272400000000001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8"/>
        <v>136</v>
      </c>
      <c r="AE52" s="77" t="str">
        <f t="shared" si="9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52" s="74" t="str">
        <f t="shared" si="10"/>
        <v>"C:\Program Files (x86)\AstroGrep\AstroGrep.exe" /e /r /s /spath="%USERPROFILE%\AppData\Local\Temp\OnboardLogs" /stypes="app*4021*20171111*" /stext=" 16:.+((SYSTEM_STATE.+slice.+state.+changed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7"/>
        <v>"%USERPROFILE%\Documents\GitHub\eaglep3\Utilities\RefineRTDCRunTimes.py" --tripid 136-11 --locoid 4021 --swversion DE.1.0.9.0 --startMP 204:232951 --initTime 2017-11-11T08:39:23 --startdatetime 2017-11-11T08:57:18 --delay 53 --endMP 204:227 --enddatetime 2017-11-11T09:35:16 --enforcementcount 0 &gt;&gt;%USERPROFILE%\Documents\GitHub\eaglep3-reporting\EC\2017-11-11-refined-times.txt</v>
      </c>
      <c r="AI5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{"issue":{"subject":"","project_id":79,"tracker_id":40,"status_id":1,"priority_id":2,"assigned_to_id":338,"start_date":"2017-11-11","description":"","custom_fields":[{"id":1,"name":"Subdivision","value":"EC"},{"id":4,"name":"Milepost","value":"0.0227"},{"id":17,"name":"Train ID","value":"136-11"},{"id":16,"name":"Locomotive ID","value":"4021"},{"id":130,"name":"Impact","value":""},{"id":150,"name":"Time of Event (Mountain Time)","value":"09:35:16"},{"id":151,"name":"Denver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4021 --day 2017-11-11</v>
      </c>
      <c r="AN5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-11-11T07:39:23-0700',mode:absolute,to:'2017-11-11T10:35:16-0700'))&amp;_a=(columns:!('Message%20ID',Summary),filters:!(),index:'emp_*',interval:auto,query:(query_string:(analyze_wildcard:!t,query:'%22rtdc.l.rtdc.4021%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743</v>
      </c>
      <c r="B53" s="7">
        <v>4036</v>
      </c>
      <c r="C53" s="21" t="s">
        <v>192</v>
      </c>
      <c r="D53" s="21" t="s">
        <v>908</v>
      </c>
      <c r="E53" s="13">
        <v>43050.338796296295</v>
      </c>
      <c r="F53" s="13">
        <v>43050.344224537039</v>
      </c>
      <c r="G53" s="7">
        <v>48</v>
      </c>
      <c r="H53" s="21" t="s">
        <v>552</v>
      </c>
      <c r="I53" s="13">
        <v>43050.368784722225</v>
      </c>
      <c r="J53" s="7">
        <v>0</v>
      </c>
      <c r="K53" s="89" t="str">
        <f t="shared" si="0"/>
        <v>4035/4036</v>
      </c>
      <c r="L53" s="185" t="str">
        <f>VLOOKUP(A53,'Trips&amp;Operators'!$C$1:$G$99911,5,FALSE)</f>
        <v>HUFFSMITH MONTY</v>
      </c>
      <c r="M53" s="6">
        <f t="shared" si="1"/>
        <v>2.4560185185691807E-2</v>
      </c>
      <c r="N53" s="7">
        <f t="shared" si="29"/>
        <v>35.366666667396203</v>
      </c>
      <c r="O53" s="7"/>
      <c r="P53" s="7"/>
      <c r="Q53" s="22"/>
      <c r="R53" s="174"/>
      <c r="S53" s="221">
        <f t="shared" si="30"/>
        <v>1</v>
      </c>
      <c r="T53" s="174" t="str">
        <f t="shared" si="2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-11-11T07:07:52-0700',mode:absolute,to:'2017-11-11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3" s="204" t="str">
        <f>IF(AA53&lt;VLOOKUP(AG53,Variables!$AC$3:$AD$8,2,FALSE),"Y","N")</f>
        <v>N</v>
      </c>
      <c r="X53" s="204">
        <f t="shared" si="4"/>
        <v>1</v>
      </c>
      <c r="Y53" s="204">
        <f t="shared" si="27"/>
        <v>4.1599999999999998E-2</v>
      </c>
      <c r="Z53" s="204">
        <f t="shared" si="28"/>
        <v>23.329699999999999</v>
      </c>
      <c r="AA53" s="204">
        <f t="shared" si="7"/>
        <v>23.2881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8"/>
        <v>137</v>
      </c>
      <c r="AE53" s="77" t="str">
        <f t="shared" si="9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53" s="74" t="str">
        <f t="shared" si="10"/>
        <v>"C:\Program Files (x86)\AstroGrep\AstroGrep.exe" /e /r /s /spath="%USERPROFILE%\AppData\Local\Temp\OnboardLogs" /stypes="app*4036*20171111*" /stext=" 15:.+((SYSTEM_STATE.+slice.+state.+changed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7"/>
        <v>"%USERPROFILE%\Documents\GitHub\eaglep3\Utilities\RefineRTDCRunTimes.py" --tripid 137-11 --locoid 4036 --swversion DE.1.0.9.0 --startMP 204:416 --initTime 2017-11-11T08:07:52 --startdatetime 2017-11-11T08:15:41 --delay 48 --endMP 204:233297 --enddatetime 2017-11-11T08:51:03 --enforcementcount 0 &gt;&gt;%USERPROFILE%\Documents\GitHub\eaglep3-reporting\EC\2017-11-11-refined-times.txt</v>
      </c>
      <c r="AI5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{"issue":{"subject":"","project_id":79,"tracker_id":40,"status_id":1,"priority_id":2,"assigned_to_id":338,"start_date":"2017-11-11","description":"","custom_fields":[{"id":1,"name":"Subdivision","value":"EC"},{"id":4,"name":"Milepost","value":"23.3297"},{"id":17,"name":"Train ID","value":"137-11"},{"id":16,"name":"Locomotive ID","value":"4036"},{"id":130,"name":"Impact","value":""},{"id":150,"name":"Time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4036 --day 2017-11-11</v>
      </c>
      <c r="AN5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-11-11T07:07:52-0700',mode:absolute,to:'2017-11-11T09:51:03-0700'))&amp;_a=(columns:!('Message%20ID',Summary),filters:!(),index:'emp_*',interval:auto,query:(query_string:(analyze_wildcard:!t,query:'%22rtdc.l.rtdc.4036%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750</v>
      </c>
      <c r="B54" s="7">
        <v>4035</v>
      </c>
      <c r="C54" s="21" t="s">
        <v>192</v>
      </c>
      <c r="D54" s="21" t="s">
        <v>553</v>
      </c>
      <c r="E54" s="13">
        <v>43050.373182870368</v>
      </c>
      <c r="F54" s="13">
        <v>43050.383518518516</v>
      </c>
      <c r="G54" s="7">
        <v>48</v>
      </c>
      <c r="H54" s="21" t="s">
        <v>923</v>
      </c>
      <c r="I54" s="13">
        <v>43050.410254629627</v>
      </c>
      <c r="J54" s="7">
        <v>0</v>
      </c>
      <c r="K54" s="89" t="str">
        <f t="shared" si="0"/>
        <v>4035/4036</v>
      </c>
      <c r="L54" s="185" t="str">
        <f>VLOOKUP(A54,'Trips&amp;Operators'!$C$1:$G$99911,5,FALSE)</f>
        <v>HUFFSMITH MONTY</v>
      </c>
      <c r="M54" s="6">
        <f t="shared" si="1"/>
        <v>2.6736111110949423E-2</v>
      </c>
      <c r="N54" s="7">
        <f t="shared" si="29"/>
        <v>38.499999999767169</v>
      </c>
      <c r="O54" s="7"/>
      <c r="P54" s="7"/>
      <c r="Q54" s="22"/>
      <c r="R54" s="174"/>
      <c r="S54" s="221">
        <f t="shared" si="30"/>
        <v>1</v>
      </c>
      <c r="T54" s="174" t="str">
        <f t="shared" si="2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-11-11T07:57:23-0700',mode:absolute,to:'2017-11-11T10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4" s="204" t="str">
        <f>IF(AA54&lt;VLOOKUP(AG54,Variables!$AC$3:$AD$8,2,FALSE),"Y","N")</f>
        <v>N</v>
      </c>
      <c r="X54" s="204">
        <f t="shared" si="4"/>
        <v>1</v>
      </c>
      <c r="Y54" s="204">
        <f t="shared" si="27"/>
        <v>23.297999999999998</v>
      </c>
      <c r="Z54" s="204">
        <f t="shared" si="28"/>
        <v>1.12E-2</v>
      </c>
      <c r="AA54" s="204">
        <f t="shared" si="7"/>
        <v>23.286799999999999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8"/>
        <v>138</v>
      </c>
      <c r="AE54" s="77" t="str">
        <f t="shared" si="9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54" s="74" t="str">
        <f t="shared" si="10"/>
        <v>"C:\Program Files (x86)\AstroGrep\AstroGrep.exe" /e /r /s /spath="%USERPROFILE%\AppData\Local\Temp\OnboardLogs" /stypes="app*4035*20171111*" /stext=" 16:.+((SYSTEM_STATE.+slice.+state.+changed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7"/>
        <v>"%USERPROFILE%\Documents\GitHub\eaglep3\Utilities\RefineRTDCRunTimes.py" --tripid 138-11 --locoid 4035 --swversion DE.1.0.9.0 --startMP 204:232980 --initTime 2017-11-11T08:57:23 --startdatetime 2017-11-11T09:12:16 --delay 48 --endMP 204:112 --enddatetime 2017-11-11T09:50:46 --enforcementcount 0 &gt;&gt;%USERPROFILE%\Documents\GitHub\eaglep3-reporting\EC\2017-11-11-refined-times.txt</v>
      </c>
      <c r="AI54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{"issue":{"subject":"","project_id":79,"tracker_id":40,"status_id":1,"priority_id":2,"assigned_to_id":338,"start_date":"2017-11-11","description":"","custom_fields":[{"id":1,"name":"Subdivision","value":"EC"},{"id":4,"name":"Milepost","value":"0.0112"},{"id":17,"name":"Train ID","value":"138-11"},{"id":16,"name":"Locomotive ID","value":"4035"},{"id":130,"name":"Impact","value":""},{"id":150,"name":"Time of Event (Mountain Time)","value":"09:50:46"},{"id":151,"name":"Denver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4035 --day 2017-11-11</v>
      </c>
      <c r="AN54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-11-11T07:57:23-0700',mode:absolute,to:'2017-11-11T10:50:46-0700'))&amp;_a=(columns:!('Message%20ID',Summary),filters:!(),index:'emp_*',interval:auto,query:(query_string:(analyze_wildcard:!t,query:'%22rtdc.l.rtdc.4035%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745</v>
      </c>
      <c r="B55" s="7">
        <v>4044</v>
      </c>
      <c r="C55" s="21" t="s">
        <v>192</v>
      </c>
      <c r="D55" s="21" t="s">
        <v>924</v>
      </c>
      <c r="E55" s="13">
        <v>43050.353541666664</v>
      </c>
      <c r="F55" s="13">
        <v>43050.355624999997</v>
      </c>
      <c r="G55" s="7">
        <v>49</v>
      </c>
      <c r="H55" s="21" t="s">
        <v>450</v>
      </c>
      <c r="I55" s="13">
        <v>43050.379988425928</v>
      </c>
      <c r="J55" s="7">
        <v>0</v>
      </c>
      <c r="K55" s="89" t="str">
        <f t="shared" si="0"/>
        <v>4043/4044</v>
      </c>
      <c r="L55" s="185" t="str">
        <f>VLOOKUP(A55,'Trips&amp;Operators'!$C$1:$G$99911,5,FALSE)</f>
        <v>THOMPSON LESTER</v>
      </c>
      <c r="M55" s="6">
        <f t="shared" si="1"/>
        <v>2.436342593136942E-2</v>
      </c>
      <c r="N55" s="7">
        <f t="shared" si="29"/>
        <v>35.083333341171965</v>
      </c>
      <c r="O55" s="7"/>
      <c r="P55" s="7"/>
      <c r="Q55" s="22"/>
      <c r="R55" s="174"/>
      <c r="S55" s="221">
        <f t="shared" si="30"/>
        <v>1</v>
      </c>
      <c r="T55" s="174" t="str">
        <f t="shared" si="2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-11-11T07:29:06-0700',mode:absolute,to:'2017-11-11T10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204" t="str">
        <f>IF(AA55&lt;VLOOKUP(AG55,Variables!$AC$3:$AD$8,2,FALSE),"Y","N")</f>
        <v>N</v>
      </c>
      <c r="X55" s="204">
        <f t="shared" si="4"/>
        <v>1</v>
      </c>
      <c r="Y55" s="204">
        <f t="shared" si="27"/>
        <v>8.3199999999999996E-2</v>
      </c>
      <c r="Z55" s="204">
        <f t="shared" si="28"/>
        <v>23.325700000000001</v>
      </c>
      <c r="AA55" s="204">
        <f t="shared" si="7"/>
        <v>23.2425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8"/>
        <v>139</v>
      </c>
      <c r="AE55" s="77" t="str">
        <f t="shared" si="9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55" s="74" t="str">
        <f t="shared" si="10"/>
        <v>"C:\Program Files (x86)\AstroGrep\AstroGrep.exe" /e /r /s /spath="%USERPROFILE%\AppData\Local\Temp\OnboardLogs" /stypes="app*4044*20171111*"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7"/>
        <v>"%USERPROFILE%\Documents\GitHub\eaglep3\Utilities\RefineRTDCRunTimes.py" --tripid 139-11 --locoid 4044 --swversion DE.1.0.9.0 --startMP 204:832 --initTime 2017-11-11T08:29:06 --startdatetime 2017-11-11T08:32:06 --delay 49 --endMP 204:233257 --enddatetime 2017-11-11T09:07:11 --enforcementcount 0 &gt;&gt;%USERPROFILE%\Documents\GitHub\eaglep3-reporting\EC\2017-11-11-refined-times.txt</v>
      </c>
      <c r="AI5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{"issue":{"subject":"","project_id":79,"tracker_id":40,"status_id":1,"priority_id":2,"assigned_to_id":338,"start_date":"2017-11-11","description":"","custom_fields":[{"id":1,"name":"Subdivision","value":"EC"},{"id":4,"name":"Milepost","value":"23.3257"},{"id":17,"name":"Train ID","value":"139-11"},{"id":16,"name":"Locomotive ID","value":"4044"},{"id":130,"name":"Impact","value":""},{"id":150,"name":"Time of Event (Mountain Time)","value":"09:07:11"},{"id":151,"name":"Denver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4044 --day 2017-11-11</v>
      </c>
      <c r="AN5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-11-11T07:29:06-0700',mode:absolute,to:'2017-11-11T10:07:11-0700'))&amp;_a=(columns:!('Message%20ID',Summary),filters:!(),index:'emp_*',interval:auto,query:(query_string:(analyze_wildcard:!t,query:'%22rtdc.l.rtdc.4044%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754</v>
      </c>
      <c r="B56" s="7">
        <v>4043</v>
      </c>
      <c r="C56" s="21" t="s">
        <v>192</v>
      </c>
      <c r="D56" s="21" t="s">
        <v>925</v>
      </c>
      <c r="E56" s="13">
        <v>43050.391435185185</v>
      </c>
      <c r="F56" s="13">
        <v>43050.394062500003</v>
      </c>
      <c r="G56" s="7">
        <v>58</v>
      </c>
      <c r="H56" s="21" t="s">
        <v>926</v>
      </c>
      <c r="I56" s="13">
        <v>43050.421030092592</v>
      </c>
      <c r="J56" s="7">
        <v>0</v>
      </c>
      <c r="K56" s="89" t="str">
        <f t="shared" si="0"/>
        <v>4043/4044</v>
      </c>
      <c r="L56" s="185" t="str">
        <f>VLOOKUP(A56,'Trips&amp;Operators'!$C$1:$G$99911,5,FALSE)</f>
        <v>THOMPSON LESTER</v>
      </c>
      <c r="M56" s="6">
        <f t="shared" si="1"/>
        <v>2.696759258833481E-2</v>
      </c>
      <c r="N56" s="7">
        <f t="shared" si="29"/>
        <v>38.833333327202126</v>
      </c>
      <c r="O56" s="7"/>
      <c r="P56" s="7"/>
      <c r="Q56" s="22"/>
      <c r="R56" s="174"/>
      <c r="S56" s="221">
        <f t="shared" si="30"/>
        <v>1</v>
      </c>
      <c r="T56" s="174" t="str">
        <f t="shared" si="2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-11-11T08:23:40-0700',mode:absolute,to:'2017-11-11T11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204" t="str">
        <f>IF(AA56&lt;VLOOKUP(AG56,Variables!$AC$3:$AD$8,2,FALSE),"Y","N")</f>
        <v>N</v>
      </c>
      <c r="X56" s="204">
        <f t="shared" ref="X56:X58" si="31">VALUE(LEFT(AD56,4))-VALUE(LEFT(AD55,4))</f>
        <v>1</v>
      </c>
      <c r="Y56" s="204">
        <f t="shared" si="27"/>
        <v>23.2957</v>
      </c>
      <c r="Z56" s="204">
        <f t="shared" si="28"/>
        <v>1.7399999999999999E-2</v>
      </c>
      <c r="AA56" s="204">
        <f t="shared" si="7"/>
        <v>23.278300000000002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8"/>
        <v>140</v>
      </c>
      <c r="AE56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56" s="74" t="str">
        <f t="shared" si="10"/>
        <v>"C:\Program Files (x86)\AstroGrep\AstroGrep.exe" /e /r /s /spath="%USERPROFILE%\AppData\Local\Temp\OnboardLogs" /stypes="app*4043*20171111*" /stext=" 17:.+((SYSTEM_STATE.+slice.+state.+changed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7"/>
        <v>"%USERPROFILE%\Documents\GitHub\eaglep3\Utilities\RefineRTDCRunTimes.py" --tripid 140-11 --locoid 4043 --swversion DE.1.0.9.0 --startMP 204:232957 --initTime 2017-11-11T09:23:40 --startdatetime 2017-11-11T09:27:27 --delay 58 --endMP 204:174 --enddatetime 2017-11-11T10:06:17 --enforcementcount 0 &gt;&gt;%USERPROFILE%\Documents\GitHub\eaglep3-reporting\EC\2017-11-11-refined-times.txt</v>
      </c>
      <c r="AI5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{"issue":{"subject":"","project_id":79,"tracker_id":40,"status_id":1,"priority_id":2,"assigned_to_id":338,"start_date":"2017-11-11","description":"","custom_fields":[{"id":1,"name":"Subdivision","value":"EC"},{"id":4,"name":"Milepost","value":"0.0174"},{"id":17,"name":"Train ID","value":"140-11"},{"id":16,"name":"Locomotive ID","value":"4043"},{"id":130,"name":"Impact","value":""},{"id":150,"name":"Time of Event (Mountain Time)","value":"10:06:17"},{"id":151,"name":"Denver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4043 --day 2017-11-11</v>
      </c>
      <c r="AN5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-11-11T08:23:40-0700',mode:absolute,to:'2017-11-11T11:06:17-0700'))&amp;_a=(columns:!('Message%20ID',Summary),filters:!(),index:'emp_*',interval:auto,query:(query_string:(analyze_wildcard:!t,query:'%22rtdc.l.rtdc.4043%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748</v>
      </c>
      <c r="B57" s="7">
        <v>4066</v>
      </c>
      <c r="C57" s="21" t="s">
        <v>192</v>
      </c>
      <c r="D57" s="21" t="s">
        <v>562</v>
      </c>
      <c r="E57" s="13">
        <v>43050.362164351849</v>
      </c>
      <c r="F57" s="13">
        <v>43050.364814814813</v>
      </c>
      <c r="G57" s="7">
        <v>64</v>
      </c>
      <c r="H57" s="21" t="s">
        <v>564</v>
      </c>
      <c r="I57" s="13">
        <v>43050.388796296298</v>
      </c>
      <c r="J57" s="7">
        <v>0</v>
      </c>
      <c r="K57" s="89" t="str">
        <f t="shared" si="0"/>
        <v>4065/4066</v>
      </c>
      <c r="L57" s="185" t="str">
        <f>VLOOKUP(A57,'Trips&amp;Operators'!$C$1:$G$99911,5,FALSE)</f>
        <v>MACDONALD THOMAS</v>
      </c>
      <c r="M57" s="6">
        <f t="shared" si="1"/>
        <v>2.3981481484952383E-2</v>
      </c>
      <c r="N57" s="7">
        <f t="shared" si="29"/>
        <v>34.533333338331431</v>
      </c>
      <c r="O57" s="7"/>
      <c r="P57" s="7"/>
      <c r="Q57" s="22"/>
      <c r="R57" s="174"/>
      <c r="S57" s="221">
        <f t="shared" si="30"/>
        <v>1</v>
      </c>
      <c r="T57" s="174" t="str">
        <f t="shared" si="2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-11-11T07:41:31-0700',mode:absolute,to:'2017-11-11T10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04" t="str">
        <f>IF(AA57&lt;VLOOKUP(AG57,Variables!$AC$3:$AD$8,2,FALSE),"Y","N")</f>
        <v>N</v>
      </c>
      <c r="X57" s="204">
        <f t="shared" si="31"/>
        <v>1</v>
      </c>
      <c r="Y57" s="204">
        <f t="shared" si="27"/>
        <v>4.8899999999999999E-2</v>
      </c>
      <c r="Z57" s="204">
        <f t="shared" si="28"/>
        <v>23.321300000000001</v>
      </c>
      <c r="AA57" s="204">
        <f t="shared" si="7"/>
        <v>23.272400000000001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8"/>
        <v>141</v>
      </c>
      <c r="AE57" s="77" t="str">
        <f t="shared" si="9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57" s="74" t="str">
        <f t="shared" si="10"/>
        <v>"C:\Program Files (x86)\AstroGrep\AstroGrep.exe" /e /r /s /spath="%USERPROFILE%\AppData\Local\Temp\OnboardLogs" /stypes="app*4066*20171111*"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7"/>
        <v>"%USERPROFILE%\Documents\GitHub\eaglep3\Utilities\RefineRTDCRunTimes.py" --tripid 141-11 --locoid 4066 --swversion DE.1.0.9.0 --startMP 204:489 --initTime 2017-11-11T08:41:31 --startdatetime 2017-11-11T08:45:20 --delay 64 --endMP 204:233213 --enddatetime 2017-11-11T09:19:52 --enforcementcount 0 &gt;&gt;%USERPROFILE%\Documents\GitHub\eaglep3-reporting\EC\2017-11-11-refined-times.txt</v>
      </c>
      <c r="AI5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{"issue":{"subject":"","project_id":79,"tracker_id":40,"status_id":1,"priority_id":2,"assigned_to_id":338,"start_date":"2017-11-11","description":"","custom_fields":[{"id":1,"name":"Subdivision","value":"EC"},{"id":4,"name":"Milepost","value":"23.3213"},{"id":17,"name":"Train ID","value":"141-11"},{"id":16,"name":"Locomotive ID","value":"4066"},{"id":130,"name":"Impact","value":""},{"id":150,"name":"Time of Event (Mountain Time)","value":"09:19:52"},{"id":151,"name":"Denver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4066 --day 2017-11-11</v>
      </c>
      <c r="AN5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-11-11T07:41:31-0700',mode:absolute,to:'2017-11-11T10:19:52-0700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757</v>
      </c>
      <c r="B58" s="7">
        <v>4065</v>
      </c>
      <c r="C58" s="21" t="s">
        <v>192</v>
      </c>
      <c r="D58" s="21" t="s">
        <v>927</v>
      </c>
      <c r="E58" s="13">
        <v>43050.40357638889</v>
      </c>
      <c r="F58" s="13">
        <v>43050.404733796298</v>
      </c>
      <c r="G58" s="7">
        <v>52</v>
      </c>
      <c r="H58" s="21" t="s">
        <v>561</v>
      </c>
      <c r="I58" s="13">
        <v>43050.430844907409</v>
      </c>
      <c r="J58" s="7">
        <v>0</v>
      </c>
      <c r="K58" s="89" t="str">
        <f t="shared" si="0"/>
        <v>4065/4066</v>
      </c>
      <c r="L58" s="185" t="str">
        <f>VLOOKUP(A58,'Trips&amp;Operators'!$C$1:$G$99911,5,FALSE)</f>
        <v>MACDONALD THOMAS</v>
      </c>
      <c r="M58" s="6">
        <f t="shared" si="1"/>
        <v>2.6111111110367347E-2</v>
      </c>
      <c r="N58" s="7">
        <f t="shared" si="29"/>
        <v>37.599999998928979</v>
      </c>
      <c r="O58" s="7"/>
      <c r="P58" s="7"/>
      <c r="Q58" s="22"/>
      <c r="R58" s="174"/>
      <c r="S58" s="221">
        <f t="shared" si="30"/>
        <v>1</v>
      </c>
      <c r="T58" s="174" t="str">
        <f t="shared" si="2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-11-11T08:41:09-0700',mode:absolute,to:'2017-11-11T11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04" t="str">
        <f>IF(AA58&lt;VLOOKUP(AG58,Variables!$AC$3:$AD$8,2,FALSE),"Y","N")</f>
        <v>N</v>
      </c>
      <c r="X58" s="204">
        <f t="shared" si="31"/>
        <v>1</v>
      </c>
      <c r="Y58" s="204">
        <f t="shared" si="27"/>
        <v>23.289000000000001</v>
      </c>
      <c r="Z58" s="204">
        <f t="shared" si="28"/>
        <v>2.4500000000000001E-2</v>
      </c>
      <c r="AA58" s="204">
        <f t="shared" si="7"/>
        <v>23.264500000000002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8"/>
        <v>142</v>
      </c>
      <c r="AE58" s="77" t="str">
        <f t="shared" si="9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58" s="74" t="str">
        <f t="shared" si="10"/>
        <v>"C:\Program Files (x86)\AstroGrep\AstroGrep.exe" /e /r /s /spath="%USERPROFILE%\AppData\Local\Temp\OnboardLogs" /stypes="app*4065*20171111*" /stext=" 17:.+((SYSTEM_STATE.+slice.+state.+changed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7"/>
        <v>"%USERPROFILE%\Documents\GitHub\eaglep3\Utilities\RefineRTDCRunTimes.py" --tripid 142-11 --locoid 4065 --swversion DE.1.0.9.0 --startMP 204:232890 --initTime 2017-11-11T09:41:09 --startdatetime 2017-11-11T09:42:49 --delay 52 --endMP 204:245 --enddatetime 2017-11-11T10:20:25 --enforcementcount 0 &gt;&gt;%USERPROFILE%\Documents\GitHub\eaglep3-reporting\EC\2017-11-11-refined-times.txt</v>
      </c>
      <c r="AI5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{"issue":{"subject":"","project_id":79,"tracker_id":40,"status_id":1,"priority_id":2,"assigned_to_id":338,"start_date":"2017-11-11","description":"","custom_fields":[{"id":1,"name":"Subdivision","value":"EC"},{"id":4,"name":"Milepost","value":"0.0245"},{"id":17,"name":"Train ID","value":"142-11"},{"id":16,"name":"Locomotive ID","value":"4065"},{"id":130,"name":"Impact","value":""},{"id":150,"name":"Time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4065 --day 2017-11-11</v>
      </c>
      <c r="AN5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-11-11T08:41:09-0700',mode:absolute,to:'2017-11-11T11:20:25-0700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749</v>
      </c>
      <c r="B59" s="7">
        <v>4058</v>
      </c>
      <c r="C59" s="21" t="s">
        <v>192</v>
      </c>
      <c r="D59" s="21" t="s">
        <v>891</v>
      </c>
      <c r="E59" s="13">
        <v>43050.370347222219</v>
      </c>
      <c r="F59" s="13">
        <v>43050.375208333331</v>
      </c>
      <c r="G59" s="7">
        <v>56</v>
      </c>
      <c r="H59" s="21" t="s">
        <v>614</v>
      </c>
      <c r="I59" s="13">
        <v>43050.399942129632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MAELZER KURT</v>
      </c>
      <c r="M59" s="6">
        <f t="shared" si="1"/>
        <v>2.4733796301006805E-2</v>
      </c>
      <c r="N59" s="7">
        <f t="shared" si="29"/>
        <v>35.616666673449799</v>
      </c>
      <c r="O59" s="7"/>
      <c r="P59" s="7"/>
      <c r="Q59" s="22"/>
      <c r="R59" s="174"/>
      <c r="S59" s="221">
        <f t="shared" si="30"/>
        <v>1</v>
      </c>
      <c r="T59" s="174" t="str">
        <f t="shared" si="2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-11-11T07:53:18-0700',mode:absolute,to:'2017-11-11T10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9" s="204" t="str">
        <f>IF(AA59&lt;VLOOKUP(AG59,Variables!$AC$3:$AD$8,2,FALSE),"Y","N")</f>
        <v>N</v>
      </c>
      <c r="X59" s="204">
        <f t="shared" ref="X59:X90" si="32">VALUE(LEFT(AD59,4))-VALUE(LEFT(AD58,4))</f>
        <v>1</v>
      </c>
      <c r="Y59" s="204">
        <f t="shared" si="27"/>
        <v>4.6899999999999997E-2</v>
      </c>
      <c r="Z59" s="204">
        <f t="shared" si="28"/>
        <v>23.323599999999999</v>
      </c>
      <c r="AA59" s="204">
        <f t="shared" si="7"/>
        <v>23.276699999999998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8"/>
        <v>143</v>
      </c>
      <c r="AE59" s="77" t="str">
        <f t="shared" si="9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59" s="74" t="str">
        <f t="shared" si="10"/>
        <v>"C:\Program Files (x86)\AstroGrep\AstroGrep.exe" /e /r /s /spath="%USERPROFILE%\AppData\Local\Temp\OnboardLogs" /stypes="app*4058*20171111*"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7"/>
        <v>"%USERPROFILE%\Documents\GitHub\eaglep3\Utilities\RefineRTDCRunTimes.py" --tripid 143-11 --locoid 4058 --swversion DE.1.0.9.0 --startMP 204:469 --initTime 2017-11-11T08:53:18 --startdatetime 2017-11-11T09:00:18 --delay 56 --endMP 204:233236 --enddatetime 2017-11-11T09:35:55 --enforcementcount 0 &gt;&gt;%USERPROFILE%\Documents\GitHub\eaglep3-reporting\EC\2017-11-11-refined-times.txt</v>
      </c>
      <c r="AI5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{"issue":{"subject":"","project_id":79,"tracker_id":40,"status_id":1,"priority_id":2,"assigned_to_id":338,"start_date":"2017-11-11","description":"","custom_fields":[{"id":1,"name":"Subdivision","value":"EC"},{"id":4,"name":"Milepost","value":"23.3236"},{"id":17,"name":"Train ID","value":"143-11"},{"id":16,"name":"Locomotive ID","value":"4058"},{"id":130,"name":"Impact","value":""},{"id":150,"name":"Time of Event (Mountain Time)","value":"09:35:55"},{"id":151,"name":"Denver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4058 --day 2017-11-11</v>
      </c>
      <c r="AN5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-11-11T07:53:18-0700',mode:absolute,to:'2017-11-11T10:35:55-0700'))&amp;_a=(columns:!('Message%20ID',Summary),filters:!(),index:'emp_*',interval:auto,query:(query_string:(analyze_wildcard:!t,query:'%22rtdc.l.rtdc.4058%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758</v>
      </c>
      <c r="B60" s="7">
        <v>4057</v>
      </c>
      <c r="C60" s="21" t="s">
        <v>192</v>
      </c>
      <c r="D60" s="21" t="s">
        <v>928</v>
      </c>
      <c r="E60" s="13">
        <v>43050.406354166669</v>
      </c>
      <c r="F60" s="13">
        <v>43050.41511574074</v>
      </c>
      <c r="G60" s="7">
        <v>51</v>
      </c>
      <c r="H60" s="21" t="s">
        <v>929</v>
      </c>
      <c r="I60" s="13">
        <v>43050.440555555557</v>
      </c>
      <c r="J60" s="7">
        <v>0</v>
      </c>
      <c r="K60" s="89" t="str">
        <f t="shared" si="0"/>
        <v>4057/4058</v>
      </c>
      <c r="L60" s="185" t="str">
        <f>VLOOKUP(A60,'Trips&amp;Operators'!$C$1:$G$99911,5,FALSE)</f>
        <v>MAELZER KURT</v>
      </c>
      <c r="M60" s="6">
        <f t="shared" si="1"/>
        <v>2.5439814817218576E-2</v>
      </c>
      <c r="N60" s="7">
        <f t="shared" si="29"/>
        <v>36.633333336794749</v>
      </c>
      <c r="O60" s="7"/>
      <c r="P60" s="7"/>
      <c r="Q60" s="22"/>
      <c r="R60" s="174"/>
      <c r="S60" s="221">
        <f t="shared" si="30"/>
        <v>1</v>
      </c>
      <c r="T60" s="174" t="str">
        <f t="shared" si="2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-11-11T08:45:09-0700',mode:absolute,to:'2017-11-11T11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0" s="204" t="str">
        <f>IF(AA60&lt;VLOOKUP(AG60,Variables!$AC$3:$AD$8,2,FALSE),"Y","N")</f>
        <v>N</v>
      </c>
      <c r="X60" s="204">
        <f t="shared" si="32"/>
        <v>1</v>
      </c>
      <c r="Y60" s="204">
        <f t="shared" si="27"/>
        <v>23.2911</v>
      </c>
      <c r="Z60" s="204">
        <f t="shared" si="28"/>
        <v>1.6299999999999999E-2</v>
      </c>
      <c r="AA60" s="204">
        <f t="shared" si="7"/>
        <v>23.274799999999999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8"/>
        <v>144</v>
      </c>
      <c r="AE60" s="77" t="str">
        <f t="shared" si="9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60" s="74" t="str">
        <f t="shared" si="10"/>
        <v>"C:\Program Files (x86)\AstroGrep\AstroGrep.exe" /e /r /s /spath="%USERPROFILE%\AppData\Local\Temp\OnboardLogs" /stypes="app*4057*20171111*" /stext=" 17:.+((SYSTEM_STATE.+slice.+state.+changed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7"/>
        <v>"%USERPROFILE%\Documents\GitHub\eaglep3\Utilities\RefineRTDCRunTimes.py" --tripid 144-11 --locoid 4057 --swversion DE.1.0.9.0 --startMP 204:232911 --initTime 2017-11-11T09:45:09 --startdatetime 2017-11-11T09:57:46 --delay 51 --endMP 204:163 --enddatetime 2017-11-11T10:34:24 --enforcementcount 0 &gt;&gt;%USERPROFILE%\Documents\GitHub\eaglep3-reporting\EC\2017-11-11-refined-times.txt</v>
      </c>
      <c r="AI60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{"issue":{"subject":"","project_id":79,"tracker_id":40,"status_id":1,"priority_id":2,"assigned_to_id":338,"start_date":"2017-11-11","description":"","custom_fields":[{"id":1,"name":"Subdivision","value":"EC"},{"id":4,"name":"Milepost","value":"0.0163"},{"id":17,"name":"Train ID","value":"144-11"},{"id":16,"name":"Locomotive ID","value":"4057"},{"id":130,"name":"Impact","value":""},{"id":150,"name":"Time of Event (Mountain Time)","value":"10:34:24"},{"id":151,"name":"Denver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4057 --day 2017-11-11</v>
      </c>
      <c r="AN60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-11-11T08:45:09-0700',mode:absolute,to:'2017-11-11T11:34:24-0700'))&amp;_a=(columns:!('Message%20ID',Summary),filters:!(),index:'emp_*',interval:auto,query:(query_string:(analyze_wildcard:!t,query:'%22rtdc.l.rtdc.4057%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751</v>
      </c>
      <c r="B61" s="7">
        <v>4026</v>
      </c>
      <c r="C61" s="21" t="s">
        <v>192</v>
      </c>
      <c r="D61" s="21" t="s">
        <v>930</v>
      </c>
      <c r="E61" s="13">
        <v>43050.379687499997</v>
      </c>
      <c r="F61" s="13">
        <v>43050.385601851849</v>
      </c>
      <c r="G61" s="7">
        <v>84</v>
      </c>
      <c r="H61" s="21" t="s">
        <v>621</v>
      </c>
      <c r="I61" s="13">
        <v>43050.409814814811</v>
      </c>
      <c r="J61" s="7">
        <v>0</v>
      </c>
      <c r="K61" s="89" t="str">
        <f t="shared" si="0"/>
        <v>4025/4026</v>
      </c>
      <c r="L61" s="185" t="str">
        <f>VLOOKUP(A61,'Trips&amp;Operators'!$C$1:$G$99911,5,FALSE)</f>
        <v>WILLIAMS DONTE</v>
      </c>
      <c r="M61" s="6">
        <f t="shared" si="1"/>
        <v>2.421296296233777E-2</v>
      </c>
      <c r="N61" s="7">
        <f t="shared" si="29"/>
        <v>34.866666665766388</v>
      </c>
      <c r="O61" s="7"/>
      <c r="P61" s="7"/>
      <c r="Q61" s="22"/>
      <c r="R61" s="174"/>
      <c r="S61" s="221">
        <f t="shared" si="30"/>
        <v>1</v>
      </c>
      <c r="T61" s="174" t="str">
        <f t="shared" si="2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-11-11T08:06:45-0700',mode:absolute,to:'2017-11-11T10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>IF(AA61&lt;VLOOKUP(AG61,Variables!$AC$3:$AD$8,2,FALSE),"Y","N")</f>
        <v>N</v>
      </c>
      <c r="X61" s="204">
        <f t="shared" si="32"/>
        <v>1</v>
      </c>
      <c r="Y61" s="204">
        <f t="shared" si="27"/>
        <v>5.1499999999999997E-2</v>
      </c>
      <c r="Z61" s="204">
        <f t="shared" si="28"/>
        <v>23.320699999999999</v>
      </c>
      <c r="AA61" s="204">
        <f t="shared" si="7"/>
        <v>23.269199999999998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8"/>
        <v>145</v>
      </c>
      <c r="AE61" s="77" t="str">
        <f t="shared" si="9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61" s="74" t="str">
        <f t="shared" si="10"/>
        <v>"C:\Program Files (x86)\AstroGrep\AstroGrep.exe" /e /r /s /spath="%USERPROFILE%\AppData\Local\Temp\OnboardLogs" /stypes="app*4026*20171111*" /stext=" 16:.+((SYSTEM_STATE.+slice.+state.+changed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7"/>
        <v>"%USERPROFILE%\Documents\GitHub\eaglep3\Utilities\RefineRTDCRunTimes.py" --tripid 145-11 --locoid 4026 --swversion DE.1.0.9.0 --startMP 204:515 --initTime 2017-11-11T09:06:45 --startdatetime 2017-11-11T09:15:16 --delay 84 --endMP 204:233207 --enddatetime 2017-11-11T09:50:08 --enforcementcount 0 &gt;&gt;%USERPROFILE%\Documents\GitHub\eaglep3-reporting\EC\2017-11-11-refined-times.txt</v>
      </c>
      <c r="AI6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{"issue":{"subject":"","project_id":79,"tracker_id":40,"status_id":1,"priority_id":2,"assigned_to_id":338,"start_date":"2017-11-11","description":"","custom_fields":[{"id":1,"name":"Subdivision","value":"EC"},{"id":4,"name":"Milepost","value":"23.3207"},{"id":17,"name":"Train ID","value":"145-11"},{"id":16,"name":"Locomotive ID","value":"4026"},{"id":130,"name":"Impact","value":""},{"id":150,"name":"Time of Event (Mountain Time)","value":"09:50:08"},{"id":151,"name":"Denver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4026 --day 2017-11-11</v>
      </c>
      <c r="AN6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-11-11T08:06:45-0700',mode:absolute,to:'2017-11-11T10:50:08-0700'))&amp;_a=(columns:!('Message%20ID',Summary),filters:!(),index:'emp_*',interval:auto,query:(query_string:(analyze_wildcard:!t,query:'%22rtdc.l.rtdc.4026%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760</v>
      </c>
      <c r="B62" s="7">
        <v>4025</v>
      </c>
      <c r="C62" s="21" t="s">
        <v>192</v>
      </c>
      <c r="D62" s="21" t="s">
        <v>633</v>
      </c>
      <c r="E62" s="13">
        <v>43050.420497685183</v>
      </c>
      <c r="F62" s="13">
        <v>43050.425173611111</v>
      </c>
      <c r="G62" s="7">
        <v>122</v>
      </c>
      <c r="H62" s="21" t="s">
        <v>559</v>
      </c>
      <c r="I62" s="13">
        <v>43050.451157407406</v>
      </c>
      <c r="J62" s="7">
        <v>0</v>
      </c>
      <c r="K62" s="89" t="str">
        <f t="shared" si="0"/>
        <v>4025/4026</v>
      </c>
      <c r="L62" s="185" t="str">
        <f>VLOOKUP(A62,'Trips&amp;Operators'!$C$1:$G$99911,5,FALSE)</f>
        <v>WILLIAMS DONTE</v>
      </c>
      <c r="M62" s="6">
        <f t="shared" si="1"/>
        <v>2.5983796294895001E-2</v>
      </c>
      <c r="N62" s="7">
        <f t="shared" si="29"/>
        <v>37.416666664648801</v>
      </c>
      <c r="O62" s="7"/>
      <c r="P62" s="7"/>
      <c r="Q62" s="22"/>
      <c r="R62" s="174"/>
      <c r="S62" s="221">
        <f t="shared" si="30"/>
        <v>1</v>
      </c>
      <c r="T62" s="174" t="str">
        <f t="shared" si="2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-11-11T09:05:31-0700',mode:absolute,to:'2017-11-11T11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>IF(AA62&lt;VLOOKUP(AG62,Variables!$AC$3:$AD$8,2,FALSE),"Y","N")</f>
        <v>N</v>
      </c>
      <c r="X62" s="204">
        <f t="shared" si="32"/>
        <v>1</v>
      </c>
      <c r="Y62" s="204">
        <f t="shared" si="27"/>
        <v>23.287700000000001</v>
      </c>
      <c r="Z62" s="204">
        <f t="shared" si="28"/>
        <v>1.8100000000000002E-2</v>
      </c>
      <c r="AA62" s="204">
        <f t="shared" si="7"/>
        <v>23.269600000000001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8"/>
        <v>146</v>
      </c>
      <c r="AE62" s="77" t="str">
        <f t="shared" si="9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62" s="74" t="str">
        <f t="shared" si="10"/>
        <v>"C:\Program Files (x86)\AstroGrep\AstroGrep.exe" /e /r /s /spath="%USERPROFILE%\AppData\Local\Temp\OnboardLogs" /stypes="app*4025*20171111*" /stext=" 17:.+((SYSTEM_STATE.+slice.+state.+changed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7"/>
        <v>"%USERPROFILE%\Documents\GitHub\eaglep3\Utilities\RefineRTDCRunTimes.py" --tripid 146-11 --locoid 4025 --swversion DE.1.0.9.0 --startMP 204:232877 --initTime 2017-11-11T10:05:31 --startdatetime 2017-11-11T10:12:15 --delay 122 --endMP 204:181 --enddatetime 2017-11-11T10:49:40 --enforcementcount 0 &gt;&gt;%USERPROFILE%\Documents\GitHub\eaglep3-reporting\EC\2017-11-11-refined-times.txt</v>
      </c>
      <c r="AI6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{"issue":{"subject":"","project_id":79,"tracker_id":40,"status_id":1,"priority_id":2,"assigned_to_id":338,"start_date":"2017-11-11","description":"","custom_fields":[{"id":1,"name":"Subdivision","value":"EC"},{"id":4,"name":"Milepost","value":"0.0181"},{"id":17,"name":"Train ID","value":"146-11"},{"id":16,"name":"Locomotive ID","value":"4025"},{"id":130,"name":"Impact","value":""},{"id":150,"name":"Time of Event (Mountain Time)","value":"10:49:40"},{"id":151,"name":"Denver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4025 --day 2017-11-11</v>
      </c>
      <c r="AN6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-11-11T09:05:31-0700',mode:absolute,to:'2017-11-11T11:49:40-0700'))&amp;_a=(columns:!('Message%20ID',Summary),filters:!(),index:'emp_*',interval:auto,query:(query_string:(analyze_wildcard:!t,query:'%22rtdc.l.rtdc.4025%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753</v>
      </c>
      <c r="B63" s="7">
        <v>4010</v>
      </c>
      <c r="C63" s="21" t="s">
        <v>192</v>
      </c>
      <c r="D63" s="21" t="s">
        <v>912</v>
      </c>
      <c r="E63" s="13">
        <v>43050.390613425923</v>
      </c>
      <c r="F63" s="13">
        <v>43050.395995370367</v>
      </c>
      <c r="G63" s="7">
        <v>67</v>
      </c>
      <c r="H63" s="21" t="s">
        <v>444</v>
      </c>
      <c r="I63" s="13">
        <v>43050.420671296299</v>
      </c>
      <c r="J63" s="7">
        <v>0</v>
      </c>
      <c r="K63" s="89" t="str">
        <f t="shared" si="0"/>
        <v>4009/4010</v>
      </c>
      <c r="L63" s="185" t="str">
        <f>VLOOKUP(A63,'Trips&amp;Operators'!$C$1:$G$99911,5,FALSE)</f>
        <v>PAGE MARCUS</v>
      </c>
      <c r="M63" s="6">
        <f t="shared" si="1"/>
        <v>2.4675925931660458E-2</v>
      </c>
      <c r="N63" s="7">
        <f t="shared" si="29"/>
        <v>35.53333334159106</v>
      </c>
      <c r="O63" s="7"/>
      <c r="P63" s="7"/>
      <c r="Q63" s="22"/>
      <c r="R63" s="174"/>
      <c r="S63" s="221">
        <f t="shared" si="30"/>
        <v>1</v>
      </c>
      <c r="T63" s="174" t="str">
        <f t="shared" si="2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-11-11T08:22:29-0700',mode:absolute,to:'2017-11-11T11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204" t="str">
        <f>IF(AA63&lt;VLOOKUP(AG63,Variables!$AC$3:$AD$8,2,FALSE),"Y","N")</f>
        <v>N</v>
      </c>
      <c r="X63" s="204">
        <f t="shared" si="32"/>
        <v>1</v>
      </c>
      <c r="Y63" s="204">
        <f t="shared" si="27"/>
        <v>4.7300000000000002E-2</v>
      </c>
      <c r="Z63" s="204">
        <f t="shared" si="28"/>
        <v>23.328900000000001</v>
      </c>
      <c r="AA63" s="204">
        <f t="shared" si="7"/>
        <v>23.281600000000001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8"/>
        <v>147</v>
      </c>
      <c r="AE63" s="77" t="str">
        <f t="shared" si="9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63" s="74" t="str">
        <f t="shared" si="10"/>
        <v>"C:\Program Files (x86)\AstroGrep\AstroGrep.exe" /e /r /s /spath="%USERPROFILE%\AppData\Local\Temp\OnboardLogs" /stypes="app*4010*20171111*"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7"/>
        <v>"%USERPROFILE%\Documents\GitHub\eaglep3\Utilities\RefineRTDCRunTimes.py" --tripid 147-11 --locoid 4010 --swversion DE.1.0.9.0 --startMP 204:473 --initTime 2017-11-11T09:22:29 --startdatetime 2017-11-11T09:30:14 --delay 67 --endMP 204:233289 --enddatetime 2017-11-11T10:05:46 --enforcementcount 0 &gt;&gt;%USERPROFILE%\Documents\GitHub\eaglep3-reporting\EC\2017-11-11-refined-times.txt</v>
      </c>
      <c r="AI6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{"issue":{"subject":"","project_id":79,"tracker_id":40,"status_id":1,"priority_id":2,"assigned_to_id":338,"start_date":"2017-11-11","description":"","custom_fields":[{"id":1,"name":"Subdivision","value":"EC"},{"id":4,"name":"Milepost","value":"23.3289"},{"id":17,"name":"Train ID","value":"147-11"},{"id":16,"name":"Locomotive ID","value":"4010"},{"id":130,"name":"Impact","value":""},{"id":150,"name":"Time of Event (Mountain Time)","value":"10:05:46"},{"id":151,"name":"Denver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4010 --day 2017-11-11</v>
      </c>
      <c r="AN6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-11-11T08:22:29-0700',mode:absolute,to:'2017-11-11T11:05:46-0700'))&amp;_a=(columns:!('Message%20ID',Summary),filters:!(),index:'emp_*',interval:auto,query:(query_string:(analyze_wildcard:!t,query:'%22rtdc.l.rtdc.4010%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763</v>
      </c>
      <c r="B64" s="7">
        <v>4009</v>
      </c>
      <c r="C64" s="21" t="s">
        <v>192</v>
      </c>
      <c r="D64" s="21" t="s">
        <v>931</v>
      </c>
      <c r="E64" s="13">
        <v>43050.430601851855</v>
      </c>
      <c r="F64" s="13">
        <v>43050.435682870368</v>
      </c>
      <c r="G64" s="7">
        <v>64</v>
      </c>
      <c r="H64" s="21" t="s">
        <v>601</v>
      </c>
      <c r="I64" s="13">
        <v>43050.461157407408</v>
      </c>
      <c r="J64" s="7">
        <v>0</v>
      </c>
      <c r="K64" s="89" t="str">
        <f t="shared" si="0"/>
        <v>4009/4010</v>
      </c>
      <c r="L64" s="185" t="str">
        <f>VLOOKUP(A64,'Trips&amp;Operators'!$C$1:$G$99911,5,FALSE)</f>
        <v>PAGE MARCUS</v>
      </c>
      <c r="M64" s="6">
        <f t="shared" si="1"/>
        <v>2.5474537040281575E-2</v>
      </c>
      <c r="N64" s="7">
        <f t="shared" si="29"/>
        <v>36.683333338005468</v>
      </c>
      <c r="O64" s="7"/>
      <c r="P64" s="7"/>
      <c r="Q64" s="22"/>
      <c r="R64" s="174"/>
      <c r="S64" s="221">
        <f t="shared" si="30"/>
        <v>1</v>
      </c>
      <c r="T64" s="174" t="str">
        <f t="shared" si="2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-11-11T09:20:04-0700',mode:absolute,to:'2017-11-11T12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204" t="str">
        <f>IF(AA64&lt;VLOOKUP(AG64,Variables!$AC$3:$AD$8,2,FALSE),"Y","N")</f>
        <v>N</v>
      </c>
      <c r="X64" s="204">
        <f t="shared" si="32"/>
        <v>1</v>
      </c>
      <c r="Y64" s="204">
        <f t="shared" si="27"/>
        <v>23.2972</v>
      </c>
      <c r="Z64" s="204">
        <f t="shared" si="28"/>
        <v>1.5599999999999999E-2</v>
      </c>
      <c r="AA64" s="204">
        <f t="shared" si="7"/>
        <v>23.281600000000001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8"/>
        <v>148</v>
      </c>
      <c r="AE64" s="77" t="str">
        <f t="shared" si="9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64" s="74" t="str">
        <f t="shared" si="10"/>
        <v>"C:\Program Files (x86)\AstroGrep\AstroGrep.exe" /e /r /s /spath="%USERPROFILE%\AppData\Local\Temp\OnboardLogs" /stypes="app*4009*20171111*" /stext=" 18:.+((SYSTEM_STATE.+slice.+state.+changed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7"/>
        <v>"%USERPROFILE%\Documents\GitHub\eaglep3\Utilities\RefineRTDCRunTimes.py" --tripid 148-11 --locoid 4009 --swversion DE.1.0.9.0 --startMP 204:232972 --initTime 2017-11-11T10:20:04 --startdatetime 2017-11-11T10:27:23 --delay 64 --endMP 204:156 --enddatetime 2017-11-11T11:04:04 --enforcementcount 0 &gt;&gt;%USERPROFILE%\Documents\GitHub\eaglep3-reporting\EC\2017-11-11-refined-times.txt</v>
      </c>
      <c r="AI64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{"issue":{"subject":"","project_id":79,"tracker_id":40,"status_id":1,"priority_id":2,"assigned_to_id":338,"start_date":"2017-11-11","description":"","custom_fields":[{"id":1,"name":"Subdivision","value":"EC"},{"id":4,"name":"Milepost","value":"0.0156"},{"id":17,"name":"Train ID","value":"148-11"},{"id":16,"name":"Locomotive ID","value":"4009"},{"id":130,"name":"Impact","value":""},{"id":150,"name":"Time of Event (Mountain Time)","value":"11:04:04"},{"id":151,"name":"Denver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4009 --day 2017-11-11</v>
      </c>
      <c r="AN64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-11-11T09:20:04-0700',mode:absolute,to:'2017-11-11T12:04:04-0700'))&amp;_a=(columns:!('Message%20ID',Summary),filters:!(),index:'emp_*',interval:auto,query:(query_string:(analyze_wildcard:!t,query:'%22rtdc.l.rtdc.4009%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756</v>
      </c>
      <c r="B65" s="7">
        <v>4022</v>
      </c>
      <c r="C65" s="21" t="s">
        <v>192</v>
      </c>
      <c r="D65" s="21" t="s">
        <v>930</v>
      </c>
      <c r="E65" s="13">
        <v>43050.401701388888</v>
      </c>
      <c r="F65" s="13">
        <v>43050.406435185185</v>
      </c>
      <c r="G65" s="7">
        <v>49</v>
      </c>
      <c r="H65" s="21" t="s">
        <v>471</v>
      </c>
      <c r="I65" s="13">
        <v>43050.430196759262</v>
      </c>
      <c r="J65" s="7">
        <v>0</v>
      </c>
      <c r="K65" s="89" t="str">
        <f t="shared" si="0"/>
        <v>4021/4022</v>
      </c>
      <c r="L65" s="185" t="str">
        <f>VLOOKUP(A65,'Trips&amp;Operators'!$C$1:$G$99911,5,FALSE)</f>
        <v>GEBRETEKLE DAGNEW</v>
      </c>
      <c r="M65" s="6">
        <f t="shared" si="1"/>
        <v>2.3761574077070691E-2</v>
      </c>
      <c r="N65" s="7">
        <f t="shared" si="29"/>
        <v>34.216666670981795</v>
      </c>
      <c r="O65" s="7"/>
      <c r="P65" s="7"/>
      <c r="Q65" s="22"/>
      <c r="R65" s="174"/>
      <c r="S65" s="221">
        <f t="shared" si="30"/>
        <v>1</v>
      </c>
      <c r="T65" s="174" t="str">
        <f t="shared" si="2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-11-11T08:38:27-0700',mode:absolute,to:'2017-11-11T11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204" t="str">
        <f>IF(AA65&lt;VLOOKUP(AG65,Variables!$AC$3:$AD$8,2,FALSE),"Y","N")</f>
        <v>N</v>
      </c>
      <c r="X65" s="204">
        <f t="shared" si="32"/>
        <v>1</v>
      </c>
      <c r="Y65" s="204">
        <f t="shared" si="27"/>
        <v>5.1499999999999997E-2</v>
      </c>
      <c r="Z65" s="204">
        <f t="shared" si="28"/>
        <v>23.3293</v>
      </c>
      <c r="AA65" s="204">
        <f t="shared" si="7"/>
        <v>23.277799999999999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8"/>
        <v>149</v>
      </c>
      <c r="AE65" s="77" t="str">
        <f t="shared" si="9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65" s="74" t="str">
        <f t="shared" si="10"/>
        <v>"C:\Program Files (x86)\AstroGrep\AstroGrep.exe" /e /r /s /spath="%USERPROFILE%\AppData\Local\Temp\OnboardLogs" /stypes="app*4022*20171111*"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7"/>
        <v>"%USERPROFILE%\Documents\GitHub\eaglep3\Utilities\RefineRTDCRunTimes.py" --tripid 149-11 --locoid 4022 --swversion DE.1.0.9.0 --startMP 204:515 --initTime 2017-11-11T09:38:27 --startdatetime 2017-11-11T09:45:16 --delay 49 --endMP 204:233293 --enddatetime 2017-11-11T10:19:29 --enforcementcount 0 &gt;&gt;%USERPROFILE%\Documents\GitHub\eaglep3-reporting\EC\2017-11-11-refined-times.txt</v>
      </c>
      <c r="AI6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{"issue":{"subject":"","project_id":79,"tracker_id":40,"status_id":1,"priority_id":2,"assigned_to_id":338,"start_date":"2017-11-11","description":"","custom_fields":[{"id":1,"name":"Subdivision","value":"EC"},{"id":4,"name":"Milepost","value":"23.3293"},{"id":17,"name":"Train ID","value":"149-11"},{"id":16,"name":"Locomotive ID","value":"4022"},{"id":130,"name":"Impact","value":""},{"id":150,"name":"Time of Event (Mountain Time)","value":"10:19:29"},{"id":151,"name":"Denver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4022 --day 2017-11-11</v>
      </c>
      <c r="AN6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-11-11T08:38:27-0700',mode:absolute,to:'2017-11-11T11:19:29-0700'))&amp;_a=(columns:!('Message%20ID',Summary),filters:!(),index:'emp_*',interval:auto,query:(query_string:(analyze_wildcard:!t,query:'%22rtdc.l.rtdc.4022%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764</v>
      </c>
      <c r="B66" s="7">
        <v>4021</v>
      </c>
      <c r="C66" s="21" t="s">
        <v>192</v>
      </c>
      <c r="D66" s="21" t="s">
        <v>932</v>
      </c>
      <c r="E66" s="13">
        <v>43050.43167824074</v>
      </c>
      <c r="F66" s="13">
        <v>43050.446145833332</v>
      </c>
      <c r="G66" s="7">
        <v>58</v>
      </c>
      <c r="H66" s="21" t="s">
        <v>451</v>
      </c>
      <c r="I66" s="13">
        <v>43050.472372685188</v>
      </c>
      <c r="J66" s="7">
        <v>0</v>
      </c>
      <c r="K66" s="89" t="str">
        <f t="shared" si="0"/>
        <v>4021/4022</v>
      </c>
      <c r="L66" s="185" t="str">
        <f>VLOOKUP(A66,'Trips&amp;Operators'!$C$1:$G$99911,5,FALSE)</f>
        <v>GEBRETEKLE DAGNEW</v>
      </c>
      <c r="M66" s="6">
        <f t="shared" si="1"/>
        <v>2.6226851856335998E-2</v>
      </c>
      <c r="N66" s="7">
        <f t="shared" si="29"/>
        <v>37.766666673123837</v>
      </c>
      <c r="O66" s="7"/>
      <c r="P66" s="7"/>
      <c r="Q66" s="22"/>
      <c r="R66" s="174"/>
      <c r="S66" s="221">
        <f t="shared" si="30"/>
        <v>1</v>
      </c>
      <c r="T66" s="174" t="str">
        <f t="shared" si="2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-11-11T09:21:37-0700',mode:absolute,to:'2017-11-11T12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204" t="str">
        <f>IF(AA66&lt;VLOOKUP(AG66,Variables!$AC$3:$AD$8,2,FALSE),"Y","N")</f>
        <v>N</v>
      </c>
      <c r="X66" s="204">
        <f t="shared" si="32"/>
        <v>1</v>
      </c>
      <c r="Y66" s="204">
        <f t="shared" si="27"/>
        <v>23.297499999999999</v>
      </c>
      <c r="Z66" s="204">
        <f t="shared" si="28"/>
        <v>2.12E-2</v>
      </c>
      <c r="AA66" s="204">
        <f t="shared" si="7"/>
        <v>23.276299999999999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8"/>
        <v>150</v>
      </c>
      <c r="AE66" s="77" t="str">
        <f t="shared" si="9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66" s="74" t="str">
        <f t="shared" si="10"/>
        <v>"C:\Program Files (x86)\AstroGrep\AstroGrep.exe" /e /r /s /spath="%USERPROFILE%\AppData\Local\Temp\OnboardLogs" /stypes="app*4021*20171111*" /stext=" 18:.+((SYSTEM_STATE.+slice.+state.+changed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7"/>
        <v>"%USERPROFILE%\Documents\GitHub\eaglep3\Utilities\RefineRTDCRunTimes.py" --tripid 150-11 --locoid 4021 --swversion DE.1.0.9.0 --startMP 204:232975 --initTime 2017-11-11T10:21:37 --startdatetime 2017-11-11T10:42:27 --delay 58 --endMP 204:212 --enddatetime 2017-11-11T11:20:13 --enforcementcount 0 &gt;&gt;%USERPROFILE%\Documents\GitHub\eaglep3-reporting\EC\2017-11-11-refined-times.txt</v>
      </c>
      <c r="AI6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{"issue":{"subject":"","project_id":79,"tracker_id":40,"status_id":1,"priority_id":2,"assigned_to_id":338,"start_date":"2017-11-11","description":"","custom_fields":[{"id":1,"name":"Subdivision","value":"EC"},{"id":4,"name":"Milepost","value":"0.0212"},{"id":17,"name":"Train ID","value":"150-11"},{"id":16,"name":"Locomotive ID","value":"4021"},{"id":130,"name":"Impact","value":""},{"id":150,"name":"Time of Event (Mountain Time)","value":"11:20:13"},{"id":151,"name":"Denver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4021 --day 2017-11-11</v>
      </c>
      <c r="AN6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-11-11T09:21:37-0700',mode:absolute,to:'2017-11-11T12:20:13-0700'))&amp;_a=(columns:!('Message%20ID',Summary),filters:!(),index:'emp_*',interval:auto,query:(query_string:(analyze_wildcard:!t,query:'%22rtdc.l.rtdc.4021%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759</v>
      </c>
      <c r="B67" s="7">
        <v>4036</v>
      </c>
      <c r="C67" s="21" t="s">
        <v>192</v>
      </c>
      <c r="D67" s="21" t="s">
        <v>933</v>
      </c>
      <c r="E67" s="13">
        <v>43050.412361111114</v>
      </c>
      <c r="F67" s="13">
        <v>43050.417013888888</v>
      </c>
      <c r="G67" s="7">
        <v>47</v>
      </c>
      <c r="H67" s="21" t="s">
        <v>934</v>
      </c>
      <c r="I67" s="13">
        <v>43050.442291666666</v>
      </c>
      <c r="J67" s="7">
        <v>0</v>
      </c>
      <c r="K67" s="89" t="str">
        <f t="shared" si="0"/>
        <v>4035/4036</v>
      </c>
      <c r="L67" s="185" t="str">
        <f>VLOOKUP(A67,'Trips&amp;Operators'!$C$1:$G$99911,5,FALSE)</f>
        <v>HUFFSMITH MONTY</v>
      </c>
      <c r="M67" s="6">
        <f t="shared" si="1"/>
        <v>2.527777777868323E-2</v>
      </c>
      <c r="N67" s="7">
        <f t="shared" si="29"/>
        <v>36.400000001303852</v>
      </c>
      <c r="O67" s="7"/>
      <c r="P67" s="7"/>
      <c r="Q67" s="22"/>
      <c r="R67" s="174"/>
      <c r="S67" s="221">
        <f t="shared" si="30"/>
        <v>1</v>
      </c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-11-11T08:53:48-0700',mode:absolute,to:'2017-11-11T11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7" s="204" t="str">
        <f>IF(AA67&lt;VLOOKUP(AG67,Variables!$AC$3:$AD$8,2,FALSE),"Y","N")</f>
        <v>N</v>
      </c>
      <c r="X67" s="204">
        <f t="shared" si="32"/>
        <v>1</v>
      </c>
      <c r="Y67" s="204">
        <f t="shared" si="27"/>
        <v>4.2000000000000003E-2</v>
      </c>
      <c r="Z67" s="204">
        <f t="shared" si="28"/>
        <v>23.333200000000001</v>
      </c>
      <c r="AA67" s="204">
        <f t="shared" si="7"/>
        <v>23.2912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8"/>
        <v>151</v>
      </c>
      <c r="AE67" s="77" t="str">
        <f t="shared" si="9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67" s="74" t="str">
        <f t="shared" si="10"/>
        <v>"C:\Program Files (x86)\AstroGrep\AstroGrep.exe" /e /r /s /spath="%USERPROFILE%\AppData\Local\Temp\OnboardLogs" /stypes="app*4036*20171111*"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7"/>
        <v>"%USERPROFILE%\Documents\GitHub\eaglep3\Utilities\RefineRTDCRunTimes.py" --tripid 151-11 --locoid 4036 --swversion DE.1.0.9.0 --startMP 204:420 --initTime 2017-11-11T09:53:48 --startdatetime 2017-11-11T10:00:30 --delay 47 --endMP 204:233332 --enddatetime 2017-11-11T10:36:54 --enforcementcount 0 &gt;&gt;%USERPROFILE%\Documents\GitHub\eaglep3-reporting\EC\2017-11-11-refined-times.txt</v>
      </c>
      <c r="AI67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{"issue":{"subject":"","project_id":79,"tracker_id":40,"status_id":1,"priority_id":2,"assigned_to_id":338,"start_date":"2017-11-11","description":"","custom_fields":[{"id":1,"name":"Subdivision","value":"EC"},{"id":4,"name":"Milepost","value":"23.3332"},{"id":17,"name":"Train ID","value":"151-11"},{"id":16,"name":"Locomotive ID","value":"4036"},{"id":130,"name":"Impact","value":""},{"id":150,"name":"Time of Event (Mountain Time)","value":"10:36:54"},{"id":151,"name":"Denver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4036 --day 2017-11-11</v>
      </c>
      <c r="AN67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-11-11T08:53:48-0700',mode:absolute,to:'2017-11-11T11:36:54-0700'))&amp;_a=(columns:!('Message%20ID',Summary),filters:!(),index:'emp_*',interval:auto,query:(query_string:(analyze_wildcard:!t,query:'%22rtdc.l.rtdc.4036%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768</v>
      </c>
      <c r="B68" s="7">
        <v>4035</v>
      </c>
      <c r="C68" s="21" t="s">
        <v>192</v>
      </c>
      <c r="D68" s="21" t="s">
        <v>935</v>
      </c>
      <c r="E68" s="13">
        <v>43050.450833333336</v>
      </c>
      <c r="F68" s="13">
        <v>43050.456446759257</v>
      </c>
      <c r="G68" s="7">
        <v>55</v>
      </c>
      <c r="H68" s="21" t="s">
        <v>936</v>
      </c>
      <c r="I68" s="13">
        <v>43050.483206018522</v>
      </c>
      <c r="J68" s="7">
        <v>0</v>
      </c>
      <c r="K68" s="89" t="str">
        <f t="shared" si="0"/>
        <v>4035/4036</v>
      </c>
      <c r="L68" s="185" t="str">
        <f>VLOOKUP(A68,'Trips&amp;Operators'!$C$1:$G$99911,5,FALSE)</f>
        <v>HUFFSMITH MONTY</v>
      </c>
      <c r="M68" s="6">
        <f t="shared" si="1"/>
        <v>2.6759259264508728E-2</v>
      </c>
      <c r="N68" s="7">
        <f t="shared" si="29"/>
        <v>38.533333340892568</v>
      </c>
      <c r="O68" s="7"/>
      <c r="P68" s="7"/>
      <c r="Q68" s="22"/>
      <c r="R68" s="174"/>
      <c r="S68" s="221">
        <f t="shared" si="30"/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-11-11T09:49:12-0700',mode:absolute,to:'2017-11-11T12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8" s="204" t="str">
        <f>IF(AA68&lt;VLOOKUP(AG68,Variables!$AC$3:$AD$8,2,FALSE),"Y","N")</f>
        <v>N</v>
      </c>
      <c r="X68" s="204">
        <f t="shared" si="32"/>
        <v>1</v>
      </c>
      <c r="Y68" s="204">
        <f t="shared" si="27"/>
        <v>23.302099999999999</v>
      </c>
      <c r="Z68" s="204">
        <f t="shared" si="28"/>
        <v>1.2999999999999999E-2</v>
      </c>
      <c r="AA68" s="204">
        <f t="shared" si="7"/>
        <v>23.289099999999998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8"/>
        <v>152</v>
      </c>
      <c r="AE68" s="77" t="str">
        <f t="shared" si="9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68" s="74" t="str">
        <f t="shared" si="10"/>
        <v>"C:\Program Files (x86)\AstroGrep\AstroGrep.exe" /e /r /s /spath="%USERPROFILE%\AppData\Local\Temp\OnboardLogs" /stypes="app*4035*20171111*" /stext=" 18:.+((SYSTEM_STATE.+slice.+state.+changed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7"/>
        <v>"%USERPROFILE%\Documents\GitHub\eaglep3\Utilities\RefineRTDCRunTimes.py" --tripid 152-11 --locoid 4035 --swversion DE.1.0.9.0 --startMP 204:233021 --initTime 2017-11-11T10:49:12 --startdatetime 2017-11-11T10:57:17 --delay 55 --endMP 204:130 --enddatetime 2017-11-11T11:35:49 --enforcementcount 0 &gt;&gt;%USERPROFILE%\Documents\GitHub\eaglep3-reporting\EC\2017-11-11-refined-times.txt</v>
      </c>
      <c r="AI68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{"issue":{"subject":"","project_id":79,"tracker_id":40,"status_id":1,"priority_id":2,"assigned_to_id":338,"start_date":"2017-11-11","description":"","custom_fields":[{"id":1,"name":"Subdivision","value":"EC"},{"id":4,"name":"Milepost","value":"0.013"},{"id":17,"name":"Train ID","value":"152-11"},{"id":16,"name":"Locomotive ID","value":"4035"},{"id":130,"name":"Impact","value":""},{"id":150,"name":"Time of Event (Mountain Time)","value":"11:35:49"},{"id":151,"name":"Denver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4035 --day 2017-11-11</v>
      </c>
      <c r="AN68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-11-11T09:49:12-0700',mode:absolute,to:'2017-11-11T12:35:49-0700'))&amp;_a=(columns:!('Message%20ID',Summary),filters:!(),index:'emp_*',interval:auto,query:(query_string:(analyze_wildcard:!t,query:'%22rtdc.l.rtdc.4035%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762</v>
      </c>
      <c r="B69" s="7">
        <v>4044</v>
      </c>
      <c r="C69" s="21" t="s">
        <v>192</v>
      </c>
      <c r="D69" s="21" t="s">
        <v>905</v>
      </c>
      <c r="E69" s="13">
        <v>43050.423611111109</v>
      </c>
      <c r="F69" s="13">
        <v>43050.427256944444</v>
      </c>
      <c r="G69" s="7">
        <v>70</v>
      </c>
      <c r="H69" s="21" t="s">
        <v>613</v>
      </c>
      <c r="I69" s="13">
        <v>43050.452210648145</v>
      </c>
      <c r="J69" s="7">
        <v>0</v>
      </c>
      <c r="K69" s="89" t="str">
        <f t="shared" si="0"/>
        <v>4043/4044</v>
      </c>
      <c r="L69" s="185" t="str">
        <f>VLOOKUP(A69,'Trips&amp;Operators'!$C$1:$G$99911,5,FALSE)</f>
        <v>BADERTSCHER DIANE</v>
      </c>
      <c r="M69" s="6">
        <f t="shared" si="1"/>
        <v>2.495370370161254E-2</v>
      </c>
      <c r="N69" s="7">
        <f t="shared" si="29"/>
        <v>35.933333330322057</v>
      </c>
      <c r="O69" s="7"/>
      <c r="P69" s="7"/>
      <c r="Q69" s="22"/>
      <c r="R69" s="174"/>
      <c r="S69" s="221">
        <f t="shared" si="30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-11-11T09:10:00-0700',mode:absolute,to:'2017-11-11T11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04" t="str">
        <f>IF(AA69&lt;VLOOKUP(AG69,Variables!$AC$3:$AD$8,2,FALSE),"Y","N")</f>
        <v>N</v>
      </c>
      <c r="X69" s="204">
        <f t="shared" si="32"/>
        <v>1</v>
      </c>
      <c r="Y69" s="204">
        <f t="shared" si="27"/>
        <v>4.8599999999999997E-2</v>
      </c>
      <c r="Z69" s="204">
        <f t="shared" si="28"/>
        <v>23.328199999999999</v>
      </c>
      <c r="AA69" s="204">
        <f t="shared" si="7"/>
        <v>23.279599999999999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8"/>
        <v>153</v>
      </c>
      <c r="AE69" s="77" t="str">
        <f t="shared" si="9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69" s="74" t="str">
        <f t="shared" si="10"/>
        <v>"C:\Program Files (x86)\AstroGrep\AstroGrep.exe" /e /r /s /spath="%USERPROFILE%\AppData\Local\Temp\OnboardLogs" /stypes="app*4044*20171111*" /stext=" 17:.+((SYSTEM_STATE.+slice.+state.+changed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7"/>
        <v>"%USERPROFILE%\Documents\GitHub\eaglep3\Utilities\RefineRTDCRunTimes.py" --tripid 153-11 --locoid 4044 --swversion DE.1.0.9.0 --startMP 204:486 --initTime 2017-11-11T10:10:00 --startdatetime 2017-11-11T10:15:15 --delay 70 --endMP 204:233282 --enddatetime 2017-11-11T10:51:11 --enforcementcount 0 &gt;&gt;%USERPROFILE%\Documents\GitHub\eaglep3-reporting\EC\2017-11-11-refined-times.txt</v>
      </c>
      <c r="AI69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{"issue":{"subject":"","project_id":79,"tracker_id":40,"status_id":1,"priority_id":2,"assigned_to_id":338,"start_date":"2017-11-11","description":"","custom_fields":[{"id":1,"name":"Subdivision","value":"EC"},{"id":4,"name":"Milepost","value":"23.3282"},{"id":17,"name":"Train ID","value":"153-11"},{"id":16,"name":"Locomotive ID","value":"4044"},{"id":130,"name":"Impact","value":""},{"id":150,"name":"Time of Event (Mountain Time)","value":"10:51:11"},{"id":151,"name":"Denver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4044 --day 2017-11-11</v>
      </c>
      <c r="AN69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-11-11T09:10:00-0700',mode:absolute,to:'2017-11-11T11:51:11-0700'))&amp;_a=(columns:!('Message%20ID',Summary),filters:!(),index:'emp_*',interval:auto,query:(query_string:(analyze_wildcard:!t,query:'%22rtdc.l.rtdc.4044%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671</v>
      </c>
      <c r="B70" s="7">
        <v>4043</v>
      </c>
      <c r="C70" s="21" t="s">
        <v>192</v>
      </c>
      <c r="D70" s="21" t="s">
        <v>937</v>
      </c>
      <c r="E70" s="13">
        <v>43050.460081018522</v>
      </c>
      <c r="F70" s="13">
        <v>43050.466898148145</v>
      </c>
      <c r="G70" s="7">
        <v>151</v>
      </c>
      <c r="H70" s="21" t="s">
        <v>451</v>
      </c>
      <c r="I70" s="13">
        <v>43050.49454861111</v>
      </c>
      <c r="J70" s="7">
        <v>0</v>
      </c>
      <c r="K70" s="89" t="str">
        <f t="shared" si="0"/>
        <v>4043/4044</v>
      </c>
      <c r="L70" s="185" t="str">
        <f>VLOOKUP(A70,'Trips&amp;Operators'!$C$1:$G$99911,5,FALSE)</f>
        <v>BADERTSCHER DIANE</v>
      </c>
      <c r="M70" s="6">
        <f t="shared" si="1"/>
        <v>2.7650462965539191E-2</v>
      </c>
      <c r="N70" s="7">
        <f t="shared" si="29"/>
        <v>39.816666670376435</v>
      </c>
      <c r="O70" s="7"/>
      <c r="P70" s="7"/>
      <c r="Q70" s="22"/>
      <c r="R70" s="174"/>
      <c r="S70" s="221">
        <f t="shared" si="30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-11-11T10:02:31-0700',mode:absolute,to:'2017-11-11T12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04" t="str">
        <f>IF(AA70&lt;VLOOKUP(AG70,Variables!$AC$3:$AD$8,2,FALSE),"Y","N")</f>
        <v>N</v>
      </c>
      <c r="X70" s="204">
        <f t="shared" si="32"/>
        <v>1</v>
      </c>
      <c r="Y70" s="204">
        <f t="shared" si="27"/>
        <v>23.2971</v>
      </c>
      <c r="Z70" s="204">
        <f t="shared" si="28"/>
        <v>2.12E-2</v>
      </c>
      <c r="AA70" s="204">
        <f t="shared" si="7"/>
        <v>23.2759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8"/>
        <v>154</v>
      </c>
      <c r="AE70" s="77" t="str">
        <f t="shared" si="9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70" s="74" t="str">
        <f t="shared" si="10"/>
        <v>"C:\Program Files (x86)\AstroGrep\AstroGrep.exe" /e /r /s /spath="%USERPROFILE%\AppData\Local\Temp\OnboardLogs" /stypes="app*4043*20171111*" /stext=" 18:.+((SYSTEM_STATE.+slice.+state.+changed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7"/>
        <v>"%USERPROFILE%\Documents\GitHub\eaglep3\Utilities\RefineRTDCRunTimes.py" --tripid 154-11 --locoid 4043 --swversion DE.1.0.9.0 --startMP 204:232971 --initTime 2017-11-11T11:02:31 --startdatetime 2017-11-11T11:12:20 --delay 151 --endMP 204:212 --enddatetime 2017-11-11T11:52:09 --enforcementcount 0 &gt;&gt;%USERPROFILE%\Documents\GitHub\eaglep3-reporting\EC\2017-11-11-refined-times.txt</v>
      </c>
      <c r="AI70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{"issue":{"subject":"","project_id":79,"tracker_id":40,"status_id":1,"priority_id":2,"assigned_to_id":338,"start_date":"2017-11-11","description":"","custom_fields":[{"id":1,"name":"Subdivision","value":"EC"},{"id":4,"name":"Milepost","value":"0.0212"},{"id":17,"name":"Train ID","value":"154-11"},{"id":16,"name":"Locomotive ID","value":"4043"},{"id":130,"name":"Impact","value":""},{"id":150,"name":"Time of Event (Mountain Time)","value":"11:52:09"},{"id":151,"name":"Denver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4043 --day 2017-11-11</v>
      </c>
      <c r="AN70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-11-11T10:02:31-0700',mode:absolute,to:'2017-11-11T12:52:09-0700'))&amp;_a=(columns:!('Message%20ID',Summary),filters:!(),index:'emp_*',interval:auto,query:(query_string:(analyze_wildcard:!t,query:'%22rtdc.l.rtdc.4043%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766</v>
      </c>
      <c r="B71" s="7">
        <v>4066</v>
      </c>
      <c r="C71" s="21" t="s">
        <v>192</v>
      </c>
      <c r="D71" s="21" t="s">
        <v>938</v>
      </c>
      <c r="E71" s="13">
        <v>43050.434398148151</v>
      </c>
      <c r="F71" s="13">
        <v>43050.437743055554</v>
      </c>
      <c r="G71" s="7">
        <v>55</v>
      </c>
      <c r="H71" s="21" t="s">
        <v>939</v>
      </c>
      <c r="I71" s="13">
        <v>43050.462361111109</v>
      </c>
      <c r="J71" s="7">
        <v>0</v>
      </c>
      <c r="K71" s="89" t="str">
        <f t="shared" si="0"/>
        <v>4065/4066</v>
      </c>
      <c r="L71" s="185" t="str">
        <f>VLOOKUP(A71,'Trips&amp;Operators'!$C$1:$G$99911,5,FALSE)</f>
        <v>MACDONALD THOMAS</v>
      </c>
      <c r="M71" s="6">
        <f t="shared" si="1"/>
        <v>2.4618055555038154E-2</v>
      </c>
      <c r="N71" s="7">
        <f t="shared" si="29"/>
        <v>35.449999999254942</v>
      </c>
      <c r="O71" s="7"/>
      <c r="P71" s="7"/>
      <c r="Q71" s="22"/>
      <c r="R71" s="174"/>
      <c r="S71" s="221">
        <f t="shared" si="30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-11-11T09:25:32-0700',mode:absolute,to:'2017-11-11T12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04" t="str">
        <f>IF(AA71&lt;VLOOKUP(AG71,Variables!$AC$3:$AD$8,2,FALSE),"Y","N")</f>
        <v>N</v>
      </c>
      <c r="X71" s="204">
        <f t="shared" si="32"/>
        <v>1</v>
      </c>
      <c r="Y71" s="204">
        <f t="shared" si="27"/>
        <v>5.6000000000000001E-2</v>
      </c>
      <c r="Z71" s="204">
        <f t="shared" si="28"/>
        <v>23.322099999999999</v>
      </c>
      <c r="AA71" s="204">
        <f t="shared" si="7"/>
        <v>23.266099999999998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8"/>
        <v>155</v>
      </c>
      <c r="AE71" s="77" t="str">
        <f t="shared" si="9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71" s="74" t="str">
        <f t="shared" si="10"/>
        <v>"C:\Program Files (x86)\AstroGrep\AstroGrep.exe" /e /r /s /spath="%USERPROFILE%\AppData\Local\Temp\OnboardLogs" /stypes="app*4066*20171111*"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7"/>
        <v>"%USERPROFILE%\Documents\GitHub\eaglep3\Utilities\RefineRTDCRunTimes.py" --tripid 155-11 --locoid 4066 --swversion DE.1.0.9.0 --startMP 204:560 --initTime 2017-11-11T10:25:32 --startdatetime 2017-11-11T10:30:21 --delay 55 --endMP 204:233221 --enddatetime 2017-11-11T11:05:48 --enforcementcount 0 &gt;&gt;%USERPROFILE%\Documents\GitHub\eaglep3-reporting\EC\2017-11-11-refined-times.txt</v>
      </c>
      <c r="AI71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{"issue":{"subject":"","project_id":79,"tracker_id":40,"status_id":1,"priority_id":2,"assigned_to_id":338,"start_date":"2017-11-11","description":"","custom_fields":[{"id":1,"name":"Subdivision","value":"EC"},{"id":4,"name":"Milepost","value":"23.3221"},{"id":17,"name":"Train ID","value":"155-11"},{"id":16,"name":"Locomotive ID","value":"4066"},{"id":130,"name":"Impact","value":""},{"id":150,"name":"Time of Event (Mountain Time)","value":"11:05:48"},{"id":151,"name":"Denver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4066 --day 2017-11-11</v>
      </c>
      <c r="AN71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-11-11T09:25:32-0700',mode:absolute,to:'2017-11-11T12:05:48-0700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673</v>
      </c>
      <c r="B72" s="7">
        <v>4065</v>
      </c>
      <c r="C72" s="21" t="s">
        <v>192</v>
      </c>
      <c r="D72" s="21" t="s">
        <v>940</v>
      </c>
      <c r="E72" s="13">
        <v>43050.475960648146</v>
      </c>
      <c r="F72" s="13">
        <v>43050.477430555555</v>
      </c>
      <c r="G72" s="7">
        <v>54</v>
      </c>
      <c r="H72" s="21" t="s">
        <v>606</v>
      </c>
      <c r="I72" s="13">
        <v>43050.503564814811</v>
      </c>
      <c r="J72" s="7">
        <v>0</v>
      </c>
      <c r="K72" s="89" t="str">
        <f t="shared" si="0"/>
        <v>4065/4066</v>
      </c>
      <c r="L72" s="185" t="str">
        <f>VLOOKUP(A72,'Trips&amp;Operators'!$C$1:$G$99911,5,FALSE)</f>
        <v>MACDONALD THOMAS</v>
      </c>
      <c r="M72" s="6">
        <f t="shared" si="1"/>
        <v>2.6134259256650694E-2</v>
      </c>
      <c r="N72" s="7">
        <f t="shared" si="29"/>
        <v>37.633333329576999</v>
      </c>
      <c r="O72" s="7"/>
      <c r="P72" s="7"/>
      <c r="Q72" s="22"/>
      <c r="R72" s="174"/>
      <c r="S72" s="221">
        <f t="shared" si="30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-11-11T10:25:23-0700',mode:absolute,to:'2017-11-11T13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04" t="str">
        <f>IF(AA72&lt;VLOOKUP(AG72,Variables!$AC$3:$AD$8,2,FALSE),"Y","N")</f>
        <v>N</v>
      </c>
      <c r="X72" s="204">
        <f t="shared" si="32"/>
        <v>1</v>
      </c>
      <c r="Y72" s="204">
        <f t="shared" si="27"/>
        <v>23.290199999999999</v>
      </c>
      <c r="Z72" s="204">
        <f t="shared" si="28"/>
        <v>2.0500000000000001E-2</v>
      </c>
      <c r="AA72" s="204">
        <f t="shared" si="7"/>
        <v>23.2697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8"/>
        <v>156</v>
      </c>
      <c r="AE72" s="77" t="str">
        <f t="shared" si="9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72" s="74" t="str">
        <f t="shared" si="10"/>
        <v>"C:\Program Files (x86)\AstroGrep\AstroGrep.exe" /e /r /s /spath="%USERPROFILE%\AppData\Local\Temp\OnboardLogs" /stypes="app*4065*20171111*" /stext=" 19:.+((SYSTEM_STATE.+slice.+state.+changed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7"/>
        <v>"%USERPROFILE%\Documents\GitHub\eaglep3\Utilities\RefineRTDCRunTimes.py" --tripid 156-11 --locoid 4065 --swversion DE.1.0.9.0 --startMP 204:232902 --initTime 2017-11-11T11:25:23 --startdatetime 2017-11-11T11:27:30 --delay 54 --endMP 204:205 --enddatetime 2017-11-11T12:05:08 --enforcementcount 0 &gt;&gt;%USERPROFILE%\Documents\GitHub\eaglep3-reporting\EC\2017-11-11-refined-times.txt</v>
      </c>
      <c r="AI72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{"issue":{"subject":"","project_id":79,"tracker_id":40,"status_id":1,"priority_id":2,"assigned_to_id":338,"start_date":"2017-11-11","description":"","custom_fields":[{"id":1,"name":"Subdivision","value":"EC"},{"id":4,"name":"Milepost","value":"0.0205"},{"id":17,"name":"Train ID","value":"156-11"},{"id":16,"name":"Locomotive ID","value":"4065"},{"id":130,"name":"Impact","value":""},{"id":150,"name":"Time of Event (Mountain Time)","value":"12:05:08"},{"id":151,"name":"Denver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4065 --day 2017-11-11</v>
      </c>
      <c r="AN72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-11-11T10:25:23-0700',mode:absolute,to:'2017-11-11T13:05:08-0700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767</v>
      </c>
      <c r="B73" s="7">
        <v>4058</v>
      </c>
      <c r="C73" s="21" t="s">
        <v>192</v>
      </c>
      <c r="D73" s="21" t="s">
        <v>603</v>
      </c>
      <c r="E73" s="13">
        <v>43050.443020833336</v>
      </c>
      <c r="F73" s="13">
        <v>43050.448101851849</v>
      </c>
      <c r="G73" s="7">
        <v>78</v>
      </c>
      <c r="H73" s="21" t="s">
        <v>639</v>
      </c>
      <c r="I73" s="13">
        <v>43050.473009259258</v>
      </c>
      <c r="J73" s="7">
        <v>0</v>
      </c>
      <c r="K73" s="89" t="str">
        <f t="shared" si="0"/>
        <v>4057/4058</v>
      </c>
      <c r="L73" s="185" t="str">
        <f>VLOOKUP(A73,'Trips&amp;Operators'!$C$1:$G$99911,5,FALSE)</f>
        <v>MCREYNOLDS KYLE</v>
      </c>
      <c r="M73" s="6">
        <f t="shared" si="1"/>
        <v>2.4907407409045845E-2</v>
      </c>
      <c r="N73" s="7">
        <f t="shared" si="29"/>
        <v>35.866666669026017</v>
      </c>
      <c r="O73" s="7"/>
      <c r="P73" s="7"/>
      <c r="Q73" s="22"/>
      <c r="R73" s="174"/>
      <c r="S73" s="221">
        <f t="shared" si="30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-11-11T09:37:57-0700',mode:absolute,to:'2017-11-11T12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3" s="204" t="str">
        <f>IF(AA73&lt;VLOOKUP(AG73,Variables!$AC$3:$AD$8,2,FALSE),"Y","N")</f>
        <v>N</v>
      </c>
      <c r="X73" s="204">
        <f t="shared" si="32"/>
        <v>1</v>
      </c>
      <c r="Y73" s="204">
        <f t="shared" si="27"/>
        <v>4.53E-2</v>
      </c>
      <c r="Z73" s="204">
        <f t="shared" si="28"/>
        <v>23.3186</v>
      </c>
      <c r="AA73" s="204">
        <f t="shared" si="7"/>
        <v>23.273299999999999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8"/>
        <v>157</v>
      </c>
      <c r="AE73" s="77" t="str">
        <f t="shared" si="9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73" s="74" t="str">
        <f t="shared" si="10"/>
        <v>"C:\Program Files (x86)\AstroGrep\AstroGrep.exe" /e /r /s /spath="%USERPROFILE%\AppData\Local\Temp\OnboardLogs" /stypes="app*4058*20171111*"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7"/>
        <v>"%USERPROFILE%\Documents\GitHub\eaglep3\Utilities\RefineRTDCRunTimes.py" --tripid 157-11 --locoid 4058 --swversion DE.1.0.9.0 --startMP 204:453 --initTime 2017-11-11T10:37:57 --startdatetime 2017-11-11T10:45:16 --delay 78 --endMP 204:233186 --enddatetime 2017-11-11T11:21:08 --enforcementcount 0 &gt;&gt;%USERPROFILE%\Documents\GitHub\eaglep3-reporting\EC\2017-11-11-refined-times.txt</v>
      </c>
      <c r="AI73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{"issue":{"subject":"","project_id":79,"tracker_id":40,"status_id":1,"priority_id":2,"assigned_to_id":338,"start_date":"2017-11-11","description":"","custom_fields":[{"id":1,"name":"Subdivision","value":"EC"},{"id":4,"name":"Milepost","value":"23.3186"},{"id":17,"name":"Train ID","value":"157-11"},{"id":16,"name":"Locomotive ID","value":"4058"},{"id":130,"name":"Impact","value":""},{"id":150,"name":"Time of Event (Mountain Time)","value":"11:21:08"},{"id":151,"name":"Denver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4058 --day 2017-11-11</v>
      </c>
      <c r="AN73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-11-11T09:37:57-0700',mode:absolute,to:'2017-11-11T12:21:08-0700'))&amp;_a=(columns:!('Message%20ID',Summary),filters:!(),index:'emp_*',interval:auto,query:(query_string:(analyze_wildcard:!t,query:'%22rtdc.l.rtdc.4058%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775</v>
      </c>
      <c r="B74" s="7">
        <v>4057</v>
      </c>
      <c r="C74" s="21" t="s">
        <v>192</v>
      </c>
      <c r="D74" s="21" t="s">
        <v>569</v>
      </c>
      <c r="E74" s="13">
        <v>43050.482141203705</v>
      </c>
      <c r="F74" s="13">
        <v>43050.487696759257</v>
      </c>
      <c r="G74" s="7">
        <v>151</v>
      </c>
      <c r="H74" s="21" t="s">
        <v>565</v>
      </c>
      <c r="I74" s="13">
        <v>43050.513796296298</v>
      </c>
      <c r="J74" s="7">
        <v>0</v>
      </c>
      <c r="K74" s="89" t="str">
        <f t="shared" si="0"/>
        <v>4057/4058</v>
      </c>
      <c r="L74" s="185" t="str">
        <f>VLOOKUP(A74,'Trips&amp;Operators'!$C$1:$G$99911,5,FALSE)</f>
        <v>MCREYNOLDS KYLE</v>
      </c>
      <c r="M74" s="6">
        <f t="shared" si="1"/>
        <v>2.6099537040863652E-2</v>
      </c>
      <c r="N74" s="7">
        <f t="shared" si="29"/>
        <v>37.583333338843659</v>
      </c>
      <c r="O74" s="7"/>
      <c r="P74" s="7"/>
      <c r="Q74" s="22"/>
      <c r="R74" s="174"/>
      <c r="S74" s="221">
        <f t="shared" si="30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-11-11T10:34:17-0700',mode:absolute,to:'2017-11-11T13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4" s="204" t="str">
        <f>IF(AA74&lt;VLOOKUP(AG74,Variables!$AC$3:$AD$8,2,FALSE),"Y","N")</f>
        <v>N</v>
      </c>
      <c r="X74" s="204">
        <f t="shared" si="32"/>
        <v>1</v>
      </c>
      <c r="Y74" s="204">
        <f t="shared" si="27"/>
        <v>23.286300000000001</v>
      </c>
      <c r="Z74" s="204">
        <f t="shared" si="28"/>
        <v>2.6200000000000001E-2</v>
      </c>
      <c r="AA74" s="204">
        <f t="shared" si="7"/>
        <v>23.260100000000001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8"/>
        <v>158</v>
      </c>
      <c r="AE74" s="77" t="str">
        <f t="shared" si="9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74" s="74" t="str">
        <f t="shared" si="10"/>
        <v>"C:\Program Files (x86)\AstroGrep\AstroGrep.exe" /e /r /s /spath="%USERPROFILE%\AppData\Local\Temp\OnboardLogs" /stypes="app*4057*20171111*" /stext=" 19:.+((SYSTEM_STATE.+slice.+state.+changed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7"/>
        <v>"%USERPROFILE%\Documents\GitHub\eaglep3\Utilities\RefineRTDCRunTimes.py" --tripid 158-11 --locoid 4057 --swversion DE.1.0.9.0 --startMP 204:232863 --initTime 2017-11-11T11:34:17 --startdatetime 2017-11-11T11:42:17 --delay 151 --endMP 204:262 --enddatetime 2017-11-11T12:19:52 --enforcementcount 0 &gt;&gt;%USERPROFILE%\Documents\GitHub\eaglep3-reporting\EC\2017-11-11-refined-times.txt</v>
      </c>
      <c r="AI74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{"issue":{"subject":"","project_id":79,"tracker_id":40,"status_id":1,"priority_id":2,"assigned_to_id":338,"start_date":"2017-11-11","description":"","custom_fields":[{"id":1,"name":"Subdivision","value":"EC"},{"id":4,"name":"Milepost","value":"0.0262"},{"id":17,"name":"Train ID","value":"158-11"},{"id":16,"name":"Locomotive ID","value":"4057"},{"id":130,"name":"Impact","value":""},{"id":150,"name":"Time of Event (Mountain Time)","value":"12:19:52"},{"id":151,"name":"Denver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4057 --day 2017-11-11</v>
      </c>
      <c r="AN74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-11-11T10:34:17-0700',mode:absolute,to:'2017-11-11T13:19:52-0700'))&amp;_a=(columns:!('Message%20ID',Summary),filters:!(),index:'emp_*',interval:auto,query:(query_string:(analyze_wildcard:!t,query:'%22rtdc.l.rtdc.4057%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769</v>
      </c>
      <c r="B75" s="7">
        <v>4026</v>
      </c>
      <c r="C75" s="21" t="s">
        <v>192</v>
      </c>
      <c r="D75" s="21" t="s">
        <v>941</v>
      </c>
      <c r="E75" s="13">
        <v>43050.452361111114</v>
      </c>
      <c r="F75" s="13">
        <v>43050.45853009259</v>
      </c>
      <c r="G75" s="7">
        <v>88</v>
      </c>
      <c r="H75" s="21" t="s">
        <v>624</v>
      </c>
      <c r="I75" s="13">
        <v>43050.483587962961</v>
      </c>
      <c r="J75" s="7">
        <v>0</v>
      </c>
      <c r="K75" s="89" t="str">
        <f t="shared" si="0"/>
        <v>4025/4026</v>
      </c>
      <c r="L75" s="185" t="str">
        <f>VLOOKUP(A75,'Trips&amp;Operators'!$C$1:$G$99911,5,FALSE)</f>
        <v>WILLIAMS DONTE</v>
      </c>
      <c r="M75" s="6">
        <f t="shared" si="1"/>
        <v>2.5057870370801538E-2</v>
      </c>
      <c r="N75" s="7">
        <f t="shared" si="29"/>
        <v>36.083333333954215</v>
      </c>
      <c r="O75" s="7"/>
      <c r="P75" s="7"/>
      <c r="Q75" s="22"/>
      <c r="R75" s="174"/>
      <c r="S75" s="221">
        <f t="shared" si="30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-11-11T09:51:24-0700',mode:absolute,to:'2017-11-11T12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>IF(AA75&lt;VLOOKUP(AG75,Variables!$AC$3:$AD$8,2,FALSE),"Y","N")</f>
        <v>N</v>
      </c>
      <c r="X75" s="204">
        <f t="shared" si="32"/>
        <v>1</v>
      </c>
      <c r="Y75" s="204">
        <f t="shared" si="27"/>
        <v>4.9099999999999998E-2</v>
      </c>
      <c r="Z75" s="204">
        <f t="shared" si="28"/>
        <v>23.32</v>
      </c>
      <c r="AA75" s="204">
        <f t="shared" si="7"/>
        <v>23.270900000000001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8"/>
        <v>159</v>
      </c>
      <c r="AE75" s="77" t="str">
        <f t="shared" si="9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75" s="74" t="str">
        <f t="shared" si="10"/>
        <v>"C:\Program Files (x86)\AstroGrep\AstroGrep.exe" /e /r /s /spath="%USERPROFILE%\AppData\Local\Temp\OnboardLogs" /stypes="app*4026*20171111*"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7"/>
        <v>"%USERPROFILE%\Documents\GitHub\eaglep3\Utilities\RefineRTDCRunTimes.py" --tripid 159-11 --locoid 4026 --swversion DE.1.0.9.0 --startMP 204:491 --initTime 2017-11-11T10:51:24 --startdatetime 2017-11-11T11:00:17 --delay 88 --endMP 204:233200 --enddatetime 2017-11-11T11:36:22 --enforcementcount 0 &gt;&gt;%USERPROFILE%\Documents\GitHub\eaglep3-reporting\EC\2017-11-11-refined-times.txt</v>
      </c>
      <c r="AI75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{"issue":{"subject":"","project_id":79,"tracker_id":40,"status_id":1,"priority_id":2,"assigned_to_id":338,"start_date":"2017-11-11","description":"","custom_fields":[{"id":1,"name":"Subdivision","value":"EC"},{"id":4,"name":"Milepost","value":"23.32"},{"id":17,"name":"Train ID","value":"159-11"},{"id":16,"name":"Locomotive ID","value":"4026"},{"id":130,"name":"Impact","value":""},{"id":150,"name":"Time of Event (Mountain Time)","value":"11:36:22"},{"id":151,"name":"Denver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4026 --day 2017-11-11</v>
      </c>
      <c r="AN75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-11-11T09:51:24-0700',mode:absolute,to:'2017-11-11T12:36:22-0700'))&amp;_a=(columns:!('Message%20ID',Summary),filters:!(),index:'emp_*',interval:auto,query:(query_string:(analyze_wildcard:!t,query:'%22rtdc.l.rtdc.4026%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674</v>
      </c>
      <c r="B76" s="7">
        <v>4025</v>
      </c>
      <c r="C76" s="21" t="s">
        <v>192</v>
      </c>
      <c r="D76" s="21" t="s">
        <v>942</v>
      </c>
      <c r="E76" s="13">
        <v>43050.492581018516</v>
      </c>
      <c r="F76" s="13">
        <v>43050.498113425929</v>
      </c>
      <c r="G76" s="7">
        <v>93</v>
      </c>
      <c r="H76" s="21" t="s">
        <v>914</v>
      </c>
      <c r="I76" s="13">
        <v>43050.526203703703</v>
      </c>
      <c r="J76" s="7">
        <v>0</v>
      </c>
      <c r="K76" s="89" t="str">
        <f t="shared" si="0"/>
        <v>4025/4026</v>
      </c>
      <c r="L76" s="185" t="str">
        <f>VLOOKUP(A76,'Trips&amp;Operators'!$C$1:$G$99911,5,FALSE)</f>
        <v>WILLIAMS DONTE</v>
      </c>
      <c r="M76" s="6">
        <f t="shared" si="1"/>
        <v>2.8090277774026617E-2</v>
      </c>
      <c r="N76" s="7">
        <f t="shared" si="29"/>
        <v>40.449999994598329</v>
      </c>
      <c r="O76" s="7"/>
      <c r="P76" s="7"/>
      <c r="Q76" s="22"/>
      <c r="R76" s="174"/>
      <c r="S76" s="221">
        <f t="shared" si="30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-11-11T10:49:19-0700',mode:absolute,to:'2017-11-11T13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>IF(AA76&lt;VLOOKUP(AG76,Variables!$AC$3:$AD$8,2,FALSE),"Y","N")</f>
        <v>N</v>
      </c>
      <c r="X76" s="204">
        <f t="shared" si="32"/>
        <v>1</v>
      </c>
      <c r="Y76" s="204">
        <f t="shared" si="27"/>
        <v>23.290600000000001</v>
      </c>
      <c r="Z76" s="204">
        <f t="shared" si="28"/>
        <v>1.8700000000000001E-2</v>
      </c>
      <c r="AA76" s="204">
        <f t="shared" si="7"/>
        <v>23.271900000000002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8"/>
        <v>160</v>
      </c>
      <c r="AE76" s="77" t="str">
        <f t="shared" si="9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76" s="74" t="str">
        <f t="shared" si="10"/>
        <v>"C:\Program Files (x86)\AstroGrep\AstroGrep.exe" /e /r /s /spath="%USERPROFILE%\AppData\Local\Temp\OnboardLogs" /stypes="app*4025*20171111*" /stext=" 19:.+((SYSTEM_STATE.+slice.+state.+changed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7"/>
        <v>"%USERPROFILE%\Documents\GitHub\eaglep3\Utilities\RefineRTDCRunTimes.py" --tripid 160-11 --locoid 4025 --swversion DE.1.0.9.0 --startMP 204:232906 --initTime 2017-11-11T11:49:19 --startdatetime 2017-11-11T11:57:17 --delay 93 --endMP 204:187 --enddatetime 2017-11-11T12:37:44 --enforcementcount 0 &gt;&gt;%USERPROFILE%\Documents\GitHub\eaglep3-reporting\EC\2017-11-11-refined-times.txt</v>
      </c>
      <c r="AI76" s="96" t="str">
        <f t="shared" si="18"/>
        <v>echo {"issue":{"subject":"","project_id":79,"tracker_id":40,"status_id":1,"priority_id":2,"assigned_to_id":338,"start_date":"2017-11-11","description":"","custom_fields":[{"id":1,"name":"Subdivision","value":"EC"},{"id":4,"name":"Milepost","value":"0.0187"},{"id":17,"name":"Train ID","value":"160-11"},{"id":16,"name":"Locomotive ID","value":"4025"},{"id":130,"name":"Impact","value":""},{"id":150,"name":"Time of Event (Mountain Time)","value":"12:37:44"},{"id":151,"name":"Denver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4025 --day 2017-11-11</v>
      </c>
      <c r="AN76" s="151" t="str">
        <f t="shared" si="20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-11-11T10:49:19-0700',mode:absolute,to:'2017-11-11T13:37:44-0700'))&amp;_a=(columns:!('Message%20ID',Summary),filters:!(),index:'emp_*',interval:auto,query:(query_string:(analyze_wildcard:!t,query:'%22rtdc.l.rtdc.4025%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771</v>
      </c>
      <c r="B77" s="7">
        <v>4010</v>
      </c>
      <c r="C77" s="21" t="s">
        <v>192</v>
      </c>
      <c r="D77" s="21" t="s">
        <v>930</v>
      </c>
      <c r="E77" s="13">
        <v>43050.464756944442</v>
      </c>
      <c r="F77" s="13">
        <v>43050.469039351854</v>
      </c>
      <c r="G77" s="7">
        <v>104</v>
      </c>
      <c r="H77" s="21" t="s">
        <v>943</v>
      </c>
      <c r="I77" s="13">
        <v>43050.49423611111</v>
      </c>
      <c r="J77" s="7">
        <v>0</v>
      </c>
      <c r="K77" s="89" t="str">
        <f t="shared" ref="K77:K140" si="33">IF(ISEVEN(B77),(B77-1)&amp;"/"&amp;B77,B77&amp;"/"&amp;(B77+1))</f>
        <v>4009/4010</v>
      </c>
      <c r="L77" s="185" t="str">
        <f>VLOOKUP(A77,'Trips&amp;Operators'!$C$1:$G$99911,5,FALSE)</f>
        <v>DAVIS MICHAEL</v>
      </c>
      <c r="M77" s="6">
        <f t="shared" ref="M77:M140" si="34">I77-F77</f>
        <v>2.5196759255777579E-2</v>
      </c>
      <c r="N77" s="7">
        <f t="shared" si="29"/>
        <v>36.283333328319713</v>
      </c>
      <c r="O77" s="7"/>
      <c r="P77" s="7"/>
      <c r="Q77" s="22"/>
      <c r="R77" s="174"/>
      <c r="S77" s="221">
        <f t="shared" si="30"/>
        <v>1</v>
      </c>
      <c r="T77" s="174" t="str">
        <f t="shared" ref="T77:T140" si="35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-11T10:09:15-0700',mode:absolute,to:'2017-11-11T12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04" t="str">
        <f>IF(AA77&lt;VLOOKUP(AG77,Variables!$AC$3:$AD$8,2,FALSE),"Y","N")</f>
        <v>N</v>
      </c>
      <c r="X77" s="204">
        <f t="shared" si="32"/>
        <v>1</v>
      </c>
      <c r="Y77" s="204">
        <f t="shared" ref="Y77:Y108" si="37">RIGHT(D77,LEN(D77)-4)/10000</f>
        <v>5.1499999999999997E-2</v>
      </c>
      <c r="Z77" s="204">
        <f t="shared" ref="Z77:Z108" si="38">RIGHT(H77,LEN(H77)-4)/10000</f>
        <v>23.3215</v>
      </c>
      <c r="AA77" s="204">
        <f t="shared" ref="AA77:AA140" si="39">ABS(Z77-Y77)</f>
        <v>23.27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40">VALUE(LEFT(A77,LEN(A77)-3))</f>
        <v>161</v>
      </c>
      <c r="AE77" s="77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77" s="74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/stypes="app*4010*20171111*"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3">DetSubdiv(A77)</f>
        <v>EC</v>
      </c>
      <c r="AH77" s="78" t="str">
        <f t="shared" ref="AH77:AH140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161-11 --locoid 4010 --swversion DE.1.0.9.0 --startMP 204:515 --initTime 2017-11-11T11:09:15 --startdatetime 2017-11-11T11:15:25 --delay 104 --endMP 204:233215 --enddatetime 2017-11-11T11:51:42 --enforcementcount 0 &gt;&gt;%USERPROFILE%\Documents\GitHub\eaglep3-reporting\EC\2017-11-11-refined-times.txt</v>
      </c>
      <c r="AI77" s="96" t="str">
        <f t="shared" ref="AI77:AI140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{"issue":{"subject":"","project_id":79,"tracker_id":40,"status_id":1,"priority_id":2,"assigned_to_id":338,"start_date":"2017-11-11","description":"","custom_fields":[{"id":1,"name":"Subdivision","value":"EC"},{"id":4,"name":"Milepost","value":"23.3215"},{"id":17,"name":"Train ID","value":"161-11"},{"id":16,"name":"Locomotive ID","value":"4010"},{"id":130,"name":"Impact","value":""},{"id":150,"name":"Time of Event (Mountain Time)","value":"11:51:42"},{"id":151,"name":"Denver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0" si="46">"start /low /b "&amp;dls3logs&amp;" --loco "&amp;B77&amp;" --day "&amp;TEXT(F77,"YYYY-MM-DD")</f>
        <v>start /low /b %USERPROFILE%\Documents\GitHub\eaglep3\Utilities\DownloadLogsFromS3.py --loco 4010 --day 2017-11-11</v>
      </c>
      <c r="AN77" s="151" t="str">
        <f t="shared" ref="AN77:AN140" si="47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0" si="4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-11T10:09:15-0700',mode:absolute,to:'2017-11-11T12:51:42-0700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779</v>
      </c>
      <c r="B78" s="7">
        <v>4009</v>
      </c>
      <c r="C78" s="21" t="s">
        <v>192</v>
      </c>
      <c r="D78" s="21" t="s">
        <v>944</v>
      </c>
      <c r="E78" s="13">
        <v>43050.506122685183</v>
      </c>
      <c r="F78" s="13">
        <v>43050.508784722224</v>
      </c>
      <c r="G78" s="7">
        <v>83</v>
      </c>
      <c r="H78" s="21" t="s">
        <v>445</v>
      </c>
      <c r="I78" s="13">
        <v>43050.536562499998</v>
      </c>
      <c r="J78" s="7">
        <v>0</v>
      </c>
      <c r="K78" s="89" t="str">
        <f t="shared" si="33"/>
        <v>4009/4010</v>
      </c>
      <c r="L78" s="185" t="str">
        <f>VLOOKUP(A78,'Trips&amp;Operators'!$C$1:$G$99911,5,FALSE)</f>
        <v>DAVIS MICHAEL</v>
      </c>
      <c r="M78" s="6">
        <f t="shared" si="34"/>
        <v>2.7777777773735579E-2</v>
      </c>
      <c r="N78" s="7">
        <f t="shared" si="29"/>
        <v>39.999999994179234</v>
      </c>
      <c r="O78" s="7"/>
      <c r="P78" s="7"/>
      <c r="Q78" s="22"/>
      <c r="R78" s="174"/>
      <c r="S78" s="221">
        <f t="shared" si="30"/>
        <v>1</v>
      </c>
      <c r="T78" s="174" t="str">
        <f t="shared" si="35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6"/>
        <v>https://d0f6bd738d7f1b3e5a7ca70fe4ff75f0.us-east-1.aws.found.io/app/kibana#/discover/Steve-Slow-Train-Analysis-(2080s-and-2083s)?_g=(refreshInterval:(display:Off,pause:!f,section:0,value:0),time:(from:'2017-11-11T11:08:49-0700',mode:absolute,to:'2017-11-11T13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37"/>
        <v>23.2896</v>
      </c>
      <c r="Z78" s="204">
        <f t="shared" si="38"/>
        <v>2.2100000000000002E-2</v>
      </c>
      <c r="AA78" s="204">
        <f t="shared" si="39"/>
        <v>23.267500000000002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40"/>
        <v>162</v>
      </c>
      <c r="AE78" s="77" t="str">
        <f t="shared" si="41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78" s="74" t="str">
        <f t="shared" si="42"/>
        <v>"C:\Program Files (x86)\AstroGrep\AstroGrep.exe" /e /r /s /spath="%USERPROFILE%\AppData\Local\Temp\OnboardLogs" /stypes="app*4009*20171111*" /stext=" 19:.+((SYSTEM_STATE.+slice.+state.+changed )|(ment ac)|(multiple cpu faults)|(system.+state.+changed )|(\[timeout)|(PRM\|1\|D)|(kpr)|(kdp)|(train st.+moving)|(\|lc)|(penalty))"</v>
      </c>
      <c r="AG78" s="182" t="str">
        <f t="shared" si="43"/>
        <v>EC</v>
      </c>
      <c r="AH78" s="78" t="str">
        <f t="shared" si="44"/>
        <v>"%USERPROFILE%\Documents\GitHub\eaglep3\Utilities\RefineRTDCRunTimes.py" --tripid 162-11 --locoid 4009 --swversion DE.1.0.9.0 --startMP 204:232896 --initTime 2017-11-11T12:08:49 --startdatetime 2017-11-11T12:12:39 --delay 83 --endMP 204:221 --enddatetime 2017-11-11T12:52:39 --enforcementcount 0 &gt;&gt;%USERPROFILE%\Documents\GitHub\eaglep3-reporting\EC\2017-11-11-refined-times.txt</v>
      </c>
      <c r="AI7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{"issue":{"subject":"","project_id":79,"tracker_id":40,"status_id":1,"priority_id":2,"assigned_to_id":338,"start_date":"2017-11-11","description":"","custom_fields":[{"id":1,"name":"Subdivision","value":"EC"},{"id":4,"name":"Milepost","value":"0.0221"},{"id":17,"name":"Train ID","value":"162-11"},{"id":16,"name":"Locomotive ID","value":"4009"},{"id":130,"name":"Impact","value":""},{"id":150,"name":"Time of Event (Mountain Time)","value":"12:52:39"},{"id":151,"name":"Denver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6"/>
        <v>start /low /b %USERPROFILE%\Documents\GitHub\eaglep3\Utilities\DownloadLogsFromS3.py --loco 4009 --day 2017-11-11</v>
      </c>
      <c r="AN78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8"/>
        <v>https://d0f6bd738d7f1b3e5a7ca70fe4ff75f0.us-east-1.aws.found.io/app/kibana#/discover/Steve-Slow-Train-Analysis-(2080s-and-2083s)?_g=(refreshInterval:(display:Off,pause:!f,section:0,value:0),time:(from:'2017-11-11T11:08:49-0700',mode:absolute,to:'2017-11-11T13:52:39-0700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774</v>
      </c>
      <c r="B79" s="7">
        <v>4022</v>
      </c>
      <c r="C79" s="21" t="s">
        <v>192</v>
      </c>
      <c r="D79" s="21" t="s">
        <v>938</v>
      </c>
      <c r="E79" s="13">
        <v>43050.474872685183</v>
      </c>
      <c r="F79" s="13">
        <v>43050.479571759257</v>
      </c>
      <c r="G79" s="7">
        <v>163</v>
      </c>
      <c r="H79" s="21" t="s">
        <v>945</v>
      </c>
      <c r="I79" s="13">
        <v>43050.504386574074</v>
      </c>
      <c r="J79" s="7">
        <v>0</v>
      </c>
      <c r="K79" s="89" t="str">
        <f t="shared" si="33"/>
        <v>4021/4022</v>
      </c>
      <c r="L79" s="185" t="str">
        <f>VLOOKUP(A79,'Trips&amp;Operators'!$C$1:$G$99911,5,FALSE)</f>
        <v>SAFIEF AEIMEN</v>
      </c>
      <c r="M79" s="6">
        <f t="shared" si="34"/>
        <v>2.4814814816636499E-2</v>
      </c>
      <c r="N79" s="7">
        <f t="shared" si="29"/>
        <v>35.733333335956559</v>
      </c>
      <c r="O79" s="7"/>
      <c r="P79" s="7"/>
      <c r="Q79" s="22"/>
      <c r="R79" s="174"/>
      <c r="S79" s="221">
        <f t="shared" si="30"/>
        <v>1</v>
      </c>
      <c r="T79" s="174" t="str">
        <f t="shared" si="35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6"/>
        <v>https://d0f6bd738d7f1b3e5a7ca70fe4ff75f0.us-east-1.aws.found.io/app/kibana#/discover/Steve-Slow-Train-Analysis-(2080s-and-2083s)?_g=(refreshInterval:(display:Off,pause:!f,section:0,value:0),time:(from:'2017-11-11T10:23:49-0700',mode:absolute,to:'2017-11-11T13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37"/>
        <v>5.6000000000000001E-2</v>
      </c>
      <c r="Z79" s="204">
        <f t="shared" si="38"/>
        <v>23.323799999999999</v>
      </c>
      <c r="AA79" s="204">
        <f t="shared" si="39"/>
        <v>23.267799999999998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40"/>
        <v>163</v>
      </c>
      <c r="AE79" s="77" t="str">
        <f t="shared" si="41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79" s="74" t="str">
        <f t="shared" si="42"/>
        <v>"C:\Program Files (x86)\AstroGrep\AstroGrep.exe" /e /r /s /spath="%USERPROFILE%\AppData\Local\Temp\OnboardLogs" /stypes="app*4022*20171111*" /stext=" 19:.+((SYSTEM_STATE.+slice.+state.+changed )|(ment ac)|(multiple cpu faults)|(system.+state.+changed )|(\[timeout)|(PRM\|1\|D)|(kpr)|(kdp)|(train st.+moving)|(\|lc)|(penalty))"</v>
      </c>
      <c r="AG79" s="182" t="str">
        <f t="shared" si="43"/>
        <v>EC</v>
      </c>
      <c r="AH79" s="78" t="str">
        <f t="shared" si="44"/>
        <v>"%USERPROFILE%\Documents\GitHub\eaglep3\Utilities\RefineRTDCRunTimes.py" --tripid 163-11 --locoid 4022 --swversion DE.1.0.9.0 --startMP 204:560 --initTime 2017-11-11T11:23:49 --startdatetime 2017-11-11T11:30:35 --delay 163 --endMP 204:233238 --enddatetime 2017-11-11T12:06:19 --enforcementcount 0 &gt;&gt;%USERPROFILE%\Documents\GitHub\eaglep3-reporting\EC\2017-11-11-refined-times.txt</v>
      </c>
      <c r="AI7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{"issue":{"subject":"","project_id":79,"tracker_id":40,"status_id":1,"priority_id":2,"assigned_to_id":338,"start_date":"2017-11-11","description":"","custom_fields":[{"id":1,"name":"Subdivision","value":"EC"},{"id":4,"name":"Milepost","value":"23.3238"},{"id":17,"name":"Train ID","value":"163-11"},{"id":16,"name":"Locomotive ID","value":"4022"},{"id":130,"name":"Impact","value":""},{"id":150,"name":"Time of Event (Mountain Time)","value":"12:06:19"},{"id":151,"name":"Denver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6"/>
        <v>start /low /b %USERPROFILE%\Documents\GitHub\eaglep3\Utilities\DownloadLogsFromS3.py --loco 4022 --day 2017-11-11</v>
      </c>
      <c r="AN79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8"/>
        <v>https://d0f6bd738d7f1b3e5a7ca70fe4ff75f0.us-east-1.aws.found.io/app/kibana#/discover/Steve-Slow-Train-Analysis-(2080s-and-2083s)?_g=(refreshInterval:(display:Off,pause:!f,section:0,value:0),time:(from:'2017-11-11T10:23:49-0700',mode:absolute,to:'2017-11-11T13:06:19-0700'))&amp;_a=(columns:!('Message%20ID',Summary),filters:!(),index:'emp_*',interval:auto,query:(query_string:(analyze_wildcard:!t,query:'%22rtdc.l.rtdc.4022%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780</v>
      </c>
      <c r="B80" s="7">
        <v>4021</v>
      </c>
      <c r="C80" s="21" t="s">
        <v>192</v>
      </c>
      <c r="D80" s="21" t="s">
        <v>476</v>
      </c>
      <c r="E80" s="13">
        <v>43050.506747685184</v>
      </c>
      <c r="F80" s="13">
        <v>43050.518923611111</v>
      </c>
      <c r="G80" s="7">
        <v>92</v>
      </c>
      <c r="H80" s="21" t="s">
        <v>464</v>
      </c>
      <c r="I80" s="13">
        <v>43050.544907407406</v>
      </c>
      <c r="J80" s="7">
        <v>0</v>
      </c>
      <c r="K80" s="89" t="str">
        <f t="shared" si="33"/>
        <v>4021/4022</v>
      </c>
      <c r="L80" s="185" t="str">
        <f>VLOOKUP(A80,'Trips&amp;Operators'!$C$1:$G$99911,5,FALSE)</f>
        <v>SAFIEF AEIMEN</v>
      </c>
      <c r="M80" s="6">
        <f t="shared" si="34"/>
        <v>2.5983796294895001E-2</v>
      </c>
      <c r="N80" s="7">
        <f t="shared" si="29"/>
        <v>37.416666664648801</v>
      </c>
      <c r="O80" s="7"/>
      <c r="P80" s="7"/>
      <c r="Q80" s="22"/>
      <c r="R80" s="174"/>
      <c r="S80" s="221">
        <f t="shared" si="30"/>
        <v>1</v>
      </c>
      <c r="T80" s="174" t="str">
        <f t="shared" si="35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6"/>
        <v>https://d0f6bd738d7f1b3e5a7ca70fe4ff75f0.us-east-1.aws.found.io/app/kibana#/discover/Steve-Slow-Train-Analysis-(2080s-and-2083s)?_g=(refreshInterval:(display:Off,pause:!f,section:0,value:0),time:(from:'2017-11-11T11:09:43-0700',mode:absolute,to:'2017-11-11T14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0" s="204" t="str">
        <f>IF(AA80&lt;VLOOKUP(AG80,Variables!$AC$3:$AD$8,2,FALSE),"Y","N")</f>
        <v>N</v>
      </c>
      <c r="X80" s="204">
        <f t="shared" si="32"/>
        <v>1</v>
      </c>
      <c r="Y80" s="204">
        <f t="shared" si="37"/>
        <v>23.2913</v>
      </c>
      <c r="Z80" s="204">
        <f t="shared" si="38"/>
        <v>2.29E-2</v>
      </c>
      <c r="AA80" s="204">
        <f t="shared" si="39"/>
        <v>23.2684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40"/>
        <v>164</v>
      </c>
      <c r="AE80" s="77" t="str">
        <f t="shared" si="41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80" s="74" t="str">
        <f t="shared" si="42"/>
        <v>"C:\Program Files (x86)\AstroGrep\AstroGrep.exe" /e /r /s /spath="%USERPROFILE%\AppData\Local\Temp\OnboardLogs" /stypes="app*4021*20171111*" /stext=" 20:.+((SYSTEM_STATE.+slice.+state.+changed )|(ment ac)|(multiple cpu faults)|(system.+state.+changed )|(\[timeout)|(PRM\|1\|D)|(kpr)|(kdp)|(train st.+moving)|(\|lc)|(penalty))"</v>
      </c>
      <c r="AG80" s="182" t="str">
        <f t="shared" si="43"/>
        <v>EC</v>
      </c>
      <c r="AH80" s="78" t="str">
        <f t="shared" si="44"/>
        <v>"%USERPROFILE%\Documents\GitHub\eaglep3\Utilities\RefineRTDCRunTimes.py" --tripid 164-11 --locoid 4021 --swversion DE.1.0.9.0 --startMP 204:232913 --initTime 2017-11-11T12:09:43 --startdatetime 2017-11-11T12:27:15 --delay 92 --endMP 204:229 --enddatetime 2017-11-11T13:04:40 --enforcementcount 0 &gt;&gt;%USERPROFILE%\Documents\GitHub\eaglep3-reporting\EC\2017-11-11-refined-times.txt</v>
      </c>
      <c r="AI8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{"issue":{"subject":"","project_id":79,"tracker_id":40,"status_id":1,"priority_id":2,"assigned_to_id":338,"start_date":"2017-11-11","description":"","custom_fields":[{"id":1,"name":"Subdivision","value":"EC"},{"id":4,"name":"Milepost","value":"0.0229"},{"id":17,"name":"Train ID","value":"164-11"},{"id":16,"name":"Locomotive ID","value":"4021"},{"id":130,"name":"Impact","value":""},{"id":150,"name":"Time of Event (Mountain Time)","value":"13:04:40"},{"id":151,"name":"Denver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6"/>
        <v>start /low /b %USERPROFILE%\Documents\GitHub\eaglep3\Utilities\DownloadLogsFromS3.py --loco 4021 --day 2017-11-11</v>
      </c>
      <c r="AN80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8"/>
        <v>https://d0f6bd738d7f1b3e5a7ca70fe4ff75f0.us-east-1.aws.found.io/app/kibana#/discover/Steve-Slow-Train-Analysis-(2080s-and-2083s)?_g=(refreshInterval:(display:Off,pause:!f,section:0,value:0),time:(from:'2017-11-11T11:09:43-0700',mode:absolute,to:'2017-11-11T14:04:40-0700'))&amp;_a=(columns:!('Message%20ID',Summary),filters:!(),index:'emp_*',interval:auto,query:(query_string:(analyze_wildcard:!t,query:'%22rtdc.l.rtdc.4021%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776</v>
      </c>
      <c r="B81" s="7">
        <v>4036</v>
      </c>
      <c r="C81" s="21" t="s">
        <v>192</v>
      </c>
      <c r="D81" s="21" t="s">
        <v>946</v>
      </c>
      <c r="E81" s="13">
        <v>43050.484895833331</v>
      </c>
      <c r="F81" s="13">
        <v>43050.489768518521</v>
      </c>
      <c r="G81" s="7">
        <v>75</v>
      </c>
      <c r="H81" s="21" t="s">
        <v>568</v>
      </c>
      <c r="I81" s="13">
        <v>43050.514108796298</v>
      </c>
      <c r="J81" s="7">
        <v>0</v>
      </c>
      <c r="K81" s="89" t="str">
        <f t="shared" si="33"/>
        <v>4035/4036</v>
      </c>
      <c r="L81" s="185" t="str">
        <f>VLOOKUP(A81,'Trips&amp;Operators'!$C$1:$G$99911,5,FALSE)</f>
        <v>GUZMAN DANNY</v>
      </c>
      <c r="M81" s="6">
        <f t="shared" si="34"/>
        <v>2.4340277777810115E-2</v>
      </c>
      <c r="N81" s="7">
        <f t="shared" si="29"/>
        <v>35.050000000046566</v>
      </c>
      <c r="O81" s="7"/>
      <c r="P81" s="7"/>
      <c r="Q81" s="22"/>
      <c r="R81" s="174"/>
      <c r="S81" s="221">
        <f t="shared" si="30"/>
        <v>1</v>
      </c>
      <c r="T81" s="174" t="str">
        <f t="shared" si="35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6"/>
        <v>https://d0f6bd738d7f1b3e5a7ca70fe4ff75f0.us-east-1.aws.found.io/app/kibana#/discover/Steve-Slow-Train-Analysis-(2080s-and-2083s)?_g=(refreshInterval:(display:Off,pause:!f,section:0,value:0),time:(from:'2017-11-11T10:38:15-0700',mode:absolute,to:'2017-11-11T13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37"/>
        <v>4.2700000000000002E-2</v>
      </c>
      <c r="Z81" s="204">
        <f t="shared" si="38"/>
        <v>23.3188</v>
      </c>
      <c r="AA81" s="204">
        <f t="shared" si="39"/>
        <v>23.2761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40"/>
        <v>165</v>
      </c>
      <c r="AE81" s="77" t="str">
        <f t="shared" si="41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81" s="74" t="str">
        <f t="shared" si="42"/>
        <v>"C:\Program Files (x86)\AstroGrep\AstroGrep.exe" /e /r /s /spath="%USERPROFILE%\AppData\Local\Temp\OnboardLogs" /stypes="app*4036*20171111*" /stext=" 19:.+((SYSTEM_STATE.+slice.+state.+changed )|(ment ac)|(multiple cpu faults)|(system.+state.+changed )|(\[timeout)|(PRM\|1\|D)|(kpr)|(kdp)|(train st.+moving)|(\|lc)|(penalty))"</v>
      </c>
      <c r="AG81" s="182" t="str">
        <f t="shared" si="43"/>
        <v>EC</v>
      </c>
      <c r="AH81" s="78" t="str">
        <f t="shared" si="44"/>
        <v>"%USERPROFILE%\Documents\GitHub\eaglep3\Utilities\RefineRTDCRunTimes.py" --tripid 165-11 --locoid 4036 --swversion DE.1.0.9.0 --startMP 204:427 --initTime 2017-11-11T11:38:15 --startdatetime 2017-11-11T11:45:16 --delay 75 --endMP 204:233188 --enddatetime 2017-11-11T12:20:19 --enforcementcount 0 &gt;&gt;%USERPROFILE%\Documents\GitHub\eaglep3-reporting\EC\2017-11-11-refined-times.txt</v>
      </c>
      <c r="AI8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{"issue":{"subject":"","project_id":79,"tracker_id":40,"status_id":1,"priority_id":2,"assigned_to_id":338,"start_date":"2017-11-11","description":"","custom_fields":[{"id":1,"name":"Subdivision","value":"EC"},{"id":4,"name":"Milepost","value":"23.3188"},{"id":17,"name":"Train ID","value":"165-11"},{"id":16,"name":"Locomotive ID","value":"4036"},{"id":130,"name":"Impact","value":""},{"id":150,"name":"Time of Event (Mountain Time)","value":"12:20:19"},{"id":151,"name":"Denver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6"/>
        <v>start /low /b %USERPROFILE%\Documents\GitHub\eaglep3\Utilities\DownloadLogsFromS3.py --loco 4036 --day 2017-11-11</v>
      </c>
      <c r="AN81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8"/>
        <v>https://d0f6bd738d7f1b3e5a7ca70fe4ff75f0.us-east-1.aws.found.io/app/kibana#/discover/Steve-Slow-Train-Analysis-(2080s-and-2083s)?_g=(refreshInterval:(display:Off,pause:!f,section:0,value:0),time:(from:'2017-11-11T10:38:15-0700',mode:absolute,to:'2017-11-11T13:20:19-0700'))&amp;_a=(columns:!('Message%20ID',Summary),filters:!(),index:'emp_*',interval:auto,query:(query_string:(analyze_wildcard:!t,query:'%22rtdc.l.rtdc.4036%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781</v>
      </c>
      <c r="B82" s="7">
        <v>4035</v>
      </c>
      <c r="C82" s="21" t="s">
        <v>192</v>
      </c>
      <c r="D82" s="21" t="s">
        <v>947</v>
      </c>
      <c r="E82" s="13">
        <v>43050.5156712963</v>
      </c>
      <c r="F82" s="13">
        <v>43050.529328703706</v>
      </c>
      <c r="G82" s="7">
        <v>58</v>
      </c>
      <c r="H82" s="21" t="s">
        <v>615</v>
      </c>
      <c r="I82" s="13">
        <v>43050.555613425924</v>
      </c>
      <c r="J82" s="7">
        <v>0</v>
      </c>
      <c r="K82" s="89" t="str">
        <f t="shared" si="33"/>
        <v>4035/4036</v>
      </c>
      <c r="L82" s="185" t="str">
        <f>VLOOKUP(A82,'Trips&amp;Operators'!$C$1:$G$99911,5,FALSE)</f>
        <v>GUZMAN DANNY</v>
      </c>
      <c r="M82" s="6">
        <f t="shared" si="34"/>
        <v>2.6284722218406387E-2</v>
      </c>
      <c r="N82" s="7">
        <f t="shared" si="29"/>
        <v>37.849999994505197</v>
      </c>
      <c r="O82" s="7"/>
      <c r="P82" s="7"/>
      <c r="Q82" s="22"/>
      <c r="R82" s="174"/>
      <c r="S82" s="221">
        <f t="shared" si="30"/>
        <v>1</v>
      </c>
      <c r="T82" s="174" t="str">
        <f t="shared" si="35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6"/>
        <v>https://d0f6bd738d7f1b3e5a7ca70fe4ff75f0.us-east-1.aws.found.io/app/kibana#/discover/Steve-Slow-Train-Analysis-(2080s-and-2083s)?_g=(refreshInterval:(display:Off,pause:!f,section:0,value:0),time:(from:'2017-11-11T11:22:34-0700',mode:absolute,to:'2017-11-11T14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2" s="204" t="str">
        <f>IF(AA82&lt;VLOOKUP(AG82,Variables!$AC$3:$AD$8,2,FALSE),"Y","N")</f>
        <v>N</v>
      </c>
      <c r="X82" s="204">
        <f t="shared" si="32"/>
        <v>1</v>
      </c>
      <c r="Y82" s="204">
        <f t="shared" si="37"/>
        <v>23.286100000000001</v>
      </c>
      <c r="Z82" s="204">
        <f t="shared" si="38"/>
        <v>2.6700000000000002E-2</v>
      </c>
      <c r="AA82" s="204">
        <f t="shared" si="39"/>
        <v>23.259399999999999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40"/>
        <v>166</v>
      </c>
      <c r="AE82" s="77" t="str">
        <f t="shared" si="41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82" s="74" t="str">
        <f t="shared" si="42"/>
        <v>"C:\Program Files (x86)\AstroGrep\AstroGrep.exe" /e /r /s /spath="%USERPROFILE%\AppData\Local\Temp\OnboardLogs" /stypes="app*4035*20171111*" /stext=" 20:.+((SYSTEM_STATE.+slice.+state.+changed )|(ment ac)|(multiple cpu faults)|(system.+state.+changed )|(\[timeout)|(PRM\|1\|D)|(kpr)|(kdp)|(train st.+moving)|(\|lc)|(penalty))"</v>
      </c>
      <c r="AG82" s="182" t="str">
        <f t="shared" si="43"/>
        <v>EC</v>
      </c>
      <c r="AH82" s="78" t="str">
        <f t="shared" si="44"/>
        <v>"%USERPROFILE%\Documents\GitHub\eaglep3\Utilities\RefineRTDCRunTimes.py" --tripid 166-11 --locoid 4035 --swversion DE.1.0.9.0 --startMP 204:232861 --initTime 2017-11-11T12:22:34 --startdatetime 2017-11-11T12:42:14 --delay 58 --endMP 204:267 --enddatetime 2017-11-11T13:20:05 --enforcementcount 0 &gt;&gt;%USERPROFILE%\Documents\GitHub\eaglep3-reporting\EC\2017-11-11-refined-times.txt</v>
      </c>
      <c r="AI82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{"issue":{"subject":"","project_id":79,"tracker_id":40,"status_id":1,"priority_id":2,"assigned_to_id":338,"start_date":"2017-11-11","description":"","custom_fields":[{"id":1,"name":"Subdivision","value":"EC"},{"id":4,"name":"Milepost","value":"0.0267"},{"id":17,"name":"Train ID","value":"166-11"},{"id":16,"name":"Locomotive ID","value":"4035"},{"id":130,"name":"Impact","value":""},{"id":150,"name":"Time of Event (Mountain Time)","value":"13:20:05"},{"id":151,"name":"Denver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6"/>
        <v>start /low /b %USERPROFILE%\Documents\GitHub\eaglep3\Utilities\DownloadLogsFromS3.py --loco 4035 --day 2017-11-11</v>
      </c>
      <c r="AN82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8"/>
        <v>https://d0f6bd738d7f1b3e5a7ca70fe4ff75f0.us-east-1.aws.found.io/app/kibana#/discover/Steve-Slow-Train-Analysis-(2080s-and-2083s)?_g=(refreshInterval:(display:Off,pause:!f,section:0,value:0),time:(from:'2017-11-11T11:22:34-0700',mode:absolute,to:'2017-11-11T14:20:05-0700'))&amp;_a=(columns:!('Message%20ID',Summary),filters:!(),index:'emp_*',interval:auto,query:(query_string:(analyze_wildcard:!t,query:'%22rtdc.l.rtdc.4035%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777</v>
      </c>
      <c r="B83" s="7">
        <v>4044</v>
      </c>
      <c r="C83" s="21" t="s">
        <v>192</v>
      </c>
      <c r="D83" s="21" t="s">
        <v>519</v>
      </c>
      <c r="E83" s="13">
        <v>43050.497129629628</v>
      </c>
      <c r="F83" s="13">
        <v>43050.500173611108</v>
      </c>
      <c r="G83" s="7">
        <v>65</v>
      </c>
      <c r="H83" s="21" t="s">
        <v>948</v>
      </c>
      <c r="I83" s="13">
        <v>43050.525995370372</v>
      </c>
      <c r="J83" s="7">
        <v>0</v>
      </c>
      <c r="K83" s="89" t="str">
        <f t="shared" si="33"/>
        <v>4043/4044</v>
      </c>
      <c r="L83" s="185" t="str">
        <f>VLOOKUP(A83,'Trips&amp;Operators'!$C$1:$G$99911,5,FALSE)</f>
        <v>BADERTSCHER DIANE</v>
      </c>
      <c r="M83" s="6">
        <f t="shared" si="34"/>
        <v>2.5821759263635613E-2</v>
      </c>
      <c r="N83" s="7">
        <f t="shared" si="29"/>
        <v>37.183333339635283</v>
      </c>
      <c r="O83" s="7"/>
      <c r="P83" s="7"/>
      <c r="Q83" s="22"/>
      <c r="R83" s="174"/>
      <c r="S83" s="221">
        <f t="shared" si="30"/>
        <v>1</v>
      </c>
      <c r="T83" s="174" t="str">
        <f t="shared" si="35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6"/>
        <v>https://d0f6bd738d7f1b3e5a7ca70fe4ff75f0.us-east-1.aws.found.io/app/kibana#/discover/Steve-Slow-Train-Analysis-(2080s-and-2083s)?_g=(refreshInterval:(display:Off,pause:!f,section:0,value:0),time:(from:'2017-11-11T10:55:52-0700',mode:absolute,to:'2017-11-11T13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37"/>
        <v>5.11E-2</v>
      </c>
      <c r="Z83" s="204">
        <f t="shared" si="38"/>
        <v>23.3217</v>
      </c>
      <c r="AA83" s="204">
        <f t="shared" si="39"/>
        <v>23.270599999999998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40"/>
        <v>167</v>
      </c>
      <c r="AE83" s="77" t="str">
        <f t="shared" si="41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83" s="74" t="str">
        <f t="shared" si="42"/>
        <v>"C:\Program Files (x86)\AstroGrep\AstroGrep.exe" /e /r /s /spath="%USERPROFILE%\AppData\Local\Temp\OnboardLogs" /stypes="app*4044*20171111*" /stext=" 19:.+((SYSTEM_STATE.+slice.+state.+changed )|(ment ac)|(multiple cpu faults)|(system.+state.+changed )|(\[timeout)|(PRM\|1\|D)|(kpr)|(kdp)|(train st.+moving)|(\|lc)|(penalty))"</v>
      </c>
      <c r="AG83" s="182" t="str">
        <f t="shared" si="43"/>
        <v>EC</v>
      </c>
      <c r="AH83" s="78" t="str">
        <f t="shared" si="44"/>
        <v>"%USERPROFILE%\Documents\GitHub\eaglep3\Utilities\RefineRTDCRunTimes.py" --tripid 167-11 --locoid 4044 --swversion DE.1.0.9.0 --startMP 204:511 --initTime 2017-11-11T11:55:52 --startdatetime 2017-11-11T12:00:15 --delay 65 --endMP 204:233217 --enddatetime 2017-11-11T12:37:26 --enforcementcount 0 &gt;&gt;%USERPROFILE%\Documents\GitHub\eaglep3-reporting\EC\2017-11-11-refined-times.txt</v>
      </c>
      <c r="AI83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{"issue":{"subject":"","project_id":79,"tracker_id":40,"status_id":1,"priority_id":2,"assigned_to_id":338,"start_date":"2017-11-11","description":"","custom_fields":[{"id":1,"name":"Subdivision","value":"EC"},{"id":4,"name":"Milepost","value":"23.3217"},{"id":17,"name":"Train ID","value":"167-11"},{"id":16,"name":"Locomotive ID","value":"4044"},{"id":130,"name":"Impact","value":""},{"id":150,"name":"Time of Event (Mountain Time)","value":"12:37:26"},{"id":151,"name":"Denver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6"/>
        <v>start /low /b %USERPROFILE%\Documents\GitHub\eaglep3\Utilities\DownloadLogsFromS3.py --loco 4044 --day 2017-11-11</v>
      </c>
      <c r="AN83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8"/>
        <v>https://d0f6bd738d7f1b3e5a7ca70fe4ff75f0.us-east-1.aws.found.io/app/kibana#/discover/Steve-Slow-Train-Analysis-(2080s-and-2083s)?_g=(refreshInterval:(display:Off,pause:!f,section:0,value:0),time:(from:'2017-11-11T10:55:52-0700',mode:absolute,to:'2017-11-11T13:37:26-0700'))&amp;_a=(columns:!('Message%20ID',Summary),filters:!(),index:'emp_*',interval:auto,query:(query_string:(analyze_wildcard:!t,query:'%22rtdc.l.rtdc.4044%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783</v>
      </c>
      <c r="B84" s="7">
        <v>4043</v>
      </c>
      <c r="C84" s="21" t="s">
        <v>192</v>
      </c>
      <c r="D84" s="21" t="s">
        <v>942</v>
      </c>
      <c r="E84" s="13">
        <v>43050.533530092594</v>
      </c>
      <c r="F84" s="13">
        <v>43050.539756944447</v>
      </c>
      <c r="G84" s="7">
        <v>62</v>
      </c>
      <c r="H84" s="21" t="s">
        <v>472</v>
      </c>
      <c r="I84" s="13">
        <v>43050.568495370368</v>
      </c>
      <c r="J84" s="7">
        <v>0</v>
      </c>
      <c r="K84" s="89" t="str">
        <f t="shared" si="33"/>
        <v>4043/4044</v>
      </c>
      <c r="L84" s="185" t="str">
        <f>VLOOKUP(A84,'Trips&amp;Operators'!$C$1:$G$99911,5,FALSE)</f>
        <v>BADERTSCHER DIANE</v>
      </c>
      <c r="M84" s="6">
        <f t="shared" si="34"/>
        <v>2.8738425920892041E-2</v>
      </c>
      <c r="N84" s="7">
        <f t="shared" si="29"/>
        <v>41.383333326084539</v>
      </c>
      <c r="O84" s="7"/>
      <c r="P84" s="7"/>
      <c r="Q84" s="22"/>
      <c r="R84" s="174"/>
      <c r="S84" s="221">
        <f t="shared" ref="S84:S102" si="49">1/IF(AG84="EC",12,1)*SUM(U84:U84)</f>
        <v>1</v>
      </c>
      <c r="T84" s="174" t="str">
        <f t="shared" si="35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6"/>
        <v>https://d0f6bd738d7f1b3e5a7ca70fe4ff75f0.us-east-1.aws.found.io/app/kibana#/discover/Steve-Slow-Train-Analysis-(2080s-and-2083s)?_g=(refreshInterval:(display:Off,pause:!f,section:0,value:0),time:(from:'2017-11-11T11:48:17-0700',mode:absolute,to:'2017-11-11T14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04" t="str">
        <f>IF(AA84&lt;VLOOKUP(AG84,Variables!$AC$3:$AD$8,2,FALSE),"Y","N")</f>
        <v>N</v>
      </c>
      <c r="X84" s="204">
        <f t="shared" si="32"/>
        <v>1</v>
      </c>
      <c r="Y84" s="204">
        <f t="shared" si="37"/>
        <v>23.290600000000001</v>
      </c>
      <c r="Z84" s="204">
        <f t="shared" si="38"/>
        <v>2.3400000000000001E-2</v>
      </c>
      <c r="AA84" s="204">
        <f t="shared" si="39"/>
        <v>23.267200000000003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40"/>
        <v>168</v>
      </c>
      <c r="AE84" s="77" t="str">
        <f t="shared" si="41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84" s="74" t="str">
        <f t="shared" si="42"/>
        <v>"C:\Program Files (x86)\AstroGrep\AstroGrep.exe" /e /r /s /spath="%USERPROFILE%\AppData\Local\Temp\OnboardLogs" /stypes="app*4043*20171111*" /stext=" 20:.+((SYSTEM_STATE.+slice.+state.+changed )|(ment ac)|(multiple cpu faults)|(system.+state.+changed )|(\[timeout)|(PRM\|1\|D)|(kpr)|(kdp)|(train st.+moving)|(\|lc)|(penalty))"</v>
      </c>
      <c r="AG84" s="182" t="str">
        <f t="shared" si="43"/>
        <v>EC</v>
      </c>
      <c r="AH84" s="78" t="str">
        <f t="shared" si="44"/>
        <v>"%USERPROFILE%\Documents\GitHub\eaglep3\Utilities\RefineRTDCRunTimes.py" --tripid 168-11 --locoid 4043 --swversion DE.1.0.9.0 --startMP 204:232906 --initTime 2017-11-11T12:48:17 --startdatetime 2017-11-11T12:57:15 --delay 62 --endMP 204:234 --enddatetime 2017-11-11T13:38:38 --enforcementcount 0 &gt;&gt;%USERPROFILE%\Documents\GitHub\eaglep3-reporting\EC\2017-11-11-refined-times.txt</v>
      </c>
      <c r="AI8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{"issue":{"subject":"","project_id":79,"tracker_id":40,"status_id":1,"priority_id":2,"assigned_to_id":338,"start_date":"2017-11-11","description":"","custom_fields":[{"id":1,"name":"Subdivision","value":"EC"},{"id":4,"name":"Milepost","value":"0.0234"},{"id":17,"name":"Train ID","value":"168-11"},{"id":16,"name":"Locomotive ID","value":"4043"},{"id":130,"name":"Impact","value":""},{"id":150,"name":"Time of Event (Mountain Time)","value":"13:38:38"},{"id":151,"name":"Denver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6"/>
        <v>start /low /b %USERPROFILE%\Documents\GitHub\eaglep3\Utilities\DownloadLogsFromS3.py --loco 4043 --day 2017-11-11</v>
      </c>
      <c r="AN84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8"/>
        <v>https://d0f6bd738d7f1b3e5a7ca70fe4ff75f0.us-east-1.aws.found.io/app/kibana#/discover/Steve-Slow-Train-Analysis-(2080s-and-2083s)?_g=(refreshInterval:(display:Off,pause:!f,section:0,value:0),time:(from:'2017-11-11T11:48:17-0700',mode:absolute,to:'2017-11-11T14:38:38-0700'))&amp;_a=(columns:!('Message%20ID',Summary),filters:!(),index:'emp_*',interval:auto,query:(query_string:(analyze_wildcard:!t,query:'%22rtdc.l.rtdc.4043%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676</v>
      </c>
      <c r="B85" s="7">
        <v>4066</v>
      </c>
      <c r="C85" s="21" t="s">
        <v>192</v>
      </c>
      <c r="D85" s="21" t="s">
        <v>519</v>
      </c>
      <c r="E85" s="13">
        <v>43050.506076388891</v>
      </c>
      <c r="F85" s="13">
        <v>43050.510682870372</v>
      </c>
      <c r="G85" s="7">
        <v>68</v>
      </c>
      <c r="H85" s="21" t="s">
        <v>903</v>
      </c>
      <c r="I85" s="13">
        <v>43050.536631944444</v>
      </c>
      <c r="J85" s="7">
        <v>0</v>
      </c>
      <c r="K85" s="89" t="str">
        <f t="shared" si="33"/>
        <v>4065/4066</v>
      </c>
      <c r="L85" s="185" t="str">
        <f>VLOOKUP(A85,'Trips&amp;Operators'!$C$1:$G$99911,5,FALSE)</f>
        <v>BERLING GARY</v>
      </c>
      <c r="M85" s="6">
        <f t="shared" si="34"/>
        <v>2.5949074071832001E-2</v>
      </c>
      <c r="N85" s="7">
        <f t="shared" si="29"/>
        <v>37.366666663438082</v>
      </c>
      <c r="O85" s="7"/>
      <c r="P85" s="7"/>
      <c r="Q85" s="22"/>
      <c r="R85" s="174"/>
      <c r="S85" s="221">
        <f t="shared" si="49"/>
        <v>1</v>
      </c>
      <c r="T85" s="174" t="str">
        <f t="shared" si="35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6"/>
        <v>https://d0f6bd738d7f1b3e5a7ca70fe4ff75f0.us-east-1.aws.found.io/app/kibana#/discover/Steve-Slow-Train-Analysis-(2080s-and-2083s)?_g=(refreshInterval:(display:Off,pause:!f,section:0,value:0),time:(from:'2017-11-11T11:08:45-0700',mode:absolute,to:'2017-11-11T13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204" t="str">
        <f>IF(AA85&lt;VLOOKUP(AG85,Variables!$AC$3:$AD$8,2,FALSE),"Y","N")</f>
        <v>N</v>
      </c>
      <c r="X85" s="204">
        <f t="shared" si="32"/>
        <v>1</v>
      </c>
      <c r="Y85" s="204">
        <f t="shared" si="37"/>
        <v>5.11E-2</v>
      </c>
      <c r="Z85" s="204">
        <f t="shared" si="38"/>
        <v>23.324100000000001</v>
      </c>
      <c r="AA85" s="204">
        <f t="shared" si="39"/>
        <v>23.273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40"/>
        <v>169</v>
      </c>
      <c r="AE85" s="77" t="str">
        <f t="shared" si="41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85" s="74" t="str">
        <f t="shared" si="42"/>
        <v>"C:\Program Files (x86)\AstroGrep\AstroGrep.exe" /e /r /s /spath="%USERPROFILE%\AppData\Local\Temp\OnboardLogs" /stypes="app*4066*20171111*" /stext=" 19:.+((SYSTEM_STATE.+slice.+state.+changed )|(ment ac)|(multiple cpu faults)|(system.+state.+changed )|(\[timeout)|(PRM\|1\|D)|(kpr)|(kdp)|(train st.+moving)|(\|lc)|(penalty))"</v>
      </c>
      <c r="AG85" s="182" t="str">
        <f t="shared" si="43"/>
        <v>EC</v>
      </c>
      <c r="AH85" s="78" t="str">
        <f t="shared" si="44"/>
        <v>"%USERPROFILE%\Documents\GitHub\eaglep3\Utilities\RefineRTDCRunTimes.py" --tripid 169-11 --locoid 4066 --swversion DE.1.0.9.0 --startMP 204:511 --initTime 2017-11-11T12:08:45 --startdatetime 2017-11-11T12:15:23 --delay 68 --endMP 204:233241 --enddatetime 2017-11-11T12:52:45 --enforcementcount 0 &gt;&gt;%USERPROFILE%\Documents\GitHub\eaglep3-reporting\EC\2017-11-11-refined-times.txt</v>
      </c>
      <c r="AI8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{"issue":{"subject":"","project_id":79,"tracker_id":40,"status_id":1,"priority_id":2,"assigned_to_id":338,"start_date":"2017-11-11","description":"","custom_fields":[{"id":1,"name":"Subdivision","value":"EC"},{"id":4,"name":"Milepost","value":"23.3241"},{"id":17,"name":"Train ID","value":"169-11"},{"id":16,"name":"Locomotive ID","value":"4066"},{"id":130,"name":"Impact","value":""},{"id":150,"name":"Time of Event (Mountain Time)","value":"12:52:45"},{"id":151,"name":"Denver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6"/>
        <v>start /low /b %USERPROFILE%\Documents\GitHub\eaglep3\Utilities\DownloadLogsFromS3.py --loco 4066 --day 2017-11-11</v>
      </c>
      <c r="AN85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8"/>
        <v>https://d0f6bd738d7f1b3e5a7ca70fe4ff75f0.us-east-1.aws.found.io/app/kibana#/discover/Steve-Slow-Train-Analysis-(2080s-and-2083s)?_g=(refreshInterval:(display:Off,pause:!f,section:0,value:0),time:(from:'2017-11-11T11:08:45-0700',mode:absolute,to:'2017-11-11T13:52:45-0700'))&amp;_a=(columns:!('Message%20ID',Summary),filters:!(),index:'emp_*',interval:auto,query:(query_string:(analyze_wildcard:!t,query:'%22rtdc.l.rtdc.4066%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786</v>
      </c>
      <c r="B86" s="7">
        <v>4065</v>
      </c>
      <c r="C86" s="21" t="s">
        <v>192</v>
      </c>
      <c r="D86" s="21" t="s">
        <v>949</v>
      </c>
      <c r="E86" s="13">
        <v>43050.546666666669</v>
      </c>
      <c r="F86" s="13">
        <v>43050.550520833334</v>
      </c>
      <c r="G86" s="7">
        <v>73</v>
      </c>
      <c r="H86" s="21" t="s">
        <v>950</v>
      </c>
      <c r="I86" s="13">
        <v>43050.579467592594</v>
      </c>
      <c r="J86" s="7">
        <v>0</v>
      </c>
      <c r="K86" s="89" t="str">
        <f t="shared" si="33"/>
        <v>4065/4066</v>
      </c>
      <c r="L86" s="185" t="str">
        <f>VLOOKUP(A86,'Trips&amp;Operators'!$C$1:$G$99911,5,FALSE)</f>
        <v>BERLING GARY</v>
      </c>
      <c r="M86" s="6">
        <f t="shared" si="34"/>
        <v>2.8946759259270038E-2</v>
      </c>
      <c r="N86" s="7">
        <f t="shared" si="29"/>
        <v>41.683333333348855</v>
      </c>
      <c r="O86" s="7"/>
      <c r="P86" s="7"/>
      <c r="Q86" s="22"/>
      <c r="R86" s="174"/>
      <c r="S86" s="221">
        <f t="shared" si="49"/>
        <v>1</v>
      </c>
      <c r="T86" s="174" t="str">
        <f t="shared" si="35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6"/>
        <v>https://d0f6bd738d7f1b3e5a7ca70fe4ff75f0.us-east-1.aws.found.io/app/kibana#/discover/Steve-Slow-Train-Analysis-(2080s-and-2083s)?_g=(refreshInterval:(display:Off,pause:!f,section:0,value:0),time:(from:'2017-11-11T12:07:12-0700',mode:absolute,to:'2017-11-11T14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204" t="str">
        <f>IF(AA86&lt;VLOOKUP(AG86,Variables!$AC$3:$AD$8,2,FALSE),"Y","N")</f>
        <v>N</v>
      </c>
      <c r="X86" s="204">
        <f t="shared" si="32"/>
        <v>1</v>
      </c>
      <c r="Y86" s="204">
        <f t="shared" si="37"/>
        <v>23.290500000000002</v>
      </c>
      <c r="Z86" s="204">
        <f t="shared" si="38"/>
        <v>2.8000000000000001E-2</v>
      </c>
      <c r="AA86" s="204">
        <f t="shared" si="39"/>
        <v>23.262500000000003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40"/>
        <v>170</v>
      </c>
      <c r="AE86" s="77" t="str">
        <f t="shared" si="41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86" s="74" t="str">
        <f t="shared" si="42"/>
        <v>"C:\Program Files (x86)\AstroGrep\AstroGrep.exe" /e /r /s /spath="%USERPROFILE%\AppData\Local\Temp\OnboardLogs" /stypes="app*4065*20171111*" /stext=" 20:.+((SYSTEM_STATE.+slice.+state.+changed )|(ment ac)|(multiple cpu faults)|(system.+state.+changed )|(\[timeout)|(PRM\|1\|D)|(kpr)|(kdp)|(train st.+moving)|(\|lc)|(penalty))"</v>
      </c>
      <c r="AG86" s="182" t="str">
        <f t="shared" si="43"/>
        <v>EC</v>
      </c>
      <c r="AH86" s="78" t="str">
        <f t="shared" si="44"/>
        <v>"%USERPROFILE%\Documents\GitHub\eaglep3\Utilities\RefineRTDCRunTimes.py" --tripid 170-11 --locoid 4065 --swversion DE.1.0.9.0 --startMP 204:232905 --initTime 2017-11-11T13:07:12 --startdatetime 2017-11-11T13:12:45 --delay 73 --endMP 204:280 --enddatetime 2017-11-11T13:54:26 --enforcementcount 0 &gt;&gt;%USERPROFILE%\Documents\GitHub\eaglep3-reporting\EC\2017-11-11-refined-times.txt</v>
      </c>
      <c r="AI86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{"issue":{"subject":"","project_id":79,"tracker_id":40,"status_id":1,"priority_id":2,"assigned_to_id":338,"start_date":"2017-11-11","description":"","custom_fields":[{"id":1,"name":"Subdivision","value":"EC"},{"id":4,"name":"Milepost","value":"0.028"},{"id":17,"name":"Train ID","value":"170-11"},{"id":16,"name":"Locomotive ID","value":"4065"},{"id":130,"name":"Impact","value":""},{"id":150,"name":"Time of Event (Mountain Time)","value":"13:54:26"},{"id":151,"name":"Denver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6"/>
        <v>start /low /b %USERPROFILE%\Documents\GitHub\eaglep3\Utilities\DownloadLogsFromS3.py --loco 4065 --day 2017-11-11</v>
      </c>
      <c r="AN86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8"/>
        <v>https://d0f6bd738d7f1b3e5a7ca70fe4ff75f0.us-east-1.aws.found.io/app/kibana#/discover/Steve-Slow-Train-Analysis-(2080s-and-2083s)?_g=(refreshInterval:(display:Off,pause:!f,section:0,value:0),time:(from:'2017-11-11T12:07:12-0700',mode:absolute,to:'2017-11-11T14:54:26-0700'))&amp;_a=(columns:!('Message%20ID',Summary),filters:!(),index:'emp_*',interval:auto,query:(query_string:(analyze_wildcard:!t,query:'%22rtdc.l.rtdc.4065%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782</v>
      </c>
      <c r="B87" s="7">
        <v>4058</v>
      </c>
      <c r="C87" s="21" t="s">
        <v>192</v>
      </c>
      <c r="D87" s="21" t="s">
        <v>951</v>
      </c>
      <c r="E87" s="13">
        <v>43050.51662037037</v>
      </c>
      <c r="F87" s="13">
        <v>43050.521018518521</v>
      </c>
      <c r="G87" s="7">
        <v>170</v>
      </c>
      <c r="H87" s="21" t="s">
        <v>952</v>
      </c>
      <c r="I87" s="13">
        <v>43050.545543981483</v>
      </c>
      <c r="J87" s="7">
        <v>0</v>
      </c>
      <c r="K87" s="89" t="str">
        <f t="shared" si="33"/>
        <v>4057/4058</v>
      </c>
      <c r="L87" s="185" t="str">
        <f>VLOOKUP(A87,'Trips&amp;Operators'!$C$1:$G$99911,5,FALSE)</f>
        <v>BRUDER RICHARD</v>
      </c>
      <c r="M87" s="6">
        <f t="shared" si="34"/>
        <v>2.4525462962628808E-2</v>
      </c>
      <c r="N87" s="7">
        <f t="shared" si="29"/>
        <v>35.316666666185483</v>
      </c>
      <c r="O87" s="7"/>
      <c r="P87" s="7"/>
      <c r="Q87" s="22"/>
      <c r="R87" s="174"/>
      <c r="S87" s="221">
        <f t="shared" si="49"/>
        <v>1</v>
      </c>
      <c r="T87" s="174" t="str">
        <f t="shared" si="35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6"/>
        <v>https://d0f6bd738d7f1b3e5a7ca70fe4ff75f0.us-east-1.aws.found.io/app/kibana#/discover/Steve-Slow-Train-Analysis-(2080s-and-2083s)?_g=(refreshInterval:(display:Off,pause:!f,section:0,value:0),time:(from:'2017-11-11T11:23:56-0700',mode:absolute,to:'2017-11-11T14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7" s="204" t="str">
        <f>IF(AA87&lt;VLOOKUP(AG87,Variables!$AC$3:$AD$8,2,FALSE),"Y","N")</f>
        <v>N</v>
      </c>
      <c r="X87" s="204">
        <f t="shared" si="32"/>
        <v>1</v>
      </c>
      <c r="Y87" s="204">
        <f t="shared" si="37"/>
        <v>5.6399999999999999E-2</v>
      </c>
      <c r="Z87" s="204">
        <f t="shared" si="38"/>
        <v>23.322700000000001</v>
      </c>
      <c r="AA87" s="204">
        <f t="shared" si="39"/>
        <v>23.266300000000001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40"/>
        <v>171</v>
      </c>
      <c r="AE87" s="77" t="str">
        <f t="shared" si="41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87" s="74" t="str">
        <f t="shared" si="42"/>
        <v>"C:\Program Files (x86)\AstroGrep\AstroGrep.exe" /e /r /s /spath="%USERPROFILE%\AppData\Local\Temp\OnboardLogs" /stypes="app*4058*20171111*" /stext=" 20:.+((SYSTEM_STATE.+slice.+state.+changed )|(ment ac)|(multiple cpu faults)|(system.+state.+changed )|(\[timeout)|(PRM\|1\|D)|(kpr)|(kdp)|(train st.+moving)|(\|lc)|(penalty))"</v>
      </c>
      <c r="AG87" s="182" t="str">
        <f t="shared" si="43"/>
        <v>EC</v>
      </c>
      <c r="AH87" s="78" t="str">
        <f t="shared" si="44"/>
        <v>"%USERPROFILE%\Documents\GitHub\eaglep3\Utilities\RefineRTDCRunTimes.py" --tripid 171-11 --locoid 4058 --swversion DE.1.0.9.0 --startMP 204:564 --initTime 2017-11-11T12:23:56 --startdatetime 2017-11-11T12:30:16 --delay 170 --endMP 204:233227 --enddatetime 2017-11-11T13:05:35 --enforcementcount 0 &gt;&gt;%USERPROFILE%\Documents\GitHub\eaglep3-reporting\EC\2017-11-11-refined-times.txt</v>
      </c>
      <c r="AI8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{"issue":{"subject":"","project_id":79,"tracker_id":40,"status_id":1,"priority_id":2,"assigned_to_id":338,"start_date":"2017-11-11","description":"","custom_fields":[{"id":1,"name":"Subdivision","value":"EC"},{"id":4,"name":"Milepost","value":"23.3227"},{"id":17,"name":"Train ID","value":"171-11"},{"id":16,"name":"Locomotive ID","value":"4058"},{"id":130,"name":"Impact","value":""},{"id":150,"name":"Time of Event (Mountain Time)","value":"13:05:35"},{"id":151,"name":"Denver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6"/>
        <v>start /low /b %USERPROFILE%\Documents\GitHub\eaglep3\Utilities\DownloadLogsFromS3.py --loco 4058 --day 2017-11-11</v>
      </c>
      <c r="AN87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8"/>
        <v>https://d0f6bd738d7f1b3e5a7ca70fe4ff75f0.us-east-1.aws.found.io/app/kibana#/discover/Steve-Slow-Train-Analysis-(2080s-and-2083s)?_g=(refreshInterval:(display:Off,pause:!f,section:0,value:0),time:(from:'2017-11-11T11:23:56-0700',mode:absolute,to:'2017-11-11T14:05:35-0700'))&amp;_a=(columns:!('Message%20ID',Summary),filters:!(),index:'emp_*',interval:auto,query:(query_string:(analyze_wildcard:!t,query:'%22rtdc.l.rtdc.4058%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789</v>
      </c>
      <c r="B88" s="7">
        <v>4057</v>
      </c>
      <c r="C88" s="21" t="s">
        <v>192</v>
      </c>
      <c r="D88" s="21" t="s">
        <v>953</v>
      </c>
      <c r="E88" s="13">
        <v>43050.557858796295</v>
      </c>
      <c r="F88" s="13">
        <v>43050.560636574075</v>
      </c>
      <c r="G88" s="7">
        <v>103</v>
      </c>
      <c r="H88" s="21" t="s">
        <v>523</v>
      </c>
      <c r="I88" s="13">
        <v>43050.588159722225</v>
      </c>
      <c r="J88" s="7">
        <v>0</v>
      </c>
      <c r="K88" s="89" t="str">
        <f t="shared" si="33"/>
        <v>4057/4058</v>
      </c>
      <c r="L88" s="185" t="str">
        <f>VLOOKUP(A88,'Trips&amp;Operators'!$C$1:$G$99911,5,FALSE)</f>
        <v>BRUDER RICHARD</v>
      </c>
      <c r="M88" s="6">
        <f t="shared" si="34"/>
        <v>2.7523148150066845E-2</v>
      </c>
      <c r="N88" s="7">
        <f t="shared" si="29"/>
        <v>39.633333336096257</v>
      </c>
      <c r="O88" s="7"/>
      <c r="P88" s="7"/>
      <c r="Q88" s="22"/>
      <c r="R88" s="174"/>
      <c r="S88" s="221">
        <f t="shared" si="49"/>
        <v>1</v>
      </c>
      <c r="T88" s="174" t="str">
        <f t="shared" si="3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6"/>
        <v>https://d0f6bd738d7f1b3e5a7ca70fe4ff75f0.us-east-1.aws.found.io/app/kibana#/discover/Steve-Slow-Train-Analysis-(2080s-and-2083s)?_g=(refreshInterval:(display:Off,pause:!f,section:0,value:0),time:(from:'2017-11-11T12:23:19-0700',mode:absolute,to:'2017-11-11T15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8" s="204" t="str">
        <f>IF(AA88&lt;VLOOKUP(AG88,Variables!$AC$3:$AD$8,2,FALSE),"Y","N")</f>
        <v>N</v>
      </c>
      <c r="X88" s="204">
        <f t="shared" si="32"/>
        <v>1</v>
      </c>
      <c r="Y88" s="204">
        <f t="shared" si="37"/>
        <v>23.288699999999999</v>
      </c>
      <c r="Z88" s="204">
        <f t="shared" si="38"/>
        <v>2.1999999999999999E-2</v>
      </c>
      <c r="AA88" s="204">
        <f t="shared" si="39"/>
        <v>23.2667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40"/>
        <v>172</v>
      </c>
      <c r="AE88" s="77" t="str">
        <f t="shared" si="41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88" s="74" t="str">
        <f t="shared" si="42"/>
        <v>"C:\Program Files (x86)\AstroGrep\AstroGrep.exe" /e /r /s /spath="%USERPROFILE%\AppData\Local\Temp\OnboardLogs" /stypes="app*4057*20171111*" /stext=" 21:.+((SYSTEM_STATE.+slice.+state.+changed )|(ment ac)|(multiple cpu faults)|(system.+state.+changed )|(\[timeout)|(PRM\|1\|D)|(kpr)|(kdp)|(train st.+moving)|(\|lc)|(penalty))"</v>
      </c>
      <c r="AG88" s="182" t="str">
        <f t="shared" si="43"/>
        <v>EC</v>
      </c>
      <c r="AH88" s="78" t="str">
        <f t="shared" si="44"/>
        <v>"%USERPROFILE%\Documents\GitHub\eaglep3\Utilities\RefineRTDCRunTimes.py" --tripid 172-11 --locoid 4057 --swversion DE.1.0.9.0 --startMP 204:232887 --initTime 2017-11-11T13:23:19 --startdatetime 2017-11-11T13:27:19 --delay 103 --endMP 204:220 --enddatetime 2017-11-11T14:06:57 --enforcementcount 0 &gt;&gt;%USERPROFILE%\Documents\GitHub\eaglep3-reporting\EC\2017-11-11-refined-times.txt</v>
      </c>
      <c r="AI8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{"issue":{"subject":"","project_id":79,"tracker_id":40,"status_id":1,"priority_id":2,"assigned_to_id":338,"start_date":"2017-11-11","description":"","custom_fields":[{"id":1,"name":"Subdivision","value":"EC"},{"id":4,"name":"Milepost","value":"0.022"},{"id":17,"name":"Train ID","value":"172-11"},{"id":16,"name":"Locomotive ID","value":"4057"},{"id":130,"name":"Impact","value":""},{"id":150,"name":"Time of Event (Mountain Time)","value":"14:06:57"},{"id":151,"name":"Denver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6"/>
        <v>start /low /b %USERPROFILE%\Documents\GitHub\eaglep3\Utilities\DownloadLogsFromS3.py --loco 4057 --day 2017-11-11</v>
      </c>
      <c r="AN88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8"/>
        <v>https://d0f6bd738d7f1b3e5a7ca70fe4ff75f0.us-east-1.aws.found.io/app/kibana#/discover/Steve-Slow-Train-Analysis-(2080s-and-2083s)?_g=(refreshInterval:(display:Off,pause:!f,section:0,value:0),time:(from:'2017-11-11T12:23:19-0700',mode:absolute,to:'2017-11-11T15:06:57-0700'))&amp;_a=(columns:!('Message%20ID',Summary),filters:!(),index:'emp_*',interval:auto,query:(query_string:(analyze_wildcard:!t,query:'%22rtdc.l.rtdc.4057%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677</v>
      </c>
      <c r="B89" s="7">
        <v>4026</v>
      </c>
      <c r="C89" s="21" t="s">
        <v>192</v>
      </c>
      <c r="D89" s="21" t="s">
        <v>954</v>
      </c>
      <c r="E89" s="13">
        <v>43050.528310185182</v>
      </c>
      <c r="F89" s="13">
        <v>43050.531435185185</v>
      </c>
      <c r="G89" s="7">
        <v>65</v>
      </c>
      <c r="H89" s="21" t="s">
        <v>955</v>
      </c>
      <c r="I89" s="13">
        <v>43050.556423611109</v>
      </c>
      <c r="J89" s="7">
        <v>0</v>
      </c>
      <c r="K89" s="89" t="str">
        <f t="shared" si="33"/>
        <v>4025/4026</v>
      </c>
      <c r="L89" s="185" t="str">
        <f>VLOOKUP(A89,'Trips&amp;Operators'!$C$1:$G$99911,5,FALSE)</f>
        <v>HOLCOMB KAMDEN</v>
      </c>
      <c r="M89" s="6">
        <f t="shared" si="34"/>
        <v>2.4988425924675539E-2</v>
      </c>
      <c r="N89" s="7">
        <f t="shared" si="29"/>
        <v>35.983333331532776</v>
      </c>
      <c r="O89" s="7"/>
      <c r="P89" s="7"/>
      <c r="Q89" s="22"/>
      <c r="R89" s="174"/>
      <c r="S89" s="221">
        <f t="shared" si="49"/>
        <v>1</v>
      </c>
      <c r="T89" s="174" t="str">
        <f t="shared" si="3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6"/>
        <v>https://d0f6bd738d7f1b3e5a7ca70fe4ff75f0.us-east-1.aws.found.io/app/kibana#/discover/Steve-Slow-Train-Analysis-(2080s-and-2083s)?_g=(refreshInterval:(display:Off,pause:!f,section:0,value:0),time:(from:'2017-11-11T11:40:46-0700',mode:absolute,to:'2017-11-11T14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204" t="str">
        <f>IF(AA89&lt;VLOOKUP(AG89,Variables!$AC$3:$AD$8,2,FALSE),"Y","N")</f>
        <v>N</v>
      </c>
      <c r="X89" s="204">
        <f t="shared" si="32"/>
        <v>1</v>
      </c>
      <c r="Y89" s="204">
        <f t="shared" si="37"/>
        <v>4.8800000000000003E-2</v>
      </c>
      <c r="Z89" s="204">
        <f t="shared" si="38"/>
        <v>23.319199999999999</v>
      </c>
      <c r="AA89" s="204">
        <f t="shared" si="39"/>
        <v>23.270399999999999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40"/>
        <v>173</v>
      </c>
      <c r="AE89" s="77" t="str">
        <f t="shared" si="41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89" s="74" t="str">
        <f t="shared" si="42"/>
        <v>"C:\Program Files (x86)\AstroGrep\AstroGrep.exe" /e /r /s /spath="%USERPROFILE%\AppData\Local\Temp\OnboardLogs" /stypes="app*4026*20171111*" /stext=" 20:.+((SYSTEM_STATE.+slice.+state.+changed )|(ment ac)|(multiple cpu faults)|(system.+state.+changed )|(\[timeout)|(PRM\|1\|D)|(kpr)|(kdp)|(train st.+moving)|(\|lc)|(penalty))"</v>
      </c>
      <c r="AG89" s="182" t="str">
        <f t="shared" si="43"/>
        <v>EC</v>
      </c>
      <c r="AH89" s="78" t="str">
        <f t="shared" si="44"/>
        <v>"%USERPROFILE%\Documents\GitHub\eaglep3\Utilities\RefineRTDCRunTimes.py" --tripid 173-11 --locoid 4026 --swversion DE.1.0.9.0 --startMP 204:488 --initTime 2017-11-11T12:40:46 --startdatetime 2017-11-11T12:45:16 --delay 65 --endMP 204:233192 --enddatetime 2017-11-11T13:21:15 --enforcementcount 0 &gt;&gt;%USERPROFILE%\Documents\GitHub\eaglep3-reporting\EC\2017-11-11-refined-times.txt</v>
      </c>
      <c r="AI8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{"issue":{"subject":"","project_id":79,"tracker_id":40,"status_id":1,"priority_id":2,"assigned_to_id":338,"start_date":"2017-11-11","description":"","custom_fields":[{"id":1,"name":"Subdivision","value":"EC"},{"id":4,"name":"Milepost","value":"23.3192"},{"id":17,"name":"Train ID","value":"173-11"},{"id":16,"name":"Locomotive ID","value":"4026"},{"id":130,"name":"Impact","value":""},{"id":150,"name":"Time of Event (Mountain Time)","value":"13:21:15"},{"id":151,"name":"Denver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6"/>
        <v>start /low /b %USERPROFILE%\Documents\GitHub\eaglep3\Utilities\DownloadLogsFromS3.py --loco 4026 --day 2017-11-11</v>
      </c>
      <c r="AN89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8"/>
        <v>https://d0f6bd738d7f1b3e5a7ca70fe4ff75f0.us-east-1.aws.found.io/app/kibana#/discover/Steve-Slow-Train-Analysis-(2080s-and-2083s)?_g=(refreshInterval:(display:Off,pause:!f,section:0,value:0),time:(from:'2017-11-11T11:40:46-0700',mode:absolute,to:'2017-11-11T14:21:15-0700'))&amp;_a=(columns:!('Message%20ID',Summary),filters:!(),index:'emp_*',interval:auto,query:(query_string:(analyze_wildcard:!t,query:'%22rtdc.l.rtdc.4026%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791</v>
      </c>
      <c r="B90" s="7">
        <v>4025</v>
      </c>
      <c r="C90" s="21" t="s">
        <v>192</v>
      </c>
      <c r="D90" s="21" t="s">
        <v>625</v>
      </c>
      <c r="E90" s="13">
        <v>43050.566388888888</v>
      </c>
      <c r="F90" s="13">
        <v>43050.571122685185</v>
      </c>
      <c r="G90" s="7">
        <v>96</v>
      </c>
      <c r="H90" s="21" t="s">
        <v>956</v>
      </c>
      <c r="I90" s="13">
        <v>43050.599351851852</v>
      </c>
      <c r="J90" s="7">
        <v>0</v>
      </c>
      <c r="K90" s="89" t="str">
        <f t="shared" si="33"/>
        <v>4025/4026</v>
      </c>
      <c r="L90" s="185" t="str">
        <f>VLOOKUP(A90,'Trips&amp;Operators'!$C$1:$G$99911,5,FALSE)</f>
        <v>HOLCOMB KAMDEN</v>
      </c>
      <c r="M90" s="6">
        <f t="shared" si="34"/>
        <v>2.8229166666278616E-2</v>
      </c>
      <c r="N90" s="7">
        <f t="shared" si="29"/>
        <v>40.649999999441206</v>
      </c>
      <c r="O90" s="7"/>
      <c r="P90" s="7"/>
      <c r="Q90" s="22"/>
      <c r="R90" s="174"/>
      <c r="S90" s="221">
        <f t="shared" si="49"/>
        <v>1</v>
      </c>
      <c r="T90" s="174" t="str">
        <f t="shared" si="3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6"/>
        <v>https://d0f6bd738d7f1b3e5a7ca70fe4ff75f0.us-east-1.aws.found.io/app/kibana#/discover/Steve-Slow-Train-Analysis-(2080s-and-2083s)?_g=(refreshInterval:(display:Off,pause:!f,section:0,value:0),time:(from:'2017-11-11T12:35:36-0700',mode:absolute,to:'2017-11-11T15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204" t="str">
        <f>IF(AA90&lt;VLOOKUP(AG90,Variables!$AC$3:$AD$8,2,FALSE),"Y","N")</f>
        <v>N</v>
      </c>
      <c r="X90" s="204">
        <f t="shared" si="32"/>
        <v>1</v>
      </c>
      <c r="Y90" s="204">
        <f t="shared" si="37"/>
        <v>23.285900000000002</v>
      </c>
      <c r="Z90" s="204">
        <f t="shared" si="38"/>
        <v>2.3099999999999999E-2</v>
      </c>
      <c r="AA90" s="204">
        <f t="shared" si="39"/>
        <v>23.262800000000002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40"/>
        <v>174</v>
      </c>
      <c r="AE90" s="77" t="str">
        <f t="shared" si="41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90" s="74" t="str">
        <f t="shared" si="42"/>
        <v>"C:\Program Files (x86)\AstroGrep\AstroGrep.exe" /e /r /s /spath="%USERPROFILE%\AppData\Local\Temp\OnboardLogs" /stypes="app*4025*20171111*" /stext=" 21:.+((SYSTEM_STATE.+slice.+state.+changed )|(ment ac)|(multiple cpu faults)|(system.+state.+changed )|(\[timeout)|(PRM\|1\|D)|(kpr)|(kdp)|(train st.+moving)|(\|lc)|(penalty))"</v>
      </c>
      <c r="AG90" s="182" t="str">
        <f t="shared" si="43"/>
        <v>EC</v>
      </c>
      <c r="AH90" s="78" t="str">
        <f t="shared" si="44"/>
        <v>"%USERPROFILE%\Documents\GitHub\eaglep3\Utilities\RefineRTDCRunTimes.py" --tripid 174-11 --locoid 4025 --swversion DE.1.0.9.0 --startMP 204:232859 --initTime 2017-11-11T13:35:36 --startdatetime 2017-11-11T13:42:25 --delay 96 --endMP 204:231 --enddatetime 2017-11-11T14:23:04 --enforcementcount 0 &gt;&gt;%USERPROFILE%\Documents\GitHub\eaglep3-reporting\EC\2017-11-11-refined-times.txt</v>
      </c>
      <c r="AI9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{"issue":{"subject":"","project_id":79,"tracker_id":40,"status_id":1,"priority_id":2,"assigned_to_id":338,"start_date":"2017-11-11","description":"","custom_fields":[{"id":1,"name":"Subdivision","value":"EC"},{"id":4,"name":"Milepost","value":"0.0231"},{"id":17,"name":"Train ID","value":"174-11"},{"id":16,"name":"Locomotive ID","value":"4025"},{"id":130,"name":"Impact","value":""},{"id":150,"name":"Time of Event (Mountain Time)","value":"14:23:04"},{"id":151,"name":"Denver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6"/>
        <v>start /low /b %USERPROFILE%\Documents\GitHub\eaglep3\Utilities\DownloadLogsFromS3.py --loco 4025 --day 2017-11-11</v>
      </c>
      <c r="AN90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8"/>
        <v>https://d0f6bd738d7f1b3e5a7ca70fe4ff75f0.us-east-1.aws.found.io/app/kibana#/discover/Steve-Slow-Train-Analysis-(2080s-and-2083s)?_g=(refreshInterval:(display:Off,pause:!f,section:0,value:0),time:(from:'2017-11-11T12:35:36-0700',mode:absolute,to:'2017-11-11T15:23:04-0700'))&amp;_a=(columns:!('Message%20ID',Summary),filters:!(),index:'emp_*',interval:auto,query:(query_string:(analyze_wildcard:!t,query:'%22rtdc.l.rtdc.4025%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784</v>
      </c>
      <c r="B91" s="7">
        <v>4010</v>
      </c>
      <c r="C91" s="21" t="s">
        <v>192</v>
      </c>
      <c r="D91" s="21" t="s">
        <v>447</v>
      </c>
      <c r="E91" s="13">
        <v>43050.53875</v>
      </c>
      <c r="F91" s="13">
        <v>43050.541898148149</v>
      </c>
      <c r="G91" s="7">
        <v>63</v>
      </c>
      <c r="H91" s="21" t="s">
        <v>957</v>
      </c>
      <c r="I91" s="13">
        <v>43050.568043981482</v>
      </c>
      <c r="J91" s="7">
        <v>0</v>
      </c>
      <c r="K91" s="89" t="str">
        <f t="shared" si="33"/>
        <v>4009/4010</v>
      </c>
      <c r="L91" s="185" t="str">
        <f>VLOOKUP(A91,'Trips&amp;Operators'!$C$1:$G$99911,5,FALSE)</f>
        <v>DAVIS MICHAEL</v>
      </c>
      <c r="M91" s="6">
        <f t="shared" si="34"/>
        <v>2.6145833333430346E-2</v>
      </c>
      <c r="N91" s="7">
        <f t="shared" si="29"/>
        <v>37.650000000139698</v>
      </c>
      <c r="O91" s="7"/>
      <c r="P91" s="7"/>
      <c r="Q91" s="22"/>
      <c r="R91" s="174"/>
      <c r="S91" s="221">
        <f t="shared" si="49"/>
        <v>1</v>
      </c>
      <c r="T91" s="174" t="str">
        <f t="shared" si="3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6"/>
        <v>https://d0f6bd738d7f1b3e5a7ca70fe4ff75f0.us-east-1.aws.found.io/app/kibana#/discover/Steve-Slow-Train-Analysis-(2080s-and-2083s)?_g=(refreshInterval:(display:Off,pause:!f,section:0,value:0),time:(from:'2017-11-11T11:55:48-0700',mode:absolute,to:'2017-11-11T14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04" t="str">
        <f>IF(AA91&lt;VLOOKUP(AG91,Variables!$AC$3:$AD$8,2,FALSE),"Y","N")</f>
        <v>N</v>
      </c>
      <c r="X91" s="204">
        <f t="shared" ref="X91:X122" si="50">VALUE(LEFT(AD91,4))-VALUE(LEFT(AD90,4))</f>
        <v>1</v>
      </c>
      <c r="Y91" s="204">
        <f t="shared" si="37"/>
        <v>5.1700000000000003E-2</v>
      </c>
      <c r="Z91" s="204">
        <f t="shared" si="38"/>
        <v>23.33</v>
      </c>
      <c r="AA91" s="204">
        <f t="shared" si="39"/>
        <v>23.278299999999998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40"/>
        <v>175</v>
      </c>
      <c r="AE91" s="77" t="str">
        <f t="shared" si="41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91" s="74" t="str">
        <f t="shared" si="42"/>
        <v>"C:\Program Files (x86)\AstroGrep\AstroGrep.exe" /e /r /s /spath="%USERPROFILE%\AppData\Local\Temp\OnboardLogs" /stypes="app*4010*20171111*" /stext=" 20:.+((SYSTEM_STATE.+slice.+state.+changed )|(ment ac)|(multiple cpu faults)|(system.+state.+changed )|(\[timeout)|(PRM\|1\|D)|(kpr)|(kdp)|(train st.+moving)|(\|lc)|(penalty))"</v>
      </c>
      <c r="AG91" s="182" t="str">
        <f t="shared" si="43"/>
        <v>EC</v>
      </c>
      <c r="AH91" s="78" t="str">
        <f t="shared" si="44"/>
        <v>"%USERPROFILE%\Documents\GitHub\eaglep3\Utilities\RefineRTDCRunTimes.py" --tripid 175-11 --locoid 4010 --swversion DE.1.0.9.0 --startMP 204:517 --initTime 2017-11-11T12:55:48 --startdatetime 2017-11-11T13:00:20 --delay 63 --endMP 204:233300 --enddatetime 2017-11-11T13:37:59 --enforcementcount 0 &gt;&gt;%USERPROFILE%\Documents\GitHub\eaglep3-reporting\EC\2017-11-11-refined-times.txt</v>
      </c>
      <c r="AI9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{"issue":{"subject":"","project_id":79,"tracker_id":40,"status_id":1,"priority_id":2,"assigned_to_id":338,"start_date":"2017-11-11","description":"","custom_fields":[{"id":1,"name":"Subdivision","value":"EC"},{"id":4,"name":"Milepost","value":"23.33"},{"id":17,"name":"Train ID","value":"175-11"},{"id":16,"name":"Locomotive ID","value":"4010"},{"id":130,"name":"Impact","value":""},{"id":150,"name":"Time of Event (Mountain Time)","value":"13:37:59"},{"id":151,"name":"Denver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6"/>
        <v>start /low /b %USERPROFILE%\Documents\GitHub\eaglep3\Utilities\DownloadLogsFromS3.py --loco 4010 --day 2017-11-11</v>
      </c>
      <c r="AN91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8"/>
        <v>https://d0f6bd738d7f1b3e5a7ca70fe4ff75f0.us-east-1.aws.found.io/app/kibana#/discover/Steve-Slow-Train-Analysis-(2080s-and-2083s)?_g=(refreshInterval:(display:Off,pause:!f,section:0,value:0),time:(from:'2017-11-11T11:55:48-0700',mode:absolute,to:'2017-11-11T14:37:59-0700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793</v>
      </c>
      <c r="B92" s="7">
        <v>4009</v>
      </c>
      <c r="C92" s="21" t="s">
        <v>192</v>
      </c>
      <c r="D92" s="21" t="s">
        <v>958</v>
      </c>
      <c r="E92" s="13">
        <v>43050.579317129632</v>
      </c>
      <c r="F92" s="13">
        <v>43050.581666666665</v>
      </c>
      <c r="G92" s="7">
        <v>73</v>
      </c>
      <c r="H92" s="21" t="s">
        <v>956</v>
      </c>
      <c r="I92" s="13">
        <v>43050.613217592596</v>
      </c>
      <c r="J92" s="7">
        <v>0</v>
      </c>
      <c r="K92" s="89" t="str">
        <f t="shared" si="33"/>
        <v>4009/4010</v>
      </c>
      <c r="L92" s="185" t="str">
        <f>VLOOKUP(A92,'Trips&amp;Operators'!$C$1:$G$99911,5,FALSE)</f>
        <v>DAVIS MICHAEL</v>
      </c>
      <c r="M92" s="6">
        <f t="shared" si="34"/>
        <v>3.1550925930787344E-2</v>
      </c>
      <c r="N92" s="7">
        <f t="shared" si="29"/>
        <v>45.433333340333775</v>
      </c>
      <c r="O92" s="7"/>
      <c r="P92" s="7"/>
      <c r="Q92" s="22"/>
      <c r="R92" s="174" t="s">
        <v>1097</v>
      </c>
      <c r="S92" s="221">
        <f t="shared" si="49"/>
        <v>1</v>
      </c>
      <c r="T92" s="174" t="str">
        <f t="shared" si="3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6"/>
        <v>https://d0f6bd738d7f1b3e5a7ca70fe4ff75f0.us-east-1.aws.found.io/app/kibana#/discover/Steve-Slow-Train-Analysis-(2080s-and-2083s)?_g=(refreshInterval:(display:Off,pause:!f,section:0,value:0),time:(from:'2017-11-11T12:54:13-0700',mode:absolute,to:'2017-11-11T15:43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04" t="str">
        <f>IF(AA92&lt;VLOOKUP(AG92,Variables!$AC$3:$AD$8,2,FALSE),"Y","N")</f>
        <v>N</v>
      </c>
      <c r="X92" s="204">
        <f t="shared" si="50"/>
        <v>1</v>
      </c>
      <c r="Y92" s="204">
        <f t="shared" si="37"/>
        <v>23.298300000000001</v>
      </c>
      <c r="Z92" s="204">
        <f t="shared" si="38"/>
        <v>2.3099999999999999E-2</v>
      </c>
      <c r="AA92" s="204">
        <f t="shared" si="39"/>
        <v>23.275200000000002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40"/>
        <v>176</v>
      </c>
      <c r="AE92" s="77" t="str">
        <f t="shared" si="41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92" s="74" t="str">
        <f t="shared" si="42"/>
        <v>"C:\Program Files (x86)\AstroGrep\AstroGrep.exe" /e /r /s /spath="%USERPROFILE%\AppData\Local\Temp\OnboardLogs" /stypes="app*4009*20171111*" /stext=" 21:.+((SYSTEM_STATE.+slice.+state.+changed )|(ment ac)|(multiple cpu faults)|(system.+state.+changed )|(\[timeout)|(PRM\|1\|D)|(kpr)|(kdp)|(train st.+moving)|(\|lc)|(penalty))"</v>
      </c>
      <c r="AG92" s="182" t="str">
        <f t="shared" si="43"/>
        <v>EC</v>
      </c>
      <c r="AH92" s="78" t="str">
        <f t="shared" si="44"/>
        <v>"%USERPROFILE%\Documents\GitHub\eaglep3\Utilities\RefineRTDCRunTimes.py" --tripid 176-11 --locoid 4009 --swversion DE.1.0.9.0 --startMP 204:232983 --initTime 2017-11-11T13:54:13 --startdatetime 2017-11-11T13:57:36 --delay 73 --endMP 204:231 --enddatetime 2017-11-11T14:43:02 --enforcementcount 0 &gt;&gt;%USERPROFILE%\Documents\GitHub\eaglep3-reporting\EC\2017-11-11-refined-times.txt</v>
      </c>
      <c r="AI92" s="96" t="str">
        <f t="shared" si="45"/>
        <v>echo {"issue":{"subject":"No PTC penalty activity found (56997) - ATC issue?","project_id":79,"tracker_id":40,"status_id":1,"priority_id":2,"assigned_to_id":338,"start_date":"2017-11-11","description":"","custom_fields":[{"id":1,"name":"Subdivision","value":"EC"},{"id":4,"name":"Milepost","value":"0.0231"},{"id":17,"name":"Train ID","value":"176-11"},{"id":16,"name":"Locomotive ID","value":"4009"},{"id":130,"name":"Impact","value":""},{"id":150,"name":"Time of Event (Mountain Time)","value":"14:43:02"},{"id":151,"name":"Denver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6"/>
        <v>start /low /b %USERPROFILE%\Documents\GitHub\eaglep3\Utilities\DownloadLogsFromS3.py --loco 4009 --day 2017-11-11</v>
      </c>
      <c r="AN92" s="151" t="str">
        <f t="shared" si="47"/>
        <v>echo {"issue":{"subject":"No PTC penalty activity found (56997) - ATC issue?","project_id":30,"tracker_id":4,"status_id":1,"priority_id":1,"assigned_to_id":10,"start_date":"2017-11-11","description":"","custom_fields":[{"id":30,"name":"Category","value":"Issue"},{"id":3,"name":"Functional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21:43:02"},{"id":29,"name":"Sharepoint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8"/>
        <v>https://d0f6bd738d7f1b3e5a7ca70fe4ff75f0.us-east-1.aws.found.io/app/kibana#/discover/Steve-Slow-Train-Analysis-(2080s-and-2083s)?_g=(refreshInterval:(display:Off,pause:!f,section:0,value:0),time:(from:'2017-11-11T12:54:13-0700',mode:absolute,to:'2017-11-11T15:43:02-0700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787</v>
      </c>
      <c r="B93" s="7">
        <v>4022</v>
      </c>
      <c r="C93" s="21" t="s">
        <v>192</v>
      </c>
      <c r="D93" s="21" t="s">
        <v>528</v>
      </c>
      <c r="E93" s="13">
        <v>43050.54828703704</v>
      </c>
      <c r="F93" s="13">
        <v>43050.552430555559</v>
      </c>
      <c r="G93" s="7">
        <v>71</v>
      </c>
      <c r="H93" s="21" t="s">
        <v>470</v>
      </c>
      <c r="I93" s="13">
        <v>43050.578298611108</v>
      </c>
      <c r="J93" s="7">
        <v>0</v>
      </c>
      <c r="K93" s="89" t="str">
        <f t="shared" si="33"/>
        <v>4021/4022</v>
      </c>
      <c r="L93" s="185" t="str">
        <f>VLOOKUP(A93,'Trips&amp;Operators'!$C$1:$G$99911,5,FALSE)</f>
        <v>SAFIEF AEIMEN</v>
      </c>
      <c r="M93" s="6">
        <f t="shared" si="34"/>
        <v>2.586805554892635E-2</v>
      </c>
      <c r="N93" s="7">
        <f t="shared" si="29"/>
        <v>37.249999990453944</v>
      </c>
      <c r="O93" s="7"/>
      <c r="P93" s="7"/>
      <c r="Q93" s="22"/>
      <c r="R93" s="174"/>
      <c r="S93" s="221">
        <f t="shared" si="49"/>
        <v>1</v>
      </c>
      <c r="T93" s="174" t="str">
        <f t="shared" si="3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6"/>
        <v>https://d0f6bd738d7f1b3e5a7ca70fe4ff75f0.us-east-1.aws.found.io/app/kibana#/discover/Steve-Slow-Train-Analysis-(2080s-and-2083s)?_g=(refreshInterval:(display:Off,pause:!f,section:0,value:0),time:(from:'2017-11-11T12:09:32-0700',mode:absolute,to:'2017-11-11T14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204" t="str">
        <f>IF(AA93&lt;VLOOKUP(AG93,Variables!$AC$3:$AD$8,2,FALSE),"Y","N")</f>
        <v>N</v>
      </c>
      <c r="X93" s="204">
        <f t="shared" si="50"/>
        <v>1</v>
      </c>
      <c r="Y93" s="204">
        <f t="shared" si="37"/>
        <v>5.2900000000000003E-2</v>
      </c>
      <c r="Z93" s="204">
        <f t="shared" si="38"/>
        <v>23.325900000000001</v>
      </c>
      <c r="AA93" s="204">
        <f t="shared" si="39"/>
        <v>23.273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40"/>
        <v>177</v>
      </c>
      <c r="AE93" s="77" t="str">
        <f t="shared" si="41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93" s="74" t="str">
        <f t="shared" si="42"/>
        <v>"C:\Program Files (x86)\AstroGrep\AstroGrep.exe" /e /r /s /spath="%USERPROFILE%\AppData\Local\Temp\OnboardLogs" /stypes="app*4022*20171111*" /stext=" 20:.+((SYSTEM_STATE.+slice.+state.+changed )|(ment ac)|(multiple cpu faults)|(system.+state.+changed )|(\[timeout)|(PRM\|1\|D)|(kpr)|(kdp)|(train st.+moving)|(\|lc)|(penalty))"</v>
      </c>
      <c r="AG93" s="182" t="str">
        <f t="shared" si="43"/>
        <v>EC</v>
      </c>
      <c r="AH93" s="78" t="str">
        <f t="shared" si="44"/>
        <v>"%USERPROFILE%\Documents\GitHub\eaglep3\Utilities\RefineRTDCRunTimes.py" --tripid 177-11 --locoid 4022 --swversion DE.1.0.9.0 --startMP 204:529 --initTime 2017-11-11T13:09:32 --startdatetime 2017-11-11T13:15:30 --delay 71 --endMP 204:233259 --enddatetime 2017-11-11T13:52:45 --enforcementcount 0 &gt;&gt;%USERPROFILE%\Documents\GitHub\eaglep3-reporting\EC\2017-11-11-refined-times.txt</v>
      </c>
      <c r="AI93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{"issue":{"subject":"","project_id":79,"tracker_id":40,"status_id":1,"priority_id":2,"assigned_to_id":338,"start_date":"2017-11-11","description":"","custom_fields":[{"id":1,"name":"Subdivision","value":"EC"},{"id":4,"name":"Milepost","value":"23.3259"},{"id":17,"name":"Train ID","value":"177-11"},{"id":16,"name":"Locomotive ID","value":"4022"},{"id":130,"name":"Impact","value":""},{"id":150,"name":"Time of Event (Mountain Time)","value":"13:52:45"},{"id":151,"name":"Denver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6"/>
        <v>start /low /b %USERPROFILE%\Documents\GitHub\eaglep3\Utilities\DownloadLogsFromS3.py --loco 4022 --day 2017-11-11</v>
      </c>
      <c r="AN93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8"/>
        <v>https://d0f6bd738d7f1b3e5a7ca70fe4ff75f0.us-east-1.aws.found.io/app/kibana#/discover/Steve-Slow-Train-Analysis-(2080s-and-2083s)?_g=(refreshInterval:(display:Off,pause:!f,section:0,value:0),time:(from:'2017-11-11T12:09:32-0700',mode:absolute,to:'2017-11-11T14:52:45-0700'))&amp;_a=(columns:!('Message%20ID',Summary),filters:!(),index:'emp_*',interval:auto,query:(query_string:(analyze_wildcard:!t,query:'%22rtdc.l.rtdc.4022%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795</v>
      </c>
      <c r="B94" s="7">
        <v>4021</v>
      </c>
      <c r="C94" s="21" t="s">
        <v>192</v>
      </c>
      <c r="D94" s="21" t="s">
        <v>904</v>
      </c>
      <c r="E94" s="13">
        <v>43050.582152777781</v>
      </c>
      <c r="F94" s="13">
        <v>43050.592002314814</v>
      </c>
      <c r="G94" s="7">
        <v>115</v>
      </c>
      <c r="H94" s="21" t="s">
        <v>914</v>
      </c>
      <c r="I94" s="13">
        <v>43050.619189814817</v>
      </c>
      <c r="J94" s="7">
        <v>0</v>
      </c>
      <c r="K94" s="89" t="str">
        <f t="shared" si="33"/>
        <v>4021/4022</v>
      </c>
      <c r="L94" s="185" t="str">
        <f>VLOOKUP(A94,'Trips&amp;Operators'!$C$1:$G$99911,5,FALSE)</f>
        <v>SAFIEF AEIMEN</v>
      </c>
      <c r="M94" s="6">
        <f t="shared" si="34"/>
        <v>2.718750000349246E-2</v>
      </c>
      <c r="N94" s="7">
        <f t="shared" si="29"/>
        <v>39.150000005029142</v>
      </c>
      <c r="O94" s="7"/>
      <c r="P94" s="7"/>
      <c r="Q94" s="22"/>
      <c r="R94" s="174"/>
      <c r="S94" s="221">
        <f t="shared" si="49"/>
        <v>1</v>
      </c>
      <c r="T94" s="174" t="str">
        <f t="shared" si="3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6"/>
        <v>https://d0f6bd738d7f1b3e5a7ca70fe4ff75f0.us-east-1.aws.found.io/app/kibana#/discover/Steve-Slow-Train-Analysis-(2080s-and-2083s)?_g=(refreshInterval:(display:Off,pause:!f,section:0,value:0),time:(from:'2017-11-11T12:58:18-0700',mode:absolute,to:'2017-11-11T15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204" t="str">
        <f>IF(AA94&lt;VLOOKUP(AG94,Variables!$AC$3:$AD$8,2,FALSE),"Y","N")</f>
        <v>N</v>
      </c>
      <c r="X94" s="204">
        <f t="shared" si="50"/>
        <v>1</v>
      </c>
      <c r="Y94" s="204">
        <f t="shared" si="37"/>
        <v>23.293600000000001</v>
      </c>
      <c r="Z94" s="204">
        <f t="shared" si="38"/>
        <v>1.8700000000000001E-2</v>
      </c>
      <c r="AA94" s="204">
        <f t="shared" si="39"/>
        <v>23.274900000000002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40"/>
        <v>178</v>
      </c>
      <c r="AE94" s="77" t="str">
        <f t="shared" si="41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94" s="74" t="str">
        <f t="shared" si="42"/>
        <v>"C:\Program Files (x86)\AstroGrep\AstroGrep.exe" /e /r /s /spath="%USERPROFILE%\AppData\Local\Temp\OnboardLogs" /stypes="app*4021*20171111*" /stext=" 21:.+((SYSTEM_STATE.+slice.+state.+changed )|(ment ac)|(multiple cpu faults)|(system.+state.+changed )|(\[timeout)|(PRM\|1\|D)|(kpr)|(kdp)|(train st.+moving)|(\|lc)|(penalty))"</v>
      </c>
      <c r="AG94" s="182" t="str">
        <f t="shared" si="43"/>
        <v>EC</v>
      </c>
      <c r="AH94" s="78" t="str">
        <f t="shared" si="44"/>
        <v>"%USERPROFILE%\Documents\GitHub\eaglep3\Utilities\RefineRTDCRunTimes.py" --tripid 178-11 --locoid 4021 --swversion DE.1.0.9.0 --startMP 204:232936 --initTime 2017-11-11T13:58:18 --startdatetime 2017-11-11T14:12:29 --delay 115 --endMP 204:187 --enddatetime 2017-11-11T14:51:38 --enforcementcount 0 &gt;&gt;%USERPROFILE%\Documents\GitHub\eaglep3-reporting\EC\2017-11-11-refined-times.txt</v>
      </c>
      <c r="AI9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{"issue":{"subject":"","project_id":79,"tracker_id":40,"status_id":1,"priority_id":2,"assigned_to_id":338,"start_date":"2017-11-11","description":"","custom_fields":[{"id":1,"name":"Subdivision","value":"EC"},{"id":4,"name":"Milepost","value":"0.0187"},{"id":17,"name":"Train ID","value":"178-11"},{"id":16,"name":"Locomotive ID","value":"4021"},{"id":130,"name":"Impact","value":""},{"id":150,"name":"Time of Event (Mountain Time)","value":"14:51:38"},{"id":151,"name":"Denver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6"/>
        <v>start /low /b %USERPROFILE%\Documents\GitHub\eaglep3\Utilities\DownloadLogsFromS3.py --loco 4021 --day 2017-11-11</v>
      </c>
      <c r="AN94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8"/>
        <v>https://d0f6bd738d7f1b3e5a7ca70fe4ff75f0.us-east-1.aws.found.io/app/kibana#/discover/Steve-Slow-Train-Analysis-(2080s-and-2083s)?_g=(refreshInterval:(display:Off,pause:!f,section:0,value:0),time:(from:'2017-11-11T12:58:18-0700',mode:absolute,to:'2017-11-11T15:51:38-0700'))&amp;_a=(columns:!('Message%20ID',Summary),filters:!(),index:'emp_*',interval:auto,query:(query_string:(analyze_wildcard:!t,query:'%22rtdc.l.rtdc.4021%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788</v>
      </c>
      <c r="B95" s="7">
        <v>4036</v>
      </c>
      <c r="C95" s="21" t="s">
        <v>192</v>
      </c>
      <c r="D95" s="21" t="s">
        <v>959</v>
      </c>
      <c r="E95" s="13">
        <v>43050.55809027778</v>
      </c>
      <c r="F95" s="13">
        <v>43050.562685185185</v>
      </c>
      <c r="G95" s="7">
        <v>53</v>
      </c>
      <c r="H95" s="21" t="s">
        <v>598</v>
      </c>
      <c r="I95" s="13">
        <v>43050.588067129633</v>
      </c>
      <c r="J95" s="7">
        <v>0</v>
      </c>
      <c r="K95" s="89" t="str">
        <f t="shared" si="33"/>
        <v>4035/4036</v>
      </c>
      <c r="L95" s="185" t="str">
        <f>VLOOKUP(A95,'Trips&amp;Operators'!$C$1:$G$99911,5,FALSE)</f>
        <v>GUZMAN DANNY</v>
      </c>
      <c r="M95" s="6">
        <f t="shared" si="34"/>
        <v>2.5381944447872229E-2</v>
      </c>
      <c r="N95" s="7">
        <f t="shared" si="29"/>
        <v>36.55000000493601</v>
      </c>
      <c r="O95" s="7"/>
      <c r="P95" s="7"/>
      <c r="Q95" s="22"/>
      <c r="R95" s="174"/>
      <c r="S95" s="221">
        <f t="shared" si="49"/>
        <v>1</v>
      </c>
      <c r="T95" s="174" t="str">
        <f t="shared" si="3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6"/>
        <v>https://d0f6bd738d7f1b3e5a7ca70fe4ff75f0.us-east-1.aws.found.io/app/kibana#/discover/Steve-Slow-Train-Analysis-(2080s-and-2083s)?_g=(refreshInterval:(display:Off,pause:!f,section:0,value:0),time:(from:'2017-11-11T12:23:39-0700',mode:absolute,to:'2017-11-11T15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5" s="204" t="str">
        <f>IF(AA95&lt;VLOOKUP(AG95,Variables!$AC$3:$AD$8,2,FALSE),"Y","N")</f>
        <v>N</v>
      </c>
      <c r="X95" s="204">
        <f t="shared" si="50"/>
        <v>1</v>
      </c>
      <c r="Y95" s="204">
        <f t="shared" si="37"/>
        <v>5.7299999999999997E-2</v>
      </c>
      <c r="Z95" s="204">
        <f t="shared" si="38"/>
        <v>23.3247</v>
      </c>
      <c r="AA95" s="204">
        <f t="shared" si="39"/>
        <v>23.267399999999999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40"/>
        <v>179</v>
      </c>
      <c r="AE95" s="77" t="str">
        <f t="shared" si="41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95" s="74" t="str">
        <f t="shared" si="42"/>
        <v>"C:\Program Files (x86)\AstroGrep\AstroGrep.exe" /e /r /s /spath="%USERPROFILE%\AppData\Local\Temp\OnboardLogs" /stypes="app*4036*20171111*" /stext=" 21:.+((SYSTEM_STATE.+slice.+state.+changed )|(ment ac)|(multiple cpu faults)|(system.+state.+changed )|(\[timeout)|(PRM\|1\|D)|(kpr)|(kdp)|(train st.+moving)|(\|lc)|(penalty))"</v>
      </c>
      <c r="AG95" s="182" t="str">
        <f t="shared" si="43"/>
        <v>EC</v>
      </c>
      <c r="AH95" s="78" t="str">
        <f t="shared" si="44"/>
        <v>"%USERPROFILE%\Documents\GitHub\eaglep3\Utilities\RefineRTDCRunTimes.py" --tripid 179-11 --locoid 4036 --swversion DE.1.0.9.0 --startMP 204:573 --initTime 2017-11-11T13:23:39 --startdatetime 2017-11-11T13:30:16 --delay 53 --endMP 204:233247 --enddatetime 2017-11-11T14:06:49 --enforcementcount 0 &gt;&gt;%USERPROFILE%\Documents\GitHub\eaglep3-reporting\EC\2017-11-11-refined-times.txt</v>
      </c>
      <c r="AI9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{"issue":{"subject":"","project_id":79,"tracker_id":40,"status_id":1,"priority_id":2,"assigned_to_id":338,"start_date":"2017-11-11","description":"","custom_fields":[{"id":1,"name":"Subdivision","value":"EC"},{"id":4,"name":"Milepost","value":"23.3247"},{"id":17,"name":"Train ID","value":"179-11"},{"id":16,"name":"Locomotive ID","value":"4036"},{"id":130,"name":"Impact","value":""},{"id":150,"name":"Time of Event (Mountain Time)","value":"14:06:49"},{"id":151,"name":"Denver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6"/>
        <v>start /low /b %USERPROFILE%\Documents\GitHub\eaglep3\Utilities\DownloadLogsFromS3.py --loco 4036 --day 2017-11-11</v>
      </c>
      <c r="AN95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8"/>
        <v>https://d0f6bd738d7f1b3e5a7ca70fe4ff75f0.us-east-1.aws.found.io/app/kibana#/discover/Steve-Slow-Train-Analysis-(2080s-and-2083s)?_g=(refreshInterval:(display:Off,pause:!f,section:0,value:0),time:(from:'2017-11-11T12:23:39-0700',mode:absolute,to:'2017-11-11T15:06:49-0700'))&amp;_a=(columns:!('Message%20ID',Summary),filters:!(),index:'emp_*',interval:auto,query:(query_string:(analyze_wildcard:!t,query:'%22rtdc.l.rtdc.4036%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798</v>
      </c>
      <c r="B96" s="7">
        <v>4035</v>
      </c>
      <c r="C96" s="21" t="s">
        <v>192</v>
      </c>
      <c r="D96" s="21" t="s">
        <v>960</v>
      </c>
      <c r="E96" s="13">
        <v>43050.598749999997</v>
      </c>
      <c r="F96" s="13">
        <v>43050.602280092593</v>
      </c>
      <c r="G96" s="7">
        <v>49</v>
      </c>
      <c r="H96" s="21" t="s">
        <v>961</v>
      </c>
      <c r="I96" s="13">
        <v>43050.622881944444</v>
      </c>
      <c r="J96" s="7">
        <v>0</v>
      </c>
      <c r="K96" s="89" t="str">
        <f t="shared" si="33"/>
        <v>4035/4036</v>
      </c>
      <c r="L96" s="185" t="str">
        <f>VLOOKUP(A96,'Trips&amp;Operators'!$C$1:$G$99911,5,FALSE)</f>
        <v>GUZMAN DANNY</v>
      </c>
      <c r="M96" s="6">
        <f t="shared" si="34"/>
        <v>2.0601851851097308E-2</v>
      </c>
      <c r="N96" s="7"/>
      <c r="O96" s="7"/>
      <c r="P96" s="7">
        <f>24*60*SUM($M96:$M96)</f>
        <v>29.666666665580124</v>
      </c>
      <c r="Q96" s="22"/>
      <c r="R96" s="174" t="s">
        <v>656</v>
      </c>
      <c r="S96" s="221">
        <f t="shared" si="49"/>
        <v>0.75</v>
      </c>
      <c r="T96" s="174" t="str">
        <f t="shared" si="3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216" t="str">
        <f t="shared" si="36"/>
        <v>https://d0f6bd738d7f1b3e5a7ca70fe4ff75f0.us-east-1.aws.found.io/app/kibana#/discover/Steve-Slow-Train-Analysis-(2080s-and-2083s)?_g=(refreshInterval:(display:Off,pause:!f,section:0,value:0),time:(from:'2017-11-11T13:22:12-0700',mode:absolute,to:'2017-11-11T15:56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6" s="204" t="str">
        <f>IF(AA96&lt;VLOOKUP(AG96,Variables!$AC$3:$AD$8,2,FALSE),"Y","N")</f>
        <v>Y</v>
      </c>
      <c r="X96" s="204">
        <f t="shared" si="50"/>
        <v>1</v>
      </c>
      <c r="Y96" s="204">
        <f t="shared" si="37"/>
        <v>23.2926</v>
      </c>
      <c r="Z96" s="204">
        <f t="shared" si="38"/>
        <v>3.6775000000000002</v>
      </c>
      <c r="AA96" s="204">
        <f t="shared" si="39"/>
        <v>19.615099999999998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40"/>
        <v>180</v>
      </c>
      <c r="AE96" s="77" t="str">
        <f t="shared" si="41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96" s="74" t="str">
        <f t="shared" si="42"/>
        <v>"C:\Program Files (x86)\AstroGrep\AstroGrep.exe" /e /r /s /spath="%USERPROFILE%\AppData\Local\Temp\OnboardLogs" /stypes="app*4035*20171111*" /stext=" 21:.+((SYSTEM_STATE.+slice.+state.+changed )|(ment ac)|(multiple cpu faults)|(system.+state.+changed )|(\[timeout)|(PRM\|1\|D)|(kpr)|(kdp)|(train st.+moving)|(\|lc)|(penalty))"</v>
      </c>
      <c r="AG96" s="182" t="str">
        <f t="shared" si="43"/>
        <v>EC</v>
      </c>
      <c r="AH96" s="78" t="str">
        <f t="shared" si="44"/>
        <v>"%USERPROFILE%\Documents\GitHub\eaglep3\Utilities\RefineRTDCRunTimes.py" --tripid 180-11 --locoid 4035 --swversion DE.1.0.9.0 --startMP 204:232926 --initTime 2017-11-11T14:22:12 --startdatetime 2017-11-11T14:27:17 --delay 49 --endMP 204:36775 --enddatetime 2017-11-11T14:56:57 --enforcementcount 0 &gt;&gt;%USERPROFILE%\Documents\GitHub\eaglep3-reporting\EC\2017-11-11-refined-times.txt</v>
      </c>
      <c r="AI96" s="96" t="str">
        <f t="shared" si="45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drop","project_id":79,"tracker_id":40,"status_id":1,"priority_id":2,"assigned_to_id":338,"start_date":"2017-11-11","description":"","custom_fields":[{"id":1,"name":"Subdivision","value":"EC"},{"id":4,"name":"Milepost","value":"3.6775"},{"id":17,"name":"Train ID","value":"180-11"},{"id":16,"name":"Locomotive ID","value":"4035"},{"id":130,"name":"Impact","value":""},{"id":150,"name":"Time of Event (Mountain Time)","value":"14:56:57"},{"id":151,"name":"Denver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6"/>
        <v>start /low /b %USERPROFILE%\Documents\GitHub\eaglep3\Utilities\DownloadLogsFromS3.py --loco 4035 --day 2017-11-11</v>
      </c>
      <c r="AN96" s="151" t="str">
        <f t="shared" si="47"/>
        <v>echo {"issue":{"subject":"Wi-MAX data drop","project_id":30,"tracker_id":4,"status_id":1,"priority_id":1,"assigned_to_id":10,"start_date":"2017-11-11","description":"","custom_fields":[{"id":30,"name":"Category","value":"Issue"},{"id":3,"name":"Functional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8"/>
        <v>https://d0f6bd738d7f1b3e5a7ca70fe4ff75f0.us-east-1.aws.found.io/app/kibana#/discover/Steve-Slow-Train-Analysis-(2080s-and-2083s)?_g=(refreshInterval:(display:Off,pause:!f,section:0,value:0),time:(from:'2017-11-11T13:22:12-0700',mode:absolute,to:'2017-11-11T15:56:57-0700'))&amp;_a=(columns:!('Message%20ID',Summary),filters:!(),index:'emp_*',interval:auto,query:(query_string:(analyze_wildcard:!t,query:'%22rtdc.l.rtdc.4035%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792</v>
      </c>
      <c r="B97" s="7">
        <v>4044</v>
      </c>
      <c r="C97" s="21" t="s">
        <v>192</v>
      </c>
      <c r="D97" s="21" t="s">
        <v>527</v>
      </c>
      <c r="E97" s="13">
        <v>43050.571064814816</v>
      </c>
      <c r="F97" s="13">
        <v>43050.57309027778</v>
      </c>
      <c r="G97" s="7">
        <v>50</v>
      </c>
      <c r="H97" s="21" t="s">
        <v>976</v>
      </c>
      <c r="I97" s="13">
        <v>43050.599212962959</v>
      </c>
      <c r="J97" s="7">
        <v>0</v>
      </c>
      <c r="K97" s="89" t="str">
        <f t="shared" si="33"/>
        <v>4043/4044</v>
      </c>
      <c r="L97" s="185" t="str">
        <f>VLOOKUP(A97,'Trips&amp;Operators'!$C$1:$G$99911,5,FALSE)</f>
        <v>BADERTSCHER DIANE</v>
      </c>
      <c r="M97" s="6">
        <f t="shared" si="34"/>
        <v>2.6122685179871041E-2</v>
      </c>
      <c r="N97" s="7">
        <f t="shared" ref="N97:N102" si="51">24*60*SUM($M97:$M97)</f>
        <v>37.6166666590143</v>
      </c>
      <c r="O97" s="7"/>
      <c r="P97" s="7"/>
      <c r="Q97" s="22"/>
      <c r="R97" s="174"/>
      <c r="S97" s="221">
        <f t="shared" si="49"/>
        <v>1</v>
      </c>
      <c r="T97" s="174" t="str">
        <f t="shared" si="3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6"/>
        <v>https://d0f6bd738d7f1b3e5a7ca70fe4ff75f0.us-east-1.aws.found.io/app/kibana#/discover/Steve-Slow-Train-Analysis-(2080s-and-2083s)?_g=(refreshInterval:(display:Off,pause:!f,section:0,value:0),time:(from:'2017-11-11T12:42:20-0700',mode:absolute,to:'2017-11-11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204" t="str">
        <f>IF(AA97&lt;VLOOKUP(AG97,Variables!$AC$3:$AD$8,2,FALSE),"Y","N")</f>
        <v>N</v>
      </c>
      <c r="X97" s="204">
        <f t="shared" si="50"/>
        <v>1</v>
      </c>
      <c r="Y97" s="204">
        <f t="shared" si="37"/>
        <v>5.5899999999999998E-2</v>
      </c>
      <c r="Z97" s="204">
        <f t="shared" si="38"/>
        <v>23.325099999999999</v>
      </c>
      <c r="AA97" s="204">
        <f t="shared" si="39"/>
        <v>23.269199999999998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40"/>
        <v>181</v>
      </c>
      <c r="AE97" s="77" t="str">
        <f t="shared" si="41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97" s="74" t="str">
        <f t="shared" si="42"/>
        <v>"C:\Program Files (x86)\AstroGrep\AstroGrep.exe" /e /r /s /spath="%USERPROFILE%\AppData\Local\Temp\OnboardLogs" /stypes="app*4044*20171111*" /stext=" 21:.+((SYSTEM_STATE.+slice.+state.+changed )|(ment ac)|(multiple cpu faults)|(system.+state.+changed )|(\[timeout)|(PRM\|1\|D)|(kpr)|(kdp)|(train st.+moving)|(\|lc)|(penalty))"</v>
      </c>
      <c r="AG97" s="182" t="str">
        <f t="shared" si="43"/>
        <v>EC</v>
      </c>
      <c r="AH97" s="78" t="str">
        <f t="shared" si="44"/>
        <v>"%USERPROFILE%\Documents\GitHub\eaglep3\Utilities\RefineRTDCRunTimes.py" --tripid 181-11 --locoid 4044 --swversion DE.1.0.9.0 --startMP 204:559 --initTime 2017-11-11T13:42:20 --startdatetime 2017-11-11T13:45:15 --delay 50 --endMP 204:233251 --enddatetime 2017-11-11T14:22:52 --enforcementcount 0 &gt;&gt;%USERPROFILE%\Documents\GitHub\eaglep3-reporting\EC\2017-11-11-refined-times.txt</v>
      </c>
      <c r="AI9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{"issue":{"subject":"","project_id":79,"tracker_id":40,"status_id":1,"priority_id":2,"assigned_to_id":338,"start_date":"2017-11-11","description":"","custom_fields":[{"id":1,"name":"Subdivision","value":"EC"},{"id":4,"name":"Milepost","value":"23.3251"},{"id":17,"name":"Train ID","value":"181-11"},{"id":16,"name":"Locomotive ID","value":"4044"},{"id":130,"name":"Impact","value":""},{"id":150,"name":"Time of Event (Mountain Time)","value":"14:22:52"},{"id":151,"name":"Denver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7" s="47"/>
      <c r="AL97" s="47"/>
      <c r="AM97" s="142" t="str">
        <f t="shared" si="46"/>
        <v>start /low /b %USERPROFILE%\Documents\GitHub\eaglep3\Utilities\DownloadLogsFromS3.py --loco 4044 --day 2017-11-11</v>
      </c>
      <c r="AN97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8"/>
        <v>https://d0f6bd738d7f1b3e5a7ca70fe4ff75f0.us-east-1.aws.found.io/app/kibana#/discover/Steve-Slow-Train-Analysis-(2080s-and-2083s)?_g=(refreshInterval:(display:Off,pause:!f,section:0,value:0),time:(from:'2017-11-11T12:42:20-0700',mode:absolute,to:'2017-11-11T15:22:52-0700'))&amp;_a=(columns:!('Message%20ID',Summary),filters:!(),index:'emp_*',interval:auto,query:(query_string:(analyze_wildcard:!t,query:'%22rtdc.l.rtdc.4044%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680</v>
      </c>
      <c r="B98" s="7">
        <v>4043</v>
      </c>
      <c r="C98" s="21" t="s">
        <v>192</v>
      </c>
      <c r="D98" s="21" t="s">
        <v>988</v>
      </c>
      <c r="E98" s="13">
        <v>43050.608530092592</v>
      </c>
      <c r="F98" s="13">
        <v>43050.612743055557</v>
      </c>
      <c r="G98" s="7">
        <v>61</v>
      </c>
      <c r="H98" s="21" t="s">
        <v>445</v>
      </c>
      <c r="I98" s="13">
        <v>43050.64298611111</v>
      </c>
      <c r="J98" s="7">
        <v>0</v>
      </c>
      <c r="K98" s="89" t="str">
        <f t="shared" si="33"/>
        <v>4043/4044</v>
      </c>
      <c r="L98" s="185" t="str">
        <f>VLOOKUP(A98,'Trips&amp;Operators'!$C$1:$G$99911,5,FALSE)</f>
        <v>BADERTSCHER DIANE</v>
      </c>
      <c r="M98" s="6">
        <f t="shared" si="34"/>
        <v>3.0243055553000886E-2</v>
      </c>
      <c r="N98" s="7">
        <f t="shared" si="51"/>
        <v>43.549999996321276</v>
      </c>
      <c r="O98" s="7"/>
      <c r="P98" s="7"/>
      <c r="Q98" s="22"/>
      <c r="R98" s="174"/>
      <c r="S98" s="221">
        <f t="shared" si="49"/>
        <v>1</v>
      </c>
      <c r="T98" s="174" t="str">
        <f t="shared" si="3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6"/>
        <v>https://d0f6bd738d7f1b3e5a7ca70fe4ff75f0.us-east-1.aws.found.io/app/kibana#/discover/Steve-Slow-Train-Analysis-(2080s-and-2083s)?_g=(refreshInterval:(display:Off,pause:!f,section:0,value:0),time:(from:'2017-11-11T13:36:17-0700',mode:absolute,to:'2017-11-11T16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204" t="str">
        <f>IF(AA98&lt;VLOOKUP(AG98,Variables!$AC$3:$AD$8,2,FALSE),"Y","N")</f>
        <v>N</v>
      </c>
      <c r="X98" s="204">
        <f t="shared" si="50"/>
        <v>1</v>
      </c>
      <c r="Y98" s="204">
        <f t="shared" si="37"/>
        <v>23.2927</v>
      </c>
      <c r="Z98" s="204">
        <f t="shared" si="38"/>
        <v>2.2100000000000002E-2</v>
      </c>
      <c r="AA98" s="204">
        <f t="shared" si="39"/>
        <v>23.270600000000002</v>
      </c>
      <c r="AB98" s="54" t="str">
        <f>VLOOKUP(A98,Enforcements!$C$7:$K$9,8,0)</f>
        <v>Bulletin (2)</v>
      </c>
      <c r="AC98" s="51" t="str">
        <f>VLOOKUP(A98,Enforcements!$C$7:$E$9,3,0)</f>
        <v>GRADE CROSSING</v>
      </c>
      <c r="AD98" s="179">
        <f t="shared" si="40"/>
        <v>182</v>
      </c>
      <c r="AE98" s="77" t="str">
        <f t="shared" si="41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98" s="74" t="str">
        <f t="shared" si="42"/>
        <v>"C:\Program Files (x86)\AstroGrep\AstroGrep.exe" /e /r /s /spath="%USERPROFILE%\AppData\Local\Temp\OnboardLogs" /stypes="app*4043*20171111*" /stext=" 22:.+((SYSTEM_STATE.+slice.+state.+changed )|(ment ac)|(multiple cpu faults)|(system.+state.+changed )|(\[timeout)|(PRM\|1\|D)|(kpr)|(kdp)|(train st.+moving)|(\|lc)|(penalty))"</v>
      </c>
      <c r="AG98" s="182" t="str">
        <f t="shared" si="43"/>
        <v>EC</v>
      </c>
      <c r="AH98" s="78" t="str">
        <f t="shared" si="44"/>
        <v>"%USERPROFILE%\Documents\GitHub\eaglep3\Utilities\RefineRTDCRunTimes.py" --tripid 182-11 --locoid 4043 --swversion DE.1.0.9.0 --startMP 204:232927 --initTime 2017-11-11T14:36:17 --startdatetime 2017-11-11T14:42:21 --delay 61 --endMP 204:221 --enddatetime 2017-11-11T15:25:54 --enforcementcount 0 &gt;&gt;%USERPROFILE%\Documents\GitHub\eaglep3-reporting\EC\2017-11-11-refined-times.txt</v>
      </c>
      <c r="AI9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{"issue":{"subject":"","project_id":79,"tracker_id":40,"status_id":1,"priority_id":2,"assigned_to_id":338,"start_date":"2017-11-11","description":"","custom_fields":[{"id":1,"name":"Subdivision","value":"EC"},{"id":4,"name":"Milepost","value":"0.0221"},{"id":17,"name":"Train ID","value":"182-11"},{"id":16,"name":"Locomotive ID","value":"4043"},{"id":130,"name":"Impact","value":""},{"id":150,"name":"Time of Event (Mountain Time)","value":"15:25:54"},{"id":151,"name":"Denver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8" s="47"/>
      <c r="AL98" s="47"/>
      <c r="AM98" s="142" t="str">
        <f t="shared" si="46"/>
        <v>start /low /b %USERPROFILE%\Documents\GitHub\eaglep3\Utilities\DownloadLogsFromS3.py --loco 4043 --day 2017-11-11</v>
      </c>
      <c r="AN98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8"/>
        <v>https://d0f6bd738d7f1b3e5a7ca70fe4ff75f0.us-east-1.aws.found.io/app/kibana#/discover/Steve-Slow-Train-Analysis-(2080s-and-2083s)?_g=(refreshInterval:(display:Off,pause:!f,section:0,value:0),time:(from:'2017-11-11T13:36:17-0700',mode:absolute,to:'2017-11-11T16:25:54-0700'))&amp;_a=(columns:!('Message%20ID',Summary),filters:!(),index:'emp_*',interval:auto,query:(query_string:(analyze_wildcard:!t,query:'%22rtdc.l.rtdc.4043%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794</v>
      </c>
      <c r="B99" s="7">
        <v>4066</v>
      </c>
      <c r="C99" s="21" t="s">
        <v>192</v>
      </c>
      <c r="D99" s="21" t="s">
        <v>951</v>
      </c>
      <c r="E99" s="13">
        <v>43050.580682870372</v>
      </c>
      <c r="F99" s="13">
        <v>43050.583495370367</v>
      </c>
      <c r="G99" s="7">
        <v>94</v>
      </c>
      <c r="H99" s="21" t="s">
        <v>1001</v>
      </c>
      <c r="I99" s="13">
        <v>43050.609722222223</v>
      </c>
      <c r="J99" s="7">
        <v>0</v>
      </c>
      <c r="K99" s="89" t="str">
        <f t="shared" si="33"/>
        <v>4065/4066</v>
      </c>
      <c r="L99" s="185" t="str">
        <f>VLOOKUP(A99,'Trips&amp;Operators'!$C$1:$G$99911,5,FALSE)</f>
        <v>BERLING GARY</v>
      </c>
      <c r="M99" s="6">
        <f t="shared" si="34"/>
        <v>2.6226851856335998E-2</v>
      </c>
      <c r="N99" s="7">
        <f t="shared" si="51"/>
        <v>37.766666673123837</v>
      </c>
      <c r="O99" s="7"/>
      <c r="P99" s="7"/>
      <c r="Q99" s="22"/>
      <c r="R99" s="174"/>
      <c r="S99" s="221">
        <f t="shared" si="49"/>
        <v>1</v>
      </c>
      <c r="T99" s="174" t="str">
        <f t="shared" si="3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6"/>
        <v>https://d0f6bd738d7f1b3e5a7ca70fe4ff75f0.us-east-1.aws.found.io/app/kibana#/discover/Steve-Slow-Train-Analysis-(2080s-and-2083s)?_g=(refreshInterval:(display:Off,pause:!f,section:0,value:0),time:(from:'2017-11-11T12:56:11-0700',mode:absolute,to:'2017-11-11T15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204" t="str">
        <f>IF(AA99&lt;VLOOKUP(AG99,Variables!$AC$3:$AD$8,2,FALSE),"Y","N")</f>
        <v>N</v>
      </c>
      <c r="X99" s="204">
        <f t="shared" si="50"/>
        <v>1</v>
      </c>
      <c r="Y99" s="204">
        <f t="shared" si="37"/>
        <v>5.6399999999999999E-2</v>
      </c>
      <c r="Z99" s="204">
        <f t="shared" si="38"/>
        <v>23.3246</v>
      </c>
      <c r="AA99" s="204">
        <f t="shared" si="39"/>
        <v>23.2682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40"/>
        <v>183</v>
      </c>
      <c r="AE99" s="77" t="str">
        <f t="shared" si="41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99" s="74" t="str">
        <f t="shared" si="42"/>
        <v>"C:\Program Files (x86)\AstroGrep\AstroGrep.exe" /e /r /s /spath="%USERPROFILE%\AppData\Local\Temp\OnboardLogs" /stypes="app*4066*20171111*" /stext=" 21:.+((SYSTEM_STATE.+slice.+state.+changed )|(ment ac)|(multiple cpu faults)|(system.+state.+changed )|(\[timeout)|(PRM\|1\|D)|(kpr)|(kdp)|(train st.+moving)|(\|lc)|(penalty))"</v>
      </c>
      <c r="AG99" s="182" t="str">
        <f t="shared" si="43"/>
        <v>EC</v>
      </c>
      <c r="AH99" s="78" t="str">
        <f t="shared" si="44"/>
        <v>"%USERPROFILE%\Documents\GitHub\eaglep3\Utilities\RefineRTDCRunTimes.py" --tripid 183-11 --locoid 4066 --swversion DE.1.0.9.0 --startMP 204:564 --initTime 2017-11-11T13:56:11 --startdatetime 2017-11-11T14:00:14 --delay 94 --endMP 204:233246 --enddatetime 2017-11-11T14:38:00 --enforcementcount 0 &gt;&gt;%USERPROFILE%\Documents\GitHub\eaglep3-reporting\EC\2017-11-11-refined-times.txt</v>
      </c>
      <c r="AI9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{"issue":{"subject":"","project_id":79,"tracker_id":40,"status_id":1,"priority_id":2,"assigned_to_id":338,"start_date":"2017-11-11","description":"","custom_fields":[{"id":1,"name":"Subdivision","value":"EC"},{"id":4,"name":"Milepost","value":"23.3246"},{"id":17,"name":"Train ID","value":"183-11"},{"id":16,"name":"Locomotive ID","value":"4066"},{"id":130,"name":"Impact","value":""},{"id":150,"name":"Time of Event (Mountain Time)","value":"14:38:00"},{"id":151,"name":"Denver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6"/>
        <v>start /low /b %USERPROFILE%\Documents\GitHub\eaglep3\Utilities\DownloadLogsFromS3.py --loco 4066 --day 2017-11-11</v>
      </c>
      <c r="AN99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8"/>
        <v>https://d0f6bd738d7f1b3e5a7ca70fe4ff75f0.us-east-1.aws.found.io/app/kibana#/discover/Steve-Slow-Train-Analysis-(2080s-and-2083s)?_g=(refreshInterval:(display:Off,pause:!f,section:0,value:0),time:(from:'2017-11-11T12:56:11-0700',mode:absolute,to:'2017-11-11T15:38:00-0700'))&amp;_a=(columns:!('Message%20ID',Summary),filters:!(),index:'emp_*',interval:auto,query:(query_string:(analyze_wildcard:!t,query:'%22rtdc.l.rtdc.4066%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801</v>
      </c>
      <c r="B100" s="7">
        <v>4065</v>
      </c>
      <c r="C100" s="21" t="s">
        <v>192</v>
      </c>
      <c r="D100" s="21" t="s">
        <v>1011</v>
      </c>
      <c r="E100" s="13">
        <v>43050.617476851854</v>
      </c>
      <c r="F100" s="13">
        <v>43050.623171296298</v>
      </c>
      <c r="G100" s="7">
        <v>108</v>
      </c>
      <c r="H100" s="21" t="s">
        <v>1012</v>
      </c>
      <c r="I100" s="13">
        <v>43050.653310185182</v>
      </c>
      <c r="J100" s="7">
        <v>0</v>
      </c>
      <c r="K100" s="89" t="str">
        <f t="shared" si="33"/>
        <v>4065/4066</v>
      </c>
      <c r="L100" s="185" t="str">
        <f>VLOOKUP(A100,'Trips&amp;Operators'!$C$1:$G$99911,5,FALSE)</f>
        <v>BERLING GARY</v>
      </c>
      <c r="M100" s="6">
        <f t="shared" si="34"/>
        <v>3.0138888883811887E-2</v>
      </c>
      <c r="N100" s="7">
        <f t="shared" si="51"/>
        <v>43.399999992689118</v>
      </c>
      <c r="O100" s="7"/>
      <c r="P100" s="7"/>
      <c r="Q100" s="22"/>
      <c r="R100" s="174"/>
      <c r="S100" s="221">
        <f t="shared" si="49"/>
        <v>1</v>
      </c>
      <c r="T100" s="174" t="str">
        <f t="shared" si="3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6"/>
        <v>https://d0f6bd738d7f1b3e5a7ca70fe4ff75f0.us-east-1.aws.found.io/app/kibana#/discover/Steve-Slow-Train-Analysis-(2080s-and-2083s)?_g=(refreshInterval:(display:Off,pause:!f,section:0,value:0),time:(from:'2017-11-11T13:49:10-0700',mode:absolute,to:'2017-11-11T16:40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204" t="str">
        <f>IF(AA100&lt;VLOOKUP(AG100,Variables!$AC$3:$AD$8,2,FALSE),"Y","N")</f>
        <v>N</v>
      </c>
      <c r="X100" s="204">
        <f t="shared" si="50"/>
        <v>1</v>
      </c>
      <c r="Y100" s="204">
        <f t="shared" si="37"/>
        <v>23.292999999999999</v>
      </c>
      <c r="Z100" s="204">
        <f t="shared" si="38"/>
        <v>3.3399999999999999E-2</v>
      </c>
      <c r="AA100" s="204">
        <f t="shared" si="39"/>
        <v>23.259599999999999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40"/>
        <v>184</v>
      </c>
      <c r="AE100" s="77" t="str">
        <f t="shared" si="41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100" s="74" t="str">
        <f t="shared" si="42"/>
        <v>"C:\Program Files (x86)\AstroGrep\AstroGrep.exe" /e /r /s /spath="%USERPROFILE%\AppData\Local\Temp\OnboardLogs" /stypes="app*4065*20171111*" /stext=" 22:.+((SYSTEM_STATE.+slice.+state.+changed )|(ment ac)|(multiple cpu faults)|(system.+state.+changed )|(\[timeout)|(PRM\|1\|D)|(kpr)|(kdp)|(train st.+moving)|(\|lc)|(penalty))"</v>
      </c>
      <c r="AG100" s="182" t="str">
        <f t="shared" si="43"/>
        <v>EC</v>
      </c>
      <c r="AH100" s="78" t="str">
        <f t="shared" si="44"/>
        <v>"%USERPROFILE%\Documents\GitHub\eaglep3\Utilities\RefineRTDCRunTimes.py" --tripid 184-11 --locoid 4065 --swversion DE.1.0.9.0 --startMP 204:232930 --initTime 2017-11-11T14:49:10 --startdatetime 2017-11-11T14:57:22 --delay 108 --endMP 204:334 --enddatetime 2017-11-11T15:40:46 --enforcementcount 0 &gt;&gt;%USERPROFILE%\Documents\GitHub\eaglep3-reporting\EC\2017-11-11-refined-times.txt</v>
      </c>
      <c r="AI10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{"issue":{"subject":"","project_id":79,"tracker_id":40,"status_id":1,"priority_id":2,"assigned_to_id":338,"start_date":"2017-11-11","description":"","custom_fields":[{"id":1,"name":"Subdivision","value":"EC"},{"id":4,"name":"Milepost","value":"0.0334"},{"id":17,"name":"Train ID","value":"184-11"},{"id":16,"name":"Locomotive ID","value":"4065"},{"id":130,"name":"Impact","value":""},{"id":150,"name":"Time of Event (Mountain Time)","value":"15:40:46"},{"id":151,"name":"Denver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6"/>
        <v>start /low /b %USERPROFILE%\Documents\GitHub\eaglep3\Utilities\DownloadLogsFromS3.py --loco 4065 --day 2017-11-11</v>
      </c>
      <c r="AN100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22:40:46"},{"id":29,"name":"Sharepoint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8"/>
        <v>https://d0f6bd738d7f1b3e5a7ca70fe4ff75f0.us-east-1.aws.found.io/app/kibana#/discover/Steve-Slow-Train-Analysis-(2080s-and-2083s)?_g=(refreshInterval:(display:Off,pause:!f,section:0,value:0),time:(from:'2017-11-11T13:49:10-0700',mode:absolute,to:'2017-11-11T16:40:46-0700'))&amp;_a=(columns:!('Message%20ID',Summary),filters:!(),index:'emp_*',interval:auto,query:(query_string:(analyze_wildcard:!t,query:'%22rtdc.l.rtdc.4065%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797</v>
      </c>
      <c r="B101" s="7">
        <v>4058</v>
      </c>
      <c r="C101" s="21" t="s">
        <v>192</v>
      </c>
      <c r="D101" s="21" t="s">
        <v>462</v>
      </c>
      <c r="E101" s="13">
        <v>43050.590740740743</v>
      </c>
      <c r="F101" s="13">
        <v>43050.594201388885</v>
      </c>
      <c r="G101" s="7">
        <v>88</v>
      </c>
      <c r="H101" s="21" t="s">
        <v>628</v>
      </c>
      <c r="I101" s="13">
        <v>43050.618807870371</v>
      </c>
      <c r="J101" s="7">
        <v>0</v>
      </c>
      <c r="K101" s="89" t="str">
        <f t="shared" si="33"/>
        <v>4057/4058</v>
      </c>
      <c r="L101" s="185" t="str">
        <f>VLOOKUP(A101,'Trips&amp;Operators'!$C$1:$G$99911,5,FALSE)</f>
        <v>BRUDER RICHARD</v>
      </c>
      <c r="M101" s="6">
        <f t="shared" si="34"/>
        <v>2.4606481485534459E-2</v>
      </c>
      <c r="N101" s="7">
        <f t="shared" si="51"/>
        <v>35.433333339169621</v>
      </c>
      <c r="O101" s="7"/>
      <c r="P101" s="7"/>
      <c r="Q101" s="22"/>
      <c r="R101" s="174"/>
      <c r="S101" s="221">
        <f t="shared" si="49"/>
        <v>1</v>
      </c>
      <c r="T101" s="174" t="str">
        <f t="shared" si="3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6"/>
        <v>https://d0f6bd738d7f1b3e5a7ca70fe4ff75f0.us-east-1.aws.found.io/app/kibana#/discover/Steve-Slow-Train-Analysis-(2080s-and-2083s)?_g=(refreshInterval:(display:Off,pause:!f,section:0,value:0),time:(from:'2017-11-11T13:10:40-0700',mode:absolute,to:'2017-11-11T15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1" s="204" t="str">
        <f>IF(AA101&lt;VLOOKUP(AG101,Variables!$AC$3:$AD$8,2,FALSE),"Y","N")</f>
        <v>N</v>
      </c>
      <c r="X101" s="204">
        <f t="shared" si="50"/>
        <v>1</v>
      </c>
      <c r="Y101" s="204">
        <f t="shared" si="37"/>
        <v>5.0900000000000001E-2</v>
      </c>
      <c r="Z101" s="204">
        <f t="shared" si="38"/>
        <v>23.3203</v>
      </c>
      <c r="AA101" s="204">
        <f t="shared" si="39"/>
        <v>23.269400000000001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40"/>
        <v>185</v>
      </c>
      <c r="AE101" s="77" t="str">
        <f t="shared" si="41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01" s="74" t="str">
        <f t="shared" si="42"/>
        <v>"C:\Program Files (x86)\AstroGrep\AstroGrep.exe" /e /r /s /spath="%USERPROFILE%\AppData\Local\Temp\OnboardLogs" /stypes="app*4058*20171111*" /stext=" 21:.+((SYSTEM_STATE.+slice.+state.+changed )|(ment ac)|(multiple cpu faults)|(system.+state.+changed )|(\[timeout)|(PRM\|1\|D)|(kpr)|(kdp)|(train st.+moving)|(\|lc)|(penalty))"</v>
      </c>
      <c r="AG101" s="182" t="str">
        <f t="shared" si="43"/>
        <v>EC</v>
      </c>
      <c r="AH101" s="78" t="str">
        <f t="shared" si="44"/>
        <v>"%USERPROFILE%\Documents\GitHub\eaglep3\Utilities\RefineRTDCRunTimes.py" --tripid 185-11 --locoid 4058 --swversion DE.1.0.9.0 --startMP 204:509 --initTime 2017-11-11T14:10:40 --startdatetime 2017-11-11T14:15:39 --delay 88 --endMP 204:233203 --enddatetime 2017-11-11T14:51:05 --enforcementcount 0 &gt;&gt;%USERPROFILE%\Documents\GitHub\eaglep3-reporting\EC\2017-11-11-refined-times.txt</v>
      </c>
      <c r="AI10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{"issue":{"subject":"","project_id":79,"tracker_id":40,"status_id":1,"priority_id":2,"assigned_to_id":338,"start_date":"2017-11-11","description":"","custom_fields":[{"id":1,"name":"Subdivision","value":"EC"},{"id":4,"name":"Milepost","value":"23.3203"},{"id":17,"name":"Train ID","value":"185-11"},{"id":16,"name":"Locomotive ID","value":"4058"},{"id":130,"name":"Impact","value":""},{"id":150,"name":"Time of Event (Mountain Time)","value":"14:51:05"},{"id":151,"name":"Denver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6"/>
        <v>start /low /b %USERPROFILE%\Documents\GitHub\eaglep3\Utilities\DownloadLogsFromS3.py --loco 4058 --day 2017-11-11</v>
      </c>
      <c r="AN101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8"/>
        <v>https://d0f6bd738d7f1b3e5a7ca70fe4ff75f0.us-east-1.aws.found.io/app/kibana#/discover/Steve-Slow-Train-Analysis-(2080s-and-2083s)?_g=(refreshInterval:(display:Off,pause:!f,section:0,value:0),time:(from:'2017-11-11T13:10:40-0700',mode:absolute,to:'2017-11-11T15:51:05-0700'))&amp;_a=(columns:!('Message%20ID',Summary),filters:!(),index:'emp_*',interval:auto,query:(query_string:(analyze_wildcard:!t,query:'%22rtdc.l.rtdc.4058%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804</v>
      </c>
      <c r="B102" s="7">
        <v>4057</v>
      </c>
      <c r="C102" s="21" t="s">
        <v>192</v>
      </c>
      <c r="D102" s="21" t="s">
        <v>1013</v>
      </c>
      <c r="E102" s="13">
        <v>43050.630347222221</v>
      </c>
      <c r="F102" s="13">
        <v>43050.633518518516</v>
      </c>
      <c r="G102" s="7">
        <v>95</v>
      </c>
      <c r="H102" s="21" t="s">
        <v>557</v>
      </c>
      <c r="I102" s="13">
        <v>43050.661249999997</v>
      </c>
      <c r="J102" s="7">
        <v>0</v>
      </c>
      <c r="K102" s="89" t="str">
        <f t="shared" si="33"/>
        <v>4057/4058</v>
      </c>
      <c r="L102" s="185" t="str">
        <f>VLOOKUP(A102,'Trips&amp;Operators'!$C$1:$G$99911,5,FALSE)</f>
        <v>BRUDER RICHARD</v>
      </c>
      <c r="M102" s="6">
        <f t="shared" si="34"/>
        <v>2.7731481481168885E-2</v>
      </c>
      <c r="N102" s="7">
        <f t="shared" si="51"/>
        <v>39.933333332883194</v>
      </c>
      <c r="O102" s="7"/>
      <c r="P102" s="7"/>
      <c r="Q102" s="22"/>
      <c r="R102" s="174"/>
      <c r="S102" s="221">
        <f t="shared" si="49"/>
        <v>1</v>
      </c>
      <c r="T102" s="174" t="str">
        <f t="shared" si="3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6"/>
        <v>https://d0f6bd738d7f1b3e5a7ca70fe4ff75f0.us-east-1.aws.found.io/app/kibana#/discover/Steve-Slow-Train-Analysis-(2080s-and-2083s)?_g=(refreshInterval:(display:Off,pause:!f,section:0,value:0),time:(from:'2017-11-11T14:07:42-0700',mode:absolute,to:'2017-11-11T16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2" s="204" t="str">
        <f>IF(AA102&lt;VLOOKUP(AG102,Variables!$AC$3:$AD$8,2,FALSE),"Y","N")</f>
        <v>N</v>
      </c>
      <c r="X102" s="204">
        <f t="shared" si="50"/>
        <v>1</v>
      </c>
      <c r="Y102" s="204">
        <f t="shared" si="37"/>
        <v>23.287099999999999</v>
      </c>
      <c r="Z102" s="204">
        <f t="shared" si="38"/>
        <v>2.23E-2</v>
      </c>
      <c r="AA102" s="204">
        <f t="shared" si="39"/>
        <v>23.264799999999997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40"/>
        <v>186</v>
      </c>
      <c r="AE102" s="77" t="str">
        <f t="shared" si="41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02" s="74" t="str">
        <f t="shared" si="42"/>
        <v>"C:\Program Files (x86)\AstroGrep\AstroGrep.exe" /e /r /s /spath="%USERPROFILE%\AppData\Local\Temp\OnboardLogs" /stypes="app*4057*20171111*" /stext=" 22:.+((SYSTEM_STATE.+slice.+state.+changed )|(ment ac)|(multiple cpu faults)|(system.+state.+changed )|(\[timeout)|(PRM\|1\|D)|(kpr)|(kdp)|(train st.+moving)|(\|lc)|(penalty))"</v>
      </c>
      <c r="AG102" s="182" t="str">
        <f t="shared" si="43"/>
        <v>EC</v>
      </c>
      <c r="AH102" s="78" t="str">
        <f t="shared" si="44"/>
        <v>"%USERPROFILE%\Documents\GitHub\eaglep3\Utilities\RefineRTDCRunTimes.py" --tripid 186-11 --locoid 4057 --swversion DE.1.0.9.0 --startMP 204:232871 --initTime 2017-11-11T15:07:42 --startdatetime 2017-11-11T15:12:16 --delay 95 --endMP 204:223 --enddatetime 2017-11-11T15:52:12 --enforcementcount 0 &gt;&gt;%USERPROFILE%\Documents\GitHub\eaglep3-reporting\EC\2017-11-11-refined-times.txt</v>
      </c>
      <c r="AI102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{"issue":{"subject":"","project_id":79,"tracker_id":40,"status_id":1,"priority_id":2,"assigned_to_id":338,"start_date":"2017-11-11","description":"","custom_fields":[{"id":1,"name":"Subdivision","value":"EC"},{"id":4,"name":"Milepost","value":"0.0223"},{"id":17,"name":"Train ID","value":"186-11"},{"id":16,"name":"Locomotive ID","value":"4057"},{"id":130,"name":"Impact","value":""},{"id":150,"name":"Time of Event (Mountain Time)","value":"15:52:12"},{"id":151,"name":"Denver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6"/>
        <v>start /low /b %USERPROFILE%\Documents\GitHub\eaglep3\Utilities\DownloadLogsFromS3.py --loco 4057 --day 2017-11-11</v>
      </c>
      <c r="AN102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8"/>
        <v>https://d0f6bd738d7f1b3e5a7ca70fe4ff75f0.us-east-1.aws.found.io/app/kibana#/discover/Steve-Slow-Train-Analysis-(2080s-and-2083s)?_g=(refreshInterval:(display:Off,pause:!f,section:0,value:0),time:(from:'2017-11-11T14:07:42-0700',mode:absolute,to:'2017-11-11T16:52:12-0700'))&amp;_a=(columns:!('Message%20ID',Summary),filters:!(),index:'emp_*',interval:auto,query:(query_string:(analyze_wildcard:!t,query:'%22rtdc.l.rtdc.4057%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679</v>
      </c>
      <c r="B103" s="7">
        <v>4026</v>
      </c>
      <c r="C103" s="21" t="s">
        <v>192</v>
      </c>
      <c r="D103" s="21" t="s">
        <v>631</v>
      </c>
      <c r="E103" s="13">
        <v>43050.600624999999</v>
      </c>
      <c r="F103" s="13">
        <v>43050.616412037038</v>
      </c>
      <c r="G103" s="7">
        <v>56</v>
      </c>
      <c r="H103" s="21" t="s">
        <v>1014</v>
      </c>
      <c r="I103" s="13">
        <v>43050.63175925926</v>
      </c>
      <c r="J103" s="7">
        <v>0</v>
      </c>
      <c r="K103" s="89" t="str">
        <f t="shared" si="33"/>
        <v>4025/4026</v>
      </c>
      <c r="L103" s="185" t="str">
        <f>VLOOKUP(A103,'Trips&amp;Operators'!$C$1:$G$99911,5,FALSE)</f>
        <v>HOLCOMB KAMDEN</v>
      </c>
      <c r="M103" s="6">
        <f t="shared" si="34"/>
        <v>1.5347222222771961E-2</v>
      </c>
      <c r="N103" s="7"/>
      <c r="O103" s="7"/>
      <c r="P103" s="7">
        <f>24*60*SUM($M103:$M103)</f>
        <v>22.100000000791624</v>
      </c>
      <c r="Q103" s="22"/>
      <c r="R103" s="174" t="s">
        <v>1091</v>
      </c>
      <c r="S103" s="221">
        <f>1/IF(AG103="EC",12,1)*SUM(U103:U104)</f>
        <v>0.5</v>
      </c>
      <c r="T103" s="174" t="str">
        <f t="shared" si="3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216" t="str">
        <f t="shared" si="36"/>
        <v>https://d0f6bd738d7f1b3e5a7ca70fe4ff75f0.us-east-1.aws.found.io/app/kibana#/discover/Steve-Slow-Train-Analysis-(2080s-and-2083s)?_g=(refreshInterval:(display:Off,pause:!f,section:0,value:0),time:(from:'2017-11-11T13:24:54-0700',mode:absolute,to:'2017-11-11T16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204" t="str">
        <f>IF(AA103&lt;VLOOKUP(AG103,Variables!$AC$3:$AD$8,2,FALSE),"Y","N")</f>
        <v>Y</v>
      </c>
      <c r="X103" s="204">
        <f t="shared" si="50"/>
        <v>1</v>
      </c>
      <c r="Y103" s="204">
        <f t="shared" si="37"/>
        <v>5.4800000000000001E-2</v>
      </c>
      <c r="Z103" s="204">
        <f t="shared" si="38"/>
        <v>3.6804999999999999</v>
      </c>
      <c r="AA103" s="204">
        <f t="shared" si="39"/>
        <v>3.6256999999999997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40"/>
        <v>187</v>
      </c>
      <c r="AE103" s="77" t="str">
        <f t="shared" si="41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103" s="74" t="str">
        <f t="shared" si="42"/>
        <v>"C:\Program Files (x86)\AstroGrep\AstroGrep.exe" /e /r /s /spath="%USERPROFILE%\AppData\Local\Temp\OnboardLogs" /stypes="app*4026*20171111*" /stext=" 22:.+((SYSTEM_STATE.+slice.+state.+changed )|(ment ac)|(multiple cpu faults)|(system.+state.+changed )|(\[timeout)|(PRM\|1\|D)|(kpr)|(kdp)|(train st.+moving)|(\|lc)|(penalty))"</v>
      </c>
      <c r="AG103" s="182" t="str">
        <f t="shared" si="43"/>
        <v>EC</v>
      </c>
      <c r="AH103" s="78" t="str">
        <f t="shared" si="44"/>
        <v>"%USERPROFILE%\Documents\GitHub\eaglep3\Utilities\RefineRTDCRunTimes.py" --tripid 187-11 --locoid 4026 --swversion DE.1.0.9.0 --startMP 204:548 --initTime 2017-11-11T14:24:54 --startdatetime 2017-11-11T14:47:38 --delay 56 --endMP 204:36805 --enddatetime 2017-11-11T15:09:44 --enforcementcount 0 &gt;&gt;%USERPROFILE%\Documents\GitHub\eaglep3-reporting\EC\2017-11-11-refined-times.txt</v>
      </c>
      <c r="AI103" s="96" t="str">
        <f t="shared" si="45"/>
        <v>echo {"issue":{"subject":"Premature downgrade at EC0365RH 27-1T 1N","project_id":79,"tracker_id":40,"status_id":1,"priority_id":2,"assigned_to_id":338,"start_date":"2017-11-11","description":"","custom_fields":[{"id":1,"name":"Subdivision","value":"EC"},{"id":4,"name":"Milepost","value":"3.6805"},{"id":17,"name":"Train ID","value":"187-11"},{"id":16,"name":"Locomotive ID","value":"4026"},{"id":130,"name":"Impact","value":""},{"id":150,"name":"Time of Event (Mountain Time)","value":"15:09:44"},{"id":151,"name":"Denver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6"/>
        <v>start /low /b %USERPROFILE%\Documents\GitHub\eaglep3\Utilities\DownloadLogsFromS3.py --loco 4026 --day 2017-11-11</v>
      </c>
      <c r="AN103" s="151" t="str">
        <f t="shared" si="47"/>
        <v>echo {"issue":{"subject":"Premature downgrade at EC0365RH 27-1T 1N","project_id":30,"tracker_id":4,"status_id":1,"priority_id":1,"assigned_to_id":10,"start_date":"2017-11-11","description":"","custom_fields":[{"id":30,"name":"Category","value":"Issue"},{"id":3,"name":"Functional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8"/>
        <v>https://d0f6bd738d7f1b3e5a7ca70fe4ff75f0.us-east-1.aws.found.io/app/kibana#/discover/Steve-Slow-Train-Analysis-(2080s-and-2083s)?_g=(refreshInterval:(display:Off,pause:!f,section:0,value:0),time:(from:'2017-11-11T13:24:54-0700',mode:absolute,to:'2017-11-11T16:09:44-0700'))&amp;_a=(columns:!('Message%20ID',Summary),filters:!(),index:'emp_*',interval:auto,query:(query_string:(analyze_wildcard:!t,query:'%22rtdc.l.rtdc.4026%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679</v>
      </c>
      <c r="B104" s="7">
        <v>4026</v>
      </c>
      <c r="C104" s="21" t="s">
        <v>192</v>
      </c>
      <c r="D104" s="21" t="s">
        <v>895</v>
      </c>
      <c r="E104" s="13">
        <v>43050.615451388891</v>
      </c>
      <c r="F104" s="13">
        <v>43050.616412037038</v>
      </c>
      <c r="G104" s="7">
        <v>38</v>
      </c>
      <c r="H104" s="21" t="s">
        <v>614</v>
      </c>
      <c r="I104" s="13">
        <v>43050.63175925926</v>
      </c>
      <c r="J104" s="7">
        <v>0</v>
      </c>
      <c r="K104" s="89" t="str">
        <f t="shared" si="33"/>
        <v>4025/4026</v>
      </c>
      <c r="L104" s="185" t="str">
        <f>VLOOKUP(A104,'Trips&amp;Operators'!$C$1:$G$99911,5,FALSE)</f>
        <v>HOLCOMB KAMDEN</v>
      </c>
      <c r="M104" s="6">
        <f t="shared" si="34"/>
        <v>1.5347222222771961E-2</v>
      </c>
      <c r="N104" s="7"/>
      <c r="O104" s="7"/>
      <c r="P104" s="7"/>
      <c r="Q104" s="22"/>
      <c r="R104" s="174"/>
      <c r="S104" s="221"/>
      <c r="T104" s="174" t="str">
        <f t="shared" si="35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3</v>
      </c>
      <c r="V104" s="216" t="str">
        <f t="shared" si="36"/>
        <v>https://d0f6bd738d7f1b3e5a7ca70fe4ff75f0.us-east-1.aws.found.io/app/kibana#/discover/Steve-Slow-Train-Analysis-(2080s-and-2083s)?_g=(refreshInterval:(display:Off,pause:!f,section:0,value:0),time:(from:'2017-11-11T13:46:15-0700',mode:absolute,to:'2017-11-11T16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204" t="str">
        <f>IF(AA104&lt;VLOOKUP(AG104,Variables!$AC$3:$AD$8,2,FALSE),"Y","N")</f>
        <v>Y</v>
      </c>
      <c r="X104" s="204">
        <f t="shared" si="50"/>
        <v>0</v>
      </c>
      <c r="Y104" s="204">
        <f t="shared" si="37"/>
        <v>6.47</v>
      </c>
      <c r="Z104" s="204">
        <f t="shared" si="38"/>
        <v>23.323599999999999</v>
      </c>
      <c r="AA104" s="204">
        <f t="shared" si="39"/>
        <v>16.8536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40"/>
        <v>187</v>
      </c>
      <c r="AE104" s="77" t="str">
        <f t="shared" si="41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104" s="74" t="str">
        <f t="shared" si="42"/>
        <v>"C:\Program Files (x86)\AstroGrep\AstroGrep.exe" /e /r /s /spath="%USERPROFILE%\AppData\Local\Temp\OnboardLogs" /stypes="app*4026*20171111*" /stext=" 22:.+((SYSTEM_STATE.+slice.+state.+changed )|(ment ac)|(multiple cpu faults)|(system.+state.+changed )|(\[timeout)|(PRM\|1\|D)|(kpr)|(kdp)|(train st.+moving)|(\|lc)|(penalty))"</v>
      </c>
      <c r="AG104" s="182" t="str">
        <f t="shared" si="43"/>
        <v>EC</v>
      </c>
      <c r="AH104" s="78" t="str">
        <f t="shared" si="44"/>
        <v>"%USERPROFILE%\Documents\GitHub\eaglep3\Utilities\RefineRTDCRunTimes.py" --tripid 187-11 --locoid 4026 --swversion DE.1.0.9.0 --startMP 204:64700 --initTime 2017-11-11T14:46:15 --startdatetime 2017-11-11T14:47:38 --delay 38 --endMP 204:233236 --enddatetime 2017-11-11T15:09:44 --enforcementcount 0 &gt;&gt;%USERPROFILE%\Documents\GitHub\eaglep3-reporting\EC\2017-11-11-refined-times.txt</v>
      </c>
      <c r="AI10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{"issue":{"subject":"","project_id":79,"tracker_id":40,"status_id":1,"priority_id":2,"assigned_to_id":338,"start_date":"2017-11-11","description":"","custom_fields":[{"id":1,"name":"Subdivision","value":"EC"},{"id":4,"name":"Milepost","value":"23.3236"},{"id":17,"name":"Train ID","value":"187-11"},{"id":16,"name":"Locomotive ID","value":"4026"},{"id":130,"name":"Impact","value":""},{"id":150,"name":"Time of Event (Mountain Time)","value":"15:09:44"},{"id":151,"name":"Denver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6"/>
        <v>start /low /b %USERPROFILE%\Documents\GitHub\eaglep3\Utilities\DownloadLogsFromS3.py --loco 4026 --day 2017-11-11</v>
      </c>
      <c r="AN104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8"/>
        <v>https://d0f6bd738d7f1b3e5a7ca70fe4ff75f0.us-east-1.aws.found.io/app/kibana#/discover/Steve-Slow-Train-Analysis-(2080s-and-2083s)?_g=(refreshInterval:(display:Off,pause:!f,section:0,value:0),time:(from:'2017-11-11T13:46:15-0700',mode:absolute,to:'2017-11-11T16:09:44-0700'))&amp;_a=(columns:!('Message%20ID',Summary),filters:!(),index:'emp_*',interval:auto,query:(query_string:(analyze_wildcard:!t,query:'%22rtdc.l.rtdc.4026%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806</v>
      </c>
      <c r="B105" s="7">
        <v>4025</v>
      </c>
      <c r="C105" s="21" t="s">
        <v>192</v>
      </c>
      <c r="D105" s="21" t="s">
        <v>1015</v>
      </c>
      <c r="E105" s="13">
        <v>43050.639953703707</v>
      </c>
      <c r="F105" s="13">
        <v>43050.644062500003</v>
      </c>
      <c r="G105" s="7">
        <v>59</v>
      </c>
      <c r="H105" s="21" t="s">
        <v>626</v>
      </c>
      <c r="I105" s="13">
        <v>43050.670405092591</v>
      </c>
      <c r="J105" s="7">
        <v>0</v>
      </c>
      <c r="K105" s="89" t="str">
        <f t="shared" si="33"/>
        <v>4025/4026</v>
      </c>
      <c r="L105" s="185" t="str">
        <f>VLOOKUP(A105,'Trips&amp;Operators'!$C$1:$G$99911,5,FALSE)</f>
        <v>HOLCOMB KAMDEN</v>
      </c>
      <c r="M105" s="6">
        <f t="shared" si="34"/>
        <v>2.6342592587752733E-2</v>
      </c>
      <c r="N105" s="7">
        <f t="shared" ref="N105:N151" si="52">24*60*SUM($M105:$M105)</f>
        <v>37.933333326363936</v>
      </c>
      <c r="O105" s="7"/>
      <c r="P105" s="7"/>
      <c r="Q105" s="22"/>
      <c r="R105" s="174"/>
      <c r="S105" s="221">
        <f t="shared" ref="S105:S136" si="53">1/IF(AG105="EC",12,1)*SUM(U105:U105)</f>
        <v>1</v>
      </c>
      <c r="T105" s="174" t="str">
        <f t="shared" si="35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6"/>
        <v>https://d0f6bd738d7f1b3e5a7ca70fe4ff75f0.us-east-1.aws.found.io/app/kibana#/discover/Steve-Slow-Train-Analysis-(2080s-and-2083s)?_g=(refreshInterval:(display:Off,pause:!f,section:0,value:0),time:(from:'2017-11-11T14:21:32-0700',mode:absolute,to:'2017-11-11T17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204" t="str">
        <f>IF(AA105&lt;VLOOKUP(AG105,Variables!$AC$3:$AD$8,2,FALSE),"Y","N")</f>
        <v>N</v>
      </c>
      <c r="X105" s="204">
        <f t="shared" si="50"/>
        <v>1</v>
      </c>
      <c r="Y105" s="204">
        <f t="shared" si="37"/>
        <v>23.291899999999998</v>
      </c>
      <c r="Z105" s="204">
        <f t="shared" si="38"/>
        <v>2.1600000000000001E-2</v>
      </c>
      <c r="AA105" s="204">
        <f t="shared" si="39"/>
        <v>23.270299999999999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40"/>
        <v>188</v>
      </c>
      <c r="AE105" s="77" t="str">
        <f t="shared" si="41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105" s="74" t="str">
        <f t="shared" si="42"/>
        <v>"C:\Program Files (x86)\AstroGrep\AstroGrep.exe" /e /r /s /spath="%USERPROFILE%\AppData\Local\Temp\OnboardLogs" /stypes="app*4025*20171111*" /stext=" 23:.+((SYSTEM_STATE.+slice.+state.+changed )|(ment ac)|(multiple cpu faults)|(system.+state.+changed )|(\[timeout)|(PRM\|1\|D)|(kpr)|(kdp)|(train st.+moving)|(\|lc)|(penalty))"</v>
      </c>
      <c r="AG105" s="182" t="str">
        <f t="shared" si="43"/>
        <v>EC</v>
      </c>
      <c r="AH105" s="78" t="str">
        <f t="shared" si="44"/>
        <v>"%USERPROFILE%\Documents\GitHub\eaglep3\Utilities\RefineRTDCRunTimes.py" --tripid 188-11 --locoid 4025 --swversion DE.1.0.9.0 --startMP 204:232919 --initTime 2017-11-11T15:21:32 --startdatetime 2017-11-11T15:27:27 --delay 59 --endMP 204:216 --enddatetime 2017-11-11T16:05:23 --enforcementcount 0 &gt;&gt;%USERPROFILE%\Documents\GitHub\eaglep3-reporting\EC\2017-11-11-refined-times.txt</v>
      </c>
      <c r="AI10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{"issue":{"subject":"","project_id":79,"tracker_id":40,"status_id":1,"priority_id":2,"assigned_to_id":338,"start_date":"2017-11-11","description":"","custom_fields":[{"id":1,"name":"Subdivision","value":"EC"},{"id":4,"name":"Milepost","value":"0.0216"},{"id":17,"name":"Train ID","value":"188-11"},{"id":16,"name":"Locomotive ID","value":"4025"},{"id":130,"name":"Impact","value":""},{"id":150,"name":"Time of Event (Mountain Time)","value":"16:05:23"},{"id":151,"name":"Denver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6"/>
        <v>start /low /b %USERPROFILE%\Documents\GitHub\eaglep3\Utilities\DownloadLogsFromS3.py --loco 4025 --day 2017-11-11</v>
      </c>
      <c r="AN105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8"/>
        <v>https://d0f6bd738d7f1b3e5a7ca70fe4ff75f0.us-east-1.aws.found.io/app/kibana#/discover/Steve-Slow-Train-Analysis-(2080s-and-2083s)?_g=(refreshInterval:(display:Off,pause:!f,section:0,value:0),time:(from:'2017-11-11T14:21:32-0700',mode:absolute,to:'2017-11-11T17:05:23-0700'))&amp;_a=(columns:!('Message%20ID',Summary),filters:!(),index:'emp_*',interval:auto,query:(query_string:(analyze_wildcard:!t,query:'%22rtdc.l.rtdc.4025%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800</v>
      </c>
      <c r="B106" s="7">
        <v>4010</v>
      </c>
      <c r="C106" s="21" t="s">
        <v>192</v>
      </c>
      <c r="D106" s="21" t="s">
        <v>528</v>
      </c>
      <c r="E106" s="13">
        <v>43050.61409722222</v>
      </c>
      <c r="F106" s="13">
        <v>43050.615590277775</v>
      </c>
      <c r="G106" s="7">
        <v>54</v>
      </c>
      <c r="H106" s="21" t="s">
        <v>1016</v>
      </c>
      <c r="I106" s="13">
        <v>43050.641724537039</v>
      </c>
      <c r="J106" s="7">
        <v>0</v>
      </c>
      <c r="K106" s="89" t="str">
        <f t="shared" si="33"/>
        <v>4009/4010</v>
      </c>
      <c r="L106" s="185" t="str">
        <f>VLOOKUP(A106,'Trips&amp;Operators'!$C$1:$G$99911,5,FALSE)</f>
        <v>DAVIS MICHAEL</v>
      </c>
      <c r="M106" s="6">
        <f t="shared" si="34"/>
        <v>2.6134259263926651E-2</v>
      </c>
      <c r="N106" s="7">
        <f t="shared" si="52"/>
        <v>37.633333340054378</v>
      </c>
      <c r="O106" s="7"/>
      <c r="P106" s="7"/>
      <c r="Q106" s="22"/>
      <c r="R106" s="174"/>
      <c r="S106" s="221">
        <f t="shared" si="53"/>
        <v>1</v>
      </c>
      <c r="T106" s="174" t="str">
        <f t="shared" si="35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6"/>
        <v>https://d0f6bd738d7f1b3e5a7ca70fe4ff75f0.us-east-1.aws.found.io/app/kibana#/discover/Steve-Slow-Train-Analysis-(2080s-and-2083s)?_g=(refreshInterval:(display:Off,pause:!f,section:0,value:0),time:(from:'2017-11-11T13:44:18-0700',mode:absolute,to:'2017-11-11T16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204" t="str">
        <f>IF(AA106&lt;VLOOKUP(AG106,Variables!$AC$3:$AD$8,2,FALSE),"Y","N")</f>
        <v>N</v>
      </c>
      <c r="X106" s="204">
        <f t="shared" si="50"/>
        <v>1</v>
      </c>
      <c r="Y106" s="204">
        <f t="shared" si="37"/>
        <v>5.2900000000000003E-2</v>
      </c>
      <c r="Z106" s="204">
        <f t="shared" si="38"/>
        <v>23.325299999999999</v>
      </c>
      <c r="AA106" s="204">
        <f t="shared" si="39"/>
        <v>23.272399999999998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40"/>
        <v>189</v>
      </c>
      <c r="AE106" s="77" t="str">
        <f t="shared" si="41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06" s="74" t="str">
        <f t="shared" si="42"/>
        <v>"C:\Program Files (x86)\AstroGrep\AstroGrep.exe" /e /r /s /spath="%USERPROFILE%\AppData\Local\Temp\OnboardLogs" /stypes="app*4010*20171111*" /stext=" 22:.+((SYSTEM_STATE.+slice.+state.+changed )|(ment ac)|(multiple cpu faults)|(system.+state.+changed )|(\[timeout)|(PRM\|1\|D)|(kpr)|(kdp)|(train st.+moving)|(\|lc)|(penalty))"</v>
      </c>
      <c r="AG106" s="182" t="str">
        <f t="shared" si="43"/>
        <v>EC</v>
      </c>
      <c r="AH106" s="78" t="str">
        <f t="shared" si="44"/>
        <v>"%USERPROFILE%\Documents\GitHub\eaglep3\Utilities\RefineRTDCRunTimes.py" --tripid 189-11 --locoid 4010 --swversion DE.1.0.9.0 --startMP 204:529 --initTime 2017-11-11T14:44:18 --startdatetime 2017-11-11T14:46:27 --delay 54 --endMP 204:233253 --enddatetime 2017-11-11T15:24:05 --enforcementcount 0 &gt;&gt;%USERPROFILE%\Documents\GitHub\eaglep3-reporting\EC\2017-11-11-refined-times.txt</v>
      </c>
      <c r="AI106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{"issue":{"subject":"","project_id":79,"tracker_id":40,"status_id":1,"priority_id":2,"assigned_to_id":338,"start_date":"2017-11-11","description":"","custom_fields":[{"id":1,"name":"Subdivision","value":"EC"},{"id":4,"name":"Milepost","value":"23.3253"},{"id":17,"name":"Train ID","value":"189-11"},{"id":16,"name":"Locomotive ID","value":"4010"},{"id":130,"name":"Impact","value":""},{"id":150,"name":"Time of Event (Mountain Time)","value":"15:24:05"},{"id":151,"name":"Denver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6"/>
        <v>start /low /b %USERPROFILE%\Documents\GitHub\eaglep3\Utilities\DownloadLogsFromS3.py --loco 4010 --day 2017-11-11</v>
      </c>
      <c r="AN106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8"/>
        <v>https://d0f6bd738d7f1b3e5a7ca70fe4ff75f0.us-east-1.aws.found.io/app/kibana#/discover/Steve-Slow-Train-Analysis-(2080s-and-2083s)?_g=(refreshInterval:(display:Off,pause:!f,section:0,value:0),time:(from:'2017-11-11T13:44:18-0700',mode:absolute,to:'2017-11-11T16:24:05-0700'))&amp;_a=(columns:!('Message%20ID',Summary),filters:!(),index:'emp_*',interval:auto,query:(query_string:(analyze_wildcard:!t,query:'%22rtdc.l.rtdc.4010%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809</v>
      </c>
      <c r="B107" s="7">
        <v>4009</v>
      </c>
      <c r="C107" s="21" t="s">
        <v>192</v>
      </c>
      <c r="D107" s="21" t="s">
        <v>1017</v>
      </c>
      <c r="E107" s="13">
        <v>43050.650648148148</v>
      </c>
      <c r="F107" s="13">
        <v>43050.654652777775</v>
      </c>
      <c r="G107" s="7">
        <v>64</v>
      </c>
      <c r="H107" s="21" t="s">
        <v>472</v>
      </c>
      <c r="I107" s="13">
        <v>43050.683981481481</v>
      </c>
      <c r="J107" s="7">
        <v>0</v>
      </c>
      <c r="K107" s="89" t="str">
        <f t="shared" si="33"/>
        <v>4009/4010</v>
      </c>
      <c r="L107" s="185" t="str">
        <f>VLOOKUP(A107,'Trips&amp;Operators'!$C$1:$G$99911,5,FALSE)</f>
        <v>DAVIS MICHAEL</v>
      </c>
      <c r="M107" s="6">
        <f t="shared" si="34"/>
        <v>2.9328703705687076E-2</v>
      </c>
      <c r="N107" s="7">
        <f t="shared" si="52"/>
        <v>42.233333336189389</v>
      </c>
      <c r="O107" s="7"/>
      <c r="P107" s="7"/>
      <c r="Q107" s="22"/>
      <c r="R107" s="174"/>
      <c r="S107" s="221">
        <f t="shared" si="53"/>
        <v>1</v>
      </c>
      <c r="T107" s="174" t="str">
        <f t="shared" si="35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6"/>
        <v>https://d0f6bd738d7f1b3e5a7ca70fe4ff75f0.us-east-1.aws.found.io/app/kibana#/discover/Steve-Slow-Train-Analysis-(2080s-and-2083s)?_g=(refreshInterval:(display:Off,pause:!f,section:0,value:0),time:(from:'2017-11-11T14:36:56-0700',mode:absolute,to:'2017-11-11T17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204" t="str">
        <f>IF(AA107&lt;VLOOKUP(AG107,Variables!$AC$3:$AD$8,2,FALSE),"Y","N")</f>
        <v>N</v>
      </c>
      <c r="X107" s="204">
        <f t="shared" si="50"/>
        <v>1</v>
      </c>
      <c r="Y107" s="204">
        <f t="shared" si="37"/>
        <v>23.293399999999998</v>
      </c>
      <c r="Z107" s="204">
        <f t="shared" si="38"/>
        <v>2.3400000000000001E-2</v>
      </c>
      <c r="AA107" s="204">
        <f t="shared" si="39"/>
        <v>23.27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40"/>
        <v>190</v>
      </c>
      <c r="AE107" s="77" t="str">
        <f t="shared" si="41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07" s="74" t="str">
        <f t="shared" si="42"/>
        <v>"C:\Program Files (x86)\AstroGrep\AstroGrep.exe" /e /r /s /spath="%USERPROFILE%\AppData\Local\Temp\OnboardLogs" /stypes="app*4009*20171111*" /stext=" 23:.+((SYSTEM_STATE.+slice.+state.+changed )|(ment ac)|(multiple cpu faults)|(system.+state.+changed )|(\[timeout)|(PRM\|1\|D)|(kpr)|(kdp)|(train st.+moving)|(\|lc)|(penalty))"</v>
      </c>
      <c r="AG107" s="182" t="str">
        <f t="shared" si="43"/>
        <v>EC</v>
      </c>
      <c r="AH107" s="78" t="str">
        <f t="shared" si="44"/>
        <v>"%USERPROFILE%\Documents\GitHub\eaglep3\Utilities\RefineRTDCRunTimes.py" --tripid 190-11 --locoid 4009 --swversion DE.1.0.9.0 --startMP 204:232934 --initTime 2017-11-11T15:36:56 --startdatetime 2017-11-11T15:42:42 --delay 64 --endMP 204:234 --enddatetime 2017-11-11T16:24:56 --enforcementcount 0 &gt;&gt;%USERPROFILE%\Documents\GitHub\eaglep3-reporting\EC\2017-11-11-refined-times.txt</v>
      </c>
      <c r="AI10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{"issue":{"subject":"","project_id":79,"tracker_id":40,"status_id":1,"priority_id":2,"assigned_to_id":338,"start_date":"2017-11-11","description":"","custom_fields":[{"id":1,"name":"Subdivision","value":"EC"},{"id":4,"name":"Milepost","value":"0.0234"},{"id":17,"name":"Train ID","value":"190-11"},{"id":16,"name":"Locomotive ID","value":"4009"},{"id":130,"name":"Impact","value":""},{"id":150,"name":"Time of Event (Mountain Time)","value":"16:24:56"},{"id":151,"name":"Denver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6"/>
        <v>start /low /b %USERPROFILE%\Documents\GitHub\eaglep3\Utilities\DownloadLogsFromS3.py --loco 4009 --day 2017-11-11</v>
      </c>
      <c r="AN107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8"/>
        <v>https://d0f6bd738d7f1b3e5a7ca70fe4ff75f0.us-east-1.aws.found.io/app/kibana#/discover/Steve-Slow-Train-Analysis-(2080s-and-2083s)?_g=(refreshInterval:(display:Off,pause:!f,section:0,value:0),time:(from:'2017-11-11T14:36:56-0700',mode:absolute,to:'2017-11-11T17:24:56-0700'))&amp;_a=(columns:!('Message%20ID',Summary),filters:!(),index:'emp_*',interval:auto,query:(query_string:(analyze_wildcard:!t,query:'%22rtdc.l.rtdc.4009%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802</v>
      </c>
      <c r="B108" s="7">
        <v>4022</v>
      </c>
      <c r="C108" s="21" t="s">
        <v>192</v>
      </c>
      <c r="D108" s="21" t="s">
        <v>458</v>
      </c>
      <c r="E108" s="13">
        <v>43050.621192129627</v>
      </c>
      <c r="F108" s="13">
        <v>43050.625254629631</v>
      </c>
      <c r="G108" s="7">
        <v>125</v>
      </c>
      <c r="H108" s="21" t="s">
        <v>939</v>
      </c>
      <c r="I108" s="13">
        <v>43050.650694444441</v>
      </c>
      <c r="J108" s="7">
        <v>0</v>
      </c>
      <c r="K108" s="89" t="str">
        <f t="shared" si="33"/>
        <v>4021/4022</v>
      </c>
      <c r="L108" s="185" t="str">
        <f>VLOOKUP(A108,'Trips&amp;Operators'!$C$1:$G$99911,5,FALSE)</f>
        <v>SAFIEF AEIMEN</v>
      </c>
      <c r="M108" s="6">
        <f t="shared" si="34"/>
        <v>2.5439814809942618E-2</v>
      </c>
      <c r="N108" s="7">
        <f t="shared" si="52"/>
        <v>36.63333332631737</v>
      </c>
      <c r="O108" s="7"/>
      <c r="P108" s="7"/>
      <c r="Q108" s="22"/>
      <c r="R108" s="174"/>
      <c r="S108" s="221">
        <f t="shared" si="53"/>
        <v>1</v>
      </c>
      <c r="T108" s="174" t="str">
        <f t="shared" si="35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6"/>
        <v>https://d0f6bd738d7f1b3e5a7ca70fe4ff75f0.us-east-1.aws.found.io/app/kibana#/discover/Steve-Slow-Train-Analysis-(2080s-and-2083s)?_g=(refreshInterval:(display:Off,pause:!f,section:0,value:0),time:(from:'2017-11-11T13:54:31-0700',mode:absolute,to:'2017-11-11T16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8" s="204" t="str">
        <f>IF(AA108&lt;VLOOKUP(AG108,Variables!$AC$3:$AD$8,2,FALSE),"Y","N")</f>
        <v>N</v>
      </c>
      <c r="X108" s="204">
        <f t="shared" si="50"/>
        <v>1</v>
      </c>
      <c r="Y108" s="204">
        <f t="shared" si="37"/>
        <v>4.9500000000000002E-2</v>
      </c>
      <c r="Z108" s="204">
        <f t="shared" si="38"/>
        <v>23.322099999999999</v>
      </c>
      <c r="AA108" s="204">
        <f t="shared" si="39"/>
        <v>23.272600000000001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40"/>
        <v>191</v>
      </c>
      <c r="AE108" s="77" t="str">
        <f t="shared" si="41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108" s="74" t="str">
        <f t="shared" si="42"/>
        <v>"C:\Program Files (x86)\AstroGrep\AstroGrep.exe" /e /r /s /spath="%USERPROFILE%\AppData\Local\Temp\OnboardLogs" /stypes="app*4022*20171111*" /stext=" 22:.+((SYSTEM_STATE.+slice.+state.+changed )|(ment ac)|(multiple cpu faults)|(system.+state.+changed )|(\[timeout)|(PRM\|1\|D)|(kpr)|(kdp)|(train st.+moving)|(\|lc)|(penalty))"</v>
      </c>
      <c r="AG108" s="182" t="str">
        <f t="shared" si="43"/>
        <v>EC</v>
      </c>
      <c r="AH108" s="78" t="str">
        <f t="shared" si="44"/>
        <v>"%USERPROFILE%\Documents\GitHub\eaglep3\Utilities\RefineRTDCRunTimes.py" --tripid 191-11 --locoid 4022 --swversion DE.1.0.9.0 --startMP 204:495 --initTime 2017-11-11T14:54:31 --startdatetime 2017-11-11T15:00:22 --delay 125 --endMP 204:233221 --enddatetime 2017-11-11T15:37:00 --enforcementcount 0 &gt;&gt;%USERPROFILE%\Documents\GitHub\eaglep3-reporting\EC\2017-11-11-refined-times.txt</v>
      </c>
      <c r="AI10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{"issue":{"subject":"","project_id":79,"tracker_id":40,"status_id":1,"priority_id":2,"assigned_to_id":338,"start_date":"2017-11-11","description":"","custom_fields":[{"id":1,"name":"Subdivision","value":"EC"},{"id":4,"name":"Milepost","value":"23.3221"},{"id":17,"name":"Train ID","value":"191-11"},{"id":16,"name":"Locomotive ID","value":"4022"},{"id":130,"name":"Impact","value":""},{"id":150,"name":"Time of Event (Mountain Time)","value":"15:37:00"},{"id":151,"name":"Denver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6"/>
        <v>start /low /b %USERPROFILE%\Documents\GitHub\eaglep3\Utilities\DownloadLogsFromS3.py --loco 4022 --day 2017-11-11</v>
      </c>
      <c r="AN108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8"/>
        <v>https://d0f6bd738d7f1b3e5a7ca70fe4ff75f0.us-east-1.aws.found.io/app/kibana#/discover/Steve-Slow-Train-Analysis-(2080s-and-2083s)?_g=(refreshInterval:(display:Off,pause:!f,section:0,value:0),time:(from:'2017-11-11T13:54:31-0700',mode:absolute,to:'2017-11-11T16:37:00-0700'))&amp;_a=(columns:!('Message%20ID',Summary),filters:!(),index:'emp_*',interval:auto,query:(query_string:(analyze_wildcard:!t,query:'%22rtdc.l.rtdc.4022%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811</v>
      </c>
      <c r="B109" s="7">
        <v>4021</v>
      </c>
      <c r="C109" s="21" t="s">
        <v>192</v>
      </c>
      <c r="D109" s="21" t="s">
        <v>944</v>
      </c>
      <c r="E109" s="13">
        <v>43050.658668981479</v>
      </c>
      <c r="F109" s="13">
        <v>43050.66479166667</v>
      </c>
      <c r="G109" s="7">
        <v>93</v>
      </c>
      <c r="H109" s="21" t="s">
        <v>626</v>
      </c>
      <c r="I109" s="13">
        <v>43050.693576388891</v>
      </c>
      <c r="J109" s="7">
        <v>0</v>
      </c>
      <c r="K109" s="89" t="str">
        <f t="shared" si="33"/>
        <v>4021/4022</v>
      </c>
      <c r="L109" s="185" t="str">
        <f>VLOOKUP(A109,'Trips&amp;Operators'!$C$1:$G$99911,5,FALSE)</f>
        <v>SAFIEF AEIMEN</v>
      </c>
      <c r="M109" s="6">
        <f t="shared" si="34"/>
        <v>2.8784722220734693E-2</v>
      </c>
      <c r="N109" s="7">
        <f t="shared" si="52"/>
        <v>41.449999997857958</v>
      </c>
      <c r="O109" s="7"/>
      <c r="P109" s="7"/>
      <c r="Q109" s="22"/>
      <c r="R109" s="174"/>
      <c r="S109" s="221">
        <f t="shared" si="53"/>
        <v>1</v>
      </c>
      <c r="T109" s="174" t="str">
        <f t="shared" si="35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6"/>
        <v>https://d0f6bd738d7f1b3e5a7ca70fe4ff75f0.us-east-1.aws.found.io/app/kibana#/discover/Steve-Slow-Train-Analysis-(2080s-and-2083s)?_g=(refreshInterval:(display:Off,pause:!f,section:0,value:0),time:(from:'2017-11-11T14:48:29-0700',mode:absolute,to:'2017-11-11T17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9" s="204" t="str">
        <f>IF(AA109&lt;VLOOKUP(AG109,Variables!$AC$3:$AD$8,2,FALSE),"Y","N")</f>
        <v>N</v>
      </c>
      <c r="X109" s="204">
        <f t="shared" si="50"/>
        <v>1</v>
      </c>
      <c r="Y109" s="204">
        <f t="shared" ref="Y109:Y140" si="54">RIGHT(D109,LEN(D109)-4)/10000</f>
        <v>23.2896</v>
      </c>
      <c r="Z109" s="204">
        <f t="shared" ref="Z109:Z140" si="55">RIGHT(H109,LEN(H109)-4)/10000</f>
        <v>2.1600000000000001E-2</v>
      </c>
      <c r="AA109" s="204">
        <f t="shared" si="39"/>
        <v>23.268000000000001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40"/>
        <v>192</v>
      </c>
      <c r="AE109" s="77" t="str">
        <f t="shared" si="41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109" s="74" t="str">
        <f t="shared" si="42"/>
        <v>"C:\Program Files (x86)\AstroGrep\AstroGrep.exe" /e /r /s /spath="%USERPROFILE%\AppData\Local\Temp\OnboardLogs" /stypes="app*4021*20171111*" /stext=" 23:.+((SYSTEM_STATE.+slice.+state.+changed )|(ment ac)|(multiple cpu faults)|(system.+state.+changed )|(\[timeout)|(PRM\|1\|D)|(kpr)|(kdp)|(train st.+moving)|(\|lc)|(penalty))"</v>
      </c>
      <c r="AG109" s="182" t="str">
        <f t="shared" si="43"/>
        <v>EC</v>
      </c>
      <c r="AH109" s="78" t="str">
        <f t="shared" si="44"/>
        <v>"%USERPROFILE%\Documents\GitHub\eaglep3\Utilities\RefineRTDCRunTimes.py" --tripid 192-11 --locoid 4021 --swversion DE.1.0.9.0 --startMP 204:232896 --initTime 2017-11-11T15:48:29 --startdatetime 2017-11-11T15:57:18 --delay 93 --endMP 204:216 --enddatetime 2017-11-11T16:38:45 --enforcementcount 0 &gt;&gt;%USERPROFILE%\Documents\GitHub\eaglep3-reporting\EC\2017-11-11-refined-times.txt</v>
      </c>
      <c r="AI10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{"issue":{"subject":"","project_id":79,"tracker_id":40,"status_id":1,"priority_id":2,"assigned_to_id":338,"start_date":"2017-11-11","description":"","custom_fields":[{"id":1,"name":"Subdivision","value":"EC"},{"id":4,"name":"Milepost","value":"0.0216"},{"id":17,"name":"Train ID","value":"192-11"},{"id":16,"name":"Locomotive ID","value":"4021"},{"id":130,"name":"Impact","value":""},{"id":150,"name":"Time of Event (Mountain Time)","value":"16:38:45"},{"id":151,"name":"Denver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6"/>
        <v>start /low /b %USERPROFILE%\Documents\GitHub\eaglep3\Utilities\DownloadLogsFromS3.py --loco 4021 --day 2017-11-11</v>
      </c>
      <c r="AN109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8"/>
        <v>https://d0f6bd738d7f1b3e5a7ca70fe4ff75f0.us-east-1.aws.found.io/app/kibana#/discover/Steve-Slow-Train-Analysis-(2080s-and-2083s)?_g=(refreshInterval:(display:Off,pause:!f,section:0,value:0),time:(from:'2017-11-11T14:48:29-0700',mode:absolute,to:'2017-11-11T17:38:45-0700'))&amp;_a=(columns:!('Message%20ID',Summary),filters:!(),index:'emp_*',interval:auto,query:(query_string:(analyze_wildcard:!t,query:'%22rtdc.l.rtdc.4021%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805</v>
      </c>
      <c r="B110" s="7">
        <v>4036</v>
      </c>
      <c r="C110" s="21" t="s">
        <v>192</v>
      </c>
      <c r="D110" s="21" t="s">
        <v>609</v>
      </c>
      <c r="E110" s="13">
        <v>43050.634722222225</v>
      </c>
      <c r="F110" s="13">
        <v>43050.635914351849</v>
      </c>
      <c r="G110" s="7">
        <v>44</v>
      </c>
      <c r="H110" s="21" t="s">
        <v>602</v>
      </c>
      <c r="I110" s="13">
        <v>43050.660578703704</v>
      </c>
      <c r="J110" s="7">
        <v>0</v>
      </c>
      <c r="K110" s="89" t="str">
        <f t="shared" si="33"/>
        <v>4035/4036</v>
      </c>
      <c r="L110" s="185" t="str">
        <f>VLOOKUP(A110,'Trips&amp;Operators'!$C$1:$G$99911,5,FALSE)</f>
        <v>GUZMAN DANNY</v>
      </c>
      <c r="M110" s="6">
        <f t="shared" si="34"/>
        <v>2.4664351854880806E-2</v>
      </c>
      <c r="N110" s="7">
        <f t="shared" si="52"/>
        <v>35.516666671028361</v>
      </c>
      <c r="O110" s="7"/>
      <c r="P110" s="7"/>
      <c r="Q110" s="22"/>
      <c r="R110" s="174"/>
      <c r="S110" s="221">
        <f t="shared" si="53"/>
        <v>1</v>
      </c>
      <c r="T110" s="174" t="str">
        <f t="shared" si="35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6"/>
        <v>https://d0f6bd738d7f1b3e5a7ca70fe4ff75f0.us-east-1.aws.found.io/app/kibana#/discover/Steve-Slow-Train-Analysis-(2080s-and-2083s)?_g=(refreshInterval:(display:Off,pause:!f,section:0,value:0),time:(from:'2017-11-11T14:14:00-0700',mode:absolute,to:'2017-11-11T16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0" s="204" t="str">
        <f>IF(AA110&lt;VLOOKUP(AG110,Variables!$AC$3:$AD$8,2,FALSE),"Y","N")</f>
        <v>N</v>
      </c>
      <c r="X110" s="204">
        <f t="shared" si="50"/>
        <v>1</v>
      </c>
      <c r="Y110" s="204">
        <f t="shared" si="54"/>
        <v>0.05</v>
      </c>
      <c r="Z110" s="204">
        <f t="shared" si="55"/>
        <v>23.319500000000001</v>
      </c>
      <c r="AA110" s="204">
        <f t="shared" si="39"/>
        <v>23.269500000000001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40"/>
        <v>193</v>
      </c>
      <c r="AE110" s="77" t="str">
        <f t="shared" si="41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110" s="74" t="str">
        <f t="shared" si="42"/>
        <v>"C:\Program Files (x86)\AstroGrep\AstroGrep.exe" /e /r /s /spath="%USERPROFILE%\AppData\Local\Temp\OnboardLogs" /stypes="app*4036*20171111*" /stext=" 22:.+((SYSTEM_STATE.+slice.+state.+changed )|(ment ac)|(multiple cpu faults)|(system.+state.+changed )|(\[timeout)|(PRM\|1\|D)|(kpr)|(kdp)|(train st.+moving)|(\|lc)|(penalty))"</v>
      </c>
      <c r="AG110" s="182" t="str">
        <f t="shared" si="43"/>
        <v>EC</v>
      </c>
      <c r="AH110" s="78" t="str">
        <f t="shared" si="44"/>
        <v>"%USERPROFILE%\Documents\GitHub\eaglep3\Utilities\RefineRTDCRunTimes.py" --tripid 193-11 --locoid 4036 --swversion DE.1.0.9.0 --startMP 204:500 --initTime 2017-11-11T15:14:00 --startdatetime 2017-11-11T15:15:43 --delay 44 --endMP 204:233195 --enddatetime 2017-11-11T15:51:14 --enforcementcount 0 &gt;&gt;%USERPROFILE%\Documents\GitHub\eaglep3-reporting\EC\2017-11-11-refined-times.txt</v>
      </c>
      <c r="AI11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{"issue":{"subject":"","project_id":79,"tracker_id":40,"status_id":1,"priority_id":2,"assigned_to_id":338,"start_date":"2017-11-11","description":"","custom_fields":[{"id":1,"name":"Subdivision","value":"EC"},{"id":4,"name":"Milepost","value":"23.3195"},{"id":17,"name":"Train ID","value":"193-11"},{"id":16,"name":"Locomotive ID","value":"4036"},{"id":130,"name":"Impact","value":""},{"id":150,"name":"Time of Event (Mountain Time)","value":"15:51:14"},{"id":151,"name":"Denver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6"/>
        <v>start /low /b %USERPROFILE%\Documents\GitHub\eaglep3\Utilities\DownloadLogsFromS3.py --loco 4036 --day 2017-11-11</v>
      </c>
      <c r="AN110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8"/>
        <v>https://d0f6bd738d7f1b3e5a7ca70fe4ff75f0.us-east-1.aws.found.io/app/kibana#/discover/Steve-Slow-Train-Analysis-(2080s-and-2083s)?_g=(refreshInterval:(display:Off,pause:!f,section:0,value:0),time:(from:'2017-11-11T14:14:00-0700',mode:absolute,to:'2017-11-11T16:51:14-0700'))&amp;_a=(columns:!('Message%20ID',Summary),filters:!(),index:'emp_*',interval:auto,query:(query_string:(analyze_wildcard:!t,query:'%22rtdc.l.rtdc.4036%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812</v>
      </c>
      <c r="B111" s="7">
        <v>4035</v>
      </c>
      <c r="C111" s="21" t="s">
        <v>192</v>
      </c>
      <c r="D111" s="21" t="s">
        <v>1022</v>
      </c>
      <c r="E111" s="13">
        <v>43050.662418981483</v>
      </c>
      <c r="F111" s="13">
        <v>43050.675243055557</v>
      </c>
      <c r="G111" s="7">
        <v>54</v>
      </c>
      <c r="H111" s="21" t="s">
        <v>1023</v>
      </c>
      <c r="I111" s="13">
        <v>43050.701469907406</v>
      </c>
      <c r="J111" s="7">
        <v>0</v>
      </c>
      <c r="K111" s="89" t="str">
        <f t="shared" si="33"/>
        <v>4035/4036</v>
      </c>
      <c r="L111" s="185" t="str">
        <f>VLOOKUP(A111,'Trips&amp;Operators'!$C$1:$G$99911,5,FALSE)</f>
        <v>GUZMAN DANNY</v>
      </c>
      <c r="M111" s="6">
        <f t="shared" si="34"/>
        <v>2.622685184906004E-2</v>
      </c>
      <c r="N111" s="7">
        <f t="shared" si="52"/>
        <v>37.766666662646458</v>
      </c>
      <c r="O111" s="7"/>
      <c r="P111" s="7"/>
      <c r="Q111" s="22"/>
      <c r="R111" s="174"/>
      <c r="S111" s="221">
        <f t="shared" si="53"/>
        <v>1</v>
      </c>
      <c r="T111" s="174" t="str">
        <f t="shared" si="35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6"/>
        <v>https://d0f6bd738d7f1b3e5a7ca70fe4ff75f0.us-east-1.aws.found.io/app/kibana#/discover/Steve-Slow-Train-Analysis-(2080s-and-2083s)?_g=(refreshInterval:(display:Off,pause:!f,section:0,value:0),time:(from:'2017-11-11T14:53:53-0700',mode:absolute,to:'2017-11-11T17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1" s="204" t="str">
        <f>IF(AA111&lt;VLOOKUP(AG111,Variables!$AC$3:$AD$8,2,FALSE),"Y","N")</f>
        <v>N</v>
      </c>
      <c r="X111" s="204">
        <f t="shared" si="50"/>
        <v>1</v>
      </c>
      <c r="Y111" s="204">
        <f t="shared" si="54"/>
        <v>23.287299999999998</v>
      </c>
      <c r="Z111" s="204">
        <f t="shared" si="55"/>
        <v>2.7099999999999999E-2</v>
      </c>
      <c r="AA111" s="204">
        <f t="shared" si="39"/>
        <v>23.260199999999998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40"/>
        <v>194</v>
      </c>
      <c r="AE111" s="77" t="str">
        <f t="shared" si="41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111" s="74" t="str">
        <f t="shared" si="42"/>
        <v>"C:\Program Files (x86)\AstroGrep\AstroGrep.exe" /e /r /s /spath="%USERPROFILE%\AppData\Local\Temp\OnboardLogs" /stypes="app*4035*20171111*" /stext=" 23:.+((SYSTEM_STATE.+slice.+state.+changed )|(ment ac)|(multiple cpu faults)|(system.+state.+changed )|(\[timeout)|(PRM\|1\|D)|(kpr)|(kdp)|(train st.+moving)|(\|lc)|(penalty))"</v>
      </c>
      <c r="AG111" s="182" t="str">
        <f t="shared" si="43"/>
        <v>EC</v>
      </c>
      <c r="AH111" s="78" t="str">
        <f t="shared" si="44"/>
        <v>"%USERPROFILE%\Documents\GitHub\eaglep3\Utilities\RefineRTDCRunTimes.py" --tripid 194-11 --locoid 4035 --swversion DE.1.0.9.0 --startMP 204:232873 --initTime 2017-11-11T15:53:53 --startdatetime 2017-11-11T16:12:21 --delay 54 --endMP 204:271 --enddatetime 2017-11-11T16:50:07 --enforcementcount 0 &gt;&gt;%USERPROFILE%\Documents\GitHub\eaglep3-reporting\EC\2017-11-11-refined-times.txt</v>
      </c>
      <c r="AI11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{"issue":{"subject":"","project_id":79,"tracker_id":40,"status_id":1,"priority_id":2,"assigned_to_id":338,"start_date":"2017-11-11","description":"","custom_fields":[{"id":1,"name":"Subdivision","value":"EC"},{"id":4,"name":"Milepost","value":"0.0271"},{"id":17,"name":"Train ID","value":"194-11"},{"id":16,"name":"Locomotive ID","value":"4035"},{"id":130,"name":"Impact","value":""},{"id":150,"name":"Time of Event (Mountain Time)","value":"16:50:07"},{"id":151,"name":"Denver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6"/>
        <v>start /low /b %USERPROFILE%\Documents\GitHub\eaglep3\Utilities\DownloadLogsFromS3.py --loco 4035 --day 2017-11-11</v>
      </c>
      <c r="AN111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8"/>
        <v>https://d0f6bd738d7f1b3e5a7ca70fe4ff75f0.us-east-1.aws.found.io/app/kibana#/discover/Steve-Slow-Train-Analysis-(2080s-and-2083s)?_g=(refreshInterval:(display:Off,pause:!f,section:0,value:0),time:(from:'2017-11-11T14:53:53-0700',mode:absolute,to:'2017-11-11T17:50:07-0700'))&amp;_a=(columns:!('Message%20ID',Summary),filters:!(),index:'emp_*',interval:auto,query:(query_string:(analyze_wildcard:!t,query:'%22rtdc.l.rtdc.4035%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808</v>
      </c>
      <c r="B112" s="7">
        <v>4044</v>
      </c>
      <c r="C112" s="21" t="s">
        <v>192</v>
      </c>
      <c r="D112" s="21" t="s">
        <v>1024</v>
      </c>
      <c r="E112" s="13">
        <v>43050.644224537034</v>
      </c>
      <c r="F112" s="13">
        <v>43050.646018518521</v>
      </c>
      <c r="G112" s="7">
        <v>53</v>
      </c>
      <c r="H112" s="21" t="s">
        <v>566</v>
      </c>
      <c r="I112" s="13">
        <v>43050.674583333333</v>
      </c>
      <c r="J112" s="7">
        <v>0</v>
      </c>
      <c r="K112" s="89" t="str">
        <f t="shared" si="33"/>
        <v>4043/4044</v>
      </c>
      <c r="L112" s="185" t="str">
        <f>VLOOKUP(A112,'Trips&amp;Operators'!$C$1:$G$99911,5,FALSE)</f>
        <v>BADERTSCHER DIANE</v>
      </c>
      <c r="M112" s="6">
        <f t="shared" si="34"/>
        <v>2.8564814812853001E-2</v>
      </c>
      <c r="N112" s="7">
        <f t="shared" si="52"/>
        <v>41.133333330508322</v>
      </c>
      <c r="O112" s="7"/>
      <c r="P112" s="7"/>
      <c r="Q112" s="22"/>
      <c r="R112" s="174"/>
      <c r="S112" s="221">
        <f t="shared" si="53"/>
        <v>1</v>
      </c>
      <c r="T112" s="174" t="str">
        <f t="shared" si="35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6"/>
        <v>https://d0f6bd738d7f1b3e5a7ca70fe4ff75f0.us-east-1.aws.found.io/app/kibana#/discover/Steve-Slow-Train-Analysis-(2080s-and-2083s)?_g=(refreshInterval:(display:Off,pause:!f,section:0,value:0),time:(from:'2017-11-11T14:27:41-0700',mode:absolute,to:'2017-11-11T17:11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204" t="str">
        <f>IF(AA112&lt;VLOOKUP(AG112,Variables!$AC$3:$AD$8,2,FALSE),"Y","N")</f>
        <v>N</v>
      </c>
      <c r="X112" s="204">
        <f t="shared" si="50"/>
        <v>1</v>
      </c>
      <c r="Y112" s="204">
        <f t="shared" si="54"/>
        <v>5.33E-2</v>
      </c>
      <c r="Z112" s="204">
        <f t="shared" si="55"/>
        <v>23.321200000000001</v>
      </c>
      <c r="AA112" s="204">
        <f t="shared" si="39"/>
        <v>23.267900000000001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40"/>
        <v>195</v>
      </c>
      <c r="AE112" s="77" t="str">
        <f t="shared" si="41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12" s="74" t="str">
        <f t="shared" si="42"/>
        <v>"C:\Program Files (x86)\AstroGrep\AstroGrep.exe" /e /r /s /spath="%USERPROFILE%\AppData\Local\Temp\OnboardLogs" /stypes="app*4044*20171111*" /stext=" 23:.+((SYSTEM_STATE.+slice.+state.+changed )|(ment ac)|(multiple cpu faults)|(system.+state.+changed )|(\[timeout)|(PRM\|1\|D)|(kpr)|(kdp)|(train st.+moving)|(\|lc)|(penalty))"</v>
      </c>
      <c r="AG112" s="182" t="str">
        <f t="shared" si="43"/>
        <v>EC</v>
      </c>
      <c r="AH112" s="78" t="str">
        <f t="shared" si="44"/>
        <v>"%USERPROFILE%\Documents\GitHub\eaglep3\Utilities\RefineRTDCRunTimes.py" --tripid 195-11 --locoid 4044 --swversion DE.1.0.9.0 --startMP 204:533 --initTime 2017-11-11T15:27:41 --startdatetime 2017-11-11T15:30:16 --delay 53 --endMP 204:233212 --enddatetime 2017-11-11T16:11:24 --enforcementcount 0 &gt;&gt;%USERPROFILE%\Documents\GitHub\eaglep3-reporting\EC\2017-11-11-refined-times.txt</v>
      </c>
      <c r="AI112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{"issue":{"subject":"","project_id":79,"tracker_id":40,"status_id":1,"priority_id":2,"assigned_to_id":338,"start_date":"2017-11-11","description":"","custom_fields":[{"id":1,"name":"Subdivision","value":"EC"},{"id":4,"name":"Milepost","value":"23.3212"},{"id":17,"name":"Train ID","value":"195-11"},{"id":16,"name":"Locomotive ID","value":"4044"},{"id":130,"name":"Impact","value":""},{"id":150,"name":"Time of Event (Mountain Time)","value":"16:11:24"},{"id":151,"name":"Denver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6"/>
        <v>start /low /b %USERPROFILE%\Documents\GitHub\eaglep3\Utilities\DownloadLogsFromS3.py --loco 4044 --day 2017-11-11</v>
      </c>
      <c r="AN112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23:11:24"},{"id":29,"name":"Sharepoint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8"/>
        <v>https://d0f6bd738d7f1b3e5a7ca70fe4ff75f0.us-east-1.aws.found.io/app/kibana#/discover/Steve-Slow-Train-Analysis-(2080s-and-2083s)?_g=(refreshInterval:(display:Off,pause:!f,section:0,value:0),time:(from:'2017-11-11T14:27:41-0700',mode:absolute,to:'2017-11-11T17:11:24-0700'))&amp;_a=(columns:!('Message%20ID',Summary),filters:!(),index:'emp_*',interval:auto,query:(query_string:(analyze_wildcard:!t,query:'%22rtdc.l.rtdc.4044%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818</v>
      </c>
      <c r="B113" s="7">
        <v>4043</v>
      </c>
      <c r="C113" s="21" t="s">
        <v>192</v>
      </c>
      <c r="D113" s="21" t="s">
        <v>1025</v>
      </c>
      <c r="E113" s="13">
        <v>43050.676504629628</v>
      </c>
      <c r="F113" s="13">
        <v>43050.685682870368</v>
      </c>
      <c r="G113" s="7">
        <v>85</v>
      </c>
      <c r="H113" s="21" t="s">
        <v>1026</v>
      </c>
      <c r="I113" s="13">
        <v>43050.713090277779</v>
      </c>
      <c r="J113" s="7">
        <v>0</v>
      </c>
      <c r="K113" s="89" t="str">
        <f t="shared" si="33"/>
        <v>4043/4044</v>
      </c>
      <c r="L113" s="185" t="str">
        <f>VLOOKUP(A113,'Trips&amp;Operators'!$C$1:$G$99911,5,FALSE)</f>
        <v>BADERTSCHER DIANE</v>
      </c>
      <c r="M113" s="6">
        <f t="shared" si="34"/>
        <v>2.7407407411374152E-2</v>
      </c>
      <c r="N113" s="7">
        <f t="shared" si="52"/>
        <v>39.466666672378778</v>
      </c>
      <c r="O113" s="7"/>
      <c r="P113" s="7"/>
      <c r="Q113" s="22"/>
      <c r="R113" s="174"/>
      <c r="S113" s="221">
        <f t="shared" si="53"/>
        <v>1</v>
      </c>
      <c r="T113" s="174" t="str">
        <f t="shared" si="35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6"/>
        <v>https://d0f6bd738d7f1b3e5a7ca70fe4ff75f0.us-east-1.aws.found.io/app/kibana#/discover/Steve-Slow-Train-Analysis-(2080s-and-2083s)?_g=(refreshInterval:(display:Off,pause:!f,section:0,value:0),time:(from:'2017-11-11T15:14:10-0700',mode:absolute,to:'2017-11-11T18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204" t="str">
        <f>IF(AA113&lt;VLOOKUP(AG113,Variables!$AC$3:$AD$8,2,FALSE),"Y","N")</f>
        <v>N</v>
      </c>
      <c r="X113" s="204">
        <f t="shared" si="50"/>
        <v>1</v>
      </c>
      <c r="Y113" s="204">
        <f t="shared" si="54"/>
        <v>23.290800000000001</v>
      </c>
      <c r="Z113" s="204">
        <f t="shared" si="55"/>
        <v>2.4E-2</v>
      </c>
      <c r="AA113" s="204">
        <f t="shared" si="39"/>
        <v>23.2668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40"/>
        <v>196</v>
      </c>
      <c r="AE113" s="77" t="str">
        <f t="shared" si="41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13" s="74" t="str">
        <f t="shared" si="42"/>
        <v>"C:\Program Files (x86)\AstroGrep\AstroGrep.exe" /e /r /s /spath="%USERPROFILE%\AppData\Local\Temp\OnboardLogs" /stypes="app*4043*20171112*" /stext=" 00:.+((SYSTEM_STATE.+slice.+state.+changed )|(ment ac)|(multiple cpu faults)|(system.+state.+changed )|(\[timeout)|(PRM\|1\|D)|(kpr)|(kdp)|(train st.+moving)|(\|lc)|(penalty))"</v>
      </c>
      <c r="AG113" s="182" t="str">
        <f t="shared" si="43"/>
        <v>EC</v>
      </c>
      <c r="AH113" s="78" t="str">
        <f t="shared" si="44"/>
        <v>"%USERPROFILE%\Documents\GitHub\eaglep3\Utilities\RefineRTDCRunTimes.py" --tripid 196-11 --locoid 4043 --swversion DE.1.0.9.0 --startMP 204:232908 --initTime 2017-11-11T16:14:10 --startdatetime 2017-11-11T16:27:23 --delay 85 --endMP 204:240 --enddatetime 2017-11-11T17:06:51 --enforcementcount 0 &gt;&gt;%USERPROFILE%\Documents\GitHub\eaglep3-reporting\EC\2017-11-11-refined-times.txt</v>
      </c>
      <c r="AI113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{"issue":{"subject":"","project_id":79,"tracker_id":40,"status_id":1,"priority_id":2,"assigned_to_id":338,"start_date":"2017-11-11","description":"","custom_fields":[{"id":1,"name":"Subdivision","value":"EC"},{"id":4,"name":"Milepost","value":"0.024"},{"id":17,"name":"Train ID","value":"196-11"},{"id":16,"name":"Locomotive ID","value":"4043"},{"id":130,"name":"Impact","value":""},{"id":150,"name":"Time of Event (Mountain Time)","value":"17:06:51"},{"id":151,"name":"Denver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6"/>
        <v>start /low /b %USERPROFILE%\Documents\GitHub\eaglep3\Utilities\DownloadLogsFromS3.py --loco 4043 --day 2017-11-11</v>
      </c>
      <c r="AN113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8"/>
        <v>https://d0f6bd738d7f1b3e5a7ca70fe4ff75f0.us-east-1.aws.found.io/app/kibana#/discover/Steve-Slow-Train-Analysis-(2080s-and-2083s)?_g=(refreshInterval:(display:Off,pause:!f,section:0,value:0),time:(from:'2017-11-11T15:14:10-0700',mode:absolute,to:'2017-11-11T18:06:51-0700'))&amp;_a=(columns:!('Message%20ID',Summary),filters:!(),index:'emp_*',interval:auto,query:(query_string:(analyze_wildcard:!t,query:'%22rtdc.l.rtdc.4043%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810</v>
      </c>
      <c r="B114" s="7">
        <v>4066</v>
      </c>
      <c r="C114" s="21" t="s">
        <v>192</v>
      </c>
      <c r="D114" s="21" t="s">
        <v>1027</v>
      </c>
      <c r="E114" s="13">
        <v>43050.654305555552</v>
      </c>
      <c r="F114" s="13">
        <v>43050.656863425924</v>
      </c>
      <c r="G114" s="7">
        <v>55</v>
      </c>
      <c r="H114" s="21" t="s">
        <v>620</v>
      </c>
      <c r="I114" s="13">
        <v>43050.681851851848</v>
      </c>
      <c r="J114" s="7">
        <v>0</v>
      </c>
      <c r="K114" s="89" t="str">
        <f t="shared" si="33"/>
        <v>4065/4066</v>
      </c>
      <c r="L114" s="185" t="str">
        <f>VLOOKUP(A114,'Trips&amp;Operators'!$C$1:$G$99911,5,FALSE)</f>
        <v>BERLING GARY</v>
      </c>
      <c r="M114" s="6">
        <f t="shared" si="34"/>
        <v>2.4988425924675539E-2</v>
      </c>
      <c r="N114" s="7">
        <f t="shared" si="52"/>
        <v>35.983333331532776</v>
      </c>
      <c r="O114" s="7"/>
      <c r="P114" s="7"/>
      <c r="Q114" s="22"/>
      <c r="R114" s="174"/>
      <c r="S114" s="221">
        <f t="shared" si="53"/>
        <v>1</v>
      </c>
      <c r="T114" s="174" t="str">
        <f t="shared" si="35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6"/>
        <v>https://d0f6bd738d7f1b3e5a7ca70fe4ff75f0.us-east-1.aws.found.io/app/kibana#/discover/Steve-Slow-Train-Analysis-(2080s-and-2083s)?_g=(refreshInterval:(display:Off,pause:!f,section:0,value:0),time:(from:'2017-11-11T14:42:12-0700',mode:absolute,to:'2017-11-11T17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4" s="204" t="str">
        <f>IF(AA114&lt;VLOOKUP(AG114,Variables!$AC$3:$AD$8,2,FALSE),"Y","N")</f>
        <v>N</v>
      </c>
      <c r="X114" s="204">
        <f t="shared" si="50"/>
        <v>1</v>
      </c>
      <c r="Y114" s="204">
        <f t="shared" si="54"/>
        <v>6.2600000000000003E-2</v>
      </c>
      <c r="Z114" s="204">
        <f t="shared" si="55"/>
        <v>23.323</v>
      </c>
      <c r="AA114" s="204">
        <f t="shared" si="39"/>
        <v>23.260400000000001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40"/>
        <v>197</v>
      </c>
      <c r="AE114" s="77" t="str">
        <f t="shared" si="41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114" s="74" t="str">
        <f t="shared" si="42"/>
        <v>"C:\Program Files (x86)\AstroGrep\AstroGrep.exe" /e /r /s /spath="%USERPROFILE%\AppData\Local\Temp\OnboardLogs" /stypes="app*4066*20171111*" /stext=" 23:.+((SYSTEM_STATE.+slice.+state.+changed )|(ment ac)|(multiple cpu faults)|(system.+state.+changed )|(\[timeout)|(PRM\|1\|D)|(kpr)|(kdp)|(train st.+moving)|(\|lc)|(penalty))"</v>
      </c>
      <c r="AG114" s="182" t="str">
        <f t="shared" si="43"/>
        <v>EC</v>
      </c>
      <c r="AH114" s="78" t="str">
        <f t="shared" si="44"/>
        <v>"%USERPROFILE%\Documents\GitHub\eaglep3\Utilities\RefineRTDCRunTimes.py" --tripid 197-11 --locoid 4066 --swversion DE.1.0.9.0 --startMP 204:626 --initTime 2017-11-11T15:42:12 --startdatetime 2017-11-11T15:45:53 --delay 55 --endMP 204:233230 --enddatetime 2017-11-11T16:21:52 --enforcementcount 0 &gt;&gt;%USERPROFILE%\Documents\GitHub\eaglep3-reporting\EC\2017-11-11-refined-times.txt</v>
      </c>
      <c r="AI11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{"issue":{"subject":"","project_id":79,"tracker_id":40,"status_id":1,"priority_id":2,"assigned_to_id":338,"start_date":"2017-11-11","description":"","custom_fields":[{"id":1,"name":"Subdivision","value":"EC"},{"id":4,"name":"Milepost","value":"23.323"},{"id":17,"name":"Train ID","value":"197-11"},{"id":16,"name":"Locomotive ID","value":"4066"},{"id":130,"name":"Impact","value":""},{"id":150,"name":"Time of Event (Mountain Time)","value":"16:21:52"},{"id":151,"name":"Denver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6"/>
        <v>start /low /b %USERPROFILE%\Documents\GitHub\eaglep3\Utilities\DownloadLogsFromS3.py --loco 4066 --day 2017-11-11</v>
      </c>
      <c r="AN114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8"/>
        <v>https://d0f6bd738d7f1b3e5a7ca70fe4ff75f0.us-east-1.aws.found.io/app/kibana#/discover/Steve-Slow-Train-Analysis-(2080s-and-2083s)?_g=(refreshInterval:(display:Off,pause:!f,section:0,value:0),time:(from:'2017-11-11T14:42:12-0700',mode:absolute,to:'2017-11-11T17:21:52-0700'))&amp;_a=(columns:!('Message%20ID',Summary),filters:!(),index:'emp_*',interval:auto,query:(query_string:(analyze_wildcard:!t,query:'%22rtdc.l.rtdc.4066%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821</v>
      </c>
      <c r="B115" s="7">
        <v>4065</v>
      </c>
      <c r="C115" s="21" t="s">
        <v>192</v>
      </c>
      <c r="D115" s="21" t="s">
        <v>1028</v>
      </c>
      <c r="E115" s="13">
        <v>43050.689293981479</v>
      </c>
      <c r="F115" s="13">
        <v>43050.69599537037</v>
      </c>
      <c r="G115" s="7">
        <v>57</v>
      </c>
      <c r="H115" s="21" t="s">
        <v>1029</v>
      </c>
      <c r="I115" s="13">
        <v>43050.723807870374</v>
      </c>
      <c r="J115" s="7">
        <v>0</v>
      </c>
      <c r="K115" s="89" t="str">
        <f t="shared" si="33"/>
        <v>4065/4066</v>
      </c>
      <c r="L115" s="185" t="str">
        <f>VLOOKUP(A115,'Trips&amp;Operators'!$C$1:$G$99911,5,FALSE)</f>
        <v>BERLING GARY</v>
      </c>
      <c r="M115" s="6">
        <f t="shared" si="34"/>
        <v>2.7812500004074536E-2</v>
      </c>
      <c r="N115" s="7">
        <f t="shared" si="52"/>
        <v>40.050000005867332</v>
      </c>
      <c r="O115" s="7"/>
      <c r="P115" s="7"/>
      <c r="Q115" s="22"/>
      <c r="R115" s="174"/>
      <c r="S115" s="221">
        <f t="shared" si="53"/>
        <v>1</v>
      </c>
      <c r="T115" s="174" t="str">
        <f t="shared" si="35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6"/>
        <v>https://d0f6bd738d7f1b3e5a7ca70fe4ff75f0.us-east-1.aws.found.io/app/kibana#/discover/Steve-Slow-Train-Analysis-(2080s-and-2083s)?_g=(refreshInterval:(display:Off,pause:!f,section:0,value:0),time:(from:'2017-11-11T15:32:35-0700',mode:absolute,to:'2017-11-11T18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5" s="204" t="str">
        <f>IF(AA115&lt;VLOOKUP(AG115,Variables!$AC$3:$AD$8,2,FALSE),"Y","N")</f>
        <v>N</v>
      </c>
      <c r="X115" s="204">
        <f t="shared" si="50"/>
        <v>1</v>
      </c>
      <c r="Y115" s="204">
        <f t="shared" si="54"/>
        <v>23.292300000000001</v>
      </c>
      <c r="Z115" s="204">
        <f t="shared" si="55"/>
        <v>2.4299999999999999E-2</v>
      </c>
      <c r="AA115" s="204">
        <f t="shared" si="39"/>
        <v>23.268000000000001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40"/>
        <v>198</v>
      </c>
      <c r="AE115" s="77" t="str">
        <f t="shared" si="41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115" s="74" t="str">
        <f t="shared" si="42"/>
        <v>"C:\Program Files (x86)\AstroGrep\AstroGrep.exe" /e /r /s /spath="%USERPROFILE%\AppData\Local\Temp\OnboardLogs" /stypes="app*4065*20171112*" /stext=" 00:.+((SYSTEM_STATE.+slice.+state.+changed )|(ment ac)|(multiple cpu faults)|(system.+state.+changed )|(\[timeout)|(PRM\|1\|D)|(kpr)|(kdp)|(train st.+moving)|(\|lc)|(penalty))"</v>
      </c>
      <c r="AG115" s="182" t="str">
        <f t="shared" si="43"/>
        <v>EC</v>
      </c>
      <c r="AH115" s="78" t="str">
        <f t="shared" si="44"/>
        <v>"%USERPROFILE%\Documents\GitHub\eaglep3\Utilities\RefineRTDCRunTimes.py" --tripid 198-11 --locoid 4065 --swversion DE.1.0.9.0 --startMP 204:232923 --initTime 2017-11-11T16:32:35 --startdatetime 2017-11-11T16:42:14 --delay 57 --endMP 204:243 --enddatetime 2017-11-11T17:22:17 --enforcementcount 0 &gt;&gt;%USERPROFILE%\Documents\GitHub\eaglep3-reporting\EC\2017-11-11-refined-times.txt</v>
      </c>
      <c r="AI11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{"issue":{"subject":"","project_id":79,"tracker_id":40,"status_id":1,"priority_id":2,"assigned_to_id":338,"start_date":"2017-11-11","description":"","custom_fields":[{"id":1,"name":"Subdivision","value":"EC"},{"id":4,"name":"Milepost","value":"0.0243"},{"id":17,"name":"Train ID","value":"198-11"},{"id":16,"name":"Locomotive ID","value":"4065"},{"id":130,"name":"Impact","value":""},{"id":150,"name":"Time of Event (Mountain Time)","value":"17:22:17"},{"id":151,"name":"Denver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6"/>
        <v>start /low /b %USERPROFILE%\Documents\GitHub\eaglep3\Utilities\DownloadLogsFromS3.py --loco 4065 --day 2017-11-11</v>
      </c>
      <c r="AN115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8"/>
        <v>https://d0f6bd738d7f1b3e5a7ca70fe4ff75f0.us-east-1.aws.found.io/app/kibana#/discover/Steve-Slow-Train-Analysis-(2080s-and-2083s)?_g=(refreshInterval:(display:Off,pause:!f,section:0,value:0),time:(from:'2017-11-11T15:32:35-0700',mode:absolute,to:'2017-11-11T18:22:17-0700'))&amp;_a=(columns:!('Message%20ID',Summary),filters:!(),index:'emp_*',interval:auto,query:(query_string:(analyze_wildcard:!t,query:'%22rtdc.l.rtdc.4065%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813</v>
      </c>
      <c r="B116" s="7">
        <v>4058</v>
      </c>
      <c r="C116" s="21" t="s">
        <v>192</v>
      </c>
      <c r="D116" s="21" t="s">
        <v>1030</v>
      </c>
      <c r="E116" s="13">
        <v>43050.663287037038</v>
      </c>
      <c r="F116" s="13">
        <v>43050.66684027778</v>
      </c>
      <c r="G116" s="7">
        <v>61</v>
      </c>
      <c r="H116" s="21" t="s">
        <v>948</v>
      </c>
      <c r="I116" s="13">
        <v>43050.691874999997</v>
      </c>
      <c r="J116" s="7">
        <v>0</v>
      </c>
      <c r="K116" s="89" t="str">
        <f t="shared" si="33"/>
        <v>4057/4058</v>
      </c>
      <c r="L116" s="185" t="str">
        <f>VLOOKUP(A116,'Trips&amp;Operators'!$C$1:$G$99911,5,FALSE)</f>
        <v>BRUDER RICHARD</v>
      </c>
      <c r="M116" s="6">
        <f t="shared" si="34"/>
        <v>2.5034722217242233E-2</v>
      </c>
      <c r="N116" s="7">
        <f t="shared" si="52"/>
        <v>36.049999992828816</v>
      </c>
      <c r="O116" s="7"/>
      <c r="P116" s="7"/>
      <c r="Q116" s="22"/>
      <c r="R116" s="174"/>
      <c r="S116" s="221">
        <f t="shared" si="53"/>
        <v>1</v>
      </c>
      <c r="T116" s="174" t="str">
        <f t="shared" si="35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6"/>
        <v>https://d0f6bd738d7f1b3e5a7ca70fe4ff75f0.us-east-1.aws.found.io/app/kibana#/discover/Steve-Slow-Train-Analysis-(2080s-and-2083s)?_g=(refreshInterval:(display:Off,pause:!f,section:0,value:0),time:(from:'2017-11-11T14:55:08-0700',mode:absolute,to:'2017-11-11T17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6" s="204" t="str">
        <f>IF(AA116&lt;VLOOKUP(AG116,Variables!$AC$3:$AD$8,2,FALSE),"Y","N")</f>
        <v>N</v>
      </c>
      <c r="X116" s="204">
        <f t="shared" si="50"/>
        <v>1</v>
      </c>
      <c r="Y116" s="204">
        <f t="shared" si="54"/>
        <v>5.3999999999999999E-2</v>
      </c>
      <c r="Z116" s="204">
        <f t="shared" si="55"/>
        <v>23.3217</v>
      </c>
      <c r="AA116" s="204">
        <f t="shared" si="39"/>
        <v>23.267700000000001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40"/>
        <v>199</v>
      </c>
      <c r="AE116" s="77" t="str">
        <f t="shared" si="41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16" s="74" t="str">
        <f t="shared" si="42"/>
        <v>"C:\Program Files (x86)\AstroGrep\AstroGrep.exe" /e /r /s /spath="%USERPROFILE%\AppData\Local\Temp\OnboardLogs" /stypes="app*4058*20171111*" /stext=" 23:.+((SYSTEM_STATE.+slice.+state.+changed )|(ment ac)|(multiple cpu faults)|(system.+state.+changed )|(\[timeout)|(PRM\|1\|D)|(kpr)|(kdp)|(train st.+moving)|(\|lc)|(penalty))"</v>
      </c>
      <c r="AG116" s="182" t="str">
        <f t="shared" si="43"/>
        <v>EC</v>
      </c>
      <c r="AH116" s="78" t="str">
        <f t="shared" si="44"/>
        <v>"%USERPROFILE%\Documents\GitHub\eaglep3\Utilities\RefineRTDCRunTimes.py" --tripid 199-11 --locoid 4058 --swversion DE.1.0.9.0 --startMP 204:540 --initTime 2017-11-11T15:55:08 --startdatetime 2017-11-11T16:00:15 --delay 61 --endMP 204:233217 --enddatetime 2017-11-11T16:36:18 --enforcementcount 0 &gt;&gt;%USERPROFILE%\Documents\GitHub\eaglep3-reporting\EC\2017-11-11-refined-times.txt</v>
      </c>
      <c r="AI116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{"issue":{"subject":"","project_id":79,"tracker_id":40,"status_id":1,"priority_id":2,"assigned_to_id":338,"start_date":"2017-11-11","description":"","custom_fields":[{"id":1,"name":"Subdivision","value":"EC"},{"id":4,"name":"Milepost","value":"23.3217"},{"id":17,"name":"Train ID","value":"199-11"},{"id":16,"name":"Locomotive ID","value":"4058"},{"id":130,"name":"Impact","value":""},{"id":150,"name":"Time of Event (Mountain Time)","value":"16:36:18"},{"id":151,"name":"Denver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6"/>
        <v>start /low /b %USERPROFILE%\Documents\GitHub\eaglep3\Utilities\DownloadLogsFromS3.py --loco 4058 --day 2017-11-11</v>
      </c>
      <c r="AN116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8"/>
        <v>https://d0f6bd738d7f1b3e5a7ca70fe4ff75f0.us-east-1.aws.found.io/app/kibana#/discover/Steve-Slow-Train-Analysis-(2080s-and-2083s)?_g=(refreshInterval:(display:Off,pause:!f,section:0,value:0),time:(from:'2017-11-11T14:55:08-0700',mode:absolute,to:'2017-11-11T17:36:18-0700'))&amp;_a=(columns:!('Message%20ID',Summary),filters:!(),index:'emp_*',interval:auto,query:(query_string:(analyze_wildcard:!t,query:'%22rtdc.l.rtdc.4058%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823</v>
      </c>
      <c r="B117" s="7">
        <v>4057</v>
      </c>
      <c r="C117" s="21" t="s">
        <v>192</v>
      </c>
      <c r="D117" s="21" t="s">
        <v>1031</v>
      </c>
      <c r="E117" s="13">
        <v>43050.702986111108</v>
      </c>
      <c r="F117" s="13">
        <v>43050.706435185188</v>
      </c>
      <c r="G117" s="7">
        <v>71</v>
      </c>
      <c r="H117" s="21" t="s">
        <v>523</v>
      </c>
      <c r="I117" s="13">
        <v>43050.733530092592</v>
      </c>
      <c r="J117" s="7">
        <v>0</v>
      </c>
      <c r="K117" s="89" t="str">
        <f t="shared" si="33"/>
        <v>4057/4058</v>
      </c>
      <c r="L117" s="185" t="str">
        <f>VLOOKUP(A117,'Trips&amp;Operators'!$C$1:$G$99911,5,FALSE)</f>
        <v>BRUDER RICHARD</v>
      </c>
      <c r="M117" s="6">
        <f t="shared" si="34"/>
        <v>2.7094907403807156E-2</v>
      </c>
      <c r="N117" s="7">
        <f t="shared" si="52"/>
        <v>39.016666661482304</v>
      </c>
      <c r="O117" s="7"/>
      <c r="P117" s="7"/>
      <c r="Q117" s="22"/>
      <c r="R117" s="174"/>
      <c r="S117" s="221">
        <f t="shared" si="53"/>
        <v>1</v>
      </c>
      <c r="T117" s="174" t="str">
        <f t="shared" si="35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6"/>
        <v>https://d0f6bd738d7f1b3e5a7ca70fe4ff75f0.us-east-1.aws.found.io/app/kibana#/discover/Steve-Slow-Train-Analysis-(2080s-and-2083s)?_g=(refreshInterval:(display:Off,pause:!f,section:0,value:0),time:(from:'2017-11-11T15:52:18-0700',mode:absolute,to:'2017-11-11T18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7" s="204" t="str">
        <f>IF(AA117&lt;VLOOKUP(AG117,Variables!$AC$3:$AD$8,2,FALSE),"Y","N")</f>
        <v>N</v>
      </c>
      <c r="X117" s="204">
        <f t="shared" si="50"/>
        <v>1</v>
      </c>
      <c r="Y117" s="204">
        <f t="shared" si="54"/>
        <v>23.289100000000001</v>
      </c>
      <c r="Z117" s="204">
        <f t="shared" si="55"/>
        <v>2.1999999999999999E-2</v>
      </c>
      <c r="AA117" s="204">
        <f t="shared" si="39"/>
        <v>23.267100000000003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40"/>
        <v>200</v>
      </c>
      <c r="AE117" s="77" t="str">
        <f t="shared" si="41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17" s="74" t="str">
        <f t="shared" si="42"/>
        <v>"C:\Program Files (x86)\AstroGrep\AstroGrep.exe" /e /r /s /spath="%USERPROFILE%\AppData\Local\Temp\OnboardLogs" /stypes="app*4057*20171112*" /stext=" 00:.+((SYSTEM_STATE.+slice.+state.+changed )|(ment ac)|(multiple cpu faults)|(system.+state.+changed )|(\[timeout)|(PRM\|1\|D)|(kpr)|(kdp)|(train st.+moving)|(\|lc)|(penalty))"</v>
      </c>
      <c r="AG117" s="182" t="str">
        <f t="shared" si="43"/>
        <v>EC</v>
      </c>
      <c r="AH117" s="78" t="str">
        <f t="shared" si="44"/>
        <v>"%USERPROFILE%\Documents\GitHub\eaglep3\Utilities\RefineRTDCRunTimes.py" --tripid 200-11 --locoid 4057 --swversion DE.1.0.9.0 --startMP 204:232891 --initTime 2017-11-11T16:52:18 --startdatetime 2017-11-11T16:57:16 --delay 71 --endMP 204:220 --enddatetime 2017-11-11T17:36:17 --enforcementcount 0 &gt;&gt;%USERPROFILE%\Documents\GitHub\eaglep3-reporting\EC\2017-11-11-refined-times.txt</v>
      </c>
      <c r="AI11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{"issue":{"subject":"","project_id":79,"tracker_id":40,"status_id":1,"priority_id":2,"assigned_to_id":338,"start_date":"2017-11-11","description":"","custom_fields":[{"id":1,"name":"Subdivision","value":"EC"},{"id":4,"name":"Milepost","value":"0.022"},{"id":17,"name":"Train ID","value":"200-11"},{"id":16,"name":"Locomotive ID","value":"4057"},{"id":130,"name":"Impact","value":""},{"id":150,"name":"Time of Event (Mountain Time)","value":"17:36:17"},{"id":151,"name":"Denver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6"/>
        <v>start /low /b %USERPROFILE%\Documents\GitHub\eaglep3\Utilities\DownloadLogsFromS3.py --loco 4057 --day 2017-11-11</v>
      </c>
      <c r="AN117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8"/>
        <v>https://d0f6bd738d7f1b3e5a7ca70fe4ff75f0.us-east-1.aws.found.io/app/kibana#/discover/Steve-Slow-Train-Analysis-(2080s-and-2083s)?_g=(refreshInterval:(display:Off,pause:!f,section:0,value:0),time:(from:'2017-11-11T15:52:18-0700',mode:absolute,to:'2017-11-11T18:36:17-0700'))&amp;_a=(columns:!('Message%20ID',Summary),filters:!(),index:'emp_*',interval:auto,query:(query_string:(analyze_wildcard:!t,query:'%22rtdc.l.rtdc.4057%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817</v>
      </c>
      <c r="B118" s="7">
        <v>4026</v>
      </c>
      <c r="C118" s="21" t="s">
        <v>192</v>
      </c>
      <c r="D118" s="21" t="s">
        <v>526</v>
      </c>
      <c r="E118" s="13">
        <v>43050.673113425924</v>
      </c>
      <c r="F118" s="13">
        <v>43050.677395833336</v>
      </c>
      <c r="G118" s="7">
        <v>61</v>
      </c>
      <c r="H118" s="21" t="s">
        <v>634</v>
      </c>
      <c r="I118" s="13">
        <v>43050.701041666667</v>
      </c>
      <c r="J118" s="7">
        <v>0</v>
      </c>
      <c r="K118" s="89" t="str">
        <f t="shared" si="33"/>
        <v>4025/4026</v>
      </c>
      <c r="L118" s="185" t="str">
        <f>VLOOKUP(A118,'Trips&amp;Operators'!$C$1:$G$99911,5,FALSE)</f>
        <v>HOLCOMB KAMDEN</v>
      </c>
      <c r="M118" s="6">
        <f t="shared" si="34"/>
        <v>2.364583333110204E-2</v>
      </c>
      <c r="N118" s="7">
        <f t="shared" si="52"/>
        <v>34.049999996786937</v>
      </c>
      <c r="O118" s="7"/>
      <c r="P118" s="7"/>
      <c r="Q118" s="22"/>
      <c r="R118" s="174"/>
      <c r="S118" s="221">
        <f t="shared" si="53"/>
        <v>1</v>
      </c>
      <c r="T118" s="174" t="str">
        <f t="shared" si="35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6"/>
        <v>https://d0f6bd738d7f1b3e5a7ca70fe4ff75f0.us-east-1.aws.found.io/app/kibana#/discover/Steve-Slow-Train-Analysis-(2080s-and-2083s)?_g=(refreshInterval:(display:Off,pause:!f,section:0,value:0),time:(from:'2017-11-11T15:09:17-0700',mode:absolute,to:'2017-11-11T17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204" t="str">
        <f>IF(AA118&lt;VLOOKUP(AG118,Variables!$AC$3:$AD$8,2,FALSE),"Y","N")</f>
        <v>N</v>
      </c>
      <c r="X118" s="204">
        <f t="shared" si="50"/>
        <v>1</v>
      </c>
      <c r="Y118" s="204">
        <f t="shared" si="54"/>
        <v>5.2600000000000001E-2</v>
      </c>
      <c r="Z118" s="204">
        <f t="shared" si="55"/>
        <v>23.318999999999999</v>
      </c>
      <c r="AA118" s="204">
        <f t="shared" si="39"/>
        <v>23.266399999999997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40"/>
        <v>201</v>
      </c>
      <c r="AE118" s="77" t="str">
        <f t="shared" si="41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118" s="74" t="str">
        <f t="shared" si="42"/>
        <v>"C:\Program Files (x86)\AstroGrep\AstroGrep.exe" /e /r /s /spath="%USERPROFILE%\AppData\Local\Temp\OnboardLogs" /stypes="app*4026*20171111*" /stext=" 23:.+((SYSTEM_STATE.+slice.+state.+changed )|(ment ac)|(multiple cpu faults)|(system.+state.+changed )|(\[timeout)|(PRM\|1\|D)|(kpr)|(kdp)|(train st.+moving)|(\|lc)|(penalty))"</v>
      </c>
      <c r="AG118" s="182" t="str">
        <f t="shared" si="43"/>
        <v>EC</v>
      </c>
      <c r="AH118" s="78" t="str">
        <f t="shared" si="44"/>
        <v>"%USERPROFILE%\Documents\GitHub\eaglep3\Utilities\RefineRTDCRunTimes.py" --tripid 201-11 --locoid 4026 --swversion DE.1.0.9.0 --startMP 204:526 --initTime 2017-11-11T16:09:17 --startdatetime 2017-11-11T16:15:27 --delay 61 --endMP 204:233190 --enddatetime 2017-11-11T16:49:30 --enforcementcount 0 &gt;&gt;%USERPROFILE%\Documents\GitHub\eaglep3-reporting\EC\2017-11-11-refined-times.txt</v>
      </c>
      <c r="AI11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{"issue":{"subject":"","project_id":79,"tracker_id":40,"status_id":1,"priority_id":2,"assigned_to_id":338,"start_date":"2017-11-11","description":"","custom_fields":[{"id":1,"name":"Subdivision","value":"EC"},{"id":4,"name":"Milepost","value":"23.319"},{"id":17,"name":"Train ID","value":"201-11"},{"id":16,"name":"Locomotive ID","value":"4026"},{"id":130,"name":"Impact","value":""},{"id":150,"name":"Time of Event (Mountain Time)","value":"16:49:30"},{"id":151,"name":"Denver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6"/>
        <v>start /low /b %USERPROFILE%\Documents\GitHub\eaglep3\Utilities\DownloadLogsFromS3.py --loco 4026 --day 2017-11-11</v>
      </c>
      <c r="AN118" s="151" t="str">
        <f t="shared" si="47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8"/>
        <v>https://d0f6bd738d7f1b3e5a7ca70fe4ff75f0.us-east-1.aws.found.io/app/kibana#/discover/Steve-Slow-Train-Analysis-(2080s-and-2083s)?_g=(refreshInterval:(display:Off,pause:!f,section:0,value:0),time:(from:'2017-11-11T15:09:17-0700',mode:absolute,to:'2017-11-11T17:49:30-0700'))&amp;_a=(columns:!('Message%20ID',Summary),filters:!(),index:'emp_*',interval:auto,query:(query_string:(analyze_wildcard:!t,query:'%22rtdc.l.rtdc.4026%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825</v>
      </c>
      <c r="B119" s="7">
        <v>4025</v>
      </c>
      <c r="C119" s="21" t="s">
        <v>192</v>
      </c>
      <c r="D119" s="21" t="s">
        <v>473</v>
      </c>
      <c r="E119" s="13">
        <v>43050.706458333334</v>
      </c>
      <c r="F119" s="13">
        <v>43050.716863425929</v>
      </c>
      <c r="G119" s="7">
        <v>88</v>
      </c>
      <c r="H119" s="21" t="s">
        <v>561</v>
      </c>
      <c r="I119" s="13">
        <v>43050.74287037037</v>
      </c>
      <c r="J119" s="7">
        <v>0</v>
      </c>
      <c r="K119" s="89" t="str">
        <f t="shared" si="33"/>
        <v>4025/4026</v>
      </c>
      <c r="L119" s="185" t="str">
        <f>VLOOKUP(A119,'Trips&amp;Operators'!$C$1:$G$99911,5,FALSE)</f>
        <v>SANTIZO D. EDY</v>
      </c>
      <c r="M119" s="6">
        <f t="shared" si="34"/>
        <v>2.6006944441178348E-2</v>
      </c>
      <c r="N119" s="7">
        <f t="shared" si="52"/>
        <v>37.449999995296821</v>
      </c>
      <c r="O119" s="7"/>
      <c r="P119" s="7"/>
      <c r="Q119" s="22"/>
      <c r="R119" s="174"/>
      <c r="S119" s="221">
        <f t="shared" si="53"/>
        <v>1</v>
      </c>
      <c r="T119" s="174" t="str">
        <f t="shared" si="35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6"/>
        <v>https://d0f6bd738d7f1b3e5a7ca70fe4ff75f0.us-east-1.aws.found.io/app/kibana#/discover/Steve-Slow-Train-Analysis-(2080s-and-2083s)?_g=(refreshInterval:(display:Off,pause:!f,section:0,value:0),time:(from:'2017-11-11T15:57:18-0700',mode:absolute,to:'2017-11-11T18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204" t="str">
        <f>IF(AA119&lt;VLOOKUP(AG119,Variables!$AC$3:$AD$8,2,FALSE),"Y","N")</f>
        <v>N</v>
      </c>
      <c r="X119" s="204">
        <f t="shared" si="50"/>
        <v>1</v>
      </c>
      <c r="Y119" s="204">
        <f t="shared" si="54"/>
        <v>23.286899999999999</v>
      </c>
      <c r="Z119" s="204">
        <f t="shared" si="55"/>
        <v>2.4500000000000001E-2</v>
      </c>
      <c r="AA119" s="204">
        <f t="shared" si="39"/>
        <v>23.2624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40"/>
        <v>202</v>
      </c>
      <c r="AE119" s="77" t="str">
        <f t="shared" si="41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119" s="74" t="str">
        <f t="shared" si="42"/>
        <v>"C:\Program Files (x86)\AstroGrep\AstroGrep.exe" /e /r /s /spath="%USERPROFILE%\AppData\Local\Temp\OnboardLogs" /stypes="app*4025*20171112*" /stext=" 00:.+((SYSTEM_STATE.+slice.+state.+changed )|(ment ac)|(multiple cpu faults)|(system.+state.+changed )|(\[timeout)|(PRM\|1\|D)|(kpr)|(kdp)|(train st.+moving)|(\|lc)|(penalty))"</v>
      </c>
      <c r="AG119" s="182" t="str">
        <f t="shared" si="43"/>
        <v>EC</v>
      </c>
      <c r="AH119" s="78" t="str">
        <f t="shared" si="44"/>
        <v>"%USERPROFILE%\Documents\GitHub\eaglep3\Utilities\RefineRTDCRunTimes.py" --tripid 202-11 --locoid 4025 --swversion DE.1.0.9.0 --startMP 204:232869 --initTime 2017-11-11T16:57:18 --startdatetime 2017-11-11T17:12:17 --delay 88 --endMP 204:245 --enddatetime 2017-11-11T17:49:44 --enforcementcount 0 &gt;&gt;%USERPROFILE%\Documents\GitHub\eaglep3-reporting\EC\2017-11-11-refined-times.txt</v>
      </c>
      <c r="AI11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{"issue":{"subject":"","project_id":79,"tracker_id":40,"status_id":1,"priority_id":2,"assigned_to_id":338,"start_date":"2017-11-11","description":"","custom_fields":[{"id":1,"name":"Subdivision","value":"EC"},{"id":4,"name":"Milepost","value":"0.0245"},{"id":17,"name":"Train ID","value":"202-11"},{"id":16,"name":"Locomotive ID","value":"4025"},{"id":130,"name":"Impact","value":""},{"id":150,"name":"Time of Event (Mountain Time)","value":"17:49:44"},{"id":151,"name":"Denver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6"/>
        <v>start /low /b %USERPROFILE%\Documents\GitHub\eaglep3\Utilities\DownloadLogsFromS3.py --loco 4025 --day 2017-11-11</v>
      </c>
      <c r="AN119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8"/>
        <v>https://d0f6bd738d7f1b3e5a7ca70fe4ff75f0.us-east-1.aws.found.io/app/kibana#/discover/Steve-Slow-Train-Analysis-(2080s-and-2083s)?_g=(refreshInterval:(display:Off,pause:!f,section:0,value:0),time:(from:'2017-11-11T15:57:18-0700',mode:absolute,to:'2017-11-11T18:49:44-0700'))&amp;_a=(columns:!('Message%20ID',Summary),filters:!(),index:'emp_*',interval:auto,query:(query_string:(analyze_wildcard:!t,query:'%22rtdc.l.rtdc.4025%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820</v>
      </c>
      <c r="B120" s="7">
        <v>4010</v>
      </c>
      <c r="C120" s="21" t="s">
        <v>192</v>
      </c>
      <c r="D120" s="21" t="s">
        <v>623</v>
      </c>
      <c r="E120" s="13">
        <v>43050.688032407408</v>
      </c>
      <c r="F120" s="13">
        <v>43050.689467592594</v>
      </c>
      <c r="G120" s="7">
        <v>78</v>
      </c>
      <c r="H120" s="21" t="s">
        <v>976</v>
      </c>
      <c r="I120" s="13">
        <v>43050.715717592589</v>
      </c>
      <c r="J120" s="7">
        <v>0</v>
      </c>
      <c r="K120" s="89" t="str">
        <f t="shared" si="33"/>
        <v>4009/4010</v>
      </c>
      <c r="L120" s="185" t="str">
        <f>VLOOKUP(A120,'Trips&amp;Operators'!$C$1:$G$99911,5,FALSE)</f>
        <v>DAVIS MICHAEL</v>
      </c>
      <c r="M120" s="6">
        <f t="shared" si="34"/>
        <v>2.6249999995343387E-2</v>
      </c>
      <c r="N120" s="7">
        <f t="shared" si="52"/>
        <v>37.799999993294477</v>
      </c>
      <c r="O120" s="7"/>
      <c r="P120" s="7"/>
      <c r="Q120" s="22"/>
      <c r="R120" s="174"/>
      <c r="S120" s="221">
        <f t="shared" si="53"/>
        <v>1</v>
      </c>
      <c r="T120" s="174" t="str">
        <f t="shared" si="35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6"/>
        <v>https://d0f6bd738d7f1b3e5a7ca70fe4ff75f0.us-east-1.aws.found.io/app/kibana#/discover/Steve-Slow-Train-Analysis-(2080s-and-2083s)?_g=(refreshInterval:(display:Off,pause:!f,section:0,value:0),time:(from:'2017-11-11T15:30:46-0700',mode:absolute,to:'2017-11-11T18:10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0" s="204" t="str">
        <f>IF(AA120&lt;VLOOKUP(AG120,Variables!$AC$3:$AD$8,2,FALSE),"Y","N")</f>
        <v>N</v>
      </c>
      <c r="X120" s="204">
        <f t="shared" si="50"/>
        <v>1</v>
      </c>
      <c r="Y120" s="204">
        <f t="shared" si="54"/>
        <v>5.5300000000000002E-2</v>
      </c>
      <c r="Z120" s="204">
        <f t="shared" si="55"/>
        <v>23.325099999999999</v>
      </c>
      <c r="AA120" s="204">
        <f t="shared" si="39"/>
        <v>23.2698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40"/>
        <v>203</v>
      </c>
      <c r="AE120" s="77" t="str">
        <f t="shared" si="41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20" s="74" t="str">
        <f t="shared" si="42"/>
        <v>"C:\Program Files (x86)\AstroGrep\AstroGrep.exe" /e /r /s /spath="%USERPROFILE%\AppData\Local\Temp\OnboardLogs" /stypes="app*4010*20171112*" /stext=" 00:.+((SYSTEM_STATE.+slice.+state.+changed )|(ment ac)|(multiple cpu faults)|(system.+state.+changed )|(\[timeout)|(PRM\|1\|D)|(kpr)|(kdp)|(train st.+moving)|(\|lc)|(penalty))"</v>
      </c>
      <c r="AG120" s="182" t="str">
        <f t="shared" si="43"/>
        <v>EC</v>
      </c>
      <c r="AH120" s="78" t="str">
        <f t="shared" si="44"/>
        <v>"%USERPROFILE%\Documents\GitHub\eaglep3\Utilities\RefineRTDCRunTimes.py" --tripid 203-11 --locoid 4010 --swversion DE.1.0.9.0 --startMP 204:553 --initTime 2017-11-11T16:30:46 --startdatetime 2017-11-11T16:32:50 --delay 78 --endMP 204:233251 --enddatetime 2017-11-11T17:10:38 --enforcementcount 0 &gt;&gt;%USERPROFILE%\Documents\GitHub\eaglep3-reporting\EC\2017-11-11-refined-times.txt</v>
      </c>
      <c r="AI12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{"issue":{"subject":"","project_id":79,"tracker_id":40,"status_id":1,"priority_id":2,"assigned_to_id":338,"start_date":"2017-11-11","description":"","custom_fields":[{"id":1,"name":"Subdivision","value":"EC"},{"id":4,"name":"Milepost","value":"23.3251"},{"id":17,"name":"Train ID","value":"203-11"},{"id":16,"name":"Locomotive ID","value":"4010"},{"id":130,"name":"Impact","value":""},{"id":150,"name":"Time of Event (Mountain Time)","value":"17:10:38"},{"id":151,"name":"Denver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6"/>
        <v>start /low /b %USERPROFILE%\Documents\GitHub\eaglep3\Utilities\DownloadLogsFromS3.py --loco 4010 --day 2017-11-11</v>
      </c>
      <c r="AN120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8"/>
        <v>https://d0f6bd738d7f1b3e5a7ca70fe4ff75f0.us-east-1.aws.found.io/app/kibana#/discover/Steve-Slow-Train-Analysis-(2080s-and-2083s)?_g=(refreshInterval:(display:Off,pause:!f,section:0,value:0),time:(from:'2017-11-11T15:30:46-0700',mode:absolute,to:'2017-11-11T18:10:38-0700'))&amp;_a=(columns:!('Message%20ID',Summary),filters:!(),index:'emp_*',interval:auto,query:(query_string:(analyze_wildcard:!t,query:'%22rtdc.l.rtdc.4010%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831</v>
      </c>
      <c r="B121" s="7">
        <v>4009</v>
      </c>
      <c r="C121" s="21" t="s">
        <v>192</v>
      </c>
      <c r="D121" s="21" t="s">
        <v>904</v>
      </c>
      <c r="E121" s="13">
        <v>43050.724942129629</v>
      </c>
      <c r="F121" s="13">
        <v>43050.727696759262</v>
      </c>
      <c r="G121" s="7">
        <v>73</v>
      </c>
      <c r="H121" s="21" t="s">
        <v>445</v>
      </c>
      <c r="I121" s="13">
        <v>43050.755891203706</v>
      </c>
      <c r="J121" s="7">
        <v>0</v>
      </c>
      <c r="K121" s="89" t="str">
        <f t="shared" si="33"/>
        <v>4009/4010</v>
      </c>
      <c r="L121" s="185" t="str">
        <f>VLOOKUP(A121,'Trips&amp;Operators'!$C$1:$G$99911,5,FALSE)</f>
        <v>DAVIS MICHAEL</v>
      </c>
      <c r="M121" s="6">
        <f t="shared" si="34"/>
        <v>2.8194444443215616E-2</v>
      </c>
      <c r="N121" s="7">
        <f t="shared" si="52"/>
        <v>40.599999998230487</v>
      </c>
      <c r="O121" s="7"/>
      <c r="P121" s="7"/>
      <c r="Q121" s="22"/>
      <c r="R121" s="174"/>
      <c r="S121" s="221">
        <f t="shared" si="53"/>
        <v>1</v>
      </c>
      <c r="T121" s="174" t="str">
        <f t="shared" si="35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6"/>
        <v>https://d0f6bd738d7f1b3e5a7ca70fe4ff75f0.us-east-1.aws.found.io/app/kibana#/discover/Steve-Slow-Train-Analysis-(2080s-and-2083s)?_g=(refreshInterval:(display:Off,pause:!f,section:0,value:0),time:(from:'2017-11-11T16:23:55-0700',mode:absolute,to:'2017-11-11T19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1" s="204" t="str">
        <f>IF(AA121&lt;VLOOKUP(AG121,Variables!$AC$3:$AD$8,2,FALSE),"Y","N")</f>
        <v>N</v>
      </c>
      <c r="X121" s="204">
        <f t="shared" si="50"/>
        <v>1</v>
      </c>
      <c r="Y121" s="204">
        <f t="shared" si="54"/>
        <v>23.293600000000001</v>
      </c>
      <c r="Z121" s="204">
        <f t="shared" si="55"/>
        <v>2.2100000000000002E-2</v>
      </c>
      <c r="AA121" s="204">
        <f t="shared" si="39"/>
        <v>23.271500000000003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40"/>
        <v>204</v>
      </c>
      <c r="AE121" s="77" t="str">
        <f t="shared" si="41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21" s="74" t="str">
        <f t="shared" si="42"/>
        <v>"C:\Program Files (x86)\AstroGrep\AstroGrep.exe" /e /r /s /spath="%USERPROFILE%\AppData\Local\Temp\OnboardLogs" /stypes="app*4009*20171112*" /stext=" 01:.+((SYSTEM_STATE.+slice.+state.+changed )|(ment ac)|(multiple cpu faults)|(system.+state.+changed )|(\[timeout)|(PRM\|1\|D)|(kpr)|(kdp)|(train st.+moving)|(\|lc)|(penalty))"</v>
      </c>
      <c r="AG121" s="182" t="str">
        <f t="shared" si="43"/>
        <v>EC</v>
      </c>
      <c r="AH121" s="78" t="str">
        <f t="shared" si="44"/>
        <v>"%USERPROFILE%\Documents\GitHub\eaglep3\Utilities\RefineRTDCRunTimes.py" --tripid 204-11 --locoid 4009 --swversion DE.1.0.9.0 --startMP 204:232936 --initTime 2017-11-11T17:23:55 --startdatetime 2017-11-11T17:27:53 --delay 73 --endMP 204:221 --enddatetime 2017-11-11T18:08:29 --enforcementcount 0 &gt;&gt;%USERPROFILE%\Documents\GitHub\eaglep3-reporting\EC\2017-11-11-refined-times.txt</v>
      </c>
      <c r="AI12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{"issue":{"subject":"","project_id":79,"tracker_id":40,"status_id":1,"priority_id":2,"assigned_to_id":338,"start_date":"2017-11-11","description":"","custom_fields":[{"id":1,"name":"Subdivision","value":"EC"},{"id":4,"name":"Milepost","value":"0.0221"},{"id":17,"name":"Train ID","value":"204-11"},{"id":16,"name":"Locomotive ID","value":"4009"},{"id":130,"name":"Impact","value":""},{"id":150,"name":"Time of Event (Mountain Time)","value":"18:08:29"},{"id":151,"name":"Denver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6"/>
        <v>start /low /b %USERPROFILE%\Documents\GitHub\eaglep3\Utilities\DownloadLogsFromS3.py --loco 4009 --day 2017-11-11</v>
      </c>
      <c r="AN121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8"/>
        <v>https://d0f6bd738d7f1b3e5a7ca70fe4ff75f0.us-east-1.aws.found.io/app/kibana#/discover/Steve-Slow-Train-Analysis-(2080s-and-2083s)?_g=(refreshInterval:(display:Off,pause:!f,section:0,value:0),time:(from:'2017-11-11T16:23:55-0700',mode:absolute,to:'2017-11-11T19:08:29-0700'))&amp;_a=(columns:!('Message%20ID',Summary),filters:!(),index:'emp_*',interval:auto,query:(query_string:(analyze_wildcard:!t,query:'%22rtdc.l.rtdc.4009%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822</v>
      </c>
      <c r="B122" s="7">
        <v>4022</v>
      </c>
      <c r="C122" s="21" t="s">
        <v>192</v>
      </c>
      <c r="D122" s="21" t="s">
        <v>525</v>
      </c>
      <c r="E122" s="13">
        <v>43050.695520833331</v>
      </c>
      <c r="F122" s="13">
        <v>43050.698148148149</v>
      </c>
      <c r="G122" s="7">
        <v>158</v>
      </c>
      <c r="H122" s="21" t="s">
        <v>640</v>
      </c>
      <c r="I122" s="13">
        <v>43050.722384259258</v>
      </c>
      <c r="J122" s="7">
        <v>0</v>
      </c>
      <c r="K122" s="89" t="str">
        <f t="shared" si="33"/>
        <v>4021/4022</v>
      </c>
      <c r="L122" s="185" t="str">
        <f>VLOOKUP(A122,'Trips&amp;Operators'!$C$1:$G$99911,5,FALSE)</f>
        <v>SAFIEF AEIMEN</v>
      </c>
      <c r="M122" s="6">
        <f t="shared" si="34"/>
        <v>2.4236111108621117E-2</v>
      </c>
      <c r="N122" s="7">
        <f t="shared" si="52"/>
        <v>34.899999996414408</v>
      </c>
      <c r="O122" s="7"/>
      <c r="P122" s="7"/>
      <c r="Q122" s="22"/>
      <c r="R122" s="174"/>
      <c r="S122" s="221">
        <f t="shared" si="53"/>
        <v>1</v>
      </c>
      <c r="T122" s="174" t="str">
        <f t="shared" si="35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6"/>
        <v>https://d0f6bd738d7f1b3e5a7ca70fe4ff75f0.us-east-1.aws.found.io/app/kibana#/discover/Steve-Slow-Train-Analysis-(2080s-and-2083s)?_g=(refreshInterval:(display:Off,pause:!f,section:0,value:0),time:(from:'2017-11-11T15:41:33-0700',mode:absolute,to:'2017-11-11T18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204" t="str">
        <f>IF(AA122&lt;VLOOKUP(AG122,Variables!$AC$3:$AD$8,2,FALSE),"Y","N")</f>
        <v>N</v>
      </c>
      <c r="X122" s="204">
        <f t="shared" si="50"/>
        <v>1</v>
      </c>
      <c r="Y122" s="204">
        <f t="shared" si="54"/>
        <v>5.2400000000000002E-2</v>
      </c>
      <c r="Z122" s="204">
        <f t="shared" si="55"/>
        <v>23.322199999999999</v>
      </c>
      <c r="AA122" s="204">
        <f t="shared" si="39"/>
        <v>23.2698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40"/>
        <v>205</v>
      </c>
      <c r="AE122" s="77" t="str">
        <f t="shared" si="41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122" s="74" t="str">
        <f t="shared" si="42"/>
        <v>"C:\Program Files (x86)\AstroGrep\AstroGrep.exe" /e /r /s /spath="%USERPROFILE%\AppData\Local\Temp\OnboardLogs" /stypes="app*4022*20171112*" /stext=" 00:.+((SYSTEM_STATE.+slice.+state.+changed )|(ment ac)|(multiple cpu faults)|(system.+state.+changed )|(\[timeout)|(PRM\|1\|D)|(kpr)|(kdp)|(train st.+moving)|(\|lc)|(penalty))"</v>
      </c>
      <c r="AG122" s="182" t="str">
        <f t="shared" si="43"/>
        <v>EC</v>
      </c>
      <c r="AH122" s="78" t="str">
        <f t="shared" si="44"/>
        <v>"%USERPROFILE%\Documents\GitHub\eaglep3\Utilities\RefineRTDCRunTimes.py" --tripid 205-11 --locoid 4022 --swversion DE.1.0.9.0 --startMP 204:524 --initTime 2017-11-11T16:41:33 --startdatetime 2017-11-11T16:45:20 --delay 158 --endMP 204:233222 --enddatetime 2017-11-11T17:20:14 --enforcementcount 0 &gt;&gt;%USERPROFILE%\Documents\GitHub\eaglep3-reporting\EC\2017-11-11-refined-times.txt</v>
      </c>
      <c r="AI122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{"issue":{"subject":"","project_id":79,"tracker_id":40,"status_id":1,"priority_id":2,"assigned_to_id":338,"start_date":"2017-11-11","description":"","custom_fields":[{"id":1,"name":"Subdivision","value":"EC"},{"id":4,"name":"Milepost","value":"23.3222"},{"id":17,"name":"Train ID","value":"205-11"},{"id":16,"name":"Locomotive ID","value":"4022"},{"id":130,"name":"Impact","value":""},{"id":150,"name":"Time of Event (Mountain Time)","value":"17:20:14"},{"id":151,"name":"Denver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6"/>
        <v>start /low /b %USERPROFILE%\Documents\GitHub\eaglep3\Utilities\DownloadLogsFromS3.py --loco 4022 --day 2017-11-11</v>
      </c>
      <c r="AN122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8"/>
        <v>https://d0f6bd738d7f1b3e5a7ca70fe4ff75f0.us-east-1.aws.found.io/app/kibana#/discover/Steve-Slow-Train-Analysis-(2080s-and-2083s)?_g=(refreshInterval:(display:Off,pause:!f,section:0,value:0),time:(from:'2017-11-11T15:41:33-0700',mode:absolute,to:'2017-11-11T18:20:14-0700'))&amp;_a=(columns:!('Message%20ID',Summary),filters:!(),index:'emp_*',interval:auto,query:(query_string:(analyze_wildcard:!t,query:'%22rtdc.l.rtdc.4022%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830</v>
      </c>
      <c r="B123" s="7">
        <v>4021</v>
      </c>
      <c r="C123" s="21" t="s">
        <v>192</v>
      </c>
      <c r="D123" s="21" t="s">
        <v>928</v>
      </c>
      <c r="E123" s="13">
        <v>43050.724479166667</v>
      </c>
      <c r="F123" s="13">
        <v>43050.737719907411</v>
      </c>
      <c r="G123" s="7">
        <v>83</v>
      </c>
      <c r="H123" s="21" t="s">
        <v>520</v>
      </c>
      <c r="I123" s="13">
        <v>43050.763784722221</v>
      </c>
      <c r="J123" s="7">
        <v>0</v>
      </c>
      <c r="K123" s="89" t="str">
        <f t="shared" si="33"/>
        <v>4021/4022</v>
      </c>
      <c r="L123" s="185" t="str">
        <f>VLOOKUP(A123,'Trips&amp;Operators'!$C$1:$G$99911,5,FALSE)</f>
        <v>SAFIEF AEIMEN</v>
      </c>
      <c r="M123" s="6">
        <f t="shared" si="34"/>
        <v>2.6064814810524695E-2</v>
      </c>
      <c r="N123" s="7">
        <f t="shared" si="52"/>
        <v>37.53333332715556</v>
      </c>
      <c r="O123" s="7"/>
      <c r="P123" s="7"/>
      <c r="Q123" s="22"/>
      <c r="R123" s="174"/>
      <c r="S123" s="221">
        <f t="shared" si="53"/>
        <v>1</v>
      </c>
      <c r="T123" s="174" t="str">
        <f t="shared" si="35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6"/>
        <v>https://d0f6bd738d7f1b3e5a7ca70fe4ff75f0.us-east-1.aws.found.io/app/kibana#/discover/Steve-Slow-Train-Analysis-(2080s-and-2083s)?_g=(refreshInterval:(display:Off,pause:!f,section:0,value:0),time:(from:'2017-11-11T16:23:15-0700',mode:absolute,to:'2017-11-11T19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3" s="204" t="str">
        <f>IF(AA123&lt;VLOOKUP(AG123,Variables!$AC$3:$AD$8,2,FALSE),"Y","N")</f>
        <v>N</v>
      </c>
      <c r="X123" s="204">
        <f t="shared" ref="X123:X154" si="56">VALUE(LEFT(AD123,4))-VALUE(LEFT(AD122,4))</f>
        <v>1</v>
      </c>
      <c r="Y123" s="204">
        <f t="shared" si="54"/>
        <v>23.2911</v>
      </c>
      <c r="Z123" s="204">
        <f t="shared" si="55"/>
        <v>2.1100000000000001E-2</v>
      </c>
      <c r="AA123" s="204">
        <f t="shared" si="39"/>
        <v>23.27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40"/>
        <v>206</v>
      </c>
      <c r="AE123" s="77" t="str">
        <f t="shared" si="41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123" s="74" t="str">
        <f t="shared" si="42"/>
        <v>"C:\Program Files (x86)\AstroGrep\AstroGrep.exe" /e /r /s /spath="%USERPROFILE%\AppData\Local\Temp\OnboardLogs" /stypes="app*4021*20171112*" /stext=" 01:.+((SYSTEM_STATE.+slice.+state.+changed )|(ment ac)|(multiple cpu faults)|(system.+state.+changed )|(\[timeout)|(PRM\|1\|D)|(kpr)|(kdp)|(train st.+moving)|(\|lc)|(penalty))"</v>
      </c>
      <c r="AG123" s="182" t="str">
        <f t="shared" si="43"/>
        <v>EC</v>
      </c>
      <c r="AH123" s="78" t="str">
        <f t="shared" si="44"/>
        <v>"%USERPROFILE%\Documents\GitHub\eaglep3\Utilities\RefineRTDCRunTimes.py" --tripid 206-11 --locoid 4021 --swversion DE.1.0.9.0 --startMP 204:232911 --initTime 2017-11-11T17:23:15 --startdatetime 2017-11-11T17:42:19 --delay 83 --endMP 204:211 --enddatetime 2017-11-11T18:19:51 --enforcementcount 0 &gt;&gt;%USERPROFILE%\Documents\GitHub\eaglep3-reporting\EC\2017-11-11-refined-times.txt</v>
      </c>
      <c r="AI123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{"issue":{"subject":"","project_id":79,"tracker_id":40,"status_id":1,"priority_id":2,"assigned_to_id":338,"start_date":"2017-11-11","description":"","custom_fields":[{"id":1,"name":"Subdivision","value":"EC"},{"id":4,"name":"Milepost","value":"0.0211"},{"id":17,"name":"Train ID","value":"206-11"},{"id":16,"name":"Locomotive ID","value":"4021"},{"id":130,"name":"Impact","value":""},{"id":150,"name":"Time of Event (Mountain Time)","value":"18:19:51"},{"id":151,"name":"Denver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6"/>
        <v>start /low /b %USERPROFILE%\Documents\GitHub\eaglep3\Utilities\DownloadLogsFromS3.py --loco 4021 --day 2017-11-11</v>
      </c>
      <c r="AN123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8"/>
        <v>https://d0f6bd738d7f1b3e5a7ca70fe4ff75f0.us-east-1.aws.found.io/app/kibana#/discover/Steve-Slow-Train-Analysis-(2080s-and-2083s)?_g=(refreshInterval:(display:Off,pause:!f,section:0,value:0),time:(from:'2017-11-11T16:23:15-0700',mode:absolute,to:'2017-11-11T19:19:51-0700'))&amp;_a=(columns:!('Message%20ID',Summary),filters:!(),index:'emp_*',interval:auto,query:(query_string:(analyze_wildcard:!t,query:'%22rtdc.l.rtdc.4021%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824</v>
      </c>
      <c r="B124" s="7">
        <v>4036</v>
      </c>
      <c r="C124" s="21" t="s">
        <v>192</v>
      </c>
      <c r="D124" s="21" t="s">
        <v>452</v>
      </c>
      <c r="E124" s="13">
        <v>43050.703599537039</v>
      </c>
      <c r="F124" s="13">
        <v>43050.70857638889</v>
      </c>
      <c r="G124" s="7">
        <v>67</v>
      </c>
      <c r="H124" s="21" t="s">
        <v>1032</v>
      </c>
      <c r="I124" s="13">
        <v>43050.733472222222</v>
      </c>
      <c r="J124" s="7">
        <v>0</v>
      </c>
      <c r="K124" s="89" t="str">
        <f t="shared" si="33"/>
        <v>4035/4036</v>
      </c>
      <c r="L124" s="185" t="str">
        <f>VLOOKUP(A124,'Trips&amp;Operators'!$C$1:$G$99911,5,FALSE)</f>
        <v>GUZMAN DANNY</v>
      </c>
      <c r="M124" s="6">
        <f t="shared" si="34"/>
        <v>2.4895833332266193E-2</v>
      </c>
      <c r="N124" s="7">
        <f t="shared" si="52"/>
        <v>35.849999998463318</v>
      </c>
      <c r="O124" s="7"/>
      <c r="P124" s="7"/>
      <c r="Q124" s="22"/>
      <c r="R124" s="174"/>
      <c r="S124" s="221">
        <f t="shared" si="53"/>
        <v>1</v>
      </c>
      <c r="T124" s="174" t="str">
        <f t="shared" si="35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6"/>
        <v>https://d0f6bd738d7f1b3e5a7ca70fe4ff75f0.us-east-1.aws.found.io/app/kibana#/discover/Steve-Slow-Train-Analysis-(2080s-and-2083s)?_g=(refreshInterval:(display:Off,pause:!f,section:0,value:0),time:(from:'2017-11-11T15:53:11-0700',mode:absolute,to:'2017-11-11T18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4" s="204" t="str">
        <f>IF(AA124&lt;VLOOKUP(AG124,Variables!$AC$3:$AD$8,2,FALSE),"Y","N")</f>
        <v>N</v>
      </c>
      <c r="X124" s="204">
        <f t="shared" si="56"/>
        <v>1</v>
      </c>
      <c r="Y124" s="204">
        <f t="shared" si="54"/>
        <v>5.6599999999999998E-2</v>
      </c>
      <c r="Z124" s="204">
        <f t="shared" si="55"/>
        <v>23.3185</v>
      </c>
      <c r="AA124" s="204">
        <f t="shared" si="39"/>
        <v>23.261900000000001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40"/>
        <v>207</v>
      </c>
      <c r="AE124" s="77" t="str">
        <f t="shared" si="41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124" s="74" t="str">
        <f t="shared" si="42"/>
        <v>"C:\Program Files (x86)\AstroGrep\AstroGrep.exe" /e /r /s /spath="%USERPROFILE%\AppData\Local\Temp\OnboardLogs" /stypes="app*4036*20171112*" /stext=" 00:.+((SYSTEM_STATE.+slice.+state.+changed )|(ment ac)|(multiple cpu faults)|(system.+state.+changed )|(\[timeout)|(PRM\|1\|D)|(kpr)|(kdp)|(train st.+moving)|(\|lc)|(penalty))"</v>
      </c>
      <c r="AG124" s="182" t="str">
        <f t="shared" si="43"/>
        <v>EC</v>
      </c>
      <c r="AH124" s="78" t="str">
        <f t="shared" si="44"/>
        <v>"%USERPROFILE%\Documents\GitHub\eaglep3\Utilities\RefineRTDCRunTimes.py" --tripid 207-11 --locoid 4036 --swversion DE.1.0.9.0 --startMP 204:566 --initTime 2017-11-11T16:53:11 --startdatetime 2017-11-11T17:00:21 --delay 67 --endMP 204:233185 --enddatetime 2017-11-11T17:36:12 --enforcementcount 0 &gt;&gt;%USERPROFILE%\Documents\GitHub\eaglep3-reporting\EC\2017-11-11-refined-times.txt</v>
      </c>
      <c r="AI12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{"issue":{"subject":"","project_id":79,"tracker_id":40,"status_id":1,"priority_id":2,"assigned_to_id":338,"start_date":"2017-11-11","description":"","custom_fields":[{"id":1,"name":"Subdivision","value":"EC"},{"id":4,"name":"Milepost","value":"23.3185"},{"id":17,"name":"Train ID","value":"207-11"},{"id":16,"name":"Locomotive ID","value":"4036"},{"id":130,"name":"Impact","value":""},{"id":150,"name":"Time of Event (Mountain Time)","value":"17:36:12"},{"id":151,"name":"Denver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6"/>
        <v>start /low /b %USERPROFILE%\Documents\GitHub\eaglep3\Utilities\DownloadLogsFromS3.py --loco 4036 --day 2017-11-11</v>
      </c>
      <c r="AN124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8"/>
        <v>https://d0f6bd738d7f1b3e5a7ca70fe4ff75f0.us-east-1.aws.found.io/app/kibana#/discover/Steve-Slow-Train-Analysis-(2080s-and-2083s)?_g=(refreshInterval:(display:Off,pause:!f,section:0,value:0),time:(from:'2017-11-11T15:53:11-0700',mode:absolute,to:'2017-11-11T18:36:12-0700'))&amp;_a=(columns:!('Message%20ID',Summary),filters:!(),index:'emp_*',interval:auto,query:(query_string:(analyze_wildcard:!t,query:'%22rtdc.l.rtdc.4036%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836</v>
      </c>
      <c r="B125" s="7">
        <v>4035</v>
      </c>
      <c r="C125" s="21" t="s">
        <v>192</v>
      </c>
      <c r="D125" s="21" t="s">
        <v>611</v>
      </c>
      <c r="E125" s="13">
        <v>43050.735532407409</v>
      </c>
      <c r="F125" s="13">
        <v>43050.748206018521</v>
      </c>
      <c r="G125" s="7">
        <v>49</v>
      </c>
      <c r="H125" s="21" t="s">
        <v>1033</v>
      </c>
      <c r="I125" s="13">
        <v>43050.77416666667</v>
      </c>
      <c r="J125" s="7">
        <v>0</v>
      </c>
      <c r="K125" s="89" t="str">
        <f t="shared" si="33"/>
        <v>4035/4036</v>
      </c>
      <c r="L125" s="185" t="str">
        <f>VLOOKUP(A125,'Trips&amp;Operators'!$C$1:$G$99911,5,FALSE)</f>
        <v>GUZMAN DANNY</v>
      </c>
      <c r="M125" s="6">
        <f t="shared" si="34"/>
        <v>2.5960648148611654E-2</v>
      </c>
      <c r="N125" s="7">
        <f t="shared" si="52"/>
        <v>37.383333334000781</v>
      </c>
      <c r="O125" s="7"/>
      <c r="P125" s="7"/>
      <c r="Q125" s="22"/>
      <c r="R125" s="174"/>
      <c r="S125" s="221">
        <f t="shared" si="53"/>
        <v>1</v>
      </c>
      <c r="T125" s="174" t="str">
        <f t="shared" si="35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6"/>
        <v>https://d0f6bd738d7f1b3e5a7ca70fe4ff75f0.us-east-1.aws.found.io/app/kibana#/discover/Steve-Slow-Train-Analysis-(2080s-and-2083s)?_g=(refreshInterval:(display:Off,pause:!f,section:0,value:0),time:(from:'2017-11-11T16:39:10-0700',mode:absolute,to:'2017-11-11T19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5" s="204" t="str">
        <f>IF(AA125&lt;VLOOKUP(AG125,Variables!$AC$3:$AD$8,2,FALSE),"Y","N")</f>
        <v>N</v>
      </c>
      <c r="X125" s="204">
        <f t="shared" si="56"/>
        <v>1</v>
      </c>
      <c r="Y125" s="204">
        <f t="shared" si="54"/>
        <v>23.285699999999999</v>
      </c>
      <c r="Z125" s="204">
        <f t="shared" si="55"/>
        <v>2.8299999999999999E-2</v>
      </c>
      <c r="AA125" s="204">
        <f t="shared" si="39"/>
        <v>23.257399999999997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40"/>
        <v>208</v>
      </c>
      <c r="AE125" s="77" t="str">
        <f t="shared" si="41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125" s="74" t="str">
        <f t="shared" si="42"/>
        <v>"C:\Program Files (x86)\AstroGrep\AstroGrep.exe" /e /r /s /spath="%USERPROFILE%\AppData\Local\Temp\OnboardLogs" /stypes="app*4035*20171112*" /stext=" 01:.+((SYSTEM_STATE.+slice.+state.+changed )|(ment ac)|(multiple cpu faults)|(system.+state.+changed )|(\[timeout)|(PRM\|1\|D)|(kpr)|(kdp)|(train st.+moving)|(\|lc)|(penalty))"</v>
      </c>
      <c r="AG125" s="182" t="str">
        <f t="shared" si="43"/>
        <v>EC</v>
      </c>
      <c r="AH125" s="78" t="str">
        <f t="shared" si="44"/>
        <v>"%USERPROFILE%\Documents\GitHub\eaglep3\Utilities\RefineRTDCRunTimes.py" --tripid 208-11 --locoid 4035 --swversion DE.1.0.9.0 --startMP 204:232857 --initTime 2017-11-11T17:39:10 --startdatetime 2017-11-11T17:57:25 --delay 49 --endMP 204:283 --enddatetime 2017-11-11T18:34:48 --enforcementcount 0 &gt;&gt;%USERPROFILE%\Documents\GitHub\eaglep3-reporting\EC\2017-11-11-refined-times.txt</v>
      </c>
      <c r="AI12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{"issue":{"subject":"","project_id":79,"tracker_id":40,"status_id":1,"priority_id":2,"assigned_to_id":338,"start_date":"2017-11-11","description":"","custom_fields":[{"id":1,"name":"Subdivision","value":"EC"},{"id":4,"name":"Milepost","value":"0.0283"},{"id":17,"name":"Train ID","value":"208-11"},{"id":16,"name":"Locomotive ID","value":"4035"},{"id":130,"name":"Impact","value":""},{"id":150,"name":"Time of Event (Mountain Time)","value":"18:34:48"},{"id":151,"name":"Denver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6"/>
        <v>start /low /b %USERPROFILE%\Documents\GitHub\eaglep3\Utilities\DownloadLogsFromS3.py --loco 4035 --day 2017-11-11</v>
      </c>
      <c r="AN125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8"/>
        <v>https://d0f6bd738d7f1b3e5a7ca70fe4ff75f0.us-east-1.aws.found.io/app/kibana#/discover/Steve-Slow-Train-Analysis-(2080s-and-2083s)?_g=(refreshInterval:(display:Off,pause:!f,section:0,value:0),time:(from:'2017-11-11T16:39:10-0700',mode:absolute,to:'2017-11-11T19:34:48-0700'))&amp;_a=(columns:!('Message%20ID',Summary),filters:!(),index:'emp_*',interval:auto,query:(query_string:(analyze_wildcard:!t,query:'%22rtdc.l.rtdc.4035%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828</v>
      </c>
      <c r="B126" s="7">
        <v>4044</v>
      </c>
      <c r="C126" s="21" t="s">
        <v>192</v>
      </c>
      <c r="D126" s="21" t="s">
        <v>951</v>
      </c>
      <c r="E126" s="13">
        <v>43050.715277777781</v>
      </c>
      <c r="F126" s="13">
        <v>43050.718969907408</v>
      </c>
      <c r="G126" s="7">
        <v>71</v>
      </c>
      <c r="H126" s="21" t="s">
        <v>639</v>
      </c>
      <c r="I126" s="13">
        <v>43050.744513888887</v>
      </c>
      <c r="J126" s="7">
        <v>0</v>
      </c>
      <c r="K126" s="89" t="str">
        <f t="shared" si="33"/>
        <v>4043/4044</v>
      </c>
      <c r="L126" s="185" t="str">
        <f>VLOOKUP(A126,'Trips&amp;Operators'!$C$1:$G$99911,5,FALSE)</f>
        <v>BADERTSCHER DIANE</v>
      </c>
      <c r="M126" s="6">
        <f t="shared" si="34"/>
        <v>2.5543981479131617E-2</v>
      </c>
      <c r="N126" s="7">
        <f t="shared" si="52"/>
        <v>36.783333329949528</v>
      </c>
      <c r="O126" s="7"/>
      <c r="P126" s="7"/>
      <c r="Q126" s="22"/>
      <c r="R126" s="174"/>
      <c r="S126" s="221">
        <f t="shared" si="53"/>
        <v>1</v>
      </c>
      <c r="T126" s="174" t="str">
        <f t="shared" si="35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6"/>
        <v>https://d0f6bd738d7f1b3e5a7ca70fe4ff75f0.us-east-1.aws.found.io/app/kibana#/discover/Steve-Slow-Train-Analysis-(2080s-and-2083s)?_g=(refreshInterval:(display:Off,pause:!f,section:0,value:0),time:(from:'2017-11-11T16:10:00-0700',mode:absolute,to:'2017-11-11T18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204" t="str">
        <f>IF(AA126&lt;VLOOKUP(AG126,Variables!$AC$3:$AD$8,2,FALSE),"Y","N")</f>
        <v>N</v>
      </c>
      <c r="X126" s="204">
        <f t="shared" si="56"/>
        <v>1</v>
      </c>
      <c r="Y126" s="204">
        <f t="shared" si="54"/>
        <v>5.6399999999999999E-2</v>
      </c>
      <c r="Z126" s="204">
        <f t="shared" si="55"/>
        <v>23.3186</v>
      </c>
      <c r="AA126" s="204">
        <f t="shared" si="39"/>
        <v>23.2622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40"/>
        <v>209</v>
      </c>
      <c r="AE126" s="77" t="str">
        <f t="shared" si="41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26" s="74" t="str">
        <f t="shared" si="42"/>
        <v>"C:\Program Files (x86)\AstroGrep\AstroGrep.exe" /e /r /s /spath="%USERPROFILE%\AppData\Local\Temp\OnboardLogs" /stypes="app*4044*20171112*" /stext=" 00:.+((SYSTEM_STATE.+slice.+state.+changed )|(ment ac)|(multiple cpu faults)|(system.+state.+changed )|(\[timeout)|(PRM\|1\|D)|(kpr)|(kdp)|(train st.+moving)|(\|lc)|(penalty))"</v>
      </c>
      <c r="AG126" s="182" t="str">
        <f t="shared" si="43"/>
        <v>EC</v>
      </c>
      <c r="AH126" s="78" t="str">
        <f t="shared" si="44"/>
        <v>"%USERPROFILE%\Documents\GitHub\eaglep3\Utilities\RefineRTDCRunTimes.py" --tripid 209-11 --locoid 4044 --swversion DE.1.0.9.0 --startMP 204:564 --initTime 2017-11-11T17:10:00 --startdatetime 2017-11-11T17:15:19 --delay 71 --endMP 204:233186 --enddatetime 2017-11-11T17:52:06 --enforcementcount 0 &gt;&gt;%USERPROFILE%\Documents\GitHub\eaglep3-reporting\EC\2017-11-11-refined-times.txt</v>
      </c>
      <c r="AI126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{"issue":{"subject":"","project_id":79,"tracker_id":40,"status_id":1,"priority_id":2,"assigned_to_id":338,"start_date":"2017-11-11","description":"","custom_fields":[{"id":1,"name":"Subdivision","value":"EC"},{"id":4,"name":"Milepost","value":"23.3186"},{"id":17,"name":"Train ID","value":"209-11"},{"id":16,"name":"Locomotive ID","value":"4044"},{"id":130,"name":"Impact","value":""},{"id":150,"name":"Time of Event (Mountain Time)","value":"17:52:06"},{"id":151,"name":"Denver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6"/>
        <v>start /low /b %USERPROFILE%\Documents\GitHub\eaglep3\Utilities\DownloadLogsFromS3.py --loco 4044 --day 2017-11-11</v>
      </c>
      <c r="AN126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8"/>
        <v>https://d0f6bd738d7f1b3e5a7ca70fe4ff75f0.us-east-1.aws.found.io/app/kibana#/discover/Steve-Slow-Train-Analysis-(2080s-and-2083s)?_g=(refreshInterval:(display:Off,pause:!f,section:0,value:0),time:(from:'2017-11-11T16:10:00-0700',mode:absolute,to:'2017-11-11T18:52:06-0700'))&amp;_a=(columns:!('Message%20ID',Summary),filters:!(),index:'emp_*',interval:auto,query:(query_string:(analyze_wildcard:!t,query:'%22rtdc.l.rtdc.4044%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840</v>
      </c>
      <c r="B127" s="7">
        <v>4043</v>
      </c>
      <c r="C127" s="21" t="s">
        <v>192</v>
      </c>
      <c r="D127" s="21" t="s">
        <v>617</v>
      </c>
      <c r="E127" s="13">
        <v>43050.753692129627</v>
      </c>
      <c r="F127" s="13">
        <v>43050.758506944447</v>
      </c>
      <c r="G127" s="7">
        <v>66</v>
      </c>
      <c r="H127" s="21" t="s">
        <v>472</v>
      </c>
      <c r="I127" s="13">
        <v>43050.786412037036</v>
      </c>
      <c r="J127" s="7">
        <v>0</v>
      </c>
      <c r="K127" s="89" t="str">
        <f t="shared" si="33"/>
        <v>4043/4044</v>
      </c>
      <c r="L127" s="185" t="str">
        <f>VLOOKUP(A127,'Trips&amp;Operators'!$C$1:$G$99911,5,FALSE)</f>
        <v>BADERTSCHER DIANE</v>
      </c>
      <c r="M127" s="6">
        <f t="shared" si="34"/>
        <v>2.7905092589207925E-2</v>
      </c>
      <c r="N127" s="7">
        <f t="shared" si="52"/>
        <v>40.183333328459412</v>
      </c>
      <c r="O127" s="7"/>
      <c r="P127" s="7"/>
      <c r="Q127" s="22"/>
      <c r="R127" s="174"/>
      <c r="S127" s="221">
        <f t="shared" si="53"/>
        <v>1</v>
      </c>
      <c r="T127" s="174" t="str">
        <f t="shared" si="35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6"/>
        <v>https://d0f6bd738d7f1b3e5a7ca70fe4ff75f0.us-east-1.aws.found.io/app/kibana#/discover/Steve-Slow-Train-Analysis-(2080s-and-2083s)?_g=(refreshInterval:(display:Off,pause:!f,section:0,value:0),time:(from:'2017-11-11T17:05:19-0700',mode:absolute,to:'2017-11-11T19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204" t="str">
        <f>IF(AA127&lt;VLOOKUP(AG127,Variables!$AC$3:$AD$8,2,FALSE),"Y","N")</f>
        <v>N</v>
      </c>
      <c r="X127" s="204">
        <f t="shared" si="56"/>
        <v>1</v>
      </c>
      <c r="Y127" s="204">
        <f t="shared" si="54"/>
        <v>23.2879</v>
      </c>
      <c r="Z127" s="204">
        <f t="shared" si="55"/>
        <v>2.3400000000000001E-2</v>
      </c>
      <c r="AA127" s="204">
        <f t="shared" si="39"/>
        <v>23.264500000000002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40"/>
        <v>210</v>
      </c>
      <c r="AE127" s="77" t="str">
        <f t="shared" si="41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27" s="74" t="str">
        <f t="shared" si="42"/>
        <v>"C:\Program Files (x86)\AstroGrep\AstroGrep.exe" /e /r /s /spath="%USERPROFILE%\AppData\Local\Temp\OnboardLogs" /stypes="app*4043*20171112*" /stext=" 01:.+((SYSTEM_STATE.+slice.+state.+changed )|(ment ac)|(multiple cpu faults)|(system.+state.+changed )|(\[timeout)|(PRM\|1\|D)|(kpr)|(kdp)|(train st.+moving)|(\|lc)|(penalty))"</v>
      </c>
      <c r="AG127" s="182" t="str">
        <f t="shared" si="43"/>
        <v>EC</v>
      </c>
      <c r="AH127" s="78" t="str">
        <f t="shared" si="44"/>
        <v>"%USERPROFILE%\Documents\GitHub\eaglep3\Utilities\RefineRTDCRunTimes.py" --tripid 210-11 --locoid 4043 --swversion DE.1.0.9.0 --startMP 204:232879 --initTime 2017-11-11T18:05:19 --startdatetime 2017-11-11T18:12:15 --delay 66 --endMP 204:234 --enddatetime 2017-11-11T18:52:26 --enforcementcount 0 &gt;&gt;%USERPROFILE%\Documents\GitHub\eaglep3-reporting\EC\2017-11-11-refined-times.txt</v>
      </c>
      <c r="AI12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{"issue":{"subject":"","project_id":79,"tracker_id":40,"status_id":1,"priority_id":2,"assigned_to_id":338,"start_date":"2017-11-11","description":"","custom_fields":[{"id":1,"name":"Subdivision","value":"EC"},{"id":4,"name":"Milepost","value":"0.0234"},{"id":17,"name":"Train ID","value":"210-11"},{"id":16,"name":"Locomotive ID","value":"4043"},{"id":130,"name":"Impact","value":""},{"id":150,"name":"Time of Event (Mountain Time)","value":"18:52:26"},{"id":151,"name":"Denver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6"/>
        <v>start /low /b %USERPROFILE%\Documents\GitHub\eaglep3\Utilities\DownloadLogsFromS3.py --loco 4043 --day 2017-11-11</v>
      </c>
      <c r="AN127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8"/>
        <v>https://d0f6bd738d7f1b3e5a7ca70fe4ff75f0.us-east-1.aws.found.io/app/kibana#/discover/Steve-Slow-Train-Analysis-(2080s-and-2083s)?_g=(refreshInterval:(display:Off,pause:!f,section:0,value:0),time:(from:'2017-11-11T17:05:19-0700',mode:absolute,to:'2017-11-11T19:52:26-0700'))&amp;_a=(columns:!('Message%20ID',Summary),filters:!(),index:'emp_*',interval:auto,query:(query_string:(analyze_wildcard:!t,query:'%22rtdc.l.rtdc.4043%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832</v>
      </c>
      <c r="B128" s="7">
        <v>4066</v>
      </c>
      <c r="C128" s="21" t="s">
        <v>192</v>
      </c>
      <c r="D128" s="21" t="s">
        <v>631</v>
      </c>
      <c r="E128" s="13">
        <v>43050.725127314814</v>
      </c>
      <c r="F128" s="13">
        <v>43050.729328703703</v>
      </c>
      <c r="G128" s="7">
        <v>73</v>
      </c>
      <c r="H128" s="21" t="s">
        <v>1034</v>
      </c>
      <c r="I128" s="13">
        <v>43050.754467592589</v>
      </c>
      <c r="J128" s="7">
        <v>0</v>
      </c>
      <c r="K128" s="89" t="str">
        <f t="shared" si="33"/>
        <v>4065/4066</v>
      </c>
      <c r="L128" s="185" t="str">
        <f>VLOOKUP(A128,'Trips&amp;Operators'!$C$1:$G$99911,5,FALSE)</f>
        <v>BERLING GARY</v>
      </c>
      <c r="M128" s="6">
        <f t="shared" si="34"/>
        <v>2.5138888886431232E-2</v>
      </c>
      <c r="N128" s="7">
        <f t="shared" si="52"/>
        <v>36.199999996460974</v>
      </c>
      <c r="O128" s="7"/>
      <c r="P128" s="7"/>
      <c r="Q128" s="22"/>
      <c r="R128" s="174"/>
      <c r="S128" s="221">
        <f t="shared" si="53"/>
        <v>1</v>
      </c>
      <c r="T128" s="174" t="str">
        <f t="shared" si="35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6"/>
        <v>https://d0f6bd738d7f1b3e5a7ca70fe4ff75f0.us-east-1.aws.found.io/app/kibana#/discover/Steve-Slow-Train-Analysis-(2080s-and-2083s)?_g=(refreshInterval:(display:Off,pause:!f,section:0,value:0),time:(from:'2017-11-11T16:24:11-0700',mode:absolute,to:'2017-11-11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8" s="204" t="str">
        <f>IF(AA128&lt;VLOOKUP(AG128,Variables!$AC$3:$AD$8,2,FALSE),"Y","N")</f>
        <v>N</v>
      </c>
      <c r="X128" s="204">
        <f t="shared" si="56"/>
        <v>1</v>
      </c>
      <c r="Y128" s="204">
        <f t="shared" si="54"/>
        <v>5.4800000000000001E-2</v>
      </c>
      <c r="Z128" s="204">
        <f t="shared" si="55"/>
        <v>23.324000000000002</v>
      </c>
      <c r="AA128" s="204">
        <f t="shared" si="39"/>
        <v>23.269200000000001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40"/>
        <v>211</v>
      </c>
      <c r="AE128" s="77" t="str">
        <f t="shared" si="41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128" s="74" t="str">
        <f t="shared" si="42"/>
        <v>"C:\Program Files (x86)\AstroGrep\AstroGrep.exe" /e /r /s /spath="%USERPROFILE%\AppData\Local\Temp\OnboardLogs" /stypes="app*4066*20171112*" /stext=" 01:.+((SYSTEM_STATE.+slice.+state.+changed )|(ment ac)|(multiple cpu faults)|(system.+state.+changed )|(\[timeout)|(PRM\|1\|D)|(kpr)|(kdp)|(train st.+moving)|(\|lc)|(penalty))"</v>
      </c>
      <c r="AG128" s="182" t="str">
        <f t="shared" si="43"/>
        <v>EC</v>
      </c>
      <c r="AH128" s="78" t="str">
        <f t="shared" si="44"/>
        <v>"%USERPROFILE%\Documents\GitHub\eaglep3\Utilities\RefineRTDCRunTimes.py" --tripid 211-11 --locoid 4066 --swversion DE.1.0.9.0 --startMP 204:548 --initTime 2017-11-11T17:24:11 --startdatetime 2017-11-11T17:30:14 --delay 73 --endMP 204:233240 --enddatetime 2017-11-11T18:06:26 --enforcementcount 0 &gt;&gt;%USERPROFILE%\Documents\GitHub\eaglep3-reporting\EC\2017-11-11-refined-times.txt</v>
      </c>
      <c r="AI12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{"issue":{"subject":"","project_id":79,"tracker_id":40,"status_id":1,"priority_id":2,"assigned_to_id":338,"start_date":"2017-11-11","description":"","custom_fields":[{"id":1,"name":"Subdivision","value":"EC"},{"id":4,"name":"Milepost","value":"23.324"},{"id":17,"name":"Train ID","value":"211-11"},{"id":16,"name":"Locomotive ID","value":"4066"},{"id":130,"name":"Impact","value":""},{"id":150,"name":"Time of Event (Mountain Time)","value":"18:06:26"},{"id":151,"name":"Denver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6"/>
        <v>start /low /b %USERPROFILE%\Documents\GitHub\eaglep3\Utilities\DownloadLogsFromS3.py --loco 4066 --day 2017-11-11</v>
      </c>
      <c r="AN128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8"/>
        <v>https://d0f6bd738d7f1b3e5a7ca70fe4ff75f0.us-east-1.aws.found.io/app/kibana#/discover/Steve-Slow-Train-Analysis-(2080s-and-2083s)?_g=(refreshInterval:(display:Off,pause:!f,section:0,value:0),time:(from:'2017-11-11T16:24:11-0700',mode:absolute,to:'2017-11-11T19:06:26-0700'))&amp;_a=(columns:!('Message%20ID',Summary),filters:!(),index:'emp_*',interval:auto,query:(query_string:(analyze_wildcard:!t,query:'%22rtdc.l.rtdc.4066%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842</v>
      </c>
      <c r="B129" s="7">
        <v>4065</v>
      </c>
      <c r="C129" s="21" t="s">
        <v>192</v>
      </c>
      <c r="D129" s="21" t="s">
        <v>1025</v>
      </c>
      <c r="E129" s="13">
        <v>43050.762546296297</v>
      </c>
      <c r="F129" s="13">
        <v>43050.768912037034</v>
      </c>
      <c r="G129" s="7">
        <v>78</v>
      </c>
      <c r="H129" s="21" t="s">
        <v>629</v>
      </c>
      <c r="I129" s="13">
        <v>43050.796099537038</v>
      </c>
      <c r="J129" s="7">
        <v>0</v>
      </c>
      <c r="K129" s="89" t="str">
        <f t="shared" si="33"/>
        <v>4065/4066</v>
      </c>
      <c r="L129" s="185" t="str">
        <f>VLOOKUP(A129,'Trips&amp;Operators'!$C$1:$G$99911,5,FALSE)</f>
        <v>BERLING GARY</v>
      </c>
      <c r="M129" s="6">
        <f t="shared" si="34"/>
        <v>2.718750000349246E-2</v>
      </c>
      <c r="N129" s="7">
        <f t="shared" si="52"/>
        <v>39.150000005029142</v>
      </c>
      <c r="O129" s="7"/>
      <c r="P129" s="7"/>
      <c r="Q129" s="22"/>
      <c r="R129" s="174"/>
      <c r="S129" s="221">
        <f t="shared" si="53"/>
        <v>1</v>
      </c>
      <c r="T129" s="174" t="str">
        <f t="shared" si="35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6"/>
        <v>https://d0f6bd738d7f1b3e5a7ca70fe4ff75f0.us-east-1.aws.found.io/app/kibana#/discover/Steve-Slow-Train-Analysis-(2080s-and-2083s)?_g=(refreshInterval:(display:Off,pause:!f,section:0,value:0),time:(from:'2017-11-11T17:18:04-0700',mode:absolute,to:'2017-11-11T20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9" s="204" t="str">
        <f>IF(AA129&lt;VLOOKUP(AG129,Variables!$AC$3:$AD$8,2,FALSE),"Y","N")</f>
        <v>N</v>
      </c>
      <c r="X129" s="204">
        <f t="shared" si="56"/>
        <v>1</v>
      </c>
      <c r="Y129" s="204">
        <f t="shared" si="54"/>
        <v>23.290800000000001</v>
      </c>
      <c r="Z129" s="204">
        <f t="shared" si="55"/>
        <v>2.4899999999999999E-2</v>
      </c>
      <c r="AA129" s="204">
        <f t="shared" si="39"/>
        <v>23.265900000000002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40"/>
        <v>212</v>
      </c>
      <c r="AE129" s="77" t="str">
        <f t="shared" si="41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129" s="74" t="str">
        <f t="shared" si="42"/>
        <v>"C:\Program Files (x86)\AstroGrep\AstroGrep.exe" /e /r /s /spath="%USERPROFILE%\AppData\Local\Temp\OnboardLogs" /stypes="app*4065*20171112*" /stext=" 02:.+((SYSTEM_STATE.+slice.+state.+changed )|(ment ac)|(multiple cpu faults)|(system.+state.+changed )|(\[timeout)|(PRM\|1\|D)|(kpr)|(kdp)|(train st.+moving)|(\|lc)|(penalty))"</v>
      </c>
      <c r="AG129" s="182" t="str">
        <f t="shared" si="43"/>
        <v>EC</v>
      </c>
      <c r="AH129" s="78" t="str">
        <f t="shared" si="44"/>
        <v>"%USERPROFILE%\Documents\GitHub\eaglep3\Utilities\RefineRTDCRunTimes.py" --tripid 212-11 --locoid 4065 --swversion DE.1.0.9.0 --startMP 204:232908 --initTime 2017-11-11T18:18:04 --startdatetime 2017-11-11T18:27:14 --delay 78 --endMP 204:249 --enddatetime 2017-11-11T19:06:23 --enforcementcount 0 &gt;&gt;%USERPROFILE%\Documents\GitHub\eaglep3-reporting\EC\2017-11-11-refined-times.txt</v>
      </c>
      <c r="AI12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{"issue":{"subject":"","project_id":79,"tracker_id":40,"status_id":1,"priority_id":2,"assigned_to_id":338,"start_date":"2017-11-11","description":"","custom_fields":[{"id":1,"name":"Subdivision","value":"EC"},{"id":4,"name":"Milepost","value":"0.0249"},{"id":17,"name":"Train ID","value":"212-11"},{"id":16,"name":"Locomotive ID","value":"4065"},{"id":130,"name":"Impact","value":""},{"id":150,"name":"Time of Event (Mountain Time)","value":"19:06:23"},{"id":151,"name":"Denver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6"/>
        <v>start /low /b %USERPROFILE%\Documents\GitHub\eaglep3\Utilities\DownloadLogsFromS3.py --loco 4065 --day 2017-11-11</v>
      </c>
      <c r="AN129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8"/>
        <v>https://d0f6bd738d7f1b3e5a7ca70fe4ff75f0.us-east-1.aws.found.io/app/kibana#/discover/Steve-Slow-Train-Analysis-(2080s-and-2083s)?_g=(refreshInterval:(display:Off,pause:!f,section:0,value:0),time:(from:'2017-11-11T17:18:04-0700',mode:absolute,to:'2017-11-11T20:06:23-0700'))&amp;_a=(columns:!('Message%20ID',Summary),filters:!(),index:'emp_*',interval:auto,query:(query_string:(analyze_wildcard:!t,query:'%22rtdc.l.rtdc.4065%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837</v>
      </c>
      <c r="B130" s="7">
        <v>4058</v>
      </c>
      <c r="C130" s="21" t="s">
        <v>192</v>
      </c>
      <c r="D130" s="21" t="s">
        <v>567</v>
      </c>
      <c r="E130" s="13">
        <v>43050.735405092593</v>
      </c>
      <c r="F130" s="13">
        <v>43050.739756944444</v>
      </c>
      <c r="G130" s="7">
        <v>75</v>
      </c>
      <c r="H130" s="21" t="s">
        <v>1035</v>
      </c>
      <c r="I130" s="13">
        <v>43050.76421296296</v>
      </c>
      <c r="J130" s="7">
        <v>0</v>
      </c>
      <c r="K130" s="89" t="str">
        <f t="shared" si="33"/>
        <v>4057/4058</v>
      </c>
      <c r="L130" s="185" t="str">
        <f>VLOOKUP(A130,'Trips&amp;Operators'!$C$1:$G$99911,5,FALSE)</f>
        <v>FORTUNATO FRANK</v>
      </c>
      <c r="M130" s="6">
        <f t="shared" si="34"/>
        <v>2.4456018516502809E-2</v>
      </c>
      <c r="N130" s="7">
        <f t="shared" si="52"/>
        <v>35.216666663764045</v>
      </c>
      <c r="O130" s="7"/>
      <c r="P130" s="7"/>
      <c r="Q130" s="22"/>
      <c r="R130" s="174"/>
      <c r="S130" s="221">
        <f t="shared" si="53"/>
        <v>1</v>
      </c>
      <c r="T130" s="174" t="str">
        <f t="shared" si="35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6"/>
        <v>https://d0f6bd738d7f1b3e5a7ca70fe4ff75f0.us-east-1.aws.found.io/app/kibana#/discover/Steve-Slow-Train-Analysis-(2080s-and-2083s)?_g=(refreshInterval:(display:Off,pause:!f,section:0,value:0),time:(from:'2017-11-11T16:38:59-0700',mode:absolute,to:'2017-11-11T19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0" s="204" t="str">
        <f>IF(AA130&lt;VLOOKUP(AG130,Variables!$AC$3:$AD$8,2,FALSE),"Y","N")</f>
        <v>N</v>
      </c>
      <c r="X130" s="204">
        <f t="shared" si="56"/>
        <v>1</v>
      </c>
      <c r="Y130" s="204">
        <f t="shared" si="54"/>
        <v>5.5100000000000003E-2</v>
      </c>
      <c r="Z130" s="204">
        <f t="shared" si="55"/>
        <v>23.315100000000001</v>
      </c>
      <c r="AA130" s="204">
        <f t="shared" si="39"/>
        <v>23.26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40"/>
        <v>213</v>
      </c>
      <c r="AE130" s="77" t="str">
        <f t="shared" si="41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30" s="74" t="str">
        <f t="shared" si="42"/>
        <v>"C:\Program Files (x86)\AstroGrep\AstroGrep.exe" /e /r /s /spath="%USERPROFILE%\AppData\Local\Temp\OnboardLogs" /stypes="app*4058*20171112*" /stext=" 01:.+((SYSTEM_STATE.+slice.+state.+changed )|(ment ac)|(multiple cpu faults)|(system.+state.+changed )|(\[timeout)|(PRM\|1\|D)|(kpr)|(kdp)|(train st.+moving)|(\|lc)|(penalty))"</v>
      </c>
      <c r="AG130" s="182" t="str">
        <f t="shared" si="43"/>
        <v>EC</v>
      </c>
      <c r="AH130" s="78" t="str">
        <f t="shared" si="44"/>
        <v>"%USERPROFILE%\Documents\GitHub\eaglep3\Utilities\RefineRTDCRunTimes.py" --tripid 213-11 --locoid 4058 --swversion DE.1.0.9.0 --startMP 204:551 --initTime 2017-11-11T17:38:59 --startdatetime 2017-11-11T17:45:15 --delay 75 --endMP 204:233151 --enddatetime 2017-11-11T18:20:28 --enforcementcount 0 &gt;&gt;%USERPROFILE%\Documents\GitHub\eaglep3-reporting\EC\2017-11-11-refined-times.txt</v>
      </c>
      <c r="AI13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{"issue":{"subject":"","project_id":79,"tracker_id":40,"status_id":1,"priority_id":2,"assigned_to_id":338,"start_date":"2017-11-11","description":"","custom_fields":[{"id":1,"name":"Subdivision","value":"EC"},{"id":4,"name":"Milepost","value":"23.3151"},{"id":17,"name":"Train ID","value":"213-11"},{"id":16,"name":"Locomotive ID","value":"4058"},{"id":130,"name":"Impact","value":""},{"id":150,"name":"Time of Event (Mountain Time)","value":"18:20:28"},{"id":151,"name":"Denver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6"/>
        <v>start /low /b %USERPROFILE%\Documents\GitHub\eaglep3\Utilities\DownloadLogsFromS3.py --loco 4058 --day 2017-11-11</v>
      </c>
      <c r="AN130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8"/>
        <v>https://d0f6bd738d7f1b3e5a7ca70fe4ff75f0.us-east-1.aws.found.io/app/kibana#/discover/Steve-Slow-Train-Analysis-(2080s-and-2083s)?_g=(refreshInterval:(display:Off,pause:!f,section:0,value:0),time:(from:'2017-11-11T16:38:59-0700',mode:absolute,to:'2017-11-11T19:20:28-0700'))&amp;_a=(columns:!('Message%20ID',Summary),filters:!(),index:'emp_*',interval:auto,query:(query_string:(analyze_wildcard:!t,query:'%22rtdc.l.rtdc.4058%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845</v>
      </c>
      <c r="B131" s="7">
        <v>4057</v>
      </c>
      <c r="C131" s="21" t="s">
        <v>192</v>
      </c>
      <c r="D131" s="21" t="s">
        <v>473</v>
      </c>
      <c r="E131" s="13">
        <v>43050.768090277779</v>
      </c>
      <c r="F131" s="13">
        <v>43050.779351851852</v>
      </c>
      <c r="G131" s="7">
        <v>118</v>
      </c>
      <c r="H131" s="21" t="s">
        <v>551</v>
      </c>
      <c r="I131" s="13">
        <v>43050.806331018517</v>
      </c>
      <c r="J131" s="7">
        <v>0</v>
      </c>
      <c r="K131" s="89" t="str">
        <f t="shared" si="33"/>
        <v>4057/4058</v>
      </c>
      <c r="L131" s="185" t="str">
        <f>VLOOKUP(A131,'Trips&amp;Operators'!$C$1:$G$99911,5,FALSE)</f>
        <v>FORTUNATO FRANK</v>
      </c>
      <c r="M131" s="6">
        <f t="shared" si="34"/>
        <v>2.6979166665114462E-2</v>
      </c>
      <c r="N131" s="7">
        <f t="shared" si="52"/>
        <v>38.849999997764826</v>
      </c>
      <c r="O131" s="7"/>
      <c r="P131" s="7"/>
      <c r="Q131" s="22"/>
      <c r="R131" s="174"/>
      <c r="S131" s="221">
        <f t="shared" si="53"/>
        <v>1</v>
      </c>
      <c r="T131" s="174" t="str">
        <f t="shared" si="35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6"/>
        <v>https://d0f6bd738d7f1b3e5a7ca70fe4ff75f0.us-east-1.aws.found.io/app/kibana#/discover/Steve-Slow-Train-Analysis-(2080s-and-2083s)?_g=(refreshInterval:(display:Off,pause:!f,section:0,value:0),time:(from:'2017-11-11T17:26:03-0700',mode:absolute,to:'2017-11-11T20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1" s="204" t="str">
        <f>IF(AA131&lt;VLOOKUP(AG131,Variables!$AC$3:$AD$8,2,FALSE),"Y","N")</f>
        <v>N</v>
      </c>
      <c r="X131" s="204">
        <f t="shared" si="56"/>
        <v>1</v>
      </c>
      <c r="Y131" s="204">
        <f t="shared" si="54"/>
        <v>23.286899999999999</v>
      </c>
      <c r="Z131" s="204">
        <f t="shared" si="55"/>
        <v>2.0299999999999999E-2</v>
      </c>
      <c r="AA131" s="204">
        <f t="shared" si="39"/>
        <v>23.2666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40"/>
        <v>214</v>
      </c>
      <c r="AE131" s="77" t="str">
        <f t="shared" si="41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31" s="74" t="str">
        <f t="shared" si="42"/>
        <v>"C:\Program Files (x86)\AstroGrep\AstroGrep.exe" /e /r /s /spath="%USERPROFILE%\AppData\Local\Temp\OnboardLogs" /stypes="app*4057*20171112*" /stext=" 02:.+((SYSTEM_STATE.+slice.+state.+changed )|(ment ac)|(multiple cpu faults)|(system.+state.+changed )|(\[timeout)|(PRM\|1\|D)|(kpr)|(kdp)|(train st.+moving)|(\|lc)|(penalty))"</v>
      </c>
      <c r="AG131" s="182" t="str">
        <f t="shared" si="43"/>
        <v>EC</v>
      </c>
      <c r="AH131" s="78" t="str">
        <f t="shared" si="44"/>
        <v>"%USERPROFILE%\Documents\GitHub\eaglep3\Utilities\RefineRTDCRunTimes.py" --tripid 214-11 --locoid 4057 --swversion DE.1.0.9.0 --startMP 204:232869 --initTime 2017-11-11T18:26:03 --startdatetime 2017-11-11T18:42:16 --delay 118 --endMP 204:203 --enddatetime 2017-11-11T19:21:07 --enforcementcount 0 &gt;&gt;%USERPROFILE%\Documents\GitHub\eaglep3-reporting\EC\2017-11-11-refined-times.txt</v>
      </c>
      <c r="AI131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{"issue":{"subject":"","project_id":79,"tracker_id":40,"status_id":1,"priority_id":2,"assigned_to_id":338,"start_date":"2017-11-11","description":"","custom_fields":[{"id":1,"name":"Subdivision","value":"EC"},{"id":4,"name":"Milepost","value":"0.0203"},{"id":17,"name":"Train ID","value":"214-11"},{"id":16,"name":"Locomotive ID","value":"4057"},{"id":130,"name":"Impact","value":""},{"id":150,"name":"Time of Event (Mountain Time)","value":"19:21:07"},{"id":151,"name":"Denver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6"/>
        <v>start /low /b %USERPROFILE%\Documents\GitHub\eaglep3\Utilities\DownloadLogsFromS3.py --loco 4057 --day 2017-11-11</v>
      </c>
      <c r="AN131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8"/>
        <v>https://d0f6bd738d7f1b3e5a7ca70fe4ff75f0.us-east-1.aws.found.io/app/kibana#/discover/Steve-Slow-Train-Analysis-(2080s-and-2083s)?_g=(refreshInterval:(display:Off,pause:!f,section:0,value:0),time:(from:'2017-11-11T17:26:03-0700',mode:absolute,to:'2017-11-11T20:21:07-0700'))&amp;_a=(columns:!('Message%20ID',Summary),filters:!(),index:'emp_*',interval:auto,query:(query_string:(analyze_wildcard:!t,query:'%22rtdc.l.rtdc.4057%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838</v>
      </c>
      <c r="B132" s="7">
        <v>4026</v>
      </c>
      <c r="C132" s="21" t="s">
        <v>192</v>
      </c>
      <c r="D132" s="21" t="s">
        <v>558</v>
      </c>
      <c r="E132" s="13">
        <v>43050.744143518517</v>
      </c>
      <c r="F132" s="13">
        <v>43050.750162037039</v>
      </c>
      <c r="G132" s="7">
        <v>72</v>
      </c>
      <c r="H132" s="21" t="s">
        <v>607</v>
      </c>
      <c r="I132" s="13">
        <v>43050.775011574071</v>
      </c>
      <c r="J132" s="7">
        <v>0</v>
      </c>
      <c r="K132" s="89" t="str">
        <f t="shared" si="33"/>
        <v>4025/4026</v>
      </c>
      <c r="L132" s="185" t="str">
        <f>VLOOKUP(A132,'Trips&amp;Operators'!$C$1:$G$99911,5,FALSE)</f>
        <v>SANTIZO D. EDY</v>
      </c>
      <c r="M132" s="6">
        <f t="shared" si="34"/>
        <v>2.4849537032423541E-2</v>
      </c>
      <c r="N132" s="7">
        <f t="shared" si="52"/>
        <v>35.783333326689899</v>
      </c>
      <c r="O132" s="7"/>
      <c r="P132" s="7"/>
      <c r="Q132" s="22"/>
      <c r="R132" s="174"/>
      <c r="S132" s="221">
        <f t="shared" si="53"/>
        <v>1</v>
      </c>
      <c r="T132" s="174" t="str">
        <f t="shared" si="35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6"/>
        <v>https://d0f6bd738d7f1b3e5a7ca70fe4ff75f0.us-east-1.aws.found.io/app/kibana#/discover/Steve-Slow-Train-Analysis-(2080s-and-2083s)?_g=(refreshInterval:(display:Off,pause:!f,section:0,value:0),time:(from:'2017-11-11T16:51:34-0700',mode:absolute,to:'2017-11-11T19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204" t="str">
        <f>IF(AA132&lt;VLOOKUP(AG132,Variables!$AC$3:$AD$8,2,FALSE),"Y","N")</f>
        <v>N</v>
      </c>
      <c r="X132" s="204">
        <f t="shared" si="56"/>
        <v>1</v>
      </c>
      <c r="Y132" s="204">
        <f t="shared" si="54"/>
        <v>5.4600000000000003E-2</v>
      </c>
      <c r="Z132" s="204">
        <f t="shared" si="55"/>
        <v>23.319099999999999</v>
      </c>
      <c r="AA132" s="204">
        <f t="shared" si="39"/>
        <v>23.264499999999998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40"/>
        <v>215</v>
      </c>
      <c r="AE132" s="77" t="str">
        <f t="shared" si="41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132" s="74" t="str">
        <f t="shared" si="42"/>
        <v>"C:\Program Files (x86)\AstroGrep\AstroGrep.exe" /e /r /s /spath="%USERPROFILE%\AppData\Local\Temp\OnboardLogs" /stypes="app*4026*20171112*" /stext=" 01:.+((SYSTEM_STATE.+slice.+state.+changed )|(ment ac)|(multiple cpu faults)|(system.+state.+changed )|(\[timeout)|(PRM\|1\|D)|(kpr)|(kdp)|(train st.+moving)|(\|lc)|(penalty))"</v>
      </c>
      <c r="AG132" s="182" t="str">
        <f t="shared" si="43"/>
        <v>EC</v>
      </c>
      <c r="AH132" s="78" t="str">
        <f t="shared" si="44"/>
        <v>"%USERPROFILE%\Documents\GitHub\eaglep3\Utilities\RefineRTDCRunTimes.py" --tripid 215-11 --locoid 4026 --swversion DE.1.0.9.0 --startMP 204:546 --initTime 2017-11-11T17:51:34 --startdatetime 2017-11-11T18:00:14 --delay 72 --endMP 204:233191 --enddatetime 2017-11-11T18:36:01 --enforcementcount 0 &gt;&gt;%USERPROFILE%\Documents\GitHub\eaglep3-reporting\EC\2017-11-11-refined-times.txt</v>
      </c>
      <c r="AI132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{"issue":{"subject":"","project_id":79,"tracker_id":40,"status_id":1,"priority_id":2,"assigned_to_id":338,"start_date":"2017-11-11","description":"","custom_fields":[{"id":1,"name":"Subdivision","value":"EC"},{"id":4,"name":"Milepost","value":"23.3191"},{"id":17,"name":"Train ID","value":"215-11"},{"id":16,"name":"Locomotive ID","value":"4026"},{"id":130,"name":"Impact","value":""},{"id":150,"name":"Time of Event (Mountain Time)","value":"18:36:01"},{"id":151,"name":"Denver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6"/>
        <v>start /low /b %USERPROFILE%\Documents\GitHub\eaglep3\Utilities\DownloadLogsFromS3.py --loco 4026 --day 2017-11-11</v>
      </c>
      <c r="AN132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8"/>
        <v>https://d0f6bd738d7f1b3e5a7ca70fe4ff75f0.us-east-1.aws.found.io/app/kibana#/discover/Steve-Slow-Train-Analysis-(2080s-and-2083s)?_g=(refreshInterval:(display:Off,pause:!f,section:0,value:0),time:(from:'2017-11-11T16:51:34-0700',mode:absolute,to:'2017-11-11T19:36:01-0700'))&amp;_a=(columns:!('Message%20ID',Summary),filters:!(),index:'emp_*',interval:auto,query:(query_string:(analyze_wildcard:!t,query:'%22rtdc.l.rtdc.4026%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847</v>
      </c>
      <c r="B133" s="7">
        <v>4025</v>
      </c>
      <c r="C133" s="21" t="s">
        <v>192</v>
      </c>
      <c r="D133" s="21" t="s">
        <v>474</v>
      </c>
      <c r="E133" s="13">
        <v>43050.783564814818</v>
      </c>
      <c r="F133" s="13">
        <v>43050.789814814816</v>
      </c>
      <c r="G133" s="7">
        <v>67</v>
      </c>
      <c r="H133" s="21" t="s">
        <v>446</v>
      </c>
      <c r="I133" s="13">
        <v>43050.814930555556</v>
      </c>
      <c r="J133" s="7">
        <v>0</v>
      </c>
      <c r="K133" s="89" t="str">
        <f t="shared" si="33"/>
        <v>4025/4026</v>
      </c>
      <c r="L133" s="185" t="str">
        <f>VLOOKUP(A133,'Trips&amp;Operators'!$C$1:$G$99911,5,FALSE)</f>
        <v>HOLCOMB KAMDEN</v>
      </c>
      <c r="M133" s="6">
        <f t="shared" si="34"/>
        <v>2.5115740740147885E-2</v>
      </c>
      <c r="N133" s="7">
        <f t="shared" si="52"/>
        <v>36.166666665812954</v>
      </c>
      <c r="O133" s="7"/>
      <c r="P133" s="7"/>
      <c r="Q133" s="22"/>
      <c r="R133" s="174"/>
      <c r="S133" s="221">
        <f t="shared" si="53"/>
        <v>1</v>
      </c>
      <c r="T133" s="174" t="str">
        <f t="shared" si="35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6"/>
        <v>https://d0f6bd738d7f1b3e5a7ca70fe4ff75f0.us-east-1.aws.found.io/app/kibana#/discover/Steve-Slow-Train-Analysis-(2080s-and-2083s)?_g=(refreshInterval:(display:Off,pause:!f,section:0,value:0),time:(from:'2017-11-11T17:48:20-0700',mode:absolute,to:'2017-11-11T20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204" t="str">
        <f>IF(AA133&lt;VLOOKUP(AG133,Variables!$AC$3:$AD$8,2,FALSE),"Y","N")</f>
        <v>N</v>
      </c>
      <c r="X133" s="204">
        <f t="shared" si="56"/>
        <v>1</v>
      </c>
      <c r="Y133" s="204">
        <f t="shared" si="54"/>
        <v>23.287500000000001</v>
      </c>
      <c r="Z133" s="204">
        <f t="shared" si="55"/>
        <v>2.1399999999999999E-2</v>
      </c>
      <c r="AA133" s="204">
        <f t="shared" si="39"/>
        <v>23.266100000000002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40"/>
        <v>216</v>
      </c>
      <c r="AE133" s="77" t="str">
        <f t="shared" si="41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133" s="74" t="str">
        <f t="shared" si="42"/>
        <v>"C:\Program Files (x86)\AstroGrep\AstroGrep.exe" /e /r /s /spath="%USERPROFILE%\AppData\Local\Temp\OnboardLogs" /stypes="app*4025*20171112*" /stext=" 02:.+((SYSTEM_STATE.+slice.+state.+changed )|(ment ac)|(multiple cpu faults)|(system.+state.+changed )|(\[timeout)|(PRM\|1\|D)|(kpr)|(kdp)|(train st.+moving)|(\|lc)|(penalty))"</v>
      </c>
      <c r="AG133" s="182" t="str">
        <f t="shared" si="43"/>
        <v>EC</v>
      </c>
      <c r="AH133" s="78" t="str">
        <f t="shared" si="44"/>
        <v>"%USERPROFILE%\Documents\GitHub\eaglep3\Utilities\RefineRTDCRunTimes.py" --tripid 216-11 --locoid 4025 --swversion DE.1.0.9.0 --startMP 204:232875 --initTime 2017-11-11T18:48:20 --startdatetime 2017-11-11T18:57:20 --delay 67 --endMP 204:214 --enddatetime 2017-11-11T19:33:30 --enforcementcount 0 &gt;&gt;%USERPROFILE%\Documents\GitHub\eaglep3-reporting\EC\2017-11-11-refined-times.txt</v>
      </c>
      <c r="AI133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{"issue":{"subject":"","project_id":79,"tracker_id":40,"status_id":1,"priority_id":2,"assigned_to_id":338,"start_date":"2017-11-11","description":"","custom_fields":[{"id":1,"name":"Subdivision","value":"EC"},{"id":4,"name":"Milepost","value":"0.0214"},{"id":17,"name":"Train ID","value":"216-11"},{"id":16,"name":"Locomotive ID","value":"4025"},{"id":130,"name":"Impact","value":""},{"id":150,"name":"Time of Event (Mountain Time)","value":"19:33:30"},{"id":151,"name":"Denver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6"/>
        <v>start /low /b %USERPROFILE%\Documents\GitHub\eaglep3\Utilities\DownloadLogsFromS3.py --loco 4025 --day 2017-11-11</v>
      </c>
      <c r="AN133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8"/>
        <v>https://d0f6bd738d7f1b3e5a7ca70fe4ff75f0.us-east-1.aws.found.io/app/kibana#/discover/Steve-Slow-Train-Analysis-(2080s-and-2083s)?_g=(refreshInterval:(display:Off,pause:!f,section:0,value:0),time:(from:'2017-11-11T17:48:20-0700',mode:absolute,to:'2017-11-11T20:33:30-0700'))&amp;_a=(columns:!('Message%20ID',Summary),filters:!(),index:'emp_*',interval:auto,query:(query_string:(analyze_wildcard:!t,query:'%22rtdc.l.rtdc.4025%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841</v>
      </c>
      <c r="B134" s="7">
        <v>4010</v>
      </c>
      <c r="C134" s="21" t="s">
        <v>192</v>
      </c>
      <c r="D134" s="21" t="s">
        <v>463</v>
      </c>
      <c r="E134" s="13">
        <v>43050.757303240738</v>
      </c>
      <c r="F134" s="13">
        <v>43050.760578703703</v>
      </c>
      <c r="G134" s="7">
        <v>117</v>
      </c>
      <c r="H134" s="21" t="s">
        <v>1036</v>
      </c>
      <c r="I134" s="13">
        <v>43050.784305555557</v>
      </c>
      <c r="J134" s="7">
        <v>0</v>
      </c>
      <c r="K134" s="89" t="str">
        <f t="shared" si="33"/>
        <v>4009/4010</v>
      </c>
      <c r="L134" s="185" t="str">
        <f>VLOOKUP(A134,'Trips&amp;Operators'!$C$1:$G$99911,5,FALSE)</f>
        <v>ELBAUM MIKE</v>
      </c>
      <c r="M134" s="6">
        <f t="shared" si="34"/>
        <v>2.3726851854007691E-2</v>
      </c>
      <c r="N134" s="7">
        <f t="shared" si="52"/>
        <v>34.166666669771075</v>
      </c>
      <c r="O134" s="7"/>
      <c r="P134" s="7"/>
      <c r="Q134" s="22"/>
      <c r="R134" s="174"/>
      <c r="S134" s="221">
        <f t="shared" si="53"/>
        <v>1</v>
      </c>
      <c r="T134" s="174" t="str">
        <f t="shared" si="35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6"/>
        <v>https://d0f6bd738d7f1b3e5a7ca70fe4ff75f0.us-east-1.aws.found.io/app/kibana#/discover/Steve-Slow-Train-Analysis-(2080s-and-2083s)?_g=(refreshInterval:(display:Off,pause:!f,section:0,value:0),time:(from:'2017-11-11T17:10:31-0700',mode:absolute,to:'2017-11-11T19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204" t="str">
        <f>IF(AA134&lt;VLOOKUP(AG134,Variables!$AC$3:$AD$8,2,FALSE),"Y","N")</f>
        <v>N</v>
      </c>
      <c r="X134" s="204">
        <f t="shared" si="56"/>
        <v>1</v>
      </c>
      <c r="Y134" s="204">
        <f t="shared" si="54"/>
        <v>5.28E-2</v>
      </c>
      <c r="Z134" s="204">
        <f t="shared" si="55"/>
        <v>23.3264</v>
      </c>
      <c r="AA134" s="204">
        <f t="shared" si="39"/>
        <v>23.273599999999998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40"/>
        <v>217</v>
      </c>
      <c r="AE134" s="77" t="str">
        <f t="shared" si="41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34" s="74" t="str">
        <f t="shared" si="42"/>
        <v>"C:\Program Files (x86)\AstroGrep\AstroGrep.exe" /e /r /s /spath="%USERPROFILE%\AppData\Local\Temp\OnboardLogs" /stypes="app*4010*20171112*" /stext=" 01:.+((SYSTEM_STATE.+slice.+state.+changed )|(ment ac)|(multiple cpu faults)|(system.+state.+changed )|(\[timeout)|(PRM\|1\|D)|(kpr)|(kdp)|(train st.+moving)|(\|lc)|(penalty))"</v>
      </c>
      <c r="AG134" s="182" t="str">
        <f t="shared" si="43"/>
        <v>EC</v>
      </c>
      <c r="AH134" s="78" t="str">
        <f t="shared" si="44"/>
        <v>"%USERPROFILE%\Documents\GitHub\eaglep3\Utilities\RefineRTDCRunTimes.py" --tripid 217-11 --locoid 4010 --swversion DE.1.0.9.0 --startMP 204:528 --initTime 2017-11-11T18:10:31 --startdatetime 2017-11-11T18:15:14 --delay 117 --endMP 204:233264 --enddatetime 2017-11-11T18:49:24 --enforcementcount 0 &gt;&gt;%USERPROFILE%\Documents\GitHub\eaglep3-reporting\EC\2017-11-11-refined-times.txt</v>
      </c>
      <c r="AI134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{"issue":{"subject":"","project_id":79,"tracker_id":40,"status_id":1,"priority_id":2,"assigned_to_id":338,"start_date":"2017-11-11","description":"","custom_fields":[{"id":1,"name":"Subdivision","value":"EC"},{"id":4,"name":"Milepost","value":"23.3264"},{"id":17,"name":"Train ID","value":"217-11"},{"id":16,"name":"Locomotive ID","value":"4010"},{"id":130,"name":"Impact","value":""},{"id":150,"name":"Time of Event (Mountain Time)","value":"18:49:24"},{"id":151,"name":"Denver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6"/>
        <v>start /low /b %USERPROFILE%\Documents\GitHub\eaglep3\Utilities\DownloadLogsFromS3.py --loco 4010 --day 2017-11-11</v>
      </c>
      <c r="AN134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8"/>
        <v>https://d0f6bd738d7f1b3e5a7ca70fe4ff75f0.us-east-1.aws.found.io/app/kibana#/discover/Steve-Slow-Train-Analysis-(2080s-and-2083s)?_g=(refreshInterval:(display:Off,pause:!f,section:0,value:0),time:(from:'2017-11-11T17:10:31-0700',mode:absolute,to:'2017-11-11T19:49:24-0700'))&amp;_a=(columns:!('Message%20ID',Summary),filters:!(),index:'emp_*',interval:auto,query:(query_string:(analyze_wildcard:!t,query:'%22rtdc.l.rtdc.4010%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682</v>
      </c>
      <c r="B135" s="7">
        <v>4009</v>
      </c>
      <c r="C135" s="21" t="s">
        <v>192</v>
      </c>
      <c r="D135" s="21" t="s">
        <v>612</v>
      </c>
      <c r="E135" s="13">
        <v>43050.785844907405</v>
      </c>
      <c r="F135" s="13">
        <v>43050.800138888888</v>
      </c>
      <c r="G135" s="7">
        <v>63</v>
      </c>
      <c r="H135" s="21" t="s">
        <v>1037</v>
      </c>
      <c r="I135" s="13">
        <v>43050.825879629629</v>
      </c>
      <c r="J135" s="7">
        <v>0</v>
      </c>
      <c r="K135" s="89" t="str">
        <f t="shared" si="33"/>
        <v>4009/4010</v>
      </c>
      <c r="L135" s="185" t="str">
        <f>VLOOKUP(A135,'Trips&amp;Operators'!$C$1:$G$99911,5,FALSE)</f>
        <v>ELBAUM MIKE</v>
      </c>
      <c r="M135" s="6">
        <f t="shared" si="34"/>
        <v>2.5740740740729962E-2</v>
      </c>
      <c r="N135" s="7">
        <f t="shared" si="52"/>
        <v>37.066666666651145</v>
      </c>
      <c r="O135" s="7"/>
      <c r="P135" s="7"/>
      <c r="Q135" s="22"/>
      <c r="R135" s="174"/>
      <c r="S135" s="221">
        <f t="shared" si="53"/>
        <v>1</v>
      </c>
      <c r="T135" s="174" t="str">
        <f t="shared" si="35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6"/>
        <v>https://d0f6bd738d7f1b3e5a7ca70fe4ff75f0.us-east-1.aws.found.io/app/kibana#/discover/Steve-Slow-Train-Analysis-(2080s-and-2083s)?_g=(refreshInterval:(display:Off,pause:!f,section:0,value:0),time:(from:'2017-11-11T17:51:37-0700',mode:absolute,to:'2017-11-11T20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204" t="str">
        <f>IF(AA135&lt;VLOOKUP(AG135,Variables!$AC$3:$AD$8,2,FALSE),"Y","N")</f>
        <v>N</v>
      </c>
      <c r="X135" s="204">
        <f t="shared" si="56"/>
        <v>1</v>
      </c>
      <c r="Y135" s="204">
        <f t="shared" si="54"/>
        <v>23.294</v>
      </c>
      <c r="Z135" s="204">
        <f t="shared" si="55"/>
        <v>2.76E-2</v>
      </c>
      <c r="AA135" s="204">
        <f t="shared" si="39"/>
        <v>23.266400000000001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40"/>
        <v>218</v>
      </c>
      <c r="AE135" s="77" t="str">
        <f t="shared" si="41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35" s="74" t="str">
        <f t="shared" si="42"/>
        <v>"C:\Program Files (x86)\AstroGrep\AstroGrep.exe" /e /r /s /spath="%USERPROFILE%\AppData\Local\Temp\OnboardLogs" /stypes="app*4009*20171112*" /stext=" 02:.+((SYSTEM_STATE.+slice.+state.+changed )|(ment ac)|(multiple cpu faults)|(system.+state.+changed )|(\[timeout)|(PRM\|1\|D)|(kpr)|(kdp)|(train st.+moving)|(\|lc)|(penalty))"</v>
      </c>
      <c r="AG135" s="182" t="str">
        <f t="shared" si="43"/>
        <v>EC</v>
      </c>
      <c r="AH135" s="78" t="str">
        <f t="shared" si="44"/>
        <v>"%USERPROFILE%\Documents\GitHub\eaglep3\Utilities\RefineRTDCRunTimes.py" --tripid 218-11 --locoid 4009 --swversion DE.1.0.9.0 --startMP 204:232940 --initTime 2017-11-11T18:51:37 --startdatetime 2017-11-11T19:12:12 --delay 63 --endMP 204:276 --enddatetime 2017-11-11T19:49:16 --enforcementcount 0 &gt;&gt;%USERPROFILE%\Documents\GitHub\eaglep3-reporting\EC\2017-11-11-refined-times.txt</v>
      </c>
      <c r="AI135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{"issue":{"subject":"","project_id":79,"tracker_id":40,"status_id":1,"priority_id":2,"assigned_to_id":338,"start_date":"2017-11-11","description":"","custom_fields":[{"id":1,"name":"Subdivision","value":"EC"},{"id":4,"name":"Milepost","value":"0.0276"},{"id":17,"name":"Train ID","value":"218-11"},{"id":16,"name":"Locomotive ID","value":"4009"},{"id":130,"name":"Impact","value":""},{"id":150,"name":"Time of Event (Mountain Time)","value":"19:49:16"},{"id":151,"name":"Denver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6"/>
        <v>start /low /b %USERPROFILE%\Documents\GitHub\eaglep3\Utilities\DownloadLogsFromS3.py --loco 4009 --day 2017-11-11</v>
      </c>
      <c r="AN135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8"/>
        <v>https://d0f6bd738d7f1b3e5a7ca70fe4ff75f0.us-east-1.aws.found.io/app/kibana#/discover/Steve-Slow-Train-Analysis-(2080s-and-2083s)?_g=(refreshInterval:(display:Off,pause:!f,section:0,value:0),time:(from:'2017-11-11T17:51:37-0700',mode:absolute,to:'2017-11-11T20:49:16-0700'))&amp;_a=(columns:!('Message%20ID',Summary),filters:!(),index:'emp_*',interval:auto,query:(query_string:(analyze_wildcard:!t,query:'%22rtdc.l.rtdc.4009%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843</v>
      </c>
      <c r="B136" s="7">
        <v>4022</v>
      </c>
      <c r="C136" s="21" t="s">
        <v>192</v>
      </c>
      <c r="D136" s="21" t="s">
        <v>462</v>
      </c>
      <c r="E136" s="13">
        <v>43050.766365740739</v>
      </c>
      <c r="F136" s="13">
        <v>43050.77140046296</v>
      </c>
      <c r="G136" s="7">
        <v>114</v>
      </c>
      <c r="H136" s="21" t="s">
        <v>1032</v>
      </c>
      <c r="I136" s="13">
        <v>43050.796574074076</v>
      </c>
      <c r="J136" s="7">
        <v>0</v>
      </c>
      <c r="K136" s="89" t="str">
        <f t="shared" si="33"/>
        <v>4021/4022</v>
      </c>
      <c r="L136" s="185" t="str">
        <f>VLOOKUP(A136,'Trips&amp;Operators'!$C$1:$G$99911,5,FALSE)</f>
        <v>NICHOLSON WESLEY</v>
      </c>
      <c r="M136" s="6">
        <f t="shared" si="34"/>
        <v>2.5173611116770189E-2</v>
      </c>
      <c r="N136" s="7">
        <f t="shared" si="52"/>
        <v>36.250000008149073</v>
      </c>
      <c r="O136" s="7"/>
      <c r="P136" s="7"/>
      <c r="Q136" s="22"/>
      <c r="R136" s="174"/>
      <c r="S136" s="221">
        <f t="shared" si="53"/>
        <v>1</v>
      </c>
      <c r="T136" s="174" t="str">
        <f t="shared" si="35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6"/>
        <v>https://d0f6bd738d7f1b3e5a7ca70fe4ff75f0.us-east-1.aws.found.io/app/kibana#/discover/Steve-Slow-Train-Analysis-(2080s-and-2083s)?_g=(refreshInterval:(display:Off,pause:!f,section:0,value:0),time:(from:'2017-11-11T17:23:34-0700',mode:absolute,to:'2017-11-11T20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6" s="204" t="str">
        <f>IF(AA136&lt;VLOOKUP(AG136,Variables!$AC$3:$AD$8,2,FALSE),"Y","N")</f>
        <v>N</v>
      </c>
      <c r="X136" s="204">
        <f t="shared" si="56"/>
        <v>1</v>
      </c>
      <c r="Y136" s="204">
        <f t="shared" si="54"/>
        <v>5.0900000000000001E-2</v>
      </c>
      <c r="Z136" s="204">
        <f t="shared" si="55"/>
        <v>23.3185</v>
      </c>
      <c r="AA136" s="204">
        <f t="shared" si="39"/>
        <v>23.267600000000002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40"/>
        <v>219</v>
      </c>
      <c r="AE136" s="77" t="str">
        <f t="shared" si="41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136" s="74" t="str">
        <f t="shared" si="42"/>
        <v>"C:\Program Files (x86)\AstroGrep\AstroGrep.exe" /e /r /s /spath="%USERPROFILE%\AppData\Local\Temp\OnboardLogs" /stypes="app*4022*20171112*" /stext=" 02:.+((SYSTEM_STATE.+slice.+state.+changed )|(ment ac)|(multiple cpu faults)|(system.+state.+changed )|(\[timeout)|(PRM\|1\|D)|(kpr)|(kdp)|(train st.+moving)|(\|lc)|(penalty))"</v>
      </c>
      <c r="AG136" s="182" t="str">
        <f t="shared" si="43"/>
        <v>EC</v>
      </c>
      <c r="AH136" s="78" t="str">
        <f t="shared" si="44"/>
        <v>"%USERPROFILE%\Documents\GitHub\eaglep3\Utilities\RefineRTDCRunTimes.py" --tripid 219-11 --locoid 4022 --swversion DE.1.0.9.0 --startMP 204:509 --initTime 2017-11-11T18:23:34 --startdatetime 2017-11-11T18:30:49 --delay 114 --endMP 204:233185 --enddatetime 2017-11-11T19:07:04 --enforcementcount 0 &gt;&gt;%USERPROFILE%\Documents\GitHub\eaglep3-reporting\EC\2017-11-11-refined-times.txt</v>
      </c>
      <c r="AI136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{"issue":{"subject":"","project_id":79,"tracker_id":40,"status_id":1,"priority_id":2,"assigned_to_id":338,"start_date":"2017-11-11","description":"","custom_fields":[{"id":1,"name":"Subdivision","value":"EC"},{"id":4,"name":"Milepost","value":"23.3185"},{"id":17,"name":"Train ID","value":"219-11"},{"id":16,"name":"Locomotive ID","value":"4022"},{"id":130,"name":"Impact","value":""},{"id":150,"name":"Time of Event (Mountain Time)","value":"19:07:04"},{"id":151,"name":"Denver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6"/>
        <v>start /low /b %USERPROFILE%\Documents\GitHub\eaglep3\Utilities\DownloadLogsFromS3.py --loco 4022 --day 2017-11-11</v>
      </c>
      <c r="AN136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8"/>
        <v>https://d0f6bd738d7f1b3e5a7ca70fe4ff75f0.us-east-1.aws.found.io/app/kibana#/discover/Steve-Slow-Train-Analysis-(2080s-and-2083s)?_g=(refreshInterval:(display:Off,pause:!f,section:0,value:0),time:(from:'2017-11-11T17:23:34-0700',mode:absolute,to:'2017-11-11T20:07:04-0700'))&amp;_a=(columns:!('Message%20ID',Summary),filters:!(),index:'emp_*',interval:auto,query:(query_string:(analyze_wildcard:!t,query:'%22rtdc.l.rtdc.4022%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853</v>
      </c>
      <c r="B137" s="7">
        <v>4021</v>
      </c>
      <c r="C137" s="21" t="s">
        <v>192</v>
      </c>
      <c r="D137" s="21" t="s">
        <v>619</v>
      </c>
      <c r="E137" s="13">
        <v>43050.800567129627</v>
      </c>
      <c r="F137" s="13">
        <v>43050.810636574075</v>
      </c>
      <c r="G137" s="7">
        <v>89</v>
      </c>
      <c r="H137" s="21" t="s">
        <v>451</v>
      </c>
      <c r="I137" s="13">
        <v>43050.837187500001</v>
      </c>
      <c r="J137" s="7">
        <v>0</v>
      </c>
      <c r="K137" s="89" t="str">
        <f t="shared" si="33"/>
        <v>4021/4022</v>
      </c>
      <c r="L137" s="185" t="str">
        <f>VLOOKUP(A137,'Trips&amp;Operators'!$C$1:$G$99911,5,FALSE)</f>
        <v>NICHOLSON WESLEY</v>
      </c>
      <c r="M137" s="6">
        <f t="shared" si="34"/>
        <v>2.6550925926130731E-2</v>
      </c>
      <c r="N137" s="7">
        <f t="shared" si="52"/>
        <v>38.233333333628252</v>
      </c>
      <c r="O137" s="7"/>
      <c r="P137" s="7"/>
      <c r="Q137" s="22"/>
      <c r="R137" s="174"/>
      <c r="S137" s="221">
        <f t="shared" ref="S137:S155" si="57">1/IF(AG137="EC",12,1)*SUM(U137:U137)</f>
        <v>1</v>
      </c>
      <c r="T137" s="174" t="str">
        <f t="shared" si="35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6"/>
        <v>https://d0f6bd738d7f1b3e5a7ca70fe4ff75f0.us-east-1.aws.found.io/app/kibana#/discover/Steve-Slow-Train-Analysis-(2080s-and-2083s)?_g=(refreshInterval:(display:Off,pause:!f,section:0,value:0),time:(from:'2017-11-11T18:12:49-0700',mode:absolute,to:'2017-11-11T21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7" s="204" t="str">
        <f>IF(AA137&lt;VLOOKUP(AG137,Variables!$AC$3:$AD$8,2,FALSE),"Y","N")</f>
        <v>N</v>
      </c>
      <c r="X137" s="204">
        <f t="shared" si="56"/>
        <v>1</v>
      </c>
      <c r="Y137" s="204">
        <f t="shared" si="54"/>
        <v>23.287400000000002</v>
      </c>
      <c r="Z137" s="204">
        <f t="shared" si="55"/>
        <v>2.12E-2</v>
      </c>
      <c r="AA137" s="204">
        <f t="shared" si="39"/>
        <v>23.266200000000001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40"/>
        <v>220</v>
      </c>
      <c r="AE137" s="77" t="str">
        <f t="shared" si="41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137" s="74" t="str">
        <f t="shared" si="42"/>
        <v>"C:\Program Files (x86)\AstroGrep\AstroGrep.exe" /e /r /s /spath="%USERPROFILE%\AppData\Local\Temp\OnboardLogs" /stypes="app*4021*20171112*" /stext=" 03:.+((SYSTEM_STATE.+slice.+state.+changed )|(ment ac)|(multiple cpu faults)|(system.+state.+changed )|(\[timeout)|(PRM\|1\|D)|(kpr)|(kdp)|(train st.+moving)|(\|lc)|(penalty))"</v>
      </c>
      <c r="AG137" s="182" t="str">
        <f t="shared" si="43"/>
        <v>EC</v>
      </c>
      <c r="AH137" s="78" t="str">
        <f t="shared" si="44"/>
        <v>"%USERPROFILE%\Documents\GitHub\eaglep3\Utilities\RefineRTDCRunTimes.py" --tripid 220-11 --locoid 4021 --swversion DE.1.0.9.0 --startMP 204:232874 --initTime 2017-11-11T19:12:49 --startdatetime 2017-11-11T19:27:19 --delay 89 --endMP 204:212 --enddatetime 2017-11-11T20:05:33 --enforcementcount 0 &gt;&gt;%USERPROFILE%\Documents\GitHub\eaglep3-reporting\EC\2017-11-11-refined-times.txt</v>
      </c>
      <c r="AI137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{"issue":{"subject":"","project_id":79,"tracker_id":40,"status_id":1,"priority_id":2,"assigned_to_id":338,"start_date":"2017-11-11","description":"","custom_fields":[{"id":1,"name":"Subdivision","value":"EC"},{"id":4,"name":"Milepost","value":"0.0212"},{"id":17,"name":"Train ID","value":"220-11"},{"id":16,"name":"Locomotive ID","value":"4021"},{"id":130,"name":"Impact","value":""},{"id":150,"name":"Time of Event (Mountain Time)","value":"20:05:33"},{"id":151,"name":"Denver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6"/>
        <v>start /low /b %USERPROFILE%\Documents\GitHub\eaglep3\Utilities\DownloadLogsFromS3.py --loco 4021 --day 2017-11-11</v>
      </c>
      <c r="AN137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8"/>
        <v>https://d0f6bd738d7f1b3e5a7ca70fe4ff75f0.us-east-1.aws.found.io/app/kibana#/discover/Steve-Slow-Train-Analysis-(2080s-and-2083s)?_g=(refreshInterval:(display:Off,pause:!f,section:0,value:0),time:(from:'2017-11-11T18:12:49-0700',mode:absolute,to:'2017-11-11T21:05:33-0700'))&amp;_a=(columns:!('Message%20ID',Summary),filters:!(),index:'emp_*',interval:auto,query:(query_string:(analyze_wildcard:!t,query:'%22rtdc.l.rtdc.4021%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848</v>
      </c>
      <c r="B138" s="7">
        <v>4044</v>
      </c>
      <c r="C138" s="21" t="s">
        <v>192</v>
      </c>
      <c r="D138" s="21" t="s">
        <v>475</v>
      </c>
      <c r="E138" s="13">
        <v>43050.788113425922</v>
      </c>
      <c r="F138" s="13">
        <v>43050.791944444441</v>
      </c>
      <c r="G138" s="7">
        <v>175</v>
      </c>
      <c r="H138" s="21" t="s">
        <v>1034</v>
      </c>
      <c r="I138" s="13">
        <v>43050.816793981481</v>
      </c>
      <c r="J138" s="7">
        <v>0</v>
      </c>
      <c r="K138" s="89" t="str">
        <f t="shared" si="33"/>
        <v>4043/4044</v>
      </c>
      <c r="L138" s="185" t="str">
        <f>VLOOKUP(A138,'Trips&amp;Operators'!$C$1:$G$99911,5,FALSE)</f>
        <v>ANDERS STEVEN</v>
      </c>
      <c r="M138" s="6">
        <f t="shared" si="34"/>
        <v>2.4849537039699499E-2</v>
      </c>
      <c r="N138" s="7">
        <f t="shared" si="52"/>
        <v>35.783333337167278</v>
      </c>
      <c r="O138" s="7"/>
      <c r="P138" s="7"/>
      <c r="Q138" s="22"/>
      <c r="R138" s="174"/>
      <c r="S138" s="221">
        <f t="shared" si="57"/>
        <v>1</v>
      </c>
      <c r="T138" s="174" t="str">
        <f t="shared" si="35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6"/>
        <v>https://d0f6bd738d7f1b3e5a7ca70fe4ff75f0.us-east-1.aws.found.io/app/kibana#/discover/Steve-Slow-Train-Analysis-(2080s-and-2083s)?_g=(refreshInterval:(display:Off,pause:!f,section:0,value:0),time:(from:'2017-11-11T17:54:53-0700',mode:absolute,to:'2017-11-11T20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204" t="str">
        <f>IF(AA138&lt;VLOOKUP(AG138,Variables!$AC$3:$AD$8,2,FALSE),"Y","N")</f>
        <v>N</v>
      </c>
      <c r="X138" s="204">
        <f t="shared" si="56"/>
        <v>1</v>
      </c>
      <c r="Y138" s="204">
        <f t="shared" si="54"/>
        <v>5.3499999999999999E-2</v>
      </c>
      <c r="Z138" s="204">
        <f t="shared" si="55"/>
        <v>23.324000000000002</v>
      </c>
      <c r="AA138" s="204">
        <f t="shared" si="39"/>
        <v>23.270500000000002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40"/>
        <v>221</v>
      </c>
      <c r="AE138" s="77" t="str">
        <f t="shared" si="41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38" s="74" t="str">
        <f t="shared" si="42"/>
        <v>"C:\Program Files (x86)\AstroGrep\AstroGrep.exe" /e /r /s /spath="%USERPROFILE%\AppData\Local\Temp\OnboardLogs" /stypes="app*4044*20171112*" /stext=" 02:.+((SYSTEM_STATE.+slice.+state.+changed )|(ment ac)|(multiple cpu faults)|(system.+state.+changed )|(\[timeout)|(PRM\|1\|D)|(kpr)|(kdp)|(train st.+moving)|(\|lc)|(penalty))"</v>
      </c>
      <c r="AG138" s="182" t="str">
        <f t="shared" si="43"/>
        <v>EC</v>
      </c>
      <c r="AH138" s="78" t="str">
        <f t="shared" si="44"/>
        <v>"%USERPROFILE%\Documents\GitHub\eaglep3\Utilities\RefineRTDCRunTimes.py" --tripid 221-11 --locoid 4044 --swversion DE.1.0.9.0 --startMP 204:535 --initTime 2017-11-11T18:54:53 --startdatetime 2017-11-11T19:00:24 --delay 175 --endMP 204:233240 --enddatetime 2017-11-11T19:36:11 --enforcementcount 0 &gt;&gt;%USERPROFILE%\Documents\GitHub\eaglep3-reporting\EC\2017-11-11-refined-times.txt</v>
      </c>
      <c r="AI138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{"issue":{"subject":"","project_id":79,"tracker_id":40,"status_id":1,"priority_id":2,"assigned_to_id":338,"start_date":"2017-11-11","description":"","custom_fields":[{"id":1,"name":"Subdivision","value":"EC"},{"id":4,"name":"Milepost","value":"23.324"},{"id":17,"name":"Train ID","value":"221-11"},{"id":16,"name":"Locomotive ID","value":"4044"},{"id":130,"name":"Impact","value":""},{"id":150,"name":"Time of Event (Mountain Time)","value":"19:36:11"},{"id":151,"name":"Denver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6"/>
        <v>start /low /b %USERPROFILE%\Documents\GitHub\eaglep3\Utilities\DownloadLogsFromS3.py --loco 4044 --day 2017-11-11</v>
      </c>
      <c r="AN138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8"/>
        <v>https://d0f6bd738d7f1b3e5a7ca70fe4ff75f0.us-east-1.aws.found.io/app/kibana#/discover/Steve-Slow-Train-Analysis-(2080s-and-2083s)?_g=(refreshInterval:(display:Off,pause:!f,section:0,value:0),time:(from:'2017-11-11T17:54:53-0700',mode:absolute,to:'2017-11-11T20:36:11-0700'))&amp;_a=(columns:!('Message%20ID',Summary),filters:!(),index:'emp_*',interval:auto,query:(query_string:(analyze_wildcard:!t,query:'%22rtdc.l.rtdc.4044%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857</v>
      </c>
      <c r="B139" s="7">
        <v>4043</v>
      </c>
      <c r="C139" s="21" t="s">
        <v>192</v>
      </c>
      <c r="D139" s="21" t="s">
        <v>1038</v>
      </c>
      <c r="E139" s="13">
        <v>43050.828136574077</v>
      </c>
      <c r="F139" s="13">
        <v>43050.832037037035</v>
      </c>
      <c r="G139" s="7">
        <v>61</v>
      </c>
      <c r="H139" s="21" t="s">
        <v>557</v>
      </c>
      <c r="I139" s="13">
        <v>43050.857719907406</v>
      </c>
      <c r="J139" s="7">
        <v>0</v>
      </c>
      <c r="K139" s="89" t="str">
        <f t="shared" si="33"/>
        <v>4043/4044</v>
      </c>
      <c r="L139" s="185" t="str">
        <f>VLOOKUP(A139,'Trips&amp;Operators'!$C$1:$G$99911,5,FALSE)</f>
        <v>ANDERS STEVEN</v>
      </c>
      <c r="M139" s="6">
        <f t="shared" si="34"/>
        <v>2.5682870371383615E-2</v>
      </c>
      <c r="N139" s="7">
        <f t="shared" si="52"/>
        <v>36.983333334792405</v>
      </c>
      <c r="O139" s="7"/>
      <c r="P139" s="7"/>
      <c r="Q139" s="22"/>
      <c r="R139" s="174"/>
      <c r="S139" s="221">
        <f t="shared" si="57"/>
        <v>1</v>
      </c>
      <c r="T139" s="174" t="str">
        <f t="shared" si="35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6"/>
        <v>https://d0f6bd738d7f1b3e5a7ca70fe4ff75f0.us-east-1.aws.found.io/app/kibana#/discover/Steve-Slow-Train-Analysis-(2080s-and-2083s)?_g=(refreshInterval:(display:Off,pause:!f,section:0,value:0),time:(from:'2017-11-11T18:52:31-0700',mode:absolute,to:'2017-11-11T21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04" t="str">
        <f>IF(AA139&lt;VLOOKUP(AG139,Variables!$AC$3:$AD$8,2,FALSE),"Y","N")</f>
        <v>N</v>
      </c>
      <c r="X139" s="204">
        <f t="shared" si="56"/>
        <v>1</v>
      </c>
      <c r="Y139" s="204">
        <f t="shared" si="54"/>
        <v>23.2925</v>
      </c>
      <c r="Z139" s="204">
        <f t="shared" si="55"/>
        <v>2.23E-2</v>
      </c>
      <c r="AA139" s="204">
        <f t="shared" si="39"/>
        <v>23.270199999999999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40"/>
        <v>222</v>
      </c>
      <c r="AE139" s="77" t="str">
        <f t="shared" si="41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39" s="74" t="str">
        <f t="shared" si="42"/>
        <v>"C:\Program Files (x86)\AstroGrep\AstroGrep.exe" /e /r /s /spath="%USERPROFILE%\AppData\Local\Temp\OnboardLogs" /stypes="app*4043*20171112*" /stext=" 03:.+((SYSTEM_STATE.+slice.+state.+changed )|(ment ac)|(multiple cpu faults)|(system.+state.+changed )|(\[timeout)|(PRM\|1\|D)|(kpr)|(kdp)|(train st.+moving)|(\|lc)|(penalty))"</v>
      </c>
      <c r="AG139" s="182" t="str">
        <f t="shared" si="43"/>
        <v>EC</v>
      </c>
      <c r="AH139" s="78" t="str">
        <f t="shared" si="44"/>
        <v>"%USERPROFILE%\Documents\GitHub\eaglep3\Utilities\RefineRTDCRunTimes.py" --tripid 222-11 --locoid 4043 --swversion DE.1.0.9.0 --startMP 204:232925 --initTime 2017-11-11T19:52:31 --startdatetime 2017-11-11T19:58:08 --delay 61 --endMP 204:223 --enddatetime 2017-11-11T20:35:07 --enforcementcount 0 &gt;&gt;%USERPROFILE%\Documents\GitHub\eaglep3-reporting\EC\2017-11-11-refined-times.txt</v>
      </c>
      <c r="AI139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{"issue":{"subject":"","project_id":79,"tracker_id":40,"status_id":1,"priority_id":2,"assigned_to_id":338,"start_date":"2017-11-11","description":"","custom_fields":[{"id":1,"name":"Subdivision","value":"EC"},{"id":4,"name":"Milepost","value":"0.0223"},{"id":17,"name":"Train ID","value":"222-11"},{"id":16,"name":"Locomotive ID","value":"4043"},{"id":130,"name":"Impact","value":""},{"id":150,"name":"Time of Event (Mountain Time)","value":"20:35:07"},{"id":151,"name":"Denver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6"/>
        <v>start /low /b %USERPROFILE%\Documents\GitHub\eaglep3\Utilities\DownloadLogsFromS3.py --loco 4043 --day 2017-11-11</v>
      </c>
      <c r="AN139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8"/>
        <v>https://d0f6bd738d7f1b3e5a7ca70fe4ff75f0.us-east-1.aws.found.io/app/kibana#/discover/Steve-Slow-Train-Analysis-(2080s-and-2083s)?_g=(refreshInterval:(display:Off,pause:!f,section:0,value:0),time:(from:'2017-11-11T18:52:31-0700',mode:absolute,to:'2017-11-11T21:35:07-0700'))&amp;_a=(columns:!('Message%20ID',Summary),filters:!(),index:'emp_*',interval:auto,query:(query_string:(analyze_wildcard:!t,query:'%22rtdc.l.rtdc.4043%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854</v>
      </c>
      <c r="B140" s="7">
        <v>4058</v>
      </c>
      <c r="C140" s="21" t="s">
        <v>192</v>
      </c>
      <c r="D140" s="21" t="s">
        <v>930</v>
      </c>
      <c r="E140" s="13">
        <v>43050.807523148149</v>
      </c>
      <c r="F140" s="13">
        <v>43050.812858796293</v>
      </c>
      <c r="G140" s="7">
        <v>58</v>
      </c>
      <c r="H140" s="21" t="s">
        <v>1039</v>
      </c>
      <c r="I140" s="13">
        <v>43050.837847222225</v>
      </c>
      <c r="J140" s="7">
        <v>0</v>
      </c>
      <c r="K140" s="89" t="str">
        <f t="shared" si="33"/>
        <v>4057/4058</v>
      </c>
      <c r="L140" s="185" t="str">
        <f>VLOOKUP(A140,'Trips&amp;Operators'!$C$1:$G$99911,5,FALSE)</f>
        <v>FORTUNATO FRANK</v>
      </c>
      <c r="M140" s="6">
        <f t="shared" si="34"/>
        <v>2.4988425931951497E-2</v>
      </c>
      <c r="N140" s="7">
        <f t="shared" si="52"/>
        <v>35.983333342010155</v>
      </c>
      <c r="O140" s="7"/>
      <c r="P140" s="7"/>
      <c r="Q140" s="22"/>
      <c r="R140" s="174"/>
      <c r="S140" s="221">
        <f t="shared" si="57"/>
        <v>1</v>
      </c>
      <c r="T140" s="174" t="str">
        <f t="shared" si="35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6"/>
        <v>https://d0f6bd738d7f1b3e5a7ca70fe4ff75f0.us-east-1.aws.found.io/app/kibana#/discover/Steve-Slow-Train-Analysis-(2080s-and-2083s)?_g=(refreshInterval:(display:Off,pause:!f,section:0,value:0),time:(from:'2017-11-11T18:22:50-0700',mode:absolute,to:'2017-11-11T21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0" s="204" t="str">
        <f>IF(AA140&lt;VLOOKUP(AG140,Variables!$AC$3:$AD$8,2,FALSE),"Y","N")</f>
        <v>N</v>
      </c>
      <c r="X140" s="204">
        <f t="shared" si="56"/>
        <v>1</v>
      </c>
      <c r="Y140" s="204">
        <f t="shared" si="54"/>
        <v>5.1499999999999997E-2</v>
      </c>
      <c r="Z140" s="204">
        <f t="shared" si="55"/>
        <v>23.319800000000001</v>
      </c>
      <c r="AA140" s="204">
        <f t="shared" si="39"/>
        <v>23.2683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40"/>
        <v>223</v>
      </c>
      <c r="AE140" s="77" t="str">
        <f t="shared" si="41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40" s="74" t="str">
        <f t="shared" si="42"/>
        <v>"C:\Program Files (x86)\AstroGrep\AstroGrep.exe" /e /r /s /spath="%USERPROFILE%\AppData\Local\Temp\OnboardLogs" /stypes="app*4058*20171112*" /stext=" 03:.+((SYSTEM_STATE.+slice.+state.+changed )|(ment ac)|(multiple cpu faults)|(system.+state.+changed )|(\[timeout)|(PRM\|1\|D)|(kpr)|(kdp)|(train st.+moving)|(\|lc)|(penalty))"</v>
      </c>
      <c r="AG140" s="182" t="str">
        <f t="shared" si="43"/>
        <v>EC</v>
      </c>
      <c r="AH140" s="78" t="str">
        <f t="shared" si="44"/>
        <v>"%USERPROFILE%\Documents\GitHub\eaglep3\Utilities\RefineRTDCRunTimes.py" --tripid 223-11 --locoid 4058 --swversion DE.1.0.9.0 --startMP 204:515 --initTime 2017-11-11T19:22:50 --startdatetime 2017-11-11T19:30:31 --delay 58 --endMP 204:233198 --enddatetime 2017-11-11T20:06:30 --enforcementcount 0 &gt;&gt;%USERPROFILE%\Documents\GitHub\eaglep3-reporting\EC\2017-11-11-refined-times.txt</v>
      </c>
      <c r="AI140" s="96" t="str">
        <f t="shared" si="45"/>
        <v>echo {"issue":{"subject":"","project_id":79,"tracker_id":40,"status_id":1,"priority_id":2,"assigned_to_id":338,"start_date":"2017-11-11","description":"","custom_fields":[{"id":1,"name":"Subdivision","value":"EC"},{"id":4,"name":"Milepost","value":"23.3198"},{"id":17,"name":"Train ID","value":"223-11"},{"id":16,"name":"Locomotive ID","value":"4058"},{"id":130,"name":"Impact","value":""},{"id":150,"name":"Time of Event (Mountain Time)","value":"20:06:30"},{"id":151,"name":"Denver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6"/>
        <v>start /low /b %USERPROFILE%\Documents\GitHub\eaglep3\Utilities\DownloadLogsFromS3.py --loco 4058 --day 2017-11-11</v>
      </c>
      <c r="AN140" s="151" t="str">
        <f t="shared" si="4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8"/>
        <v>https://d0f6bd738d7f1b3e5a7ca70fe4ff75f0.us-east-1.aws.found.io/app/kibana#/discover/Steve-Slow-Train-Analysis-(2080s-and-2083s)?_g=(refreshInterval:(display:Off,pause:!f,section:0,value:0),time:(from:'2017-11-11T18:22:50-0700',mode:absolute,to:'2017-11-11T21:06:30-0700'))&amp;_a=(columns:!('Message%20ID',Summary),filters:!(),index:'emp_*',interval:auto,query:(query_string:(analyze_wildcard:!t,query:'%22rtdc.l.rtdc.4058%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859</v>
      </c>
      <c r="B141" s="7">
        <v>4057</v>
      </c>
      <c r="C141" s="21" t="s">
        <v>192</v>
      </c>
      <c r="D141" s="21" t="s">
        <v>1040</v>
      </c>
      <c r="E141" s="13">
        <v>43050.839120370372</v>
      </c>
      <c r="F141" s="13">
        <v>43050.852233796293</v>
      </c>
      <c r="G141" s="7">
        <v>48</v>
      </c>
      <c r="H141" s="21" t="s">
        <v>449</v>
      </c>
      <c r="I141" s="13">
        <v>43050.878055555557</v>
      </c>
      <c r="J141" s="7">
        <v>0</v>
      </c>
      <c r="K141" s="89" t="str">
        <f t="shared" ref="K141:K204" si="58">IF(ISEVEN(B141),(B141-1)&amp;"/"&amp;B141,B141&amp;"/"&amp;(B141+1))</f>
        <v>4057/4058</v>
      </c>
      <c r="L141" s="185" t="str">
        <f>VLOOKUP(A141,'Trips&amp;Operators'!$C$1:$G$99911,5,FALSE)</f>
        <v>FORTUNATO FRANK</v>
      </c>
      <c r="M141" s="6">
        <f t="shared" ref="M141:M204" si="59">I141-F141</f>
        <v>2.5821759263635613E-2</v>
      </c>
      <c r="N141" s="7">
        <f t="shared" si="52"/>
        <v>37.183333339635283</v>
      </c>
      <c r="O141" s="7"/>
      <c r="P141" s="7"/>
      <c r="Q141" s="22"/>
      <c r="R141" s="174"/>
      <c r="S141" s="221">
        <f t="shared" si="57"/>
        <v>1</v>
      </c>
      <c r="T141" s="174" t="str">
        <f t="shared" ref="T141:T204" si="60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-11T19:08:20-0700',mode:absolute,to:'2017-11-11T22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1" s="204" t="str">
        <f>IF(AA141&lt;VLOOKUP(AG141,Variables!$AC$3:$AD$8,2,FALSE),"Y","N")</f>
        <v>N</v>
      </c>
      <c r="X141" s="204">
        <f t="shared" si="56"/>
        <v>1</v>
      </c>
      <c r="Y141" s="204">
        <f t="shared" ref="Y141:Y161" si="62">RIGHT(D141,LEN(D141)-4)/10000</f>
        <v>23.288499999999999</v>
      </c>
      <c r="Z141" s="204">
        <f t="shared" ref="Z141:Z161" si="63">RIGHT(H141,LEN(H141)-4)/10000</f>
        <v>2.07E-2</v>
      </c>
      <c r="AA141" s="204">
        <f t="shared" ref="AA141:AA204" si="64">ABS(Z141-Y141)</f>
        <v>23.267799999999998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4" si="65">VALUE(LEFT(A141,LEN(A141)-3))</f>
        <v>224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/stypes="app*4057*20171112*"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68">DetSubdiv(A141)</f>
        <v>EC</v>
      </c>
      <c r="AH141" s="78" t="str">
        <f t="shared" ref="AH141:AH205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224-11 --locoid 4057 --swversion DE.1.0.9.0 --startMP 204:232885 --initTime 2017-11-11T20:08:20 --startdatetime 2017-11-11T20:27:13 --delay 48 --endMP 204:207 --enddatetime 2017-11-11T21:04:24 --enforcementcount 0 &gt;&gt;%USERPROFILE%\Documents\GitHub\eaglep3-reporting\EC\2017-11-11-refined-times.txt</v>
      </c>
      <c r="AI141" s="96" t="str">
        <f t="shared" ref="AI141:AI205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{"issue":{"subject":"","project_id":79,"tracker_id":40,"status_id":1,"priority_id":2,"assigned_to_id":338,"start_date":"2017-11-11","description":"","custom_fields":[{"id":1,"name":"Subdivision","value":"EC"},{"id":4,"name":"Milepost","value":"0.0207"},{"id":17,"name":"Train ID","value":"224-11"},{"id":16,"name":"Locomotive ID","value":"4057"},{"id":130,"name":"Impact","value":""},{"id":150,"name":"Time of Event (Mountain Time)","value":"21:04:24"},{"id":151,"name":"Denver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5" si="71">"start /low /b "&amp;dls3logs&amp;" --loco "&amp;B141&amp;" --day "&amp;TEXT(F141,"YYYY-MM-DD")</f>
        <v>start /low /b %USERPROFILE%\Documents\GitHub\eaglep3\Utilities\DownloadLogsFromS3.py --loco 4057 --day 2017-11-11</v>
      </c>
      <c r="AN141" s="151" t="str">
        <f t="shared" ref="AN141:AN205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5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-11T19:08:20-0700',mode:absolute,to:'2017-11-11T22:04:24-0700'))&amp;_a=(columns:!('Message%20ID',Summary),filters:!(),index:'emp_*',interval:auto,query:(query_string:(analyze_wildcard:!t,query:'%22rtdc.l.rtdc.4057%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856</v>
      </c>
      <c r="B142" s="7">
        <v>4010</v>
      </c>
      <c r="C142" s="21" t="s">
        <v>192</v>
      </c>
      <c r="D142" s="21" t="s">
        <v>643</v>
      </c>
      <c r="E142" s="13">
        <v>43050.826863425929</v>
      </c>
      <c r="F142" s="13">
        <v>43050.833483796298</v>
      </c>
      <c r="G142" s="7">
        <v>60</v>
      </c>
      <c r="H142" s="21" t="s">
        <v>1041</v>
      </c>
      <c r="I142" s="13">
        <v>43050.857233796298</v>
      </c>
      <c r="J142" s="7">
        <v>0</v>
      </c>
      <c r="K142" s="89" t="str">
        <f t="shared" si="58"/>
        <v>4009/4010</v>
      </c>
      <c r="L142" s="185" t="str">
        <f>VLOOKUP(A142,'Trips&amp;Operators'!$C$1:$G$99911,5,FALSE)</f>
        <v>ELBAUM MIKE</v>
      </c>
      <c r="M142" s="6">
        <f t="shared" si="59"/>
        <v>2.3750000000291038E-2</v>
      </c>
      <c r="N142" s="7">
        <f t="shared" si="52"/>
        <v>34.200000000419095</v>
      </c>
      <c r="O142" s="7"/>
      <c r="P142" s="7"/>
      <c r="Q142" s="22"/>
      <c r="R142" s="174"/>
      <c r="S142" s="221">
        <f t="shared" si="57"/>
        <v>1</v>
      </c>
      <c r="T142" s="174" t="str">
        <f t="shared" si="60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1"/>
        <v>https://d0f6bd738d7f1b3e5a7ca70fe4ff75f0.us-east-1.aws.found.io/app/kibana#/discover/Steve-Slow-Train-Analysis-(2080s-and-2083s)?_g=(refreshInterval:(display:Off,pause:!f,section:0,value:0),time:(from:'2017-11-11T18:50:41-0700',mode:absolute,to:'2017-11-11T21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2" s="204" t="str">
        <f>IF(AA142&lt;VLOOKUP(AG142,Variables!$AC$3:$AD$8,2,FALSE),"Y","N")</f>
        <v>N</v>
      </c>
      <c r="X142" s="204">
        <f t="shared" si="56"/>
        <v>1</v>
      </c>
      <c r="Y142" s="204">
        <f t="shared" si="62"/>
        <v>5.7099999999999998E-2</v>
      </c>
      <c r="Z142" s="204">
        <f t="shared" si="63"/>
        <v>23.3245</v>
      </c>
      <c r="AA142" s="204">
        <f t="shared" si="64"/>
        <v>23.267400000000002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65"/>
        <v>225</v>
      </c>
      <c r="AE142" s="77" t="str">
        <f t="shared" si="66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42" s="74" t="str">
        <f t="shared" si="67"/>
        <v>"C:\Program Files (x86)\AstroGrep\AstroGrep.exe" /e /r /s /spath="%USERPROFILE%\AppData\Local\Temp\OnboardLogs" /stypes="app*4010*20171112*" /stext=" 03:.+((SYSTEM_STATE.+slice.+state.+changed )|(ment ac)|(multiple cpu faults)|(system.+state.+changed )|(\[timeout)|(PRM\|1\|D)|(kpr)|(kdp)|(train st.+moving)|(\|lc)|(penalty))"</v>
      </c>
      <c r="AG142" s="182" t="str">
        <f t="shared" si="68"/>
        <v>EC</v>
      </c>
      <c r="AH142" s="78" t="str">
        <f t="shared" si="69"/>
        <v>"%USERPROFILE%\Documents\GitHub\eaglep3\Utilities\RefineRTDCRunTimes.py" --tripid 225-11 --locoid 4010 --swversion DE.1.0.9.0 --startMP 204:571 --initTime 2017-11-11T19:50:41 --startdatetime 2017-11-11T20:00:13 --delay 60 --endMP 204:233245 --enddatetime 2017-11-11T20:34:25 --enforcementcount 0 &gt;&gt;%USERPROFILE%\Documents\GitHub\eaglep3-reporting\EC\2017-11-11-refined-times.txt</v>
      </c>
      <c r="AI142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{"issue":{"subject":"","project_id":79,"tracker_id":40,"status_id":1,"priority_id":2,"assigned_to_id":338,"start_date":"2017-11-11","description":"","custom_fields":[{"id":1,"name":"Subdivision","value":"EC"},{"id":4,"name":"Milepost","value":"23.3245"},{"id":17,"name":"Train ID","value":"225-11"},{"id":16,"name":"Locomotive ID","value":"4010"},{"id":130,"name":"Impact","value":""},{"id":150,"name":"Time of Event (Mountain Time)","value":"20:34:25"},{"id":151,"name":"Denver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71"/>
        <v>start /low /b %USERPROFILE%\Documents\GitHub\eaglep3\Utilities\DownloadLogsFromS3.py --loco 4010 --day 2017-11-11</v>
      </c>
      <c r="AN142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73"/>
        <v>https://d0f6bd738d7f1b3e5a7ca70fe4ff75f0.us-east-1.aws.found.io/app/kibana#/discover/Steve-Slow-Train-Analysis-(2080s-and-2083s)?_g=(refreshInterval:(display:Off,pause:!f,section:0,value:0),time:(from:'2017-11-11T18:50:41-0700',mode:absolute,to:'2017-11-11T21:34:25-0700'))&amp;_a=(columns:!('Message%20ID',Summary),filters:!(),index:'emp_*',interval:auto,query:(query_string:(analyze_wildcard:!t,query:'%22rtdc.l.rtdc.4010%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860</v>
      </c>
      <c r="B143" s="7">
        <v>4009</v>
      </c>
      <c r="C143" s="21" t="s">
        <v>192</v>
      </c>
      <c r="D143" s="21" t="s">
        <v>1011</v>
      </c>
      <c r="E143" s="13">
        <v>43050.858310185184</v>
      </c>
      <c r="F143" s="13">
        <v>43050.873055555552</v>
      </c>
      <c r="G143" s="7">
        <v>78</v>
      </c>
      <c r="H143" s="21" t="s">
        <v>1023</v>
      </c>
      <c r="I143" s="13">
        <v>43050.898402777777</v>
      </c>
      <c r="J143" s="7">
        <v>0</v>
      </c>
      <c r="K143" s="89" t="str">
        <f t="shared" si="58"/>
        <v>4009/4010</v>
      </c>
      <c r="L143" s="185" t="str">
        <f>VLOOKUP(A143,'Trips&amp;Operators'!$C$1:$G$99911,5,FALSE)</f>
        <v>ELBAUM MIKE</v>
      </c>
      <c r="M143" s="6">
        <f t="shared" si="59"/>
        <v>2.5347222224809229E-2</v>
      </c>
      <c r="N143" s="7">
        <f t="shared" si="52"/>
        <v>36.50000000372529</v>
      </c>
      <c r="O143" s="7"/>
      <c r="P143" s="7"/>
      <c r="Q143" s="22"/>
      <c r="R143" s="174"/>
      <c r="S143" s="221">
        <f t="shared" si="57"/>
        <v>1</v>
      </c>
      <c r="T143" s="174" t="str">
        <f t="shared" si="60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1"/>
        <v>https://d0f6bd738d7f1b3e5a7ca70fe4ff75f0.us-east-1.aws.found.io/app/kibana#/discover/Steve-Slow-Train-Analysis-(2080s-and-2083s)?_g=(refreshInterval:(display:Off,pause:!f,section:0,value:0),time:(from:'2017-11-11T19:35:58-0700',mode:absolute,to:'2017-11-11T22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204" t="str">
        <f>IF(AA143&lt;VLOOKUP(AG143,Variables!$AC$3:$AD$8,2,FALSE),"Y","N")</f>
        <v>N</v>
      </c>
      <c r="X143" s="204">
        <f t="shared" si="56"/>
        <v>1</v>
      </c>
      <c r="Y143" s="204">
        <f t="shared" si="62"/>
        <v>23.292999999999999</v>
      </c>
      <c r="Z143" s="204">
        <f t="shared" si="63"/>
        <v>2.7099999999999999E-2</v>
      </c>
      <c r="AA143" s="204">
        <f t="shared" si="64"/>
        <v>23.265899999999998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65"/>
        <v>226</v>
      </c>
      <c r="AE143" s="77" t="str">
        <f t="shared" si="66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43" s="74" t="str">
        <f t="shared" si="67"/>
        <v>"C:\Program Files (x86)\AstroGrep\AstroGrep.exe" /e /r /s /spath="%USERPROFILE%\AppData\Local\Temp\OnboardLogs" /stypes="app*4009*20171112*" /stext=" 04:.+((SYSTEM_STATE.+slice.+state.+changed )|(ment ac)|(multiple cpu faults)|(system.+state.+changed )|(\[timeout)|(PRM\|1\|D)|(kpr)|(kdp)|(train st.+moving)|(\|lc)|(penalty))"</v>
      </c>
      <c r="AG143" s="182" t="str">
        <f t="shared" si="68"/>
        <v>EC</v>
      </c>
      <c r="AH143" s="78" t="str">
        <f t="shared" si="69"/>
        <v>"%USERPROFILE%\Documents\GitHub\eaglep3\Utilities\RefineRTDCRunTimes.py" --tripid 226-11 --locoid 4009 --swversion DE.1.0.9.0 --startMP 204:232930 --initTime 2017-11-11T20:35:58 --startdatetime 2017-11-11T20:57:12 --delay 78 --endMP 204:271 --enddatetime 2017-11-11T21:33:42 --enforcementcount 0 &gt;&gt;%USERPROFILE%\Documents\GitHub\eaglep3-reporting\EC\2017-11-11-refined-times.txt</v>
      </c>
      <c r="AI143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{"issue":{"subject":"","project_id":79,"tracker_id":40,"status_id":1,"priority_id":2,"assigned_to_id":338,"start_date":"2017-11-11","description":"","custom_fields":[{"id":1,"name":"Subdivision","value":"EC"},{"id":4,"name":"Milepost","value":"0.0271"},{"id":17,"name":"Train ID","value":"226-11"},{"id":16,"name":"Locomotive ID","value":"4009"},{"id":130,"name":"Impact","value":""},{"id":150,"name":"Time of Event (Mountain Time)","value":"21:33:42"},{"id":151,"name":"Denver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4009 --day 2017-11-11</v>
      </c>
      <c r="AN143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3"/>
        <v>https://d0f6bd738d7f1b3e5a7ca70fe4ff75f0.us-east-1.aws.found.io/app/kibana#/discover/Steve-Slow-Train-Analysis-(2080s-and-2083s)?_g=(refreshInterval:(display:Off,pause:!f,section:0,value:0),time:(from:'2017-11-11T19:35:58-0700',mode:absolute,to:'2017-11-11T22:33:42-0700'))&amp;_a=(columns:!('Message%20ID',Summary),filters:!(),index:'emp_*',interval:auto,query:(query_string:(analyze_wildcard:!t,query:'%22rtdc.l.rtdc.4009%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684</v>
      </c>
      <c r="B144" s="7">
        <v>4022</v>
      </c>
      <c r="C144" s="21" t="s">
        <v>192</v>
      </c>
      <c r="D144" s="21" t="s">
        <v>528</v>
      </c>
      <c r="E144" s="13">
        <v>43050.841550925928</v>
      </c>
      <c r="F144" s="13">
        <v>43050.854826388888</v>
      </c>
      <c r="G144" s="7">
        <v>68</v>
      </c>
      <c r="H144" s="21" t="s">
        <v>636</v>
      </c>
      <c r="I144" s="13">
        <v>43050.879999999997</v>
      </c>
      <c r="J144" s="7">
        <v>0</v>
      </c>
      <c r="K144" s="89" t="str">
        <f t="shared" si="58"/>
        <v>4021/4022</v>
      </c>
      <c r="L144" s="185" t="str">
        <f>VLOOKUP(A144,'Trips&amp;Operators'!$C$1:$G$99911,5,FALSE)</f>
        <v>GUNTHIER ERIC</v>
      </c>
      <c r="M144" s="6">
        <f t="shared" si="59"/>
        <v>2.5173611109494232E-2</v>
      </c>
      <c r="N144" s="7">
        <f t="shared" si="52"/>
        <v>36.249999997671694</v>
      </c>
      <c r="O144" s="7"/>
      <c r="P144" s="7"/>
      <c r="Q144" s="22"/>
      <c r="R144" s="174"/>
      <c r="S144" s="221">
        <f t="shared" si="57"/>
        <v>1</v>
      </c>
      <c r="T144" s="174" t="str">
        <f t="shared" si="60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1"/>
        <v>https://d0f6bd738d7f1b3e5a7ca70fe4ff75f0.us-east-1.aws.found.io/app/kibana#/discover/Steve-Slow-Train-Analysis-(2080s-and-2083s)?_g=(refreshInterval:(display:Off,pause:!f,section:0,value:0),time:(from:'2017-11-11T19:11:50-0700',mode:absolute,to:'2017-11-11T22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204" t="str">
        <f>IF(AA144&lt;VLOOKUP(AG144,Variables!$AC$3:$AD$8,2,FALSE),"Y","N")</f>
        <v>N</v>
      </c>
      <c r="X144" s="204">
        <f t="shared" si="56"/>
        <v>1</v>
      </c>
      <c r="Y144" s="204">
        <f t="shared" si="62"/>
        <v>5.2900000000000003E-2</v>
      </c>
      <c r="Z144" s="204">
        <f t="shared" si="63"/>
        <v>23.328700000000001</v>
      </c>
      <c r="AA144" s="204">
        <f t="shared" si="64"/>
        <v>23.2758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65"/>
        <v>227</v>
      </c>
      <c r="AE144" s="77" t="str">
        <f t="shared" si="66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144" s="74" t="str">
        <f t="shared" si="67"/>
        <v>"C:\Program Files (x86)\AstroGrep\AstroGrep.exe" /e /r /s /spath="%USERPROFILE%\AppData\Local\Temp\OnboardLogs" /stypes="app*4022*20171112*" /stext=" 04:.+((SYSTEM_STATE.+slice.+state.+changed )|(ment ac)|(multiple cpu faults)|(system.+state.+changed )|(\[timeout)|(PRM\|1\|D)|(kpr)|(kdp)|(train st.+moving)|(\|lc)|(penalty))"</v>
      </c>
      <c r="AG144" s="182" t="str">
        <f t="shared" si="68"/>
        <v>EC</v>
      </c>
      <c r="AH144" s="78" t="str">
        <f t="shared" si="69"/>
        <v>"%USERPROFILE%\Documents\GitHub\eaglep3\Utilities\RefineRTDCRunTimes.py" --tripid 227-11 --locoid 4022 --swversion DE.1.0.9.0 --startMP 204:529 --initTime 2017-11-11T20:11:50 --startdatetime 2017-11-11T20:30:57 --delay 68 --endMP 204:233287 --enddatetime 2017-11-11T21:07:12 --enforcementcount 0 &gt;&gt;%USERPROFILE%\Documents\GitHub\eaglep3-reporting\EC\2017-11-11-refined-times.txt</v>
      </c>
      <c r="AI144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{"issue":{"subject":"","project_id":79,"tracker_id":40,"status_id":1,"priority_id":2,"assigned_to_id":338,"start_date":"2017-11-11","description":"","custom_fields":[{"id":1,"name":"Subdivision","value":"EC"},{"id":4,"name":"Milepost","value":"23.3287"},{"id":17,"name":"Train ID","value":"227-11"},{"id":16,"name":"Locomotive ID","value":"4022"},{"id":130,"name":"Impact","value":""},{"id":150,"name":"Time of Event (Mountain Time)","value":"21:07:12"},{"id":151,"name":"Denver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4022 --day 2017-11-11</v>
      </c>
      <c r="AN144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3"/>
        <v>https://d0f6bd738d7f1b3e5a7ca70fe4ff75f0.us-east-1.aws.found.io/app/kibana#/discover/Steve-Slow-Train-Analysis-(2080s-and-2083s)?_g=(refreshInterval:(display:Off,pause:!f,section:0,value:0),time:(from:'2017-11-11T19:11:50-0700',mode:absolute,to:'2017-11-11T22:07:12-0700'))&amp;_a=(columns:!('Message%20ID',Summary),filters:!(),index:'emp_*',interval:auto,query:(query_string:(analyze_wildcard:!t,query:'%22rtdc.l.rtdc.4022%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688</v>
      </c>
      <c r="B145" s="7">
        <v>4021</v>
      </c>
      <c r="C145" s="21" t="s">
        <v>192</v>
      </c>
      <c r="D145" s="21" t="s">
        <v>556</v>
      </c>
      <c r="E145" s="13">
        <v>43050.883379629631</v>
      </c>
      <c r="F145" s="13">
        <v>43050.893923611111</v>
      </c>
      <c r="G145" s="7">
        <v>100</v>
      </c>
      <c r="H145" s="21" t="s">
        <v>557</v>
      </c>
      <c r="I145" s="13">
        <v>43050.921342592592</v>
      </c>
      <c r="J145" s="7">
        <v>0</v>
      </c>
      <c r="K145" s="89" t="str">
        <f t="shared" si="58"/>
        <v>4021/4022</v>
      </c>
      <c r="L145" s="185" t="str">
        <f>VLOOKUP(A145,'Trips&amp;Operators'!$C$1:$G$99911,5,FALSE)</f>
        <v>GUNTHIER ERIC</v>
      </c>
      <c r="M145" s="6">
        <f t="shared" si="59"/>
        <v>2.7418981480877846E-2</v>
      </c>
      <c r="N145" s="7">
        <f t="shared" si="52"/>
        <v>39.483333332464099</v>
      </c>
      <c r="O145" s="7"/>
      <c r="P145" s="7"/>
      <c r="Q145" s="22"/>
      <c r="R145" s="174"/>
      <c r="S145" s="221">
        <f t="shared" si="57"/>
        <v>1</v>
      </c>
      <c r="T145" s="174" t="str">
        <f t="shared" si="60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1"/>
        <v>https://d0f6bd738d7f1b3e5a7ca70fe4ff75f0.us-east-1.aws.found.io/app/kibana#/discover/Steve-Slow-Train-Analysis-(2080s-and-2083s)?_g=(refreshInterval:(display:Off,pause:!f,section:0,value:0),time:(from:'2017-11-11T20:12:04-0700',mode:absolute,to:'2017-11-11T23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5" s="204" t="str">
        <f>IF(AA145&lt;VLOOKUP(AG145,Variables!$AC$3:$AD$8,2,FALSE),"Y","N")</f>
        <v>N</v>
      </c>
      <c r="X145" s="204">
        <f t="shared" si="56"/>
        <v>1</v>
      </c>
      <c r="Y145" s="204">
        <f t="shared" si="62"/>
        <v>23.296600000000002</v>
      </c>
      <c r="Z145" s="204">
        <f t="shared" si="63"/>
        <v>2.23E-2</v>
      </c>
      <c r="AA145" s="204">
        <f t="shared" si="64"/>
        <v>23.2743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65"/>
        <v>228</v>
      </c>
      <c r="AE145" s="77" t="str">
        <f t="shared" si="66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145" s="74" t="str">
        <f t="shared" si="67"/>
        <v>"C:\Program Files (x86)\AstroGrep\AstroGrep.exe" /e /r /s /spath="%USERPROFILE%\AppData\Local\Temp\OnboardLogs" /stypes="app*4021*20171112*" /stext=" 05:.+((SYSTEM_STATE.+slice.+state.+changed )|(ment ac)|(multiple cpu faults)|(system.+state.+changed )|(\[timeout)|(PRM\|1\|D)|(kpr)|(kdp)|(train st.+moving)|(\|lc)|(penalty))"</v>
      </c>
      <c r="AG145" s="182" t="str">
        <f t="shared" si="68"/>
        <v>EC</v>
      </c>
      <c r="AH145" s="78" t="str">
        <f t="shared" si="69"/>
        <v>"%USERPROFILE%\Documents\GitHub\eaglep3\Utilities\RefineRTDCRunTimes.py" --tripid 228-11 --locoid 4021 --swversion DE.1.0.9.0 --startMP 204:232966 --initTime 2017-11-11T21:12:04 --startdatetime 2017-11-11T21:27:15 --delay 100 --endMP 204:223 --enddatetime 2017-11-11T22:06:44 --enforcementcount 0 &gt;&gt;%USERPROFILE%\Documents\GitHub\eaglep3-reporting\EC\2017-11-11-refined-times.txt</v>
      </c>
      <c r="AI145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{"issue":{"subject":"","project_id":79,"tracker_id":40,"status_id":1,"priority_id":2,"assigned_to_id":338,"start_date":"2017-11-11","description":"","custom_fields":[{"id":1,"name":"Subdivision","value":"EC"},{"id":4,"name":"Milepost","value":"0.0223"},{"id":17,"name":"Train ID","value":"228-11"},{"id":16,"name":"Locomotive ID","value":"4021"},{"id":130,"name":"Impact","value":""},{"id":150,"name":"Time of Event (Mountain Time)","value":"22:06:44"},{"id":151,"name":"Denver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4021 --day 2017-11-11</v>
      </c>
      <c r="AN145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3"/>
        <v>https://d0f6bd738d7f1b3e5a7ca70fe4ff75f0.us-east-1.aws.found.io/app/kibana#/discover/Steve-Slow-Train-Analysis-(2080s-and-2083s)?_g=(refreshInterval:(display:Off,pause:!f,section:0,value:0),time:(from:'2017-11-11T20:12:04-0700',mode:absolute,to:'2017-11-11T23:06:44-0700'))&amp;_a=(columns:!('Message%20ID',Summary),filters:!(),index:'emp_*',interval:auto,query:(query_string:(analyze_wildcard:!t,query:'%22rtdc.l.rtdc.4021%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861</v>
      </c>
      <c r="B146" s="7">
        <v>4044</v>
      </c>
      <c r="C146" s="21" t="s">
        <v>192</v>
      </c>
      <c r="D146" s="21" t="s">
        <v>1042</v>
      </c>
      <c r="E146" s="13">
        <v>43050.872071759259</v>
      </c>
      <c r="F146" s="13">
        <v>43050.875324074077</v>
      </c>
      <c r="G146" s="7">
        <v>58</v>
      </c>
      <c r="H146" s="21" t="s">
        <v>943</v>
      </c>
      <c r="I146" s="13">
        <v>43050.899953703702</v>
      </c>
      <c r="J146" s="7">
        <v>0</v>
      </c>
      <c r="K146" s="89" t="str">
        <f t="shared" si="58"/>
        <v>4043/4044</v>
      </c>
      <c r="L146" s="185" t="str">
        <f>VLOOKUP(A146,'Trips&amp;Operators'!$C$1:$G$99911,5,FALSE)</f>
        <v>ANDERS STEVEN</v>
      </c>
      <c r="M146" s="6">
        <f t="shared" si="59"/>
        <v>2.4629629624541849E-2</v>
      </c>
      <c r="N146" s="7">
        <f t="shared" si="52"/>
        <v>35.466666659340262</v>
      </c>
      <c r="O146" s="7"/>
      <c r="P146" s="7"/>
      <c r="Q146" s="22"/>
      <c r="R146" s="174"/>
      <c r="S146" s="221">
        <f t="shared" si="57"/>
        <v>1</v>
      </c>
      <c r="T146" s="174" t="str">
        <f t="shared" si="60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1"/>
        <v>https://d0f6bd738d7f1b3e5a7ca70fe4ff75f0.us-east-1.aws.found.io/app/kibana#/discover/Steve-Slow-Train-Analysis-(2080s-and-2083s)?_g=(refreshInterval:(display:Off,pause:!f,section:0,value:0),time:(from:'2017-11-11T19:55:47-0700',mode:absolute,to:'2017-11-11T22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204" t="str">
        <f>IF(AA146&lt;VLOOKUP(AG146,Variables!$AC$3:$AD$8,2,FALSE),"Y","N")</f>
        <v>N</v>
      </c>
      <c r="X146" s="204">
        <f t="shared" si="56"/>
        <v>1</v>
      </c>
      <c r="Y146" s="204">
        <f t="shared" si="62"/>
        <v>5.1999999999999998E-2</v>
      </c>
      <c r="Z146" s="204">
        <f t="shared" si="63"/>
        <v>23.3215</v>
      </c>
      <c r="AA146" s="204">
        <f t="shared" si="64"/>
        <v>23.269500000000001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65"/>
        <v>229</v>
      </c>
      <c r="AE146" s="77" t="str">
        <f t="shared" si="66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46" s="74" t="str">
        <f t="shared" si="67"/>
        <v>"C:\Program Files (x86)\AstroGrep\AstroGrep.exe" /e /r /s /spath="%USERPROFILE%\AppData\Local\Temp\OnboardLogs" /stypes="app*4044*20171112*" /stext=" 04:.+((SYSTEM_STATE.+slice.+state.+changed )|(ment ac)|(multiple cpu faults)|(system.+state.+changed )|(\[timeout)|(PRM\|1\|D)|(kpr)|(kdp)|(train st.+moving)|(\|lc)|(penalty))"</v>
      </c>
      <c r="AG146" s="182" t="str">
        <f t="shared" si="68"/>
        <v>EC</v>
      </c>
      <c r="AH146" s="78" t="str">
        <f t="shared" si="69"/>
        <v>"%USERPROFILE%\Documents\GitHub\eaglep3\Utilities\RefineRTDCRunTimes.py" --tripid 229-11 --locoid 4044 --swversion DE.1.0.9.0 --startMP 204:520 --initTime 2017-11-11T20:55:47 --startdatetime 2017-11-11T21:00:28 --delay 58 --endMP 204:233215 --enddatetime 2017-11-11T21:35:56 --enforcementcount 0 &gt;&gt;%USERPROFILE%\Documents\GitHub\eaglep3-reporting\EC\2017-11-11-refined-times.txt</v>
      </c>
      <c r="AI146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{"issue":{"subject":"","project_id":79,"tracker_id":40,"status_id":1,"priority_id":2,"assigned_to_id":338,"start_date":"2017-11-11","description":"","custom_fields":[{"id":1,"name":"Subdivision","value":"EC"},{"id":4,"name":"Milepost","value":"23.3215"},{"id":17,"name":"Train ID","value":"229-11"},{"id":16,"name":"Locomotive ID","value":"4044"},{"id":130,"name":"Impact","value":""},{"id":150,"name":"Time of Event (Mountain Time)","value":"21:35:56"},{"id":151,"name":"Denver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4044 --day 2017-11-11</v>
      </c>
      <c r="AN146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3"/>
        <v>https://d0f6bd738d7f1b3e5a7ca70fe4ff75f0.us-east-1.aws.found.io/app/kibana#/discover/Steve-Slow-Train-Analysis-(2080s-and-2083s)?_g=(refreshInterval:(display:Off,pause:!f,section:0,value:0),time:(from:'2017-11-11T19:55:47-0700',mode:absolute,to:'2017-11-11T22:35:56-0700'))&amp;_a=(columns:!('Message%20ID',Summary),filters:!(),index:'emp_*',interval:auto,query:(query_string:(analyze_wildcard:!t,query:'%22rtdc.l.rtdc.4044%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865</v>
      </c>
      <c r="B147" s="7">
        <v>4043</v>
      </c>
      <c r="C147" s="21" t="s">
        <v>192</v>
      </c>
      <c r="D147" s="21" t="s">
        <v>949</v>
      </c>
      <c r="E147" s="13">
        <v>43050.91265046296</v>
      </c>
      <c r="F147" s="13">
        <v>43050.914803240739</v>
      </c>
      <c r="G147" s="7">
        <v>60</v>
      </c>
      <c r="H147" s="21" t="s">
        <v>522</v>
      </c>
      <c r="I147" s="13">
        <v>43050.940844907411</v>
      </c>
      <c r="J147" s="7">
        <v>0</v>
      </c>
      <c r="K147" s="89" t="str">
        <f t="shared" si="58"/>
        <v>4043/4044</v>
      </c>
      <c r="L147" s="185" t="str">
        <f>VLOOKUP(A147,'Trips&amp;Operators'!$C$1:$G$99911,5,FALSE)</f>
        <v>ANDERS STEVEN</v>
      </c>
      <c r="M147" s="6">
        <f t="shared" si="59"/>
        <v>2.6041666671517305E-2</v>
      </c>
      <c r="N147" s="7">
        <f t="shared" si="52"/>
        <v>37.500000006984919</v>
      </c>
      <c r="O147" s="7"/>
      <c r="P147" s="7"/>
      <c r="Q147" s="22"/>
      <c r="R147" s="174"/>
      <c r="S147" s="221">
        <f t="shared" si="57"/>
        <v>1</v>
      </c>
      <c r="T147" s="174" t="str">
        <f t="shared" si="60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1"/>
        <v>https://d0f6bd738d7f1b3e5a7ca70fe4ff75f0.us-east-1.aws.found.io/app/kibana#/discover/Steve-Slow-Train-Analysis-(2080s-and-2083s)?_g=(refreshInterval:(display:Off,pause:!f,section:0,value:0),time:(from:'2017-11-11T20:54:13-0700',mode:absolute,to:'2017-11-11T23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204" t="str">
        <f>IF(AA147&lt;VLOOKUP(AG147,Variables!$AC$3:$AD$8,2,FALSE),"Y","N")</f>
        <v>N</v>
      </c>
      <c r="X147" s="204">
        <f t="shared" si="56"/>
        <v>1</v>
      </c>
      <c r="Y147" s="204">
        <f t="shared" si="62"/>
        <v>23.290500000000002</v>
      </c>
      <c r="Z147" s="204">
        <f t="shared" si="63"/>
        <v>2.3199999999999998E-2</v>
      </c>
      <c r="AA147" s="204">
        <f t="shared" si="64"/>
        <v>23.267300000000002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65"/>
        <v>230</v>
      </c>
      <c r="AE147" s="77" t="str">
        <f t="shared" si="66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47" s="74" t="str">
        <f t="shared" si="67"/>
        <v>"C:\Program Files (x86)\AstroGrep\AstroGrep.exe" /e /r /s /spath="%USERPROFILE%\AppData\Local\Temp\OnboardLogs" /stypes="app*4043*20171112*" /stext=" 05:.+((SYSTEM_STATE.+slice.+state.+changed )|(ment ac)|(multiple cpu faults)|(system.+state.+changed )|(\[timeout)|(PRM\|1\|D)|(kpr)|(kdp)|(train st.+moving)|(\|lc)|(penalty))"</v>
      </c>
      <c r="AG147" s="182" t="str">
        <f t="shared" si="68"/>
        <v>EC</v>
      </c>
      <c r="AH147" s="78" t="str">
        <f t="shared" si="69"/>
        <v>"%USERPROFILE%\Documents\GitHub\eaglep3\Utilities\RefineRTDCRunTimes.py" --tripid 230-11 --locoid 4043 --swversion DE.1.0.9.0 --startMP 204:232905 --initTime 2017-11-11T21:54:13 --startdatetime 2017-11-11T21:57:19 --delay 60 --endMP 204:232 --enddatetime 2017-11-11T22:34:49 --enforcementcount 0 &gt;&gt;%USERPROFILE%\Documents\GitHub\eaglep3-reporting\EC\2017-11-11-refined-times.txt</v>
      </c>
      <c r="AI147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{"issue":{"subject":"","project_id":79,"tracker_id":40,"status_id":1,"priority_id":2,"assigned_to_id":338,"start_date":"2017-11-11","description":"","custom_fields":[{"id":1,"name":"Subdivision","value":"EC"},{"id":4,"name":"Milepost","value":"0.0232"},{"id":17,"name":"Train ID","value":"230-11"},{"id":16,"name":"Locomotive ID","value":"4043"},{"id":130,"name":"Impact","value":""},{"id":150,"name":"Time of Event (Mountain Time)","value":"22:34:49"},{"id":151,"name":"Denver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4043 --day 2017-11-11</v>
      </c>
      <c r="AN147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3"/>
        <v>https://d0f6bd738d7f1b3e5a7ca70fe4ff75f0.us-east-1.aws.found.io/app/kibana#/discover/Steve-Slow-Train-Analysis-(2080s-and-2083s)?_g=(refreshInterval:(display:Off,pause:!f,section:0,value:0),time:(from:'2017-11-11T20:54:13-0700',mode:absolute,to:'2017-11-11T23:34:49-0700'))&amp;_a=(columns:!('Message%20ID',Summary),filters:!(),index:'emp_*',interval:auto,query:(query_string:(analyze_wildcard:!t,query:'%22rtdc.l.rtdc.4043%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863</v>
      </c>
      <c r="B148" s="7">
        <v>4058</v>
      </c>
      <c r="C148" s="21" t="s">
        <v>192</v>
      </c>
      <c r="D148" s="21" t="s">
        <v>1043</v>
      </c>
      <c r="E148" s="13">
        <v>43050.87903935185</v>
      </c>
      <c r="F148" s="13">
        <v>43050.896018518521</v>
      </c>
      <c r="G148" s="7">
        <v>61</v>
      </c>
      <c r="H148" s="21" t="s">
        <v>1044</v>
      </c>
      <c r="I148" s="13">
        <v>43050.921122685184</v>
      </c>
      <c r="J148" s="7">
        <v>0</v>
      </c>
      <c r="K148" s="89" t="str">
        <f t="shared" si="58"/>
        <v>4057/4058</v>
      </c>
      <c r="L148" s="185" t="str">
        <f>VLOOKUP(A148,'Trips&amp;Operators'!$C$1:$G$99911,5,FALSE)</f>
        <v>FORTUNATO FRANK</v>
      </c>
      <c r="M148" s="6">
        <f t="shared" si="59"/>
        <v>2.5104166663368233E-2</v>
      </c>
      <c r="N148" s="7">
        <f t="shared" si="52"/>
        <v>36.149999995250255</v>
      </c>
      <c r="O148" s="7"/>
      <c r="P148" s="7"/>
      <c r="Q148" s="22"/>
      <c r="R148" s="174"/>
      <c r="S148" s="221">
        <f t="shared" si="57"/>
        <v>1</v>
      </c>
      <c r="T148" s="174" t="str">
        <f t="shared" si="60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1"/>
        <v>https://d0f6bd738d7f1b3e5a7ca70fe4ff75f0.us-east-1.aws.found.io/app/kibana#/discover/Steve-Slow-Train-Analysis-(2080s-and-2083s)?_g=(refreshInterval:(display:Off,pause:!f,section:0,value:0),time:(from:'2017-11-11T20:05:49-0700',mode:absolute,to:'2017-11-11T23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8" s="204" t="str">
        <f>IF(AA148&lt;VLOOKUP(AG148,Variables!$AC$3:$AD$8,2,FALSE),"Y","N")</f>
        <v>N</v>
      </c>
      <c r="X148" s="204">
        <f t="shared" si="56"/>
        <v>1</v>
      </c>
      <c r="Y148" s="204">
        <f t="shared" si="62"/>
        <v>4.9700000000000001E-2</v>
      </c>
      <c r="Z148" s="204">
        <f t="shared" si="63"/>
        <v>23.3202</v>
      </c>
      <c r="AA148" s="204">
        <f t="shared" si="64"/>
        <v>23.270499999999998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65"/>
        <v>231</v>
      </c>
      <c r="AE148" s="77" t="str">
        <f t="shared" si="66"/>
        <v>aws s3 cp s3://rtdc.mdm.uploadarchive.raw/RTDC4058/ "%USERPROFILE%\AppData\Local\Temp\OnboardLogs"\RTDC4058\2017-11-11 --exclude "*" --recursive --include "*20171111*" &amp; "%USERPROFILE%\Documents\GitHub\mrs-test-scripts\Headless Mode &amp; Sideloading\WalkAndUnGZ.bat" "%USERPROFILE%\AppData\Local\Temp\OnboardLogs"\RTDC4058\2017-11-11 &amp; 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</v>
      </c>
      <c r="AF148" s="74" t="str">
        <f t="shared" si="67"/>
        <v>"C:\Program Files (x86)\AstroGrep\AstroGrep.exe" /e /r /s /spath="%USERPROFILE%\AppData\Local\Temp\OnboardLogs" /stypes="app*4058*20171112*" /stext=" 05:.+((SYSTEM_STATE.+slice.+state.+changed )|(ment ac)|(multiple cpu faults)|(system.+state.+changed )|(\[timeout)|(PRM\|1\|D)|(kpr)|(kdp)|(train st.+moving)|(\|lc)|(penalty))"</v>
      </c>
      <c r="AG148" s="182" t="str">
        <f t="shared" si="68"/>
        <v>EC</v>
      </c>
      <c r="AH148" s="78" t="str">
        <f t="shared" si="69"/>
        <v>"%USERPROFILE%\Documents\GitHub\eaglep3\Utilities\RefineRTDCRunTimes.py" --tripid 231-11 --locoid 4058 --swversion DE.1.0.9.0 --startMP 204:497 --initTime 2017-11-11T21:05:49 --startdatetime 2017-11-11T21:30:16 --delay 61 --endMP 204:233202 --enddatetime 2017-11-11T22:06:25 --enforcementcount 0 &gt;&gt;%USERPROFILE%\Documents\GitHub\eaglep3-reporting\EC\2017-11-11-refined-times.txt</v>
      </c>
      <c r="AI148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{"issue":{"subject":"","project_id":79,"tracker_id":40,"status_id":1,"priority_id":2,"assigned_to_id":338,"start_date":"2017-11-11","description":"","custom_fields":[{"id":1,"name":"Subdivision","value":"EC"},{"id":4,"name":"Milepost","value":"23.3202"},{"id":17,"name":"Train ID","value":"231-11"},{"id":16,"name":"Locomotive ID","value":"4058"},{"id":130,"name":"Impact","value":""},{"id":150,"name":"Time of Event (Mountain Time)","value":"22:06:25"},{"id":151,"name":"Denver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4058 --day 2017-11-11</v>
      </c>
      <c r="AN148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3"/>
        <v>https://d0f6bd738d7f1b3e5a7ca70fe4ff75f0.us-east-1.aws.found.io/app/kibana#/discover/Steve-Slow-Train-Analysis-(2080s-and-2083s)?_g=(refreshInterval:(display:Off,pause:!f,section:0,value:0),time:(from:'2017-11-11T20:05:49-0700',mode:absolute,to:'2017-11-11T23:06:25-0700'))&amp;_a=(columns:!('Message%20ID',Summary),filters:!(),index:'emp_*',interval:auto,query:(query_string:(analyze_wildcard:!t,query:'%22rtdc.l.rtdc.4058%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691</v>
      </c>
      <c r="B149" s="7">
        <v>4057</v>
      </c>
      <c r="C149" s="21" t="s">
        <v>192</v>
      </c>
      <c r="D149" s="21" t="s">
        <v>633</v>
      </c>
      <c r="E149" s="13">
        <v>43050.922430555554</v>
      </c>
      <c r="F149" s="13">
        <v>43050.935567129629</v>
      </c>
      <c r="G149" s="7">
        <v>49</v>
      </c>
      <c r="H149" s="21" t="s">
        <v>608</v>
      </c>
      <c r="I149" s="13">
        <v>43050.963020833333</v>
      </c>
      <c r="J149" s="7">
        <v>0</v>
      </c>
      <c r="K149" s="89" t="str">
        <f t="shared" si="58"/>
        <v>4057/4058</v>
      </c>
      <c r="L149" s="185" t="str">
        <f>VLOOKUP(A149,'Trips&amp;Operators'!$C$1:$G$99911,5,FALSE)</f>
        <v>FORTUNATO FRANK</v>
      </c>
      <c r="M149" s="6">
        <f t="shared" si="59"/>
        <v>2.7453703703940846E-2</v>
      </c>
      <c r="N149" s="7">
        <f t="shared" si="52"/>
        <v>39.533333333674818</v>
      </c>
      <c r="O149" s="7"/>
      <c r="P149" s="7"/>
      <c r="Q149" s="22"/>
      <c r="R149" s="174"/>
      <c r="S149" s="221">
        <f t="shared" si="57"/>
        <v>1</v>
      </c>
      <c r="T149" s="174" t="str">
        <f t="shared" si="60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1"/>
        <v>https://d0f6bd738d7f1b3e5a7ca70fe4ff75f0.us-east-1.aws.found.io/app/kibana#/discover/Steve-Slow-Train-Analysis-(2080s-and-2083s)?_g=(refreshInterval:(display:Off,pause:!f,section:0,value:0),time:(from:'2017-11-11T21:08:18-0700',mode:absolute,to:'2017-11-12T00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9" s="204" t="str">
        <f>IF(AA149&lt;VLOOKUP(AG149,Variables!$AC$3:$AD$8,2,FALSE),"Y","N")</f>
        <v>N</v>
      </c>
      <c r="X149" s="204">
        <f t="shared" si="56"/>
        <v>1</v>
      </c>
      <c r="Y149" s="204">
        <f t="shared" si="62"/>
        <v>23.287700000000001</v>
      </c>
      <c r="Z149" s="204">
        <f t="shared" si="63"/>
        <v>1.9800000000000002E-2</v>
      </c>
      <c r="AA149" s="204">
        <f t="shared" si="64"/>
        <v>23.267900000000001</v>
      </c>
      <c r="AB149" s="54" t="str">
        <f>VLOOKUP(A149,Enforcements!$C$7:$K$9,8,0)</f>
        <v>Bulletin (2)</v>
      </c>
      <c r="AC149" s="51" t="str">
        <f>VLOOKUP(A149,Enforcements!$C$7:$E$9,3,0)</f>
        <v>GRADE CROSSING</v>
      </c>
      <c r="AD149" s="179">
        <f t="shared" si="65"/>
        <v>232</v>
      </c>
      <c r="AE149" s="77" t="str">
        <f t="shared" si="66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149" s="74" t="str">
        <f t="shared" si="67"/>
        <v>"C:\Program Files (x86)\AstroGrep\AstroGrep.exe" /e /r /s /spath="%USERPROFILE%\AppData\Local\Temp\OnboardLogs" /stypes="app*4057*20171112*" /stext=" 06:.+((SYSTEM_STATE.+slice.+state.+changed )|(ment ac)|(multiple cpu faults)|(system.+state.+changed )|(\[timeout)|(PRM\|1\|D)|(kpr)|(kdp)|(train st.+moving)|(\|lc)|(penalty))"</v>
      </c>
      <c r="AG149" s="182" t="str">
        <f t="shared" si="68"/>
        <v>EC</v>
      </c>
      <c r="AH149" s="78" t="str">
        <f t="shared" si="69"/>
        <v>"%USERPROFILE%\Documents\GitHub\eaglep3\Utilities\RefineRTDCRunTimes.py" --tripid 232-11 --locoid 4057 --swversion DE.1.0.9.0 --startMP 204:232877 --initTime 2017-11-11T22:08:18 --startdatetime 2017-11-11T22:27:13 --delay 49 --endMP 204:198 --enddatetime 2017-11-11T23:06:45 --enforcementcount 0 &gt;&gt;%USERPROFILE%\Documents\GitHub\eaglep3-reporting\EC\2017-11-11-refined-times.txt</v>
      </c>
      <c r="AI149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{"issue":{"subject":"","project_id":79,"tracker_id":40,"status_id":1,"priority_id":2,"assigned_to_id":338,"start_date":"2017-11-11","description":"","custom_fields":[{"id":1,"name":"Subdivision","value":"EC"},{"id":4,"name":"Milepost","value":"0.0198"},{"id":17,"name":"Train ID","value":"232-11"},{"id":16,"name":"Locomotive ID","value":"4057"},{"id":130,"name":"Impact","value":""},{"id":150,"name":"Time of Event (Mountain Time)","value":"23:06:45"},{"id":151,"name":"Denver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4057 --day 2017-11-11</v>
      </c>
      <c r="AN149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3"/>
        <v>https://d0f6bd738d7f1b3e5a7ca70fe4ff75f0.us-east-1.aws.found.io/app/kibana#/discover/Steve-Slow-Train-Analysis-(2080s-and-2083s)?_g=(refreshInterval:(display:Off,pause:!f,section:0,value:0),time:(from:'2017-11-11T21:08:18-0700',mode:absolute,to:'2017-11-12T00:06:45-0700'))&amp;_a=(columns:!('Message%20ID',Summary),filters:!(),index:'emp_*',interval:auto,query:(query_string:(analyze_wildcard:!t,query:'%22rtdc.l.rtdc.4057%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864</v>
      </c>
      <c r="B150" s="7">
        <v>4010</v>
      </c>
      <c r="C150" s="21" t="s">
        <v>192</v>
      </c>
      <c r="D150" s="21" t="s">
        <v>643</v>
      </c>
      <c r="E150" s="13">
        <v>43050.899363425924</v>
      </c>
      <c r="F150" s="13">
        <v>43050.916805555556</v>
      </c>
      <c r="G150" s="7">
        <v>51</v>
      </c>
      <c r="H150" s="21" t="s">
        <v>1045</v>
      </c>
      <c r="I150" s="13">
        <v>43050.940798611111</v>
      </c>
      <c r="J150" s="7">
        <v>0</v>
      </c>
      <c r="K150" s="89" t="str">
        <f t="shared" si="58"/>
        <v>4009/4010</v>
      </c>
      <c r="L150" s="185" t="str">
        <f>VLOOKUP(A150,'Trips&amp;Operators'!$C$1:$G$99911,5,FALSE)</f>
        <v>ELBAUM MIKE</v>
      </c>
      <c r="M150" s="6">
        <f t="shared" si="59"/>
        <v>2.3993055554456078E-2</v>
      </c>
      <c r="N150" s="7">
        <f t="shared" si="52"/>
        <v>34.549999998416752</v>
      </c>
      <c r="O150" s="7"/>
      <c r="P150" s="7"/>
      <c r="Q150" s="22"/>
      <c r="R150" s="174"/>
      <c r="S150" s="221">
        <f t="shared" si="57"/>
        <v>1</v>
      </c>
      <c r="T150" s="174" t="str">
        <f t="shared" si="60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1"/>
        <v>https://d0f6bd738d7f1b3e5a7ca70fe4ff75f0.us-east-1.aws.found.io/app/kibana#/discover/Steve-Slow-Train-Analysis-(2080s-and-2083s)?_g=(refreshInterval:(display:Off,pause:!f,section:0,value:0),time:(from:'2017-11-11T20:35:05-0700',mode:absolute,to:'2017-11-11T23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204" t="str">
        <f>IF(AA150&lt;VLOOKUP(AG150,Variables!$AC$3:$AD$8,2,FALSE),"Y","N")</f>
        <v>N</v>
      </c>
      <c r="X150" s="204">
        <f t="shared" si="56"/>
        <v>1</v>
      </c>
      <c r="Y150" s="204">
        <f t="shared" si="62"/>
        <v>5.7099999999999998E-2</v>
      </c>
      <c r="Z150" s="204">
        <f t="shared" si="63"/>
        <v>23.3263</v>
      </c>
      <c r="AA150" s="204">
        <f t="shared" si="64"/>
        <v>23.269200000000001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65"/>
        <v>233</v>
      </c>
      <c r="AE150" s="77" t="str">
        <f t="shared" si="66"/>
        <v>aws s3 cp s3://rtdc.mdm.uploadarchive.raw/RTDC4010/ "%USERPROFILE%\AppData\Local\Temp\OnboardLogs"\RTDC4010\2017-11-11 --exclude "*" --recursive --include "*20171111*" &amp; "%USERPROFILE%\Documents\GitHub\mrs-test-scripts\Headless Mode &amp; Sideloading\WalkAndUnGZ.bat" "%USERPROFILE%\AppData\Local\Temp\OnboardLogs"\RTDC4010\2017-11-11 &amp; 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</v>
      </c>
      <c r="AF150" s="74" t="str">
        <f t="shared" si="67"/>
        <v>"C:\Program Files (x86)\AstroGrep\AstroGrep.exe" /e /r /s /spath="%USERPROFILE%\AppData\Local\Temp\OnboardLogs" /stypes="app*4010*20171112*" /stext=" 05:.+((SYSTEM_STATE.+slice.+state.+changed )|(ment ac)|(multiple cpu faults)|(system.+state.+changed )|(\[timeout)|(PRM\|1\|D)|(kpr)|(kdp)|(train st.+moving)|(\|lc)|(penalty))"</v>
      </c>
      <c r="AG150" s="182" t="str">
        <f t="shared" si="68"/>
        <v>EC</v>
      </c>
      <c r="AH150" s="78" t="str">
        <f t="shared" si="69"/>
        <v>"%USERPROFILE%\Documents\GitHub\eaglep3\Utilities\RefineRTDCRunTimes.py" --tripid 233-11 --locoid 4010 --swversion DE.1.0.9.0 --startMP 204:571 --initTime 2017-11-11T21:35:05 --startdatetime 2017-11-11T22:00:12 --delay 51 --endMP 204:233263 --enddatetime 2017-11-11T22:34:45 --enforcementcount 0 &gt;&gt;%USERPROFILE%\Documents\GitHub\eaglep3-reporting\EC\2017-11-11-refined-times.txt</v>
      </c>
      <c r="AI150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{"issue":{"subject":"","project_id":79,"tracker_id":40,"status_id":1,"priority_id":2,"assigned_to_id":338,"start_date":"2017-11-11","description":"","custom_fields":[{"id":1,"name":"Subdivision","value":"EC"},{"id":4,"name":"Milepost","value":"23.3263"},{"id":17,"name":"Train ID","value":"233-11"},{"id":16,"name":"Locomotive ID","value":"4010"},{"id":130,"name":"Impact","value":""},{"id":150,"name":"Time of Event (Mountain Time)","value":"22:34:45"},{"id":151,"name":"Denver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4010 --day 2017-11-11</v>
      </c>
      <c r="AN150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3"/>
        <v>https://d0f6bd738d7f1b3e5a7ca70fe4ff75f0.us-east-1.aws.found.io/app/kibana#/discover/Steve-Slow-Train-Analysis-(2080s-and-2083s)?_g=(refreshInterval:(display:Off,pause:!f,section:0,value:0),time:(from:'2017-11-11T20:35:05-0700',mode:absolute,to:'2017-11-11T23:34:45-0700'))&amp;_a=(columns:!('Message%20ID',Summary),filters:!(),index:'emp_*',interval:auto,query:(query_string:(analyze_wildcard:!t,query:'%22rtdc.l.rtdc.4010%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693</v>
      </c>
      <c r="B151" s="7">
        <v>4009</v>
      </c>
      <c r="C151" s="21" t="s">
        <v>192</v>
      </c>
      <c r="D151" s="21" t="s">
        <v>638</v>
      </c>
      <c r="E151" s="13">
        <v>43050.944606481484</v>
      </c>
      <c r="F151" s="13">
        <v>43050.956388888888</v>
      </c>
      <c r="G151" s="7">
        <v>60</v>
      </c>
      <c r="H151" s="21" t="s">
        <v>618</v>
      </c>
      <c r="I151" s="13">
        <v>43050.984710648147</v>
      </c>
      <c r="J151" s="7">
        <v>0</v>
      </c>
      <c r="K151" s="89" t="str">
        <f t="shared" si="58"/>
        <v>4009/4010</v>
      </c>
      <c r="L151" s="185" t="str">
        <f>VLOOKUP(A151,'Trips&amp;Operators'!$C$1:$G$99911,5,FALSE)</f>
        <v>ELBAUM MIKE</v>
      </c>
      <c r="M151" s="6">
        <f t="shared" si="59"/>
        <v>2.8321759258687962E-2</v>
      </c>
      <c r="N151" s="7">
        <f t="shared" si="52"/>
        <v>40.783333332510665</v>
      </c>
      <c r="O151" s="7"/>
      <c r="P151" s="7"/>
      <c r="Q151" s="22"/>
      <c r="R151" s="174"/>
      <c r="S151" s="221">
        <f t="shared" si="57"/>
        <v>1</v>
      </c>
      <c r="T151" s="174" t="str">
        <f t="shared" si="60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1"/>
        <v>https://d0f6bd738d7f1b3e5a7ca70fe4ff75f0.us-east-1.aws.found.io/app/kibana#/discover/Steve-Slow-Train-Analysis-(2080s-and-2083s)?_g=(refreshInterval:(display:Off,pause:!f,section:0,value:0),time:(from:'2017-11-11T21:40:14-0700',mode:absolute,to:'2017-11-12T00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204" t="str">
        <f>IF(AA151&lt;VLOOKUP(AG151,Variables!$AC$3:$AD$8,2,FALSE),"Y","N")</f>
        <v>N</v>
      </c>
      <c r="X151" s="204">
        <f t="shared" si="56"/>
        <v>1</v>
      </c>
      <c r="Y151" s="204">
        <f t="shared" si="62"/>
        <v>23.2943</v>
      </c>
      <c r="Z151" s="204">
        <f t="shared" si="63"/>
        <v>2.47E-2</v>
      </c>
      <c r="AA151" s="204">
        <f t="shared" si="64"/>
        <v>23.269600000000001</v>
      </c>
      <c r="AB151" s="54" t="str">
        <f>VLOOKUP(A151,Enforcements!$C$7:$K$9,8,0)</f>
        <v>Bulletin (2)</v>
      </c>
      <c r="AC151" s="51" t="str">
        <f>VLOOKUP(A151,Enforcements!$C$7:$E$9,3,0)</f>
        <v>GRADE CROSSING</v>
      </c>
      <c r="AD151" s="179">
        <f t="shared" si="65"/>
        <v>234</v>
      </c>
      <c r="AE151" s="77" t="str">
        <f t="shared" si="66"/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151" s="74" t="str">
        <f t="shared" si="67"/>
        <v>"C:\Program Files (x86)\AstroGrep\AstroGrep.exe" /e /r /s /spath="%USERPROFILE%\AppData\Local\Temp\OnboardLogs" /stypes="app*4009*20171112*" /stext=" 06:.+((SYSTEM_STATE.+slice.+state.+changed )|(ment ac)|(multiple cpu faults)|(system.+state.+changed )|(\[timeout)|(PRM\|1\|D)|(kpr)|(kdp)|(train st.+moving)|(\|lc)|(penalty))"</v>
      </c>
      <c r="AG151" s="182" t="str">
        <f t="shared" si="68"/>
        <v>EC</v>
      </c>
      <c r="AH151" s="78" t="str">
        <f t="shared" si="69"/>
        <v>"%USERPROFILE%\Documents\GitHub\eaglep3\Utilities\RefineRTDCRunTimes.py" --tripid 234-11 --locoid 4009 --swversion DE.1.0.9.0 --startMP 204:232943 --initTime 2017-11-11T22:40:14 --startdatetime 2017-11-11T22:57:12 --delay 60 --endMP 204:247 --enddatetime 2017-11-11T23:37:59 --enforcementcount 0 &gt;&gt;%USERPROFILE%\Documents\GitHub\eaglep3-reporting\EC\2017-11-11-refined-times.txt</v>
      </c>
      <c r="AI151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{"issue":{"subject":"","project_id":79,"tracker_id":40,"status_id":1,"priority_id":2,"assigned_to_id":338,"start_date":"2017-11-11","description":"","custom_fields":[{"id":1,"name":"Subdivision","value":"EC"},{"id":4,"name":"Milepost","value":"0.0247"},{"id":17,"name":"Train ID","value":"234-11"},{"id":16,"name":"Locomotive ID","value":"4009"},{"id":130,"name":"Impact","value":""},{"id":150,"name":"Time of Event (Mountain Time)","value":"23:37:59"},{"id":151,"name":"Denver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4009 --day 2017-11-11</v>
      </c>
      <c r="AN151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06:37:59"},{"id":29,"name":"Sharepoint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3"/>
        <v>https://d0f6bd738d7f1b3e5a7ca70fe4ff75f0.us-east-1.aws.found.io/app/kibana#/discover/Steve-Slow-Train-Analysis-(2080s-and-2083s)?_g=(refreshInterval:(display:Off,pause:!f,section:0,value:0),time:(from:'2017-11-11T21:40:14-0700',mode:absolute,to:'2017-11-12T00:37:59-0700'))&amp;_a=(columns:!('Message%20ID',Summary),filters:!(),index:'emp_*',interval:auto,query:(query_string:(analyze_wildcard:!t,query:'%22rtdc.l.rtdc.4009%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692</v>
      </c>
      <c r="B152" s="7">
        <v>4022</v>
      </c>
      <c r="C152" s="21" t="s">
        <v>192</v>
      </c>
      <c r="D152" s="21" t="s">
        <v>526</v>
      </c>
      <c r="E152" s="13">
        <v>43050.928912037038</v>
      </c>
      <c r="F152" s="13">
        <v>43050.955266203702</v>
      </c>
      <c r="G152" s="7">
        <v>115</v>
      </c>
      <c r="H152" s="21" t="s">
        <v>564</v>
      </c>
      <c r="I152" s="13">
        <v>43050.958020833335</v>
      </c>
      <c r="J152" s="7">
        <v>0</v>
      </c>
      <c r="K152" s="89" t="str">
        <f t="shared" si="58"/>
        <v>4021/4022</v>
      </c>
      <c r="L152" s="185" t="str">
        <f>VLOOKUP(A152,'Trips&amp;Operators'!$C$1:$G$99911,5,FALSE)</f>
        <v>NICHOLSON WESLEY</v>
      </c>
      <c r="M152" s="6">
        <f t="shared" si="59"/>
        <v>2.754629633272998E-3</v>
      </c>
      <c r="N152" s="7"/>
      <c r="O152" s="7"/>
      <c r="P152" s="7">
        <f>24*60*SUM($M152:$M152)</f>
        <v>3.9666666719131172</v>
      </c>
      <c r="Q152" s="22"/>
      <c r="R152" s="174" t="s">
        <v>1090</v>
      </c>
      <c r="S152" s="221">
        <f t="shared" si="57"/>
        <v>1</v>
      </c>
      <c r="T152" s="174" t="str">
        <f t="shared" si="60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1"/>
        <v>https://d0f6bd738d7f1b3e5a7ca70fe4ff75f0.us-east-1.aws.found.io/app/kibana#/discover/Steve-Slow-Train-Analysis-(2080s-and-2083s)?_g=(refreshInterval:(display:Off,pause:!f,section:0,value:0),time:(from:'2017-11-11T21:17:38-0700',mode:absolute,to:'2017-11-11T23:59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204" t="str">
        <f>IF(AA152&lt;VLOOKUP(AG152,Variables!$AC$3:$AD$8,2,FALSE),"Y","N")</f>
        <v>N</v>
      </c>
      <c r="X152" s="204">
        <f t="shared" si="56"/>
        <v>1</v>
      </c>
      <c r="Y152" s="204">
        <f t="shared" si="62"/>
        <v>5.2600000000000001E-2</v>
      </c>
      <c r="Z152" s="204">
        <f t="shared" si="63"/>
        <v>23.321300000000001</v>
      </c>
      <c r="AA152" s="204">
        <f t="shared" si="64"/>
        <v>23.268699999999999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65"/>
        <v>235</v>
      </c>
      <c r="AE152" s="77" t="str">
        <f t="shared" si="66"/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AF152" s="74" t="str">
        <f t="shared" si="67"/>
        <v>"C:\Program Files (x86)\AstroGrep\AstroGrep.exe" /e /r /s /spath="%USERPROFILE%\AppData\Local\Temp\OnboardLogs" /stypes="app*4022*20171112*" /stext=" 05:.+((SYSTEM_STATE.+slice.+state.+changed )|(ment ac)|(multiple cpu faults)|(system.+state.+changed )|(\[timeout)|(PRM\|1\|D)|(kpr)|(kdp)|(train st.+moving)|(\|lc)|(penalty))"</v>
      </c>
      <c r="AG152" s="182" t="str">
        <f t="shared" si="68"/>
        <v>EC</v>
      </c>
      <c r="AH152" s="78" t="str">
        <f t="shared" si="69"/>
        <v>"%USERPROFILE%\Documents\GitHub\eaglep3\Utilities\RefineRTDCRunTimes.py" --tripid 235-11 --locoid 4022 --swversion DE.1.0.9.0 --startMP 204:526 --initTime 2017-11-11T22:17:38 --startdatetime 2017-11-11T22:55:35 --delay 115 --endMP 204:233213 --enddatetime 2017-11-11T22:59:33 --enforcementcount 0 &gt;&gt;%USERPROFILE%\Documents\GitHub\eaglep3-reporting\EC\2017-11-11-refined-times.txt</v>
      </c>
      <c r="AI152" s="96" t="str">
        <f t="shared" si="70"/>
        <v>echo {"issue":{"subject":"Wheel tach sensor issue","project_id":79,"tracker_id":40,"status_id":1,"priority_id":2,"assigned_to_id":338,"start_date":"2017-11-11","description":"","custom_fields":[{"id":1,"name":"Subdivision","value":"EC"},{"id":4,"name":"Milepost","value":"23.3213"},{"id":17,"name":"Train ID","value":"235-11"},{"id":16,"name":"Locomotive ID","value":"4022"},{"id":130,"name":"Impact","value":""},{"id":150,"name":"Time of Event (Mountain Time)","value":"22:59:33"},{"id":151,"name":"Denver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4022 --day 2017-11-11</v>
      </c>
      <c r="AN152" s="151" t="str">
        <f t="shared" si="72"/>
        <v>echo {"issue":{"subject":"Wheel tach sensor issue","project_id":30,"tracker_id":4,"status_id":1,"priority_id":1,"assigned_to_id":10,"start_date":"2017-11-12","description":"","custom_fields":[{"id":30,"name":"Category","value":"Issue"},{"id":3,"name":"Functional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3"/>
        <v>https://d0f6bd738d7f1b3e5a7ca70fe4ff75f0.us-east-1.aws.found.io/app/kibana#/discover/Steve-Slow-Train-Analysis-(2080s-and-2083s)?_g=(refreshInterval:(display:Off,pause:!f,section:0,value:0),time:(from:'2017-11-11T21:17:38-0700',mode:absolute,to:'2017-11-11T23:59:33-0700'))&amp;_a=(columns:!('Message%20ID',Summary),filters:!(),index:'emp_*',interval:auto,query:(query_string:(analyze_wildcard:!t,query:'%22rtdc.l.rtdc.4022%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869</v>
      </c>
      <c r="B153" s="7">
        <v>4021</v>
      </c>
      <c r="C153" s="21" t="s">
        <v>192</v>
      </c>
      <c r="D153" s="21" t="s">
        <v>635</v>
      </c>
      <c r="E153" s="13">
        <v>43050.969293981485</v>
      </c>
      <c r="F153" s="13">
        <v>43050.977303240739</v>
      </c>
      <c r="G153" s="7">
        <v>134</v>
      </c>
      <c r="H153" s="21" t="s">
        <v>1046</v>
      </c>
      <c r="I153" s="13">
        <v>43051.004108796296</v>
      </c>
      <c r="J153" s="7">
        <v>0</v>
      </c>
      <c r="K153" s="89" t="str">
        <f t="shared" si="58"/>
        <v>4021/4022</v>
      </c>
      <c r="L153" s="185" t="str">
        <f>VLOOKUP(A153,'Trips&amp;Operators'!$C$1:$G$99911,5,FALSE)</f>
        <v>NICHOLSON WESLEY</v>
      </c>
      <c r="M153" s="6">
        <f t="shared" si="59"/>
        <v>2.6805555557075422E-2</v>
      </c>
      <c r="N153" s="7">
        <f>24*60*SUM($M153:$M153)</f>
        <v>38.600000002188608</v>
      </c>
      <c r="O153" s="7"/>
      <c r="P153" s="7"/>
      <c r="Q153" s="22"/>
      <c r="R153" s="174"/>
      <c r="S153" s="221">
        <f t="shared" si="57"/>
        <v>1</v>
      </c>
      <c r="T153" s="174" t="str">
        <f t="shared" si="60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1"/>
        <v>https://d0f6bd738d7f1b3e5a7ca70fe4ff75f0.us-east-1.aws.found.io/app/kibana#/discover/Steve-Slow-Train-Analysis-(2080s-and-2083s)?_g=(refreshInterval:(display:Off,pause:!f,section:0,value:0),time:(from:'2017-11-11T22:15:47-0700',mode:absolute,to:'2017-11-12T01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204" t="str">
        <f>IF(AA153&lt;VLOOKUP(AG153,Variables!$AC$3:$AD$8,2,FALSE),"Y","N")</f>
        <v>N</v>
      </c>
      <c r="X153" s="204">
        <f t="shared" si="56"/>
        <v>1</v>
      </c>
      <c r="Y153" s="204">
        <f t="shared" si="62"/>
        <v>23.2867</v>
      </c>
      <c r="Z153" s="204">
        <f t="shared" si="63"/>
        <v>2.5600000000000001E-2</v>
      </c>
      <c r="AA153" s="204">
        <f t="shared" si="64"/>
        <v>23.261099999999999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65"/>
        <v>236</v>
      </c>
      <c r="AE153" s="77" t="str">
        <f t="shared" si="66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153" s="74" t="str">
        <f t="shared" si="67"/>
        <v>"C:\Program Files (x86)\AstroGrep\AstroGrep.exe" /e /r /s /spath="%USERPROFILE%\AppData\Local\Temp\OnboardLogs" /stypes="app*4021*20171112*" /stext=" 07:.+((SYSTEM_STATE.+slice.+state.+changed )|(ment ac)|(multiple cpu faults)|(system.+state.+changed )|(\[timeout)|(PRM\|1\|D)|(kpr)|(kdp)|(train st.+moving)|(\|lc)|(penalty))"</v>
      </c>
      <c r="AG153" s="182" t="str">
        <f t="shared" si="68"/>
        <v>EC</v>
      </c>
      <c r="AH153" s="78" t="str">
        <f t="shared" si="69"/>
        <v>"%USERPROFILE%\Documents\GitHub\eaglep3\Utilities\RefineRTDCRunTimes.py" --tripid 236-11 --locoid 4021 --swversion DE.1.0.9.0 --startMP 204:232867 --initTime 2017-11-11T23:15:47 --startdatetime 2017-11-11T23:27:19 --delay 134 --endMP 204:256 --enddatetime 2017-11-12T00:05:55 --enforcementcount 0 &gt;&gt;%USERPROFILE%\Documents\GitHub\eaglep3-reporting\EC\2017-11-11-refined-times.txt</v>
      </c>
      <c r="AI153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{"issue":{"subject":"","project_id":79,"tracker_id":40,"status_id":1,"priority_id":2,"assigned_to_id":338,"start_date":"2017-11-12","description":"","custom_fields":[{"id":1,"name":"Subdivision","value":"EC"},{"id":4,"name":"Milepost","value":"0.0256"},{"id":17,"name":"Train ID","value":"236-11"},{"id":16,"name":"Locomotive ID","value":"4021"},{"id":130,"name":"Impact","value":""},{"id":150,"name":"Time of Event (Mountain Time)","value":"00:05:55"},{"id":151,"name":"Denver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4021 --day 2017-11-11</v>
      </c>
      <c r="AN153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3"/>
        <v>https://d0f6bd738d7f1b3e5a7ca70fe4ff75f0.us-east-1.aws.found.io/app/kibana#/discover/Steve-Slow-Train-Analysis-(2080s-and-2083s)?_g=(refreshInterval:(display:Off,pause:!f,section:0,value:0),time:(from:'2017-11-11T22:15:47-0700',mode:absolute,to:'2017-11-12T01:05:55-0700'))&amp;_a=(columns:!('Message%20ID',Summary),filters:!(),index:'emp_*',interval:auto,query:(query_string:(analyze_wildcard:!t,query:'%22rtdc.l.rtdc.4021%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867</v>
      </c>
      <c r="B154" s="7">
        <v>4044</v>
      </c>
      <c r="C154" s="21" t="s">
        <v>192</v>
      </c>
      <c r="D154" s="21" t="s">
        <v>525</v>
      </c>
      <c r="E154" s="13">
        <v>43050.945451388892</v>
      </c>
      <c r="F154" s="13">
        <v>43050.95894675926</v>
      </c>
      <c r="G154" s="7">
        <v>149</v>
      </c>
      <c r="H154" s="21" t="s">
        <v>598</v>
      </c>
      <c r="I154" s="13">
        <v>43050.98364583333</v>
      </c>
      <c r="J154" s="7">
        <v>0</v>
      </c>
      <c r="K154" s="89" t="str">
        <f t="shared" si="58"/>
        <v>4043/4044</v>
      </c>
      <c r="L154" s="185" t="str">
        <f>VLOOKUP(A154,'Trips&amp;Operators'!$C$1:$G$99911,5,FALSE)</f>
        <v>ANDERS STEVEN</v>
      </c>
      <c r="M154" s="6">
        <f t="shared" si="59"/>
        <v>2.4699074070667848E-2</v>
      </c>
      <c r="N154" s="7">
        <f>24*60*SUM($M154:$M154)</f>
        <v>35.566666661761701</v>
      </c>
      <c r="O154" s="7"/>
      <c r="P154" s="7"/>
      <c r="Q154" s="22"/>
      <c r="R154" s="174"/>
      <c r="S154" s="221">
        <f t="shared" si="57"/>
        <v>1</v>
      </c>
      <c r="T154" s="174" t="str">
        <f t="shared" si="60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1"/>
        <v>https://d0f6bd738d7f1b3e5a7ca70fe4ff75f0.us-east-1.aws.found.io/app/kibana#/discover/Steve-Slow-Train-Analysis-(2080s-and-2083s)?_g=(refreshInterval:(display:Off,pause:!f,section:0,value:0),time:(from:'2017-11-11T21:41:27-0700',mode:absolute,to:'2017-11-12T00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204" t="str">
        <f>IF(AA154&lt;VLOOKUP(AG154,Variables!$AC$3:$AD$8,2,FALSE),"Y","N")</f>
        <v>N</v>
      </c>
      <c r="X154" s="204">
        <f t="shared" si="56"/>
        <v>1</v>
      </c>
      <c r="Y154" s="204">
        <f t="shared" si="62"/>
        <v>5.2400000000000002E-2</v>
      </c>
      <c r="Z154" s="204">
        <f t="shared" si="63"/>
        <v>23.3247</v>
      </c>
      <c r="AA154" s="204">
        <f t="shared" si="64"/>
        <v>23.272300000000001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65"/>
        <v>237</v>
      </c>
      <c r="AE154" s="77" t="str">
        <f t="shared" si="66"/>
        <v>aws s3 cp s3://rtdc.mdm.uploadarchive.raw/RTDC4044/ "%USERPROFILE%\AppData\Local\Temp\OnboardLogs"\RTDC4044\2017-11-11 --exclude "*" --recursive --include "*20171111*" &amp; "%USERPROFILE%\Documents\GitHub\mrs-test-scripts\Headless Mode &amp; Sideloading\WalkAndUnGZ.bat" "%USERPROFILE%\AppData\Local\Temp\OnboardLogs"\RTDC4044\2017-11-11 &amp; 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</v>
      </c>
      <c r="AF154" s="74" t="str">
        <f t="shared" si="67"/>
        <v>"C:\Program Files (x86)\AstroGrep\AstroGrep.exe" /e /r /s /spath="%USERPROFILE%\AppData\Local\Temp\OnboardLogs" /stypes="app*4044*20171112*" /stext=" 06:.+((SYSTEM_STATE.+slice.+state.+changed )|(ment ac)|(multiple cpu faults)|(system.+state.+changed )|(\[timeout)|(PRM\|1\|D)|(kpr)|(kdp)|(train st.+moving)|(\|lc)|(penalty))"</v>
      </c>
      <c r="AG154" s="182" t="str">
        <f t="shared" si="68"/>
        <v>EC</v>
      </c>
      <c r="AH154" s="78" t="str">
        <f t="shared" si="69"/>
        <v>"%USERPROFILE%\Documents\GitHub\eaglep3\Utilities\RefineRTDCRunTimes.py" --tripid 237-11 --locoid 4044 --swversion DE.1.0.9.0 --startMP 204:524 --initTime 2017-11-11T22:41:27 --startdatetime 2017-11-11T23:00:53 --delay 149 --endMP 204:233247 --enddatetime 2017-11-11T23:36:27 --enforcementcount 0 &gt;&gt;%USERPROFILE%\Documents\GitHub\eaglep3-reporting\EC\2017-11-11-refined-times.txt</v>
      </c>
      <c r="AI154" s="96" t="str">
        <f t="shared" si="70"/>
        <v>echo {"issue":{"subject":"","project_id":79,"tracker_id":40,"status_id":1,"priority_id":2,"assigned_to_id":338,"start_date":"2017-11-11","description":"","custom_fields":[{"id":1,"name":"Subdivision","value":"EC"},{"id":4,"name":"Milepost","value":"23.3247"},{"id":17,"name":"Train ID","value":"237-11"},{"id":16,"name":"Locomotive ID","value":"4044"},{"id":130,"name":"Impact","value":""},{"id":150,"name":"Time of Event (Mountain Time)","value":"23:36:27"},{"id":151,"name":"Denver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4044 --day 2017-11-11</v>
      </c>
      <c r="AN154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3"/>
        <v>https://d0f6bd738d7f1b3e5a7ca70fe4ff75f0.us-east-1.aws.found.io/app/kibana#/discover/Steve-Slow-Train-Analysis-(2080s-and-2083s)?_g=(refreshInterval:(display:Off,pause:!f,section:0,value:0),time:(from:'2017-11-11T21:41:27-0700',mode:absolute,to:'2017-11-12T00:36:27-0700'))&amp;_a=(columns:!('Message%20ID',Summary),filters:!(),index:'emp_*',interval:auto,query:(query_string:(analyze_wildcard:!t,query:'%22rtdc.l.rtdc.4044%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872</v>
      </c>
      <c r="B155" s="7">
        <v>4043</v>
      </c>
      <c r="C155" s="21" t="s">
        <v>192</v>
      </c>
      <c r="D155" s="21" t="s">
        <v>638</v>
      </c>
      <c r="E155" s="13">
        <v>43050.992627314816</v>
      </c>
      <c r="F155" s="13">
        <v>43050.998171296298</v>
      </c>
      <c r="G155" s="7">
        <v>59</v>
      </c>
      <c r="H155" s="21" t="s">
        <v>606</v>
      </c>
      <c r="I155" s="13">
        <v>43051.026250000003</v>
      </c>
      <c r="J155" s="7">
        <v>0</v>
      </c>
      <c r="K155" s="89" t="str">
        <f t="shared" si="58"/>
        <v>4043/4044</v>
      </c>
      <c r="L155" s="185" t="str">
        <f>VLOOKUP(A155,'Trips&amp;Operators'!$C$1:$G$99911,5,FALSE)</f>
        <v>ANDERS STEVEN</v>
      </c>
      <c r="M155" s="6">
        <f t="shared" si="59"/>
        <v>2.8078703704522923E-2</v>
      </c>
      <c r="N155" s="7">
        <f>24*60*SUM($M155:$M155)</f>
        <v>40.433333334513009</v>
      </c>
      <c r="O155" s="7"/>
      <c r="P155" s="7"/>
      <c r="Q155" s="22"/>
      <c r="R155" s="174"/>
      <c r="S155" s="221">
        <f t="shared" si="57"/>
        <v>1</v>
      </c>
      <c r="T155" s="174" t="str">
        <f t="shared" si="60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1"/>
        <v>https://d0f6bd738d7f1b3e5a7ca70fe4ff75f0.us-east-1.aws.found.io/app/kibana#/discover/Steve-Slow-Train-Analysis-(2080s-and-2083s)?_g=(refreshInterval:(display:Off,pause:!f,section:0,value:0),time:(from:'2017-11-11T22:49:23-0700',mode:absolute,to:'2017-11-12T01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204" t="str">
        <f>IF(AA155&lt;VLOOKUP(AG155,Variables!$AC$3:$AD$8,2,FALSE),"Y","N")</f>
        <v>N</v>
      </c>
      <c r="X155" s="204">
        <f t="shared" ref="X155:X186" si="74">VALUE(LEFT(AD155,4))-VALUE(LEFT(AD154,4))</f>
        <v>1</v>
      </c>
      <c r="Y155" s="204">
        <f t="shared" si="62"/>
        <v>23.2943</v>
      </c>
      <c r="Z155" s="204">
        <f t="shared" si="63"/>
        <v>2.0500000000000001E-2</v>
      </c>
      <c r="AA155" s="204">
        <f t="shared" si="64"/>
        <v>23.273800000000001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65"/>
        <v>238</v>
      </c>
      <c r="AE155" s="77" t="str">
        <f t="shared" si="66"/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AF155" s="74" t="str">
        <f t="shared" si="67"/>
        <v>"C:\Program Files (x86)\AstroGrep\AstroGrep.exe" /e /r /s /spath="%USERPROFILE%\AppData\Local\Temp\OnboardLogs" /stypes="app*4043*20171112*" /stext=" 07:.+((SYSTEM_STATE.+slice.+state.+changed )|(ment ac)|(multiple cpu faults)|(system.+state.+changed )|(\[timeout)|(PRM\|1\|D)|(kpr)|(kdp)|(train st.+moving)|(\|lc)|(penalty))"</v>
      </c>
      <c r="AG155" s="182" t="str">
        <f t="shared" si="68"/>
        <v>EC</v>
      </c>
      <c r="AH155" s="78" t="str">
        <f t="shared" si="69"/>
        <v>"%USERPROFILE%\Documents\GitHub\eaglep3\Utilities\RefineRTDCRunTimes.py" --tripid 238-11 --locoid 4043 --swversion DE.1.0.9.0 --startMP 204:232943 --initTime 2017-11-11T23:49:23 --startdatetime 2017-11-11T23:57:22 --delay 59 --endMP 204:205 --enddatetime 2017-11-12T00:37:48 --enforcementcount 0 &gt;&gt;%USERPROFILE%\Documents\GitHub\eaglep3-reporting\EC\2017-11-11-refined-times.txt</v>
      </c>
      <c r="AI155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{"issue":{"subject":"","project_id":79,"tracker_id":40,"status_id":1,"priority_id":2,"assigned_to_id":338,"start_date":"2017-11-12","description":"","custom_fields":[{"id":1,"name":"Subdivision","value":"EC"},{"id":4,"name":"Milepost","value":"0.0205"},{"id":17,"name":"Train ID","value":"238-11"},{"id":16,"name":"Locomotive ID","value":"4043"},{"id":130,"name":"Impact","value":""},{"id":150,"name":"Time of Event (Mountain Time)","value":"00:37:48"},{"id":151,"name":"Denver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4043 --day 2017-11-11</v>
      </c>
      <c r="AN155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3"/>
        <v>https://d0f6bd738d7f1b3e5a7ca70fe4ff75f0.us-east-1.aws.found.io/app/kibana#/discover/Steve-Slow-Train-Analysis-(2080s-and-2083s)?_g=(refreshInterval:(display:Off,pause:!f,section:0,value:0),time:(from:'2017-11-11T22:49:23-0700',mode:absolute,to:'2017-11-12T01:37:48-0700'))&amp;_a=(columns:!('Message%20ID',Summary),filters:!(),index:'emp_*',interval:auto,query:(query_string:(analyze_wildcard:!t,query:'%22rtdc.l.rtdc.4043%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695</v>
      </c>
      <c r="B156" s="7">
        <v>4058</v>
      </c>
      <c r="C156" s="21" t="s">
        <v>192</v>
      </c>
      <c r="D156" s="21" t="s">
        <v>1047</v>
      </c>
      <c r="E156" s="13">
        <v>43050.999479166669</v>
      </c>
      <c r="F156" s="13">
        <v>43051.000300925924</v>
      </c>
      <c r="G156" s="7">
        <v>39</v>
      </c>
      <c r="H156" s="21" t="s">
        <v>1048</v>
      </c>
      <c r="I156" s="13">
        <v>43051.006874999999</v>
      </c>
      <c r="J156" s="7">
        <v>0</v>
      </c>
      <c r="K156" s="89" t="str">
        <f t="shared" si="58"/>
        <v>4057/4058</v>
      </c>
      <c r="L156" s="185" t="str">
        <f>VLOOKUP(A156,'Trips&amp;Operators'!$C$1:$G$99911,5,FALSE)</f>
        <v>FORTUNATO FRANK</v>
      </c>
      <c r="M156" s="6">
        <f t="shared" si="59"/>
        <v>6.5740740756154992E-3</v>
      </c>
      <c r="N156" s="7"/>
      <c r="O156" s="7"/>
      <c r="P156" s="7">
        <f>24*60*SUM($M156:$M156)</f>
        <v>9.4666666688863188</v>
      </c>
      <c r="Q156" s="22"/>
      <c r="R156" s="174" t="s">
        <v>656</v>
      </c>
      <c r="S156" s="221">
        <f>1/IF(AG156="EC",12,1)*SUM(U156:U157)</f>
        <v>0.25</v>
      </c>
      <c r="T156" s="174" t="str">
        <f t="shared" si="60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 t="shared" si="61"/>
        <v>https://d0f6bd738d7f1b3e5a7ca70fe4ff75f0.us-east-1.aws.found.io/app/kibana#/discover/Steve-Slow-Train-Analysis-(2080s-and-2083s)?_g=(refreshInterval:(display:Off,pause:!f,section:0,value:0),time:(from:'2017-11-11T22:59:15-0700',mode:absolute,to:'2017-11-12T01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6" s="204" t="str">
        <f>IF(AA156&lt;VLOOKUP(AG156,Variables!$AC$3:$AD$8,2,FALSE),"Y","N")</f>
        <v>Y</v>
      </c>
      <c r="X156" s="204">
        <f t="shared" si="74"/>
        <v>1</v>
      </c>
      <c r="Y156" s="204">
        <f t="shared" si="62"/>
        <v>15.4574</v>
      </c>
      <c r="Z156" s="204">
        <f t="shared" si="63"/>
        <v>23.317399999999999</v>
      </c>
      <c r="AA156" s="204">
        <f t="shared" si="64"/>
        <v>7.8599999999999994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65"/>
        <v>239</v>
      </c>
      <c r="AE156" s="77" t="str">
        <f t="shared" si="66"/>
        <v>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 &amp; aws s3 cp s3://rtdc.mdm.uploadarchive.raw/RTDC4058/ "%USERPROFILE%\AppData\Local\Temp\OnboardLogs"\RTDC4058\2017-11-13 --exclude "*" --recursive --include "*20171113*" &amp; "%USERPROFILE%\Documents\GitHub\mrs-test-scripts\Headless Mode &amp; Sideloading\WalkAndUnGZ.bat" "%USERPROFILE%\AppData\Local\Temp\OnboardLogs"\RTDC4058\2017-11-13</v>
      </c>
      <c r="AF156" s="74" t="str">
        <f t="shared" si="67"/>
        <v>"C:\Program Files (x86)\AstroGrep\AstroGrep.exe" /e /r /s /spath="%USERPROFILE%\AppData\Local\Temp\OnboardLogs" /stypes="app*4058*20171112*" /stext=" 07:.+((SYSTEM_STATE.+slice.+state.+changed )|(ment ac)|(multiple cpu faults)|(system.+state.+changed )|(\[timeout)|(PRM\|1\|D)|(kpr)|(kdp)|(train st.+moving)|(\|lc)|(penalty))"</v>
      </c>
      <c r="AG156" s="182" t="str">
        <f t="shared" si="68"/>
        <v>EC</v>
      </c>
      <c r="AH156" s="78" t="str">
        <f t="shared" si="69"/>
        <v>"%USERPROFILE%\Documents\GitHub\eaglep3\Utilities\RefineRTDCRunTimes.py" --tripid 239-11 --locoid 4058 --swversion DE.1.0.9.0 --startMP 204:154574 --initTime 2017-11-11T23:59:15 --startdatetime 2017-11-12T00:00:26 --delay 39 --endMP 204:233174 --enddatetime 2017-11-12T00:09:54 --enforcementcount 0 &gt;&gt;%USERPROFILE%\Documents\GitHub\eaglep3-reporting\EC\2017-11-11-refined-times.txt</v>
      </c>
      <c r="AI156" s="96" t="str">
        <f t="shared" si="70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drop","project_id":79,"tracker_id":40,"status_id":1,"priority_id":2,"assigned_to_id":338,"start_date":"2017-11-12","description":"","custom_fields":[{"id":1,"name":"Subdivision","value":"EC"},{"id":4,"name":"Milepost","value":"23.3174"},{"id":17,"name":"Train ID","value":"239-11"},{"id":16,"name":"Locomotive ID","value":"4058"},{"id":130,"name":"Impact","value":""},{"id":150,"name":"Time of Event (Mountain Time)","value":"00:09:54"},{"id":151,"name":"Denver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4058 --day 2017-11-12</v>
      </c>
      <c r="AN156" s="151" t="str">
        <f t="shared" si="72"/>
        <v>echo {"issue":{"subject":"Wi-MAX data drop","project_id":30,"tracker_id":4,"status_id":1,"priority_id":1,"assigned_to_id":10,"start_date":"2017-11-12","description":"","custom_fields":[{"id":30,"name":"Category","value":"Issue"},{"id":3,"name":"Functional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3"/>
        <v>https://d0f6bd738d7f1b3e5a7ca70fe4ff75f0.us-east-1.aws.found.io/app/kibana#/discover/Steve-Slow-Train-Analysis-(2080s-and-2083s)?_g=(refreshInterval:(display:Off,pause:!f,section:0,value:0),time:(from:'2017-11-11T22:59:15-0700',mode:absolute,to:'2017-11-12T01:09:54-0700'))&amp;_a=(columns:!('Message%20ID',Summary),filters:!(),index:'emp_*',interval:auto,query:(query_string:(analyze_wildcard:!t,query:'%22rtdc.l.rtdc.4058%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695</v>
      </c>
      <c r="B157" s="7">
        <v>4058</v>
      </c>
      <c r="C157" s="21" t="s">
        <v>192</v>
      </c>
      <c r="D157" s="21" t="s">
        <v>453</v>
      </c>
      <c r="E157" s="13">
        <v>43050.966006944444</v>
      </c>
      <c r="F157" s="13">
        <v>43051.000300925924</v>
      </c>
      <c r="G157" s="7">
        <v>56</v>
      </c>
      <c r="H157" s="21" t="s">
        <v>1049</v>
      </c>
      <c r="I157" s="13">
        <v>43051.006874999999</v>
      </c>
      <c r="J157" s="7">
        <v>0</v>
      </c>
      <c r="K157" s="89" t="str">
        <f t="shared" si="58"/>
        <v>4057/4058</v>
      </c>
      <c r="L157" s="185" t="str">
        <f>VLOOKUP(A157,'Trips&amp;Operators'!$C$1:$G$99911,5,FALSE)</f>
        <v>FORTUNATO FRANK</v>
      </c>
      <c r="M157" s="6">
        <f t="shared" si="59"/>
        <v>6.5740740756154992E-3</v>
      </c>
      <c r="N157" s="7"/>
      <c r="O157" s="7"/>
      <c r="P157" s="7"/>
      <c r="Q157" s="22"/>
      <c r="R157" s="174"/>
      <c r="S157" s="221"/>
      <c r="T157" s="174" t="str">
        <f t="shared" si="60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216" t="str">
        <f t="shared" si="61"/>
        <v>https://d0f6bd738d7f1b3e5a7ca70fe4ff75f0.us-east-1.aws.found.io/app/kibana#/discover/Steve-Slow-Train-Analysis-(2080s-and-2083s)?_g=(refreshInterval:(display:Off,pause:!f,section:0,value:0),time:(from:'2017-11-11T22:11:03-0700',mode:absolute,to:'2017-11-12T01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7" s="204" t="str">
        <f>IF(AA157&lt;VLOOKUP(AG157,Variables!$AC$3:$AD$8,2,FALSE),"Y","N")</f>
        <v>Y</v>
      </c>
      <c r="X157" s="204">
        <f t="shared" si="74"/>
        <v>0</v>
      </c>
      <c r="Y157" s="204">
        <f t="shared" si="62"/>
        <v>5.0599999999999999E-2</v>
      </c>
      <c r="Z157" s="204">
        <f t="shared" si="63"/>
        <v>3.6932999999999998</v>
      </c>
      <c r="AA157" s="204">
        <f t="shared" si="64"/>
        <v>3.6426999999999996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65"/>
        <v>239</v>
      </c>
      <c r="AE157" s="77" t="str">
        <f t="shared" si="66"/>
        <v>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 &amp; aws s3 cp s3://rtdc.mdm.uploadarchive.raw/RTDC4058/ "%USERPROFILE%\AppData\Local\Temp\OnboardLogs"\RTDC4058\2017-11-13 --exclude "*" --recursive --include "*20171113*" &amp; "%USERPROFILE%\Documents\GitHub\mrs-test-scripts\Headless Mode &amp; Sideloading\WalkAndUnGZ.bat" "%USERPROFILE%\AppData\Local\Temp\OnboardLogs"\RTDC4058\2017-11-13</v>
      </c>
      <c r="AF157" s="74" t="str">
        <f t="shared" si="67"/>
        <v>"C:\Program Files (x86)\AstroGrep\AstroGrep.exe" /e /r /s /spath="%USERPROFILE%\AppData\Local\Temp\OnboardLogs" /stypes="app*4058*20171112*" /stext=" 07:.+((SYSTEM_STATE.+slice.+state.+changed )|(ment ac)|(multiple cpu faults)|(system.+state.+changed )|(\[timeout)|(PRM\|1\|D)|(kpr)|(kdp)|(train st.+moving)|(\|lc)|(penalty))"</v>
      </c>
      <c r="AG157" s="182" t="str">
        <f t="shared" si="68"/>
        <v>EC</v>
      </c>
      <c r="AH157" s="78" t="str">
        <f t="shared" si="69"/>
        <v>"%USERPROFILE%\Documents\GitHub\eaglep3\Utilities\RefineRTDCRunTimes.py" --tripid 239-11 --locoid 4058 --swversion DE.1.0.9.0 --startMP 204:506 --initTime 2017-11-11T23:11:03 --startdatetime 2017-11-12T00:00:26 --delay 56 --endMP 204:36933 --enddatetime 2017-11-12T00:09:54 --enforcementcount 0 &gt;&gt;%USERPROFILE%\Documents\GitHub\eaglep3-reporting\EC\2017-11-11-refined-times.txt</v>
      </c>
      <c r="AI157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{"issue":{"subject":"","project_id":79,"tracker_id":40,"status_id":1,"priority_id":2,"assigned_to_id":338,"start_date":"2017-11-12","description":"","custom_fields":[{"id":1,"name":"Subdivision","value":"EC"},{"id":4,"name":"Milepost","value":"3.6933"},{"id":17,"name":"Train ID","value":"239-11"},{"id":16,"name":"Locomotive ID","value":"4058"},{"id":130,"name":"Impact","value":""},{"id":150,"name":"Time of Event (Mountain Time)","value":"00:09:54"},{"id":151,"name":"Denver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4058 --day 2017-11-12</v>
      </c>
      <c r="AN157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3"/>
        <v>https://d0f6bd738d7f1b3e5a7ca70fe4ff75f0.us-east-1.aws.found.io/app/kibana#/discover/Steve-Slow-Train-Analysis-(2080s-and-2083s)?_g=(refreshInterval:(display:Off,pause:!f,section:0,value:0),time:(from:'2017-11-11T22:11:03-0700',mode:absolute,to:'2017-11-12T01:09:54-0700'))&amp;_a=(columns:!('Message%20ID',Summary),filters:!(),index:'emp_*',interval:auto,query:(query_string:(analyze_wildcard:!t,query:'%22rtdc.l.rtdc.4058%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874</v>
      </c>
      <c r="B158" s="7">
        <v>4057</v>
      </c>
      <c r="C158" s="21" t="s">
        <v>192</v>
      </c>
      <c r="D158" s="21" t="s">
        <v>569</v>
      </c>
      <c r="E158" s="13">
        <v>43051.008148148147</v>
      </c>
      <c r="F158" s="13">
        <v>43051.01898148148</v>
      </c>
      <c r="G158" s="7">
        <v>52</v>
      </c>
      <c r="H158" s="21" t="s">
        <v>520</v>
      </c>
      <c r="I158" s="13">
        <v>43051.044490740744</v>
      </c>
      <c r="J158" s="7">
        <v>0</v>
      </c>
      <c r="K158" s="89" t="str">
        <f t="shared" si="58"/>
        <v>4057/4058</v>
      </c>
      <c r="L158" s="185" t="str">
        <f>VLOOKUP(A158,'Trips&amp;Operators'!$C$1:$G$99911,5,FALSE)</f>
        <v>FORTUNATO FRANK</v>
      </c>
      <c r="M158" s="6">
        <f t="shared" si="59"/>
        <v>2.5509259263344575E-2</v>
      </c>
      <c r="N158" s="7">
        <f>24*60*SUM($M158:$M158)</f>
        <v>36.733333339216188</v>
      </c>
      <c r="O158" s="7"/>
      <c r="P158" s="7"/>
      <c r="Q158" s="22"/>
      <c r="R158" s="174"/>
      <c r="S158" s="221">
        <f t="shared" ref="S158:S189" si="75">1/IF(AG158="EC",12,1)*SUM(U158:U158)</f>
        <v>1</v>
      </c>
      <c r="T158" s="174" t="str">
        <f t="shared" si="60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1"/>
        <v>https://d0f6bd738d7f1b3e5a7ca70fe4ff75f0.us-east-1.aws.found.io/app/kibana#/discover/Steve-Slow-Train-Analysis-(2080s-and-2083s)?_g=(refreshInterval:(display:Off,pause:!f,section:0,value:0),time:(from:'2017-11-11T23:11:44-0700',mode:absolute,to:'2017-11-12T02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8" s="204" t="str">
        <f>IF(AA158&lt;VLOOKUP(AG158,Variables!$AC$3:$AD$8,2,FALSE),"Y","N")</f>
        <v>N</v>
      </c>
      <c r="X158" s="204">
        <f t="shared" si="74"/>
        <v>1</v>
      </c>
      <c r="Y158" s="204">
        <f t="shared" si="62"/>
        <v>23.286300000000001</v>
      </c>
      <c r="Z158" s="204">
        <f t="shared" si="63"/>
        <v>2.1100000000000001E-2</v>
      </c>
      <c r="AA158" s="204">
        <f t="shared" si="64"/>
        <v>23.2652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65"/>
        <v>240</v>
      </c>
      <c r="AE158" s="77" t="str">
        <f t="shared" si="66"/>
        <v>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 &amp; aws s3 cp s3://rtdc.mdm.uploadarchive.raw/RTDC4057/ "%USERPROFILE%\AppData\Local\Temp\OnboardLogs"\RTDC4057\2017-11-13 --exclude "*" --recursive --include "*20171113*" &amp; "%USERPROFILE%\Documents\GitHub\mrs-test-scripts\Headless Mode &amp; Sideloading\WalkAndUnGZ.bat" "%USERPROFILE%\AppData\Local\Temp\OnboardLogs"\RTDC4057\2017-11-13</v>
      </c>
      <c r="AF158" s="74" t="str">
        <f t="shared" si="67"/>
        <v>"C:\Program Files (x86)\AstroGrep\AstroGrep.exe" /e /r /s /spath="%USERPROFILE%\AppData\Local\Temp\OnboardLogs" /stypes="app*4057*20171112*" /stext=" 08:.+((SYSTEM_STATE.+slice.+state.+changed )|(ment ac)|(multiple cpu faults)|(system.+state.+changed )|(\[timeout)|(PRM\|1\|D)|(kpr)|(kdp)|(train st.+moving)|(\|lc)|(penalty))"</v>
      </c>
      <c r="AG158" s="182" t="str">
        <f t="shared" si="68"/>
        <v>EC</v>
      </c>
      <c r="AH158" s="78" t="str">
        <f t="shared" si="69"/>
        <v>"%USERPROFILE%\Documents\GitHub\eaglep3\Utilities\RefineRTDCRunTimes.py" --tripid 240-11 --locoid 4057 --swversion DE.1.0.9.0 --startMP 204:232863 --initTime 2017-11-12T00:11:44 --startdatetime 2017-11-12T00:27:20 --delay 52 --endMP 204:211 --enddatetime 2017-11-12T01:04:04 --enforcementcount 0 &gt;&gt;%USERPROFILE%\Documents\GitHub\eaglep3-reporting\EC\2017-11-11-refined-times.txt</v>
      </c>
      <c r="AI158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{"issue":{"subject":"","project_id":79,"tracker_id":40,"status_id":1,"priority_id":2,"assigned_to_id":338,"start_date":"2017-11-12","description":"","custom_fields":[{"id":1,"name":"Subdivision","value":"EC"},{"id":4,"name":"Milepost","value":"0.0211"},{"id":17,"name":"Train ID","value":"240-11"},{"id":16,"name":"Locomotive ID","value":"4057"},{"id":130,"name":"Impact","value":""},{"id":150,"name":"Time of Event (Mountain Time)","value":"01:04:04"},{"id":151,"name":"Denver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1"/>
        <v>start /low /b %USERPROFILE%\Documents\GitHub\eaglep3\Utilities\DownloadLogsFromS3.py --loco 4057 --day 2017-11-12</v>
      </c>
      <c r="AN158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08:04:04"},{"id":29,"name":"Sharepoint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3"/>
        <v>https://d0f6bd738d7f1b3e5a7ca70fe4ff75f0.us-east-1.aws.found.io/app/kibana#/discover/Steve-Slow-Train-Analysis-(2080s-and-2083s)?_g=(refreshInterval:(display:Off,pause:!f,section:0,value:0),time:(from:'2017-11-11T23:11:44-0700',mode:absolute,to:'2017-11-12T02:04:04-0700'))&amp;_a=(columns:!('Message%20ID',Summary),filters:!(),index:'emp_*',interval:auto,query:(query_string:(analyze_wildcard:!t,query:'%22rtdc.l.rtdc.4057%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871</v>
      </c>
      <c r="B159" s="7">
        <v>4010</v>
      </c>
      <c r="C159" s="21" t="s">
        <v>192</v>
      </c>
      <c r="D159" s="21" t="s">
        <v>1030</v>
      </c>
      <c r="E159" s="13">
        <v>43050.989016203705</v>
      </c>
      <c r="F159" s="13">
        <v>43051.000150462962</v>
      </c>
      <c r="G159" s="7">
        <v>63</v>
      </c>
      <c r="H159" s="21" t="s">
        <v>555</v>
      </c>
      <c r="I159" s="13">
        <v>43051.024375000001</v>
      </c>
      <c r="J159" s="7">
        <v>0</v>
      </c>
      <c r="K159" s="89" t="str">
        <f t="shared" si="58"/>
        <v>4009/4010</v>
      </c>
      <c r="L159" s="185" t="str">
        <f>VLOOKUP(A159,'Trips&amp;Operators'!$C$1:$G$99911,5,FALSE)</f>
        <v>ELBAUM MIKE</v>
      </c>
      <c r="M159" s="6">
        <f t="shared" si="59"/>
        <v>2.4224537039117422E-2</v>
      </c>
      <c r="N159" s="7">
        <f>24*60*SUM($M159:$M159)</f>
        <v>34.883333336329088</v>
      </c>
      <c r="O159" s="7"/>
      <c r="P159" s="7"/>
      <c r="Q159" s="22"/>
      <c r="R159" s="174"/>
      <c r="S159" s="221">
        <f t="shared" si="75"/>
        <v>1</v>
      </c>
      <c r="T159" s="174" t="str">
        <f t="shared" si="60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61"/>
        <v>https://d0f6bd738d7f1b3e5a7ca70fe4ff75f0.us-east-1.aws.found.io/app/kibana#/discover/Steve-Slow-Train-Analysis-(2080s-and-2083s)?_g=(refreshInterval:(display:Off,pause:!f,section:0,value:0),time:(from:'2017-11-11T22:44:11-0700',mode:absolute,to:'2017-11-12T01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04" t="str">
        <f>IF(AA159&lt;VLOOKUP(AG159,Variables!$AC$3:$AD$8,2,FALSE),"Y","N")</f>
        <v>N</v>
      </c>
      <c r="X159" s="204">
        <f t="shared" si="74"/>
        <v>1</v>
      </c>
      <c r="Y159" s="204">
        <f t="shared" si="62"/>
        <v>5.3999999999999999E-2</v>
      </c>
      <c r="Z159" s="204">
        <f t="shared" si="63"/>
        <v>23.327200000000001</v>
      </c>
      <c r="AA159" s="204">
        <f t="shared" si="64"/>
        <v>23.273200000000003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65"/>
        <v>241</v>
      </c>
      <c r="AE159" s="77" t="str">
        <f t="shared" si="66"/>
        <v>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 &amp; 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</v>
      </c>
      <c r="AF159" s="74" t="str">
        <f t="shared" si="67"/>
        <v>"C:\Program Files (x86)\AstroGrep\AstroGrep.exe" /e /r /s /spath="%USERPROFILE%\AppData\Local\Temp\OnboardLogs" /stypes="app*4010*20171112*" /stext=" 07:.+((SYSTEM_STATE.+slice.+state.+changed )|(ment ac)|(multiple cpu faults)|(system.+state.+changed )|(\[timeout)|(PRM\|1\|D)|(kpr)|(kdp)|(train st.+moving)|(\|lc)|(penalty))"</v>
      </c>
      <c r="AG159" s="182" t="str">
        <f t="shared" si="68"/>
        <v>EC</v>
      </c>
      <c r="AH159" s="78" t="str">
        <f t="shared" si="69"/>
        <v>"%USERPROFILE%\Documents\GitHub\eaglep3\Utilities\RefineRTDCRunTimes.py" --tripid 241-11 --locoid 4010 --swversion DE.1.0.9.0 --startMP 204:540 --initTime 2017-11-11T23:44:11 --startdatetime 2017-11-12T00:00:13 --delay 63 --endMP 204:233272 --enddatetime 2017-11-12T00:35:06 --enforcementcount 0 &gt;&gt;%USERPROFILE%\Documents\GitHub\eaglep3-reporting\EC\2017-11-11-refined-times.txt</v>
      </c>
      <c r="AI159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{"issue":{"subject":"","project_id":79,"tracker_id":40,"status_id":1,"priority_id":2,"assigned_to_id":338,"start_date":"2017-11-12","description":"","custom_fields":[{"id":1,"name":"Subdivision","value":"EC"},{"id":4,"name":"Milepost","value":"23.3272"},{"id":17,"name":"Train ID","value":"241-11"},{"id":16,"name":"Locomotive ID","value":"4010"},{"id":130,"name":"Impact","value":""},{"id":150,"name":"Time of Event (Mountain Time)","value":"00:35:06"},{"id":151,"name":"Denver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71"/>
        <v>start /low /b %USERPROFILE%\Documents\GitHub\eaglep3\Utilities\DownloadLogsFromS3.py --loco 4010 --day 2017-11-12</v>
      </c>
      <c r="AN159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3"/>
        <v>https://d0f6bd738d7f1b3e5a7ca70fe4ff75f0.us-east-1.aws.found.io/app/kibana#/discover/Steve-Slow-Train-Analysis-(2080s-and-2083s)?_g=(refreshInterval:(display:Off,pause:!f,section:0,value:0),time:(from:'2017-11-11T22:44:11-0700',mode:absolute,to:'2017-11-12T01:35:06-0700'))&amp;_a=(columns:!('Message%20ID',Summary),filters:!(),index:'emp_*',interval:auto,query:(query_string:(analyze_wildcard:!t,query:'%22rtdc.l.rtdc.4010%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875</v>
      </c>
      <c r="B160" s="7">
        <v>4009</v>
      </c>
      <c r="C160" s="21" t="s">
        <v>192</v>
      </c>
      <c r="D160" s="21" t="s">
        <v>913</v>
      </c>
      <c r="E160" s="13">
        <v>43051.026099537034</v>
      </c>
      <c r="F160" s="13">
        <v>43051.039780092593</v>
      </c>
      <c r="G160" s="7">
        <v>95</v>
      </c>
      <c r="H160" s="21" t="s">
        <v>1050</v>
      </c>
      <c r="I160" s="13">
        <v>43051.064571759256</v>
      </c>
      <c r="J160" s="7">
        <v>0</v>
      </c>
      <c r="K160" s="89" t="str">
        <f t="shared" si="58"/>
        <v>4009/4010</v>
      </c>
      <c r="L160" s="185" t="str">
        <f>VLOOKUP(A160,'Trips&amp;Operators'!$C$1:$G$99911,5,FALSE)</f>
        <v>ELBAUM MIKE</v>
      </c>
      <c r="M160" s="6">
        <f t="shared" si="59"/>
        <v>2.4791666663077194E-2</v>
      </c>
      <c r="N160" s="7">
        <f>24*60*SUM($M160:$M160)</f>
        <v>35.69999999483116</v>
      </c>
      <c r="O160" s="7"/>
      <c r="P160" s="7"/>
      <c r="Q160" s="22"/>
      <c r="R160" s="174"/>
      <c r="S160" s="221">
        <f t="shared" si="75"/>
        <v>1</v>
      </c>
      <c r="T160" s="174" t="str">
        <f t="shared" si="60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61"/>
        <v>https://d0f6bd738d7f1b3e5a7ca70fe4ff75f0.us-east-1.aws.found.io/app/kibana#/discover/Steve-Slow-Train-Analysis-(2080s-and-2083s)?_g=(refreshInterval:(display:Off,pause:!f,section:0,value:0),time:(from:'2017-11-11T23:37:35-0700',mode:absolute,to:'2017-11-12T02:32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04" t="str">
        <f>IF(AA160&lt;VLOOKUP(AG160,Variables!$AC$3:$AD$8,2,FALSE),"Y","N")</f>
        <v>N</v>
      </c>
      <c r="X160" s="204">
        <f t="shared" si="74"/>
        <v>1</v>
      </c>
      <c r="Y160" s="204">
        <f t="shared" si="62"/>
        <v>23.295100000000001</v>
      </c>
      <c r="Z160" s="204">
        <f t="shared" si="63"/>
        <v>2.7300000000000001E-2</v>
      </c>
      <c r="AA160" s="204">
        <f t="shared" si="64"/>
        <v>23.267800000000001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65"/>
        <v>242</v>
      </c>
      <c r="AE160" s="77" t="str">
        <f t="shared" si="66"/>
        <v>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 &amp; 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</v>
      </c>
      <c r="AF160" s="74" t="str">
        <f t="shared" si="67"/>
        <v>"C:\Program Files (x86)\AstroGrep\AstroGrep.exe" /e /r /s /spath="%USERPROFILE%\AppData\Local\Temp\OnboardLogs" /stypes="app*4009*20171112*" /stext=" 08:.+((SYSTEM_STATE.+slice.+state.+changed )|(ment ac)|(multiple cpu faults)|(system.+state.+changed )|(\[timeout)|(PRM\|1\|D)|(kpr)|(kdp)|(train st.+moving)|(\|lc)|(penalty))"</v>
      </c>
      <c r="AG160" s="182" t="str">
        <f t="shared" si="68"/>
        <v>EC</v>
      </c>
      <c r="AH160" s="78" t="str">
        <f t="shared" si="69"/>
        <v>"%USERPROFILE%\Documents\GitHub\eaglep3\Utilities\RefineRTDCRunTimes.py" --tripid 242-11 --locoid 4009 --swversion DE.1.0.9.0 --startMP 204:232951 --initTime 2017-11-12T00:37:35 --startdatetime 2017-11-12T00:57:17 --delay 95 --endMP 204:273 --enddatetime 2017-11-12T01:32:59 --enforcementcount 0 &gt;&gt;%USERPROFILE%\Documents\GitHub\eaglep3-reporting\EC\2017-11-11-refined-times.txt</v>
      </c>
      <c r="AI160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{"issue":{"subject":"","project_id":79,"tracker_id":40,"status_id":1,"priority_id":2,"assigned_to_id":338,"start_date":"2017-11-12","description":"","custom_fields":[{"id":1,"name":"Subdivision","value":"EC"},{"id":4,"name":"Milepost","value":"0.0273"},{"id":17,"name":"Train ID","value":"242-11"},{"id":16,"name":"Locomotive ID","value":"4009"},{"id":130,"name":"Impact","value":""},{"id":150,"name":"Time of Event (Mountain Time)","value":"01:32:59"},{"id":151,"name":"Denver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4009 --day 2017-11-12</v>
      </c>
      <c r="AN160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08:32:59"},{"id":29,"name":"Sharepoint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3"/>
        <v>https://d0f6bd738d7f1b3e5a7ca70fe4ff75f0.us-east-1.aws.found.io/app/kibana#/discover/Steve-Slow-Train-Analysis-(2080s-and-2083s)?_g=(refreshInterval:(display:Off,pause:!f,section:0,value:0),time:(from:'2017-11-11T23:37:35-0700',mode:absolute,to:'2017-11-12T02:32:59-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873</v>
      </c>
      <c r="B161" s="7">
        <v>4022</v>
      </c>
      <c r="C161" s="21" t="s">
        <v>192</v>
      </c>
      <c r="D161" s="21" t="s">
        <v>1024</v>
      </c>
      <c r="E161" s="13">
        <v>43051.006481481483</v>
      </c>
      <c r="F161" s="13">
        <v>43051.007511574076</v>
      </c>
      <c r="G161" s="7">
        <v>68</v>
      </c>
      <c r="H161" s="21" t="s">
        <v>951</v>
      </c>
      <c r="I161" s="13">
        <v>43051.020937499998</v>
      </c>
      <c r="J161" s="7">
        <v>0</v>
      </c>
      <c r="K161" s="89" t="str">
        <f t="shared" si="58"/>
        <v>4021/4022</v>
      </c>
      <c r="L161" s="185" t="str">
        <f>VLOOKUP(A161,'Trips&amp;Operators'!$C$1:$G$99911,5,FALSE)</f>
        <v>NICHOLSON WESLEY</v>
      </c>
      <c r="M161" s="6">
        <f t="shared" si="59"/>
        <v>1.3425925921183079E-2</v>
      </c>
      <c r="N161" s="7"/>
      <c r="O161" s="7"/>
      <c r="P161" s="7">
        <f>24*60*SUM($M161:$M161)</f>
        <v>19.333333326503634</v>
      </c>
      <c r="Q161" s="22"/>
      <c r="R161" s="174" t="s">
        <v>1090</v>
      </c>
      <c r="S161" s="221">
        <f t="shared" si="75"/>
        <v>0</v>
      </c>
      <c r="T161" s="174" t="str">
        <f t="shared" si="60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216" t="str">
        <f t="shared" si="61"/>
        <v>https://d0f6bd738d7f1b3e5a7ca70fe4ff75f0.us-east-1.aws.found.io/app/kibana#/discover/Steve-Slow-Train-Analysis-(2080s-and-2083s)?_g=(refreshInterval:(display:Off,pause:!f,section:0,value:0),time:(from:'2017-11-11T23:09:20-0700',mode:absolute,to:'2017-11-12T01:30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204" t="str">
        <f>IF(AA161&lt;VLOOKUP(AG161,Variables!$AC$3:$AD$8,2,FALSE),"Y","N")</f>
        <v>Y</v>
      </c>
      <c r="X161" s="204">
        <f t="shared" si="74"/>
        <v>1</v>
      </c>
      <c r="Y161" s="204">
        <f t="shared" si="62"/>
        <v>5.33E-2</v>
      </c>
      <c r="Z161" s="204">
        <f t="shared" si="63"/>
        <v>5.6399999999999999E-2</v>
      </c>
      <c r="AA161" s="204">
        <f t="shared" si="64"/>
        <v>3.0999999999999986E-3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65"/>
        <v>243</v>
      </c>
      <c r="AE161" s="77" t="str">
        <f t="shared" si="66"/>
        <v>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 &amp; aws s3 cp s3://rtdc.mdm.uploadarchive.raw/RTDC4022/ "%USERPROFILE%\AppData\Local\Temp\OnboardLogs"\RTDC4022\2017-11-13 --exclude "*" --recursive --include "*20171113*" &amp; "%USERPROFILE%\Documents\GitHub\mrs-test-scripts\Headless Mode &amp; Sideloading\WalkAndUnGZ.bat" "%USERPROFILE%\AppData\Local\Temp\OnboardLogs"\RTDC4022\2017-11-13</v>
      </c>
      <c r="AF161" s="74" t="str">
        <f t="shared" si="67"/>
        <v>"C:\Program Files (x86)\AstroGrep\AstroGrep.exe" /e /r /s /spath="%USERPROFILE%\AppData\Local\Temp\OnboardLogs" /stypes="app*4022*20171112*" /stext=" 07:.+((SYSTEM_STATE.+slice.+state.+changed )|(ment ac)|(multiple cpu faults)|(system.+state.+changed )|(\[timeout)|(PRM\|1\|D)|(kpr)|(kdp)|(train st.+moving)|(\|lc)|(penalty))"</v>
      </c>
      <c r="AG161" s="182" t="str">
        <f t="shared" si="68"/>
        <v>EC</v>
      </c>
      <c r="AH161" s="78" t="str">
        <f t="shared" si="69"/>
        <v>"%USERPROFILE%\Documents\GitHub\eaglep3\Utilities\RefineRTDCRunTimes.py" --tripid 243-11 --locoid 4022 --swversion DE.1.0.9.0 --startMP 204:533 --initTime 2017-11-12T00:09:20 --startdatetime 2017-11-12T00:10:49 --delay 68 --endMP 204:564 --enddatetime 2017-11-12T00:30:09 --enforcementcount 0 &gt;&gt;%USERPROFILE%\Documents\GitHub\eaglep3-reporting\EC\2017-11-11-refined-times.txt</v>
      </c>
      <c r="AI161" s="96" t="str">
        <f t="shared" si="70"/>
        <v>echo {"issue":{"subject":"Wheel tach sensor issue","project_id":79,"tracker_id":40,"status_id":1,"priority_id":2,"assigned_to_id":338,"start_date":"2017-11-12","description":"","custom_fields":[{"id":1,"name":"Subdivision","value":"EC"},{"id":4,"name":"Milepost","value":"0.0564"},{"id":17,"name":"Train ID","value":"243-11"},{"id":16,"name":"Locomotive ID","value":"4022"},{"id":130,"name":"Impact","value":""},{"id":150,"name":"Time of Event (Mountain Time)","value":"00:30:09"},{"id":151,"name":"Denver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1"/>
        <v>start /low /b %USERPROFILE%\Documents\GitHub\eaglep3\Utilities\DownloadLogsFromS3.py --loco 4022 --day 2017-11-12</v>
      </c>
      <c r="AN161" s="151" t="str">
        <f t="shared" si="72"/>
        <v>echo {"issue":{"subject":"Wheel tach sensor issue","project_id":30,"tracker_id":4,"status_id":1,"priority_id":1,"assigned_to_id":10,"start_date":"2017-11-12","description":"","custom_fields":[{"id":30,"name":"Category","value":"Issue"},{"id":3,"name":"Functional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07:30:09"},{"id":29,"name":"Sharepoint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3"/>
        <v>https://d0f6bd738d7f1b3e5a7ca70fe4ff75f0.us-east-1.aws.found.io/app/kibana#/discover/Steve-Slow-Train-Analysis-(2080s-and-2083s)?_g=(refreshInterval:(display:Off,pause:!f,section:0,value:0),time:(from:'2017-11-11T23:09:20-0700',mode:absolute,to:'2017-11-12T01:30:09-0700'))&amp;_a=(columns:!('Message%20ID',Summary),filters:!(),index:'emp_*',interval:auto,query:(query_string:(analyze_wildcard:!t,query:'%22rtdc.l.rtdc.4022%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878</v>
      </c>
      <c r="B162" s="7">
        <v>4021</v>
      </c>
      <c r="C162" s="21" t="s">
        <v>192</v>
      </c>
      <c r="D162" s="21" t="s">
        <v>1024</v>
      </c>
      <c r="E162" s="13">
        <v>43051.006481481483</v>
      </c>
      <c r="F162" s="13">
        <v>43051.060636574075</v>
      </c>
      <c r="G162" s="7">
        <v>68</v>
      </c>
      <c r="H162" s="21" t="s">
        <v>951</v>
      </c>
      <c r="I162" s="13">
        <v>43051.090231481481</v>
      </c>
      <c r="J162" s="7">
        <v>0</v>
      </c>
      <c r="K162" s="89" t="str">
        <f t="shared" si="58"/>
        <v>4021/4022</v>
      </c>
      <c r="L162" s="185" t="str">
        <f>VLOOKUP(A162,'Trips&amp;Operators'!$C$1:$G$99911,5,FALSE)</f>
        <v>NICHOLSON WESLEY</v>
      </c>
      <c r="M162" s="6">
        <f t="shared" si="59"/>
        <v>2.9594907406135462E-2</v>
      </c>
      <c r="N162" s="7">
        <f t="shared" ref="N162:N167" si="76">24*60*SUM($M162:$M162)</f>
        <v>42.616666664835066</v>
      </c>
      <c r="O162" s="7"/>
      <c r="P162" s="7"/>
      <c r="Q162" s="22"/>
      <c r="R162" s="174"/>
      <c r="S162" s="221">
        <f t="shared" si="75"/>
        <v>1</v>
      </c>
      <c r="T162" s="174" t="str">
        <f t="shared" si="60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6" t="str">
        <f t="shared" si="61"/>
        <v>https://d0f6bd738d7f1b3e5a7ca70fe4ff75f0.us-east-1.aws.found.io/app/kibana#/discover/Steve-Slow-Train-Analysis-(2080s-and-2083s)?_g=(refreshInterval:(display:Off,pause:!f,section:0,value:0),time:(from:'2017-11-11T23:09:20-0700',mode:absolute,to:'2017-11-12T03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204" t="str">
        <f>IF(AA162&lt;VLOOKUP(AG162,Variables!$AC$3:$AD$8,2,FALSE),"Y","N")</f>
        <v>N</v>
      </c>
      <c r="X162" s="204">
        <f t="shared" si="74"/>
        <v>1</v>
      </c>
      <c r="Y162" s="204">
        <v>23.295100000000001</v>
      </c>
      <c r="Z162" s="204">
        <v>2.7300000000000001E-2</v>
      </c>
      <c r="AA162" s="204">
        <f t="shared" si="64"/>
        <v>23.267800000000001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65"/>
        <v>244</v>
      </c>
      <c r="AE162" s="77" t="str">
        <f t="shared" si="66"/>
        <v>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 &amp; aws s3 cp s3://rtdc.mdm.uploadarchive.raw/RTDC4021/ "%USERPROFILE%\AppData\Local\Temp\OnboardLogs"\RTDC4021\2017-11-13 --exclude "*" --recursive --include "*20171113*" &amp; "%USERPROFILE%\Documents\GitHub\mrs-test-scripts\Headless Mode &amp; Sideloading\WalkAndUnGZ.bat" "%USERPROFILE%\AppData\Local\Temp\OnboardLogs"\RTDC4021\2017-11-13</v>
      </c>
      <c r="AF162" s="74" t="str">
        <f t="shared" si="67"/>
        <v>"C:\Program Files (x86)\AstroGrep\AstroGrep.exe" /e /r /s /spath="%USERPROFILE%\AppData\Local\Temp\OnboardLogs" /stypes="app*4021*20171112*" /stext=" 09:.+((SYSTEM_STATE.+slice.+state.+changed )|(ment ac)|(multiple cpu faults)|(system.+state.+changed )|(\[timeout)|(PRM\|1\|D)|(kpr)|(kdp)|(train st.+moving)|(\|lc)|(penalty))"</v>
      </c>
      <c r="AG162" s="182" t="str">
        <f t="shared" si="68"/>
        <v>EC</v>
      </c>
      <c r="AH162" s="78" t="str">
        <f t="shared" ref="AH162" si="77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244-11 --locoid 4021 --swversion DE.1.0.9.0 --startMP 204:533 --initTime 2017-11-12T00:09:20 --startdatetime 2017-11-12T01:27:19 --delay 68 --endMP 204:564 --enddatetime 2017-11-12T02:09:56 --enforcementcount 0 &gt;&gt;%USERPROFILE%\Documents\GitHub\eaglep3-reporting\EC\2017-11-11-refined-times.txt</v>
      </c>
      <c r="AI162" s="96" t="str">
        <f t="shared" ref="AI162" si="78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{"issue":{"subject":"","project_id":79,"tracker_id":40,"status_id":1,"priority_id":2,"assigned_to_id":338,"start_date":"2017-11-12","description":"","custom_fields":[{"id":1,"name":"Subdivision","value":"EC"},{"id":4,"name":"Milepost","value":"0.0273"},{"id":17,"name":"Train ID","value":"244-11"},{"id":16,"name":"Locomotive ID","value":"4021"},{"id":130,"name":"Impact","value":""},{"id":150,"name":"Time of Event (Mountain Time)","value":"02:09:56"},{"id":151,"name":"Denver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ref="AM162" si="79">"start /low /b "&amp;dls3logs&amp;" --loco "&amp;B162&amp;" --day "&amp;TEXT(F162,"YYYY-MM-DD")</f>
        <v>start /low /b %USERPROFILE%\Documents\GitHub\eaglep3\Utilities\DownloadLogsFromS3.py --loco 4021 --day 2017-11-12</v>
      </c>
      <c r="AN162" s="151" t="str">
        <f t="shared" ref="AN162" si="80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09:09:56"},{"id":29,"name":"Sharepoint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ref="AO162" si="81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-11T23:09:20-0700',mode:absolute,to:'2017-11-12T03:09:56-0700'))&amp;_a=(columns:!('Message%20ID',Summary),filters:!(),index:'emp_*',interval:auto,query:(query_string:(analyze_wildcard:!t,query:'%22rtdc.l.rtdc.4021%22')),sort:!(Time.ISO8601,asc))</v>
      </c>
    </row>
    <row r="163" spans="1:91" s="20" customFormat="1" x14ac:dyDescent="0.25">
      <c r="A163" s="32" t="s">
        <v>876</v>
      </c>
      <c r="B163" s="7">
        <v>4044</v>
      </c>
      <c r="C163" s="21" t="s">
        <v>192</v>
      </c>
      <c r="D163" s="21" t="s">
        <v>641</v>
      </c>
      <c r="E163" s="13">
        <v>43051.028067129628</v>
      </c>
      <c r="F163" s="13">
        <v>43051.042118055557</v>
      </c>
      <c r="G163" s="7">
        <v>56</v>
      </c>
      <c r="H163" s="21" t="s">
        <v>450</v>
      </c>
      <c r="I163" s="13">
        <v>43051.066377314812</v>
      </c>
      <c r="J163" s="7">
        <v>0</v>
      </c>
      <c r="K163" s="89" t="str">
        <f t="shared" si="58"/>
        <v>4043/4044</v>
      </c>
      <c r="L163" s="185" t="str">
        <f>VLOOKUP(A163,'Trips&amp;Operators'!$C$1:$G$99911,5,FALSE)</f>
        <v>ANDERS STEVEN</v>
      </c>
      <c r="M163" s="6">
        <f t="shared" si="59"/>
        <v>2.4259259254904464E-2</v>
      </c>
      <c r="N163" s="7">
        <f t="shared" si="76"/>
        <v>34.933333327062428</v>
      </c>
      <c r="O163" s="7"/>
      <c r="P163" s="7"/>
      <c r="Q163" s="22"/>
      <c r="R163" s="174"/>
      <c r="S163" s="221">
        <f t="shared" si="75"/>
        <v>1</v>
      </c>
      <c r="T163" s="174" t="str">
        <f t="shared" si="60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6" t="str">
        <f t="shared" si="61"/>
        <v>https://d0f6bd738d7f1b3e5a7ca70fe4ff75f0.us-east-1.aws.found.io/app/kibana#/discover/Steve-Slow-Train-Analysis-(2080s-and-2083s)?_g=(refreshInterval:(display:Off,pause:!f,section:0,value:0),time:(from:'2017-11-11T23:40:25-0700',mode:absolute,to:'2017-11-12T02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04" t="str">
        <f>IF(AA163&lt;VLOOKUP(AG163,Variables!$AC$3:$AD$8,2,FALSE),"Y","N")</f>
        <v>N</v>
      </c>
      <c r="X163" s="204">
        <f t="shared" si="74"/>
        <v>1</v>
      </c>
      <c r="Y163" s="204">
        <f t="shared" ref="Y163:Y194" si="82">RIGHT(D163,LEN(D163)-4)/10000</f>
        <v>4.9799999999999997E-2</v>
      </c>
      <c r="Z163" s="204">
        <f t="shared" ref="Z163:Z194" si="83">RIGHT(H163,LEN(H163)-4)/10000</f>
        <v>23.325700000000001</v>
      </c>
      <c r="AA163" s="204">
        <f t="shared" si="64"/>
        <v>23.2759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65"/>
        <v>245</v>
      </c>
      <c r="AE163" s="77" t="str">
        <f t="shared" si="66"/>
        <v>aws s3 cp s3://rtdc.mdm.uploadarchive.raw/RTDC4044/ "%USERPROFILE%\AppData\Local\Temp\OnboardLogs"\RTDC4044\2017-11-12 --exclude "*" --recursive --include "*20171112*" &amp; "%USERPROFILE%\Documents\GitHub\mrs-test-scripts\Headless Mode &amp; Sideloading\WalkAndUnGZ.bat" "%USERPROFILE%\AppData\Local\Temp\OnboardLogs"\RTDC4044\2017-11-12 &amp; aws s3 cp s3://rtdc.mdm.uploadarchive.raw/RTDC4044/ "%USERPROFILE%\AppData\Local\Temp\OnboardLogs"\RTDC4044\2017-11-13 --exclude "*" --recursive --include "*20171113*" &amp; "%USERPROFILE%\Documents\GitHub\mrs-test-scripts\Headless Mode &amp; Sideloading\WalkAndUnGZ.bat" "%USERPROFILE%\AppData\Local\Temp\OnboardLogs"\RTDC4044\2017-11-13</v>
      </c>
      <c r="AF163" s="74" t="str">
        <f t="shared" si="67"/>
        <v>"C:\Program Files (x86)\AstroGrep\AstroGrep.exe" /e /r /s /spath="%USERPROFILE%\AppData\Local\Temp\OnboardLogs" /stypes="app*4044*20171112*" /stext=" 08:.+((SYSTEM_STATE.+slice.+state.+changed )|(ment ac)|(multiple cpu faults)|(system.+state.+changed )|(\[timeout)|(PRM\|1\|D)|(kpr)|(kdp)|(train st.+moving)|(\|lc)|(penalty))"</v>
      </c>
      <c r="AG163" s="182" t="str">
        <f t="shared" si="68"/>
        <v>EC</v>
      </c>
      <c r="AH163" s="78" t="str">
        <f t="shared" si="69"/>
        <v>"%USERPROFILE%\Documents\GitHub\eaglep3\Utilities\RefineRTDCRunTimes.py" --tripid 245-11 --locoid 4044 --swversion DE.1.0.9.0 --startMP 204:498 --initTime 2017-11-12T00:40:25 --startdatetime 2017-11-12T01:00:39 --delay 56 --endMP 204:233257 --enddatetime 2017-11-12T01:35:35 --enforcementcount 0 &gt;&gt;%USERPROFILE%\Documents\GitHub\eaglep3-reporting\EC\2017-11-11-refined-times.txt</v>
      </c>
      <c r="AI163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{"issue":{"subject":"","project_id":79,"tracker_id":40,"status_id":1,"priority_id":2,"assigned_to_id":338,"start_date":"2017-11-12","description":"","custom_fields":[{"id":1,"name":"Subdivision","value":"EC"},{"id":4,"name":"Milepost","value":"23.3257"},{"id":17,"name":"Train ID","value":"245-11"},{"id":16,"name":"Locomotive ID","value":"4044"},{"id":130,"name":"Impact","value":""},{"id":150,"name":"Time of Event (Mountain Time)","value":"01:35:35"},{"id":151,"name":"Denver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4044 --day 2017-11-12</v>
      </c>
      <c r="AN163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08:35:35"},{"id":29,"name":"Sharepoint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3"/>
        <v>https://d0f6bd738d7f1b3e5a7ca70fe4ff75f0.us-east-1.aws.found.io/app/kibana#/discover/Steve-Slow-Train-Analysis-(2080s-and-2083s)?_g=(refreshInterval:(display:Off,pause:!f,section:0,value:0),time:(from:'2017-11-11T23:40:25-0700',mode:absolute,to:'2017-11-12T02:35:35-0700'))&amp;_a=(columns:!('Message%20ID',Summary),filters:!(),index:'emp_*',interval:auto,query:(query_string:(analyze_wildcard:!t,query:'%22rtdc.l.rtdc.4044%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880</v>
      </c>
      <c r="B164" s="7">
        <v>4043</v>
      </c>
      <c r="C164" s="21" t="s">
        <v>192</v>
      </c>
      <c r="D164" s="21" t="s">
        <v>612</v>
      </c>
      <c r="E164" s="13">
        <v>43051.069108796299</v>
      </c>
      <c r="F164" s="13">
        <v>43051.081631944442</v>
      </c>
      <c r="G164" s="7">
        <v>324</v>
      </c>
      <c r="H164" s="21" t="s">
        <v>622</v>
      </c>
      <c r="I164" s="13">
        <v>43051.107499999998</v>
      </c>
      <c r="J164" s="7">
        <v>0</v>
      </c>
      <c r="K164" s="89" t="str">
        <f t="shared" si="58"/>
        <v>4043/4044</v>
      </c>
      <c r="L164" s="185" t="str">
        <f>VLOOKUP(A164,'Trips&amp;Operators'!$C$1:$G$99911,5,FALSE)</f>
        <v>ANDERS STEVEN</v>
      </c>
      <c r="M164" s="6">
        <f t="shared" si="59"/>
        <v>2.5868055556202307E-2</v>
      </c>
      <c r="N164" s="7">
        <f t="shared" si="76"/>
        <v>37.250000000931323</v>
      </c>
      <c r="O164" s="7"/>
      <c r="P164" s="7"/>
      <c r="Q164" s="22"/>
      <c r="R164" s="174"/>
      <c r="S164" s="221">
        <f t="shared" si="75"/>
        <v>1</v>
      </c>
      <c r="T164" s="174" t="str">
        <f t="shared" si="60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16" t="str">
        <f t="shared" si="61"/>
        <v>https://d0f6bd738d7f1b3e5a7ca70fe4ff75f0.us-east-1.aws.found.io/app/kibana#/discover/Steve-Slow-Train-Analysis-(2080s-and-2083s)?_g=(refreshInterval:(display:Off,pause:!f,section:0,value:0),time:(from:'2017-11-12T00:39:31-0700',mode:absolute,to:'2017-11-12T03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04" t="str">
        <f>IF(AA164&lt;VLOOKUP(AG164,Variables!$AC$3:$AD$8,2,FALSE),"Y","N")</f>
        <v>N</v>
      </c>
      <c r="X164" s="204">
        <f t="shared" si="74"/>
        <v>1</v>
      </c>
      <c r="Y164" s="204">
        <f t="shared" si="82"/>
        <v>23.294</v>
      </c>
      <c r="Z164" s="204">
        <f t="shared" si="83"/>
        <v>2.3599999999999999E-2</v>
      </c>
      <c r="AA164" s="204">
        <f t="shared" si="64"/>
        <v>23.270400000000002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65"/>
        <v>246</v>
      </c>
      <c r="AE164" s="77" t="str">
        <f t="shared" si="66"/>
        <v>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 &amp; aws s3 cp s3://rtdc.mdm.uploadarchive.raw/RTDC4043/ "%USERPROFILE%\AppData\Local\Temp\OnboardLogs"\RTDC4043\2017-11-13 --exclude "*" --recursive --include "*20171113*" &amp; "%USERPROFILE%\Documents\GitHub\mrs-test-scripts\Headless Mode &amp; Sideloading\WalkAndUnGZ.bat" "%USERPROFILE%\AppData\Local\Temp\OnboardLogs"\RTDC4043\2017-11-13</v>
      </c>
      <c r="AF164" s="74" t="str">
        <f t="shared" si="67"/>
        <v>"C:\Program Files (x86)\AstroGrep\AstroGrep.exe" /e /r /s /spath="%USERPROFILE%\AppData\Local\Temp\OnboardLogs" /stypes="app*4043*20171112*" /stext=" 09:.+((SYSTEM_STATE.+slice.+state.+changed )|(ment ac)|(multiple cpu faults)|(system.+state.+changed )|(\[timeout)|(PRM\|1\|D)|(kpr)|(kdp)|(train st.+moving)|(\|lc)|(penalty))"</v>
      </c>
      <c r="AG164" s="182" t="str">
        <f t="shared" si="68"/>
        <v>EC</v>
      </c>
      <c r="AH164" s="78" t="str">
        <f t="shared" si="69"/>
        <v>"%USERPROFILE%\Documents\GitHub\eaglep3\Utilities\RefineRTDCRunTimes.py" --tripid 246-11 --locoid 4043 --swversion DE.1.0.9.0 --startMP 204:232940 --initTime 2017-11-12T01:39:31 --startdatetime 2017-11-12T01:57:33 --delay 324 --endMP 204:236 --enddatetime 2017-11-12T02:34:48 --enforcementcount 0 &gt;&gt;%USERPROFILE%\Documents\GitHub\eaglep3-reporting\EC\2017-11-11-refined-times.txt</v>
      </c>
      <c r="AI164" s="96" t="str">
        <f t="shared" si="70"/>
        <v>echo {"issue":{"subject":"","project_id":79,"tracker_id":40,"status_id":1,"priority_id":2,"assigned_to_id":338,"start_date":"2017-11-12","description":"","custom_fields":[{"id":1,"name":"Subdivision","value":"EC"},{"id":4,"name":"Milepost","value":"0.0236"},{"id":17,"name":"Train ID","value":"246-11"},{"id":16,"name":"Locomotive ID","value":"4043"},{"id":130,"name":"Impact","value":""},{"id":150,"name":"Time of Event (Mountain Time)","value":"02:34:48"},{"id":151,"name":"Denver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1"/>
        <v>start /low /b %USERPROFILE%\Documents\GitHub\eaglep3\Utilities\DownloadLogsFromS3.py --loco 4043 --day 2017-11-12</v>
      </c>
      <c r="AN164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09:34:48"},{"id":29,"name":"Sharepoint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3"/>
        <v>https://d0f6bd738d7f1b3e5a7ca70fe4ff75f0.us-east-1.aws.found.io/app/kibana#/discover/Steve-Slow-Train-Analysis-(2080s-and-2083s)?_g=(refreshInterval:(display:Off,pause:!f,section:0,value:0),time:(from:'2017-11-12T00:39:31-0700',mode:absolute,to:'2017-11-12T03:34:48-0700'))&amp;_a=(columns:!('Message%20ID',Summary),filters:!(),index:'emp_*',interval:auto,query:(query_string:(analyze_wildcard:!t,query:'%22rtdc.l.rtdc.4043%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723</v>
      </c>
      <c r="B165" s="7">
        <v>4005</v>
      </c>
      <c r="C165" s="21" t="s">
        <v>192</v>
      </c>
      <c r="D165" s="21" t="s">
        <v>962</v>
      </c>
      <c r="E165" s="13">
        <v>43050.235034722224</v>
      </c>
      <c r="F165" s="13">
        <v>43050.23673611111</v>
      </c>
      <c r="G165" s="7">
        <v>74</v>
      </c>
      <c r="H165" s="21" t="s">
        <v>654</v>
      </c>
      <c r="I165" s="13">
        <v>43050.246516203704</v>
      </c>
      <c r="J165" s="7">
        <v>0</v>
      </c>
      <c r="K165" s="89" t="str">
        <f t="shared" si="58"/>
        <v>4005/4006</v>
      </c>
      <c r="L165" s="185" t="str">
        <f>VLOOKUP(A165,'Trips&amp;Operators'!$C$1:$G$99911,5,FALSE)</f>
        <v>LAMAR NEKESHA</v>
      </c>
      <c r="M165" s="6">
        <f t="shared" si="59"/>
        <v>9.7800925941555761E-3</v>
      </c>
      <c r="N165" s="7">
        <f t="shared" si="76"/>
        <v>14.08333333558403</v>
      </c>
      <c r="O165" s="7"/>
      <c r="P165" s="7"/>
      <c r="Q165" s="22"/>
      <c r="R165" s="174"/>
      <c r="S165" s="221">
        <f t="shared" si="75"/>
        <v>1</v>
      </c>
      <c r="T165" s="174" t="str">
        <f t="shared" si="60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1"/>
        <v>https://d0f6bd738d7f1b3e5a7ca70fe4ff75f0.us-east-1.aws.found.io/app/kibana#/discover/Steve-Slow-Train-Analysis-(2080s-and-2083s)?_g=(refreshInterval:(display:Off,pause:!f,section:0,value:0),time:(from:'2017-11-11T04:38:27-0700',mode:absolute,to:'2017-11-11T06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204" t="str">
        <f>IF(AA165&lt;VLOOKUP(AG165,Variables!$AC$3:$AD$8,2,FALSE),"Y","N")</f>
        <v>N</v>
      </c>
      <c r="X165" s="204">
        <f t="shared" si="74"/>
        <v>1554</v>
      </c>
      <c r="Y165" s="204">
        <f t="shared" si="82"/>
        <v>5.8673999999999999</v>
      </c>
      <c r="Z165" s="204">
        <f t="shared" si="83"/>
        <v>6.7500000000000004E-2</v>
      </c>
      <c r="AA165" s="204">
        <f t="shared" si="64"/>
        <v>5.7999000000000001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65"/>
        <v>1800</v>
      </c>
      <c r="AE165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65" s="74" t="str">
        <f t="shared" si="67"/>
        <v>"C:\Program Files (x86)\AstroGrep\AstroGrep.exe" /e /r /s /spath="%USERPROFILE%\AppData\Local\Temp\OnboardLogs" /stypes="app*4005*20171111*" /stext=" 12:.+((SYSTEM_STATE.+slice.+state.+changed )|(ment ac)|(multiple cpu faults)|(system.+state.+changed )|(\[timeout)|(PRM\|1\|D)|(kpr)|(kdp)|(train st.+moving)|(\|lc)|(penalty))"</v>
      </c>
      <c r="AG165" s="182" t="str">
        <f t="shared" si="68"/>
        <v>NW</v>
      </c>
      <c r="AH165" s="78" t="str">
        <f t="shared" si="69"/>
        <v>"%USERPROFILE%\Documents\GitHub\eaglep3\Utilities\RefineRTDCRunTimes.py" --tripid 1800-11 --locoid 4005 --swversion DE.1.0.9.0 --startMP 300:58674 --initTime 2017-11-11T05:38:27 --startdatetime 2017-11-11T05:40:54 --delay 74 --endMP 204:675 --enddatetime 2017-11-11T05:54:59 --enforcementcount 0 &gt;&gt;%USERPROFILE%\Documents\GitHub\eaglep3-reporting\EC\2017-11-11-refined-times.txt</v>
      </c>
      <c r="AI165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{"issue":{"subject":"","project_id":79,"tracker_id":40,"status_id":1,"priority_id":2,"assigned_to_id":338,"start_date":"2017-11-11","description":"","custom_fields":[{"id":1,"name":"Subdivision","value":"NW"},{"id":4,"name":"Milepost","value":"0.0675"},{"id":17,"name":"Train ID","value":"1800-11"},{"id":16,"name":"Locomotive ID","value":"4005"},{"id":130,"name":"Impact","value":""},{"id":150,"name":"Time of Event (Mountain Time)","value":"05:54:59"},{"id":151,"name":"Denver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1"/>
        <v>start /low /b %USERPROFILE%\Documents\GitHub\eaglep3\Utilities\DownloadLogsFromS3.py --loco 4005 --day 2017-11-11</v>
      </c>
      <c r="AN165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3"/>
        <v>https://d0f6bd738d7f1b3e5a7ca70fe4ff75f0.us-east-1.aws.found.io/app/kibana#/discover/Steve-Slow-Train-Analysis-(2080s-and-2083s)?_g=(refreshInterval:(display:Off,pause:!f,section:0,value:0),time:(from:'2017-11-11T04:38:27-0700',mode:absolute,to:'2017-11-11T06:54:59-0700'))&amp;_a=(columns:!('Message%20ID',Summary),filters:!(),index:'emp_*',interval:auto,query:(query_string:(analyze_wildcard:!t,query:'%22rtdc.l.rtdc.4005%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662</v>
      </c>
      <c r="B166" s="7">
        <v>4006</v>
      </c>
      <c r="C166" s="21" t="s">
        <v>192</v>
      </c>
      <c r="D166" s="21" t="s">
        <v>963</v>
      </c>
      <c r="E166" s="13">
        <v>43050.254120370373</v>
      </c>
      <c r="F166" s="13">
        <v>43050.256458333337</v>
      </c>
      <c r="G166" s="7">
        <v>63</v>
      </c>
      <c r="H166" s="21" t="s">
        <v>964</v>
      </c>
      <c r="I166" s="13">
        <v>43050.2656712963</v>
      </c>
      <c r="J166" s="7">
        <v>0</v>
      </c>
      <c r="K166" s="89" t="str">
        <f t="shared" si="58"/>
        <v>4005/4006</v>
      </c>
      <c r="L166" s="185" t="str">
        <f>VLOOKUP(A166,'Trips&amp;Operators'!$C$1:$G$99911,5,FALSE)</f>
        <v>LAMAR NEKESHA</v>
      </c>
      <c r="M166" s="6">
        <f t="shared" si="59"/>
        <v>9.2129629629198462E-3</v>
      </c>
      <c r="N166" s="7">
        <f t="shared" si="76"/>
        <v>13.266666666604578</v>
      </c>
      <c r="O166" s="7"/>
      <c r="P166" s="7"/>
      <c r="Q166" s="22"/>
      <c r="R166" s="174"/>
      <c r="S166" s="221">
        <f t="shared" si="75"/>
        <v>1</v>
      </c>
      <c r="T166" s="174" t="str">
        <f t="shared" si="60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1"/>
        <v>https://d0f6bd738d7f1b3e5a7ca70fe4ff75f0.us-east-1.aws.found.io/app/kibana#/discover/Steve-Slow-Train-Analysis-(2080s-and-2083s)?_g=(refreshInterval:(display:Off,pause:!f,section:0,value:0),time:(from:'2017-11-11T05:05:56-0700',mode:absolute,to:'2017-11-11T07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204" t="str">
        <f>IF(AA166&lt;VLOOKUP(AG166,Variables!$AC$3:$AD$8,2,FALSE),"Y","N")</f>
        <v>N</v>
      </c>
      <c r="X166" s="204">
        <f t="shared" si="74"/>
        <v>1</v>
      </c>
      <c r="Y166" s="204">
        <f t="shared" si="82"/>
        <v>9.7199999999999995E-2</v>
      </c>
      <c r="Z166" s="204">
        <f t="shared" si="83"/>
        <v>5.8986000000000001</v>
      </c>
      <c r="AA166" s="204">
        <f t="shared" si="64"/>
        <v>5.8014000000000001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65"/>
        <v>1801</v>
      </c>
      <c r="AE166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66" s="74" t="str">
        <f t="shared" si="67"/>
        <v>"C:\Program Files (x86)\AstroGrep\AstroGrep.exe" /e /r /s /spath="%USERPROFILE%\AppData\Local\Temp\OnboardLogs" /stypes="app*4006*20171111*" /stext=" 13:.+((SYSTEM_STATE.+slice.+state.+changed )|(ment ac)|(multiple cpu faults)|(system.+state.+changed )|(\[timeout)|(PRM\|1\|D)|(kpr)|(kdp)|(train st.+moving)|(\|lc)|(penalty))"</v>
      </c>
      <c r="AG166" s="182" t="str">
        <f t="shared" si="68"/>
        <v>NW</v>
      </c>
      <c r="AH166" s="78" t="str">
        <f t="shared" si="69"/>
        <v>"%USERPROFILE%\Documents\GitHub\eaglep3\Utilities\RefineRTDCRunTimes.py" --tripid 1801-11 --locoid 4006 --swversion DE.1.0.9.0 --startMP 204:972 --initTime 2017-11-11T06:05:56 --startdatetime 2017-11-11T06:09:18 --delay 63 --endMP 300:58986 --enddatetime 2017-11-11T06:22:34 --enforcementcount 0 &gt;&gt;%USERPROFILE%\Documents\GitHub\eaglep3-reporting\EC\2017-11-11-refined-times.txt</v>
      </c>
      <c r="AI166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{"issue":{"subject":"","project_id":79,"tracker_id":40,"status_id":1,"priority_id":2,"assigned_to_id":338,"start_date":"2017-11-11","description":"","custom_fields":[{"id":1,"name":"Subdivision","value":"NW"},{"id":4,"name":"Milepost","value":"5.8986"},{"id":17,"name":"Train ID","value":"1801-11"},{"id":16,"name":"Locomotive ID","value":"4006"},{"id":130,"name":"Impact","value":""},{"id":150,"name":"Time of Event (Mountain Time)","value":"06:22:34"},{"id":151,"name":"Denver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4006 --day 2017-11-11</v>
      </c>
      <c r="AN166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3"/>
        <v>https://d0f6bd738d7f1b3e5a7ca70fe4ff75f0.us-east-1.aws.found.io/app/kibana#/discover/Steve-Slow-Train-Analysis-(2080s-and-2083s)?_g=(refreshInterval:(display:Off,pause:!f,section:0,value:0),time:(from:'2017-11-11T05:05:56-0700',mode:absolute,to:'2017-11-11T07:22:34-0700'))&amp;_a=(columns:!('Message%20ID',Summary),filters:!(),index:'emp_*',interval:auto,query:(query_string:(analyze_wildcard:!t,query:'%22rtdc.l.rtdc.4006%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666</v>
      </c>
      <c r="B167" s="7">
        <v>4005</v>
      </c>
      <c r="C167" s="21" t="s">
        <v>192</v>
      </c>
      <c r="D167" s="21" t="s">
        <v>477</v>
      </c>
      <c r="E167" s="13">
        <v>43050.267280092594</v>
      </c>
      <c r="F167" s="13">
        <v>43050.279166666667</v>
      </c>
      <c r="G167" s="7">
        <v>61</v>
      </c>
      <c r="H167" s="21" t="s">
        <v>965</v>
      </c>
      <c r="I167" s="13">
        <v>43050.28802083333</v>
      </c>
      <c r="J167" s="7">
        <v>0</v>
      </c>
      <c r="K167" s="89" t="str">
        <f t="shared" si="58"/>
        <v>4005/4006</v>
      </c>
      <c r="L167" s="185" t="str">
        <f>VLOOKUP(A167,'Trips&amp;Operators'!$C$1:$G$99911,5,FALSE)</f>
        <v>LAMAR NEKESHA</v>
      </c>
      <c r="M167" s="6">
        <f t="shared" si="59"/>
        <v>8.8541666627861559E-3</v>
      </c>
      <c r="N167" s="7">
        <f t="shared" si="76"/>
        <v>12.749999994412065</v>
      </c>
      <c r="O167" s="7"/>
      <c r="P167" s="7"/>
      <c r="Q167" s="22"/>
      <c r="R167" s="174"/>
      <c r="S167" s="221">
        <f t="shared" si="75"/>
        <v>1</v>
      </c>
      <c r="T167" s="174" t="str">
        <f t="shared" si="60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1"/>
        <v>https://d0f6bd738d7f1b3e5a7ca70fe4ff75f0.us-east-1.aws.found.io/app/kibana#/discover/Steve-Slow-Train-Analysis-(2080s-and-2083s)?_g=(refreshInterval:(display:Off,pause:!f,section:0,value:0),time:(from:'2017-11-11T05:24:53-0700',mode:absolute,to:'2017-11-11T07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204" t="str">
        <f>IF(AA167&lt;VLOOKUP(AG167,Variables!$AC$3:$AD$8,2,FALSE),"Y","N")</f>
        <v>N</v>
      </c>
      <c r="X167" s="204">
        <f t="shared" si="74"/>
        <v>1</v>
      </c>
      <c r="Y167" s="204">
        <f t="shared" si="82"/>
        <v>5.8666</v>
      </c>
      <c r="Z167" s="204">
        <f t="shared" si="83"/>
        <v>6.6600000000000006E-2</v>
      </c>
      <c r="AA167" s="204">
        <f t="shared" si="64"/>
        <v>5.8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65"/>
        <v>1802</v>
      </c>
      <c r="AE167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67" s="74" t="str">
        <f t="shared" si="67"/>
        <v>"C:\Program Files (x86)\AstroGrep\AstroGrep.exe" /e /r /s /spath="%USERPROFILE%\AppData\Local\Temp\OnboardLogs" /stypes="app*4005*20171111*" /stext=" 13:.+((SYSTEM_STATE.+slice.+state.+changed )|(ment ac)|(multiple cpu faults)|(system.+state.+changed )|(\[timeout)|(PRM\|1\|D)|(kpr)|(kdp)|(train st.+moving)|(\|lc)|(penalty))"</v>
      </c>
      <c r="AG167" s="182" t="str">
        <f t="shared" si="68"/>
        <v>NW</v>
      </c>
      <c r="AH167" s="78" t="str">
        <f t="shared" si="69"/>
        <v>"%USERPROFILE%\Documents\GitHub\eaglep3\Utilities\RefineRTDCRunTimes.py" --tripid 1802-11 --locoid 4005 --swversion DE.1.0.9.0 --startMP 300:58666 --initTime 2017-11-11T06:24:53 --startdatetime 2017-11-11T06:42:00 --delay 61 --endMP 204:666 --enddatetime 2017-11-11T06:54:45 --enforcementcount 0 &gt;&gt;%USERPROFILE%\Documents\GitHub\eaglep3-reporting\EC\2017-11-11-refined-times.txt</v>
      </c>
      <c r="AI167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{"issue":{"subject":"","project_id":79,"tracker_id":40,"status_id":1,"priority_id":2,"assigned_to_id":338,"start_date":"2017-11-11","description":"","custom_fields":[{"id":1,"name":"Subdivision","value":"NW"},{"id":4,"name":"Milepost","value":"0.0666"},{"id":17,"name":"Train ID","value":"1802-11"},{"id":16,"name":"Locomotive ID","value":"4005"},{"id":130,"name":"Impact","value":""},{"id":150,"name":"Time of Event (Mountain Time)","value":"06:54:45"},{"id":151,"name":"Denver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4005 --day 2017-11-11</v>
      </c>
      <c r="AN167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13:54:45"},{"id":29,"name":"Sharepoint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3"/>
        <v>https://d0f6bd738d7f1b3e5a7ca70fe4ff75f0.us-east-1.aws.found.io/app/kibana#/discover/Steve-Slow-Train-Analysis-(2080s-and-2083s)?_g=(refreshInterval:(display:Off,pause:!f,section:0,value:0),time:(from:'2017-11-11T05:24:53-0700',mode:absolute,to:'2017-11-11T07:54:45-0700'))&amp;_a=(columns:!('Message%20ID',Summary),filters:!(),index:'emp_*',interval:auto,query:(query_string:(analyze_wildcard:!t,query:'%22rtdc.l.rtdc.4005%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667</v>
      </c>
      <c r="B168" s="7">
        <v>4006</v>
      </c>
      <c r="C168" s="21" t="s">
        <v>192</v>
      </c>
      <c r="D168" s="21" t="s">
        <v>966</v>
      </c>
      <c r="E168" s="13">
        <v>43050.297395833331</v>
      </c>
      <c r="F168" s="13">
        <v>43050.298807870371</v>
      </c>
      <c r="G168" s="7">
        <v>54</v>
      </c>
      <c r="H168" s="21" t="s">
        <v>967</v>
      </c>
      <c r="I168" s="13">
        <v>43050.29891203704</v>
      </c>
      <c r="J168" s="7">
        <v>0</v>
      </c>
      <c r="K168" s="89" t="str">
        <f t="shared" si="58"/>
        <v>4005/4006</v>
      </c>
      <c r="L168" s="185" t="str">
        <f>VLOOKUP(A168,'Trips&amp;Operators'!$C$1:$G$99911,5,FALSE)</f>
        <v>LAMAR NEKESHA</v>
      </c>
      <c r="M168" s="6">
        <f t="shared" si="59"/>
        <v>1.0416666918899864E-4</v>
      </c>
      <c r="N168" s="7"/>
      <c r="O168" s="7"/>
      <c r="P168" s="7">
        <v>1</v>
      </c>
      <c r="Q168" s="22"/>
      <c r="R168" s="174" t="s">
        <v>655</v>
      </c>
      <c r="S168" s="221">
        <f t="shared" si="75"/>
        <v>0</v>
      </c>
      <c r="T168" s="174" t="str">
        <f t="shared" si="60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216" t="str">
        <f t="shared" si="61"/>
        <v>https://d0f6bd738d7f1b3e5a7ca70fe4ff75f0.us-east-1.aws.found.io/app/kibana#/discover/Steve-Slow-Train-Analysis-(2080s-and-2083s)?_g=(refreshInterval:(display:Off,pause:!f,section:0,value:0),time:(from:'2017-11-11T06:08:15-0700',mode:absolute,to:'2017-11-11T08:10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204" t="str">
        <f>IF(AA168&lt;VLOOKUP(AG168,Variables!$AC$3:$AD$8,2,FALSE),"Y","N")</f>
        <v>Y</v>
      </c>
      <c r="X168" s="204">
        <f t="shared" si="74"/>
        <v>1</v>
      </c>
      <c r="Y168" s="204">
        <f t="shared" si="82"/>
        <v>0.15740000000000001</v>
      </c>
      <c r="Z168" s="204">
        <f t="shared" si="83"/>
        <v>0.1875</v>
      </c>
      <c r="AA168" s="204">
        <f t="shared" si="64"/>
        <v>3.0099999999999988E-2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65"/>
        <v>1803</v>
      </c>
      <c r="AE168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68" s="74" t="str">
        <f t="shared" si="67"/>
        <v>"C:\Program Files (x86)\AstroGrep\AstroGrep.exe" /e /r /s /spath="%USERPROFILE%\AppData\Local\Temp\OnboardLogs" /stypes="app*4006*20171111*" /stext=" 14:.+((SYSTEM_STATE.+slice.+state.+changed )|(ment ac)|(multiple cpu faults)|(system.+state.+changed )|(\[timeout)|(PRM\|1\|D)|(kpr)|(kdp)|(train st.+moving)|(\|lc)|(penalty))"</v>
      </c>
      <c r="AG168" s="182" t="str">
        <f t="shared" si="68"/>
        <v>NW</v>
      </c>
      <c r="AH168" s="78" t="str">
        <f t="shared" si="69"/>
        <v>"%USERPROFILE%\Documents\GitHub\eaglep3\Utilities\RefineRTDCRunTimes.py" --tripid 1803-11 --locoid 4006 --swversion DE.1.0.9.0 --startMP 204:1574 --initTime 2017-11-11T07:08:15 --startdatetime 2017-11-11T07:10:17 --delay 54 --endMP 204:1875 --enddatetime 2017-11-11T07:10:26 --enforcementcount 0 &gt;&gt;%USERPROFILE%\Documents\GitHub\eaglep3-reporting\EC\2017-11-11-refined-times.txt</v>
      </c>
      <c r="AI168" s="96" t="str">
        <f t="shared" si="70"/>
        <v>echo {"issue":{"subject":"Poor GPS at DUS","project_id":79,"tracker_id":40,"status_id":1,"priority_id":2,"assigned_to_id":338,"start_date":"2017-11-11","description":"","custom_fields":[{"id":1,"name":"Subdivision","value":"NW"},{"id":4,"name":"Milepost","value":"0.1875"},{"id":17,"name":"Train ID","value":"1803-11"},{"id":16,"name":"Locomotive ID","value":"4006"},{"id":130,"name":"Impact","value":""},{"id":150,"name":"Time of Event (Mountain Time)","value":"07:10:26"},{"id":151,"name":"Denver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4006 --day 2017-11-11</v>
      </c>
      <c r="AN168" s="151" t="str">
        <f t="shared" si="72"/>
        <v>echo {"issue":{"subject":"Poor GPS at DUS","project_id":30,"tracker_id":4,"status_id":1,"priority_id":1,"assigned_to_id":10,"start_date":"2017-11-11","description":"","custom_fields":[{"id":30,"name":"Category","value":"Issue"},{"id":3,"name":"Functional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3"/>
        <v>https://d0f6bd738d7f1b3e5a7ca70fe4ff75f0.us-east-1.aws.found.io/app/kibana#/discover/Steve-Slow-Train-Analysis-(2080s-and-2083s)?_g=(refreshInterval:(display:Off,pause:!f,section:0,value:0),time:(from:'2017-11-11T06:08:15-0700',mode:absolute,to:'2017-11-11T08:10:26-0700'))&amp;_a=(columns:!('Message%20ID',Summary),filters:!(),index:'emp_*',interval:auto,query:(query_string:(analyze_wildcard:!t,query:'%22rtdc.l.rtdc.4006%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737</v>
      </c>
      <c r="B169" s="7">
        <v>4005</v>
      </c>
      <c r="C169" s="21" t="s">
        <v>192</v>
      </c>
      <c r="D169" s="21" t="s">
        <v>968</v>
      </c>
      <c r="E169" s="13">
        <v>43050.309699074074</v>
      </c>
      <c r="F169" s="13">
        <v>43050.320833333331</v>
      </c>
      <c r="G169" s="7">
        <v>63</v>
      </c>
      <c r="H169" s="21" t="s">
        <v>885</v>
      </c>
      <c r="I169" s="13">
        <v>43050.33</v>
      </c>
      <c r="J169" s="7">
        <v>0</v>
      </c>
      <c r="K169" s="89" t="str">
        <f t="shared" si="58"/>
        <v>4005/4006</v>
      </c>
      <c r="L169" s="185" t="str">
        <f>VLOOKUP(A169,'Trips&amp;Operators'!$C$1:$G$99911,5,FALSE)</f>
        <v>LAMAR NEKESHA</v>
      </c>
      <c r="M169" s="6">
        <f t="shared" si="59"/>
        <v>9.1666666703531519E-3</v>
      </c>
      <c r="N169" s="7">
        <f t="shared" ref="N169:N200" si="84">24*60*SUM($M169:$M169)</f>
        <v>13.200000005308539</v>
      </c>
      <c r="O169" s="7"/>
      <c r="P169" s="7"/>
      <c r="Q169" s="22"/>
      <c r="R169" s="174"/>
      <c r="S169" s="221">
        <f t="shared" si="75"/>
        <v>1</v>
      </c>
      <c r="T169" s="174" t="str">
        <f t="shared" si="60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1"/>
        <v>https://d0f6bd738d7f1b3e5a7ca70fe4ff75f0.us-east-1.aws.found.io/app/kibana#/discover/Steve-Slow-Train-Analysis-(2080s-and-2083s)?_g=(refreshInterval:(display:Off,pause:!f,section:0,value:0),time:(from:'2017-11-11T06:25:58-0700',mode:absolute,to:'2017-11-11T08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204" t="str">
        <f>IF(AA169&lt;VLOOKUP(AG169,Variables!$AC$3:$AD$8,2,FALSE),"Y","N")</f>
        <v>N</v>
      </c>
      <c r="X169" s="204">
        <f t="shared" si="74"/>
        <v>1</v>
      </c>
      <c r="Y169" s="204">
        <f t="shared" si="82"/>
        <v>5.8677000000000001</v>
      </c>
      <c r="Z169" s="204">
        <f t="shared" si="83"/>
        <v>7.0999999999999994E-2</v>
      </c>
      <c r="AA169" s="204">
        <f t="shared" si="64"/>
        <v>5.7967000000000004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65"/>
        <v>1804</v>
      </c>
      <c r="AE169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69" s="74" t="str">
        <f t="shared" si="67"/>
        <v>"C:\Program Files (x86)\AstroGrep\AstroGrep.exe" /e /r /s /spath="%USERPROFILE%\AppData\Local\Temp\OnboardLogs" /stypes="app*4005*20171111*" /stext=" 14:.+((SYSTEM_STATE.+slice.+state.+changed )|(ment ac)|(multiple cpu faults)|(system.+state.+changed )|(\[timeout)|(PRM\|1\|D)|(kpr)|(kdp)|(train st.+moving)|(\|lc)|(penalty))"</v>
      </c>
      <c r="AG169" s="182" t="str">
        <f t="shared" si="68"/>
        <v>NW</v>
      </c>
      <c r="AH169" s="78" t="str">
        <f t="shared" si="69"/>
        <v>"%USERPROFILE%\Documents\GitHub\eaglep3\Utilities\RefineRTDCRunTimes.py" --tripid 1804-11 --locoid 4005 --swversion DE.1.0.9.0 --startMP 300:58677 --initTime 2017-11-11T07:25:58 --startdatetime 2017-11-11T07:42:00 --delay 63 --endMP 204:710 --enddatetime 2017-11-11T07:55:12 --enforcementcount 0 &gt;&gt;%USERPROFILE%\Documents\GitHub\eaglep3-reporting\EC\2017-11-11-refined-times.txt</v>
      </c>
      <c r="AI169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{"issue":{"subject":"","project_id":79,"tracker_id":40,"status_id":1,"priority_id":2,"assigned_to_id":338,"start_date":"2017-11-11","description":"","custom_fields":[{"id":1,"name":"Subdivision","value":"NW"},{"id":4,"name":"Milepost","value":"0.071"},{"id":17,"name":"Train ID","value":"1804-11"},{"id":16,"name":"Locomotive ID","value":"4005"},{"id":130,"name":"Impact","value":""},{"id":150,"name":"Time of Event (Mountain Time)","value":"07:55:12"},{"id":151,"name":"Denver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4005 --day 2017-11-11</v>
      </c>
      <c r="AN169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3"/>
        <v>https://d0f6bd738d7f1b3e5a7ca70fe4ff75f0.us-east-1.aws.found.io/app/kibana#/discover/Steve-Slow-Train-Analysis-(2080s-and-2083s)?_g=(refreshInterval:(display:Off,pause:!f,section:0,value:0),time:(from:'2017-11-11T06:25:58-0700',mode:absolute,to:'2017-11-11T08:55:12-0700'))&amp;_a=(columns:!('Message%20ID',Summary),filters:!(),index:'emp_*',interval:auto,query:(query_string:(analyze_wildcard:!t,query:'%22rtdc.l.rtdc.4005%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742</v>
      </c>
      <c r="B170" s="7">
        <v>4006</v>
      </c>
      <c r="C170" s="21" t="s">
        <v>192</v>
      </c>
      <c r="D170" s="21" t="s">
        <v>969</v>
      </c>
      <c r="E170" s="13">
        <v>43050.337418981479</v>
      </c>
      <c r="F170" s="13">
        <v>43050.340671296297</v>
      </c>
      <c r="G170" s="7">
        <v>55</v>
      </c>
      <c r="H170" s="21" t="s">
        <v>970</v>
      </c>
      <c r="I170" s="13">
        <v>43050.348773148151</v>
      </c>
      <c r="J170" s="7">
        <v>0</v>
      </c>
      <c r="K170" s="89" t="str">
        <f t="shared" si="58"/>
        <v>4005/4006</v>
      </c>
      <c r="L170" s="185" t="str">
        <f>VLOOKUP(A170,'Trips&amp;Operators'!$C$1:$G$99911,5,FALSE)</f>
        <v>LAMAR NEKESHA</v>
      </c>
      <c r="M170" s="6">
        <f t="shared" si="59"/>
        <v>8.1018518540076911E-3</v>
      </c>
      <c r="N170" s="7">
        <f t="shared" si="84"/>
        <v>11.666666669771075</v>
      </c>
      <c r="O170" s="7"/>
      <c r="P170" s="7"/>
      <c r="Q170" s="22"/>
      <c r="R170" s="174"/>
      <c r="S170" s="221">
        <f t="shared" si="75"/>
        <v>1</v>
      </c>
      <c r="T170" s="174" t="str">
        <f t="shared" si="60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1"/>
        <v>https://d0f6bd738d7f1b3e5a7ca70fe4ff75f0.us-east-1.aws.found.io/app/kibana#/discover/Steve-Slow-Train-Analysis-(2080s-and-2083s)?_g=(refreshInterval:(display:Off,pause:!f,section:0,value:0),time:(from:'2017-11-11T07:05:53-0700',mode:absolute,to:'2017-11-11T09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04" t="str">
        <f>IF(AA170&lt;VLOOKUP(AG170,Variables!$AC$3:$AD$8,2,FALSE),"Y","N")</f>
        <v>Y</v>
      </c>
      <c r="X170" s="204">
        <f t="shared" si="74"/>
        <v>1</v>
      </c>
      <c r="Y170" s="204">
        <f t="shared" si="82"/>
        <v>0.30840000000000001</v>
      </c>
      <c r="Z170" s="204">
        <f t="shared" si="83"/>
        <v>5.8978000000000002</v>
      </c>
      <c r="AA170" s="204">
        <f t="shared" si="64"/>
        <v>5.5894000000000004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65"/>
        <v>1805</v>
      </c>
      <c r="AE170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70" s="74" t="str">
        <f t="shared" si="67"/>
        <v>"C:\Program Files (x86)\AstroGrep\AstroGrep.exe" /e /r /s /spath="%USERPROFILE%\AppData\Local\Temp\OnboardLogs" /stypes="app*4006*20171111*" /stext=" 15:.+((SYSTEM_STATE.+slice.+state.+changed )|(ment ac)|(multiple cpu faults)|(system.+state.+changed )|(\[timeout)|(PRM\|1\|D)|(kpr)|(kdp)|(train st.+moving)|(\|lc)|(penalty))"</v>
      </c>
      <c r="AG170" s="182" t="str">
        <f t="shared" si="68"/>
        <v>NW</v>
      </c>
      <c r="AH170" s="78" t="str">
        <f t="shared" si="69"/>
        <v>"%USERPROFILE%\Documents\GitHub\eaglep3\Utilities\RefineRTDCRunTimes.py" --tripid 1805-11 --locoid 4006 --swversion DE.1.0.9.0 --startMP 204:3084 --initTime 2017-11-11T08:05:53 --startdatetime 2017-11-11T08:10:34 --delay 55 --endMP 300:58978 --enddatetime 2017-11-11T08:22:14 --enforcementcount 0 &gt;&gt;%USERPROFILE%\Documents\GitHub\eaglep3-reporting\EC\2017-11-11-refined-times.txt</v>
      </c>
      <c r="AI170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{"issue":{"subject":"","project_id":79,"tracker_id":40,"status_id":1,"priority_id":2,"assigned_to_id":338,"start_date":"2017-11-11","description":"","custom_fields":[{"id":1,"name":"Subdivision","value":"NW"},{"id":4,"name":"Milepost","value":"5.8978"},{"id":17,"name":"Train ID","value":"1805-11"},{"id":16,"name":"Locomotive ID","value":"4006"},{"id":130,"name":"Impact","value":""},{"id":150,"name":"Time of Event (Mountain Time)","value":"08:22:14"},{"id":151,"name":"Denver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4006 --day 2017-11-11</v>
      </c>
      <c r="AN170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3"/>
        <v>https://d0f6bd738d7f1b3e5a7ca70fe4ff75f0.us-east-1.aws.found.io/app/kibana#/discover/Steve-Slow-Train-Analysis-(2080s-and-2083s)?_g=(refreshInterval:(display:Off,pause:!f,section:0,value:0),time:(from:'2017-11-11T07:05:53-0700',mode:absolute,to:'2017-11-11T09:22:14-0700'))&amp;_a=(columns:!('Message%20ID',Summary),filters:!(),index:'emp_*',interval:auto,query:(query_string:(analyze_wildcard:!t,query:'%22rtdc.l.rtdc.4006%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670</v>
      </c>
      <c r="B171" s="7">
        <v>4005</v>
      </c>
      <c r="C171" s="21" t="s">
        <v>192</v>
      </c>
      <c r="D171" s="21" t="s">
        <v>971</v>
      </c>
      <c r="E171" s="13">
        <v>43050.350358796299</v>
      </c>
      <c r="F171" s="13">
        <v>43050.362500000003</v>
      </c>
      <c r="G171" s="7">
        <v>70</v>
      </c>
      <c r="H171" s="21" t="s">
        <v>972</v>
      </c>
      <c r="I171" s="13">
        <v>43050.370381944442</v>
      </c>
      <c r="J171" s="7">
        <v>0</v>
      </c>
      <c r="K171" s="89" t="str">
        <f t="shared" si="58"/>
        <v>4005/4006</v>
      </c>
      <c r="L171" s="185" t="str">
        <f>VLOOKUP(A171,'Trips&amp;Operators'!$C$1:$G$99911,5,FALSE)</f>
        <v>LAMAR NEKESHA</v>
      </c>
      <c r="M171" s="6">
        <f t="shared" si="59"/>
        <v>7.8819444388500415E-3</v>
      </c>
      <c r="N171" s="7">
        <f t="shared" si="84"/>
        <v>11.34999999194406</v>
      </c>
      <c r="O171" s="7"/>
      <c r="P171" s="7"/>
      <c r="Q171" s="22"/>
      <c r="R171" s="174"/>
      <c r="S171" s="221">
        <f t="shared" si="75"/>
        <v>1</v>
      </c>
      <c r="T171" s="174" t="str">
        <f t="shared" si="60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1"/>
        <v>https://d0f6bd738d7f1b3e5a7ca70fe4ff75f0.us-east-1.aws.found.io/app/kibana#/discover/Steve-Slow-Train-Analysis-(2080s-and-2083s)?_g=(refreshInterval:(display:Off,pause:!f,section:0,value:0),time:(from:'2017-11-11T07:24:31-0700',mode:absolute,to:'2017-11-11T09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04" t="str">
        <f>IF(AA171&lt;VLOOKUP(AG171,Variables!$AC$3:$AD$8,2,FALSE),"Y","N")</f>
        <v>Y</v>
      </c>
      <c r="X171" s="204">
        <f t="shared" si="74"/>
        <v>1</v>
      </c>
      <c r="Y171" s="204">
        <f t="shared" si="82"/>
        <v>5.8658000000000001</v>
      </c>
      <c r="Z171" s="204">
        <f t="shared" si="83"/>
        <v>0.45710000000000001</v>
      </c>
      <c r="AA171" s="204">
        <f t="shared" si="64"/>
        <v>5.4087000000000005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65"/>
        <v>1806</v>
      </c>
      <c r="AE171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71" s="74" t="str">
        <f t="shared" si="67"/>
        <v>"C:\Program Files (x86)\AstroGrep\AstroGrep.exe" /e /r /s /spath="%USERPROFILE%\AppData\Local\Temp\OnboardLogs" /stypes="app*4005*20171111*" /stext=" 15:.+((SYSTEM_STATE.+slice.+state.+changed )|(ment ac)|(multiple cpu faults)|(system.+state.+changed )|(\[timeout)|(PRM\|1\|D)|(kpr)|(kdp)|(train st.+moving)|(\|lc)|(penalty))"</v>
      </c>
      <c r="AG171" s="182" t="str">
        <f t="shared" si="68"/>
        <v>NW</v>
      </c>
      <c r="AH171" s="78" t="str">
        <f t="shared" si="69"/>
        <v>"%USERPROFILE%\Documents\GitHub\eaglep3\Utilities\RefineRTDCRunTimes.py" --tripid 1806-11 --locoid 4005 --swversion DE.1.0.9.0 --startMP 300:58658 --initTime 2017-11-11T08:24:31 --startdatetime 2017-11-11T08:42:00 --delay 70 --endMP 204:4571 --enddatetime 2017-11-11T08:53:21 --enforcementcount 0 &gt;&gt;%USERPROFILE%\Documents\GitHub\eaglep3-reporting\EC\2017-11-11-refined-times.txt</v>
      </c>
      <c r="AI171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{"issue":{"subject":"","project_id":79,"tracker_id":40,"status_id":1,"priority_id":2,"assigned_to_id":338,"start_date":"2017-11-11","description":"","custom_fields":[{"id":1,"name":"Subdivision","value":"NW"},{"id":4,"name":"Milepost","value":"0.4571"},{"id":17,"name":"Train ID","value":"1806-11"},{"id":16,"name":"Locomotive ID","value":"4005"},{"id":130,"name":"Impact","value":""},{"id":150,"name":"Time of Event (Mountain Time)","value":"08:53:21"},{"id":151,"name":"Denver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1"/>
        <v>start /low /b %USERPROFILE%\Documents\GitHub\eaglep3\Utilities\DownloadLogsFromS3.py --loco 4005 --day 2017-11-11</v>
      </c>
      <c r="AN171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15:53:21"},{"id":29,"name":"Sharepoint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3"/>
        <v>https://d0f6bd738d7f1b3e5a7ca70fe4ff75f0.us-east-1.aws.found.io/app/kibana#/discover/Steve-Slow-Train-Analysis-(2080s-and-2083s)?_g=(refreshInterval:(display:Off,pause:!f,section:0,value:0),time:(from:'2017-11-11T07:24:31-0700',mode:absolute,to:'2017-11-11T09:53:21-0700'))&amp;_a=(columns:!('Message%20ID',Summary),filters:!(),index:'emp_*',interval:auto,query:(query_string:(analyze_wildcard:!t,query:'%22rtdc.l.rtdc.4005%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752</v>
      </c>
      <c r="B172" s="7">
        <v>4006</v>
      </c>
      <c r="C172" s="21" t="s">
        <v>192</v>
      </c>
      <c r="D172" s="21" t="s">
        <v>973</v>
      </c>
      <c r="E172" s="13">
        <v>43050.380312499998</v>
      </c>
      <c r="F172" s="13">
        <v>43050.381574074076</v>
      </c>
      <c r="G172" s="7">
        <v>61</v>
      </c>
      <c r="H172" s="21" t="s">
        <v>532</v>
      </c>
      <c r="I172" s="13">
        <v>43050.390509259261</v>
      </c>
      <c r="J172" s="7">
        <v>0</v>
      </c>
      <c r="K172" s="89" t="str">
        <f t="shared" si="58"/>
        <v>4005/4006</v>
      </c>
      <c r="L172" s="185" t="str">
        <f>VLOOKUP(A172,'Trips&amp;Operators'!$C$1:$G$99911,5,FALSE)</f>
        <v>LAMAR NEKESHA</v>
      </c>
      <c r="M172" s="6">
        <f t="shared" si="59"/>
        <v>8.9351851856918074E-3</v>
      </c>
      <c r="N172" s="7">
        <f t="shared" si="84"/>
        <v>12.866666667396203</v>
      </c>
      <c r="O172" s="7"/>
      <c r="P172" s="7"/>
      <c r="Q172" s="22"/>
      <c r="R172" s="174"/>
      <c r="S172" s="221">
        <f t="shared" si="75"/>
        <v>1</v>
      </c>
      <c r="T172" s="174" t="str">
        <f t="shared" si="60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1"/>
        <v>https://d0f6bd738d7f1b3e5a7ca70fe4ff75f0.us-east-1.aws.found.io/app/kibana#/discover/Steve-Slow-Train-Analysis-(2080s-and-2083s)?_g=(refreshInterval:(display:Off,pause:!f,section:0,value:0),time:(from:'2017-11-11T08:07:39-0700',mode:absolute,to:'2017-11-11T10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204" t="str">
        <f>IF(AA172&lt;VLOOKUP(AG172,Variables!$AC$3:$AD$8,2,FALSE),"Y","N")</f>
        <v>N</v>
      </c>
      <c r="X172" s="204">
        <f t="shared" si="74"/>
        <v>1</v>
      </c>
      <c r="Y172" s="204">
        <f t="shared" si="82"/>
        <v>9.6699999999999994E-2</v>
      </c>
      <c r="Z172" s="204">
        <f t="shared" si="83"/>
        <v>5.8971</v>
      </c>
      <c r="AA172" s="204">
        <f t="shared" si="64"/>
        <v>5.8003999999999998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65"/>
        <v>1807</v>
      </c>
      <c r="AE172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72" s="74" t="str">
        <f t="shared" si="67"/>
        <v>"C:\Program Files (x86)\AstroGrep\AstroGrep.exe" /e /r /s /spath="%USERPROFILE%\AppData\Local\Temp\OnboardLogs" /stypes="app*4006*20171111*" /stext=" 16:.+((SYSTEM_STATE.+slice.+state.+changed )|(ment ac)|(multiple cpu faults)|(system.+state.+changed )|(\[timeout)|(PRM\|1\|D)|(kpr)|(kdp)|(train st.+moving)|(\|lc)|(penalty))"</v>
      </c>
      <c r="AG172" s="182" t="str">
        <f t="shared" si="68"/>
        <v>NW</v>
      </c>
      <c r="AH172" s="78" t="str">
        <f t="shared" si="69"/>
        <v>"%USERPROFILE%\Documents\GitHub\eaglep3\Utilities\RefineRTDCRunTimes.py" --tripid 1807-11 --locoid 4006 --swversion DE.1.0.9.0 --startMP 204:967 --initTime 2017-11-11T09:07:39 --startdatetime 2017-11-11T09:09:28 --delay 61 --endMP 300:58971 --enddatetime 2017-11-11T09:22:20 --enforcementcount 0 &gt;&gt;%USERPROFILE%\Documents\GitHub\eaglep3-reporting\EC\2017-11-11-refined-times.txt</v>
      </c>
      <c r="AI172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{"issue":{"subject":"","project_id":79,"tracker_id":40,"status_id":1,"priority_id":2,"assigned_to_id":338,"start_date":"2017-11-11","description":"","custom_fields":[{"id":1,"name":"Subdivision","value":"NW"},{"id":4,"name":"Milepost","value":"5.8971"},{"id":17,"name":"Train ID","value":"1807-11"},{"id":16,"name":"Locomotive ID","value":"4006"},{"id":130,"name":"Impact","value":""},{"id":150,"name":"Time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1"/>
        <v>start /low /b %USERPROFILE%\Documents\GitHub\eaglep3\Utilities\DownloadLogsFromS3.py --loco 4006 --day 2017-11-11</v>
      </c>
      <c r="AN172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3"/>
        <v>https://d0f6bd738d7f1b3e5a7ca70fe4ff75f0.us-east-1.aws.found.io/app/kibana#/discover/Steve-Slow-Train-Analysis-(2080s-and-2083s)?_g=(refreshInterval:(display:Off,pause:!f,section:0,value:0),time:(from:'2017-11-11T08:07:39-0700',mode:absolute,to:'2017-11-11T10:22:20-0700'))&amp;_a=(columns:!('Message%20ID',Summary),filters:!(),index:'emp_*',interval:auto,query:(query_string:(analyze_wildcard:!t,query:'%22rtdc.l.rtdc.4006%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755</v>
      </c>
      <c r="B173" s="7">
        <v>4005</v>
      </c>
      <c r="C173" s="21" t="s">
        <v>192</v>
      </c>
      <c r="D173" s="21" t="s">
        <v>477</v>
      </c>
      <c r="E173" s="13">
        <v>43050.392893518518</v>
      </c>
      <c r="F173" s="13">
        <v>43050.404166666667</v>
      </c>
      <c r="G173" s="7">
        <v>56</v>
      </c>
      <c r="H173" s="21" t="s">
        <v>974</v>
      </c>
      <c r="I173" s="13">
        <v>43050.41306712963</v>
      </c>
      <c r="J173" s="7">
        <v>0</v>
      </c>
      <c r="K173" s="89" t="str">
        <f t="shared" si="58"/>
        <v>4005/4006</v>
      </c>
      <c r="L173" s="185" t="str">
        <f>VLOOKUP(A173,'Trips&amp;Operators'!$C$1:$G$99911,5,FALSE)</f>
        <v>LAMAR NEKESHA</v>
      </c>
      <c r="M173" s="6">
        <f t="shared" si="59"/>
        <v>8.9004629626288079E-3</v>
      </c>
      <c r="N173" s="7">
        <f t="shared" si="84"/>
        <v>12.816666666185483</v>
      </c>
      <c r="O173" s="7"/>
      <c r="P173" s="7"/>
      <c r="Q173" s="22"/>
      <c r="R173" s="174"/>
      <c r="S173" s="221">
        <f t="shared" si="75"/>
        <v>1</v>
      </c>
      <c r="T173" s="174" t="str">
        <f t="shared" si="60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1"/>
        <v>https://d0f6bd738d7f1b3e5a7ca70fe4ff75f0.us-east-1.aws.found.io/app/kibana#/discover/Steve-Slow-Train-Analysis-(2080s-and-2083s)?_g=(refreshInterval:(display:Off,pause:!f,section:0,value:0),time:(from:'2017-11-11T08:25:46-0700',mode:absolute,to:'2017-11-11T10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204" t="str">
        <f>IF(AA173&lt;VLOOKUP(AG173,Variables!$AC$3:$AD$8,2,FALSE),"Y","N")</f>
        <v>N</v>
      </c>
      <c r="X173" s="204">
        <f t="shared" si="74"/>
        <v>1</v>
      </c>
      <c r="Y173" s="204">
        <f t="shared" si="82"/>
        <v>5.8666</v>
      </c>
      <c r="Z173" s="204">
        <f t="shared" si="83"/>
        <v>6.7000000000000004E-2</v>
      </c>
      <c r="AA173" s="204">
        <f t="shared" si="64"/>
        <v>5.7995999999999999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65"/>
        <v>1808</v>
      </c>
      <c r="AE173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73" s="74" t="str">
        <f t="shared" si="67"/>
        <v>"C:\Program Files (x86)\AstroGrep\AstroGrep.exe" /e /r /s /spath="%USERPROFILE%\AppData\Local\Temp\OnboardLogs" /stypes="app*4005*20171111*" /stext=" 16:.+((SYSTEM_STATE.+slice.+state.+changed )|(ment ac)|(multiple cpu faults)|(system.+state.+changed )|(\[timeout)|(PRM\|1\|D)|(kpr)|(kdp)|(train st.+moving)|(\|lc)|(penalty))"</v>
      </c>
      <c r="AG173" s="182" t="str">
        <f t="shared" si="68"/>
        <v>NW</v>
      </c>
      <c r="AH173" s="78" t="str">
        <f t="shared" si="69"/>
        <v>"%USERPROFILE%\Documents\GitHub\eaglep3\Utilities\RefineRTDCRunTimes.py" --tripid 1808-11 --locoid 4005 --swversion DE.1.0.9.0 --startMP 300:58666 --initTime 2017-11-11T09:25:46 --startdatetime 2017-11-11T09:42:00 --delay 56 --endMP 204:670 --enddatetime 2017-11-11T09:54:49 --enforcementcount 0 &gt;&gt;%USERPROFILE%\Documents\GitHub\eaglep3-reporting\EC\2017-11-11-refined-times.txt</v>
      </c>
      <c r="AI173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{"issue":{"subject":"","project_id":79,"tracker_id":40,"status_id":1,"priority_id":2,"assigned_to_id":338,"start_date":"2017-11-11","description":"","custom_fields":[{"id":1,"name":"Subdivision","value":"NW"},{"id":4,"name":"Milepost","value":"0.067"},{"id":17,"name":"Train ID","value":"1808-11"},{"id":16,"name":"Locomotive ID","value":"4005"},{"id":130,"name":"Impact","value":""},{"id":150,"name":"Time of Event (Mountain Time)","value":"09:54:49"},{"id":151,"name":"Denver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1"/>
        <v>start /low /b %USERPROFILE%\Documents\GitHub\eaglep3\Utilities\DownloadLogsFromS3.py --loco 4005 --day 2017-11-11</v>
      </c>
      <c r="AN173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16:54:49"},{"id":29,"name":"Sharepoint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3"/>
        <v>https://d0f6bd738d7f1b3e5a7ca70fe4ff75f0.us-east-1.aws.found.io/app/kibana#/discover/Steve-Slow-Train-Analysis-(2080s-and-2083s)?_g=(refreshInterval:(display:Off,pause:!f,section:0,value:0),time:(from:'2017-11-11T08:25:46-0700',mode:absolute,to:'2017-11-11T10:54:49-0700'))&amp;_a=(columns:!('Message%20ID',Summary),filters:!(),index:'emp_*',interval:auto,query:(query_string:(analyze_wildcard:!t,query:'%22rtdc.l.rtdc.4005%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761</v>
      </c>
      <c r="B174" s="7">
        <v>4006</v>
      </c>
      <c r="C174" s="21" t="s">
        <v>192</v>
      </c>
      <c r="D174" s="21" t="s">
        <v>975</v>
      </c>
      <c r="E174" s="13">
        <v>43050.421030092592</v>
      </c>
      <c r="F174" s="13">
        <v>43050.423263888886</v>
      </c>
      <c r="G174" s="7">
        <v>65</v>
      </c>
      <c r="H174" s="21" t="s">
        <v>648</v>
      </c>
      <c r="I174" s="13">
        <v>43050.431944444441</v>
      </c>
      <c r="J174" s="7">
        <v>0</v>
      </c>
      <c r="K174" s="89" t="str">
        <f t="shared" si="58"/>
        <v>4005/4006</v>
      </c>
      <c r="L174" s="185" t="str">
        <f>VLOOKUP(A174,'Trips&amp;Operators'!$C$1:$G$99911,5,FALSE)</f>
        <v>LAMAR NEKESHA</v>
      </c>
      <c r="M174" s="6">
        <f t="shared" si="59"/>
        <v>8.6805555547471158E-3</v>
      </c>
      <c r="N174" s="7">
        <f t="shared" si="84"/>
        <v>12.499999998835847</v>
      </c>
      <c r="O174" s="7"/>
      <c r="P174" s="7"/>
      <c r="Q174" s="22"/>
      <c r="R174" s="174"/>
      <c r="S174" s="221">
        <f t="shared" si="75"/>
        <v>1</v>
      </c>
      <c r="T174" s="174" t="str">
        <f t="shared" si="60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1"/>
        <v>https://d0f6bd738d7f1b3e5a7ca70fe4ff75f0.us-east-1.aws.found.io/app/kibana#/discover/Steve-Slow-Train-Analysis-(2080s-and-2083s)?_g=(refreshInterval:(display:Off,pause:!f,section:0,value:0),time:(from:'2017-11-11T09:06:17-0700',mode:absolute,to:'2017-11-11T11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204" t="str">
        <f>IF(AA174&lt;VLOOKUP(AG174,Variables!$AC$3:$AD$8,2,FALSE),"Y","N")</f>
        <v>N</v>
      </c>
      <c r="X174" s="204">
        <f t="shared" si="74"/>
        <v>1</v>
      </c>
      <c r="Y174" s="204">
        <f t="shared" si="82"/>
        <v>9.9199999999999997E-2</v>
      </c>
      <c r="Z174" s="204">
        <f t="shared" si="83"/>
        <v>5.8993000000000002</v>
      </c>
      <c r="AA174" s="204">
        <f t="shared" si="64"/>
        <v>5.8001000000000005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65"/>
        <v>1809</v>
      </c>
      <c r="AE174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74" s="74" t="str">
        <f t="shared" si="67"/>
        <v>"C:\Program Files (x86)\AstroGrep\AstroGrep.exe" /e /r /s /spath="%USERPROFILE%\AppData\Local\Temp\OnboardLogs" /stypes="app*4006*20171111*" /stext=" 17:.+((SYSTEM_STATE.+slice.+state.+changed )|(ment ac)|(multiple cpu faults)|(system.+state.+changed )|(\[timeout)|(PRM\|1\|D)|(kpr)|(kdp)|(train st.+moving)|(\|lc)|(penalty))"</v>
      </c>
      <c r="AG174" s="182" t="str">
        <f t="shared" si="68"/>
        <v>NW</v>
      </c>
      <c r="AH174" s="78" t="str">
        <f t="shared" si="69"/>
        <v>"%USERPROFILE%\Documents\GitHub\eaglep3\Utilities\RefineRTDCRunTimes.py" --tripid 1809-11 --locoid 4006 --swversion DE.1.0.9.0 --startMP 204:992 --initTime 2017-11-11T10:06:17 --startdatetime 2017-11-11T10:09:30 --delay 65 --endMP 300:58993 --enddatetime 2017-11-11T10:22:00 --enforcementcount 0 &gt;&gt;%USERPROFILE%\Documents\GitHub\eaglep3-reporting\EC\2017-11-11-refined-times.txt</v>
      </c>
      <c r="AI174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{"issue":{"subject":"","project_id":79,"tracker_id":40,"status_id":1,"priority_id":2,"assigned_to_id":338,"start_date":"2017-11-11","description":"","custom_fields":[{"id":1,"name":"Subdivision","value":"NW"},{"id":4,"name":"Milepost","value":"5.8993"},{"id":17,"name":"Train ID","value":"1809-11"},{"id":16,"name":"Locomotive ID","value":"4006"},{"id":130,"name":"Impact","value":""},{"id":150,"name":"Time of Event (Mountain Time)","value":"10:22:00"},{"id":151,"name":"Denver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1"/>
        <v>start /low /b %USERPROFILE%\Documents\GitHub\eaglep3\Utilities\DownloadLogsFromS3.py --loco 4006 --day 2017-11-11</v>
      </c>
      <c r="AN174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3"/>
        <v>https://d0f6bd738d7f1b3e5a7ca70fe4ff75f0.us-east-1.aws.found.io/app/kibana#/discover/Steve-Slow-Train-Analysis-(2080s-and-2083s)?_g=(refreshInterval:(display:Off,pause:!f,section:0,value:0),time:(from:'2017-11-11T09:06:17-0700',mode:absolute,to:'2017-11-11T11:22:00-0700'))&amp;_a=(columns:!('Message%20ID',Summary),filters:!(),index:'emp_*',interval:auto,query:(query_string:(analyze_wildcard:!t,query:'%22rtdc.l.rtdc.4006%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765</v>
      </c>
      <c r="B175" s="7">
        <v>4005</v>
      </c>
      <c r="C175" s="21" t="s">
        <v>192</v>
      </c>
      <c r="D175" s="21" t="s">
        <v>968</v>
      </c>
      <c r="E175" s="13">
        <v>43050.433518518519</v>
      </c>
      <c r="F175" s="13">
        <v>43050.445833333331</v>
      </c>
      <c r="G175" s="7">
        <v>51</v>
      </c>
      <c r="H175" s="21" t="s">
        <v>977</v>
      </c>
      <c r="I175" s="13">
        <v>43050.454768518517</v>
      </c>
      <c r="J175" s="7">
        <v>0</v>
      </c>
      <c r="K175" s="89" t="str">
        <f t="shared" si="58"/>
        <v>4005/4006</v>
      </c>
      <c r="L175" s="185" t="str">
        <f>VLOOKUP(A175,'Trips&amp;Operators'!$C$1:$G$99911,5,FALSE)</f>
        <v>LAMAR NEKESHA</v>
      </c>
      <c r="M175" s="6">
        <f t="shared" si="59"/>
        <v>8.9351851856918074E-3</v>
      </c>
      <c r="N175" s="7">
        <f t="shared" si="84"/>
        <v>12.866666667396203</v>
      </c>
      <c r="O175" s="7"/>
      <c r="P175" s="7"/>
      <c r="Q175" s="22"/>
      <c r="R175" s="174"/>
      <c r="S175" s="221">
        <f t="shared" si="75"/>
        <v>1</v>
      </c>
      <c r="T175" s="174" t="str">
        <f t="shared" si="60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1"/>
        <v>https://d0f6bd738d7f1b3e5a7ca70fe4ff75f0.us-east-1.aws.found.io/app/kibana#/discover/Steve-Slow-Train-Analysis-(2080s-and-2083s)?_g=(refreshInterval:(display:Off,pause:!f,section:0,value:0),time:(from:'2017-11-11T09:24:16-0700',mode:absolute,to:'2017-11-11T11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204" t="str">
        <f>IF(AA175&lt;VLOOKUP(AG175,Variables!$AC$3:$AD$8,2,FALSE),"Y","N")</f>
        <v>N</v>
      </c>
      <c r="X175" s="204">
        <f t="shared" si="74"/>
        <v>1</v>
      </c>
      <c r="Y175" s="204">
        <f t="shared" si="82"/>
        <v>5.8677000000000001</v>
      </c>
      <c r="Z175" s="204">
        <f t="shared" si="83"/>
        <v>7.0099999999999996E-2</v>
      </c>
      <c r="AA175" s="204">
        <f t="shared" si="64"/>
        <v>5.7976000000000001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65"/>
        <v>1810</v>
      </c>
      <c r="AE175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75" s="74" t="str">
        <f t="shared" si="67"/>
        <v>"C:\Program Files (x86)\AstroGrep\AstroGrep.exe" /e /r /s /spath="%USERPROFILE%\AppData\Local\Temp\OnboardLogs" /stypes="app*4005*20171111*" /stext=" 17:.+((SYSTEM_STATE.+slice.+state.+changed )|(ment ac)|(multiple cpu faults)|(system.+state.+changed )|(\[timeout)|(PRM\|1\|D)|(kpr)|(kdp)|(train st.+moving)|(\|lc)|(penalty))"</v>
      </c>
      <c r="AG175" s="182" t="str">
        <f t="shared" si="68"/>
        <v>NW</v>
      </c>
      <c r="AH175" s="78" t="str">
        <f t="shared" si="69"/>
        <v>"%USERPROFILE%\Documents\GitHub\eaglep3\Utilities\RefineRTDCRunTimes.py" --tripid 1810-11 --locoid 4005 --swversion DE.1.0.9.0 --startMP 300:58677 --initTime 2017-11-11T10:24:16 --startdatetime 2017-11-11T10:42:00 --delay 51 --endMP 204:701 --enddatetime 2017-11-11T10:54:52 --enforcementcount 0 &gt;&gt;%USERPROFILE%\Documents\GitHub\eaglep3-reporting\EC\2017-11-11-refined-times.txt</v>
      </c>
      <c r="AI175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{"issue":{"subject":"","project_id":79,"tracker_id":40,"status_id":1,"priority_id":2,"assigned_to_id":338,"start_date":"2017-11-11","description":"","custom_fields":[{"id":1,"name":"Subdivision","value":"NW"},{"id":4,"name":"Milepost","value":"0.0701"},{"id":17,"name":"Train ID","value":"1810-11"},{"id":16,"name":"Locomotive ID","value":"4005"},{"id":130,"name":"Impact","value":""},{"id":150,"name":"Time of Event (Mountain Time)","value":"10:54:52"},{"id":151,"name":"Denver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1"/>
        <v>start /low /b %USERPROFILE%\Documents\GitHub\eaglep3\Utilities\DownloadLogsFromS3.py --loco 4005 --day 2017-11-11</v>
      </c>
      <c r="AN175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17:54:52"},{"id":29,"name":"Sharepoint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3"/>
        <v>https://d0f6bd738d7f1b3e5a7ca70fe4ff75f0.us-east-1.aws.found.io/app/kibana#/discover/Steve-Slow-Train-Analysis-(2080s-and-2083s)?_g=(refreshInterval:(display:Off,pause:!f,section:0,value:0),time:(from:'2017-11-11T09:24:16-0700',mode:absolute,to:'2017-11-11T11:54:52-0700'))&amp;_a=(columns:!('Message%20ID',Summary),filters:!(),index:'emp_*',interval:auto,query:(query_string:(analyze_wildcard:!t,query:'%22rtdc.l.rtdc.4005%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770</v>
      </c>
      <c r="B176" s="7">
        <v>4006</v>
      </c>
      <c r="C176" s="21" t="s">
        <v>192</v>
      </c>
      <c r="D176" s="21" t="s">
        <v>978</v>
      </c>
      <c r="E176" s="13">
        <v>43050.462256944447</v>
      </c>
      <c r="F176" s="13">
        <v>43050.464884259258</v>
      </c>
      <c r="G176" s="7">
        <v>57</v>
      </c>
      <c r="H176" s="21" t="s">
        <v>979</v>
      </c>
      <c r="I176" s="13">
        <v>43050.473726851851</v>
      </c>
      <c r="J176" s="7">
        <v>0</v>
      </c>
      <c r="K176" s="89" t="str">
        <f t="shared" si="58"/>
        <v>4005/4006</v>
      </c>
      <c r="L176" s="185" t="str">
        <f>VLOOKUP(A176,'Trips&amp;Operators'!$C$1:$G$99911,5,FALSE)</f>
        <v>LAMAR NEKESHA</v>
      </c>
      <c r="M176" s="6">
        <f t="shared" si="59"/>
        <v>8.8425925932824612E-3</v>
      </c>
      <c r="N176" s="7">
        <f t="shared" si="84"/>
        <v>12.733333334326744</v>
      </c>
      <c r="O176" s="7"/>
      <c r="P176" s="7"/>
      <c r="Q176" s="22"/>
      <c r="R176" s="174"/>
      <c r="S176" s="221">
        <f t="shared" si="75"/>
        <v>1</v>
      </c>
      <c r="T176" s="174" t="str">
        <f t="shared" si="60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1"/>
        <v>https://d0f6bd738d7f1b3e5a7ca70fe4ff75f0.us-east-1.aws.found.io/app/kibana#/discover/Steve-Slow-Train-Analysis-(2080s-and-2083s)?_g=(refreshInterval:(display:Off,pause:!f,section:0,value:0),time:(from:'2017-11-11T10:05:39-0700',mode:absolute,to:'2017-11-11T12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204" t="str">
        <f>IF(AA176&lt;VLOOKUP(AG176,Variables!$AC$3:$AD$8,2,FALSE),"Y","N")</f>
        <v>N</v>
      </c>
      <c r="X176" s="204">
        <f t="shared" si="74"/>
        <v>1</v>
      </c>
      <c r="Y176" s="204">
        <f t="shared" si="82"/>
        <v>9.4299999999999995E-2</v>
      </c>
      <c r="Z176" s="204">
        <f t="shared" si="83"/>
        <v>5.8960999999999997</v>
      </c>
      <c r="AA176" s="204">
        <f t="shared" si="64"/>
        <v>5.8018000000000001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65"/>
        <v>1811</v>
      </c>
      <c r="AE176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76" s="74" t="str">
        <f t="shared" si="67"/>
        <v>"C:\Program Files (x86)\AstroGrep\AstroGrep.exe" /e /r /s /spath="%USERPROFILE%\AppData\Local\Temp\OnboardLogs" /stypes="app*4006*20171111*" /stext=" 18:.+((SYSTEM_STATE.+slice.+state.+changed )|(ment ac)|(multiple cpu faults)|(system.+state.+changed )|(\[timeout)|(PRM\|1\|D)|(kpr)|(kdp)|(train st.+moving)|(\|lc)|(penalty))"</v>
      </c>
      <c r="AG176" s="182" t="str">
        <f t="shared" si="68"/>
        <v>NW</v>
      </c>
      <c r="AH176" s="78" t="str">
        <f t="shared" si="69"/>
        <v>"%USERPROFILE%\Documents\GitHub\eaglep3\Utilities\RefineRTDCRunTimes.py" --tripid 1811-11 --locoid 4006 --swversion DE.1.0.9.0 --startMP 204:943 --initTime 2017-11-11T11:05:39 --startdatetime 2017-11-11T11:09:26 --delay 57 --endMP 300:58961 --enddatetime 2017-11-11T11:22:10 --enforcementcount 0 &gt;&gt;%USERPROFILE%\Documents\GitHub\eaglep3-reporting\EC\2017-11-11-refined-times.txt</v>
      </c>
      <c r="AI176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{"issue":{"subject":"","project_id":79,"tracker_id":40,"status_id":1,"priority_id":2,"assigned_to_id":338,"start_date":"2017-11-11","description":"","custom_fields":[{"id":1,"name":"Subdivision","value":"NW"},{"id":4,"name":"Milepost","value":"5.8961"},{"id":17,"name":"Train ID","value":"1811-11"},{"id":16,"name":"Locomotive ID","value":"4006"},{"id":130,"name":"Impact","value":""},{"id":150,"name":"Time of Event (Mountain Time)","value":"11:22:10"},{"id":151,"name":"Denver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1"/>
        <v>start /low /b %USERPROFILE%\Documents\GitHub\eaglep3\Utilities\DownloadLogsFromS3.py --loco 4006 --day 2017-11-11</v>
      </c>
      <c r="AN176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3"/>
        <v>https://d0f6bd738d7f1b3e5a7ca70fe4ff75f0.us-east-1.aws.found.io/app/kibana#/discover/Steve-Slow-Train-Analysis-(2080s-and-2083s)?_g=(refreshInterval:(display:Off,pause:!f,section:0,value:0),time:(from:'2017-11-11T10:05:39-0700',mode:absolute,to:'2017-11-11T12:22:10-0700'))&amp;_a=(columns:!('Message%20ID',Summary),filters:!(),index:'emp_*',interval:auto,query:(query_string:(analyze_wildcard:!t,query:'%22rtdc.l.rtdc.4006%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773</v>
      </c>
      <c r="B177" s="7">
        <v>4005</v>
      </c>
      <c r="C177" s="21" t="s">
        <v>192</v>
      </c>
      <c r="D177" s="21" t="s">
        <v>570</v>
      </c>
      <c r="E177" s="13">
        <v>43050.475752314815</v>
      </c>
      <c r="F177" s="13">
        <v>43050.487500000003</v>
      </c>
      <c r="G177" s="7">
        <v>57</v>
      </c>
      <c r="H177" s="21" t="s">
        <v>980</v>
      </c>
      <c r="I177" s="13">
        <v>43050.496342592596</v>
      </c>
      <c r="J177" s="7">
        <v>0</v>
      </c>
      <c r="K177" s="89" t="str">
        <f t="shared" si="58"/>
        <v>4005/4006</v>
      </c>
      <c r="L177" s="185" t="str">
        <f>VLOOKUP(A177,'Trips&amp;Operators'!$C$1:$G$99911,5,FALSE)</f>
        <v>LAMAR NEKESHA</v>
      </c>
      <c r="M177" s="6">
        <f t="shared" si="59"/>
        <v>8.8425925932824612E-3</v>
      </c>
      <c r="N177" s="7">
        <f t="shared" si="84"/>
        <v>12.733333334326744</v>
      </c>
      <c r="O177" s="7"/>
      <c r="P177" s="7"/>
      <c r="Q177" s="22"/>
      <c r="R177" s="174"/>
      <c r="S177" s="221">
        <f t="shared" si="75"/>
        <v>1</v>
      </c>
      <c r="T177" s="174" t="str">
        <f t="shared" si="60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1"/>
        <v>https://d0f6bd738d7f1b3e5a7ca70fe4ff75f0.us-east-1.aws.found.io/app/kibana#/discover/Steve-Slow-Train-Analysis-(2080s-and-2083s)?_g=(refreshInterval:(display:Off,pause:!f,section:0,value:0),time:(from:'2017-11-11T10:25:05-0700',mode:absolute,to:'2017-11-11T12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204" t="str">
        <f>IF(AA177&lt;VLOOKUP(AG177,Variables!$AC$3:$AD$8,2,FALSE),"Y","N")</f>
        <v>N</v>
      </c>
      <c r="X177" s="204">
        <f t="shared" si="74"/>
        <v>1</v>
      </c>
      <c r="Y177" s="204">
        <f t="shared" si="82"/>
        <v>5.8655999999999997</v>
      </c>
      <c r="Z177" s="204">
        <f t="shared" si="83"/>
        <v>6.8500000000000005E-2</v>
      </c>
      <c r="AA177" s="204">
        <f t="shared" si="64"/>
        <v>5.7970999999999995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65"/>
        <v>1812</v>
      </c>
      <c r="AE177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77" s="74" t="str">
        <f t="shared" si="67"/>
        <v>"C:\Program Files (x86)\AstroGrep\AstroGrep.exe" /e /r /s /spath="%USERPROFILE%\AppData\Local\Temp\OnboardLogs" /stypes="app*4005*20171111*" /stext=" 18:.+((SYSTEM_STATE.+slice.+state.+changed )|(ment ac)|(multiple cpu faults)|(system.+state.+changed )|(\[timeout)|(PRM\|1\|D)|(kpr)|(kdp)|(train st.+moving)|(\|lc)|(penalty))"</v>
      </c>
      <c r="AG177" s="182" t="str">
        <f t="shared" si="68"/>
        <v>NW</v>
      </c>
      <c r="AH177" s="78" t="str">
        <f t="shared" si="69"/>
        <v>"%USERPROFILE%\Documents\GitHub\eaglep3\Utilities\RefineRTDCRunTimes.py" --tripid 1812-11 --locoid 4005 --swversion DE.1.0.9.0 --startMP 300:58656 --initTime 2017-11-11T11:25:05 --startdatetime 2017-11-11T11:42:00 --delay 57 --endMP 204:685 --enddatetime 2017-11-11T11:54:44 --enforcementcount 0 &gt;&gt;%USERPROFILE%\Documents\GitHub\eaglep3-reporting\EC\2017-11-11-refined-times.txt</v>
      </c>
      <c r="AI177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{"issue":{"subject":"","project_id":79,"tracker_id":40,"status_id":1,"priority_id":2,"assigned_to_id":338,"start_date":"2017-11-11","description":"","custom_fields":[{"id":1,"name":"Subdivision","value":"NW"},{"id":4,"name":"Milepost","value":"0.0685"},{"id":17,"name":"Train ID","value":"1812-11"},{"id":16,"name":"Locomotive ID","value":"4005"},{"id":130,"name":"Impact","value":""},{"id":150,"name":"Time of Event (Mountain Time)","value":"11:54:44"},{"id":151,"name":"Denver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1"/>
        <v>start /low /b %USERPROFILE%\Documents\GitHub\eaglep3\Utilities\DownloadLogsFromS3.py --loco 4005 --day 2017-11-11</v>
      </c>
      <c r="AN177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3"/>
        <v>https://d0f6bd738d7f1b3e5a7ca70fe4ff75f0.us-east-1.aws.found.io/app/kibana#/discover/Steve-Slow-Train-Analysis-(2080s-and-2083s)?_g=(refreshInterval:(display:Off,pause:!f,section:0,value:0),time:(from:'2017-11-11T10:25:05-0700',mode:absolute,to:'2017-11-11T12:54:44-0700'))&amp;_a=(columns:!('Message%20ID',Summary),filters:!(),index:'emp_*',interval:auto,query:(query_string:(analyze_wildcard:!t,query:'%22rtdc.l.rtdc.4005%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778</v>
      </c>
      <c r="B178" s="7">
        <v>4006</v>
      </c>
      <c r="C178" s="21" t="s">
        <v>192</v>
      </c>
      <c r="D178" s="21" t="s">
        <v>981</v>
      </c>
      <c r="E178" s="13">
        <v>43050.50409722222</v>
      </c>
      <c r="F178" s="13">
        <v>43050.508460648147</v>
      </c>
      <c r="G178" s="7">
        <v>50</v>
      </c>
      <c r="H178" s="21" t="s">
        <v>970</v>
      </c>
      <c r="I178" s="13">
        <v>43050.518645833334</v>
      </c>
      <c r="J178" s="7">
        <v>0</v>
      </c>
      <c r="K178" s="89" t="str">
        <f t="shared" si="58"/>
        <v>4005/4006</v>
      </c>
      <c r="L178" s="185" t="str">
        <f>VLOOKUP(A178,'Trips&amp;Operators'!$C$1:$G$99911,5,FALSE)</f>
        <v>LAMAR NEKESHA</v>
      </c>
      <c r="M178" s="6">
        <f t="shared" si="59"/>
        <v>1.0185185186855961E-2</v>
      </c>
      <c r="N178" s="7">
        <f t="shared" si="84"/>
        <v>14.666666669072583</v>
      </c>
      <c r="O178" s="7"/>
      <c r="P178" s="7"/>
      <c r="Q178" s="22"/>
      <c r="R178" s="174"/>
      <c r="S178" s="221">
        <f t="shared" si="75"/>
        <v>1</v>
      </c>
      <c r="T178" s="174" t="str">
        <f t="shared" si="60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1"/>
        <v>https://d0f6bd738d7f1b3e5a7ca70fe4ff75f0.us-east-1.aws.found.io/app/kibana#/discover/Steve-Slow-Train-Analysis-(2080s-and-2083s)?_g=(refreshInterval:(display:Off,pause:!f,section:0,value:0),time:(from:'2017-11-11T11:05:54-0700',mode:absolute,to:'2017-11-11T13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204" t="str">
        <f>IF(AA178&lt;VLOOKUP(AG178,Variables!$AC$3:$AD$8,2,FALSE),"Y","N")</f>
        <v>N</v>
      </c>
      <c r="X178" s="204">
        <f t="shared" si="74"/>
        <v>1</v>
      </c>
      <c r="Y178" s="204">
        <f t="shared" si="82"/>
        <v>9.6000000000000002E-2</v>
      </c>
      <c r="Z178" s="204">
        <f t="shared" si="83"/>
        <v>5.8978000000000002</v>
      </c>
      <c r="AA178" s="204">
        <f t="shared" si="64"/>
        <v>5.8018000000000001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65"/>
        <v>1813</v>
      </c>
      <c r="AE178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78" s="74" t="str">
        <f t="shared" si="67"/>
        <v>"C:\Program Files (x86)\AstroGrep\AstroGrep.exe" /e /r /s /spath="%USERPROFILE%\AppData\Local\Temp\OnboardLogs" /stypes="app*4006*20171111*" /stext=" 19:.+((SYSTEM_STATE.+slice.+state.+changed )|(ment ac)|(multiple cpu faults)|(system.+state.+changed )|(\[timeout)|(PRM\|1\|D)|(kpr)|(kdp)|(train st.+moving)|(\|lc)|(penalty))"</v>
      </c>
      <c r="AG178" s="182" t="str">
        <f t="shared" si="68"/>
        <v>NW</v>
      </c>
      <c r="AH178" s="78" t="str">
        <f t="shared" si="69"/>
        <v>"%USERPROFILE%\Documents\GitHub\eaglep3\Utilities\RefineRTDCRunTimes.py" --tripid 1813-11 --locoid 4006 --swversion DE.1.0.9.0 --startMP 204:960 --initTime 2017-11-11T12:05:54 --startdatetime 2017-11-11T12:12:11 --delay 50 --endMP 300:58978 --enddatetime 2017-11-11T12:26:51 --enforcementcount 0 &gt;&gt;%USERPROFILE%\Documents\GitHub\eaglep3-reporting\EC\2017-11-11-refined-times.txt</v>
      </c>
      <c r="AI178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{"issue":{"subject":"","project_id":79,"tracker_id":40,"status_id":1,"priority_id":2,"assigned_to_id":338,"start_date":"2017-11-11","description":"","custom_fields":[{"id":1,"name":"Subdivision","value":"NW"},{"id":4,"name":"Milepost","value":"5.8978"},{"id":17,"name":"Train ID","value":"1813-11"},{"id":16,"name":"Locomotive ID","value":"4006"},{"id":130,"name":"Impact","value":""},{"id":150,"name":"Time of Event (Mountain Time)","value":"12:26:51"},{"id":151,"name":"Denver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1"/>
        <v>start /low /b %USERPROFILE%\Documents\GitHub\eaglep3\Utilities\DownloadLogsFromS3.py --loco 4006 --day 2017-11-11</v>
      </c>
      <c r="AN178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3"/>
        <v>https://d0f6bd738d7f1b3e5a7ca70fe4ff75f0.us-east-1.aws.found.io/app/kibana#/discover/Steve-Slow-Train-Analysis-(2080s-and-2083s)?_g=(refreshInterval:(display:Off,pause:!f,section:0,value:0),time:(from:'2017-11-11T11:05:54-0700',mode:absolute,to:'2017-11-11T13:26:51-0700'))&amp;_a=(columns:!('Message%20ID',Summary),filters:!(),index:'emp_*',interval:auto,query:(query_string:(analyze_wildcard:!t,query:'%22rtdc.l.rtdc.4006%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678</v>
      </c>
      <c r="B179" s="7">
        <v>4005</v>
      </c>
      <c r="C179" s="21" t="s">
        <v>192</v>
      </c>
      <c r="D179" s="21" t="s">
        <v>982</v>
      </c>
      <c r="E179" s="13">
        <v>43050.519918981481</v>
      </c>
      <c r="F179" s="13">
        <v>43050.527777777781</v>
      </c>
      <c r="G179" s="7">
        <v>51</v>
      </c>
      <c r="H179" s="21" t="s">
        <v>983</v>
      </c>
      <c r="I179" s="13">
        <v>43050.536678240744</v>
      </c>
      <c r="J179" s="7">
        <v>0</v>
      </c>
      <c r="K179" s="89" t="str">
        <f t="shared" si="58"/>
        <v>4005/4006</v>
      </c>
      <c r="L179" s="185" t="str">
        <f>VLOOKUP(A179,'Trips&amp;Operators'!$C$1:$G$99911,5,FALSE)</f>
        <v>LAMAR NEKESHA</v>
      </c>
      <c r="M179" s="6">
        <f t="shared" si="59"/>
        <v>8.9004629626288079E-3</v>
      </c>
      <c r="N179" s="7">
        <f t="shared" si="84"/>
        <v>12.816666666185483</v>
      </c>
      <c r="O179" s="7"/>
      <c r="P179" s="7"/>
      <c r="Q179" s="22"/>
      <c r="R179" s="174"/>
      <c r="S179" s="221">
        <f t="shared" si="75"/>
        <v>1</v>
      </c>
      <c r="T179" s="174" t="str">
        <f t="shared" si="60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1"/>
        <v>https://d0f6bd738d7f1b3e5a7ca70fe4ff75f0.us-east-1.aws.found.io/app/kibana#/discover/Steve-Slow-Train-Analysis-(2080s-and-2083s)?_g=(refreshInterval:(display:Off,pause:!f,section:0,value:0),time:(from:'2017-11-11T11:28:41-0700',mode:absolute,to:'2017-11-11T13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204" t="str">
        <f>IF(AA179&lt;VLOOKUP(AG179,Variables!$AC$3:$AD$8,2,FALSE),"Y","N")</f>
        <v>Y</v>
      </c>
      <c r="X179" s="204">
        <f t="shared" si="74"/>
        <v>1</v>
      </c>
      <c r="Y179" s="204">
        <f t="shared" si="82"/>
        <v>5.8672000000000004</v>
      </c>
      <c r="Z179" s="204">
        <f t="shared" si="83"/>
        <v>0.45150000000000001</v>
      </c>
      <c r="AA179" s="204">
        <f t="shared" si="64"/>
        <v>5.4157000000000002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65"/>
        <v>1814</v>
      </c>
      <c r="AE179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79" s="74" t="str">
        <f t="shared" si="67"/>
        <v>"C:\Program Files (x86)\AstroGrep\AstroGrep.exe" /e /r /s /spath="%USERPROFILE%\AppData\Local\Temp\OnboardLogs" /stypes="app*4005*20171111*" /stext=" 19:.+((SYSTEM_STATE.+slice.+state.+changed )|(ment ac)|(multiple cpu faults)|(system.+state.+changed )|(\[timeout)|(PRM\|1\|D)|(kpr)|(kdp)|(train st.+moving)|(\|lc)|(penalty))"</v>
      </c>
      <c r="AG179" s="182" t="str">
        <f t="shared" si="68"/>
        <v>NW</v>
      </c>
      <c r="AH179" s="78" t="str">
        <f t="shared" si="69"/>
        <v>"%USERPROFILE%\Documents\GitHub\eaglep3\Utilities\RefineRTDCRunTimes.py" --tripid 1814-11 --locoid 4005 --swversion DE.1.0.9.0 --startMP 300:58672 --initTime 2017-11-11T12:28:41 --startdatetime 2017-11-11T12:40:00 --delay 51 --endMP 204:4515 --enddatetime 2017-11-11T12:52:49 --enforcementcount 0 &gt;&gt;%USERPROFILE%\Documents\GitHub\eaglep3-reporting\EC\2017-11-11-refined-times.txt</v>
      </c>
      <c r="AI179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{"issue":{"subject":"","project_id":79,"tracker_id":40,"status_id":1,"priority_id":2,"assigned_to_id":338,"start_date":"2017-11-11","description":"","custom_fields":[{"id":1,"name":"Subdivision","value":"NW"},{"id":4,"name":"Milepost","value":"0.4515"},{"id":17,"name":"Train ID","value":"1814-11"},{"id":16,"name":"Locomotive ID","value":"4005"},{"id":130,"name":"Impact","value":""},{"id":150,"name":"Time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1"/>
        <v>start /low /b %USERPROFILE%\Documents\GitHub\eaglep3\Utilities\DownloadLogsFromS3.py --loco 4005 --day 2017-11-11</v>
      </c>
      <c r="AN179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19:52:49"},{"id":29,"name":"Sharepoint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3"/>
        <v>https://d0f6bd738d7f1b3e5a7ca70fe4ff75f0.us-east-1.aws.found.io/app/kibana#/discover/Steve-Slow-Train-Analysis-(2080s-and-2083s)?_g=(refreshInterval:(display:Off,pause:!f,section:0,value:0),time:(from:'2017-11-11T11:28:41-0700',mode:absolute,to:'2017-11-11T13:52:49-0700'))&amp;_a=(columns:!('Message%20ID',Summary),filters:!(),index:'emp_*',interval:auto,query:(query_string:(analyze_wildcard:!t,query:'%22rtdc.l.rtdc.4005%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785</v>
      </c>
      <c r="B180" s="7">
        <v>4006</v>
      </c>
      <c r="C180" s="21" t="s">
        <v>192</v>
      </c>
      <c r="D180" s="21" t="s">
        <v>973</v>
      </c>
      <c r="E180" s="13">
        <v>43050.546053240738</v>
      </c>
      <c r="F180" s="13">
        <v>43050.548321759263</v>
      </c>
      <c r="G180" s="7">
        <v>63</v>
      </c>
      <c r="H180" s="21" t="s">
        <v>970</v>
      </c>
      <c r="I180" s="13">
        <v>43050.557916666665</v>
      </c>
      <c r="J180" s="7">
        <v>0</v>
      </c>
      <c r="K180" s="89" t="str">
        <f t="shared" si="58"/>
        <v>4005/4006</v>
      </c>
      <c r="L180" s="185" t="str">
        <f>VLOOKUP(A180,'Trips&amp;Operators'!$C$1:$G$99911,5,FALSE)</f>
        <v>LAMAR NEKESHA</v>
      </c>
      <c r="M180" s="6">
        <f t="shared" si="59"/>
        <v>9.594907402060926E-3</v>
      </c>
      <c r="N180" s="7">
        <f t="shared" si="84"/>
        <v>13.816666658967733</v>
      </c>
      <c r="O180" s="7"/>
      <c r="P180" s="7"/>
      <c r="Q180" s="22"/>
      <c r="R180" s="174"/>
      <c r="S180" s="221">
        <f t="shared" si="75"/>
        <v>1</v>
      </c>
      <c r="T180" s="174" t="str">
        <f t="shared" si="60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1"/>
        <v>https://d0f6bd738d7f1b3e5a7ca70fe4ff75f0.us-east-1.aws.found.io/app/kibana#/discover/Steve-Slow-Train-Analysis-(2080s-and-2083s)?_g=(refreshInterval:(display:Off,pause:!f,section:0,value:0),time:(from:'2017-11-11T12:06:19-0700',mode:absolute,to:'2017-11-11T14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204" t="str">
        <f>IF(AA180&lt;VLOOKUP(AG180,Variables!$AC$3:$AD$8,2,FALSE),"Y","N")</f>
        <v>N</v>
      </c>
      <c r="X180" s="204">
        <f t="shared" si="74"/>
        <v>1</v>
      </c>
      <c r="Y180" s="204">
        <f t="shared" si="82"/>
        <v>9.6699999999999994E-2</v>
      </c>
      <c r="Z180" s="204">
        <f t="shared" si="83"/>
        <v>5.8978000000000002</v>
      </c>
      <c r="AA180" s="204">
        <f t="shared" si="64"/>
        <v>5.8010999999999999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65"/>
        <v>1815</v>
      </c>
      <c r="AE180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80" s="74" t="str">
        <f t="shared" si="67"/>
        <v>"C:\Program Files (x86)\AstroGrep\AstroGrep.exe" /e /r /s /spath="%USERPROFILE%\AppData\Local\Temp\OnboardLogs" /stypes="app*4006*20171111*" /stext=" 20:.+((SYSTEM_STATE.+slice.+state.+changed )|(ment ac)|(multiple cpu faults)|(system.+state.+changed )|(\[timeout)|(PRM\|1\|D)|(kpr)|(kdp)|(train st.+moving)|(\|lc)|(penalty))"</v>
      </c>
      <c r="AG180" s="182" t="str">
        <f t="shared" si="68"/>
        <v>NW</v>
      </c>
      <c r="AH180" s="78" t="str">
        <f t="shared" si="69"/>
        <v>"%USERPROFILE%\Documents\GitHub\eaglep3\Utilities\RefineRTDCRunTimes.py" --tripid 1815-11 --locoid 4006 --swversion DE.1.0.9.0 --startMP 204:967 --initTime 2017-11-11T13:06:19 --startdatetime 2017-11-11T13:09:35 --delay 63 --endMP 300:58978 --enddatetime 2017-11-11T13:23:24 --enforcementcount 0 &gt;&gt;%USERPROFILE%\Documents\GitHub\eaglep3-reporting\EC\2017-11-11-refined-times.txt</v>
      </c>
      <c r="AI180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{"issue":{"subject":"","project_id":79,"tracker_id":40,"status_id":1,"priority_id":2,"assigned_to_id":338,"start_date":"2017-11-11","description":"","custom_fields":[{"id":1,"name":"Subdivision","value":"NW"},{"id":4,"name":"Milepost","value":"5.8978"},{"id":17,"name":"Train ID","value":"1815-11"},{"id":16,"name":"Locomotive ID","value":"4006"},{"id":130,"name":"Impact","value":""},{"id":150,"name":"Time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1"/>
        <v>start /low /b %USERPROFILE%\Documents\GitHub\eaglep3\Utilities\DownloadLogsFromS3.py --loco 4006 --day 2017-11-11</v>
      </c>
      <c r="AN180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3"/>
        <v>https://d0f6bd738d7f1b3e5a7ca70fe4ff75f0.us-east-1.aws.found.io/app/kibana#/discover/Steve-Slow-Train-Analysis-(2080s-and-2083s)?_g=(refreshInterval:(display:Off,pause:!f,section:0,value:0),time:(from:'2017-11-11T12:06:19-0700',mode:absolute,to:'2017-11-11T14:23:24-0700'))&amp;_a=(columns:!('Message%20ID',Summary),filters:!(),index:'emp_*',interval:auto,query:(query_string:(analyze_wildcard:!t,query:'%22rtdc.l.rtdc.4006%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790</v>
      </c>
      <c r="B181" s="7">
        <v>4005</v>
      </c>
      <c r="C181" s="21" t="s">
        <v>192</v>
      </c>
      <c r="D181" s="21" t="s">
        <v>477</v>
      </c>
      <c r="E181" s="13">
        <v>43050.559328703705</v>
      </c>
      <c r="F181" s="13">
        <v>43050.570138888892</v>
      </c>
      <c r="G181" s="7">
        <v>55</v>
      </c>
      <c r="H181" s="21" t="s">
        <v>984</v>
      </c>
      <c r="I181" s="13">
        <v>43050.579675925925</v>
      </c>
      <c r="J181" s="7">
        <v>0</v>
      </c>
      <c r="K181" s="89" t="str">
        <f t="shared" si="58"/>
        <v>4005/4006</v>
      </c>
      <c r="L181" s="185" t="str">
        <f>VLOOKUP(A181,'Trips&amp;Operators'!$C$1:$G$99911,5,FALSE)</f>
        <v>LAMAR NEKESHA</v>
      </c>
      <c r="M181" s="6">
        <f t="shared" si="59"/>
        <v>9.5370370327145793E-3</v>
      </c>
      <c r="N181" s="7">
        <f t="shared" si="84"/>
        <v>13.733333327108994</v>
      </c>
      <c r="O181" s="7"/>
      <c r="P181" s="7"/>
      <c r="Q181" s="22"/>
      <c r="R181" s="174"/>
      <c r="S181" s="221">
        <f t="shared" si="75"/>
        <v>1</v>
      </c>
      <c r="T181" s="174" t="str">
        <f t="shared" si="60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1"/>
        <v>https://d0f6bd738d7f1b3e5a7ca70fe4ff75f0.us-east-1.aws.found.io/app/kibana#/discover/Steve-Slow-Train-Analysis-(2080s-and-2083s)?_g=(refreshInterval:(display:Off,pause:!f,section:0,value:0),time:(from:'2017-11-11T12:25:26-0700',mode:absolute,to:'2017-11-11T14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204" t="str">
        <f>IF(AA181&lt;VLOOKUP(AG181,Variables!$AC$3:$AD$8,2,FALSE),"Y","N")</f>
        <v>N</v>
      </c>
      <c r="X181" s="204">
        <f t="shared" si="74"/>
        <v>1</v>
      </c>
      <c r="Y181" s="204">
        <f t="shared" si="82"/>
        <v>5.8666</v>
      </c>
      <c r="Z181" s="204">
        <f t="shared" si="83"/>
        <v>7.3400000000000007E-2</v>
      </c>
      <c r="AA181" s="204">
        <f t="shared" si="64"/>
        <v>5.7931999999999997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65"/>
        <v>1816</v>
      </c>
      <c r="AE181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81" s="74" t="str">
        <f t="shared" si="67"/>
        <v>"C:\Program Files (x86)\AstroGrep\AstroGrep.exe" /e /r /s /spath="%USERPROFILE%\AppData\Local\Temp\OnboardLogs" /stypes="app*4005*20171111*" /stext=" 20:.+((SYSTEM_STATE.+slice.+state.+changed )|(ment ac)|(multiple cpu faults)|(system.+state.+changed )|(\[timeout)|(PRM\|1\|D)|(kpr)|(kdp)|(train st.+moving)|(\|lc)|(penalty))"</v>
      </c>
      <c r="AG181" s="182" t="str">
        <f t="shared" si="68"/>
        <v>NW</v>
      </c>
      <c r="AH181" s="78" t="str">
        <f t="shared" si="69"/>
        <v>"%USERPROFILE%\Documents\GitHub\eaglep3\Utilities\RefineRTDCRunTimes.py" --tripid 1816-11 --locoid 4005 --swversion DE.1.0.9.0 --startMP 300:58666 --initTime 2017-11-11T13:25:26 --startdatetime 2017-11-11T13:41:00 --delay 55 --endMP 204:734 --enddatetime 2017-11-11T13:54:44 --enforcementcount 0 &gt;&gt;%USERPROFILE%\Documents\GitHub\eaglep3-reporting\EC\2017-11-11-refined-times.txt</v>
      </c>
      <c r="AI181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{"issue":{"subject":"","project_id":79,"tracker_id":40,"status_id":1,"priority_id":2,"assigned_to_id":338,"start_date":"2017-11-11","description":"","custom_fields":[{"id":1,"name":"Subdivision","value":"NW"},{"id":4,"name":"Milepost","value":"0.0734"},{"id":17,"name":"Train ID","value":"1816-11"},{"id":16,"name":"Locomotive ID","value":"4005"},{"id":130,"name":"Impact","value":""},{"id":150,"name":"Time of Event (Mountain Time)","value":"13:54:44"},{"id":151,"name":"Denver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1"/>
        <v>start /low /b %USERPROFILE%\Documents\GitHub\eaglep3\Utilities\DownloadLogsFromS3.py --loco 4005 --day 2017-11-11</v>
      </c>
      <c r="AN181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20:54:44"},{"id":29,"name":"Sharepoint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3"/>
        <v>https://d0f6bd738d7f1b3e5a7ca70fe4ff75f0.us-east-1.aws.found.io/app/kibana#/discover/Steve-Slow-Train-Analysis-(2080s-and-2083s)?_g=(refreshInterval:(display:Off,pause:!f,section:0,value:0),time:(from:'2017-11-11T12:25:26-0700',mode:absolute,to:'2017-11-11T14:54:44-0700'))&amp;_a=(columns:!('Message%20ID',Summary),filters:!(),index:'emp_*',interval:auto,query:(query_string:(analyze_wildcard:!t,query:'%22rtdc.l.rtdc.4005%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796</v>
      </c>
      <c r="B182" s="7">
        <v>4006</v>
      </c>
      <c r="C182" s="21" t="s">
        <v>192</v>
      </c>
      <c r="D182" s="21" t="s">
        <v>985</v>
      </c>
      <c r="E182" s="13">
        <v>43050.583472222221</v>
      </c>
      <c r="F182" s="13">
        <v>43050.589849537035</v>
      </c>
      <c r="G182" s="7">
        <v>72</v>
      </c>
      <c r="H182" s="21" t="s">
        <v>532</v>
      </c>
      <c r="I182" s="13">
        <v>43050.599305555559</v>
      </c>
      <c r="J182" s="7">
        <v>0</v>
      </c>
      <c r="K182" s="89" t="str">
        <f t="shared" si="58"/>
        <v>4005/4006</v>
      </c>
      <c r="L182" s="185" t="str">
        <f>VLOOKUP(A182,'Trips&amp;Operators'!$C$1:$G$99911,5,FALSE)</f>
        <v>SMITH MICHAEL</v>
      </c>
      <c r="M182" s="6">
        <f t="shared" si="59"/>
        <v>9.456018524360843E-3</v>
      </c>
      <c r="N182" s="7">
        <f t="shared" si="84"/>
        <v>13.616666675079614</v>
      </c>
      <c r="O182" s="7"/>
      <c r="P182" s="7"/>
      <c r="Q182" s="22"/>
      <c r="R182" s="174"/>
      <c r="S182" s="221">
        <f t="shared" si="75"/>
        <v>1</v>
      </c>
      <c r="T182" s="174" t="str">
        <f t="shared" si="60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1"/>
        <v>https://d0f6bd738d7f1b3e5a7ca70fe4ff75f0.us-east-1.aws.found.io/app/kibana#/discover/Steve-Slow-Train-Analysis-(2080s-and-2083s)?_g=(refreshInterval:(display:Off,pause:!f,section:0,value:0),time:(from:'2017-11-11T13:00:12-0700',mode:absolute,to:'2017-11-11T15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204" t="str">
        <f>IF(AA182&lt;VLOOKUP(AG182,Variables!$AC$3:$AD$8,2,FALSE),"Y","N")</f>
        <v>N</v>
      </c>
      <c r="X182" s="204">
        <f t="shared" si="74"/>
        <v>1</v>
      </c>
      <c r="Y182" s="204">
        <f t="shared" si="82"/>
        <v>0.1028</v>
      </c>
      <c r="Z182" s="204">
        <f t="shared" si="83"/>
        <v>5.8971</v>
      </c>
      <c r="AA182" s="204">
        <f t="shared" si="64"/>
        <v>5.7942999999999998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65"/>
        <v>1817</v>
      </c>
      <c r="AE182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82" s="74" t="str">
        <f t="shared" si="67"/>
        <v>"C:\Program Files (x86)\AstroGrep\AstroGrep.exe" /e /r /s /spath="%USERPROFILE%\AppData\Local\Temp\OnboardLogs" /stypes="app*4006*20171111*" /stext=" 21:.+((SYSTEM_STATE.+slice.+state.+changed )|(ment ac)|(multiple cpu faults)|(system.+state.+changed )|(\[timeout)|(PRM\|1\|D)|(kpr)|(kdp)|(train st.+moving)|(\|lc)|(penalty))"</v>
      </c>
      <c r="AG182" s="182" t="str">
        <f t="shared" si="68"/>
        <v>NW</v>
      </c>
      <c r="AH182" s="78" t="str">
        <f t="shared" si="69"/>
        <v>"%USERPROFILE%\Documents\GitHub\eaglep3\Utilities\RefineRTDCRunTimes.py" --tripid 1817-11 --locoid 4006 --swversion DE.1.0.9.0 --startMP 204:1028 --initTime 2017-11-11T14:00:12 --startdatetime 2017-11-11T14:09:23 --delay 72 --endMP 300:58971 --enddatetime 2017-11-11T14:23:00 --enforcementcount 0 &gt;&gt;%USERPROFILE%\Documents\GitHub\eaglep3-reporting\EC\2017-11-11-refined-times.txt</v>
      </c>
      <c r="AI182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{"issue":{"subject":"","project_id":79,"tracker_id":40,"status_id":1,"priority_id":2,"assigned_to_id":338,"start_date":"2017-11-11","description":"","custom_fields":[{"id":1,"name":"Subdivision","value":"NW"},{"id":4,"name":"Milepost","value":"5.8971"},{"id":17,"name":"Train ID","value":"1817-11"},{"id":16,"name":"Locomotive ID","value":"4006"},{"id":130,"name":"Impact","value":""},{"id":150,"name":"Time of Event (Mountain Time)","value":"14:23:00"},{"id":151,"name":"Denver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1"/>
        <v>start /low /b %USERPROFILE%\Documents\GitHub\eaglep3\Utilities\DownloadLogsFromS3.py --loco 4006 --day 2017-11-11</v>
      </c>
      <c r="AN182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3"/>
        <v>https://d0f6bd738d7f1b3e5a7ca70fe4ff75f0.us-east-1.aws.found.io/app/kibana#/discover/Steve-Slow-Train-Analysis-(2080s-and-2083s)?_g=(refreshInterval:(display:Off,pause:!f,section:0,value:0),time:(from:'2017-11-11T13:00:12-0700',mode:absolute,to:'2017-11-11T15:23:00-0700'))&amp;_a=(columns:!('Message%20ID',Summary),filters:!(),index:'emp_*',interval:auto,query:(query_string:(analyze_wildcard:!t,query:'%22rtdc.l.rtdc.4006%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799</v>
      </c>
      <c r="B183" s="7">
        <v>4005</v>
      </c>
      <c r="C183" s="21" t="s">
        <v>192</v>
      </c>
      <c r="D183" s="21" t="s">
        <v>647</v>
      </c>
      <c r="E183" s="13">
        <v>43050.601331018515</v>
      </c>
      <c r="F183" s="13">
        <v>43050.611805555556</v>
      </c>
      <c r="G183" s="7">
        <v>79</v>
      </c>
      <c r="H183" s="21" t="s">
        <v>986</v>
      </c>
      <c r="I183" s="13">
        <v>43050.622083333335</v>
      </c>
      <c r="J183" s="7">
        <v>0</v>
      </c>
      <c r="K183" s="89" t="str">
        <f t="shared" si="58"/>
        <v>4005/4006</v>
      </c>
      <c r="L183" s="185" t="str">
        <f>VLOOKUP(A183,'Trips&amp;Operators'!$C$1:$G$99911,5,FALSE)</f>
        <v>SMITH MICHAEL</v>
      </c>
      <c r="M183" s="6">
        <f t="shared" si="59"/>
        <v>1.0277777779265307E-2</v>
      </c>
      <c r="N183" s="7">
        <f t="shared" si="84"/>
        <v>14.800000002142042</v>
      </c>
      <c r="O183" s="7"/>
      <c r="P183" s="7"/>
      <c r="Q183" s="22"/>
      <c r="R183" s="174"/>
      <c r="S183" s="221">
        <f t="shared" si="75"/>
        <v>1</v>
      </c>
      <c r="T183" s="174" t="str">
        <f t="shared" si="60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1"/>
        <v>https://d0f6bd738d7f1b3e5a7ca70fe4ff75f0.us-east-1.aws.found.io/app/kibana#/discover/Steve-Slow-Train-Analysis-(2080s-and-2083s)?_g=(refreshInterval:(display:Off,pause:!f,section:0,value:0),time:(from:'2017-11-11T13:25:55-0700',mode:absolute,to:'2017-11-11T15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204" t="str">
        <f>IF(AA183&lt;VLOOKUP(AG183,Variables!$AC$3:$AD$8,2,FALSE),"Y","N")</f>
        <v>N</v>
      </c>
      <c r="X183" s="204">
        <f t="shared" si="74"/>
        <v>1</v>
      </c>
      <c r="Y183" s="204">
        <f t="shared" si="82"/>
        <v>5.8659999999999997</v>
      </c>
      <c r="Z183" s="204">
        <f t="shared" si="83"/>
        <v>8.1299999999999997E-2</v>
      </c>
      <c r="AA183" s="204">
        <f t="shared" si="64"/>
        <v>5.7847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65"/>
        <v>1818</v>
      </c>
      <c r="AE183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83" s="74" t="str">
        <f t="shared" si="67"/>
        <v>"C:\Program Files (x86)\AstroGrep\AstroGrep.exe" /e /r /s /spath="%USERPROFILE%\AppData\Local\Temp\OnboardLogs" /stypes="app*4005*20171111*" /stext=" 21:.+((SYSTEM_STATE.+slice.+state.+changed )|(ment ac)|(multiple cpu faults)|(system.+state.+changed )|(\[timeout)|(PRM\|1\|D)|(kpr)|(kdp)|(train st.+moving)|(\|lc)|(penalty))"</v>
      </c>
      <c r="AG183" s="182" t="str">
        <f t="shared" si="68"/>
        <v>NW</v>
      </c>
      <c r="AH183" s="78" t="str">
        <f t="shared" si="69"/>
        <v>"%USERPROFILE%\Documents\GitHub\eaglep3\Utilities\RefineRTDCRunTimes.py" --tripid 1818-11 --locoid 4005 --swversion DE.1.0.9.0 --startMP 300:58660 --initTime 2017-11-11T14:25:55 --startdatetime 2017-11-11T14:41:00 --delay 79 --endMP 204:813 --enddatetime 2017-11-11T14:55:48 --enforcementcount 0 &gt;&gt;%USERPROFILE%\Documents\GitHub\eaglep3-reporting\EC\2017-11-11-refined-times.txt</v>
      </c>
      <c r="AI183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{"issue":{"subject":"","project_id":79,"tracker_id":40,"status_id":1,"priority_id":2,"assigned_to_id":338,"start_date":"2017-11-11","description":"","custom_fields":[{"id":1,"name":"Subdivision","value":"NW"},{"id":4,"name":"Milepost","value":"0.0813"},{"id":17,"name":"Train ID","value":"1818-11"},{"id":16,"name":"Locomotive ID","value":"4005"},{"id":130,"name":"Impact","value":""},{"id":150,"name":"Time of Event (Mountain Time)","value":"14:55:48"},{"id":151,"name":"Denver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1"/>
        <v>start /low /b %USERPROFILE%\Documents\GitHub\eaglep3\Utilities\DownloadLogsFromS3.py --loco 4005 --day 2017-11-11</v>
      </c>
      <c r="AN183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3"/>
        <v>https://d0f6bd738d7f1b3e5a7ca70fe4ff75f0.us-east-1.aws.found.io/app/kibana#/discover/Steve-Slow-Train-Analysis-(2080s-and-2083s)?_g=(refreshInterval:(display:Off,pause:!f,section:0,value:0),time:(from:'2017-11-11T13:25:55-0700',mode:absolute,to:'2017-11-11T15:55:48-0700'))&amp;_a=(columns:!('Message%20ID',Summary),filters:!(),index:'emp_*',interval:auto,query:(query_string:(analyze_wildcard:!t,query:'%22rtdc.l.rtdc.4005%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803</v>
      </c>
      <c r="B184" s="7">
        <v>4006</v>
      </c>
      <c r="C184" s="21" t="s">
        <v>192</v>
      </c>
      <c r="D184" s="21" t="s">
        <v>650</v>
      </c>
      <c r="E184" s="13">
        <v>43050.625868055555</v>
      </c>
      <c r="F184" s="13">
        <v>43050.631469907406</v>
      </c>
      <c r="G184" s="7">
        <v>64</v>
      </c>
      <c r="H184" s="21" t="s">
        <v>987</v>
      </c>
      <c r="I184" s="13">
        <v>43050.641006944446</v>
      </c>
      <c r="J184" s="7">
        <v>0</v>
      </c>
      <c r="K184" s="89" t="str">
        <f t="shared" si="58"/>
        <v>4005/4006</v>
      </c>
      <c r="L184" s="185" t="str">
        <f>VLOOKUP(A184,'Trips&amp;Operators'!$C$1:$G$99911,5,FALSE)</f>
        <v>SMITH MICHAEL</v>
      </c>
      <c r="M184" s="6">
        <f t="shared" si="59"/>
        <v>9.5370370399905369E-3</v>
      </c>
      <c r="N184" s="7">
        <f t="shared" si="84"/>
        <v>13.733333337586373</v>
      </c>
      <c r="O184" s="7"/>
      <c r="P184" s="7"/>
      <c r="Q184" s="22"/>
      <c r="R184" s="174"/>
      <c r="S184" s="221">
        <f t="shared" si="75"/>
        <v>1</v>
      </c>
      <c r="T184" s="174" t="str">
        <f t="shared" si="60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1"/>
        <v>https://d0f6bd738d7f1b3e5a7ca70fe4ff75f0.us-east-1.aws.found.io/app/kibana#/discover/Steve-Slow-Train-Analysis-(2080s-and-2083s)?_g=(refreshInterval:(display:Off,pause:!f,section:0,value:0),time:(from:'2017-11-11T14:01:15-0700',mode:absolute,to:'2017-11-11T16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204" t="str">
        <f>IF(AA184&lt;VLOOKUP(AG184,Variables!$AC$3:$AD$8,2,FALSE),"Y","N")</f>
        <v>N</v>
      </c>
      <c r="X184" s="204">
        <f t="shared" si="74"/>
        <v>1</v>
      </c>
      <c r="Y184" s="204">
        <f t="shared" si="82"/>
        <v>0.1084</v>
      </c>
      <c r="Z184" s="204">
        <f t="shared" si="83"/>
        <v>5.9009999999999998</v>
      </c>
      <c r="AA184" s="204">
        <f t="shared" si="64"/>
        <v>5.7926000000000002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65"/>
        <v>1819</v>
      </c>
      <c r="AE184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84" s="74" t="str">
        <f t="shared" si="67"/>
        <v>"C:\Program Files (x86)\AstroGrep\AstroGrep.exe" /e /r /s /spath="%USERPROFILE%\AppData\Local\Temp\OnboardLogs" /stypes="app*4006*20171111*" /stext=" 22:.+((SYSTEM_STATE.+slice.+state.+changed )|(ment ac)|(multiple cpu faults)|(system.+state.+changed )|(\[timeout)|(PRM\|1\|D)|(kpr)|(kdp)|(train st.+moving)|(\|lc)|(penalty))"</v>
      </c>
      <c r="AG184" s="182" t="str">
        <f t="shared" si="68"/>
        <v>NW</v>
      </c>
      <c r="AH184" s="78" t="str">
        <f t="shared" si="69"/>
        <v>"%USERPROFILE%\Documents\GitHub\eaglep3\Utilities\RefineRTDCRunTimes.py" --tripid 1819-11 --locoid 4006 --swversion DE.1.0.9.0 --startMP 204:1084 --initTime 2017-11-11T15:01:15 --startdatetime 2017-11-11T15:09:19 --delay 64 --endMP 300:59010 --enddatetime 2017-11-11T15:23:03 --enforcementcount 0 &gt;&gt;%USERPROFILE%\Documents\GitHub\eaglep3-reporting\EC\2017-11-11-refined-times.txt</v>
      </c>
      <c r="AI184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{"issue":{"subject":"","project_id":79,"tracker_id":40,"status_id":1,"priority_id":2,"assigned_to_id":338,"start_date":"2017-11-11","description":"","custom_fields":[{"id":1,"name":"Subdivision","value":"NW"},{"id":4,"name":"Milepost","value":"5.901"},{"id":17,"name":"Train ID","value":"1819-11"},{"id":16,"name":"Locomotive ID","value":"4006"},{"id":130,"name":"Impact","value":""},{"id":150,"name":"Time of Event (Mountain Time)","value":"15:23:03"},{"id":151,"name":"Denver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1"/>
        <v>start /low /b %USERPROFILE%\Documents\GitHub\eaglep3\Utilities\DownloadLogsFromS3.py --loco 4006 --day 2017-11-11</v>
      </c>
      <c r="AN184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3"/>
        <v>https://d0f6bd738d7f1b3e5a7ca70fe4ff75f0.us-east-1.aws.found.io/app/kibana#/discover/Steve-Slow-Train-Analysis-(2080s-and-2083s)?_g=(refreshInterval:(display:Off,pause:!f,section:0,value:0),time:(from:'2017-11-11T14:01:15-0700',mode:absolute,to:'2017-11-11T16:23:03-0700'))&amp;_a=(columns:!('Message%20ID',Summary),filters:!(),index:'emp_*',interval:auto,query:(query_string:(analyze_wildcard:!t,query:'%22rtdc.l.rtdc.4006%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807</v>
      </c>
      <c r="B185" s="7">
        <v>4005</v>
      </c>
      <c r="C185" s="21" t="s">
        <v>192</v>
      </c>
      <c r="D185" s="21" t="s">
        <v>989</v>
      </c>
      <c r="E185" s="13">
        <v>43050.64267361111</v>
      </c>
      <c r="F185" s="13">
        <v>43050.65347222222</v>
      </c>
      <c r="G185" s="7">
        <v>79</v>
      </c>
      <c r="H185" s="21" t="s">
        <v>990</v>
      </c>
      <c r="I185" s="13">
        <v>43050.663518518515</v>
      </c>
      <c r="J185" s="7">
        <v>0</v>
      </c>
      <c r="K185" s="89" t="str">
        <f t="shared" si="58"/>
        <v>4005/4006</v>
      </c>
      <c r="L185" s="185" t="str">
        <f>VLOOKUP(A185,'Trips&amp;Operators'!$C$1:$G$99911,5,FALSE)</f>
        <v>SMITH MICHAEL</v>
      </c>
      <c r="M185" s="6">
        <f t="shared" si="59"/>
        <v>1.0046296294603962E-2</v>
      </c>
      <c r="N185" s="7">
        <f t="shared" si="84"/>
        <v>14.466666664229706</v>
      </c>
      <c r="O185" s="7"/>
      <c r="P185" s="7"/>
      <c r="Q185" s="22"/>
      <c r="R185" s="174"/>
      <c r="S185" s="221">
        <f t="shared" si="75"/>
        <v>1</v>
      </c>
      <c r="T185" s="174" t="str">
        <f t="shared" si="60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1"/>
        <v>https://d0f6bd738d7f1b3e5a7ca70fe4ff75f0.us-east-1.aws.found.io/app/kibana#/discover/Steve-Slow-Train-Analysis-(2080s-and-2083s)?_g=(refreshInterval:(display:Off,pause:!f,section:0,value:0),time:(from:'2017-11-11T14:25:27-0700',mode:absolute,to:'2017-11-11T16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204" t="str">
        <f>IF(AA185&lt;VLOOKUP(AG185,Variables!$AC$3:$AD$8,2,FALSE),"Y","N")</f>
        <v>N</v>
      </c>
      <c r="X185" s="204">
        <f t="shared" si="74"/>
        <v>1</v>
      </c>
      <c r="Y185" s="204">
        <f t="shared" si="82"/>
        <v>5.8693999999999997</v>
      </c>
      <c r="Z185" s="204">
        <f t="shared" si="83"/>
        <v>7.8E-2</v>
      </c>
      <c r="AA185" s="204">
        <f t="shared" si="64"/>
        <v>5.7913999999999994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65"/>
        <v>1820</v>
      </c>
      <c r="AE185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85" s="74" t="str">
        <f t="shared" si="67"/>
        <v>"C:\Program Files (x86)\AstroGrep\AstroGrep.exe" /e /r /s /spath="%USERPROFILE%\AppData\Local\Temp\OnboardLogs" /stypes="app*4005*20171111*" /stext=" 22:.+((SYSTEM_STATE.+slice.+state.+changed )|(ment ac)|(multiple cpu faults)|(system.+state.+changed )|(\[timeout)|(PRM\|1\|D)|(kpr)|(kdp)|(train st.+moving)|(\|lc)|(penalty))"</v>
      </c>
      <c r="AG185" s="182" t="str">
        <f t="shared" si="68"/>
        <v>NW</v>
      </c>
      <c r="AH185" s="78" t="str">
        <f t="shared" si="69"/>
        <v>"%USERPROFILE%\Documents\GitHub\eaglep3\Utilities\RefineRTDCRunTimes.py" --tripid 1820-11 --locoid 4005 --swversion DE.1.0.9.0 --startMP 300:58694 --initTime 2017-11-11T15:25:27 --startdatetime 2017-11-11T15:41:00 --delay 79 --endMP 204:780 --enddatetime 2017-11-11T15:55:28 --enforcementcount 0 &gt;&gt;%USERPROFILE%\Documents\GitHub\eaglep3-reporting\EC\2017-11-11-refined-times.txt</v>
      </c>
      <c r="AI185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{"issue":{"subject":"","project_id":79,"tracker_id":40,"status_id":1,"priority_id":2,"assigned_to_id":338,"start_date":"2017-11-11","description":"","custom_fields":[{"id":1,"name":"Subdivision","value":"NW"},{"id":4,"name":"Milepost","value":"0.078"},{"id":17,"name":"Train ID","value":"1820-11"},{"id":16,"name":"Locomotive ID","value":"4005"},{"id":130,"name":"Impact","value":""},{"id":150,"name":"Time of Event (Mountain Time)","value":"15:55:28"},{"id":151,"name":"Denver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1"/>
        <v>start /low /b %USERPROFILE%\Documents\GitHub\eaglep3\Utilities\DownloadLogsFromS3.py --loco 4005 --day 2017-11-11</v>
      </c>
      <c r="AN185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22:55:28"},{"id":29,"name":"Sharepoint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3"/>
        <v>https://d0f6bd738d7f1b3e5a7ca70fe4ff75f0.us-east-1.aws.found.io/app/kibana#/discover/Steve-Slow-Train-Analysis-(2080s-and-2083s)?_g=(refreshInterval:(display:Off,pause:!f,section:0,value:0),time:(from:'2017-11-11T14:25:27-0700',mode:absolute,to:'2017-11-11T16:55:28-0700'))&amp;_a=(columns:!('Message%20ID',Summary),filters:!(),index:'emp_*',interval:auto,query:(query_string:(analyze_wildcard:!t,query:'%22rtdc.l.rtdc.4005%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814</v>
      </c>
      <c r="B186" s="7">
        <v>4006</v>
      </c>
      <c r="C186" s="21" t="s">
        <v>192</v>
      </c>
      <c r="D186" s="21" t="s">
        <v>991</v>
      </c>
      <c r="E186" s="13">
        <v>43050.665324074071</v>
      </c>
      <c r="F186" s="13">
        <v>43050.673148148147</v>
      </c>
      <c r="G186" s="7">
        <v>63</v>
      </c>
      <c r="H186" s="21" t="s">
        <v>652</v>
      </c>
      <c r="I186" s="13">
        <v>43050.682951388888</v>
      </c>
      <c r="J186" s="7">
        <v>0</v>
      </c>
      <c r="K186" s="89" t="str">
        <f t="shared" si="58"/>
        <v>4005/4006</v>
      </c>
      <c r="L186" s="185" t="str">
        <f>VLOOKUP(A186,'Trips&amp;Operators'!$C$1:$G$99911,5,FALSE)</f>
        <v>SMITH MICHAEL</v>
      </c>
      <c r="M186" s="6">
        <f t="shared" si="59"/>
        <v>9.8032407404389232E-3</v>
      </c>
      <c r="N186" s="7">
        <f t="shared" si="84"/>
        <v>14.116666666232049</v>
      </c>
      <c r="O186" s="7"/>
      <c r="P186" s="7"/>
      <c r="Q186" s="22"/>
      <c r="R186" s="174"/>
      <c r="S186" s="221">
        <f t="shared" si="75"/>
        <v>1</v>
      </c>
      <c r="T186" s="174" t="str">
        <f t="shared" si="60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1"/>
        <v>https://d0f6bd738d7f1b3e5a7ca70fe4ff75f0.us-east-1.aws.found.io/app/kibana#/discover/Steve-Slow-Train-Analysis-(2080s-and-2083s)?_g=(refreshInterval:(display:Off,pause:!f,section:0,value:0),time:(from:'2017-11-11T14:58:04-0700',mode:absolute,to:'2017-11-11T17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204" t="str">
        <f>IF(AA186&lt;VLOOKUP(AG186,Variables!$AC$3:$AD$8,2,FALSE),"Y","N")</f>
        <v>N</v>
      </c>
      <c r="X186" s="204">
        <f t="shared" si="74"/>
        <v>1</v>
      </c>
      <c r="Y186" s="204">
        <f t="shared" si="82"/>
        <v>0.1077</v>
      </c>
      <c r="Z186" s="204">
        <f t="shared" si="83"/>
        <v>5.9002999999999997</v>
      </c>
      <c r="AA186" s="204">
        <f t="shared" si="64"/>
        <v>5.7925999999999993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65"/>
        <v>1821</v>
      </c>
      <c r="AE186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86" s="74" t="str">
        <f t="shared" si="67"/>
        <v>"C:\Program Files (x86)\AstroGrep\AstroGrep.exe" /e /r /s /spath="%USERPROFILE%\AppData\Local\Temp\OnboardLogs" /stypes="app*4006*20171111*" /stext=" 23:.+((SYSTEM_STATE.+slice.+state.+changed )|(ment ac)|(multiple cpu faults)|(system.+state.+changed )|(\[timeout)|(PRM\|1\|D)|(kpr)|(kdp)|(train st.+moving)|(\|lc)|(penalty))"</v>
      </c>
      <c r="AG186" s="182" t="str">
        <f t="shared" si="68"/>
        <v>NW</v>
      </c>
      <c r="AH186" s="78" t="str">
        <f t="shared" si="69"/>
        <v>"%USERPROFILE%\Documents\GitHub\eaglep3\Utilities\RefineRTDCRunTimes.py" --tripid 1821-11 --locoid 4006 --swversion DE.1.0.9.0 --startMP 204:1077 --initTime 2017-11-11T15:58:04 --startdatetime 2017-11-11T16:09:20 --delay 63 --endMP 300:59003 --enddatetime 2017-11-11T16:23:27 --enforcementcount 0 &gt;&gt;%USERPROFILE%\Documents\GitHub\eaglep3-reporting\EC\2017-11-11-refined-times.txt</v>
      </c>
      <c r="AI186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{"issue":{"subject":"","project_id":79,"tracker_id":40,"status_id":1,"priority_id":2,"assigned_to_id":338,"start_date":"2017-11-11","description":"","custom_fields":[{"id":1,"name":"Subdivision","value":"NW"},{"id":4,"name":"Milepost","value":"5.9003"},{"id":17,"name":"Train ID","value":"1821-11"},{"id":16,"name":"Locomotive ID","value":"4006"},{"id":130,"name":"Impact","value":""},{"id":150,"name":"Time of Event (Mountain Time)","value":"16:23:27"},{"id":151,"name":"Denver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1"/>
        <v>start /low /b %USERPROFILE%\Documents\GitHub\eaglep3\Utilities\DownloadLogsFromS3.py --loco 4006 --day 2017-11-11</v>
      </c>
      <c r="AN186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3"/>
        <v>https://d0f6bd738d7f1b3e5a7ca70fe4ff75f0.us-east-1.aws.found.io/app/kibana#/discover/Steve-Slow-Train-Analysis-(2080s-and-2083s)?_g=(refreshInterval:(display:Off,pause:!f,section:0,value:0),time:(from:'2017-11-11T14:58:04-0700',mode:absolute,to:'2017-11-11T17:23:27-0700'))&amp;_a=(columns:!('Message%20ID',Summary),filters:!(),index:'emp_*',interval:auto,query:(query_string:(analyze_wildcard:!t,query:'%22rtdc.l.rtdc.4006%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819</v>
      </c>
      <c r="B187" s="7">
        <v>4005</v>
      </c>
      <c r="C187" s="21" t="s">
        <v>192</v>
      </c>
      <c r="D187" s="21" t="s">
        <v>992</v>
      </c>
      <c r="E187" s="13">
        <v>43050.68445601852</v>
      </c>
      <c r="F187" s="13">
        <v>43050.695138888892</v>
      </c>
      <c r="G187" s="7">
        <v>62</v>
      </c>
      <c r="H187" s="21" t="s">
        <v>595</v>
      </c>
      <c r="I187" s="13">
        <v>43050.705243055556</v>
      </c>
      <c r="J187" s="7">
        <v>0</v>
      </c>
      <c r="K187" s="89" t="str">
        <f t="shared" si="58"/>
        <v>4005/4006</v>
      </c>
      <c r="L187" s="185" t="str">
        <f>VLOOKUP(A187,'Trips&amp;Operators'!$C$1:$G$99911,5,FALSE)</f>
        <v>SMITH MICHAEL</v>
      </c>
      <c r="M187" s="6">
        <f t="shared" si="59"/>
        <v>1.0104166663950309E-2</v>
      </c>
      <c r="N187" s="7">
        <f t="shared" si="84"/>
        <v>14.549999996088445</v>
      </c>
      <c r="O187" s="7"/>
      <c r="P187" s="7"/>
      <c r="Q187" s="22"/>
      <c r="R187" s="174"/>
      <c r="S187" s="221">
        <f t="shared" si="75"/>
        <v>1</v>
      </c>
      <c r="T187" s="174" t="str">
        <f t="shared" si="60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1"/>
        <v>https://d0f6bd738d7f1b3e5a7ca70fe4ff75f0.us-east-1.aws.found.io/app/kibana#/discover/Steve-Slow-Train-Analysis-(2080s-and-2083s)?_g=(refreshInterval:(display:Off,pause:!f,section:0,value:0),time:(from:'2017-11-11T15:25:37-0700',mode:absolute,to:'2017-11-11T17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204" t="str">
        <f>IF(AA187&lt;VLOOKUP(AG187,Variables!$AC$3:$AD$8,2,FALSE),"Y","N")</f>
        <v>N</v>
      </c>
      <c r="X187" s="204">
        <f t="shared" ref="X187:X220" si="85">VALUE(LEFT(AD187,4))-VALUE(LEFT(AD186,4))</f>
        <v>1</v>
      </c>
      <c r="Y187" s="204">
        <f t="shared" si="82"/>
        <v>5.8692000000000002</v>
      </c>
      <c r="Z187" s="204">
        <f t="shared" si="83"/>
        <v>7.85E-2</v>
      </c>
      <c r="AA187" s="204">
        <f t="shared" si="64"/>
        <v>5.7907000000000002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65"/>
        <v>1822</v>
      </c>
      <c r="AE187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87" s="74" t="str">
        <f t="shared" si="67"/>
        <v>"C:\Program Files (x86)\AstroGrep\AstroGrep.exe" /e /r /s /spath="%USERPROFILE%\AppData\Local\Temp\OnboardLogs" /stypes="app*4005*20171111*" /stext=" 23:.+((SYSTEM_STATE.+slice.+state.+changed )|(ment ac)|(multiple cpu faults)|(system.+state.+changed )|(\[timeout)|(PRM\|1\|D)|(kpr)|(kdp)|(train st.+moving)|(\|lc)|(penalty))"</v>
      </c>
      <c r="AG187" s="182" t="str">
        <f t="shared" si="68"/>
        <v>NW</v>
      </c>
      <c r="AH187" s="78" t="str">
        <f t="shared" si="69"/>
        <v>"%USERPROFILE%\Documents\GitHub\eaglep3\Utilities\RefineRTDCRunTimes.py" --tripid 1822-11 --locoid 4005 --swversion DE.1.0.9.0 --startMP 300:58692 --initTime 2017-11-11T16:25:37 --startdatetime 2017-11-11T16:41:00 --delay 62 --endMP 204:785 --enddatetime 2017-11-11T16:55:33 --enforcementcount 0 &gt;&gt;%USERPROFILE%\Documents\GitHub\eaglep3-reporting\EC\2017-11-11-refined-times.txt</v>
      </c>
      <c r="AI187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{"issue":{"subject":"","project_id":79,"tracker_id":40,"status_id":1,"priority_id":2,"assigned_to_id":338,"start_date":"2017-11-11","description":"","custom_fields":[{"id":1,"name":"Subdivision","value":"NW"},{"id":4,"name":"Milepost","value":"0.0785"},{"id":17,"name":"Train ID","value":"1822-11"},{"id":16,"name":"Locomotive ID","value":"4005"},{"id":130,"name":"Impact","value":""},{"id":150,"name":"Time of Event (Mountain Time)","value":"16:55:33"},{"id":151,"name":"Denver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1"/>
        <v>start /low /b %USERPROFILE%\Documents\GitHub\eaglep3\Utilities\DownloadLogsFromS3.py --loco 4005 --day 2017-11-11</v>
      </c>
      <c r="AN187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3"/>
        <v>https://d0f6bd738d7f1b3e5a7ca70fe4ff75f0.us-east-1.aws.found.io/app/kibana#/discover/Steve-Slow-Train-Analysis-(2080s-and-2083s)?_g=(refreshInterval:(display:Off,pause:!f,section:0,value:0),time:(from:'2017-11-11T15:25:37-0700',mode:absolute,to:'2017-11-11T17:55:33-0700'))&amp;_a=(columns:!('Message%20ID',Summary),filters:!(),index:'emp_*',interval:auto,query:(query_string:(analyze_wildcard:!t,query:'%22rtdc.l.rtdc.4005%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681</v>
      </c>
      <c r="B188" s="7">
        <v>4006</v>
      </c>
      <c r="C188" s="21" t="s">
        <v>192</v>
      </c>
      <c r="D188" s="21" t="s">
        <v>993</v>
      </c>
      <c r="E188" s="13">
        <v>43050.708865740744</v>
      </c>
      <c r="F188" s="13">
        <v>43050.714895833335</v>
      </c>
      <c r="G188" s="7">
        <v>85</v>
      </c>
      <c r="H188" s="21" t="s">
        <v>994</v>
      </c>
      <c r="I188" s="13">
        <v>43050.724351851852</v>
      </c>
      <c r="J188" s="7">
        <v>0</v>
      </c>
      <c r="K188" s="89" t="str">
        <f t="shared" si="58"/>
        <v>4005/4006</v>
      </c>
      <c r="L188" s="185" t="str">
        <f>VLOOKUP(A188,'Trips&amp;Operators'!$C$1:$G$99911,5,FALSE)</f>
        <v>SMITH MICHAEL</v>
      </c>
      <c r="M188" s="6">
        <f t="shared" si="59"/>
        <v>9.4560185170848854E-3</v>
      </c>
      <c r="N188" s="7">
        <f t="shared" si="84"/>
        <v>13.616666664602235</v>
      </c>
      <c r="O188" s="7"/>
      <c r="P188" s="7"/>
      <c r="Q188" s="22"/>
      <c r="R188" s="174"/>
      <c r="S188" s="221">
        <f t="shared" si="75"/>
        <v>1</v>
      </c>
      <c r="T188" s="174" t="str">
        <f t="shared" si="60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1"/>
        <v>https://d0f6bd738d7f1b3e5a7ca70fe4ff75f0.us-east-1.aws.found.io/app/kibana#/discover/Steve-Slow-Train-Analysis-(2080s-and-2083s)?_g=(refreshInterval:(display:Off,pause:!f,section:0,value:0),time:(from:'2017-11-11T16:00:46-0700',mode:absolute,to:'2017-11-11T18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204" t="str">
        <f>IF(AA188&lt;VLOOKUP(AG188,Variables!$AC$3:$AD$8,2,FALSE),"Y","N")</f>
        <v>N</v>
      </c>
      <c r="X188" s="204">
        <f t="shared" si="85"/>
        <v>1</v>
      </c>
      <c r="Y188" s="204">
        <f t="shared" si="82"/>
        <v>0.1081</v>
      </c>
      <c r="Z188" s="204">
        <f t="shared" si="83"/>
        <v>5.9013999999999998</v>
      </c>
      <c r="AA188" s="204">
        <f t="shared" si="64"/>
        <v>5.7932999999999995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65"/>
        <v>1823</v>
      </c>
      <c r="AE188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88" s="74" t="str">
        <f t="shared" si="67"/>
        <v>"C:\Program Files (x86)\AstroGrep\AstroGrep.exe" /e /r /s /spath="%USERPROFILE%\AppData\Local\Temp\OnboardLogs" /stypes="app*4006*20171112*" /stext=" 00:.+((SYSTEM_STATE.+slice.+state.+changed )|(ment ac)|(multiple cpu faults)|(system.+state.+changed )|(\[timeout)|(PRM\|1\|D)|(kpr)|(kdp)|(train st.+moving)|(\|lc)|(penalty))"</v>
      </c>
      <c r="AG188" s="182" t="str">
        <f t="shared" si="68"/>
        <v>NW</v>
      </c>
      <c r="AH188" s="78" t="str">
        <f t="shared" si="69"/>
        <v>"%USERPROFILE%\Documents\GitHub\eaglep3\Utilities\RefineRTDCRunTimes.py" --tripid 1823-11 --locoid 4006 --swversion DE.1.0.9.0 --startMP 204:1081 --initTime 2017-11-11T17:00:46 --startdatetime 2017-11-11T17:09:27 --delay 85 --endMP 300:59014 --enddatetime 2017-11-11T17:23:04 --enforcementcount 0 &gt;&gt;%USERPROFILE%\Documents\GitHub\eaglep3-reporting\EC\2017-11-11-refined-times.txt</v>
      </c>
      <c r="AI188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{"issue":{"subject":"","project_id":79,"tracker_id":40,"status_id":1,"priority_id":2,"assigned_to_id":338,"start_date":"2017-11-11","description":"","custom_fields":[{"id":1,"name":"Subdivision","value":"NW"},{"id":4,"name":"Milepost","value":"5.9014"},{"id":17,"name":"Train ID","value":"1823-11"},{"id":16,"name":"Locomotive ID","value":"4006"},{"id":130,"name":"Impact","value":""},{"id":150,"name":"Time of Event (Mountain Time)","value":"17:23:04"},{"id":151,"name":"Denver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1"/>
        <v>start /low /b %USERPROFILE%\Documents\GitHub\eaglep3\Utilities\DownloadLogsFromS3.py --loco 4006 --day 2017-11-11</v>
      </c>
      <c r="AN188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3"/>
        <v>https://d0f6bd738d7f1b3e5a7ca70fe4ff75f0.us-east-1.aws.found.io/app/kibana#/discover/Steve-Slow-Train-Analysis-(2080s-and-2083s)?_g=(refreshInterval:(display:Off,pause:!f,section:0,value:0),time:(from:'2017-11-11T16:00:46-0700',mode:absolute,to:'2017-11-11T18:23:04-0700'))&amp;_a=(columns:!('Message%20ID',Summary),filters:!(),index:'emp_*',interval:auto,query:(query_string:(analyze_wildcard:!t,query:'%22rtdc.l.rtdc.4006%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833</v>
      </c>
      <c r="B189" s="7">
        <v>4005</v>
      </c>
      <c r="C189" s="21" t="s">
        <v>192</v>
      </c>
      <c r="D189" s="21" t="s">
        <v>989</v>
      </c>
      <c r="E189" s="13">
        <v>43050.725972222222</v>
      </c>
      <c r="F189" s="13">
        <v>43050.736805555556</v>
      </c>
      <c r="G189" s="7">
        <v>110</v>
      </c>
      <c r="H189" s="21" t="s">
        <v>995</v>
      </c>
      <c r="I189" s="13">
        <v>43050.746851851851</v>
      </c>
      <c r="J189" s="7">
        <v>0</v>
      </c>
      <c r="K189" s="89" t="str">
        <f t="shared" si="58"/>
        <v>4005/4006</v>
      </c>
      <c r="L189" s="185" t="str">
        <f>VLOOKUP(A189,'Trips&amp;Operators'!$C$1:$G$99911,5,FALSE)</f>
        <v>SMITH MICHAEL</v>
      </c>
      <c r="M189" s="6">
        <f t="shared" si="59"/>
        <v>1.0046296294603962E-2</v>
      </c>
      <c r="N189" s="7">
        <f t="shared" si="84"/>
        <v>14.466666664229706</v>
      </c>
      <c r="O189" s="7"/>
      <c r="P189" s="7"/>
      <c r="Q189" s="22"/>
      <c r="R189" s="174"/>
      <c r="S189" s="221">
        <f t="shared" si="75"/>
        <v>1</v>
      </c>
      <c r="T189" s="174" t="str">
        <f t="shared" si="60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1"/>
        <v>https://d0f6bd738d7f1b3e5a7ca70fe4ff75f0.us-east-1.aws.found.io/app/kibana#/discover/Steve-Slow-Train-Analysis-(2080s-and-2083s)?_g=(refreshInterval:(display:Off,pause:!f,section:0,value:0),time:(from:'2017-11-11T16:25:24-0700',mode:absolute,to:'2017-11-11T18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204" t="str">
        <f>IF(AA189&lt;VLOOKUP(AG189,Variables!$AC$3:$AD$8,2,FALSE),"Y","N")</f>
        <v>N</v>
      </c>
      <c r="X189" s="204">
        <f t="shared" si="85"/>
        <v>1</v>
      </c>
      <c r="Y189" s="204">
        <f t="shared" si="82"/>
        <v>5.8693999999999997</v>
      </c>
      <c r="Z189" s="204">
        <f t="shared" si="83"/>
        <v>7.8899999999999998E-2</v>
      </c>
      <c r="AA189" s="204">
        <f t="shared" si="64"/>
        <v>5.7904999999999998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65"/>
        <v>1824</v>
      </c>
      <c r="AE189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89" s="74" t="str">
        <f t="shared" si="67"/>
        <v>"C:\Program Files (x86)\AstroGrep\AstroGrep.exe" /e /r /s /spath="%USERPROFILE%\AppData\Local\Temp\OnboardLogs" /stypes="app*4005*20171112*" /stext=" 00:.+((SYSTEM_STATE.+slice.+state.+changed )|(ment ac)|(multiple cpu faults)|(system.+state.+changed )|(\[timeout)|(PRM\|1\|D)|(kpr)|(kdp)|(train st.+moving)|(\|lc)|(penalty))"</v>
      </c>
      <c r="AG189" s="182" t="str">
        <f t="shared" si="68"/>
        <v>NW</v>
      </c>
      <c r="AH189" s="78" t="str">
        <f t="shared" si="69"/>
        <v>"%USERPROFILE%\Documents\GitHub\eaglep3\Utilities\RefineRTDCRunTimes.py" --tripid 1824-11 --locoid 4005 --swversion DE.1.0.9.0 --startMP 300:58694 --initTime 2017-11-11T17:25:24 --startdatetime 2017-11-11T17:41:00 --delay 110 --endMP 204:789 --enddatetime 2017-11-11T17:55:28 --enforcementcount 0 &gt;&gt;%USERPROFILE%\Documents\GitHub\eaglep3-reporting\EC\2017-11-11-refined-times.txt</v>
      </c>
      <c r="AI189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{"issue":{"subject":"","project_id":79,"tracker_id":40,"status_id":1,"priority_id":2,"assigned_to_id":338,"start_date":"2017-11-11","description":"","custom_fields":[{"id":1,"name":"Subdivision","value":"NW"},{"id":4,"name":"Milepost","value":"0.0789"},{"id":17,"name":"Train ID","value":"1824-11"},{"id":16,"name":"Locomotive ID","value":"4005"},{"id":130,"name":"Impact","value":""},{"id":150,"name":"Time of Event (Mountain Time)","value":"17:55:28"},{"id":151,"name":"Denver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1"/>
        <v>start /low /b %USERPROFILE%\Documents\GitHub\eaglep3\Utilities\DownloadLogsFromS3.py --loco 4005 --day 2017-11-11</v>
      </c>
      <c r="AN189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3"/>
        <v>https://d0f6bd738d7f1b3e5a7ca70fe4ff75f0.us-east-1.aws.found.io/app/kibana#/discover/Steve-Slow-Train-Analysis-(2080s-and-2083s)?_g=(refreshInterval:(display:Off,pause:!f,section:0,value:0),time:(from:'2017-11-11T16:25:24-0700',mode:absolute,to:'2017-11-11T18:55:28-0700'))&amp;_a=(columns:!('Message%20ID',Summary),filters:!(),index:'emp_*',interval:auto,query:(query_string:(analyze_wildcard:!t,query:'%22rtdc.l.rtdc.4005%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839</v>
      </c>
      <c r="B190" s="7">
        <v>4006</v>
      </c>
      <c r="C190" s="21" t="s">
        <v>192</v>
      </c>
      <c r="D190" s="21" t="s">
        <v>650</v>
      </c>
      <c r="E190" s="13">
        <v>43050.748993055553</v>
      </c>
      <c r="F190" s="13">
        <v>43050.756550925929</v>
      </c>
      <c r="G190" s="7">
        <v>80</v>
      </c>
      <c r="H190" s="21" t="s">
        <v>970</v>
      </c>
      <c r="I190" s="13">
        <v>43050.765925925924</v>
      </c>
      <c r="J190" s="7">
        <v>0</v>
      </c>
      <c r="K190" s="89" t="str">
        <f t="shared" si="58"/>
        <v>4005/4006</v>
      </c>
      <c r="L190" s="185" t="str">
        <f>VLOOKUP(A190,'Trips&amp;Operators'!$C$1:$G$99911,5,FALSE)</f>
        <v>SMITH MICHAEL</v>
      </c>
      <c r="M190" s="6">
        <f t="shared" si="59"/>
        <v>9.3749999941792339E-3</v>
      </c>
      <c r="N190" s="7">
        <f t="shared" si="84"/>
        <v>13.499999991618097</v>
      </c>
      <c r="O190" s="7"/>
      <c r="P190" s="7"/>
      <c r="Q190" s="22"/>
      <c r="R190" s="174"/>
      <c r="S190" s="221">
        <f t="shared" ref="S190:S220" si="86">1/IF(AG190="EC",12,1)*SUM(U190:U190)</f>
        <v>1</v>
      </c>
      <c r="T190" s="174" t="str">
        <f t="shared" si="60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1"/>
        <v>https://d0f6bd738d7f1b3e5a7ca70fe4ff75f0.us-east-1.aws.found.io/app/kibana#/discover/Steve-Slow-Train-Analysis-(2080s-and-2083s)?_g=(refreshInterval:(display:Off,pause:!f,section:0,value:0),time:(from:'2017-11-11T16:58:33-0700',mode:absolute,to:'2017-11-11T19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204" t="str">
        <f>IF(AA190&lt;VLOOKUP(AG190,Variables!$AC$3:$AD$8,2,FALSE),"Y","N")</f>
        <v>N</v>
      </c>
      <c r="X190" s="204">
        <f t="shared" si="85"/>
        <v>1</v>
      </c>
      <c r="Y190" s="204">
        <f t="shared" si="82"/>
        <v>0.1084</v>
      </c>
      <c r="Z190" s="204">
        <f t="shared" si="83"/>
        <v>5.8978000000000002</v>
      </c>
      <c r="AA190" s="204">
        <f t="shared" si="64"/>
        <v>5.7894000000000005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65"/>
        <v>1825</v>
      </c>
      <c r="AE190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90" s="74" t="str">
        <f t="shared" si="67"/>
        <v>"C:\Program Files (x86)\AstroGrep\AstroGrep.exe" /e /r /s /spath="%USERPROFILE%\AppData\Local\Temp\OnboardLogs" /stypes="app*4006*20171112*" /stext=" 01:.+((SYSTEM_STATE.+slice.+state.+changed )|(ment ac)|(multiple cpu faults)|(system.+state.+changed )|(\[timeout)|(PRM\|1\|D)|(kpr)|(kdp)|(train st.+moving)|(\|lc)|(penalty))"</v>
      </c>
      <c r="AG190" s="182" t="str">
        <f t="shared" si="68"/>
        <v>NW</v>
      </c>
      <c r="AH190" s="78" t="str">
        <f t="shared" si="69"/>
        <v>"%USERPROFILE%\Documents\GitHub\eaglep3\Utilities\RefineRTDCRunTimes.py" --tripid 1825-11 --locoid 4006 --swversion DE.1.0.9.0 --startMP 204:1084 --initTime 2017-11-11T17:58:33 --startdatetime 2017-11-11T18:09:26 --delay 80 --endMP 300:58978 --enddatetime 2017-11-11T18:22:56 --enforcementcount 0 &gt;&gt;%USERPROFILE%\Documents\GitHub\eaglep3-reporting\EC\2017-11-11-refined-times.txt</v>
      </c>
      <c r="AI190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{"issue":{"subject":"","project_id":79,"tracker_id":40,"status_id":1,"priority_id":2,"assigned_to_id":338,"start_date":"2017-11-11","description":"","custom_fields":[{"id":1,"name":"Subdivision","value":"NW"},{"id":4,"name":"Milepost","value":"5.8978"},{"id":17,"name":"Train ID","value":"1825-11"},{"id":16,"name":"Locomotive ID","value":"4006"},{"id":130,"name":"Impact","value":""},{"id":150,"name":"Time of Event (Mountain Time)","value":"18:22:56"},{"id":151,"name":"Denver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1"/>
        <v>start /low /b %USERPROFILE%\Documents\GitHub\eaglep3\Utilities\DownloadLogsFromS3.py --loco 4006 --day 2017-11-11</v>
      </c>
      <c r="AN190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3"/>
        <v>https://d0f6bd738d7f1b3e5a7ca70fe4ff75f0.us-east-1.aws.found.io/app/kibana#/discover/Steve-Slow-Train-Analysis-(2080s-and-2083s)?_g=(refreshInterval:(display:Off,pause:!f,section:0,value:0),time:(from:'2017-11-11T16:58:33-0700',mode:absolute,to:'2017-11-11T19:22:56-0700'))&amp;_a=(columns:!('Message%20ID',Summary),filters:!(),index:'emp_*',interval:auto,query:(query_string:(analyze_wildcard:!t,query:'%22rtdc.l.rtdc.4006%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844</v>
      </c>
      <c r="B191" s="7">
        <v>4005</v>
      </c>
      <c r="C191" s="21" t="s">
        <v>192</v>
      </c>
      <c r="D191" s="21" t="s">
        <v>996</v>
      </c>
      <c r="E191" s="13">
        <v>43050.767743055556</v>
      </c>
      <c r="F191" s="13">
        <v>43050.77847222222</v>
      </c>
      <c r="G191" s="7">
        <v>88</v>
      </c>
      <c r="H191" s="21" t="s">
        <v>995</v>
      </c>
      <c r="I191" s="13">
        <v>43050.788530092592</v>
      </c>
      <c r="J191" s="7">
        <v>0</v>
      </c>
      <c r="K191" s="89" t="str">
        <f t="shared" si="58"/>
        <v>4005/4006</v>
      </c>
      <c r="L191" s="185" t="str">
        <f>VLOOKUP(A191,'Trips&amp;Operators'!$C$1:$G$99911,5,FALSE)</f>
        <v>SMITH MICHAEL</v>
      </c>
      <c r="M191" s="6">
        <f t="shared" si="59"/>
        <v>1.0057870371383615E-2</v>
      </c>
      <c r="N191" s="7">
        <f t="shared" si="84"/>
        <v>14.483333334792405</v>
      </c>
      <c r="O191" s="7"/>
      <c r="P191" s="7"/>
      <c r="Q191" s="22"/>
      <c r="R191" s="174"/>
      <c r="S191" s="221">
        <f t="shared" si="86"/>
        <v>1</v>
      </c>
      <c r="T191" s="174" t="str">
        <f t="shared" si="60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1"/>
        <v>https://d0f6bd738d7f1b3e5a7ca70fe4ff75f0.us-east-1.aws.found.io/app/kibana#/discover/Steve-Slow-Train-Analysis-(2080s-and-2083s)?_g=(refreshInterval:(display:Off,pause:!f,section:0,value:0),time:(from:'2017-11-11T17:25:33-0700',mode:absolute,to:'2017-11-11T19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204" t="str">
        <f>IF(AA191&lt;VLOOKUP(AG191,Variables!$AC$3:$AD$8,2,FALSE),"Y","N")</f>
        <v>N</v>
      </c>
      <c r="X191" s="204">
        <f t="shared" si="85"/>
        <v>1</v>
      </c>
      <c r="Y191" s="204">
        <f t="shared" si="82"/>
        <v>5.8673000000000002</v>
      </c>
      <c r="Z191" s="204">
        <f t="shared" si="83"/>
        <v>7.8899999999999998E-2</v>
      </c>
      <c r="AA191" s="204">
        <f t="shared" si="64"/>
        <v>5.7884000000000002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65"/>
        <v>1826</v>
      </c>
      <c r="AE191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91" s="74" t="str">
        <f t="shared" si="67"/>
        <v>"C:\Program Files (x86)\AstroGrep\AstroGrep.exe" /e /r /s /spath="%USERPROFILE%\AppData\Local\Temp\OnboardLogs" /stypes="app*4005*20171112*" /stext=" 01:.+((SYSTEM_STATE.+slice.+state.+changed )|(ment ac)|(multiple cpu faults)|(system.+state.+changed )|(\[timeout)|(PRM\|1\|D)|(kpr)|(kdp)|(train st.+moving)|(\|lc)|(penalty))"</v>
      </c>
      <c r="AG191" s="182" t="str">
        <f t="shared" si="68"/>
        <v>NW</v>
      </c>
      <c r="AH191" s="78" t="str">
        <f t="shared" si="69"/>
        <v>"%USERPROFILE%\Documents\GitHub\eaglep3\Utilities\RefineRTDCRunTimes.py" --tripid 1826-11 --locoid 4005 --swversion DE.1.0.9.0 --startMP 300:58673 --initTime 2017-11-11T18:25:33 --startdatetime 2017-11-11T18:41:00 --delay 88 --endMP 204:789 --enddatetime 2017-11-11T18:55:29 --enforcementcount 0 &gt;&gt;%USERPROFILE%\Documents\GitHub\eaglep3-reporting\EC\2017-11-11-refined-times.txt</v>
      </c>
      <c r="AI191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{"issue":{"subject":"","project_id":79,"tracker_id":40,"status_id":1,"priority_id":2,"assigned_to_id":338,"start_date":"2017-11-11","description":"","custom_fields":[{"id":1,"name":"Subdivision","value":"NW"},{"id":4,"name":"Milepost","value":"0.0789"},{"id":17,"name":"Train ID","value":"1826-11"},{"id":16,"name":"Locomotive ID","value":"4005"},{"id":130,"name":"Impact","value":""},{"id":150,"name":"Time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1"/>
        <v>start /low /b %USERPROFILE%\Documents\GitHub\eaglep3\Utilities\DownloadLogsFromS3.py --loco 4005 --day 2017-11-11</v>
      </c>
      <c r="AN191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3"/>
        <v>https://d0f6bd738d7f1b3e5a7ca70fe4ff75f0.us-east-1.aws.found.io/app/kibana#/discover/Steve-Slow-Train-Analysis-(2080s-and-2083s)?_g=(refreshInterval:(display:Off,pause:!f,section:0,value:0),time:(from:'2017-11-11T17:25:33-0700',mode:absolute,to:'2017-11-11T19:55:29-0700'))&amp;_a=(columns:!('Message%20ID',Summary),filters:!(),index:'emp_*',interval:auto,query:(query_string:(analyze_wildcard:!t,query:'%22rtdc.l.rtdc.4005%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851</v>
      </c>
      <c r="B192" s="7">
        <v>4006</v>
      </c>
      <c r="C192" s="21" t="s">
        <v>192</v>
      </c>
      <c r="D192" s="21" t="s">
        <v>649</v>
      </c>
      <c r="E192" s="13">
        <v>43050.791712962964</v>
      </c>
      <c r="F192" s="13">
        <v>43050.798530092594</v>
      </c>
      <c r="G192" s="7">
        <v>75</v>
      </c>
      <c r="H192" s="21" t="s">
        <v>997</v>
      </c>
      <c r="I192" s="13">
        <v>43050.80878472222</v>
      </c>
      <c r="J192" s="7">
        <v>0</v>
      </c>
      <c r="K192" s="89" t="str">
        <f t="shared" si="58"/>
        <v>4005/4006</v>
      </c>
      <c r="L192" s="185" t="str">
        <f>VLOOKUP(A192,'Trips&amp;Operators'!$C$1:$G$99911,5,FALSE)</f>
        <v>SMITH MICHAEL</v>
      </c>
      <c r="M192" s="6">
        <f t="shared" si="59"/>
        <v>1.0254629625706002E-2</v>
      </c>
      <c r="N192" s="7">
        <f t="shared" si="84"/>
        <v>14.766666661016643</v>
      </c>
      <c r="O192" s="7"/>
      <c r="P192" s="7"/>
      <c r="Q192" s="22"/>
      <c r="R192" s="174"/>
      <c r="S192" s="221">
        <f t="shared" si="86"/>
        <v>1</v>
      </c>
      <c r="T192" s="174" t="str">
        <f t="shared" si="60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1"/>
        <v>https://d0f6bd738d7f1b3e5a7ca70fe4ff75f0.us-east-1.aws.found.io/app/kibana#/discover/Steve-Slow-Train-Analysis-(2080s-and-2083s)?_g=(refreshInterval:(display:Off,pause:!f,section:0,value:0),time:(from:'2017-11-11T18:00:04-0700',mode:absolute,to:'2017-11-11T20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204" t="str">
        <f>IF(AA192&lt;VLOOKUP(AG192,Variables!$AC$3:$AD$8,2,FALSE),"Y","N")</f>
        <v>N</v>
      </c>
      <c r="X192" s="204">
        <f t="shared" si="85"/>
        <v>1</v>
      </c>
      <c r="Y192" s="204">
        <f t="shared" si="82"/>
        <v>0.1086</v>
      </c>
      <c r="Z192" s="204">
        <f t="shared" si="83"/>
        <v>5.8943000000000003</v>
      </c>
      <c r="AA192" s="204">
        <f t="shared" si="64"/>
        <v>5.7857000000000003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65"/>
        <v>1827</v>
      </c>
      <c r="AE192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92" s="74" t="str">
        <f t="shared" si="67"/>
        <v>"C:\Program Files (x86)\AstroGrep\AstroGrep.exe" /e /r /s /spath="%USERPROFILE%\AppData\Local\Temp\OnboardLogs" /stypes="app*4006*20171112*" /stext=" 02:.+((SYSTEM_STATE.+slice.+state.+changed )|(ment ac)|(multiple cpu faults)|(system.+state.+changed )|(\[timeout)|(PRM\|1\|D)|(kpr)|(kdp)|(train st.+moving)|(\|lc)|(penalty))"</v>
      </c>
      <c r="AG192" s="182" t="str">
        <f t="shared" si="68"/>
        <v>NW</v>
      </c>
      <c r="AH192" s="78" t="str">
        <f t="shared" si="69"/>
        <v>"%USERPROFILE%\Documents\GitHub\eaglep3\Utilities\RefineRTDCRunTimes.py" --tripid 1827-11 --locoid 4006 --swversion DE.1.0.9.0 --startMP 204:1086 --initTime 2017-11-11T19:00:04 --startdatetime 2017-11-11T19:09:53 --delay 75 --endMP 300:58943 --enddatetime 2017-11-11T19:24:39 --enforcementcount 0 &gt;&gt;%USERPROFILE%\Documents\GitHub\eaglep3-reporting\EC\2017-11-11-refined-times.txt</v>
      </c>
      <c r="AI192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{"issue":{"subject":"","project_id":79,"tracker_id":40,"status_id":1,"priority_id":2,"assigned_to_id":338,"start_date":"2017-11-11","description":"","custom_fields":[{"id":1,"name":"Subdivision","value":"NW"},{"id":4,"name":"Milepost","value":"5.8943"},{"id":17,"name":"Train ID","value":"1827-11"},{"id":16,"name":"Locomotive ID","value":"4006"},{"id":130,"name":"Impact","value":""},{"id":150,"name":"Time of Event (Mountain Time)","value":"19:24:39"},{"id":151,"name":"Denver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1"/>
        <v>start /low /b %USERPROFILE%\Documents\GitHub\eaglep3\Utilities\DownloadLogsFromS3.py --loco 4006 --day 2017-11-11</v>
      </c>
      <c r="AN192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3"/>
        <v>https://d0f6bd738d7f1b3e5a7ca70fe4ff75f0.us-east-1.aws.found.io/app/kibana#/discover/Steve-Slow-Train-Analysis-(2080s-and-2083s)?_g=(refreshInterval:(display:Off,pause:!f,section:0,value:0),time:(from:'2017-11-11T18:00:04-0700',mode:absolute,to:'2017-11-11T20:24:39-0700'))&amp;_a=(columns:!('Message%20ID',Summary),filters:!(),index:'emp_*',interval:auto,query:(query_string:(analyze_wildcard:!t,query:'%22rtdc.l.rtdc.4006%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683</v>
      </c>
      <c r="B193" s="7">
        <v>4005</v>
      </c>
      <c r="C193" s="21" t="s">
        <v>192</v>
      </c>
      <c r="D193" s="21" t="s">
        <v>646</v>
      </c>
      <c r="E193" s="13">
        <v>43050.813344907408</v>
      </c>
      <c r="F193" s="13">
        <v>43050.820138888892</v>
      </c>
      <c r="G193" s="7">
        <v>79</v>
      </c>
      <c r="H193" s="21" t="s">
        <v>998</v>
      </c>
      <c r="I193" s="13">
        <v>43050.830960648149</v>
      </c>
      <c r="J193" s="7">
        <v>0</v>
      </c>
      <c r="K193" s="89" t="str">
        <f t="shared" si="58"/>
        <v>4005/4006</v>
      </c>
      <c r="L193" s="185" t="str">
        <f>VLOOKUP(A193,'Trips&amp;Operators'!$C$1:$G$99911,5,FALSE)</f>
        <v>SMITH MICHAEL</v>
      </c>
      <c r="M193" s="6">
        <f t="shared" si="59"/>
        <v>1.0821759256941732E-2</v>
      </c>
      <c r="N193" s="7">
        <f t="shared" si="84"/>
        <v>15.583333329996094</v>
      </c>
      <c r="O193" s="7"/>
      <c r="P193" s="7"/>
      <c r="Q193" s="22"/>
      <c r="R193" s="174"/>
      <c r="S193" s="221">
        <f t="shared" si="86"/>
        <v>1</v>
      </c>
      <c r="T193" s="174" t="str">
        <f t="shared" si="60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1"/>
        <v>https://d0f6bd738d7f1b3e5a7ca70fe4ff75f0.us-east-1.aws.found.io/app/kibana#/discover/Steve-Slow-Train-Analysis-(2080s-and-2083s)?_g=(refreshInterval:(display:Off,pause:!f,section:0,value:0),time:(from:'2017-11-11T18:31:13-0700',mode:absolute,to:'2017-11-11T20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204" t="str">
        <f>IF(AA193&lt;VLOOKUP(AG193,Variables!$AC$3:$AD$8,2,FALSE),"Y","N")</f>
        <v>N</v>
      </c>
      <c r="X193" s="204">
        <f t="shared" si="85"/>
        <v>1</v>
      </c>
      <c r="Y193" s="204">
        <f t="shared" si="82"/>
        <v>5.8635999999999999</v>
      </c>
      <c r="Z193" s="204">
        <f t="shared" si="83"/>
        <v>8.0100000000000005E-2</v>
      </c>
      <c r="AA193" s="204">
        <f t="shared" si="64"/>
        <v>5.7835000000000001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65"/>
        <v>1828</v>
      </c>
      <c r="AE193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93" s="74" t="str">
        <f t="shared" si="67"/>
        <v>"C:\Program Files (x86)\AstroGrep\AstroGrep.exe" /e /r /s /spath="%USERPROFILE%\AppData\Local\Temp\OnboardLogs" /stypes="app*4005*20171112*" /stext=" 02:.+((SYSTEM_STATE.+slice.+state.+changed )|(ment ac)|(multiple cpu faults)|(system.+state.+changed )|(\[timeout)|(PRM\|1\|D)|(kpr)|(kdp)|(train st.+moving)|(\|lc)|(penalty))"</v>
      </c>
      <c r="AG193" s="182" t="str">
        <f t="shared" si="68"/>
        <v>NW</v>
      </c>
      <c r="AH193" s="78" t="str">
        <f t="shared" si="69"/>
        <v>"%USERPROFILE%\Documents\GitHub\eaglep3\Utilities\RefineRTDCRunTimes.py" --tripid 1828-11 --locoid 4005 --swversion DE.1.0.9.0 --startMP 300:58636 --initTime 2017-11-11T19:31:13 --startdatetime 2017-11-11T19:41:00 --delay 79 --endMP 204:801 --enddatetime 2017-11-11T19:56:35 --enforcementcount 0 &gt;&gt;%USERPROFILE%\Documents\GitHub\eaglep3-reporting\EC\2017-11-11-refined-times.txt</v>
      </c>
      <c r="AI193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{"issue":{"subject":"","project_id":79,"tracker_id":40,"status_id":1,"priority_id":2,"assigned_to_id":338,"start_date":"2017-11-11","description":"","custom_fields":[{"id":1,"name":"Subdivision","value":"NW"},{"id":4,"name":"Milepost","value":"0.0801"},{"id":17,"name":"Train ID","value":"1828-11"},{"id":16,"name":"Locomotive ID","value":"4005"},{"id":130,"name":"Impact","value":""},{"id":150,"name":"Time of Event (Mountain Time)","value":"19:56:35"},{"id":151,"name":"Denver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1"/>
        <v>start /low /b %USERPROFILE%\Documents\GitHub\eaglep3\Utilities\DownloadLogsFromS3.py --loco 4005 --day 2017-11-11</v>
      </c>
      <c r="AN193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3"/>
        <v>https://d0f6bd738d7f1b3e5a7ca70fe4ff75f0.us-east-1.aws.found.io/app/kibana#/discover/Steve-Slow-Train-Analysis-(2080s-and-2083s)?_g=(refreshInterval:(display:Off,pause:!f,section:0,value:0),time:(from:'2017-11-11T18:31:13-0700',mode:absolute,to:'2017-11-11T20:56:35-0700'))&amp;_a=(columns:!('Message%20ID',Summary),filters:!(),index:'emp_*',interval:auto,query:(query_string:(analyze_wildcard:!t,query:'%22rtdc.l.rtdc.4005%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858</v>
      </c>
      <c r="B194" s="7">
        <v>4006</v>
      </c>
      <c r="C194" s="21" t="s">
        <v>192</v>
      </c>
      <c r="D194" s="21" t="s">
        <v>999</v>
      </c>
      <c r="E194" s="13">
        <v>43050.835092592592</v>
      </c>
      <c r="F194" s="13">
        <v>43050.839895833335</v>
      </c>
      <c r="G194" s="7">
        <v>65</v>
      </c>
      <c r="H194" s="21" t="s">
        <v>1000</v>
      </c>
      <c r="I194" s="13">
        <v>43050.849479166667</v>
      </c>
      <c r="J194" s="7">
        <v>0</v>
      </c>
      <c r="K194" s="89" t="str">
        <f t="shared" si="58"/>
        <v>4005/4006</v>
      </c>
      <c r="L194" s="185" t="str">
        <f>VLOOKUP(A194,'Trips&amp;Operators'!$C$1:$G$99911,5,FALSE)</f>
        <v>SMITH MICHAEL</v>
      </c>
      <c r="M194" s="6">
        <f t="shared" si="59"/>
        <v>9.5833333325572312E-3</v>
      </c>
      <c r="N194" s="7">
        <f t="shared" si="84"/>
        <v>13.799999998882413</v>
      </c>
      <c r="O194" s="7"/>
      <c r="P194" s="7"/>
      <c r="Q194" s="22"/>
      <c r="R194" s="174"/>
      <c r="S194" s="221">
        <f t="shared" si="86"/>
        <v>1</v>
      </c>
      <c r="T194" s="174" t="str">
        <f t="shared" si="60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1"/>
        <v>https://d0f6bd738d7f1b3e5a7ca70fe4ff75f0.us-east-1.aws.found.io/app/kibana#/discover/Steve-Slow-Train-Analysis-(2080s-and-2083s)?_g=(refreshInterval:(display:Off,pause:!f,section:0,value:0),time:(from:'2017-11-11T19:02:32-0700',mode:absolute,to:'2017-11-11T21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204" t="str">
        <f>IF(AA194&lt;VLOOKUP(AG194,Variables!$AC$3:$AD$8,2,FALSE),"Y","N")</f>
        <v>N</v>
      </c>
      <c r="X194" s="204">
        <f t="shared" si="85"/>
        <v>1</v>
      </c>
      <c r="Y194" s="204">
        <f t="shared" si="82"/>
        <v>0.10979999999999999</v>
      </c>
      <c r="Z194" s="204">
        <f t="shared" si="83"/>
        <v>5.8939000000000004</v>
      </c>
      <c r="AA194" s="204">
        <f t="shared" si="64"/>
        <v>5.7841000000000005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65"/>
        <v>1829</v>
      </c>
      <c r="AE194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94" s="74" t="str">
        <f t="shared" si="67"/>
        <v>"C:\Program Files (x86)\AstroGrep\AstroGrep.exe" /e /r /s /spath="%USERPROFILE%\AppData\Local\Temp\OnboardLogs" /stypes="app*4006*20171112*" /stext=" 03:.+((SYSTEM_STATE.+slice.+state.+changed )|(ment ac)|(multiple cpu faults)|(system.+state.+changed )|(\[timeout)|(PRM\|1\|D)|(kpr)|(kdp)|(train st.+moving)|(\|lc)|(penalty))"</v>
      </c>
      <c r="AG194" s="182" t="str">
        <f t="shared" si="68"/>
        <v>NW</v>
      </c>
      <c r="AH194" s="78" t="str">
        <f t="shared" si="69"/>
        <v>"%USERPROFILE%\Documents\GitHub\eaglep3\Utilities\RefineRTDCRunTimes.py" --tripid 1829-11 --locoid 4006 --swversion DE.1.0.9.0 --startMP 204:1098 --initTime 2017-11-11T20:02:32 --startdatetime 2017-11-11T20:09:27 --delay 65 --endMP 300:58939 --enddatetime 2017-11-11T20:23:15 --enforcementcount 0 &gt;&gt;%USERPROFILE%\Documents\GitHub\eaglep3-reporting\EC\2017-11-11-refined-times.txt</v>
      </c>
      <c r="AI194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{"issue":{"subject":"","project_id":79,"tracker_id":40,"status_id":1,"priority_id":2,"assigned_to_id":338,"start_date":"2017-11-11","description":"","custom_fields":[{"id":1,"name":"Subdivision","value":"NW"},{"id":4,"name":"Milepost","value":"5.8939"},{"id":17,"name":"Train ID","value":"1829-11"},{"id":16,"name":"Locomotive ID","value":"4006"},{"id":130,"name":"Impact","value":""},{"id":150,"name":"Time of Event (Mountain Time)","value":"20:23:15"},{"id":151,"name":"Denver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1"/>
        <v>start /low /b %USERPROFILE%\Documents\GitHub\eaglep3\Utilities\DownloadLogsFromS3.py --loco 4006 --day 2017-11-11</v>
      </c>
      <c r="AN194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3"/>
        <v>https://d0f6bd738d7f1b3e5a7ca70fe4ff75f0.us-east-1.aws.found.io/app/kibana#/discover/Steve-Slow-Train-Analysis-(2080s-and-2083s)?_g=(refreshInterval:(display:Off,pause:!f,section:0,value:0),time:(from:'2017-11-11T19:02:32-0700',mode:absolute,to:'2017-11-11T21:23:15-0700'))&amp;_a=(columns:!('Message%20ID',Summary),filters:!(),index:'emp_*',interval:auto,query:(query_string:(analyze_wildcard:!t,query:'%22rtdc.l.rtdc.4006%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685</v>
      </c>
      <c r="B195" s="7">
        <v>4005</v>
      </c>
      <c r="C195" s="21" t="s">
        <v>192</v>
      </c>
      <c r="D195" s="21" t="s">
        <v>644</v>
      </c>
      <c r="E195" s="13">
        <v>43050.850590277776</v>
      </c>
      <c r="F195" s="13">
        <v>43050.861805555556</v>
      </c>
      <c r="G195" s="7">
        <v>79</v>
      </c>
      <c r="H195" s="21" t="s">
        <v>1002</v>
      </c>
      <c r="I195" s="13">
        <v>43050.872708333336</v>
      </c>
      <c r="J195" s="7">
        <v>0</v>
      </c>
      <c r="K195" s="89" t="str">
        <f t="shared" si="58"/>
        <v>4005/4006</v>
      </c>
      <c r="L195" s="185" t="str">
        <f>VLOOKUP(A195,'Trips&amp;Operators'!$C$1:$G$99911,5,FALSE)</f>
        <v>SMITH MICHAEL</v>
      </c>
      <c r="M195" s="6">
        <f t="shared" si="59"/>
        <v>1.0902777779847383E-2</v>
      </c>
      <c r="N195" s="7">
        <f t="shared" si="84"/>
        <v>15.700000002980232</v>
      </c>
      <c r="O195" s="7"/>
      <c r="P195" s="7"/>
      <c r="Q195" s="22"/>
      <c r="R195" s="174"/>
      <c r="S195" s="221">
        <f t="shared" si="86"/>
        <v>1</v>
      </c>
      <c r="T195" s="174" t="str">
        <f t="shared" si="60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1"/>
        <v>https://d0f6bd738d7f1b3e5a7ca70fe4ff75f0.us-east-1.aws.found.io/app/kibana#/discover/Steve-Slow-Train-Analysis-(2080s-and-2083s)?_g=(refreshInterval:(display:Off,pause:!f,section:0,value:0),time:(from:'2017-11-11T19:24:51-0700',mode:absolute,to:'2017-11-11T21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204" t="str">
        <f>IF(AA195&lt;VLOOKUP(AG195,Variables!$AC$3:$AD$8,2,FALSE),"Y","N")</f>
        <v>N</v>
      </c>
      <c r="X195" s="204">
        <f t="shared" si="85"/>
        <v>1</v>
      </c>
      <c r="Y195" s="204">
        <f t="shared" ref="Y195:Y220" si="87">RIGHT(D195,LEN(D195)-4)/10000</f>
        <v>5.8616999999999999</v>
      </c>
      <c r="Z195" s="204">
        <f t="shared" ref="Z195:Z220" si="88">RIGHT(H195,LEN(H195)-4)/10000</f>
        <v>7.0499999999999993E-2</v>
      </c>
      <c r="AA195" s="204">
        <f t="shared" si="64"/>
        <v>5.7911999999999999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65"/>
        <v>1830</v>
      </c>
      <c r="AE195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95" s="74" t="str">
        <f t="shared" si="67"/>
        <v>"C:\Program Files (x86)\AstroGrep\AstroGrep.exe" /e /r /s /spath="%USERPROFILE%\AppData\Local\Temp\OnboardLogs" /stypes="app*4005*20171112*" /stext=" 03:.+((SYSTEM_STATE.+slice.+state.+changed )|(ment ac)|(multiple cpu faults)|(system.+state.+changed )|(\[timeout)|(PRM\|1\|D)|(kpr)|(kdp)|(train st.+moving)|(\|lc)|(penalty))"</v>
      </c>
      <c r="AG195" s="182" t="str">
        <f t="shared" si="68"/>
        <v>NW</v>
      </c>
      <c r="AH195" s="78" t="str">
        <f t="shared" si="69"/>
        <v>"%USERPROFILE%\Documents\GitHub\eaglep3\Utilities\RefineRTDCRunTimes.py" --tripid 1830-11 --locoid 4005 --swversion DE.1.0.9.0 --startMP 300:58617 --initTime 2017-11-11T20:24:51 --startdatetime 2017-11-11T20:41:00 --delay 79 --endMP 204:705 --enddatetime 2017-11-11T20:56:42 --enforcementcount 0 &gt;&gt;%USERPROFILE%\Documents\GitHub\eaglep3-reporting\EC\2017-11-11-refined-times.txt</v>
      </c>
      <c r="AI195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{"issue":{"subject":"","project_id":79,"tracker_id":40,"status_id":1,"priority_id":2,"assigned_to_id":338,"start_date":"2017-11-11","description":"","custom_fields":[{"id":1,"name":"Subdivision","value":"NW"},{"id":4,"name":"Milepost","value":"0.0705"},{"id":17,"name":"Train ID","value":"1830-11"},{"id":16,"name":"Locomotive ID","value":"4005"},{"id":130,"name":"Impact","value":""},{"id":150,"name":"Time of Event (Mountain Time)","value":"20:56:42"},{"id":151,"name":"Denver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1"/>
        <v>start /low /b %USERPROFILE%\Documents\GitHub\eaglep3\Utilities\DownloadLogsFromS3.py --loco 4005 --day 2017-11-11</v>
      </c>
      <c r="AN195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03:56:42"},{"id":29,"name":"Sharepoint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3"/>
        <v>https://d0f6bd738d7f1b3e5a7ca70fe4ff75f0.us-east-1.aws.found.io/app/kibana#/discover/Steve-Slow-Train-Analysis-(2080s-and-2083s)?_g=(refreshInterval:(display:Off,pause:!f,section:0,value:0),time:(from:'2017-11-11T19:24:51-0700',mode:absolute,to:'2017-11-11T21:56:42-0700'))&amp;_a=(columns:!('Message%20ID',Summary),filters:!(),index:'emp_*',interval:auto,query:(query_string:(analyze_wildcard:!t,query:'%22rtdc.l.rtdc.4005%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862</v>
      </c>
      <c r="B196" s="7">
        <v>4006</v>
      </c>
      <c r="C196" s="21" t="s">
        <v>192</v>
      </c>
      <c r="D196" s="21" t="s">
        <v>1003</v>
      </c>
      <c r="E196" s="13">
        <v>43050.876331018517</v>
      </c>
      <c r="F196" s="13">
        <v>43050.881458333337</v>
      </c>
      <c r="G196" s="7">
        <v>69</v>
      </c>
      <c r="H196" s="21" t="s">
        <v>1004</v>
      </c>
      <c r="I196" s="13">
        <v>43050.891261574077</v>
      </c>
      <c r="J196" s="7">
        <v>0</v>
      </c>
      <c r="K196" s="89" t="str">
        <f t="shared" si="58"/>
        <v>4005/4006</v>
      </c>
      <c r="L196" s="185" t="str">
        <f>VLOOKUP(A196,'Trips&amp;Operators'!$C$1:$G$99911,5,FALSE)</f>
        <v>SMITH MICHAEL</v>
      </c>
      <c r="M196" s="6">
        <f t="shared" si="59"/>
        <v>9.8032407404389232E-3</v>
      </c>
      <c r="N196" s="7">
        <f t="shared" si="84"/>
        <v>14.116666666232049</v>
      </c>
      <c r="O196" s="7"/>
      <c r="P196" s="7"/>
      <c r="Q196" s="22"/>
      <c r="R196" s="174"/>
      <c r="S196" s="221">
        <f t="shared" si="86"/>
        <v>1</v>
      </c>
      <c r="T196" s="174" t="str">
        <f t="shared" si="60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1"/>
        <v>https://d0f6bd738d7f1b3e5a7ca70fe4ff75f0.us-east-1.aws.found.io/app/kibana#/discover/Steve-Slow-Train-Analysis-(2080s-and-2083s)?_g=(refreshInterval:(display:Off,pause:!f,section:0,value:0),time:(from:'2017-11-11T20:01:55-0700',mode:absolute,to:'2017-11-11T22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204" t="str">
        <f>IF(AA196&lt;VLOOKUP(AG196,Variables!$AC$3:$AD$8,2,FALSE),"Y","N")</f>
        <v>N</v>
      </c>
      <c r="X196" s="204">
        <f t="shared" si="85"/>
        <v>1</v>
      </c>
      <c r="Y196" s="204">
        <f t="shared" si="87"/>
        <v>0.1</v>
      </c>
      <c r="Z196" s="204">
        <f t="shared" si="88"/>
        <v>5.8921999999999999</v>
      </c>
      <c r="AA196" s="204">
        <f t="shared" si="64"/>
        <v>5.7922000000000002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65"/>
        <v>1831</v>
      </c>
      <c r="AE196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96" s="74" t="str">
        <f t="shared" si="67"/>
        <v>"C:\Program Files (x86)\AstroGrep\AstroGrep.exe" /e /r /s /spath="%USERPROFILE%\AppData\Local\Temp\OnboardLogs" /stypes="app*4006*20171112*" /stext=" 04:.+((SYSTEM_STATE.+slice.+state.+changed )|(ment ac)|(multiple cpu faults)|(system.+state.+changed )|(\[timeout)|(PRM\|1\|D)|(kpr)|(kdp)|(train st.+moving)|(\|lc)|(penalty))"</v>
      </c>
      <c r="AG196" s="182" t="str">
        <f t="shared" si="68"/>
        <v>NW</v>
      </c>
      <c r="AH196" s="78" t="str">
        <f t="shared" si="69"/>
        <v>"%USERPROFILE%\Documents\GitHub\eaglep3\Utilities\RefineRTDCRunTimes.py" --tripid 1831-11 --locoid 4006 --swversion DE.1.0.9.0 --startMP 204:1000 --initTime 2017-11-11T21:01:55 --startdatetime 2017-11-11T21:09:18 --delay 69 --endMP 300:58922 --enddatetime 2017-11-11T21:23:25 --enforcementcount 0 &gt;&gt;%USERPROFILE%\Documents\GitHub\eaglep3-reporting\EC\2017-11-11-refined-times.txt</v>
      </c>
      <c r="AI196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{"issue":{"subject":"","project_id":79,"tracker_id":40,"status_id":1,"priority_id":2,"assigned_to_id":338,"start_date":"2017-11-11","description":"","custom_fields":[{"id":1,"name":"Subdivision","value":"NW"},{"id":4,"name":"Milepost","value":"5.8922"},{"id":17,"name":"Train ID","value":"1831-11"},{"id":16,"name":"Locomotive ID","value":"4006"},{"id":130,"name":"Impact","value":""},{"id":150,"name":"Time of Event (Mountain Time)","value":"21:23:25"},{"id":151,"name":"Denver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1"/>
        <v>start /low /b %USERPROFILE%\Documents\GitHub\eaglep3\Utilities\DownloadLogsFromS3.py --loco 4006 --day 2017-11-11</v>
      </c>
      <c r="AN196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3"/>
        <v>https://d0f6bd738d7f1b3e5a7ca70fe4ff75f0.us-east-1.aws.found.io/app/kibana#/discover/Steve-Slow-Train-Analysis-(2080s-and-2083s)?_g=(refreshInterval:(display:Off,pause:!f,section:0,value:0),time:(from:'2017-11-11T20:01:55-0700',mode:absolute,to:'2017-11-11T22:23:25-0700'))&amp;_a=(columns:!('Message%20ID',Summary),filters:!(),index:'emp_*',interval:auto,query:(query_string:(analyze_wildcard:!t,query:'%22rtdc.l.rtdc.4006%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686</v>
      </c>
      <c r="B197" s="7">
        <v>4005</v>
      </c>
      <c r="C197" s="21" t="s">
        <v>192</v>
      </c>
      <c r="D197" s="21" t="s">
        <v>1005</v>
      </c>
      <c r="E197" s="13">
        <v>43050.892789351848</v>
      </c>
      <c r="F197" s="13">
        <v>43050.904166666667</v>
      </c>
      <c r="G197" s="7">
        <v>77</v>
      </c>
      <c r="H197" s="21" t="s">
        <v>1006</v>
      </c>
      <c r="I197" s="13">
        <v>43050.916122685187</v>
      </c>
      <c r="J197" s="7">
        <v>0</v>
      </c>
      <c r="K197" s="89" t="str">
        <f t="shared" si="58"/>
        <v>4005/4006</v>
      </c>
      <c r="L197" s="185" t="str">
        <f>VLOOKUP(A197,'Trips&amp;Operators'!$C$1:$G$99911,5,FALSE)</f>
        <v>SMITH MICHAEL</v>
      </c>
      <c r="M197" s="6">
        <f t="shared" si="59"/>
        <v>1.1956018519413192E-2</v>
      </c>
      <c r="N197" s="7">
        <f t="shared" si="84"/>
        <v>17.216666667954996</v>
      </c>
      <c r="O197" s="7"/>
      <c r="P197" s="7"/>
      <c r="Q197" s="22"/>
      <c r="R197" s="174"/>
      <c r="S197" s="221">
        <f t="shared" si="86"/>
        <v>1</v>
      </c>
      <c r="T197" s="174" t="str">
        <f t="shared" si="60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1"/>
        <v>https://d0f6bd738d7f1b3e5a7ca70fe4ff75f0.us-east-1.aws.found.io/app/kibana#/discover/Steve-Slow-Train-Analysis-(2080s-and-2083s)?_g=(refreshInterval:(display:Off,pause:!f,section:0,value:0),time:(from:'2017-11-11T20:25:37-0700',mode:absolute,to:'2017-11-11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04" t="str">
        <f>IF(AA197&lt;VLOOKUP(AG197,Variables!$AC$3:$AD$8,2,FALSE),"Y","N")</f>
        <v>N</v>
      </c>
      <c r="X197" s="204">
        <f t="shared" si="85"/>
        <v>1</v>
      </c>
      <c r="Y197" s="204">
        <f t="shared" si="87"/>
        <v>5.8613</v>
      </c>
      <c r="Z197" s="204">
        <f t="shared" si="88"/>
        <v>7.1300000000000002E-2</v>
      </c>
      <c r="AA197" s="204">
        <f t="shared" si="64"/>
        <v>5.79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65"/>
        <v>1832</v>
      </c>
      <c r="AE197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97" s="74" t="str">
        <f t="shared" si="67"/>
        <v>"C:\Program Files (x86)\AstroGrep\AstroGrep.exe" /e /r /s /spath="%USERPROFILE%\AppData\Local\Temp\OnboardLogs" /stypes="app*4005*20171112*" /stext=" 04:.+((SYSTEM_STATE.+slice.+state.+changed )|(ment ac)|(multiple cpu faults)|(system.+state.+changed )|(\[timeout)|(PRM\|1\|D)|(kpr)|(kdp)|(train st.+moving)|(\|lc)|(penalty))"</v>
      </c>
      <c r="AG197" s="182" t="str">
        <f t="shared" si="68"/>
        <v>NW</v>
      </c>
      <c r="AH197" s="78" t="str">
        <f t="shared" si="69"/>
        <v>"%USERPROFILE%\Documents\GitHub\eaglep3\Utilities\RefineRTDCRunTimes.py" --tripid 1832-11 --locoid 4005 --swversion DE.1.0.9.0 --startMP 300:58613 --initTime 2017-11-11T21:25:37 --startdatetime 2017-11-11T21:42:00 --delay 77 --endMP 204:713 --enddatetime 2017-11-11T21:59:13 --enforcementcount 0 &gt;&gt;%USERPROFILE%\Documents\GitHub\eaglep3-reporting\EC\2017-11-11-refined-times.txt</v>
      </c>
      <c r="AI197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{"issue":{"subject":"","project_id":79,"tracker_id":40,"status_id":1,"priority_id":2,"assigned_to_id":338,"start_date":"2017-11-11","description":"","custom_fields":[{"id":1,"name":"Subdivision","value":"NW"},{"id":4,"name":"Milepost","value":"0.0713"},{"id":17,"name":"Train ID","value":"1832-11"},{"id":16,"name":"Locomotive ID","value":"4005"},{"id":130,"name":"Impact","value":""},{"id":150,"name":"Time of Event (Mountain Time)","value":"21:59:13"},{"id":151,"name":"Denver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71"/>
        <v>start /low /b %USERPROFILE%\Documents\GitHub\eaglep3\Utilities\DownloadLogsFromS3.py --loco 4005 --day 2017-11-11</v>
      </c>
      <c r="AN197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04:59:13"},{"id":29,"name":"Sharepoint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3"/>
        <v>https://d0f6bd738d7f1b3e5a7ca70fe4ff75f0.us-east-1.aws.found.io/app/kibana#/discover/Steve-Slow-Train-Analysis-(2080s-and-2083s)?_g=(refreshInterval:(display:Off,pause:!f,section:0,value:0),time:(from:'2017-11-11T20:25:37-0700',mode:absolute,to:'2017-11-11T22:59:13-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866</v>
      </c>
      <c r="B198" s="7">
        <v>4006</v>
      </c>
      <c r="C198" s="21" t="s">
        <v>192</v>
      </c>
      <c r="D198" s="21" t="s">
        <v>1007</v>
      </c>
      <c r="E198" s="13">
        <v>43050.917662037034</v>
      </c>
      <c r="F198" s="13">
        <v>43050.923275462963</v>
      </c>
      <c r="G198" s="7">
        <v>80</v>
      </c>
      <c r="H198" s="21" t="s">
        <v>1008</v>
      </c>
      <c r="I198" s="13">
        <v>43050.933136574073</v>
      </c>
      <c r="J198" s="7">
        <v>0</v>
      </c>
      <c r="K198" s="89" t="str">
        <f t="shared" si="58"/>
        <v>4005/4006</v>
      </c>
      <c r="L198" s="185" t="str">
        <f>VLOOKUP(A198,'Trips&amp;Operators'!$C$1:$G$99911,5,FALSE)</f>
        <v>SMITH MICHAEL</v>
      </c>
      <c r="M198" s="6">
        <f t="shared" si="59"/>
        <v>9.8611111097852699E-3</v>
      </c>
      <c r="N198" s="7">
        <f t="shared" si="84"/>
        <v>14.199999998090789</v>
      </c>
      <c r="O198" s="7"/>
      <c r="P198" s="7"/>
      <c r="Q198" s="22"/>
      <c r="R198" s="174"/>
      <c r="S198" s="221">
        <f t="shared" si="86"/>
        <v>1</v>
      </c>
      <c r="T198" s="174" t="str">
        <f t="shared" si="60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1"/>
        <v>https://d0f6bd738d7f1b3e5a7ca70fe4ff75f0.us-east-1.aws.found.io/app/kibana#/discover/Steve-Slow-Train-Analysis-(2080s-and-2083s)?_g=(refreshInterval:(display:Off,pause:!f,section:0,value:0),time:(from:'2017-11-11T21:01:26-0700',mode:absolute,to:'2017-11-11T23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204" t="str">
        <f>IF(AA198&lt;VLOOKUP(AG198,Variables!$AC$3:$AD$8,2,FALSE),"Y","N")</f>
        <v>N</v>
      </c>
      <c r="X198" s="204">
        <f t="shared" si="85"/>
        <v>1</v>
      </c>
      <c r="Y198" s="204">
        <f t="shared" si="87"/>
        <v>9.7900000000000001E-2</v>
      </c>
      <c r="Z198" s="204">
        <f t="shared" si="88"/>
        <v>5.8928000000000003</v>
      </c>
      <c r="AA198" s="204">
        <f t="shared" si="64"/>
        <v>5.7949000000000002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65"/>
        <v>1833</v>
      </c>
      <c r="AE198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198" s="74" t="str">
        <f t="shared" si="67"/>
        <v>"C:\Program Files (x86)\AstroGrep\AstroGrep.exe" /e /r /s /spath="%USERPROFILE%\AppData\Local\Temp\OnboardLogs" /stypes="app*4006*20171112*" /stext=" 05:.+((SYSTEM_STATE.+slice.+state.+changed )|(ment ac)|(multiple cpu faults)|(system.+state.+changed )|(\[timeout)|(PRM\|1\|D)|(kpr)|(kdp)|(train st.+moving)|(\|lc)|(penalty))"</v>
      </c>
      <c r="AG198" s="182" t="str">
        <f t="shared" si="68"/>
        <v>NW</v>
      </c>
      <c r="AH198" s="78" t="str">
        <f t="shared" si="69"/>
        <v>"%USERPROFILE%\Documents\GitHub\eaglep3\Utilities\RefineRTDCRunTimes.py" --tripid 1833-11 --locoid 4006 --swversion DE.1.0.9.0 --startMP 204:979 --initTime 2017-11-11T22:01:26 --startdatetime 2017-11-11T22:09:31 --delay 80 --endMP 300:58928 --enddatetime 2017-11-11T22:23:43 --enforcementcount 0 &gt;&gt;%USERPROFILE%\Documents\GitHub\eaglep3-reporting\EC\2017-11-11-refined-times.txt</v>
      </c>
      <c r="AI198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{"issue":{"subject":"","project_id":79,"tracker_id":40,"status_id":1,"priority_id":2,"assigned_to_id":338,"start_date":"2017-11-11","description":"","custom_fields":[{"id":1,"name":"Subdivision","value":"NW"},{"id":4,"name":"Milepost","value":"5.8928"},{"id":17,"name":"Train ID","value":"1833-11"},{"id":16,"name":"Locomotive ID","value":"4006"},{"id":130,"name":"Impact","value":""},{"id":150,"name":"Time of Event (Mountain Time)","value":"22:23:43"},{"id":151,"name":"Denver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1"/>
        <v>start /low /b %USERPROFILE%\Documents\GitHub\eaglep3\Utilities\DownloadLogsFromS3.py --loco 4006 --day 2017-11-11</v>
      </c>
      <c r="AN198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3"/>
        <v>https://d0f6bd738d7f1b3e5a7ca70fe4ff75f0.us-east-1.aws.found.io/app/kibana#/discover/Steve-Slow-Train-Analysis-(2080s-and-2083s)?_g=(refreshInterval:(display:Off,pause:!f,section:0,value:0),time:(from:'2017-11-11T21:01:26-0700',mode:absolute,to:'2017-11-11T23:23:43-0700'))&amp;_a=(columns:!('Message%20ID',Summary),filters:!(),index:'emp_*',interval:auto,query:(query_string:(analyze_wildcard:!t,query:'%22rtdc.l.rtdc.4006%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689</v>
      </c>
      <c r="B199" s="7">
        <v>4005</v>
      </c>
      <c r="C199" s="21" t="s">
        <v>192</v>
      </c>
      <c r="D199" s="21" t="s">
        <v>1009</v>
      </c>
      <c r="E199" s="13">
        <v>43050.934444444443</v>
      </c>
      <c r="F199" s="13">
        <v>43050.945138888892</v>
      </c>
      <c r="G199" s="7">
        <v>69</v>
      </c>
      <c r="H199" s="21" t="s">
        <v>1010</v>
      </c>
      <c r="I199" s="13">
        <v>43050.955949074072</v>
      </c>
      <c r="J199" s="7">
        <v>0</v>
      </c>
      <c r="K199" s="89" t="str">
        <f t="shared" si="58"/>
        <v>4005/4006</v>
      </c>
      <c r="L199" s="185" t="str">
        <f>VLOOKUP(A199,'Trips&amp;Operators'!$C$1:$G$99911,5,FALSE)</f>
        <v>SMITH MICHAEL</v>
      </c>
      <c r="M199" s="6">
        <f t="shared" si="59"/>
        <v>1.081018518016208E-2</v>
      </c>
      <c r="N199" s="7">
        <f t="shared" si="84"/>
        <v>15.566666659433395</v>
      </c>
      <c r="O199" s="7"/>
      <c r="P199" s="7"/>
      <c r="Q199" s="22"/>
      <c r="R199" s="174"/>
      <c r="S199" s="221">
        <f t="shared" si="86"/>
        <v>1</v>
      </c>
      <c r="T199" s="174" t="str">
        <f t="shared" si="60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1"/>
        <v>https://d0f6bd738d7f1b3e5a7ca70fe4ff75f0.us-east-1.aws.found.io/app/kibana#/discover/Steve-Slow-Train-Analysis-(2080s-and-2083s)?_g=(refreshInterval:(display:Off,pause:!f,section:0,value:0),time:(from:'2017-11-11T21:25:36-0700',mode:absolute,to:'2017-11-11T23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204" t="str">
        <f>IF(AA199&lt;VLOOKUP(AG199,Variables!$AC$3:$AD$8,2,FALSE),"Y","N")</f>
        <v>Y</v>
      </c>
      <c r="X199" s="204">
        <f t="shared" si="85"/>
        <v>1</v>
      </c>
      <c r="Y199" s="204">
        <f t="shared" si="87"/>
        <v>5.8620999999999999</v>
      </c>
      <c r="Z199" s="204">
        <f t="shared" si="88"/>
        <v>0.47160000000000002</v>
      </c>
      <c r="AA199" s="204">
        <f t="shared" si="64"/>
        <v>5.3904999999999994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65"/>
        <v>1834</v>
      </c>
      <c r="AE199" s="77" t="str">
        <f t="shared" si="6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199" s="74" t="str">
        <f t="shared" si="67"/>
        <v>"C:\Program Files (x86)\AstroGrep\AstroGrep.exe" /e /r /s /spath="%USERPROFILE%\AppData\Local\Temp\OnboardLogs" /stypes="app*4005*20171112*" /stext=" 05:.+((SYSTEM_STATE.+slice.+state.+changed )|(ment ac)|(multiple cpu faults)|(system.+state.+changed )|(\[timeout)|(PRM\|1\|D)|(kpr)|(kdp)|(train st.+moving)|(\|lc)|(penalty))"</v>
      </c>
      <c r="AG199" s="182" t="str">
        <f t="shared" si="68"/>
        <v>NW</v>
      </c>
      <c r="AH199" s="78" t="str">
        <f t="shared" si="69"/>
        <v>"%USERPROFILE%\Documents\GitHub\eaglep3\Utilities\RefineRTDCRunTimes.py" --tripid 1834-11 --locoid 4005 --swversion DE.1.0.9.0 --startMP 300:58621 --initTime 2017-11-11T22:25:36 --startdatetime 2017-11-11T22:41:00 --delay 69 --endMP 204:4716 --enddatetime 2017-11-11T22:56:34 --enforcementcount 0 &gt;&gt;%USERPROFILE%\Documents\GitHub\eaglep3-reporting\EC\2017-11-11-refined-times.txt</v>
      </c>
      <c r="AI199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{"issue":{"subject":"","project_id":79,"tracker_id":40,"status_id":1,"priority_id":2,"assigned_to_id":338,"start_date":"2017-11-11","description":"","custom_fields":[{"id":1,"name":"Subdivision","value":"NW"},{"id":4,"name":"Milepost","value":"0.4716"},{"id":17,"name":"Train ID","value":"1834-11"},{"id":16,"name":"Locomotive ID","value":"4005"},{"id":130,"name":"Impact","value":""},{"id":150,"name":"Time of Event (Mountain Time)","value":"22:56:34"},{"id":151,"name":"Denver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1"/>
        <v>start /low /b %USERPROFILE%\Documents\GitHub\eaglep3\Utilities\DownloadLogsFromS3.py --loco 4005 --day 2017-11-11</v>
      </c>
      <c r="AN199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05:56:34"},{"id":29,"name":"Sharepoint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3"/>
        <v>https://d0f6bd738d7f1b3e5a7ca70fe4ff75f0.us-east-1.aws.found.io/app/kibana#/discover/Steve-Slow-Train-Analysis-(2080s-and-2083s)?_g=(refreshInterval:(display:Off,pause:!f,section:0,value:0),time:(from:'2017-11-11T21:25:36-0700',mode:absolute,to:'2017-11-11T23:56:34-0700'))&amp;_a=(columns:!('Message%20ID',Summary),filters:!(),index:'emp_*',interval:auto,query:(query_string:(analyze_wildcard:!t,query:'%22rtdc.l.rtdc.4005%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868</v>
      </c>
      <c r="B200" s="7">
        <v>4006</v>
      </c>
      <c r="C200" s="21" t="s">
        <v>192</v>
      </c>
      <c r="D200" s="21" t="s">
        <v>651</v>
      </c>
      <c r="E200" s="13">
        <v>43050.961226851854</v>
      </c>
      <c r="F200" s="13">
        <v>43050.964849537035</v>
      </c>
      <c r="G200" s="7">
        <v>55</v>
      </c>
      <c r="H200" s="21" t="s">
        <v>645</v>
      </c>
      <c r="I200" s="13">
        <v>43050.974548611113</v>
      </c>
      <c r="J200" s="7">
        <v>0</v>
      </c>
      <c r="K200" s="89" t="str">
        <f t="shared" si="58"/>
        <v>4005/4006</v>
      </c>
      <c r="L200" s="185" t="str">
        <f>VLOOKUP(A200,'Trips&amp;Operators'!$C$1:$G$99911,5,FALSE)</f>
        <v>SMITH MICHAEL</v>
      </c>
      <c r="M200" s="6">
        <f t="shared" si="59"/>
        <v>9.6990740785258822E-3</v>
      </c>
      <c r="N200" s="7">
        <f t="shared" si="84"/>
        <v>13.96666667307727</v>
      </c>
      <c r="O200" s="7"/>
      <c r="P200" s="7"/>
      <c r="Q200" s="22"/>
      <c r="R200" s="174"/>
      <c r="S200" s="221">
        <f t="shared" si="86"/>
        <v>1</v>
      </c>
      <c r="T200" s="174" t="str">
        <f t="shared" si="60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1"/>
        <v>https://d0f6bd738d7f1b3e5a7ca70fe4ff75f0.us-east-1.aws.found.io/app/kibana#/discover/Steve-Slow-Train-Analysis-(2080s-and-2083s)?_g=(refreshInterval:(display:Off,pause:!f,section:0,value:0),time:(from:'2017-11-11T22:04:10-0700',mode:absolute,to:'2017-11-12T00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04" t="str">
        <f>IF(AA200&lt;VLOOKUP(AG200,Variables!$AC$3:$AD$8,2,FALSE),"Y","N")</f>
        <v>N</v>
      </c>
      <c r="X200" s="204">
        <f t="shared" si="85"/>
        <v>1</v>
      </c>
      <c r="Y200" s="204">
        <f t="shared" si="87"/>
        <v>0.1076</v>
      </c>
      <c r="Z200" s="204">
        <f t="shared" si="88"/>
        <v>5.8940999999999999</v>
      </c>
      <c r="AA200" s="204">
        <f t="shared" si="64"/>
        <v>5.7865000000000002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65"/>
        <v>1835</v>
      </c>
      <c r="AE200" s="77" t="str">
        <f t="shared" si="6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200" s="74" t="str">
        <f t="shared" si="67"/>
        <v>"C:\Program Files (x86)\AstroGrep\AstroGrep.exe" /e /r /s /spath="%USERPROFILE%\AppData\Local\Temp\OnboardLogs" /stypes="app*4006*20171112*" /stext=" 06:.+((SYSTEM_STATE.+slice.+state.+changed )|(ment ac)|(multiple cpu faults)|(system.+state.+changed )|(\[timeout)|(PRM\|1\|D)|(kpr)|(kdp)|(train st.+moving)|(\|lc)|(penalty))"</v>
      </c>
      <c r="AG200" s="182" t="str">
        <f t="shared" si="68"/>
        <v>NW</v>
      </c>
      <c r="AH200" s="78" t="str">
        <f t="shared" si="69"/>
        <v>"%USERPROFILE%\Documents\GitHub\eaglep3\Utilities\RefineRTDCRunTimes.py" --tripid 1835-11 --locoid 4006 --swversion DE.1.0.9.0 --startMP 204:1076 --initTime 2017-11-11T23:04:10 --startdatetime 2017-11-11T23:09:23 --delay 55 --endMP 300:58941 --enddatetime 2017-11-11T23:23:21 --enforcementcount 0 &gt;&gt;%USERPROFILE%\Documents\GitHub\eaglep3-reporting\EC\2017-11-11-refined-times.txt</v>
      </c>
      <c r="AI200" s="96" t="str">
        <f t="shared" si="70"/>
        <v>echo {"issue":{"subject":"","project_id":79,"tracker_id":40,"status_id":1,"priority_id":2,"assigned_to_id":338,"start_date":"2017-11-11","description":"","custom_fields":[{"id":1,"name":"Subdivision","value":"NW"},{"id":4,"name":"Milepost","value":"5.8941"},{"id":17,"name":"Train ID","value":"1835-11"},{"id":16,"name":"Locomotive ID","value":"4006"},{"id":130,"name":"Impact","value":""},{"id":150,"name":"Time of Event (Mountain Time)","value":"23:23:21"},{"id":151,"name":"Denver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1"/>
        <v>start /low /b %USERPROFILE%\Documents\GitHub\eaglep3\Utilities\DownloadLogsFromS3.py --loco 4006 --day 2017-11-11</v>
      </c>
      <c r="AN200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06:23:21"},{"id":29,"name":"Sharepoint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3"/>
        <v>https://d0f6bd738d7f1b3e5a7ca70fe4ff75f0.us-east-1.aws.found.io/app/kibana#/discover/Steve-Slow-Train-Analysis-(2080s-and-2083s)?_g=(refreshInterval:(display:Off,pause:!f,section:0,value:0),time:(from:'2017-11-11T22:04:10-0700',mode:absolute,to:'2017-11-12T00:23:21-0700'))&amp;_a=(columns:!('Message%20ID',Summary),filters:!(),index:'emp_*',interval:auto,query:(query_string:(analyze_wildcard:!t,query:'%22rtdc.l.rtdc.4006%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658</v>
      </c>
      <c r="B201" s="7">
        <v>4019</v>
      </c>
      <c r="C201" s="21" t="s">
        <v>192</v>
      </c>
      <c r="D201" s="21" t="s">
        <v>1051</v>
      </c>
      <c r="E201" s="13">
        <v>43050.118217592593</v>
      </c>
      <c r="F201" s="13">
        <v>43050.121030092596</v>
      </c>
      <c r="G201" s="7">
        <v>50</v>
      </c>
      <c r="H201" s="21" t="s">
        <v>1052</v>
      </c>
      <c r="I201" s="13">
        <v>43050.12605324074</v>
      </c>
      <c r="J201" s="7">
        <v>0</v>
      </c>
      <c r="K201" s="89" t="str">
        <f t="shared" si="58"/>
        <v>4019/4020</v>
      </c>
      <c r="L201" s="185" t="str">
        <f>VLOOKUP(A201,'Trips&amp;Operators'!$C$1:$G$99911,5,FALSE)</f>
        <v>THOMPSON LESTER</v>
      </c>
      <c r="M201" s="6">
        <f t="shared" si="59"/>
        <v>5.0231481436640024E-3</v>
      </c>
      <c r="N201" s="7">
        <f t="shared" ref="N201:N220" si="89">24*60*SUM($M201:$M201)</f>
        <v>7.2333333268761635</v>
      </c>
      <c r="O201" s="7"/>
      <c r="P201" s="7"/>
      <c r="Q201" s="22"/>
      <c r="R201" s="174"/>
      <c r="S201" s="221">
        <f t="shared" si="86"/>
        <v>1</v>
      </c>
      <c r="T201" s="174" t="str">
        <f t="shared" si="60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1"/>
        <v>https://d0f6bd738d7f1b3e5a7ca70fe4ff75f0.us-east-1.aws.found.io/app/kibana#/discover/Steve-Slow-Train-Analysis-(2080s-and-2083s)?_g=(refreshInterval:(display:Off,pause:!f,section:0,value:0),time:(from:'2017-11-11T01:50:14-0700',mode:absolute,to:'2017-11-11T04:01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204" t="str">
        <f>IF(AA201&lt;VLOOKUP(AG201,Variables!$AC$3:$AD$8,2,FALSE),"Y","N")</f>
        <v>Y</v>
      </c>
      <c r="X201" s="204">
        <f t="shared" si="85"/>
        <v>-1535</v>
      </c>
      <c r="Y201" s="204">
        <f t="shared" si="87"/>
        <v>2.3536000000000001</v>
      </c>
      <c r="Z201" s="204">
        <f t="shared" si="88"/>
        <v>0.4602</v>
      </c>
      <c r="AA201" s="204">
        <f t="shared" si="64"/>
        <v>1.8934000000000002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65"/>
        <v>300</v>
      </c>
      <c r="AE201" s="77" t="str">
        <f t="shared" si="66"/>
        <v>aws s3 cp s3://rtdc.mdm.uploadarchive.raw/RTDC4019/ "%USERPROFILE%\AppData\Local\Temp\OnboardLogs"\RTDC4019\2017-11-11 --exclude "*" --recursive --include "*20171111*" &amp; "%USERPROFILE%\Documents\GitHub\mrs-test-scripts\Headless Mode &amp; Sideloading\WalkAndUnGZ.bat" "%USERPROFILE%\AppData\Local\Temp\OnboardLogs"\RTDC4019\2017-11-11 &amp; aws s3 cp s3://rtdc.mdm.uploadarchive.raw/RTDC4019/ "%USERPROFILE%\AppData\Local\Temp\OnboardLogs"\RTDC4019\2017-11-12 --exclude "*" --recursive --include "*20171112*" &amp; "%USERPROFILE%\Documents\GitHub\mrs-test-scripts\Headless Mode &amp; Sideloading\WalkAndUnGZ.bat" "%USERPROFILE%\AppData\Local\Temp\OnboardLogs"\RTDC4019\2017-11-12</v>
      </c>
      <c r="AF201" s="74" t="str">
        <f t="shared" si="67"/>
        <v>"C:\Program Files (x86)\AstroGrep\AstroGrep.exe" /e /r /s /spath="%USERPROFILE%\AppData\Local\Temp\OnboardLogs" /stypes="app*4019*20171111*" /stext=" 10:.+((SYSTEM_STATE.+slice.+state.+changed )|(ment ac)|(multiple cpu faults)|(system.+state.+changed )|(\[timeout)|(PRM\|1\|D)|(kpr)|(kdp)|(train st.+moving)|(\|lc)|(penalty))"</v>
      </c>
      <c r="AG201" s="182" t="str">
        <f t="shared" si="68"/>
        <v>Other</v>
      </c>
      <c r="AH201" s="78" t="str">
        <f t="shared" si="69"/>
        <v>"%USERPROFILE%\Documents\GitHub\eaglep3\Utilities\RefineRTDCRunTimes.py" --tripid 300-11 --locoid 4019 --swversion DE.1.0.9.0 --startMP 300:23536 --initTime 2017-11-11T02:50:14 --startdatetime 2017-11-11T02:54:17 --delay 50 --endMP 204:4602 --enddatetime 2017-11-11T03:01:31 --enforcementcount 0 &gt;&gt;%USERPROFILE%\Documents\GitHub\eaglep3-reporting\EC\2017-11-11-refined-times.txt</v>
      </c>
      <c r="AI201" s="96" t="str">
        <f t="shared" si="70"/>
        <v>echo {"issue":{"subject":"","project_id":79,"tracker_id":40,"status_id":1,"priority_id":2,"assigned_to_id":338,"start_date":"2017-11-11","description":"","custom_fields":[{"id":1,"name":"Subdivision","value":"Other"},{"id":4,"name":"Milepost","value":"0.4602"},{"id":17,"name":"Train ID","value":"300-11"},{"id":16,"name":"Locomotive ID","value":"4019"},{"id":130,"name":"Impact","value":""},{"id":150,"name":"Time of Event (Mountain Time)","value":"03:01:31"},{"id":151,"name":"Denver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71"/>
        <v>start /low /b %USERPROFILE%\Documents\GitHub\eaglep3\Utilities\DownloadLogsFromS3.py --loco 4019 --day 2017-11-11</v>
      </c>
      <c r="AN201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10:01:31"},{"id":29,"name":"Sharepoint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3"/>
        <v>https://d0f6bd738d7f1b3e5a7ca70fe4ff75f0.us-east-1.aws.found.io/app/kibana#/discover/Steve-Slow-Train-Analysis-(2080s-and-2083s)?_g=(refreshInterval:(display:Off,pause:!f,section:0,value:0),time:(from:'2017-11-11T01:50:14-0700',mode:absolute,to:'2017-11-11T04:01:31-0700'))&amp;_a=(columns:!('Message%20ID',Summary),filters:!(),index:'emp_*',interval:auto,query:(query_string:(analyze_wildcard:!t,query:'%22rtdc.l.rtdc.4019%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846</v>
      </c>
      <c r="B202" s="7">
        <v>4036</v>
      </c>
      <c r="C202" s="21" t="s">
        <v>192</v>
      </c>
      <c r="D202" s="21" t="s">
        <v>1053</v>
      </c>
      <c r="E202" s="13">
        <v>43050.776631944442</v>
      </c>
      <c r="F202" s="13">
        <v>43050.778287037036</v>
      </c>
      <c r="G202" s="7">
        <v>49</v>
      </c>
      <c r="H202" s="21" t="s">
        <v>1054</v>
      </c>
      <c r="I202" s="13">
        <v>43050.788136574076</v>
      </c>
      <c r="J202" s="7">
        <v>0</v>
      </c>
      <c r="K202" s="89" t="str">
        <f t="shared" si="58"/>
        <v>4035/4036</v>
      </c>
      <c r="L202" s="185" t="str">
        <f>VLOOKUP(A202,'Trips&amp;Operators'!$C$1:$G$99911,5,FALSE)</f>
        <v>GUZMAN DANNY</v>
      </c>
      <c r="M202" s="6">
        <f t="shared" si="59"/>
        <v>9.8495370402815752E-3</v>
      </c>
      <c r="N202" s="7">
        <f t="shared" si="89"/>
        <v>14.183333338005468</v>
      </c>
      <c r="O202" s="7"/>
      <c r="P202" s="7"/>
      <c r="Q202" s="22"/>
      <c r="R202" s="174"/>
      <c r="S202" s="221">
        <f t="shared" si="86"/>
        <v>1</v>
      </c>
      <c r="T202" s="174" t="str">
        <f t="shared" si="60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1"/>
        <v>https://d0f6bd738d7f1b3e5a7ca70fe4ff75f0.us-east-1.aws.found.io/app/kibana#/discover/Steve-Slow-Train-Analysis-(2080s-and-2083s)?_g=(refreshInterval:(display:Off,pause:!f,section:0,value:0),time:(from:'2017-11-11T17:38:21-0700',mode:absolute,to:'2017-11-11T19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2" s="204" t="str">
        <f>IF(AA202&lt;VLOOKUP(AG202,Variables!$AC$3:$AD$8,2,FALSE),"Y","N")</f>
        <v>Y</v>
      </c>
      <c r="X202" s="204">
        <f t="shared" si="85"/>
        <v>1</v>
      </c>
      <c r="Y202" s="204">
        <f t="shared" si="87"/>
        <v>5.9900000000000002E-2</v>
      </c>
      <c r="Z202" s="204">
        <f t="shared" si="88"/>
        <v>2.3313999999999999</v>
      </c>
      <c r="AA202" s="204">
        <f t="shared" si="64"/>
        <v>2.2715000000000001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65"/>
        <v>301</v>
      </c>
      <c r="AE202" s="77" t="str">
        <f t="shared" si="66"/>
        <v>aws s3 cp s3://rtdc.mdm.uploadarchive.raw/RTDC4036/ "%USERPROFILE%\AppData\Local\Temp\OnboardLogs"\RTDC4036\2017-11-11 --exclude "*" --recursive --include "*20171111*" &amp; "%USERPROFILE%\Documents\GitHub\mrs-test-scripts\Headless Mode &amp; Sideloading\WalkAndUnGZ.bat" "%USERPROFILE%\AppData\Local\Temp\OnboardLogs"\RTDC4036\2017-11-11 &amp; aws s3 cp s3://rtdc.mdm.uploadarchive.raw/RTDC4036/ "%USERPROFILE%\AppData\Local\Temp\OnboardLogs"\RTDC4036\2017-11-12 --exclude "*" --recursive --include "*20171112*" &amp; "%USERPROFILE%\Documents\GitHub\mrs-test-scripts\Headless Mode &amp; Sideloading\WalkAndUnGZ.bat" "%USERPROFILE%\AppData\Local\Temp\OnboardLogs"\RTDC4036\2017-11-12</v>
      </c>
      <c r="AF202" s="74" t="str">
        <f t="shared" si="67"/>
        <v>"C:\Program Files (x86)\AstroGrep\AstroGrep.exe" /e /r /s /spath="%USERPROFILE%\AppData\Local\Temp\OnboardLogs" /stypes="app*4036*20171112*" /stext=" 01:.+((SYSTEM_STATE.+slice.+state.+changed )|(ment ac)|(multiple cpu faults)|(system.+state.+changed )|(\[timeout)|(PRM\|1\|D)|(kpr)|(kdp)|(train st.+moving)|(\|lc)|(penalty))"</v>
      </c>
      <c r="AG202" s="182" t="str">
        <f t="shared" si="68"/>
        <v>Other</v>
      </c>
      <c r="AH202" s="78" t="str">
        <f t="shared" si="69"/>
        <v>"%USERPROFILE%\Documents\GitHub\eaglep3\Utilities\RefineRTDCRunTimes.py" --tripid 301-11 --locoid 4036 --swversion DE.1.0.9.0 --startMP 204:599 --initTime 2017-11-11T18:38:21 --startdatetime 2017-11-11T18:40:44 --delay 49 --endMP 300:23314 --enddatetime 2017-11-11T18:54:55 --enforcementcount 0 &gt;&gt;%USERPROFILE%\Documents\GitHub\eaglep3-reporting\EC\2017-11-11-refined-times.txt</v>
      </c>
      <c r="AI202" s="96" t="str">
        <f t="shared" si="70"/>
        <v>echo {"issue":{"subject":"","project_id":79,"tracker_id":40,"status_id":1,"priority_id":2,"assigned_to_id":338,"start_date":"2017-11-11","description":"","custom_fields":[{"id":1,"name":"Subdivision","value":"Other"},{"id":4,"name":"Milepost","value":"2.3314"},{"id":17,"name":"Train ID","value":"301-11"},{"id":16,"name":"Locomotive ID","value":"4036"},{"id":130,"name":"Impact","value":""},{"id":150,"name":"Time of Event (Mountain Time)","value":"18:54:55"},{"id":151,"name":"Denver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1"/>
        <v>start /low /b %USERPROFILE%\Documents\GitHub\eaglep3\Utilities\DownloadLogsFromS3.py --loco 4036 --day 2017-11-11</v>
      </c>
      <c r="AN202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3"/>
        <v>https://d0f6bd738d7f1b3e5a7ca70fe4ff75f0.us-east-1.aws.found.io/app/kibana#/discover/Steve-Slow-Train-Analysis-(2080s-and-2083s)?_g=(refreshInterval:(display:Off,pause:!f,section:0,value:0),time:(from:'2017-11-11T17:38:21-0700',mode:absolute,to:'2017-11-11T19:54:55-0700'))&amp;_a=(columns:!('Message%20ID',Summary),filters:!(),index:'emp_*',interval:auto,query:(query_string:(analyze_wildcard:!t,query:'%22rtdc.l.rtdc.4036%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701</v>
      </c>
      <c r="B203" s="7">
        <v>4057</v>
      </c>
      <c r="C203" s="21" t="s">
        <v>192</v>
      </c>
      <c r="D203" s="21" t="s">
        <v>1055</v>
      </c>
      <c r="E203" s="13">
        <v>43050.135324074072</v>
      </c>
      <c r="F203" s="13">
        <v>43050.144999999997</v>
      </c>
      <c r="G203" s="7">
        <v>128</v>
      </c>
      <c r="H203" s="21" t="s">
        <v>560</v>
      </c>
      <c r="I203" s="13">
        <v>43050.150439814817</v>
      </c>
      <c r="J203" s="7">
        <v>0</v>
      </c>
      <c r="K203" s="89" t="str">
        <f t="shared" si="58"/>
        <v>4057/4058</v>
      </c>
      <c r="L203" s="185" t="str">
        <f>VLOOKUP(A203,'Trips&amp;Operators'!$C$1:$G$99911,5,FALSE)</f>
        <v>MAELZER KURT</v>
      </c>
      <c r="M203" s="6">
        <f t="shared" si="59"/>
        <v>5.439814820419997E-3</v>
      </c>
      <c r="N203" s="7">
        <f t="shared" si="89"/>
        <v>7.8333333414047956</v>
      </c>
      <c r="O203" s="7"/>
      <c r="P203" s="7"/>
      <c r="Q203" s="22"/>
      <c r="R203" s="174"/>
      <c r="S203" s="221">
        <f t="shared" si="86"/>
        <v>1</v>
      </c>
      <c r="T203" s="174" t="str">
        <f t="shared" si="60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1"/>
        <v>https://d0f6bd738d7f1b3e5a7ca70fe4ff75f0.us-east-1.aws.found.io/app/kibana#/discover/Steve-Slow-Train-Analysis-(2080s-and-2083s)?_g=(refreshInterval:(display:Off,pause:!f,section:0,value:0),time:(from:'2017-11-11T02:14:52-0700',mode:absolute,to:'2017-11-11T04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3" s="204" t="str">
        <f>IF(AA203&lt;VLOOKUP(AG203,Variables!$AC$3:$AD$8,2,FALSE),"Y","N")</f>
        <v>Y</v>
      </c>
      <c r="X203" s="204">
        <f t="shared" si="85"/>
        <v>1</v>
      </c>
      <c r="Y203" s="204">
        <f t="shared" si="87"/>
        <v>1.9504999999999999</v>
      </c>
      <c r="Z203" s="204">
        <f t="shared" si="88"/>
        <v>1.4500000000000001E-2</v>
      </c>
      <c r="AA203" s="204">
        <f t="shared" si="64"/>
        <v>1.9359999999999999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65"/>
        <v>302</v>
      </c>
      <c r="AE203" s="77" t="str">
        <f t="shared" si="66"/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AF203" s="74" t="str">
        <f t="shared" si="67"/>
        <v>"C:\Program Files (x86)\AstroGrep\AstroGrep.exe" /e /r /s /spath="%USERPROFILE%\AppData\Local\Temp\OnboardLogs" /stypes="app*4057*20171111*" /stext=" 10:.+((SYSTEM_STATE.+slice.+state.+changed )|(ment ac)|(multiple cpu faults)|(system.+state.+changed )|(\[timeout)|(PRM\|1\|D)|(kpr)|(kdp)|(train st.+moving)|(\|lc)|(penalty))"</v>
      </c>
      <c r="AG203" s="182" t="str">
        <f t="shared" si="68"/>
        <v>Other</v>
      </c>
      <c r="AH203" s="78" t="str">
        <f t="shared" si="69"/>
        <v>"%USERPROFILE%\Documents\GitHub\eaglep3\Utilities\RefineRTDCRunTimes.py" --tripid 302-11 --locoid 4057 --swversion DE.1.0.9.0 --startMP 300:19505 --initTime 2017-11-11T03:14:52 --startdatetime 2017-11-11T03:28:48 --delay 128 --endMP 204:145 --enddatetime 2017-11-11T03:36:38 --enforcementcount 0 &gt;&gt;%USERPROFILE%\Documents\GitHub\eaglep3-reporting\EC\2017-11-11-refined-times.txt</v>
      </c>
      <c r="AI203" s="96" t="str">
        <f t="shared" si="70"/>
        <v>echo {"issue":{"subject":"","project_id":79,"tracker_id":40,"status_id":1,"priority_id":2,"assigned_to_id":338,"start_date":"2017-11-11","description":"","custom_fields":[{"id":1,"name":"Subdivision","value":"Other"},{"id":4,"name":"Milepost","value":"0.0145"},{"id":17,"name":"Train ID","value":"302-11"},{"id":16,"name":"Locomotive ID","value":"4057"},{"id":130,"name":"Impact","value":""},{"id":150,"name":"Time of Event (Mountain Time)","value":"03:36:38"},{"id":151,"name":"Denver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1"/>
        <v>start /low /b %USERPROFILE%\Documents\GitHub\eaglep3\Utilities\DownloadLogsFromS3.py --loco 4057 --day 2017-11-11</v>
      </c>
      <c r="AN203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3"/>
        <v>https://d0f6bd738d7f1b3e5a7ca70fe4ff75f0.us-east-1.aws.found.io/app/kibana#/discover/Steve-Slow-Train-Analysis-(2080s-and-2083s)?_g=(refreshInterval:(display:Off,pause:!f,section:0,value:0),time:(from:'2017-11-11T02:14:52-0700',mode:absolute,to:'2017-11-11T04:36:38-0700'))&amp;_a=(columns:!('Message%20ID',Summary),filters:!(),index:'emp_*',interval:auto,query:(query_string:(analyze_wildcard:!t,query:'%22rtdc.l.rtdc.4057%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852</v>
      </c>
      <c r="B204" s="7">
        <v>4066</v>
      </c>
      <c r="C204" s="21" t="s">
        <v>192</v>
      </c>
      <c r="D204" s="21" t="s">
        <v>938</v>
      </c>
      <c r="E204" s="13">
        <v>43050.79824074074</v>
      </c>
      <c r="F204" s="13">
        <v>43050.799479166664</v>
      </c>
      <c r="G204" s="7">
        <v>57</v>
      </c>
      <c r="H204" s="21" t="s">
        <v>531</v>
      </c>
      <c r="I204" s="13">
        <v>43050.807824074072</v>
      </c>
      <c r="J204" s="7">
        <v>0</v>
      </c>
      <c r="K204" s="89" t="str">
        <f t="shared" si="58"/>
        <v>4065/4066</v>
      </c>
      <c r="L204" s="185" t="str">
        <f>VLOOKUP(A204,'Trips&amp;Operators'!$C$1:$G$99911,5,FALSE)</f>
        <v>BERLING GARY</v>
      </c>
      <c r="M204" s="6">
        <f t="shared" si="59"/>
        <v>8.3449074081727304E-3</v>
      </c>
      <c r="N204" s="7">
        <f t="shared" si="89"/>
        <v>12.016666667768732</v>
      </c>
      <c r="O204" s="7"/>
      <c r="P204" s="7"/>
      <c r="Q204" s="22"/>
      <c r="R204" s="174"/>
      <c r="S204" s="221">
        <f t="shared" si="86"/>
        <v>1</v>
      </c>
      <c r="T204" s="174" t="str">
        <f t="shared" si="60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1"/>
        <v>https://d0f6bd738d7f1b3e5a7ca70fe4ff75f0.us-east-1.aws.found.io/app/kibana#/discover/Steve-Slow-Train-Analysis-(2080s-and-2083s)?_g=(refreshInterval:(display:Off,pause:!f,section:0,value:0),time:(from:'2017-11-11T18:09:28-0700',mode:absolute,to:'2017-11-11T20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4" s="204" t="str">
        <f>IF(AA204&lt;VLOOKUP(AG204,Variables!$AC$3:$AD$8,2,FALSE),"Y","N")</f>
        <v>Y</v>
      </c>
      <c r="X204" s="204">
        <f t="shared" si="85"/>
        <v>1</v>
      </c>
      <c r="Y204" s="204">
        <f t="shared" si="87"/>
        <v>5.6000000000000001E-2</v>
      </c>
      <c r="Z204" s="204">
        <f t="shared" si="88"/>
        <v>2.3346</v>
      </c>
      <c r="AA204" s="204">
        <f t="shared" si="64"/>
        <v>2.2786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65"/>
        <v>303</v>
      </c>
      <c r="AE204" s="77" t="str">
        <f t="shared" si="66"/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AF204" s="74" t="str">
        <f t="shared" si="67"/>
        <v>"C:\Program Files (x86)\AstroGrep\AstroGrep.exe" /e /r /s /spath="%USERPROFILE%\AppData\Local\Temp\OnboardLogs" /stypes="app*4066*20171112*" /stext=" 02:.+((SYSTEM_STATE.+slice.+state.+changed )|(ment ac)|(multiple cpu faults)|(system.+state.+changed )|(\[timeout)|(PRM\|1\|D)|(kpr)|(kdp)|(train st.+moving)|(\|lc)|(penalty))"</v>
      </c>
      <c r="AG204" s="182" t="str">
        <f t="shared" si="68"/>
        <v>Other</v>
      </c>
      <c r="AH204" s="78" t="str">
        <f t="shared" si="69"/>
        <v>"%USERPROFILE%\Documents\GitHub\eaglep3\Utilities\RefineRTDCRunTimes.py" --tripid 303-11 --locoid 4066 --swversion DE.1.0.9.0 --startMP 204:560 --initTime 2017-11-11T19:09:28 --startdatetime 2017-11-11T19:11:15 --delay 57 --endMP 300:23346 --enddatetime 2017-11-11T19:23:16 --enforcementcount 0 &gt;&gt;%USERPROFILE%\Documents\GitHub\eaglep3-reporting\EC\2017-11-11-refined-times.txt</v>
      </c>
      <c r="AI204" s="96" t="str">
        <f t="shared" si="70"/>
        <v>echo {"issue":{"subject":"","project_id":79,"tracker_id":40,"status_id":1,"priority_id":2,"assigned_to_id":338,"start_date":"2017-11-11","description":"","custom_fields":[{"id":1,"name":"Subdivision","value":"Other"},{"id":4,"name":"Milepost","value":"2.3346"},{"id":17,"name":"Train ID","value":"303-11"},{"id":16,"name":"Locomotive ID","value":"4066"},{"id":130,"name":"Impact","value":""},{"id":150,"name":"Time of Event (Mountain Time)","value":"19:23:16"},{"id":151,"name":"Denver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1"/>
        <v>start /low /b %USERPROFILE%\Documents\GitHub\eaglep3\Utilities\DownloadLogsFromS3.py --loco 4066 --day 2017-11-11</v>
      </c>
      <c r="AN204" s="151" t="str">
        <f t="shared" si="7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3"/>
        <v>https://d0f6bd738d7f1b3e5a7ca70fe4ff75f0.us-east-1.aws.found.io/app/kibana#/discover/Steve-Slow-Train-Analysis-(2080s-and-2083s)?_g=(refreshInterval:(display:Off,pause:!f,section:0,value:0),time:(from:'2017-11-11T18:09:28-0700',mode:absolute,to:'2017-11-11T20:23:16-0700'))&amp;_a=(columns:!('Message%20ID',Summary),filters:!(),index:'emp_*',interval:auto,query:(query_string:(analyze_wildcard:!t,query:'%22rtdc.l.rtdc.4066%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704</v>
      </c>
      <c r="B205" s="7">
        <v>4009</v>
      </c>
      <c r="C205" s="21" t="s">
        <v>192</v>
      </c>
      <c r="D205" s="21" t="s">
        <v>1056</v>
      </c>
      <c r="E205" s="13">
        <v>43050.161956018521</v>
      </c>
      <c r="F205" s="13">
        <v>43050.166145833333</v>
      </c>
      <c r="G205" s="7">
        <v>72</v>
      </c>
      <c r="H205" s="21" t="s">
        <v>601</v>
      </c>
      <c r="I205" s="13">
        <v>43050.171967592592</v>
      </c>
      <c r="J205" s="7">
        <v>0</v>
      </c>
      <c r="K205" s="89" t="str">
        <f t="shared" ref="K205:K220" si="90">IF(ISEVEN(B205),(B205-1)&amp;"/"&amp;B205,B205&amp;"/"&amp;(B205+1))</f>
        <v>4009/4010</v>
      </c>
      <c r="L205" s="185" t="str">
        <f>VLOOKUP(A205,'Trips&amp;Operators'!$C$1:$G$99911,5,FALSE)</f>
        <v>PAGE MARCUS</v>
      </c>
      <c r="M205" s="6">
        <f t="shared" ref="M205:M220" si="91">I205-F205</f>
        <v>5.8217592595610768E-3</v>
      </c>
      <c r="N205" s="7">
        <f t="shared" si="89"/>
        <v>8.3833333337679505</v>
      </c>
      <c r="O205" s="7"/>
      <c r="P205" s="7"/>
      <c r="Q205" s="22"/>
      <c r="R205" s="174"/>
      <c r="S205" s="221">
        <f t="shared" si="86"/>
        <v>1</v>
      </c>
      <c r="T205" s="174" t="str">
        <f t="shared" ref="T205:T220" si="92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0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-11T02:53:13-0700',mode:absolute,to:'2017-11-11T05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04" t="str">
        <f>IF(AA205&lt;VLOOKUP(AG205,Variables!$AC$3:$AD$8,2,FALSE),"Y","N")</f>
        <v>Y</v>
      </c>
      <c r="X205" s="204">
        <f t="shared" si="85"/>
        <v>1</v>
      </c>
      <c r="Y205" s="204">
        <f t="shared" si="87"/>
        <v>2.33</v>
      </c>
      <c r="Z205" s="204">
        <f t="shared" si="88"/>
        <v>1.5599999999999999E-2</v>
      </c>
      <c r="AA205" s="204">
        <f t="shared" ref="AA205:AA268" si="94">ABS(Z205-Y205)</f>
        <v>2.3144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ref="AD205:AD220" si="95">VALUE(LEFT(A205,LEN(A205)-3))</f>
        <v>304</v>
      </c>
      <c r="AE205" s="77" t="str">
        <f t="shared" ref="AE205:AE220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AF205" s="74" t="str">
        <f t="shared" ref="AF205:AF220" si="9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/stypes="app*4009*20171111*" /stext=" 11:.+((SYSTEM_STATE.+slice.+state.+changed )|(ment ac)|(multiple cpu faults)|(system.+state.+changed )|(\[timeout)|(PRM\|1\|D)|(kpr)|(kdp)|(train st.+moving)|(\|lc)|(penalty))"</v>
      </c>
      <c r="AG205" s="182" t="str">
        <f t="shared" ref="AG205:AG220" si="98">DetSubdiv(A205)</f>
        <v>Other</v>
      </c>
      <c r="AH205" s="78" t="str">
        <f t="shared" si="69"/>
        <v>"%USERPROFILE%\Documents\GitHub\eaglep3\Utilities\RefineRTDCRunTimes.py" --tripid 304-11 --locoid 4009 --swversion DE.1.0.9.0 --startMP 300:23300 --initTime 2017-11-11T03:53:13 --startdatetime 2017-11-11T03:59:15 --delay 72 --endMP 204:156 --enddatetime 2017-11-11T04:07:38 --enforcementcount 0 &gt;&gt;%USERPROFILE%\Documents\GitHub\eaglep3-reporting\EC\2017-11-11-refined-times.txt</v>
      </c>
      <c r="AI205" s="96" t="str">
        <f t="shared" si="70"/>
        <v>echo {"issue":{"subject":"","project_id":79,"tracker_id":40,"status_id":1,"priority_id":2,"assigned_to_id":338,"start_date":"2017-11-11","description":"","custom_fields":[{"id":1,"name":"Subdivision","value":"Other"},{"id":4,"name":"Milepost","value":"0.0156"},{"id":17,"name":"Train ID","value":"304-11"},{"id":16,"name":"Locomotive ID","value":"4009"},{"id":130,"name":"Impact","value":""},{"id":150,"name":"Time of Event (Mountain Time)","value":"04:07:38"},{"id":151,"name":"Denver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1"/>
        <v>start /low /b %USERPROFILE%\Documents\GitHub\eaglep3\Utilities\DownloadLogsFromS3.py --loco 4009 --day 2017-11-11</v>
      </c>
      <c r="AN205" s="151" t="str">
        <f t="shared" si="7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3"/>
        <v>https://d0f6bd738d7f1b3e5a7ca70fe4ff75f0.us-east-1.aws.found.io/app/kibana#/discover/Steve-Slow-Train-Analysis-(2080s-and-2083s)?_g=(refreshInterval:(display:Off,pause:!f,section:0,value:0),time:(from:'2017-11-11T02:53:13-0700',mode:absolute,to:'2017-11-11T05:07:38-0700'))&amp;_a=(columns:!('Message%20ID',Summary),filters:!(),index:'emp_*',interval:auto,query:(query_string:(analyze_wildcard:!t,query:'%22rtdc.l.rtdc.4009%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855</v>
      </c>
      <c r="B206" s="7">
        <v>4026</v>
      </c>
      <c r="C206" s="21" t="s">
        <v>192</v>
      </c>
      <c r="D206" s="21" t="s">
        <v>526</v>
      </c>
      <c r="E206" s="13">
        <v>43050.817384259259</v>
      </c>
      <c r="F206" s="13">
        <v>43050.818993055553</v>
      </c>
      <c r="G206" s="7">
        <v>75</v>
      </c>
      <c r="H206" s="21" t="s">
        <v>1057</v>
      </c>
      <c r="I206" s="13">
        <v>43050.827291666668</v>
      </c>
      <c r="J206" s="7">
        <v>0</v>
      </c>
      <c r="K206" s="89" t="str">
        <f t="shared" si="90"/>
        <v>4025/4026</v>
      </c>
      <c r="L206" s="185" t="str">
        <f>VLOOKUP(A206,'Trips&amp;Operators'!$C$1:$G$99911,5,FALSE)</f>
        <v>HOLCOMB KAMDEN</v>
      </c>
      <c r="M206" s="6">
        <f t="shared" si="91"/>
        <v>8.298611115606036E-3</v>
      </c>
      <c r="N206" s="7">
        <f t="shared" si="89"/>
        <v>11.950000006472692</v>
      </c>
      <c r="O206" s="7"/>
      <c r="P206" s="7"/>
      <c r="Q206" s="22"/>
      <c r="R206" s="174"/>
      <c r="S206" s="221">
        <f t="shared" si="86"/>
        <v>1</v>
      </c>
      <c r="T206" s="174" t="str">
        <f t="shared" si="92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93"/>
        <v>https://d0f6bd738d7f1b3e5a7ca70fe4ff75f0.us-east-1.aws.found.io/app/kibana#/discover/Steve-Slow-Train-Analysis-(2080s-and-2083s)?_g=(refreshInterval:(display:Off,pause:!f,section:0,value:0),time:(from:'2017-11-11T18:37:02-0700',mode:absolute,to:'2017-11-11T20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204" t="str">
        <f>IF(AA206&lt;VLOOKUP(AG206,Variables!$AC$3:$AD$8,2,FALSE),"Y","N")</f>
        <v>Y</v>
      </c>
      <c r="X206" s="204">
        <f t="shared" si="85"/>
        <v>1</v>
      </c>
      <c r="Y206" s="204">
        <f t="shared" si="87"/>
        <v>5.2600000000000001E-2</v>
      </c>
      <c r="Z206" s="204">
        <f t="shared" si="88"/>
        <v>2.3300999999999998</v>
      </c>
      <c r="AA206" s="204">
        <f t="shared" si="94"/>
        <v>2.2774999999999999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95"/>
        <v>305</v>
      </c>
      <c r="AE206" s="77" t="str">
        <f t="shared" si="96"/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AF206" s="74" t="str">
        <f t="shared" si="97"/>
        <v>"C:\Program Files (x86)\AstroGrep\AstroGrep.exe" /e /r /s /spath="%USERPROFILE%\AppData\Local\Temp\OnboardLogs" /stypes="app*4026*20171112*" /stext=" 02:.+((SYSTEM_STATE.+slice.+state.+changed )|(ment ac)|(multiple cpu faults)|(system.+state.+changed )|(\[timeout)|(PRM\|1\|D)|(kpr)|(kdp)|(train st.+moving)|(\|lc)|(penalty))"</v>
      </c>
      <c r="AG206" s="182" t="str">
        <f t="shared" si="98"/>
        <v>Other</v>
      </c>
      <c r="AH206" s="78" t="str">
        <f t="shared" ref="AH206:AH220" si="9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305-11 --locoid 4026 --swversion DE.1.0.9.0 --startMP 204:526 --initTime 2017-11-11T19:37:02 --startdatetime 2017-11-11T19:39:21 --delay 75 --endMP 300:23301 --enddatetime 2017-11-11T19:51:18 --enforcementcount 0 &gt;&gt;%USERPROFILE%\Documents\GitHub\eaglep3-reporting\EC\2017-11-11-refined-times.txt</v>
      </c>
      <c r="AI206" s="96" t="str">
        <f t="shared" ref="AI206:AI220" si="10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{"issue":{"subject":"","project_id":79,"tracker_id":40,"status_id":1,"priority_id":2,"assigned_to_id":338,"start_date":"2017-11-11","description":"","custom_fields":[{"id":1,"name":"Subdivision","value":"Other"},{"id":4,"name":"Milepost","value":"2.3301"},{"id":17,"name":"Train ID","value":"305-11"},{"id":16,"name":"Locomotive ID","value":"4026"},{"id":130,"name":"Impact","value":""},{"id":150,"name":"Time of Event (Mountain Time)","value":"19:51:18"},{"id":151,"name":"Denver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ref="AM206:AM220" si="101">"start /low /b "&amp;dls3logs&amp;" --loco "&amp;B206&amp;" --day "&amp;TEXT(F206,"YYYY-MM-DD")</f>
        <v>start /low /b %USERPROFILE%\Documents\GitHub\eaglep3\Utilities\DownloadLogsFromS3.py --loco 4026 --day 2017-11-11</v>
      </c>
      <c r="AN206" s="151" t="str">
        <f t="shared" ref="AN206:AN220" si="102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:AO220" si="103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-11T18:37:02-0700',mode:absolute,to:'2017-11-11T20:51:18-0700'))&amp;_a=(columns:!('Message%20ID',Summary),filters:!(),index:'emp_*',interval:auto,query:(query_string:(analyze_wildcard:!t,query:'%22rtdc.l.rtdc.4026%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705</v>
      </c>
      <c r="B207" s="7">
        <v>4021</v>
      </c>
      <c r="C207" s="21" t="s">
        <v>192</v>
      </c>
      <c r="D207" s="21" t="s">
        <v>1058</v>
      </c>
      <c r="E207" s="13">
        <v>43050.172314814816</v>
      </c>
      <c r="F207" s="13">
        <v>43050.176134259258</v>
      </c>
      <c r="G207" s="7">
        <v>64</v>
      </c>
      <c r="H207" s="21" t="s">
        <v>1059</v>
      </c>
      <c r="I207" s="13">
        <v>43050.184837962966</v>
      </c>
      <c r="J207" s="7">
        <v>0</v>
      </c>
      <c r="K207" s="89" t="str">
        <f t="shared" si="90"/>
        <v>4021/4022</v>
      </c>
      <c r="L207" s="185" t="str">
        <f>VLOOKUP(A207,'Trips&amp;Operators'!$C$1:$G$99911,5,FALSE)</f>
        <v>GEBRETEKLE DAGNEW</v>
      </c>
      <c r="M207" s="6">
        <f t="shared" si="91"/>
        <v>8.7037037083064206E-3</v>
      </c>
      <c r="N207" s="7">
        <f t="shared" si="89"/>
        <v>12.533333339961246</v>
      </c>
      <c r="O207" s="7"/>
      <c r="P207" s="7"/>
      <c r="Q207" s="22"/>
      <c r="R207" s="174"/>
      <c r="S207" s="221">
        <f t="shared" si="86"/>
        <v>1</v>
      </c>
      <c r="T207" s="174" t="str">
        <f t="shared" si="92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93"/>
        <v>https://d0f6bd738d7f1b3e5a7ca70fe4ff75f0.us-east-1.aws.found.io/app/kibana#/discover/Steve-Slow-Train-Analysis-(2080s-and-2083s)?_g=(refreshInterval:(display:Off,pause:!f,section:0,value:0),time:(from:'2017-11-11T03:08:08-0700',mode:absolute,to:'2017-11-11T05:26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204" t="str">
        <f>IF(AA207&lt;VLOOKUP(AG207,Variables!$AC$3:$AD$8,2,FALSE),"Y","N")</f>
        <v>Y</v>
      </c>
      <c r="X207" s="204">
        <f t="shared" si="85"/>
        <v>1</v>
      </c>
      <c r="Y207" s="204">
        <f t="shared" si="87"/>
        <v>2.3593000000000002</v>
      </c>
      <c r="Z207" s="204">
        <f t="shared" si="88"/>
        <v>1.0800000000000001E-2</v>
      </c>
      <c r="AA207" s="204">
        <f t="shared" si="94"/>
        <v>2.3485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95"/>
        <v>306</v>
      </c>
      <c r="AE207" s="77" t="str">
        <f t="shared" si="96"/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AF207" s="74" t="str">
        <f t="shared" si="97"/>
        <v>"C:\Program Files (x86)\AstroGrep\AstroGrep.exe" /e /r /s /spath="%USERPROFILE%\AppData\Local\Temp\OnboardLogs" /stypes="app*4021*20171111*" /stext=" 11:.+((SYSTEM_STATE.+slice.+state.+changed )|(ment ac)|(multiple cpu faults)|(system.+state.+changed )|(\[timeout)|(PRM\|1\|D)|(kpr)|(kdp)|(train st.+moving)|(\|lc)|(penalty))"</v>
      </c>
      <c r="AG207" s="182" t="str">
        <f t="shared" si="98"/>
        <v>Other</v>
      </c>
      <c r="AH207" s="78" t="str">
        <f t="shared" si="99"/>
        <v>"%USERPROFILE%\Documents\GitHub\eaglep3\Utilities\RefineRTDCRunTimes.py" --tripid 306-11 --locoid 4021 --swversion DE.1.0.9.0 --startMP 300:23593 --initTime 2017-11-11T04:08:08 --startdatetime 2017-11-11T04:13:38 --delay 64 --endMP 204:108 --enddatetime 2017-11-11T04:26:10 --enforcementcount 0 &gt;&gt;%USERPROFILE%\Documents\GitHub\eaglep3-reporting\EC\2017-11-11-refined-times.txt</v>
      </c>
      <c r="AI207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{"issue":{"subject":"","project_id":79,"tracker_id":40,"status_id":1,"priority_id":2,"assigned_to_id":338,"start_date":"2017-11-11","description":"","custom_fields":[{"id":1,"name":"Subdivision","value":"Other"},{"id":4,"name":"Milepost","value":"0.0108"},{"id":17,"name":"Train ID","value":"306-11"},{"id":16,"name":"Locomotive ID","value":"4021"},{"id":130,"name":"Impact","value":""},{"id":150,"name":"Time of Event (Mountain Time)","value":"04:26:10"},{"id":151,"name":"Denver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101"/>
        <v>start /low /b %USERPROFILE%\Documents\GitHub\eaglep3\Utilities\DownloadLogsFromS3.py --loco 4021 --day 2017-11-11</v>
      </c>
      <c r="AN207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03"/>
        <v>https://d0f6bd738d7f1b3e5a7ca70fe4ff75f0.us-east-1.aws.found.io/app/kibana#/discover/Steve-Slow-Train-Analysis-(2080s-and-2083s)?_g=(refreshInterval:(display:Off,pause:!f,section:0,value:0),time:(from:'2017-11-11T03:08:08-0700',mode:absolute,to:'2017-11-11T05:26:10-0700'))&amp;_a=(columns:!('Message%20ID',Summary),filters:!(),index:'emp_*',interval:auto,query:(query_string:(analyze_wildcard:!t,query:'%22rtdc.l.rtdc.4021%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877</v>
      </c>
      <c r="B208" s="7">
        <v>4058</v>
      </c>
      <c r="C208" s="21" t="s">
        <v>192</v>
      </c>
      <c r="D208" s="21" t="s">
        <v>525</v>
      </c>
      <c r="E208" s="13">
        <v>43051.04582175926</v>
      </c>
      <c r="F208" s="13">
        <v>43051.047280092593</v>
      </c>
      <c r="G208" s="7">
        <v>52</v>
      </c>
      <c r="H208" s="21" t="s">
        <v>531</v>
      </c>
      <c r="I208" s="13">
        <v>43051.055671296293</v>
      </c>
      <c r="J208" s="7">
        <v>0</v>
      </c>
      <c r="K208" s="89" t="str">
        <f t="shared" si="90"/>
        <v>4057/4058</v>
      </c>
      <c r="L208" s="185" t="str">
        <f>VLOOKUP(A208,'Trips&amp;Operators'!$C$1:$G$99911,5,FALSE)</f>
        <v>FORTUNATO FRANK</v>
      </c>
      <c r="M208" s="6">
        <f t="shared" si="91"/>
        <v>8.3912037007394247E-3</v>
      </c>
      <c r="N208" s="7">
        <f t="shared" si="89"/>
        <v>12.083333329064772</v>
      </c>
      <c r="O208" s="7"/>
      <c r="P208" s="7"/>
      <c r="Q208" s="22"/>
      <c r="R208" s="174"/>
      <c r="S208" s="221">
        <f t="shared" si="86"/>
        <v>1</v>
      </c>
      <c r="T208" s="174" t="str">
        <f t="shared" si="92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93"/>
        <v>https://d0f6bd738d7f1b3e5a7ca70fe4ff75f0.us-east-1.aws.found.io/app/kibana#/discover/Steve-Slow-Train-Analysis-(2080s-and-2083s)?_g=(refreshInterval:(display:Off,pause:!f,section:0,value:0),time:(from:'2017-11-12T00:05:59-0700',mode:absolute,to:'2017-11-12T02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8" s="204" t="str">
        <f>IF(AA208&lt;VLOOKUP(AG208,Variables!$AC$3:$AD$8,2,FALSE),"Y","N")</f>
        <v>Y</v>
      </c>
      <c r="X208" s="204">
        <f t="shared" si="85"/>
        <v>1</v>
      </c>
      <c r="Y208" s="204">
        <f t="shared" si="87"/>
        <v>5.2400000000000002E-2</v>
      </c>
      <c r="Z208" s="204">
        <f t="shared" si="88"/>
        <v>2.3346</v>
      </c>
      <c r="AA208" s="204">
        <f t="shared" si="94"/>
        <v>2.2822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95"/>
        <v>307</v>
      </c>
      <c r="AE208" s="77" t="str">
        <f t="shared" si="96"/>
        <v>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 &amp; aws s3 cp s3://rtdc.mdm.uploadarchive.raw/RTDC4058/ "%USERPROFILE%\AppData\Local\Temp\OnboardLogs"\RTDC4058\2017-11-13 --exclude "*" --recursive --include "*20171113*" &amp; "%USERPROFILE%\Documents\GitHub\mrs-test-scripts\Headless Mode &amp; Sideloading\WalkAndUnGZ.bat" "%USERPROFILE%\AppData\Local\Temp\OnboardLogs"\RTDC4058\2017-11-13</v>
      </c>
      <c r="AF208" s="74" t="str">
        <f t="shared" si="97"/>
        <v>"C:\Program Files (x86)\AstroGrep\AstroGrep.exe" /e /r /s /spath="%USERPROFILE%\AppData\Local\Temp\OnboardLogs" /stypes="app*4058*20171112*" /stext=" 08:.+((SYSTEM_STATE.+slice.+state.+changed )|(ment ac)|(multiple cpu faults)|(system.+state.+changed )|(\[timeout)|(PRM\|1\|D)|(kpr)|(kdp)|(train st.+moving)|(\|lc)|(penalty))"</v>
      </c>
      <c r="AG208" s="182" t="str">
        <f t="shared" si="98"/>
        <v>Other</v>
      </c>
      <c r="AH208" s="78" t="str">
        <f t="shared" si="99"/>
        <v>"%USERPROFILE%\Documents\GitHub\eaglep3\Utilities\RefineRTDCRunTimes.py" --tripid 307-11 --locoid 4058 --swversion DE.1.0.9.0 --startMP 204:524 --initTime 2017-11-12T01:05:59 --startdatetime 2017-11-12T01:08:05 --delay 52 --endMP 300:23346 --enddatetime 2017-11-12T01:20:10 --enforcementcount 0 &gt;&gt;%USERPROFILE%\Documents\GitHub\eaglep3-reporting\EC\2017-11-11-refined-times.txt</v>
      </c>
      <c r="AI208" s="96" t="str">
        <f t="shared" si="100"/>
        <v>echo {"issue":{"subject":"","project_id":79,"tracker_id":40,"status_id":1,"priority_id":2,"assigned_to_id":338,"start_date":"2017-11-12","description":"","custom_fields":[{"id":1,"name":"Subdivision","value":"Other"},{"id":4,"name":"Milepost","value":"2.3346"},{"id":17,"name":"Train ID","value":"307-11"},{"id":16,"name":"Locomotive ID","value":"4058"},{"id":130,"name":"Impact","value":""},{"id":150,"name":"Time of Event (Mountain Time)","value":"01:20:10"},{"id":151,"name":"Denver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101"/>
        <v>start /low /b %USERPROFILE%\Documents\GitHub\eaglep3\Utilities\DownloadLogsFromS3.py --loco 4058 --day 2017-11-12</v>
      </c>
      <c r="AN208" s="151" t="str">
        <f t="shared" si="10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08:20:10"},{"id":29,"name":"Sharepoint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03"/>
        <v>https://d0f6bd738d7f1b3e5a7ca70fe4ff75f0.us-east-1.aws.found.io/app/kibana#/discover/Steve-Slow-Train-Analysis-(2080s-and-2083s)?_g=(refreshInterval:(display:Off,pause:!f,section:0,value:0),time:(from:'2017-11-12T00:05:59-0700',mode:absolute,to:'2017-11-12T02:20:10-0700'))&amp;_a=(columns:!('Message%20ID',Summary),filters:!(),index:'emp_*',interval:auto,query:(query_string:(analyze_wildcard:!t,query:'%22rtdc.l.rtdc.4058%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708</v>
      </c>
      <c r="B209" s="7">
        <v>4035</v>
      </c>
      <c r="C209" s="21" t="s">
        <v>192</v>
      </c>
      <c r="D209" s="21" t="s">
        <v>1060</v>
      </c>
      <c r="E209" s="13">
        <v>43050.177800925929</v>
      </c>
      <c r="F209" s="13">
        <v>43050.182511574072</v>
      </c>
      <c r="G209" s="7">
        <v>82</v>
      </c>
      <c r="H209" s="21" t="s">
        <v>1061</v>
      </c>
      <c r="I209" s="13">
        <v>43050.193761574075</v>
      </c>
      <c r="J209" s="7">
        <v>0</v>
      </c>
      <c r="K209" s="89" t="str">
        <f t="shared" si="90"/>
        <v>4035/4036</v>
      </c>
      <c r="L209" s="185" t="str">
        <f>VLOOKUP(A209,'Trips&amp;Operators'!$C$1:$G$99911,5,FALSE)</f>
        <v>HUFFSMITH MONTY</v>
      </c>
      <c r="M209" s="6">
        <f t="shared" si="91"/>
        <v>1.1250000003201421E-2</v>
      </c>
      <c r="N209" s="7">
        <f t="shared" si="89"/>
        <v>16.200000004610047</v>
      </c>
      <c r="O209" s="7"/>
      <c r="P209" s="7"/>
      <c r="Q209" s="22"/>
      <c r="R209" s="174"/>
      <c r="S209" s="221">
        <f t="shared" si="86"/>
        <v>1</v>
      </c>
      <c r="T209" s="174" t="str">
        <f t="shared" si="92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93"/>
        <v>https://d0f6bd738d7f1b3e5a7ca70fe4ff75f0.us-east-1.aws.found.io/app/kibana#/discover/Steve-Slow-Train-Analysis-(2080s-and-2083s)?_g=(refreshInterval:(display:Off,pause:!f,section:0,value:0),time:(from:'2017-11-11T03:16:02-0700',mode:absolute,to:'2017-11-11T05:39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9" s="204" t="str">
        <f>IF(AA209&lt;VLOOKUP(AG209,Variables!$AC$3:$AD$8,2,FALSE),"Y","N")</f>
        <v>Y</v>
      </c>
      <c r="X209" s="204">
        <f t="shared" si="85"/>
        <v>1</v>
      </c>
      <c r="Y209" s="204">
        <f t="shared" si="87"/>
        <v>2.3519000000000001</v>
      </c>
      <c r="Z209" s="204">
        <f t="shared" si="88"/>
        <v>1.34E-2</v>
      </c>
      <c r="AA209" s="204">
        <f t="shared" si="94"/>
        <v>2.3385000000000002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95"/>
        <v>308</v>
      </c>
      <c r="AE209" s="77" t="str">
        <f t="shared" si="96"/>
        <v>aws s3 cp s3://rtdc.mdm.uploadarchive.raw/RTDC4035/ "%USERPROFILE%\AppData\Local\Temp\OnboardLogs"\RTDC4035\2017-11-11 --exclude "*" --recursive --include "*20171111*" &amp; "%USERPROFILE%\Documents\GitHub\mrs-test-scripts\Headless Mode &amp; Sideloading\WalkAndUnGZ.bat" "%USERPROFILE%\AppData\Local\Temp\OnboardLogs"\RTDC4035\2017-11-11 &amp; aws s3 cp s3://rtdc.mdm.uploadarchive.raw/RTDC4035/ "%USERPROFILE%\AppData\Local\Temp\OnboardLogs"\RTDC4035\2017-11-12 --exclude "*" --recursive --include "*20171112*" &amp; "%USERPROFILE%\Documents\GitHub\mrs-test-scripts\Headless Mode &amp; Sideloading\WalkAndUnGZ.bat" "%USERPROFILE%\AppData\Local\Temp\OnboardLogs"\RTDC4035\2017-11-12</v>
      </c>
      <c r="AF209" s="74" t="str">
        <f t="shared" si="97"/>
        <v>"C:\Program Files (x86)\AstroGrep\AstroGrep.exe" /e /r /s /spath="%USERPROFILE%\AppData\Local\Temp\OnboardLogs" /stypes="app*4035*20171111*" /stext=" 11:.+((SYSTEM_STATE.+slice.+state.+changed )|(ment ac)|(multiple cpu faults)|(system.+state.+changed )|(\[timeout)|(PRM\|1\|D)|(kpr)|(kdp)|(train st.+moving)|(\|lc)|(penalty))"</v>
      </c>
      <c r="AG209" s="182" t="str">
        <f t="shared" si="98"/>
        <v>Other</v>
      </c>
      <c r="AH209" s="78" t="str">
        <f t="shared" si="99"/>
        <v>"%USERPROFILE%\Documents\GitHub\eaglep3\Utilities\RefineRTDCRunTimes.py" --tripid 308-11 --locoid 4035 --swversion DE.1.0.9.0 --startMP 300:23519 --initTime 2017-11-11T04:16:02 --startdatetime 2017-11-11T04:22:49 --delay 82 --endMP 204:134 --enddatetime 2017-11-11T04:39:01 --enforcementcount 0 &gt;&gt;%USERPROFILE%\Documents\GitHub\eaglep3-reporting\EC\2017-11-11-refined-times.txt</v>
      </c>
      <c r="AI209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{"issue":{"subject":"","project_id":79,"tracker_id":40,"status_id":1,"priority_id":2,"assigned_to_id":338,"start_date":"2017-11-11","description":"","custom_fields":[{"id":1,"name":"Subdivision","value":"Other"},{"id":4,"name":"Milepost","value":"0.0134"},{"id":17,"name":"Train ID","value":"308-11"},{"id":16,"name":"Locomotive ID","value":"4035"},{"id":130,"name":"Impact","value":""},{"id":150,"name":"Time of Event (Mountain Time)","value":"04:39:01"},{"id":151,"name":"Denver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01"/>
        <v>start /low /b %USERPROFILE%\Documents\GitHub\eaglep3\Utilities\DownloadLogsFromS3.py --loco 4035 --day 2017-11-11</v>
      </c>
      <c r="AN209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11:39:01"},{"id":29,"name":"Sharepoint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03"/>
        <v>https://d0f6bd738d7f1b3e5a7ca70fe4ff75f0.us-east-1.aws.found.io/app/kibana#/discover/Steve-Slow-Train-Analysis-(2080s-and-2083s)?_g=(refreshInterval:(display:Off,pause:!f,section:0,value:0),time:(from:'2017-11-11T03:16:02-0700',mode:absolute,to:'2017-11-11T05:39:01-0700'))&amp;_a=(columns:!('Message%20ID',Summary),filters:!(),index:'emp_*',interval:auto,query:(query_string:(analyze_wildcard:!t,query:'%22rtdc.l.rtdc.4035%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879</v>
      </c>
      <c r="B210" s="7">
        <v>4010</v>
      </c>
      <c r="C210" s="21" t="s">
        <v>192</v>
      </c>
      <c r="D210" s="21" t="s">
        <v>1062</v>
      </c>
      <c r="E210" s="13">
        <v>43051.065208333333</v>
      </c>
      <c r="F210" s="13">
        <v>43051.066504629627</v>
      </c>
      <c r="G210" s="7">
        <v>56</v>
      </c>
      <c r="H210" s="21" t="s">
        <v>529</v>
      </c>
      <c r="I210" s="13">
        <v>43051.075532407405</v>
      </c>
      <c r="J210" s="7">
        <v>0</v>
      </c>
      <c r="K210" s="89" t="str">
        <f t="shared" si="90"/>
        <v>4009/4010</v>
      </c>
      <c r="L210" s="185" t="str">
        <f>VLOOKUP(A210,'Trips&amp;Operators'!$C$1:$G$99911,5,FALSE)</f>
        <v>ELBAUM MIKE</v>
      </c>
      <c r="M210" s="6">
        <f t="shared" si="91"/>
        <v>9.0277777781011537E-3</v>
      </c>
      <c r="N210" s="7">
        <f t="shared" si="89"/>
        <v>13.000000000465661</v>
      </c>
      <c r="O210" s="7"/>
      <c r="P210" s="7"/>
      <c r="Q210" s="22"/>
      <c r="R210" s="174"/>
      <c r="S210" s="221">
        <f t="shared" si="86"/>
        <v>1</v>
      </c>
      <c r="T210" s="174" t="str">
        <f t="shared" si="92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93"/>
        <v>https://d0f6bd738d7f1b3e5a7ca70fe4ff75f0.us-east-1.aws.found.io/app/kibana#/discover/Steve-Slow-Train-Analysis-(2080s-and-2083s)?_g=(refreshInterval:(display:Off,pause:!f,section:0,value:0),time:(from:'2017-11-12T00:33:54-0700',mode:absolute,to:'2017-11-12T02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0" s="204" t="str">
        <f>IF(AA210&lt;VLOOKUP(AG210,Variables!$AC$3:$AD$8,2,FALSE),"Y","N")</f>
        <v>Y</v>
      </c>
      <c r="X210" s="204">
        <f t="shared" si="85"/>
        <v>1</v>
      </c>
      <c r="Y210" s="204">
        <f t="shared" si="87"/>
        <v>5.8000000000000003E-2</v>
      </c>
      <c r="Z210" s="204">
        <f t="shared" si="88"/>
        <v>2.3308</v>
      </c>
      <c r="AA210" s="204">
        <f t="shared" si="94"/>
        <v>2.2728000000000002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95"/>
        <v>309</v>
      </c>
      <c r="AE210" s="77" t="str">
        <f t="shared" si="96"/>
        <v>aws s3 cp s3://rtdc.mdm.uploadarchive.raw/RTDC4010/ "%USERPROFILE%\AppData\Local\Temp\OnboardLogs"\RTDC4010\2017-11-12 --exclude "*" --recursive --include "*20171112*" &amp; "%USERPROFILE%\Documents\GitHub\mrs-test-scripts\Headless Mode &amp; Sideloading\WalkAndUnGZ.bat" "%USERPROFILE%\AppData\Local\Temp\OnboardLogs"\RTDC4010\2017-11-12 &amp; 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</v>
      </c>
      <c r="AF210" s="74" t="str">
        <f t="shared" si="97"/>
        <v>"C:\Program Files (x86)\AstroGrep\AstroGrep.exe" /e /r /s /spath="%USERPROFILE%\AppData\Local\Temp\OnboardLogs" /stypes="app*4010*20171112*" /stext=" 08:.+((SYSTEM_STATE.+slice.+state.+changed )|(ment ac)|(multiple cpu faults)|(system.+state.+changed )|(\[timeout)|(PRM\|1\|D)|(kpr)|(kdp)|(train st.+moving)|(\|lc)|(penalty))"</v>
      </c>
      <c r="AG210" s="182" t="str">
        <f t="shared" si="98"/>
        <v>Other</v>
      </c>
      <c r="AH210" s="78" t="str">
        <f t="shared" si="99"/>
        <v>"%USERPROFILE%\Documents\GitHub\eaglep3\Utilities\RefineRTDCRunTimes.py" --tripid 309-11 --locoid 4010 --swversion DE.1.0.9.0 --startMP 204:580 --initTime 2017-11-12T01:33:54 --startdatetime 2017-11-12T01:35:46 --delay 56 --endMP 300:23308 --enddatetime 2017-11-12T01:48:46 --enforcementcount 0 &gt;&gt;%USERPROFILE%\Documents\GitHub\eaglep3-reporting\EC\2017-11-11-refined-times.txt</v>
      </c>
      <c r="AI210" s="96" t="str">
        <f t="shared" si="100"/>
        <v>echo {"issue":{"subject":"","project_id":79,"tracker_id":40,"status_id":1,"priority_id":2,"assigned_to_id":338,"start_date":"2017-11-12","description":"","custom_fields":[{"id":1,"name":"Subdivision","value":"Other"},{"id":4,"name":"Milepost","value":"2.3308"},{"id":17,"name":"Train ID","value":"309-11"},{"id":16,"name":"Locomotive ID","value":"4010"},{"id":130,"name":"Impact","value":""},{"id":150,"name":"Time of Event (Mountain Time)","value":"01:48:46"},{"id":151,"name":"Denver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01"/>
        <v>start /low /b %USERPROFILE%\Documents\GitHub\eaglep3\Utilities\DownloadLogsFromS3.py --loco 4010 --day 2017-11-12</v>
      </c>
      <c r="AN210" s="151" t="str">
        <f t="shared" si="10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08:48:46"},{"id":29,"name":"Sharepoint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03"/>
        <v>https://d0f6bd738d7f1b3e5a7ca70fe4ff75f0.us-east-1.aws.found.io/app/kibana#/discover/Steve-Slow-Train-Analysis-(2080s-and-2083s)?_g=(refreshInterval:(display:Off,pause:!f,section:0,value:0),time:(from:'2017-11-12T00:33:54-0700',mode:absolute,to:'2017-11-12T02:48:46-0700'))&amp;_a=(columns:!('Message%20ID',Summary),filters:!(),index:'emp_*',interval:auto,query:(query_string:(analyze_wildcard:!t,query:'%22rtdc.l.rtdc.4010%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714</v>
      </c>
      <c r="B211" s="7">
        <v>4065</v>
      </c>
      <c r="C211" s="21" t="s">
        <v>192</v>
      </c>
      <c r="D211" s="21" t="s">
        <v>653</v>
      </c>
      <c r="E211" s="13">
        <v>43050.201851851853</v>
      </c>
      <c r="F211" s="13">
        <v>43050.204189814816</v>
      </c>
      <c r="G211" s="7">
        <v>69</v>
      </c>
      <c r="H211" s="21" t="s">
        <v>608</v>
      </c>
      <c r="I211" s="13">
        <v>43050.213969907411</v>
      </c>
      <c r="J211" s="7">
        <v>0</v>
      </c>
      <c r="K211" s="89" t="str">
        <f t="shared" si="90"/>
        <v>4065/4066</v>
      </c>
      <c r="L211" s="185" t="str">
        <f>VLOOKUP(A211,'Trips&amp;Operators'!$C$1:$G$99911,5,FALSE)</f>
        <v>MACDONALD THOMAS</v>
      </c>
      <c r="M211" s="6">
        <f t="shared" si="91"/>
        <v>9.7800925941555761E-3</v>
      </c>
      <c r="N211" s="7">
        <f t="shared" si="89"/>
        <v>14.08333333558403</v>
      </c>
      <c r="O211" s="7"/>
      <c r="P211" s="7"/>
      <c r="Q211" s="22"/>
      <c r="R211" s="174"/>
      <c r="S211" s="221">
        <f t="shared" si="86"/>
        <v>1</v>
      </c>
      <c r="T211" s="174" t="str">
        <f t="shared" si="92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93"/>
        <v>https://d0f6bd738d7f1b3e5a7ca70fe4ff75f0.us-east-1.aws.found.io/app/kibana#/discover/Steve-Slow-Train-Analysis-(2080s-and-2083s)?_g=(refreshInterval:(display:Off,pause:!f,section:0,value:0),time:(from:'2017-11-11T03:50:40-0700',mode:absolute,to:'2017-11-11T06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1" s="204" t="str">
        <f>IF(AA211&lt;VLOOKUP(AG211,Variables!$AC$3:$AD$8,2,FALSE),"Y","N")</f>
        <v>Y</v>
      </c>
      <c r="X211" s="204">
        <f t="shared" si="85"/>
        <v>1</v>
      </c>
      <c r="Y211" s="204">
        <f t="shared" si="87"/>
        <v>2.3633000000000002</v>
      </c>
      <c r="Z211" s="204">
        <f t="shared" si="88"/>
        <v>1.9800000000000002E-2</v>
      </c>
      <c r="AA211" s="204">
        <f t="shared" si="94"/>
        <v>2.3435000000000001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95"/>
        <v>310</v>
      </c>
      <c r="AE211" s="77" t="str">
        <f t="shared" si="96"/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AF211" s="74" t="str">
        <f t="shared" si="97"/>
        <v>"C:\Program Files (x86)\AstroGrep\AstroGrep.exe" /e /r /s /spath="%USERPROFILE%\AppData\Local\Temp\OnboardLogs" /stypes="app*4065*20171111*" /stext=" 12:.+((SYSTEM_STATE.+slice.+state.+changed )|(ment ac)|(multiple cpu faults)|(system.+state.+changed )|(\[timeout)|(PRM\|1\|D)|(kpr)|(kdp)|(train st.+moving)|(\|lc)|(penalty))"</v>
      </c>
      <c r="AG211" s="182" t="str">
        <f t="shared" si="98"/>
        <v>Other</v>
      </c>
      <c r="AH211" s="78" t="str">
        <f t="shared" si="99"/>
        <v>"%USERPROFILE%\Documents\GitHub\eaglep3\Utilities\RefineRTDCRunTimes.py" --tripid 310-11 --locoid 4065 --swversion DE.1.0.9.0 --startMP 300:23633 --initTime 2017-11-11T04:50:40 --startdatetime 2017-11-11T04:54:02 --delay 69 --endMP 204:198 --enddatetime 2017-11-11T05:08:07 --enforcementcount 0 &gt;&gt;%USERPROFILE%\Documents\GitHub\eaglep3-reporting\EC\2017-11-11-refined-times.txt</v>
      </c>
      <c r="AI211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{"issue":{"subject":"","project_id":79,"tracker_id":40,"status_id":1,"priority_id":2,"assigned_to_id":338,"start_date":"2017-11-11","description":"","custom_fields":[{"id":1,"name":"Subdivision","value":"Other"},{"id":4,"name":"Milepost","value":"0.0198"},{"id":17,"name":"Train ID","value":"310-11"},{"id":16,"name":"Locomotive ID","value":"4065"},{"id":130,"name":"Impact","value":""},{"id":150,"name":"Time of Event (Mountain Time)","value":"05:08:07"},{"id":151,"name":"Denver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01"/>
        <v>start /low /b %USERPROFILE%\Documents\GitHub\eaglep3\Utilities\DownloadLogsFromS3.py --loco 4065 --day 2017-11-11</v>
      </c>
      <c r="AN211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03"/>
        <v>https://d0f6bd738d7f1b3e5a7ca70fe4ff75f0.us-east-1.aws.found.io/app/kibana#/discover/Steve-Slow-Train-Analysis-(2080s-and-2083s)?_g=(refreshInterval:(display:Off,pause:!f,section:0,value:0),time:(from:'2017-11-11T03:50:40-0700',mode:absolute,to:'2017-11-11T06:08:07-0700'))&amp;_a=(columns:!('Message%20ID',Summary),filters:!(),index:'emp_*',interval:auto,query:(query_string:(analyze_wildcard:!t,query:'%22rtdc.l.rtdc.4065%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881</v>
      </c>
      <c r="B212" s="7">
        <v>4022</v>
      </c>
      <c r="C212" s="21" t="s">
        <v>192</v>
      </c>
      <c r="D212" s="21" t="s">
        <v>642</v>
      </c>
      <c r="E212" s="13">
        <v>43051.092465277776</v>
      </c>
      <c r="F212" s="13">
        <v>25568.708333333332</v>
      </c>
      <c r="G212" s="7">
        <v>67</v>
      </c>
      <c r="H212" s="21" t="s">
        <v>447</v>
      </c>
      <c r="I212" s="13">
        <v>25568.708333333332</v>
      </c>
      <c r="J212" s="7">
        <v>0</v>
      </c>
      <c r="K212" s="89" t="str">
        <f t="shared" si="90"/>
        <v>4021/4022</v>
      </c>
      <c r="L212" s="185" t="str">
        <f>VLOOKUP(A212,'Trips&amp;Operators'!$C$1:$G$99911,5,FALSE)</f>
        <v>NICHOLSON WESLEY</v>
      </c>
      <c r="M212" s="6">
        <f t="shared" si="91"/>
        <v>0</v>
      </c>
      <c r="N212" s="7">
        <f t="shared" si="89"/>
        <v>0</v>
      </c>
      <c r="O212" s="7"/>
      <c r="P212" s="7"/>
      <c r="Q212" s="22"/>
      <c r="R212" s="174"/>
      <c r="S212" s="221">
        <f t="shared" si="86"/>
        <v>0</v>
      </c>
      <c r="T212" s="174" t="str">
        <f t="shared" si="92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93"/>
        <v>https://d0f6bd738d7f1b3e5a7ca70fe4ff75f0.us-east-1.aws.found.io/app/kibana#/discover/Steve-Slow-Train-Analysis-(2080s-and-2083s)?_g=(refreshInterval:(display:Off,pause:!f,section:0,value:0),time:(from:'2017-11-12T01:13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204" t="str">
        <f>IF(AA212&lt;VLOOKUP(AG212,Variables!$AC$3:$AD$8,2,FALSE),"Y","N")</f>
        <v>Y</v>
      </c>
      <c r="X212" s="204">
        <f t="shared" si="85"/>
        <v>1</v>
      </c>
      <c r="Y212" s="204">
        <f t="shared" si="87"/>
        <v>5.2200000000000003E-2</v>
      </c>
      <c r="Z212" s="204">
        <f t="shared" si="88"/>
        <v>5.1700000000000003E-2</v>
      </c>
      <c r="AA212" s="204">
        <f t="shared" si="94"/>
        <v>5.0000000000000044E-4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95"/>
        <v>311</v>
      </c>
      <c r="AE212" s="77" t="str">
        <f t="shared" si="96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2" s="74" t="str">
        <f t="shared" si="97"/>
        <v>"C:\Program Files (x86)\AstroGrep\AstroGrep.exe" /e /r /s /spath="%USERPROFILE%\AppData\Local\Temp\OnboardLogs" /stypes="app*4022*19700101*" /stext=" 00:.+((SYSTEM_STATE.+slice.+state.+changed )|(ment ac)|(multiple cpu faults)|(system.+state.+changed )|(\[timeout)|(PRM\|1\|D)|(kpr)|(kdp)|(train st.+moving)|(\|lc)|(penalty))"</v>
      </c>
      <c r="AG212" s="182" t="str">
        <f t="shared" si="98"/>
        <v>Other</v>
      </c>
      <c r="AH212" s="78" t="str">
        <f t="shared" si="99"/>
        <v>"%USERPROFILE%\Documents\GitHub\eaglep3\Utilities\RefineRTDCRunTimes.py" --tripid 311-11 --locoid 4022 --swversion DE.1.0.9.0 --startMP 204:522 --initTime 2017-11-12T02:13:09 --startdatetime 1969-12-31T17:00:00 --delay 67 --endMP 204:517 --enddatetime 1969-12-31T17:00:00 --enforcementcount 0 &gt;&gt;%USERPROFILE%\Documents\GitHub\eaglep3-reporting\EC\2017-11-11-refined-times.txt</v>
      </c>
      <c r="AI212" s="96" t="str">
        <f t="shared" si="100"/>
        <v>echo {"issue":{"subject":"","project_id":79,"tracker_id":40,"status_id":1,"priority_id":2,"assigned_to_id":338,"start_date":"1969-12-31","description":"","custom_fields":[{"id":1,"name":"Subdivision","value":"Other"},{"id":4,"name":"Milepost","value":"0.0517"},{"id":17,"name":"Train ID","value":"311-11"},{"id":16,"name":"Locomotive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01"/>
        <v>start /low /b %USERPROFILE%\Documents\GitHub\eaglep3\Utilities\DownloadLogsFromS3.py --loco 4022 --day 1969-12-31</v>
      </c>
      <c r="AN212" s="151" t="str">
        <f t="shared" si="102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03"/>
        <v>https://d0f6bd738d7f1b3e5a7ca70fe4ff75f0.us-east-1.aws.found.io/app/kibana#/discover/Steve-Slow-Train-Analysis-(2080s-and-2083s)?_g=(refreshInterval:(display:Off,pause:!f,section:0,value:0),time:(from:'2017-11-12T01:13:09-0700',mode:absolute,to:'1969-12-31T18:00:00-0700'))&amp;_a=(columns:!('Message%20ID',Summary),filters:!(),index:'emp_*',interval:auto,query:(query_string:(analyze_wildcard:!t,query:'%22rtdc.l.rtdc.4022%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659</v>
      </c>
      <c r="B213" s="7">
        <v>4025</v>
      </c>
      <c r="C213" s="21" t="s">
        <v>192</v>
      </c>
      <c r="D213" s="21" t="s">
        <v>1063</v>
      </c>
      <c r="E213" s="13">
        <v>43050.2184375</v>
      </c>
      <c r="F213" s="13">
        <v>43050.222083333334</v>
      </c>
      <c r="G213" s="7">
        <v>83</v>
      </c>
      <c r="H213" s="21" t="s">
        <v>1064</v>
      </c>
      <c r="I213" s="13">
        <v>43050.229398148149</v>
      </c>
      <c r="J213" s="7">
        <v>0</v>
      </c>
      <c r="K213" s="89" t="str">
        <f t="shared" si="90"/>
        <v>4025/4026</v>
      </c>
      <c r="L213" s="185" t="str">
        <f>VLOOKUP(A213,'Trips&amp;Operators'!$C$1:$G$99911,5,FALSE)</f>
        <v>WILLIAMS DONTE</v>
      </c>
      <c r="M213" s="6">
        <f t="shared" si="91"/>
        <v>7.3148148148902692E-3</v>
      </c>
      <c r="N213" s="7">
        <f t="shared" si="89"/>
        <v>10.533333333441988</v>
      </c>
      <c r="O213" s="7"/>
      <c r="P213" s="7"/>
      <c r="Q213" s="22"/>
      <c r="R213" s="174"/>
      <c r="S213" s="221">
        <f t="shared" si="86"/>
        <v>1</v>
      </c>
      <c r="T213" s="174" t="str">
        <f t="shared" si="92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93"/>
        <v>https://d0f6bd738d7f1b3e5a7ca70fe4ff75f0.us-east-1.aws.found.io/app/kibana#/discover/Steve-Slow-Train-Analysis-(2080s-and-2083s)?_g=(refreshInterval:(display:Off,pause:!f,section:0,value:0),time:(from:'2017-11-11T04:14:33-0700',mode:absolute,to:'2017-11-11T06:30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204" t="str">
        <f>IF(AA213&lt;VLOOKUP(AG213,Variables!$AC$3:$AD$8,2,FALSE),"Y","N")</f>
        <v>Y</v>
      </c>
      <c r="X213" s="204">
        <f t="shared" si="85"/>
        <v>1</v>
      </c>
      <c r="Y213" s="204">
        <f t="shared" si="87"/>
        <v>2.3605999999999998</v>
      </c>
      <c r="Z213" s="204">
        <f t="shared" si="88"/>
        <v>0.46639999999999998</v>
      </c>
      <c r="AA213" s="204">
        <f t="shared" si="94"/>
        <v>1.8941999999999999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95"/>
        <v>312</v>
      </c>
      <c r="AE213" s="77" t="str">
        <f t="shared" si="96"/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AF213" s="74" t="str">
        <f t="shared" si="97"/>
        <v>"C:\Program Files (x86)\AstroGrep\AstroGrep.exe" /e /r /s /spath="%USERPROFILE%\AppData\Local\Temp\OnboardLogs" /stypes="app*4025*20171111*" /stext=" 12:.+((SYSTEM_STATE.+slice.+state.+changed )|(ment ac)|(multiple cpu faults)|(system.+state.+changed )|(\[timeout)|(PRM\|1\|D)|(kpr)|(kdp)|(train st.+moving)|(\|lc)|(penalty))"</v>
      </c>
      <c r="AG213" s="182" t="str">
        <f t="shared" si="98"/>
        <v>Other</v>
      </c>
      <c r="AH213" s="78" t="str">
        <f t="shared" si="99"/>
        <v>"%USERPROFILE%\Documents\GitHub\eaglep3\Utilities\RefineRTDCRunTimes.py" --tripid 312-11 --locoid 4025 --swversion DE.1.0.9.0 --startMP 300:23606 --initTime 2017-11-11T05:14:33 --startdatetime 2017-11-11T05:19:48 --delay 83 --endMP 204:4664 --enddatetime 2017-11-11T05:30:20 --enforcementcount 0 &gt;&gt;%USERPROFILE%\Documents\GitHub\eaglep3-reporting\EC\2017-11-11-refined-times.txt</v>
      </c>
      <c r="AI213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{"issue":{"subject":"","project_id":79,"tracker_id":40,"status_id":1,"priority_id":2,"assigned_to_id":338,"start_date":"2017-11-11","description":"","custom_fields":[{"id":1,"name":"Subdivision","value":"Other"},{"id":4,"name":"Milepost","value":"0.4664"},{"id":17,"name":"Train ID","value":"312-11"},{"id":16,"name":"Locomotive ID","value":"4025"},{"id":130,"name":"Impact","value":""},{"id":150,"name":"Time of Event (Mountain Time)","value":"05:30:20"},{"id":151,"name":"Denver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01"/>
        <v>start /low /b %USERPROFILE%\Documents\GitHub\eaglep3\Utilities\DownloadLogsFromS3.py --loco 4025 --day 2017-11-11</v>
      </c>
      <c r="AN213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12:30:20"},{"id":29,"name":"Sharepoint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03"/>
        <v>https://d0f6bd738d7f1b3e5a7ca70fe4ff75f0.us-east-1.aws.found.io/app/kibana#/discover/Steve-Slow-Train-Analysis-(2080s-and-2083s)?_g=(refreshInterval:(display:Off,pause:!f,section:0,value:0),time:(from:'2017-11-11T04:14:33-0700',mode:absolute,to:'2017-11-11T06:30:20-0700'))&amp;_a=(columns:!('Message%20ID',Summary),filters:!(),index:'emp_*',interval:auto,query:(query_string:(analyze_wildcard:!t,query:'%22rtdc.l.rtdc.4025%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718</v>
      </c>
      <c r="B214" s="7">
        <v>4006</v>
      </c>
      <c r="C214" s="21" t="s">
        <v>192</v>
      </c>
      <c r="D214" s="21" t="s">
        <v>1018</v>
      </c>
      <c r="E214" s="13">
        <v>43050.224039351851</v>
      </c>
      <c r="F214" s="13">
        <v>43050.22855324074</v>
      </c>
      <c r="G214" s="7">
        <v>109</v>
      </c>
      <c r="H214" s="21" t="s">
        <v>1019</v>
      </c>
      <c r="I214" s="13">
        <v>43050.233599537038</v>
      </c>
      <c r="J214" s="7">
        <v>0</v>
      </c>
      <c r="K214" s="89" t="str">
        <f t="shared" si="90"/>
        <v>4005/4006</v>
      </c>
      <c r="L214" s="185" t="str">
        <f>VLOOKUP(A214,'Trips&amp;Operators'!$C$1:$G$99911,5,FALSE)</f>
        <v>LAMAR NEKESHA</v>
      </c>
      <c r="M214" s="6">
        <f t="shared" si="91"/>
        <v>5.0462962972233072E-3</v>
      </c>
      <c r="N214" s="7">
        <f t="shared" si="89"/>
        <v>7.2666666680015624</v>
      </c>
      <c r="O214" s="7"/>
      <c r="P214" s="7"/>
      <c r="Q214" s="22"/>
      <c r="R214" s="174"/>
      <c r="S214" s="221">
        <f t="shared" si="86"/>
        <v>0</v>
      </c>
      <c r="T214" s="174" t="str">
        <f t="shared" si="92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93"/>
        <v>https://d0f6bd738d7f1b3e5a7ca70fe4ff75f0.us-east-1.aws.found.io/app/kibana#/discover/Steve-Slow-Train-Analysis-(2080s-and-2083s)?_g=(refreshInterval:(display:Off,pause:!f,section:0,value:0),time:(from:'2017-11-11T04:22:37-0700',mode:absolute,to:'2017-11-11T06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4" s="204" t="str">
        <f>IF(AA214&lt;VLOOKUP(AG214,Variables!$AC$3:$AD$8,2,FALSE),"Y","N")</f>
        <v>Y</v>
      </c>
      <c r="X214" s="204">
        <f t="shared" si="85"/>
        <v>1589</v>
      </c>
      <c r="Y214" s="204">
        <f t="shared" si="87"/>
        <v>3.0104000000000002</v>
      </c>
      <c r="Z214" s="204">
        <f t="shared" si="88"/>
        <v>5.8982000000000001</v>
      </c>
      <c r="AA214" s="204">
        <f t="shared" si="94"/>
        <v>2.8877999999999999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95"/>
        <v>1901</v>
      </c>
      <c r="AE214" s="77" t="str">
        <f t="shared" si="96"/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AF214" s="74" t="str">
        <f t="shared" si="97"/>
        <v>"C:\Program Files (x86)\AstroGrep\AstroGrep.exe" /e /r /s /spath="%USERPROFILE%\AppData\Local\Temp\OnboardLogs" /stypes="app*4006*20171111*" /stext=" 12:.+((SYSTEM_STATE.+slice.+state.+changed )|(ment ac)|(multiple cpu faults)|(system.+state.+changed )|(\[timeout)|(PRM\|1\|D)|(kpr)|(kdp)|(train st.+moving)|(\|lc)|(penalty))"</v>
      </c>
      <c r="AG214" s="182" t="str">
        <f t="shared" si="98"/>
        <v>Other</v>
      </c>
      <c r="AH214" s="78" t="str">
        <f t="shared" si="99"/>
        <v>"%USERPROFILE%\Documents\GitHub\eaglep3\Utilities\RefineRTDCRunTimes.py" --tripid 1901-11 --locoid 4006 --swversion DE.1.0.9.0 --startMP 300:30104 --initTime 2017-11-11T05:22:37 --startdatetime 2017-11-11T05:29:07 --delay 109 --endMP 300:58982 --enddatetime 2017-11-11T05:36:23 --enforcementcount 0 &gt;&gt;%USERPROFILE%\Documents\GitHub\eaglep3-reporting\EC\2017-11-11-refined-times.txt</v>
      </c>
      <c r="AI214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{"issue":{"subject":"","project_id":79,"tracker_id":40,"status_id":1,"priority_id":2,"assigned_to_id":338,"start_date":"2017-11-11","description":"","custom_fields":[{"id":1,"name":"Subdivision","value":"Other"},{"id":4,"name":"Milepost","value":"5.8982"},{"id":17,"name":"Train ID","value":"1901-11"},{"id":16,"name":"Locomotive ID","value":"4006"},{"id":130,"name":"Impact","value":""},{"id":150,"name":"Time of Event (Mountain Time)","value":"05:36:23"},{"id":151,"name":"Denver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01"/>
        <v>start /low /b %USERPROFILE%\Documents\GitHub\eaglep3\Utilities\DownloadLogsFromS3.py --loco 4006 --day 2017-11-11</v>
      </c>
      <c r="AN214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03"/>
        <v>https://d0f6bd738d7f1b3e5a7ca70fe4ff75f0.us-east-1.aws.found.io/app/kibana#/discover/Steve-Slow-Train-Analysis-(2080s-and-2083s)?_g=(refreshInterval:(display:Off,pause:!f,section:0,value:0),time:(from:'2017-11-11T04:22:37-0700',mode:absolute,to:'2017-11-11T06:36:23-0700'))&amp;_a=(columns:!('Message%20ID',Summary),filters:!(),index:'emp_*',interval:auto,query:(query_string:(analyze_wildcard:!t,query:'%22rtdc.l.rtdc.4006%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870</v>
      </c>
      <c r="B215" s="7">
        <v>4005</v>
      </c>
      <c r="C215" s="21" t="s">
        <v>192</v>
      </c>
      <c r="D215" s="21" t="s">
        <v>1020</v>
      </c>
      <c r="E215" s="13">
        <v>43050.976087962961</v>
      </c>
      <c r="F215" s="13">
        <v>43050.978807870371</v>
      </c>
      <c r="G215" s="7">
        <v>159</v>
      </c>
      <c r="H215" s="21" t="s">
        <v>1021</v>
      </c>
      <c r="I215" s="13">
        <v>43050.990636574075</v>
      </c>
      <c r="J215" s="7">
        <v>0</v>
      </c>
      <c r="K215" s="89" t="str">
        <f t="shared" si="90"/>
        <v>4005/4006</v>
      </c>
      <c r="L215" s="185" t="str">
        <f>VLOOKUP(A215,'Trips&amp;Operators'!$C$1:$G$99911,5,FALSE)</f>
        <v>SMITH MICHAEL</v>
      </c>
      <c r="M215" s="6">
        <f t="shared" si="91"/>
        <v>1.1828703703940846E-2</v>
      </c>
      <c r="N215" s="7">
        <f t="shared" si="89"/>
        <v>17.033333333674818</v>
      </c>
      <c r="O215" s="7"/>
      <c r="P215" s="7"/>
      <c r="Q215" s="22"/>
      <c r="R215" s="174"/>
      <c r="S215" s="221">
        <f t="shared" si="86"/>
        <v>0</v>
      </c>
      <c r="T215" s="174" t="str">
        <f t="shared" si="92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93"/>
        <v>https://d0f6bd738d7f1b3e5a7ca70fe4ff75f0.us-east-1.aws.found.io/app/kibana#/discover/Steve-Slow-Train-Analysis-(2080s-and-2083s)?_g=(refreshInterval:(display:Off,pause:!f,section:0,value:0),time:(from:'2017-11-11T22:25:34-0700',mode:absolute,to:'2017-11-12T00:46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5" s="204" t="str">
        <f>IF(AA215&lt;VLOOKUP(AG215,Variables!$AC$3:$AD$8,2,FALSE),"Y","N")</f>
        <v>Y</v>
      </c>
      <c r="X215" s="204">
        <f t="shared" si="85"/>
        <v>1</v>
      </c>
      <c r="Y215" s="204">
        <f t="shared" si="87"/>
        <v>5.8634000000000004</v>
      </c>
      <c r="Z215" s="204">
        <f t="shared" si="88"/>
        <v>2.8788999999999998</v>
      </c>
      <c r="AA215" s="204">
        <f t="shared" si="94"/>
        <v>2.9845000000000006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95"/>
        <v>1902</v>
      </c>
      <c r="AE215" s="77" t="str">
        <f t="shared" si="96"/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AF215" s="74" t="str">
        <f t="shared" si="97"/>
        <v>"C:\Program Files (x86)\AstroGrep\AstroGrep.exe" /e /r /s /spath="%USERPROFILE%\AppData\Local\Temp\OnboardLogs" /stypes="app*4005*20171112*" /stext=" 06:.+((SYSTEM_STATE.+slice.+state.+changed )|(ment ac)|(multiple cpu faults)|(system.+state.+changed )|(\[timeout)|(PRM\|1\|D)|(kpr)|(kdp)|(train st.+moving)|(\|lc)|(penalty))"</v>
      </c>
      <c r="AG215" s="182" t="str">
        <f t="shared" si="98"/>
        <v>Other</v>
      </c>
      <c r="AH215" s="78" t="str">
        <f t="shared" si="99"/>
        <v>"%USERPROFILE%\Documents\GitHub\eaglep3\Utilities\RefineRTDCRunTimes.py" --tripid 1902-11 --locoid 4005 --swversion DE.1.0.9.0 --startMP 300:58634 --initTime 2017-11-11T23:25:34 --startdatetime 2017-11-11T23:29:29 --delay 159 --endMP 300:28789 --enddatetime 2017-11-11T23:46:31 --enforcementcount 0 &gt;&gt;%USERPROFILE%\Documents\GitHub\eaglep3-reporting\EC\2017-11-11-refined-times.txt</v>
      </c>
      <c r="AI215" s="96" t="str">
        <f t="shared" si="100"/>
        <v>echo {"issue":{"subject":"","project_id":79,"tracker_id":40,"status_id":1,"priority_id":2,"assigned_to_id":338,"start_date":"2017-11-11","description":"","custom_fields":[{"id":1,"name":"Subdivision","value":"Other"},{"id":4,"name":"Milepost","value":"2.8789"},{"id":17,"name":"Train ID","value":"1902-11"},{"id":16,"name":"Locomotive ID","value":"4005"},{"id":130,"name":"Impact","value":""},{"id":150,"name":"Time of Event (Mountain Time)","value":"23:46:31"},{"id":151,"name":"Denver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01"/>
        <v>start /low /b %USERPROFILE%\Documents\GitHub\eaglep3\Utilities\DownloadLogsFromS3.py --loco 4005 --day 2017-11-11</v>
      </c>
      <c r="AN215" s="151" t="str">
        <f t="shared" si="10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06:46:31"},{"id":29,"name":"Sharepoint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03"/>
        <v>https://d0f6bd738d7f1b3e5a7ca70fe4ff75f0.us-east-1.aws.found.io/app/kibana#/discover/Steve-Slow-Train-Analysis-(2080s-and-2083s)?_g=(refreshInterval:(display:Off,pause:!f,section:0,value:0),time:(from:'2017-11-11T22:25:34-0700',mode:absolute,to:'2017-11-12T00:46:31-0700'))&amp;_a=(columns:!('Message%20ID',Summary),filters:!(),index:'emp_*',interval:auto,query:(query_string:(analyze_wildcard:!t,query:'%22rtdc.l.rtdc.4005%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698</v>
      </c>
      <c r="B216" s="7">
        <v>4020</v>
      </c>
      <c r="C216" s="21" t="s">
        <v>192</v>
      </c>
      <c r="D216" s="21" t="s">
        <v>912</v>
      </c>
      <c r="E216" s="13">
        <v>43050.132453703707</v>
      </c>
      <c r="F216" s="13">
        <v>43050.138194444444</v>
      </c>
      <c r="G216" s="7">
        <v>158</v>
      </c>
      <c r="H216" s="21" t="s">
        <v>1065</v>
      </c>
      <c r="I216" s="13">
        <v>43050.139328703706</v>
      </c>
      <c r="J216" s="7">
        <v>0</v>
      </c>
      <c r="K216" s="89" t="str">
        <f t="shared" si="90"/>
        <v>4019/4020</v>
      </c>
      <c r="L216" s="185" t="str">
        <f>VLOOKUP(A216,'Trips&amp;Operators'!$C$1:$G$99911,5,FALSE)</f>
        <v>MOSES BRADLEY</v>
      </c>
      <c r="M216" s="6">
        <f t="shared" si="91"/>
        <v>1.1342592624714598E-3</v>
      </c>
      <c r="N216" s="7">
        <f t="shared" si="89"/>
        <v>1.6333333379589021</v>
      </c>
      <c r="O216" s="7"/>
      <c r="P216" s="7"/>
      <c r="Q216" s="22"/>
      <c r="R216" s="174"/>
      <c r="S216" s="221">
        <f t="shared" si="86"/>
        <v>0</v>
      </c>
      <c r="T216" s="174" t="str">
        <f t="shared" si="92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93"/>
        <v>https://d0f6bd738d7f1b3e5a7ca70fe4ff75f0.us-east-1.aws.found.io/app/kibana#/discover/Steve-Slow-Train-Analysis-(2080s-and-2083s)?_g=(refreshInterval:(display:Off,pause:!f,section:0,value:0),time:(from:'2017-11-11T02:10:44-0700',mode:absolute,to:'2017-11-11T04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204" t="str">
        <f>IF(AA216&lt;VLOOKUP(AG216,Variables!$AC$3:$AD$8,2,FALSE),"Y","N")</f>
        <v>Y</v>
      </c>
      <c r="X216" s="204">
        <f t="shared" si="85"/>
        <v>-1851</v>
      </c>
      <c r="Y216" s="204">
        <f t="shared" si="87"/>
        <v>4.7300000000000002E-2</v>
      </c>
      <c r="Z216" s="204">
        <f t="shared" si="88"/>
        <v>0.36459999999999998</v>
      </c>
      <c r="AA216" s="204">
        <f t="shared" si="94"/>
        <v>0.31729999999999997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95"/>
        <v>51</v>
      </c>
      <c r="AE216" s="77" t="str">
        <f t="shared" si="96"/>
        <v>aws s3 cp s3://rtdc.mdm.uploadarchive.raw/RTDC4020/ "%USERPROFILE%\AppData\Local\Temp\OnboardLogs"\RTDC4020\2017-11-11 --exclude "*" --recursive --include "*20171111*" &amp; "%USERPROFILE%\Documents\GitHub\mrs-test-scripts\Headless Mode &amp; Sideloading\WalkAndUnGZ.bat" "%USERPROFILE%\AppData\Local\Temp\OnboardLogs"\RTDC4020\2017-11-11 &amp; aws s3 cp s3://rtdc.mdm.uploadarchive.raw/RTDC4020/ "%USERPROFILE%\AppData\Local\Temp\OnboardLogs"\RTDC4020\2017-11-12 --exclude "*" --recursive --include "*20171112*" &amp; "%USERPROFILE%\Documents\GitHub\mrs-test-scripts\Headless Mode &amp; Sideloading\WalkAndUnGZ.bat" "%USERPROFILE%\AppData\Local\Temp\OnboardLogs"\RTDC4020\2017-11-12</v>
      </c>
      <c r="AF216" s="74" t="str">
        <f t="shared" si="97"/>
        <v>"C:\Program Files (x86)\AstroGrep\AstroGrep.exe" /e /r /s /spath="%USERPROFILE%\AppData\Local\Temp\OnboardLogs" /stypes="app*4020*20171111*" /stext=" 10:.+((SYSTEM_STATE.+slice.+state.+changed )|(ment ac)|(multiple cpu faults)|(system.+state.+changed )|(\[timeout)|(PRM\|1\|D)|(kpr)|(kdp)|(train st.+moving)|(\|lc)|(penalty))"</v>
      </c>
      <c r="AG216" s="182" t="str">
        <f t="shared" si="98"/>
        <v>Shuttle/Test</v>
      </c>
      <c r="AH216" s="78" t="str">
        <f t="shared" si="99"/>
        <v>"%USERPROFILE%\Documents\GitHub\eaglep3\Utilities\RefineRTDCRunTimes.py" --tripid 51-11 --locoid 4020 --swversion DE.1.0.9.0 --startMP 204:473 --initTime 2017-11-11T03:10:44 --startdatetime 2017-11-11T03:19:00 --delay 158 --endMP 204:3646 --enddatetime 2017-11-11T03:20:38 --enforcementcount 0 &gt;&gt;%USERPROFILE%\Documents\GitHub\eaglep3-reporting\EC\2017-11-11-refined-times.txt</v>
      </c>
      <c r="AI216" s="96" t="str">
        <f t="shared" si="100"/>
        <v>echo {"issue":{"subject":"","project_id":79,"tracker_id":40,"status_id":1,"priority_id":2,"assigned_to_id":338,"start_date":"2017-11-11","description":"","custom_fields":[{"id":1,"name":"Subdivision","value":"Shuttle/Test"},{"id":4,"name":"Milepost","value":"0.3646"},{"id":17,"name":"Train ID","value":"51-11"},{"id":16,"name":"Locomotive ID","value":"4020"},{"id":130,"name":"Impact","value":""},{"id":150,"name":"Time of Event (Mountain Time)","value":"03:20:38"},{"id":151,"name":"Denver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01"/>
        <v>start /low /b %USERPROFILE%\Documents\GitHub\eaglep3\Utilities\DownloadLogsFromS3.py --loco 4020 --day 2017-11-11</v>
      </c>
      <c r="AN216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03"/>
        <v>https://d0f6bd738d7f1b3e5a7ca70fe4ff75f0.us-east-1.aws.found.io/app/kibana#/discover/Steve-Slow-Train-Analysis-(2080s-and-2083s)?_g=(refreshInterval:(display:Off,pause:!f,section:0,value:0),time:(from:'2017-11-11T02:10:44-0700',mode:absolute,to:'2017-11-11T04:20:38-0700'))&amp;_a=(columns:!('Message%20ID',Summary),filters:!(),index:'emp_*',interval:auto,query:(query_string:(analyze_wildcard:!t,query:'%22rtdc.l.rtdc.4020%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702</v>
      </c>
      <c r="B217" s="7">
        <v>4019</v>
      </c>
      <c r="C217" s="21" t="s">
        <v>192</v>
      </c>
      <c r="D217" s="21" t="s">
        <v>1066</v>
      </c>
      <c r="E217" s="13">
        <v>43050.140347222223</v>
      </c>
      <c r="F217" s="13">
        <v>43050.142222222225</v>
      </c>
      <c r="G217" s="7">
        <v>67</v>
      </c>
      <c r="H217" s="21" t="s">
        <v>530</v>
      </c>
      <c r="I217" s="13">
        <v>43050.143460648149</v>
      </c>
      <c r="J217" s="7">
        <v>0</v>
      </c>
      <c r="K217" s="89" t="str">
        <f t="shared" si="90"/>
        <v>4019/4020</v>
      </c>
      <c r="L217" s="185" t="str">
        <f>VLOOKUP(A217,'Trips&amp;Operators'!$C$1:$G$99911,5,FALSE)</f>
        <v>MOSES BRADLEY</v>
      </c>
      <c r="M217" s="6">
        <f t="shared" si="91"/>
        <v>1.2384259243845008E-3</v>
      </c>
      <c r="N217" s="7">
        <f t="shared" si="89"/>
        <v>1.7833333311136812</v>
      </c>
      <c r="O217" s="7"/>
      <c r="P217" s="7"/>
      <c r="Q217" s="22"/>
      <c r="R217" s="174"/>
      <c r="S217" s="221">
        <f t="shared" si="86"/>
        <v>0</v>
      </c>
      <c r="T217" s="174" t="str">
        <f t="shared" si="92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93"/>
        <v>https://d0f6bd738d7f1b3e5a7ca70fe4ff75f0.us-east-1.aws.found.io/app/kibana#/discover/Steve-Slow-Train-Analysis-(2080s-and-2083s)?_g=(refreshInterval:(display:Off,pause:!f,section:0,value:0),time:(from:'2017-11-11T02:22:06-0700',mode:absolute,to:'2017-11-11T04:26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204" t="str">
        <f>IF(AA217&lt;VLOOKUP(AG217,Variables!$AC$3:$AD$8,2,FALSE),"Y","N")</f>
        <v>Y</v>
      </c>
      <c r="X217" s="204">
        <f t="shared" si="85"/>
        <v>1</v>
      </c>
      <c r="Y217" s="204">
        <f t="shared" si="87"/>
        <v>0.33410000000000001</v>
      </c>
      <c r="Z217" s="204">
        <f t="shared" si="88"/>
        <v>0.1171</v>
      </c>
      <c r="AA217" s="204">
        <f t="shared" si="94"/>
        <v>0.21700000000000003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95"/>
        <v>52</v>
      </c>
      <c r="AE217" s="77" t="str">
        <f t="shared" si="96"/>
        <v>aws s3 cp s3://rtdc.mdm.uploadarchive.raw/RTDC4019/ "%USERPROFILE%\AppData\Local\Temp\OnboardLogs"\RTDC4019\2017-11-11 --exclude "*" --recursive --include "*20171111*" &amp; "%USERPROFILE%\Documents\GitHub\mrs-test-scripts\Headless Mode &amp; Sideloading\WalkAndUnGZ.bat" "%USERPROFILE%\AppData\Local\Temp\OnboardLogs"\RTDC4019\2017-11-11 &amp; aws s3 cp s3://rtdc.mdm.uploadarchive.raw/RTDC4019/ "%USERPROFILE%\AppData\Local\Temp\OnboardLogs"\RTDC4019\2017-11-12 --exclude "*" --recursive --include "*20171112*" &amp; "%USERPROFILE%\Documents\GitHub\mrs-test-scripts\Headless Mode &amp; Sideloading\WalkAndUnGZ.bat" "%USERPROFILE%\AppData\Local\Temp\OnboardLogs"\RTDC4019\2017-11-12</v>
      </c>
      <c r="AF217" s="74" t="str">
        <f t="shared" si="97"/>
        <v>"C:\Program Files (x86)\AstroGrep\AstroGrep.exe" /e /r /s /spath="%USERPROFILE%\AppData\Local\Temp\OnboardLogs" /stypes="app*4019*20171111*" /stext=" 10:.+((SYSTEM_STATE.+slice.+state.+changed )|(ment ac)|(multiple cpu faults)|(system.+state.+changed )|(\[timeout)|(PRM\|1\|D)|(kpr)|(kdp)|(train st.+moving)|(\|lc)|(penalty))"</v>
      </c>
      <c r="AG217" s="182" t="str">
        <f t="shared" si="98"/>
        <v>Shuttle/Test</v>
      </c>
      <c r="AH217" s="78" t="str">
        <f t="shared" si="99"/>
        <v>"%USERPROFILE%\Documents\GitHub\eaglep3\Utilities\RefineRTDCRunTimes.py" --tripid 52-11 --locoid 4019 --swversion DE.1.0.9.0 --startMP 204:3341 --initTime 2017-11-11T03:22:06 --startdatetime 2017-11-11T03:24:48 --delay 67 --endMP 204:1171 --enddatetime 2017-11-11T03:26:35 --enforcementcount 0 &gt;&gt;%USERPROFILE%\Documents\GitHub\eaglep3-reporting\EC\2017-11-11-refined-times.txt</v>
      </c>
      <c r="AI217" s="96" t="str">
        <f t="shared" si="100"/>
        <v>echo {"issue":{"subject":"","project_id":79,"tracker_id":40,"status_id":1,"priority_id":2,"assigned_to_id":338,"start_date":"2017-11-11","description":"","custom_fields":[{"id":1,"name":"Subdivision","value":"Shuttle/Test"},{"id":4,"name":"Milepost","value":"0.1171"},{"id":17,"name":"Train ID","value":"52-11"},{"id":16,"name":"Locomotive ID","value":"4019"},{"id":130,"name":"Impact","value":""},{"id":150,"name":"Time of Event (Mountain Time)","value":"03:26:35"},{"id":151,"name":"Denver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01"/>
        <v>start /low /b %USERPROFILE%\Documents\GitHub\eaglep3\Utilities\DownloadLogsFromS3.py --loco 4019 --day 2017-11-11</v>
      </c>
      <c r="AN217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10:26:35"},{"id":29,"name":"Sharepoint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03"/>
        <v>https://d0f6bd738d7f1b3e5a7ca70fe4ff75f0.us-east-1.aws.found.io/app/kibana#/discover/Steve-Slow-Train-Analysis-(2080s-and-2083s)?_g=(refreshInterval:(display:Off,pause:!f,section:0,value:0),time:(from:'2017-11-11T02:22:06-0700',mode:absolute,to:'2017-11-11T04:26:35-0700'))&amp;_a=(columns:!('Message%20ID',Summary),filters:!(),index:'emp_*',interval:auto,query:(query_string:(analyze_wildcard:!t,query:'%22rtdc.l.rtdc.4019%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816</v>
      </c>
      <c r="B218" s="7">
        <v>4020</v>
      </c>
      <c r="C218" s="21" t="s">
        <v>192</v>
      </c>
      <c r="D218" s="21" t="s">
        <v>1067</v>
      </c>
      <c r="E218" s="13">
        <v>43050.672129629631</v>
      </c>
      <c r="F218" s="13">
        <v>43050.675625000003</v>
      </c>
      <c r="G218" s="7">
        <v>100</v>
      </c>
      <c r="H218" s="21" t="s">
        <v>531</v>
      </c>
      <c r="I218" s="13">
        <v>43050.681909722225</v>
      </c>
      <c r="J218" s="7">
        <v>0</v>
      </c>
      <c r="K218" s="89" t="str">
        <f t="shared" si="90"/>
        <v>4019/4020</v>
      </c>
      <c r="L218" s="185" t="str">
        <f>VLOOKUP(A218,'Trips&amp;Operators'!$C$1:$G$99911,5,FALSE)</f>
        <v>BIRENBAUM THOMAS</v>
      </c>
      <c r="M218" s="6">
        <f t="shared" si="91"/>
        <v>6.284722221607808E-3</v>
      </c>
      <c r="N218" s="7">
        <f t="shared" si="89"/>
        <v>9.0499999991152436</v>
      </c>
      <c r="O218" s="7"/>
      <c r="P218" s="7"/>
      <c r="Q218" s="22"/>
      <c r="R218" s="174"/>
      <c r="S218" s="221">
        <f t="shared" si="86"/>
        <v>1</v>
      </c>
      <c r="T218" s="174" t="str">
        <f t="shared" si="92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93"/>
        <v>https://d0f6bd738d7f1b3e5a7ca70fe4ff75f0.us-east-1.aws.found.io/app/kibana#/discover/Steve-Slow-Train-Analysis-(2080s-and-2083s)?_g=(refreshInterval:(display:Off,pause:!f,section:0,value:0),time:(from:'2017-11-11T15:07:52-0700',mode:absolute,to:'2017-11-11T17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04" t="str">
        <f>IF(AA218&lt;VLOOKUP(AG218,Variables!$AC$3:$AD$8,2,FALSE),"Y","N")</f>
        <v>Y</v>
      </c>
      <c r="X218" s="204">
        <f t="shared" si="85"/>
        <v>13</v>
      </c>
      <c r="Y218" s="204">
        <f t="shared" si="87"/>
        <v>0.15</v>
      </c>
      <c r="Z218" s="204">
        <f t="shared" si="88"/>
        <v>2.3346</v>
      </c>
      <c r="AA218" s="204">
        <f t="shared" si="94"/>
        <v>2.1846000000000001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95"/>
        <v>65</v>
      </c>
      <c r="AE218" s="77" t="str">
        <f t="shared" si="96"/>
        <v>aws s3 cp s3://rtdc.mdm.uploadarchive.raw/RTDC4020/ "%USERPROFILE%\AppData\Local\Temp\OnboardLogs"\RTDC4020\2017-11-11 --exclude "*" --recursive --include "*20171111*" &amp; "%USERPROFILE%\Documents\GitHub\mrs-test-scripts\Headless Mode &amp; Sideloading\WalkAndUnGZ.bat" "%USERPROFILE%\AppData\Local\Temp\OnboardLogs"\RTDC4020\2017-11-11 &amp; aws s3 cp s3://rtdc.mdm.uploadarchive.raw/RTDC4020/ "%USERPROFILE%\AppData\Local\Temp\OnboardLogs"\RTDC4020\2017-11-12 --exclude "*" --recursive --include "*20171112*" &amp; "%USERPROFILE%\Documents\GitHub\mrs-test-scripts\Headless Mode &amp; Sideloading\WalkAndUnGZ.bat" "%USERPROFILE%\AppData\Local\Temp\OnboardLogs"\RTDC4020\2017-11-12</v>
      </c>
      <c r="AF218" s="74" t="str">
        <f t="shared" si="97"/>
        <v>"C:\Program Files (x86)\AstroGrep\AstroGrep.exe" /e /r /s /spath="%USERPROFILE%\AppData\Local\Temp\OnboardLogs" /stypes="app*4020*20171111*" /stext=" 23:.+((SYSTEM_STATE.+slice.+state.+changed )|(ment ac)|(multiple cpu faults)|(system.+state.+changed )|(\[timeout)|(PRM\|1\|D)|(kpr)|(kdp)|(train st.+moving)|(\|lc)|(penalty))"</v>
      </c>
      <c r="AG218" s="182" t="str">
        <f t="shared" si="98"/>
        <v>Shuttle/Test</v>
      </c>
      <c r="AH218" s="78" t="str">
        <f t="shared" si="99"/>
        <v>"%USERPROFILE%\Documents\GitHub\eaglep3\Utilities\RefineRTDCRunTimes.py" --tripid 65-11 --locoid 4020 --swversion DE.1.0.9.0 --startMP 204:1500 --initTime 2017-11-11T16:07:52 --startdatetime 2017-11-11T16:12:54 --delay 100 --endMP 300:23346 --enddatetime 2017-11-11T16:21:57 --enforcementcount 0 &gt;&gt;%USERPROFILE%\Documents\GitHub\eaglep3-reporting\EC\2017-11-11-refined-times.txt</v>
      </c>
      <c r="AI218" s="96" t="str">
        <f t="shared" si="100"/>
        <v>echo {"issue":{"subject":"","project_id":79,"tracker_id":40,"status_id":1,"priority_id":2,"assigned_to_id":338,"start_date":"2017-11-11","description":"","custom_fields":[{"id":1,"name":"Subdivision","value":"Shuttle/Test"},{"id":4,"name":"Milepost","value":"2.3346"},{"id":17,"name":"Train ID","value":"65-11"},{"id":16,"name":"Locomotive ID","value":"4020"},{"id":130,"name":"Impact","value":""},{"id":150,"name":"Time of Event (Mountain Time)","value":"16:21:57"},{"id":151,"name":"Denver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01"/>
        <v>start /low /b %USERPROFILE%\Documents\GitHub\eaglep3\Utilities\DownloadLogsFromS3.py --loco 4020 --day 2017-11-11</v>
      </c>
      <c r="AN218" s="151" t="str">
        <f t="shared" si="102"/>
        <v>echo {"issue":{"subject":"","project_id":30,"tracker_id":4,"status_id":1,"priority_id":1,"assigned_to_id":10,"start_date":"2017-11-11","description":"","custom_fields":[{"id":30,"name":"Category","value":"Issue"},{"id":3,"name":"Functional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UTC","value":"2017-11-11 23:21:57"},{"id":29,"name":"Sharepoint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03"/>
        <v>https://d0f6bd738d7f1b3e5a7ca70fe4ff75f0.us-east-1.aws.found.io/app/kibana#/discover/Steve-Slow-Train-Analysis-(2080s-and-2083s)?_g=(refreshInterval:(display:Off,pause:!f,section:0,value:0),time:(from:'2017-11-11T15:07:52-0700',mode:absolute,to:'2017-11-11T17:21:57-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829</v>
      </c>
      <c r="B219" s="7">
        <v>4014</v>
      </c>
      <c r="C219" s="21" t="s">
        <v>192</v>
      </c>
      <c r="D219" s="21" t="s">
        <v>1068</v>
      </c>
      <c r="E219" s="13">
        <v>43050.717766203707</v>
      </c>
      <c r="F219" s="13">
        <v>43050.724340277775</v>
      </c>
      <c r="G219" s="7">
        <v>394</v>
      </c>
      <c r="H219" s="21" t="s">
        <v>1069</v>
      </c>
      <c r="I219" s="13">
        <v>43050.734270833331</v>
      </c>
      <c r="J219" s="7">
        <v>0</v>
      </c>
      <c r="K219" s="89" t="str">
        <f t="shared" si="90"/>
        <v>4013/4014</v>
      </c>
      <c r="L219" s="185" t="str">
        <f>VLOOKUP(A219,'Trips&amp;Operators'!$C$1:$G$99911,5,FALSE)</f>
        <v>GONZALEZ ARMANDO</v>
      </c>
      <c r="M219" s="6">
        <f t="shared" si="91"/>
        <v>9.930555555911269E-3</v>
      </c>
      <c r="N219" s="7">
        <f t="shared" si="89"/>
        <v>14.300000000512227</v>
      </c>
      <c r="O219" s="7"/>
      <c r="P219" s="7"/>
      <c r="Q219" s="22"/>
      <c r="R219" s="174"/>
      <c r="S219" s="221">
        <f t="shared" si="86"/>
        <v>1</v>
      </c>
      <c r="T219" s="174" t="str">
        <f t="shared" si="92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93"/>
        <v>https://d0f6bd738d7f1b3e5a7ca70fe4ff75f0.us-east-1.aws.found.io/app/kibana#/discover/Steve-Slow-Train-Analysis-(2080s-and-2083s)?_g=(refreshInterval:(display:Off,pause:!f,section:0,value:0),time:(from:'2017-11-11T16:13:35-0700',mode:absolute,to:'2017-11-11T18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204" t="str">
        <f>IF(AA219&lt;VLOOKUP(AG219,Variables!$AC$3:$AD$8,2,FALSE),"Y","N")</f>
        <v>Y</v>
      </c>
      <c r="X219" s="204">
        <f t="shared" si="85"/>
        <v>2</v>
      </c>
      <c r="Y219" s="204">
        <f t="shared" si="87"/>
        <v>0.1152</v>
      </c>
      <c r="Z219" s="204">
        <f t="shared" si="88"/>
        <v>2.3304</v>
      </c>
      <c r="AA219" s="204">
        <f t="shared" si="94"/>
        <v>2.2151999999999998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95"/>
        <v>67</v>
      </c>
      <c r="AE219" s="77" t="str">
        <f t="shared" si="96"/>
        <v>aws s3 cp s3://rtdc.mdm.uploadarchive.raw/RTDC4014/ "%USERPROFILE%\AppData\Local\Temp\OnboardLogs"\RTDC4014\2017-11-11 --exclude "*" --recursive --include "*20171111*" &amp; "%USERPROFILE%\Documents\GitHub\mrs-test-scripts\Headless Mode &amp; Sideloading\WalkAndUnGZ.bat" "%USERPROFILE%\AppData\Local\Temp\OnboardLogs"\RTDC4014\2017-11-11 &amp; aws s3 cp s3://rtdc.mdm.uploadarchive.raw/RTDC4014/ "%USERPROFILE%\AppData\Local\Temp\OnboardLogs"\RTDC4014\2017-11-12 --exclude "*" --recursive --include "*20171112*" &amp; "%USERPROFILE%\Documents\GitHub\mrs-test-scripts\Headless Mode &amp; Sideloading\WalkAndUnGZ.bat" "%USERPROFILE%\AppData\Local\Temp\OnboardLogs"\RTDC4014\2017-11-12</v>
      </c>
      <c r="AF219" s="74" t="str">
        <f t="shared" si="97"/>
        <v>"C:\Program Files (x86)\AstroGrep\AstroGrep.exe" /e /r /s /spath="%USERPROFILE%\AppData\Local\Temp\OnboardLogs" /stypes="app*4014*20171112*" /stext=" 00:.+((SYSTEM_STATE.+slice.+state.+changed )|(ment ac)|(multiple cpu faults)|(system.+state.+changed )|(\[timeout)|(PRM\|1\|D)|(kpr)|(kdp)|(train st.+moving)|(\|lc)|(penalty))"</v>
      </c>
      <c r="AG219" s="182" t="str">
        <f t="shared" si="98"/>
        <v>Shuttle/Test</v>
      </c>
      <c r="AH219" s="78" t="str">
        <f t="shared" si="99"/>
        <v>"%USERPROFILE%\Documents\GitHub\eaglep3\Utilities\RefineRTDCRunTimes.py" --tripid 67-11 --locoid 4014 --swversion DE.1.0.9.0 --startMP 204:1152 --initTime 2017-11-11T17:13:35 --startdatetime 2017-11-11T17:23:03 --delay 394 --endMP 300:23304 --enddatetime 2017-11-11T17:37:21 --enforcementcount 0 &gt;&gt;%USERPROFILE%\Documents\GitHub\eaglep3-reporting\EC\2017-11-11-refined-times.txt</v>
      </c>
      <c r="AI219" s="96" t="str">
        <f t="shared" si="100"/>
        <v>echo {"issue":{"subject":"","project_id":79,"tracker_id":40,"status_id":1,"priority_id":2,"assigned_to_id":338,"start_date":"2017-11-11","description":"","custom_fields":[{"id":1,"name":"Subdivision","value":"Shuttle/Test"},{"id":4,"name":"Milepost","value":"2.3304"},{"id":17,"name":"Train ID","value":"67-11"},{"id":16,"name":"Locomotive ID","value":"4014"},{"id":130,"name":"Impact","value":""},{"id":150,"name":"Time of Event (Mountain Time)","value":"17:37:21"},{"id":151,"name":"Denver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01"/>
        <v>start /low /b %USERPROFILE%\Documents\GitHub\eaglep3\Utilities\DownloadLogsFromS3.py --loco 4014 --day 2017-11-11</v>
      </c>
      <c r="AN219" s="151" t="str">
        <f t="shared" si="10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03"/>
        <v>https://d0f6bd738d7f1b3e5a7ca70fe4ff75f0.us-east-1.aws.found.io/app/kibana#/discover/Steve-Slow-Train-Analysis-(2080s-and-2083s)?_g=(refreshInterval:(display:Off,pause:!f,section:0,value:0),time:(from:'2017-11-11T16:13:35-0700',mode:absolute,to:'2017-11-11T18:37:21-0700'))&amp;_a=(columns:!('Message%20ID',Summary),filters:!(),index:'emp_*',interval:auto,query:(query_string:(analyze_wildcard:!t,query:'%22rtdc.l.rtdc.4014%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835</v>
      </c>
      <c r="B220" s="7">
        <v>4063</v>
      </c>
      <c r="C220" s="21" t="s">
        <v>192</v>
      </c>
      <c r="D220" s="21" t="s">
        <v>1070</v>
      </c>
      <c r="E220" s="13">
        <v>43050.731724537036</v>
      </c>
      <c r="F220" s="13">
        <v>43050.733657407407</v>
      </c>
      <c r="G220" s="7">
        <v>60</v>
      </c>
      <c r="H220" s="21" t="s">
        <v>1071</v>
      </c>
      <c r="I220" s="13">
        <v>43050.744467592594</v>
      </c>
      <c r="J220" s="7">
        <v>0</v>
      </c>
      <c r="K220" s="89" t="str">
        <f t="shared" si="90"/>
        <v>4063/4064</v>
      </c>
      <c r="L220" s="185" t="str">
        <f>VLOOKUP(A220,'Trips&amp;Operators'!$C$1:$G$99911,5,FALSE)</f>
        <v>GUNTHIER ERIC</v>
      </c>
      <c r="M220" s="6">
        <f t="shared" si="91"/>
        <v>1.0810185187438037E-2</v>
      </c>
      <c r="N220" s="7">
        <f t="shared" si="89"/>
        <v>15.566666669910774</v>
      </c>
      <c r="O220" s="7"/>
      <c r="P220" s="7"/>
      <c r="Q220" s="22"/>
      <c r="R220" s="174"/>
      <c r="S220" s="221">
        <f t="shared" si="86"/>
        <v>0</v>
      </c>
      <c r="T220" s="174" t="str">
        <f t="shared" si="92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93"/>
        <v>https://d0f6bd738d7f1b3e5a7ca70fe4ff75f0.us-east-1.aws.found.io/app/kibana#/discover/Steve-Slow-Train-Analysis-(2080s-and-2083s)?_g=(refreshInterval:(display:Off,pause:!f,section:0,value:0),time:(from:'2017-11-11T16:33:41-0700',mode:absolute,to:'2017-11-11T18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204" t="str">
        <f>IF(AA220&lt;VLOOKUP(AG220,Variables!$AC$3:$AD$8,2,FALSE),"Y","N")</f>
        <v>Y</v>
      </c>
      <c r="X220" s="204">
        <f t="shared" si="85"/>
        <v>8</v>
      </c>
      <c r="Y220" s="204">
        <f t="shared" si="87"/>
        <v>2.351</v>
      </c>
      <c r="Z220" s="204">
        <f t="shared" si="88"/>
        <v>0.1022</v>
      </c>
      <c r="AA220" s="204">
        <f t="shared" si="94"/>
        <v>2.2488000000000001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95"/>
        <v>75</v>
      </c>
      <c r="AE220" s="77" t="str">
        <f t="shared" si="96"/>
        <v>aws s3 cp s3://rtdc.mdm.uploadarchive.raw/RTDC4063/ "%USERPROFILE%\AppData\Local\Temp\OnboardLogs"\RTDC4063\2017-11-11 --exclude "*" --recursive --include "*20171111*" &amp; "%USERPROFILE%\Documents\GitHub\mrs-test-scripts\Headless Mode &amp; Sideloading\WalkAndUnGZ.bat" "%USERPROFILE%\AppData\Local\Temp\OnboardLogs"\RTDC4063\2017-11-11 &amp; 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</v>
      </c>
      <c r="AF220" s="74" t="str">
        <f t="shared" si="97"/>
        <v>"C:\Program Files (x86)\AstroGrep\AstroGrep.exe" /e /r /s /spath="%USERPROFILE%\AppData\Local\Temp\OnboardLogs" /stypes="app*4063*20171112*" /stext=" 00:.+((SYSTEM_STATE.+slice.+state.+changed )|(ment ac)|(multiple cpu faults)|(system.+state.+changed )|(\[timeout)|(PRM\|1\|D)|(kpr)|(kdp)|(train st.+moving)|(\|lc)|(penalty))"</v>
      </c>
      <c r="AG220" s="182" t="str">
        <f t="shared" si="98"/>
        <v>Shuttle/Test</v>
      </c>
      <c r="AH220" s="78" t="str">
        <f t="shared" si="99"/>
        <v>"%USERPROFILE%\Documents\GitHub\eaglep3\Utilities\RefineRTDCRunTimes.py" --tripid 75-11 --locoid 4063 --swversion DE.1.0.9.0 --startMP 300:23510 --initTime 2017-11-11T17:33:41 --startdatetime 2017-11-11T17:36:28 --delay 60 --endMP 204:1022 --enddatetime 2017-11-11T17:52:02 --enforcementcount 0 &gt;&gt;%USERPROFILE%\Documents\GitHub\eaglep3-reporting\EC\2017-11-11-refined-times.txt</v>
      </c>
      <c r="AI220" s="96" t="str">
        <f t="shared" si="100"/>
        <v>echo {"issue":{"subject":"","project_id":79,"tracker_id":40,"status_id":1,"priority_id":2,"assigned_to_id":338,"start_date":"2017-11-11","description":"","custom_fields":[{"id":1,"name":"Subdivision","value":"Shuttle/Test"},{"id":4,"name":"Milepost","value":"0.1022"},{"id":17,"name":"Train ID","value":"75-11"},{"id":16,"name":"Locomotive ID","value":"4063"},{"id":130,"name":"Impact","value":""},{"id":150,"name":"Time of Event (Mountain Time)","value":"17:52:02"},{"id":151,"name":"Denver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01"/>
        <v>start /low /b %USERPROFILE%\Documents\GitHub\eaglep3\Utilities\DownloadLogsFromS3.py --loco 4063 --day 2017-11-11</v>
      </c>
      <c r="AN220" s="151" t="str">
        <f t="shared" si="102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00:52:02"},{"id":29,"name":"Sharepoint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03"/>
        <v>https://d0f6bd738d7f1b3e5a7ca70fe4ff75f0.us-east-1.aws.found.io/app/kibana#/discover/Steve-Slow-Train-Analysis-(2080s-and-2083s)?_g=(refreshInterval:(display:Off,pause:!f,section:0,value:0),time:(from:'2017-11-11T16:33:41-0700',mode:absolute,to:'2017-11-11T18:52:02-0700'))&amp;_a=(columns:!('Message%20ID',Summary),filters:!(),index:'emp_*',interval:auto,query:(query_string:(analyze_wildcard:!t,query:'%22rtdc.l.rtdc.4063%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</sheetData>
  <autoFilter ref="A12:AG483"/>
  <sortState ref="A13:AN388">
    <sortCondition ref="AG13:AG388"/>
    <sortCondition ref="AD13:AD388"/>
  </sortState>
  <mergeCells count="1">
    <mergeCell ref="A11:P11"/>
  </mergeCells>
  <conditionalFormatting sqref="W11:W12 W489:X1048576 W13:X220">
    <cfRule type="cellIs" dxfId="10" priority="465" operator="equal">
      <formula>"Y"</formula>
    </cfRule>
  </conditionalFormatting>
  <conditionalFormatting sqref="X489:X1048576 X13:X220">
    <cfRule type="cellIs" dxfId="9" priority="448" operator="greaterThan">
      <formula>1</formula>
    </cfRule>
  </conditionalFormatting>
  <conditionalFormatting sqref="X489:X1048576 X12:X220">
    <cfRule type="cellIs" dxfId="8" priority="445" operator="equal">
      <formula>0</formula>
    </cfRule>
  </conditionalFormatting>
  <conditionalFormatting sqref="A13:S220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7"/>
  <sheetViews>
    <sheetView tabSelected="1" topLeftCell="A2" zoomScaleNormal="100" workbookViewId="0">
      <selection activeCell="P29" sqref="P29:P3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COUNTIF($O$7:$O$207,"=Y")</f>
        <v>17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COUNTA($O$7:$O$207)-O2</f>
        <v>14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- 2017-11-11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43050.955289351848</v>
      </c>
      <c r="B7" s="30" t="s">
        <v>690</v>
      </c>
      <c r="C7" s="30" t="s">
        <v>691</v>
      </c>
      <c r="D7" s="30" t="s">
        <v>49</v>
      </c>
      <c r="E7" s="30" t="s">
        <v>183</v>
      </c>
      <c r="F7" s="42">
        <v>240</v>
      </c>
      <c r="G7" s="42">
        <v>323</v>
      </c>
      <c r="H7" s="42">
        <v>35677</v>
      </c>
      <c r="I7" s="42">
        <v>34776</v>
      </c>
      <c r="J7" s="30" t="s">
        <v>184</v>
      </c>
      <c r="K7" s="42">
        <v>33257</v>
      </c>
      <c r="L7" s="131" t="s">
        <v>51</v>
      </c>
      <c r="M7" s="132">
        <f t="shared" ref="M7:M37" si="0">CONVERT((I7-K7)/10000,"mi","ft")*IF(L7="Increasing Mileposts (1)",-1,1)</f>
        <v>802.03200000000004</v>
      </c>
      <c r="N7" s="133" t="str">
        <f>VLOOKUP(C7,'Trips&amp;Operators'!$C$1:$G$99911,5,FALSE)</f>
        <v>FORTUNATO FRANK</v>
      </c>
      <c r="O7" s="176" t="s">
        <v>178</v>
      </c>
      <c r="P7" s="134" t="s">
        <v>344</v>
      </c>
      <c r="Q7" s="30"/>
      <c r="R7" s="81" t="str">
        <f>VLOOKUP(C7,'Train Runs'!$A$13:$AE$10142,31,0)</f>
        <v>aws s3 cp s3://rtdc.mdm.uploadarchive.raw/RTDC4057/ "%USERPROFILE%\AppData\Local\Temp\OnboardLogs"\RTDC4057\2017-11-11 --exclude "*" --recursive --include "*20171111*" &amp; "%USERPROFILE%\Documents\GitHub\mrs-test-scripts\Headless Mode &amp; Sideloading\WalkAndUnGZ.bat" "%USERPROFILE%\AppData\Local\Temp\OnboardLogs"\RTDC4057\2017-11-11 &amp; aws s3 cp s3://rtdc.mdm.uploadarchive.raw/RTDC4057/ "%USERPROFILE%\AppData\Local\Temp\OnboardLogs"\RTDC4057\2017-11-12 --exclude "*" --recursive --include "*20171112*" &amp; "%USERPROFILE%\Documents\GitHub\mrs-test-scripts\Headless Mode &amp; Sideloading\WalkAndUnGZ.bat" "%USERPROFILE%\AppData\Local\Temp\OnboardLogs"\RTDC4057\2017-11-12</v>
      </c>
      <c r="S7" s="84" t="str">
        <f>VLOOKUP(C7,'Train Runs'!$A$13:$AE$10142,22,0)</f>
        <v>https://d0f6bd738d7f1b3e5a7ca70fe4ff75f0.us-east-1.aws.found.io/app/kibana#/discover/Steve-Slow-Train-Analysis-(2080s-and-2083s)?_g=(refreshInterval:(display:Off,pause:!f,section:0,value:0),time:(from:'2017-11-11T21:08:18-0700',mode:absolute,to:'2017-11-12T00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/stypes="*4057*201711120*" /stext=" 05:.+((SYSTEM_STATE.+slice.+state.+changed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4057</v>
      </c>
      <c r="V7" s="31">
        <f t="shared" ref="V7:V37" si="3">A7-utc_offset/24</f>
        <v>43051.246956018513</v>
      </c>
      <c r="W7" s="45" t="str">
        <f t="shared" ref="W7:W37" si="4">DetSubdiv(C7)</f>
        <v>EC</v>
      </c>
      <c r="X7" s="22">
        <f t="shared" ref="X7:X37" si="5">VALUE(LEFT(C7,LEN(C7)-3))</f>
        <v>232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Arrival","project_id":79,"tracker_id":40,"status_id":1,"priority_id":2,"assigned_to_id":338,"start_date":"2017-11-11","description":"","custom_fields":[{"id":1,"name":"Subdivision","value":"EC"},{"id":4,"name":"Milepost","value":"3.3257"},{"id":17,"name":"Train ID","value":"232-11"},{"id":16,"name":"Locomotive ID","value":"4057"},{"id":130,"name":"Impact","value":""},{"id":150,"name":"Time of Event (Mountain Time)","value":"22:55:37"},{"id":151,"name":"Denver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/c/Users/stu/AppData/Local/Temp/OnboardLogs/RTDC4057 --include="*4057*201711120*"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"%USERPROFILE%\AppData\Local\Temp\OnboardLogs"\RTDC4057\*4057*201711120* &gt;&gt; 2017-11-11-SliceDisagreementCheck.txt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4057 --day 2017-11-12</v>
      </c>
    </row>
    <row r="8" spans="1:32" s="1" customFormat="1" x14ac:dyDescent="0.25">
      <c r="A8" s="31">
        <v>43050.978206018517</v>
      </c>
      <c r="B8" s="30" t="s">
        <v>454</v>
      </c>
      <c r="C8" s="30" t="s">
        <v>693</v>
      </c>
      <c r="D8" s="30" t="s">
        <v>49</v>
      </c>
      <c r="E8" s="30" t="s">
        <v>183</v>
      </c>
      <c r="F8" s="42">
        <v>250</v>
      </c>
      <c r="G8" s="42">
        <v>321</v>
      </c>
      <c r="H8" s="42">
        <v>36021</v>
      </c>
      <c r="I8" s="42">
        <v>35343</v>
      </c>
      <c r="J8" s="30" t="s">
        <v>184</v>
      </c>
      <c r="K8" s="42">
        <v>33257</v>
      </c>
      <c r="L8" s="131" t="s">
        <v>51</v>
      </c>
      <c r="M8" s="132">
        <f t="shared" si="0"/>
        <v>1101.4079999999999</v>
      </c>
      <c r="N8" s="133" t="str">
        <f>VLOOKUP(C8,'Trips&amp;Operators'!$C$1:$G$99911,5,FALSE)</f>
        <v>ELBAUM MIKE</v>
      </c>
      <c r="O8" s="176" t="s">
        <v>178</v>
      </c>
      <c r="P8" s="134" t="s">
        <v>344</v>
      </c>
      <c r="Q8" s="30"/>
      <c r="R8" s="81" t="str">
        <f>VLOOKUP(C8,'Train Runs'!$A$13:$AE$10142,31,0)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S8" s="84" t="str">
        <f>VLOOKUP(C8,'Train Runs'!$A$13:$AE$10142,22,0)</f>
        <v>https://d0f6bd738d7f1b3e5a7ca70fe4ff75f0.us-east-1.aws.found.io/app/kibana#/discover/Steve-Slow-Train-Analysis-(2080s-and-2083s)?_g=(refreshInterval:(display:Off,pause:!f,section:0,value:0),time:(from:'2017-11-11T21:40:14-0700',mode:absolute,to:'2017-11-12T00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6" t="str">
        <f t="shared" si="1"/>
        <v>"C:\Program Files (x86)\AstroGrep\AstroGrep.exe" /e /r /s /spath="%USERPROFILE%\AppData\Local\Temp\OnboardLogs" /stypes="*4009*201711120*"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4009</v>
      </c>
      <c r="V8" s="31">
        <f t="shared" si="3"/>
        <v>43051.269872685181</v>
      </c>
      <c r="W8" s="45" t="str">
        <f t="shared" si="4"/>
        <v>EC</v>
      </c>
      <c r="X8" s="22">
        <f t="shared" si="5"/>
        <v>234</v>
      </c>
      <c r="Y8" s="96" t="str">
        <f t="shared" si="6"/>
        <v>echo {"issue":{"subject":"Early Arrival","project_id":79,"tracker_id":40,"status_id":1,"priority_id":2,"assigned_to_id":338,"start_date":"2017-11-11","description":"","custom_fields":[{"id":1,"name":"Subdivision","value":"EC"},{"id":4,"name":"Milepost","value":"3.3257"},{"id":17,"name":"Train ID","value":"234-11"},{"id":16,"name":"Locomotive ID","value":"4009"},{"id":130,"name":"Impact","value":""},{"id":150,"name":"Time of Event (Mountain Time)","value":"23:28:37"},{"id":151,"name":"Denver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/c/Users/stu/AppData/Local/Temp/OnboardLogs/RTDC4009 --include="*4009*201711120*"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"%USERPROFILE%\AppData\Local\Temp\OnboardLogs"\RTDC4009\*4009*201711120* &gt;&gt; 2017-11-11-SliceDisagreementCheck.txt</v>
      </c>
      <c r="AE8" s="145" t="str">
        <f t="shared" ref="AE8:AE37" si="9">"start /low /b "&amp;dls3logs&amp;" --loco "&amp;U8&amp;" --day "&amp;TEXT(V8,"YYYY-MM-DD")</f>
        <v>start /low /b %USERPROFILE%\Documents\GitHub\eaglep3\Utilities\DownloadLogsFromS3.py --loco 4009 --day 2017-11-12</v>
      </c>
    </row>
    <row r="9" spans="1:32" s="1" customFormat="1" x14ac:dyDescent="0.25">
      <c r="A9" s="31">
        <v>43050.633240740739</v>
      </c>
      <c r="B9" s="30" t="s">
        <v>663</v>
      </c>
      <c r="C9" s="30" t="s">
        <v>680</v>
      </c>
      <c r="D9" s="30" t="s">
        <v>49</v>
      </c>
      <c r="E9" s="30" t="s">
        <v>183</v>
      </c>
      <c r="F9" s="42">
        <v>0</v>
      </c>
      <c r="G9" s="42">
        <v>260</v>
      </c>
      <c r="H9" s="42">
        <v>44073</v>
      </c>
      <c r="I9" s="42">
        <v>43558</v>
      </c>
      <c r="J9" s="30" t="s">
        <v>184</v>
      </c>
      <c r="K9" s="42">
        <v>42961</v>
      </c>
      <c r="L9" s="131" t="s">
        <v>51</v>
      </c>
      <c r="M9" s="132">
        <f t="shared" si="0"/>
        <v>315.21600000000001</v>
      </c>
      <c r="N9" s="133" t="str">
        <f>VLOOKUP(C9,'Trips&amp;Operators'!$C$1:$G$99911,5,FALSE)</f>
        <v>BADERTSCHER DIANE</v>
      </c>
      <c r="O9" s="176" t="s">
        <v>178</v>
      </c>
      <c r="P9" s="134" t="s">
        <v>1094</v>
      </c>
      <c r="Q9" s="30"/>
      <c r="R9" s="81" t="str">
        <f>VLOOKUP(C9,'Train Runs'!$A$13:$AE$10142,31,0)</f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S9" s="84" t="str">
        <f>VLOOKUP(C9,'Train Runs'!$A$13:$AE$10142,22,0)</f>
        <v>https://d0f6bd738d7f1b3e5a7ca70fe4ff75f0.us-east-1.aws.found.io/app/kibana#/discover/Steve-Slow-Train-Analysis-(2080s-and-2083s)?_g=(refreshInterval:(display:Off,pause:!f,section:0,value:0),time:(from:'2017-11-11T13:36:17-0700',mode:absolute,to:'2017-11-11T16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6" t="str">
        <f t="shared" si="1"/>
        <v>"C:\Program Files (x86)\AstroGrep\AstroGrep.exe" /e /r /s /spath="%USERPROFILE%\AppData\Local\Temp\OnboardLogs" /stypes="*4043*201711112*" /stext=" 22:.+((SYSTEM_STATE.+slice.+state.+changed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43050.924907407403</v>
      </c>
      <c r="W9" s="45" t="str">
        <f t="shared" si="4"/>
        <v>EC</v>
      </c>
      <c r="X9" s="22">
        <f t="shared" si="5"/>
        <v>182</v>
      </c>
      <c r="Y9" s="96" t="str">
        <f t="shared" si="6"/>
        <v>echo {"issue":{"subject":"Form C","project_id":79,"tracker_id":40,"status_id":1,"priority_id":2,"assigned_to_id":338,"start_date":"2017-11-11","description":"","custom_fields":[{"id":1,"name":"Subdivision","value":"EC"},{"id":4,"name":"Milepost","value":"4.2961"},{"id":17,"name":"Train ID","value":"182-11"},{"id":16,"name":"Locomotive ID","value":"4043"},{"id":130,"name":"Impact","value":""},{"id":150,"name":"Time of Event (Mountain Time)","value":"15:11:52"},{"id":151,"name":"Denver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/c/Users/stu/AppData/Local/Temp/OnboardLogs/RTDC4043 --include="*4043*201711112*"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"%USERPROFILE%\AppData\Local\Temp\OnboardLogs"\RTDC4043\*4043*201711112* &gt;&gt; 2017-11-11-SliceDisagreementCheck.txt</v>
      </c>
      <c r="AE9" s="145" t="str">
        <f t="shared" si="9"/>
        <v>start /low /b %USERPROFILE%\Documents\GitHub\eaglep3\Utilities\DownloadLogsFromS3.py --loco 4043 --day 2017-11-11</v>
      </c>
    </row>
    <row r="10" spans="1:32" x14ac:dyDescent="0.25">
      <c r="A10" s="31">
        <v>43050.484548611108</v>
      </c>
      <c r="B10" s="30" t="s">
        <v>663</v>
      </c>
      <c r="C10" s="30" t="s">
        <v>671</v>
      </c>
      <c r="D10" s="30" t="s">
        <v>49</v>
      </c>
      <c r="E10" s="30" t="s">
        <v>183</v>
      </c>
      <c r="F10" s="42">
        <v>0</v>
      </c>
      <c r="G10" s="42">
        <v>277</v>
      </c>
      <c r="H10" s="42">
        <v>58586</v>
      </c>
      <c r="I10" s="42">
        <v>57603</v>
      </c>
      <c r="J10" s="30" t="s">
        <v>184</v>
      </c>
      <c r="K10" s="42">
        <v>58301</v>
      </c>
      <c r="L10" s="131" t="s">
        <v>51</v>
      </c>
      <c r="M10" s="132">
        <f t="shared" si="0"/>
        <v>-368.54399999999998</v>
      </c>
      <c r="N10" s="133" t="str">
        <f>VLOOKUP(C10,'Trips&amp;Operators'!$C$1:$G$99911,5,FALSE)</f>
        <v>BADERTSCHER DIANE</v>
      </c>
      <c r="O10" s="176" t="s">
        <v>178</v>
      </c>
      <c r="P10" s="134" t="s">
        <v>344</v>
      </c>
      <c r="Q10" s="30"/>
      <c r="R10" s="81" t="str">
        <f>VLOOKUP(C10,'Train Runs'!$A$13:$AE$10142,31,0)</f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S10" s="84" t="str">
        <f>VLOOKUP(C10,'Train Runs'!$A$13:$AE$10142,22,0)</f>
        <v>https://d0f6bd738d7f1b3e5a7ca70fe4ff75f0.us-east-1.aws.found.io/app/kibana#/discover/Steve-Slow-Train-Analysis-(2080s-and-2083s)?_g=(refreshInterval:(display:Off,pause:!f,section:0,value:0),time:(from:'2017-11-11T10:02:31-0700',mode:absolute,to:'2017-11-11T12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0" s="86" t="str">
        <f t="shared" si="1"/>
        <v>"C:\Program Files (x86)\AstroGrep\AstroGrep.exe" /e /r /s /spath="%USERPROFILE%\AppData\Local\Temp\OnboardLogs" /stypes="*4043*201711111*"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4043</v>
      </c>
      <c r="V10" s="31">
        <f t="shared" si="3"/>
        <v>43050.776215277772</v>
      </c>
      <c r="W10" s="45" t="str">
        <f t="shared" si="4"/>
        <v>EC</v>
      </c>
      <c r="X10" s="22">
        <f t="shared" si="5"/>
        <v>154</v>
      </c>
      <c r="Y10" s="96" t="str">
        <f t="shared" si="6"/>
        <v>echo {"issue":{"subject":"Early Arrival","project_id":79,"tracker_id":40,"status_id":1,"priority_id":2,"assigned_to_id":338,"start_date":"2017-11-11","description":"","custom_fields":[{"id":1,"name":"Subdivision","value":"EC"},{"id":4,"name":"Milepost","value":"5.8301"},{"id":17,"name":"Train ID","value":"154-11"},{"id":16,"name":"Locomotive ID","value":"4043"},{"id":130,"name":"Impact","value":""},{"id":150,"name":"Time of Event (Mountain Time)","value":"11:37:45"},{"id":151,"name":"Denver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/c/Users/stu/AppData/Local/Temp/OnboardLogs/RTDC4043 --include="*4043*201711111*"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"%USERPROFILE%\AppData\Local\Temp\OnboardLogs"\RTDC4043\*4043*201711111* &gt;&gt; 2017-11-11-SliceDisagreementCheck.txt</v>
      </c>
      <c r="AE10" s="145" t="str">
        <f t="shared" si="9"/>
        <v>start /low /b %USERPROFILE%\Documents\GitHub\eaglep3\Utilities\DownloadLogsFromS3.py --loco 4043 --day 2017-11-11</v>
      </c>
      <c r="AF10" s="1"/>
    </row>
    <row r="11" spans="1:32" x14ac:dyDescent="0.25">
      <c r="A11" s="31">
        <v>43050.910960648151</v>
      </c>
      <c r="B11" s="30" t="s">
        <v>687</v>
      </c>
      <c r="C11" s="30" t="s">
        <v>688</v>
      </c>
      <c r="D11" s="30" t="s">
        <v>95</v>
      </c>
      <c r="E11" s="30" t="s">
        <v>183</v>
      </c>
      <c r="F11" s="42">
        <v>0</v>
      </c>
      <c r="G11" s="42">
        <v>329</v>
      </c>
      <c r="H11" s="42">
        <v>58227</v>
      </c>
      <c r="I11" s="42">
        <v>57627</v>
      </c>
      <c r="J11" s="30" t="s">
        <v>184</v>
      </c>
      <c r="K11" s="42">
        <v>58301</v>
      </c>
      <c r="L11" s="131" t="s">
        <v>51</v>
      </c>
      <c r="M11" s="132">
        <f t="shared" si="0"/>
        <v>-355.87200000000001</v>
      </c>
      <c r="N11" s="133" t="str">
        <f>VLOOKUP(C11,'Trips&amp;Operators'!$C$1:$G$99911,5,FALSE)</f>
        <v>GUNTHIER ERIC</v>
      </c>
      <c r="O11" s="176" t="s">
        <v>178</v>
      </c>
      <c r="P11" s="134" t="s">
        <v>344</v>
      </c>
      <c r="Q11" s="30"/>
      <c r="R11" s="81" t="str">
        <f>VLOOKUP(C11,'Train Runs'!$A$13:$AE$10142,31,0)</f>
        <v>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 &amp; aws s3 cp s3://rtdc.mdm.uploadarchive.raw/RTDC4021/ "%USERPROFILE%\AppData\Local\Temp\OnboardLogs"\RTDC4021\2017-11-12 --exclude "*" --recursive --include "*20171112*" &amp; "%USERPROFILE%\Documents\GitHub\mrs-test-scripts\Headless Mode &amp; Sideloading\WalkAndUnGZ.bat" "%USERPROFILE%\AppData\Local\Temp\OnboardLogs"\RTDC4021\2017-11-12</v>
      </c>
      <c r="S11" s="84" t="str">
        <f>VLOOKUP(C11,'Train Runs'!$A$13:$AE$10142,22,0)</f>
        <v>https://d0f6bd738d7f1b3e5a7ca70fe4ff75f0.us-east-1.aws.found.io/app/kibana#/discover/Steve-Slow-Train-Analysis-(2080s-and-2083s)?_g=(refreshInterval:(display:Off,pause:!f,section:0,value:0),time:(from:'2017-11-11T20:12:04-0700',mode:absolute,to:'2017-11-11T23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1" s="86" t="str">
        <f t="shared" si="1"/>
        <v>"C:\Program Files (x86)\AstroGrep\AstroGrep.exe" /e /r /s /spath="%USERPROFILE%\AppData\Local\Temp\OnboardLogs" /stypes="*4021*201711120*"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4021</v>
      </c>
      <c r="V11" s="31">
        <f t="shared" si="3"/>
        <v>43051.202627314815</v>
      </c>
      <c r="W11" s="45" t="str">
        <f t="shared" si="4"/>
        <v>EC</v>
      </c>
      <c r="X11" s="22">
        <f t="shared" si="5"/>
        <v>228</v>
      </c>
      <c r="Y11" s="96" t="str">
        <f t="shared" si="6"/>
        <v>echo {"issue":{"subject":"Early Arrival","project_id":79,"tracker_id":40,"status_id":1,"priority_id":2,"assigned_to_id":338,"start_date":"2017-11-11","description":"","custom_fields":[{"id":1,"name":"Subdivision","value":"EC"},{"id":4,"name":"Milepost","value":"5.8301"},{"id":17,"name":"Train ID","value":"228-11"},{"id":16,"name":"Locomotive ID","value":"4021"},{"id":130,"name":"Impact","value":""},{"id":150,"name":"Time of Event (Mountain Time)","value":"21:51:47"},{"id":151,"name":"Denver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/c/Users/stu/AppData/Local/Temp/OnboardLogs/RTDC4021 --include="*4021*201711120*"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"%USERPROFILE%\AppData\Local\Temp\OnboardLogs"\RTDC4021\*4021*201711120* &gt;&gt; 2017-11-11-SliceDisagreementCheck.txt</v>
      </c>
      <c r="AE11" s="145" t="str">
        <f t="shared" si="9"/>
        <v>start /low /b %USERPROFILE%\Documents\GitHub\eaglep3\Utilities\DownloadLogsFromS3.py --loco 4021 --day 2017-11-12</v>
      </c>
      <c r="AF11" s="1"/>
    </row>
    <row r="12" spans="1:32" x14ac:dyDescent="0.25">
      <c r="A12" s="31">
        <v>43050.494270833333</v>
      </c>
      <c r="B12" s="30" t="s">
        <v>672</v>
      </c>
      <c r="C12" s="30" t="s">
        <v>673</v>
      </c>
      <c r="D12" s="30" t="s">
        <v>49</v>
      </c>
      <c r="E12" s="30" t="s">
        <v>183</v>
      </c>
      <c r="F12" s="42">
        <v>340</v>
      </c>
      <c r="G12" s="42">
        <v>395</v>
      </c>
      <c r="H12" s="42">
        <v>58592</v>
      </c>
      <c r="I12" s="42">
        <v>57344</v>
      </c>
      <c r="J12" s="30" t="s">
        <v>184</v>
      </c>
      <c r="K12" s="42">
        <v>58301</v>
      </c>
      <c r="L12" s="131" t="s">
        <v>51</v>
      </c>
      <c r="M12" s="132">
        <f t="shared" si="0"/>
        <v>-505.29599999999999</v>
      </c>
      <c r="N12" s="133" t="str">
        <f>VLOOKUP(C12,'Trips&amp;Operators'!$C$1:$G$99911,5,FALSE)</f>
        <v>MACDONALD THOMAS</v>
      </c>
      <c r="O12" s="176" t="s">
        <v>178</v>
      </c>
      <c r="P12" s="134" t="s">
        <v>344</v>
      </c>
      <c r="Q12" s="30"/>
      <c r="R12" s="81" t="str">
        <f>VLOOKUP(C12,'Train Runs'!$A$13:$AE$10142,31,0)</f>
        <v>aws s3 cp s3://rtdc.mdm.uploadarchive.raw/RTDC4065/ "%USERPROFILE%\AppData\Local\Temp\OnboardLogs"\RTDC4065\2017-11-11 --exclude "*" --recursive --include "*20171111*" &amp; "%USERPROFILE%\Documents\GitHub\mrs-test-scripts\Headless Mode &amp; Sideloading\WalkAndUnGZ.bat" "%USERPROFILE%\AppData\Local\Temp\OnboardLogs"\RTDC4065\2017-11-11 &amp; aws s3 cp s3://rtdc.mdm.uploadarchive.raw/RTDC4065/ "%USERPROFILE%\AppData\Local\Temp\OnboardLogs"\RTDC4065\2017-11-12 --exclude "*" --recursive --include "*20171112*" &amp; "%USERPROFILE%\Documents\GitHub\mrs-test-scripts\Headless Mode &amp; Sideloading\WalkAndUnGZ.bat" "%USERPROFILE%\AppData\Local\Temp\OnboardLogs"\RTDC4065\2017-11-12</v>
      </c>
      <c r="S12" s="84" t="str">
        <f>VLOOKUP(C12,'Train Runs'!$A$13:$AE$10142,22,0)</f>
        <v>https://d0f6bd738d7f1b3e5a7ca70fe4ff75f0.us-east-1.aws.found.io/app/kibana#/discover/Steve-Slow-Train-Analysis-(2080s-and-2083s)?_g=(refreshInterval:(display:Off,pause:!f,section:0,value:0),time:(from:'2017-11-11T10:25:23-0700',mode:absolute,to:'2017-11-11T13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2" s="86" t="str">
        <f t="shared" si="1"/>
        <v>"C:\Program Files (x86)\AstroGrep\AstroGrep.exe" /e /r /s /spath="%USERPROFILE%\AppData\Local\Temp\OnboardLogs" /stypes="*4065*201711111*"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4065</v>
      </c>
      <c r="V12" s="31">
        <f t="shared" si="3"/>
        <v>43050.785937499997</v>
      </c>
      <c r="W12" s="45" t="str">
        <f t="shared" si="4"/>
        <v>EC</v>
      </c>
      <c r="X12" s="22">
        <f t="shared" si="5"/>
        <v>156</v>
      </c>
      <c r="Y12" s="96" t="str">
        <f t="shared" si="6"/>
        <v>echo {"issue":{"subject":"Early Arrival","project_id":79,"tracker_id":40,"status_id":1,"priority_id":2,"assigned_to_id":338,"start_date":"2017-11-11","description":"","custom_fields":[{"id":1,"name":"Subdivision","value":"EC"},{"id":4,"name":"Milepost","value":"5.8301"},{"id":17,"name":"Train ID","value":"156-11"},{"id":16,"name":"Locomotive ID","value":"4065"},{"id":130,"name":"Impact","value":""},{"id":150,"name":"Time of Event (Mountain Time)","value":"11:51:45"},{"id":151,"name":"Denver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/c/Users/stu/AppData/Local/Temp/OnboardLogs/RTDC4065 --include="*4065*201711111*"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"%USERPROFILE%\AppData\Local\Temp\OnboardLogs"\RTDC4065\*4065*201711111* &gt;&gt; 2017-11-11-SliceDisagreementCheck.txt</v>
      </c>
      <c r="AE12" s="145" t="str">
        <f t="shared" si="9"/>
        <v>start /low /b %USERPROFILE%\Documents\GitHub\eaglep3\Utilities\DownloadLogsFromS3.py --loco 4065 --day 2017-11-11</v>
      </c>
      <c r="AF12" s="1"/>
    </row>
    <row r="13" spans="1:32" x14ac:dyDescent="0.25">
      <c r="A13" s="31">
        <v>43050.233726851853</v>
      </c>
      <c r="B13" s="30" t="s">
        <v>454</v>
      </c>
      <c r="C13" s="30" t="s">
        <v>660</v>
      </c>
      <c r="D13" s="30" t="s">
        <v>49</v>
      </c>
      <c r="E13" s="30" t="s">
        <v>183</v>
      </c>
      <c r="F13" s="42">
        <v>240</v>
      </c>
      <c r="G13" s="42">
        <v>301</v>
      </c>
      <c r="H13" s="42">
        <v>63454</v>
      </c>
      <c r="I13" s="42">
        <v>62936</v>
      </c>
      <c r="J13" s="30" t="s">
        <v>184</v>
      </c>
      <c r="K13" s="42">
        <v>63309</v>
      </c>
      <c r="L13" s="131" t="s">
        <v>51</v>
      </c>
      <c r="M13" s="132">
        <f t="shared" si="0"/>
        <v>-196.94399999999999</v>
      </c>
      <c r="N13" s="133" t="str">
        <f>VLOOKUP(C13,'Trips&amp;Operators'!$C$1:$G$99911,5,FALSE)</f>
        <v>PAGE MARCUS</v>
      </c>
      <c r="O13" s="176" t="s">
        <v>178</v>
      </c>
      <c r="P13" s="134" t="s">
        <v>344</v>
      </c>
      <c r="Q13" s="30"/>
      <c r="R13" s="81" t="str">
        <f>VLOOKUP(C13,'Train Runs'!$A$13:$AE$10142,31,0)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S13" s="84" t="str">
        <f>VLOOKUP(C13,'Train Runs'!$A$13:$AE$10142,22,0)</f>
        <v>https://d0f6bd738d7f1b3e5a7ca70fe4ff75f0.us-east-1.aws.found.io/app/kibana#/discover/Steve-Slow-Train-Analysis-(2080s-and-2083s)?_g=(refreshInterval:(display:Off,pause:!f,section:0,value:0),time:(from:'2017-11-11T04:04:13-0700',mode:absolute,to:'2017-11-11T06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86" t="str">
        <f t="shared" si="1"/>
        <v>"C:\Program Files (x86)\AstroGrep\AstroGrep.exe" /e /r /s /spath="%USERPROFILE%\AppData\Local\Temp\OnboardLogs" /stypes="*4009*201711111*"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4009</v>
      </c>
      <c r="V13" s="31">
        <f t="shared" si="3"/>
        <v>43050.525393518517</v>
      </c>
      <c r="W13" s="45" t="str">
        <f t="shared" si="4"/>
        <v>EC</v>
      </c>
      <c r="X13" s="22">
        <f t="shared" si="5"/>
        <v>106</v>
      </c>
      <c r="Y13" s="96" t="str">
        <f t="shared" si="6"/>
        <v>echo {"issue":{"subject":"Early Arrival","project_id":79,"tracker_id":40,"status_id":1,"priority_id":2,"assigned_to_id":338,"start_date":"2017-11-11","description":"","custom_fields":[{"id":1,"name":"Subdivision","value":"EC"},{"id":4,"name":"Milepost","value":"6.3309"},{"id":17,"name":"Train ID","value":"106-11"},{"id":16,"name":"Locomotive ID","value":"4009"},{"id":130,"name":"Impact","value":""},{"id":150,"name":"Time of Event (Mountain Time)","value":"05:36:34"},{"id":151,"name":"Denver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/c/Users/stu/AppData/Local/Temp/OnboardLogs/RTDC4009 --include="*4009*201711111*"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"%USERPROFILE%\AppData\Local\Temp\OnboardLogs"\RTDC4009\*4009*201711111* &gt;&gt; 2017-11-11-SliceDisagreementCheck.txt</v>
      </c>
      <c r="AE13" s="145" t="str">
        <f t="shared" si="9"/>
        <v>start /low /b %USERPROFILE%\Documents\GitHub\eaglep3\Utilities\DownloadLogsFromS3.py --loco 4009 --day 2017-11-11</v>
      </c>
      <c r="AF13" s="1"/>
    </row>
    <row r="14" spans="1:32" x14ac:dyDescent="0.25">
      <c r="A14" s="31">
        <v>43050.271886574075</v>
      </c>
      <c r="B14" s="30" t="s">
        <v>663</v>
      </c>
      <c r="C14" s="30" t="s">
        <v>664</v>
      </c>
      <c r="D14" s="30" t="s">
        <v>49</v>
      </c>
      <c r="E14" s="30" t="s">
        <v>190</v>
      </c>
      <c r="F14" s="42">
        <v>450</v>
      </c>
      <c r="G14" s="42">
        <v>505</v>
      </c>
      <c r="H14" s="42">
        <v>17264</v>
      </c>
      <c r="I14" s="42">
        <v>14022</v>
      </c>
      <c r="J14" s="30" t="s">
        <v>191</v>
      </c>
      <c r="K14" s="42">
        <v>15167</v>
      </c>
      <c r="L14" s="131" t="s">
        <v>51</v>
      </c>
      <c r="M14" s="132">
        <f t="shared" si="0"/>
        <v>-604.55999999999995</v>
      </c>
      <c r="N14" s="133" t="str">
        <f>VLOOKUP(C14,'Trips&amp;Operators'!$C$1:$G$99911,5,FALSE)</f>
        <v>THOMPSON LESTER</v>
      </c>
      <c r="O14" s="176" t="s">
        <v>178</v>
      </c>
      <c r="P14" s="134"/>
      <c r="Q14" s="30"/>
      <c r="R14" s="81" t="str">
        <f>VLOOKUP(C14,'Train Runs'!$A$13:$AE$10142,31,0)</f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S14" s="84" t="str">
        <f>VLOOKUP(C14,'Train Runs'!$A$13:$AE$10142,22,0)</f>
        <v>https://d0f6bd738d7f1b3e5a7ca70fe4ff75f0.us-east-1.aws.found.io/app/kibana#/discover/Steve-Slow-Train-Analysis-(2080s-and-2083s)?_g=(refreshInterval:(display:Off,pause:!f,section:0,value:0),time:(from:'2017-11-11T04:51:57-0700',mode:absolute,to:'2017-11-11T07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86" t="str">
        <f t="shared" si="1"/>
        <v>"C:\Program Files (x86)\AstroGrep\AstroGrep.exe" /e /r /s /spath="%USERPROFILE%\AppData\Local\Temp\OnboardLogs" /stypes="*4043*201711111*"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4043</v>
      </c>
      <c r="V14" s="31">
        <f t="shared" si="3"/>
        <v>43050.56355324074</v>
      </c>
      <c r="W14" s="45" t="str">
        <f t="shared" si="4"/>
        <v>EC</v>
      </c>
      <c r="X14" s="22">
        <f t="shared" si="5"/>
        <v>112</v>
      </c>
      <c r="Y14" s="96" t="str">
        <f t="shared" si="6"/>
        <v>echo {"issue":{"subject":"","project_id":79,"tracker_id":40,"status_id":1,"priority_id":2,"assigned_to_id":338,"start_date":"2017-11-11","description":"","custom_fields":[{"id":1,"name":"Subdivision","value":"EC"},{"id":4,"name":"Milepost","value":"1.5167"},{"id":17,"name":"Train ID","value":"112-11"},{"id":16,"name":"Locomotive ID","value":"4043"},{"id":130,"name":"Impact","value":""},{"id":150,"name":"Time of Event (Mountain Time)","value":"06:31:31"},{"id":151,"name":"Denver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/c/Users/stu/AppData/Local/Temp/OnboardLogs/RTDC4043 --include="*4043*201711111*"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"%USERPROFILE%\AppData\Local\Temp\OnboardLogs"\RTDC4043\*4043*201711111* &gt;&gt; 2017-11-11-SliceDisagreementCheck.txt</v>
      </c>
      <c r="AE14" s="145" t="str">
        <f t="shared" si="9"/>
        <v>start /low /b %USERPROFILE%\Documents\GitHub\eaglep3\Utilities\DownloadLogsFromS3.py --loco 4043 --day 2017-11-11</v>
      </c>
      <c r="AF14" s="1"/>
    </row>
    <row r="15" spans="1:32" x14ac:dyDescent="0.25">
      <c r="A15" s="31">
        <v>43050.805949074071</v>
      </c>
      <c r="B15" s="30" t="s">
        <v>454</v>
      </c>
      <c r="C15" s="30" t="s">
        <v>682</v>
      </c>
      <c r="D15" s="30" t="s">
        <v>95</v>
      </c>
      <c r="E15" s="30" t="s">
        <v>190</v>
      </c>
      <c r="F15" s="42">
        <v>700</v>
      </c>
      <c r="G15" s="42">
        <v>750</v>
      </c>
      <c r="H15" s="42">
        <v>166792</v>
      </c>
      <c r="I15" s="42">
        <v>163868</v>
      </c>
      <c r="J15" s="30" t="s">
        <v>191</v>
      </c>
      <c r="K15" s="42">
        <v>183829</v>
      </c>
      <c r="L15" s="131" t="s">
        <v>51</v>
      </c>
      <c r="M15" s="132">
        <f t="shared" si="0"/>
        <v>-10539.407999999999</v>
      </c>
      <c r="N15" s="133" t="str">
        <f>VLOOKUP(C15,'Trips&amp;Operators'!$C$1:$G$99911,5,FALSE)</f>
        <v>ELBAUM MIKE</v>
      </c>
      <c r="O15" s="176" t="s">
        <v>178</v>
      </c>
      <c r="P15" s="134"/>
      <c r="Q15" s="30"/>
      <c r="R15" s="81" t="str">
        <f>VLOOKUP(C15,'Train Runs'!$A$13:$AE$10142,31,0)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S15" s="84" t="str">
        <f>VLOOKUP(C15,'Train Runs'!$A$13:$AE$10142,22,0)</f>
        <v>https://d0f6bd738d7f1b3e5a7ca70fe4ff75f0.us-east-1.aws.found.io/app/kibana#/discover/Steve-Slow-Train-Analysis-(2080s-and-2083s)?_g=(refreshInterval:(display:Off,pause:!f,section:0,value:0),time:(from:'2017-11-11T17:51:37-0700',mode:absolute,to:'2017-11-11T20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 t="shared" si="1"/>
        <v>"C:\Program Files (x86)\AstroGrep\AstroGrep.exe" /e /r /s /spath="%USERPROFILE%\AppData\Local\Temp\OnboardLogs" /stypes="*4009*201711120*"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43051.097615740735</v>
      </c>
      <c r="W15" s="45" t="str">
        <f t="shared" si="4"/>
        <v>EC</v>
      </c>
      <c r="X15" s="22">
        <f t="shared" si="5"/>
        <v>218</v>
      </c>
      <c r="Y15" s="96" t="str">
        <f t="shared" si="6"/>
        <v>echo {"issue":{"subject":"","project_id":79,"tracker_id":40,"status_id":1,"priority_id":2,"assigned_to_id":338,"start_date":"2017-11-11","description":"","custom_fields":[{"id":1,"name":"Subdivision","value":"EC"},{"id":4,"name":"Milepost","value":"18.3829"},{"id":17,"name":"Train ID","value":"218-11"},{"id":16,"name":"Locomotive ID","value":"4009"},{"id":130,"name":"Impact","value":""},{"id":150,"name":"Time of Event (Mountain Time)","value":"19:20:34"},{"id":151,"name":"Denver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/c/Users/stu/AppData/Local/Temp/OnboardLogs/RTDC4009 --include="*4009*201711120*"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"%USERPROFILE%\AppData\Local\Temp\OnboardLogs"\RTDC4009\*4009*201711120* &gt;&gt; 2017-11-11-SliceDisagreementCheck.txt</v>
      </c>
      <c r="AE15" s="145" t="str">
        <f t="shared" si="9"/>
        <v>start /low /b %USERPROFILE%\Documents\GitHub\eaglep3\Utilities\DownloadLogsFromS3.py --loco 4009 --day 2017-11-12</v>
      </c>
      <c r="AF15" s="1"/>
    </row>
    <row r="16" spans="1:32" x14ac:dyDescent="0.25">
      <c r="A16" s="31">
        <v>43050.554039351853</v>
      </c>
      <c r="B16" s="30" t="s">
        <v>533</v>
      </c>
      <c r="C16" s="30" t="s">
        <v>677</v>
      </c>
      <c r="D16" s="30" t="s">
        <v>49</v>
      </c>
      <c r="E16" s="30" t="s">
        <v>190</v>
      </c>
      <c r="F16" s="42">
        <v>550</v>
      </c>
      <c r="G16" s="42">
        <v>781</v>
      </c>
      <c r="H16" s="42">
        <v>217926</v>
      </c>
      <c r="I16" s="42">
        <v>221428</v>
      </c>
      <c r="J16" s="30" t="s">
        <v>191</v>
      </c>
      <c r="K16" s="42">
        <v>222090</v>
      </c>
      <c r="L16" s="131" t="s">
        <v>50</v>
      </c>
      <c r="M16" s="132">
        <f t="shared" si="0"/>
        <v>349.53599999999994</v>
      </c>
      <c r="N16" s="133" t="str">
        <f>VLOOKUP(C16,'Trips&amp;Operators'!$C$1:$G$99911,5,FALSE)</f>
        <v>HOLCOMB KAMDEN</v>
      </c>
      <c r="O16" s="176" t="s">
        <v>178</v>
      </c>
      <c r="P16" s="134"/>
      <c r="Q16" s="30"/>
      <c r="R16" s="81" t="str">
        <f>VLOOKUP(C16,'Train Runs'!$A$13:$AE$10142,31,0)</f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S16" s="84" t="str">
        <f>VLOOKUP(C16,'Train Runs'!$A$13:$AE$10142,22,0)</f>
        <v>https://d0f6bd738d7f1b3e5a7ca70fe4ff75f0.us-east-1.aws.found.io/app/kibana#/discover/Steve-Slow-Train-Analysis-(2080s-and-2083s)?_g=(refreshInterval:(display:Off,pause:!f,section:0,value:0),time:(from:'2017-11-11T11:40:46-0700',mode:absolute,to:'2017-11-11T14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86" t="str">
        <f t="shared" si="1"/>
        <v>"C:\Program Files (x86)\AstroGrep\AstroGrep.exe" /e /r /s /spath="%USERPROFILE%\AppData\Local\Temp\OnboardLogs" /stypes="*4026*201711112*"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4026</v>
      </c>
      <c r="V16" s="31">
        <f t="shared" si="3"/>
        <v>43050.845706018517</v>
      </c>
      <c r="W16" s="45" t="str">
        <f t="shared" si="4"/>
        <v>EC</v>
      </c>
      <c r="X16" s="22">
        <f t="shared" si="5"/>
        <v>173</v>
      </c>
      <c r="Y16" s="96" t="str">
        <f t="shared" si="6"/>
        <v>echo {"issue":{"subject":"","project_id":79,"tracker_id":40,"status_id":1,"priority_id":2,"assigned_to_id":338,"start_date":"2017-11-11","description":"","custom_fields":[{"id":1,"name":"Subdivision","value":"EC"},{"id":4,"name":"Milepost","value":"22.209"},{"id":17,"name":"Train ID","value":"173-11"},{"id":16,"name":"Locomotive ID","value":"4026"},{"id":130,"name":"Impact","value":""},{"id":150,"name":"Time of Event (Mountain Time)","value":"13:17:49"},{"id":151,"name":"Denver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/c/Users/stu/AppData/Local/Temp/OnboardLogs/RTDC4026 --include="*4026*201711112*"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"%USERPROFILE%\AppData\Local\Temp\OnboardLogs"\RTDC4026\*4026*201711112* &gt;&gt; 2017-11-11-SliceDisagreementCheck.txt</v>
      </c>
      <c r="AE16" s="145" t="str">
        <f t="shared" si="9"/>
        <v>start /low /b %USERPROFILE%\Documents\GitHub\eaglep3\Utilities\DownloadLogsFromS3.py --loco 4026 --day 2017-11-11</v>
      </c>
      <c r="AF16" s="1"/>
    </row>
    <row r="17" spans="1:32" x14ac:dyDescent="0.25">
      <c r="A17" s="31">
        <v>43050.531678240739</v>
      </c>
      <c r="B17" s="30" t="s">
        <v>533</v>
      </c>
      <c r="C17" s="30" t="s">
        <v>677</v>
      </c>
      <c r="D17" s="30" t="s">
        <v>49</v>
      </c>
      <c r="E17" s="30" t="s">
        <v>355</v>
      </c>
      <c r="F17" s="42">
        <v>0</v>
      </c>
      <c r="G17" s="42">
        <v>123</v>
      </c>
      <c r="H17" s="42">
        <v>912</v>
      </c>
      <c r="I17" s="42">
        <v>1195</v>
      </c>
      <c r="J17" s="30" t="s">
        <v>356</v>
      </c>
      <c r="K17" s="42">
        <v>1692</v>
      </c>
      <c r="L17" s="131" t="s">
        <v>50</v>
      </c>
      <c r="M17" s="132">
        <f t="shared" si="0"/>
        <v>262.416</v>
      </c>
      <c r="N17" s="133" t="str">
        <f>VLOOKUP(C17,'Trips&amp;Operators'!$C$1:$G$99911,5,FALSE)</f>
        <v>HOLCOMB KAMDEN</v>
      </c>
      <c r="O17" s="176" t="s">
        <v>349</v>
      </c>
      <c r="P17" s="134" t="s">
        <v>1095</v>
      </c>
      <c r="Q17" s="30"/>
      <c r="R17" s="81" t="str">
        <f>VLOOKUP(C17,'Train Runs'!$A$13:$AE$10142,31,0)</f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S17" s="84" t="str">
        <f>VLOOKUP(C17,'Train Runs'!$A$13:$AE$10142,22,0)</f>
        <v>https://d0f6bd738d7f1b3e5a7ca70fe4ff75f0.us-east-1.aws.found.io/app/kibana#/discover/Steve-Slow-Train-Analysis-(2080s-and-2083s)?_g=(refreshInterval:(display:Off,pause:!f,section:0,value:0),time:(from:'2017-11-11T11:40:46-0700',mode:absolute,to:'2017-11-11T14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6" t="str">
        <f t="shared" si="1"/>
        <v>"C:\Program Files (x86)\AstroGrep\AstroGrep.exe" /e /r /s /spath="%USERPROFILE%\AppData\Local\Temp\OnboardLogs" /stypes="*4026*201711111*"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4026</v>
      </c>
      <c r="V17" s="31">
        <f t="shared" si="3"/>
        <v>43050.823344907403</v>
      </c>
      <c r="W17" s="45" t="str">
        <f t="shared" si="4"/>
        <v>EC</v>
      </c>
      <c r="X17" s="22">
        <f t="shared" si="5"/>
        <v>173</v>
      </c>
      <c r="Y17" s="96" t="str">
        <f t="shared" si="6"/>
        <v>echo {"issue":{"subject":"Premature downgrade at DUS 2N","project_id":79,"tracker_id":40,"status_id":1,"priority_id":2,"assigned_to_id":338,"start_date":"2017-11-11","description":"","custom_fields":[{"id":1,"name":"Subdivision","value":"EC"},{"id":4,"name":"Milepost","value":"0.1692"},{"id":17,"name":"Train ID","value":"173-11"},{"id":16,"name":"Locomotive ID","value":"4026"},{"id":130,"name":"Impact","value":""},{"id":150,"name":"Time of Event (Mountain Time)","value":"12:45:37"},{"id":151,"name":"Denver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/c/Users/stu/AppData/Local/Temp/OnboardLogs/RTDC4026 --include="*4026*201711111*"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"%USERPROFILE%\AppData\Local\Temp\OnboardLogs"\RTDC4026\*4026*201711111* &gt;&gt; 2017-11-11-SliceDisagreementCheck.txt</v>
      </c>
      <c r="AE17" s="145" t="str">
        <f t="shared" si="9"/>
        <v>start /low /b %USERPROFILE%\Documents\GitHub\eaglep3\Utilities\DownloadLogsFromS3.py --loco 4026 --day 2017-11-11</v>
      </c>
      <c r="AF17" s="1"/>
    </row>
    <row r="18" spans="1:32" x14ac:dyDescent="0.25">
      <c r="A18" s="31">
        <v>43050.856666666667</v>
      </c>
      <c r="B18" s="30" t="s">
        <v>385</v>
      </c>
      <c r="C18" s="30" t="s">
        <v>684</v>
      </c>
      <c r="D18" s="30" t="s">
        <v>95</v>
      </c>
      <c r="E18" s="30" t="s">
        <v>355</v>
      </c>
      <c r="F18" s="42">
        <v>200</v>
      </c>
      <c r="G18" s="42">
        <v>378</v>
      </c>
      <c r="H18" s="42">
        <v>10174</v>
      </c>
      <c r="I18" s="42">
        <v>11249</v>
      </c>
      <c r="J18" s="30" t="s">
        <v>356</v>
      </c>
      <c r="K18" s="42">
        <v>2789</v>
      </c>
      <c r="L18" s="131" t="s">
        <v>50</v>
      </c>
      <c r="M18" s="132">
        <f t="shared" si="0"/>
        <v>-4466.88</v>
      </c>
      <c r="N18" s="133" t="str">
        <f>VLOOKUP(C18,'Trips&amp;Operators'!$C$1:$G$99911,5,FALSE)</f>
        <v>GUNTHIER ERIC</v>
      </c>
      <c r="O18" s="176" t="s">
        <v>349</v>
      </c>
      <c r="P18" s="134" t="s">
        <v>1090</v>
      </c>
      <c r="Q18" s="30"/>
      <c r="R18" s="81" t="str">
        <f>VLOOKUP(C18,'Train Runs'!$A$13:$AE$10142,31,0)</f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S18" s="84" t="str">
        <f>VLOOKUP(C18,'Train Runs'!$A$13:$AE$10142,22,0)</f>
        <v>https://d0f6bd738d7f1b3e5a7ca70fe4ff75f0.us-east-1.aws.found.io/app/kibana#/discover/Steve-Slow-Train-Analysis-(2080s-and-2083s)?_g=(refreshInterval:(display:Off,pause:!f,section:0,value:0),time:(from:'2017-11-11T19:11:50-0700',mode:absolute,to:'2017-11-11T22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8" s="86" t="str">
        <f t="shared" si="1"/>
        <v>"C:\Program Files (x86)\AstroGrep\AstroGrep.exe" /e /r /s /spath="%USERPROFILE%\AppData\Local\Temp\OnboardLogs" /stypes="*4022*201711120*"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4022</v>
      </c>
      <c r="V18" s="31">
        <f t="shared" si="3"/>
        <v>43051.148333333331</v>
      </c>
      <c r="W18" s="45" t="str">
        <f t="shared" si="4"/>
        <v>EC</v>
      </c>
      <c r="X18" s="22">
        <f t="shared" si="5"/>
        <v>227</v>
      </c>
      <c r="Y18" s="96" t="str">
        <f t="shared" si="6"/>
        <v>echo {"issue":{"subject":"Wheel tach sensor issue","project_id":79,"tracker_id":40,"status_id":1,"priority_id":2,"assigned_to_id":338,"start_date":"2017-11-11","description":"","custom_fields":[{"id":1,"name":"Subdivision","value":"EC"},{"id":4,"name":"Milepost","value":"0.2789"},{"id":17,"name":"Train ID","value":"227-11"},{"id":16,"name":"Locomotive ID","value":"4022"},{"id":130,"name":"Impact","value":""},{"id":150,"name":"Time of Event (Mountain Time)","value":"20:33:36"},{"id":151,"name":"Denver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/c/Users/stu/AppData/Local/Temp/OnboardLogs/RTDC4022 --include="*4022*201711120*"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"%USERPROFILE%\AppData\Local\Temp\OnboardLogs"\RTDC4022\*4022*201711120* &gt;&gt; 2017-11-11-SliceDisagreementCheck.txt</v>
      </c>
      <c r="AE18" s="145" t="str">
        <f t="shared" si="9"/>
        <v>start /low /b %USERPROFILE%\Documents\GitHub\eaglep3\Utilities\DownloadLogsFromS3.py --loco 4022 --day 2017-11-12</v>
      </c>
      <c r="AF18" s="1"/>
    </row>
    <row r="19" spans="1:32" x14ac:dyDescent="0.25">
      <c r="A19" s="31">
        <v>43050.610150462962</v>
      </c>
      <c r="B19" s="30" t="s">
        <v>533</v>
      </c>
      <c r="C19" s="30" t="s">
        <v>679</v>
      </c>
      <c r="D19" s="30" t="s">
        <v>49</v>
      </c>
      <c r="E19" s="30" t="s">
        <v>355</v>
      </c>
      <c r="F19" s="42">
        <v>0</v>
      </c>
      <c r="G19" s="42">
        <v>225</v>
      </c>
      <c r="H19" s="42">
        <v>36636</v>
      </c>
      <c r="I19" s="42">
        <v>36836</v>
      </c>
      <c r="J19" s="30" t="s">
        <v>356</v>
      </c>
      <c r="K19" s="42">
        <v>36645</v>
      </c>
      <c r="L19" s="131" t="s">
        <v>50</v>
      </c>
      <c r="M19" s="132">
        <f t="shared" si="0"/>
        <v>-100.848</v>
      </c>
      <c r="N19" s="133" t="str">
        <f>VLOOKUP(C19,'Trips&amp;Operators'!$C$1:$G$99911,5,FALSE)</f>
        <v>HOLCOMB KAMDEN</v>
      </c>
      <c r="O19" s="176" t="s">
        <v>349</v>
      </c>
      <c r="P19" s="134" t="s">
        <v>1091</v>
      </c>
      <c r="Q19" s="30"/>
      <c r="R19" s="81" t="str">
        <f>VLOOKUP(C19,'Train Runs'!$A$13:$AE$10142,31,0)</f>
        <v>aws s3 cp s3://rtdc.mdm.uploadarchive.raw/RTDC4026/ "%USERPROFILE%\AppData\Local\Temp\OnboardLogs"\RTDC4026\2017-11-11 --exclude "*" --recursive --include "*20171111*" &amp; "%USERPROFILE%\Documents\GitHub\mrs-test-scripts\Headless Mode &amp; Sideloading\WalkAndUnGZ.bat" "%USERPROFILE%\AppData\Local\Temp\OnboardLogs"\RTDC4026\2017-11-11 &amp; 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</v>
      </c>
      <c r="S19" s="84" t="str">
        <f>VLOOKUP(C19,'Train Runs'!$A$13:$AE$10142,22,0)</f>
        <v>https://d0f6bd738d7f1b3e5a7ca70fe4ff75f0.us-east-1.aws.found.io/app/kibana#/discover/Steve-Slow-Train-Analysis-(2080s-and-2083s)?_g=(refreshInterval:(display:Off,pause:!f,section:0,value:0),time:(from:'2017-11-11T13:24:54-0700',mode:absolute,to:'2017-11-11T16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/stypes="*4026*201711112*"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43050.901817129627</v>
      </c>
      <c r="W19" s="45" t="str">
        <f t="shared" si="4"/>
        <v>EC</v>
      </c>
      <c r="X19" s="22">
        <f t="shared" si="5"/>
        <v>187</v>
      </c>
      <c r="Y19" s="96" t="str">
        <f t="shared" si="6"/>
        <v>echo {"issue":{"subject":"Premature downgrade at EC0365RH 27-1T 1N","project_id":79,"tracker_id":40,"status_id":1,"priority_id":2,"assigned_to_id":338,"start_date":"2017-11-11","description":"At 14:38:24 - EC0365RH 27-1T 1N dropped from 270 to 0 (STOP &amp; PROCEED) - do logs indicate anything unusual?","custom_fields":[{"id":1,"name":"Subdivision","value":"EC"},{"id":4,"name":"Milepost","value":"3.6645"},{"id":17,"name":"Train ID","value":"187-11"},{"id":16,"name":"Locomotive ID","value":"4026"},{"id":130,"name":"Impact","value":"Enforcement"},{"id":150,"name":"Time of Event (Mountain Time)","value":"14:38:37"},{"id":151,"name":"Denver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19" s="159" t="s">
        <v>1092</v>
      </c>
      <c r="AA19" s="47" t="s">
        <v>118</v>
      </c>
      <c r="AB19" s="47" t="s">
        <v>123</v>
      </c>
      <c r="AC19" s="115" t="str">
        <f t="shared" si="7"/>
        <v>grep -hrE -A400 "Enforcement Action" /c/Users/stu/AppData/Local/Temp/OnboardLogs/RTDC4026 --include="*4026*201711112*"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"%USERPROFILE%\AppData\Local\Temp\OnboardLogs"\RTDC4026\*4026*201711112* &gt;&gt; 2017-11-11-SliceDisagreementCheck.txt</v>
      </c>
      <c r="AE19" s="145" t="str">
        <f t="shared" si="9"/>
        <v>start /low /b %USERPROFILE%\Documents\GitHub\eaglep3\Utilities\DownloadLogsFromS3.py --loco 4026 --day 2017-11-11</v>
      </c>
      <c r="AF19" s="1"/>
    </row>
    <row r="20" spans="1:32" x14ac:dyDescent="0.25">
      <c r="A20" s="31">
        <v>43050.985509259262</v>
      </c>
      <c r="B20" s="30" t="s">
        <v>694</v>
      </c>
      <c r="C20" s="30" t="s">
        <v>695</v>
      </c>
      <c r="D20" s="30" t="s">
        <v>49</v>
      </c>
      <c r="E20" s="30" t="s">
        <v>355</v>
      </c>
      <c r="F20" s="42">
        <v>0</v>
      </c>
      <c r="G20" s="42">
        <v>262</v>
      </c>
      <c r="H20" s="42">
        <v>36638</v>
      </c>
      <c r="I20" s="42">
        <v>36956</v>
      </c>
      <c r="J20" s="30" t="s">
        <v>356</v>
      </c>
      <c r="K20" s="42">
        <v>36645</v>
      </c>
      <c r="L20" s="131" t="s">
        <v>50</v>
      </c>
      <c r="M20" s="132">
        <f t="shared" si="0"/>
        <v>-164.208</v>
      </c>
      <c r="N20" s="133" t="str">
        <f>VLOOKUP(C20,'Trips&amp;Operators'!$C$1:$G$99911,5,FALSE)</f>
        <v>FORTUNATO FRANK</v>
      </c>
      <c r="O20" s="176" t="s">
        <v>349</v>
      </c>
      <c r="P20" s="134" t="s">
        <v>656</v>
      </c>
      <c r="Q20" s="30"/>
      <c r="R20" s="81" t="str">
        <f>VLOOKUP(C20,'Train Runs'!$A$13:$AE$10142,31,0)</f>
        <v>aws s3 cp s3://rtdc.mdm.uploadarchive.raw/RTDC4058/ "%USERPROFILE%\AppData\Local\Temp\OnboardLogs"\RTDC4058\2017-11-12 --exclude "*" --recursive --include "*20171112*" &amp; "%USERPROFILE%\Documents\GitHub\mrs-test-scripts\Headless Mode &amp; Sideloading\WalkAndUnGZ.bat" "%USERPROFILE%\AppData\Local\Temp\OnboardLogs"\RTDC4058\2017-11-12 &amp; aws s3 cp s3://rtdc.mdm.uploadarchive.raw/RTDC4058/ "%USERPROFILE%\AppData\Local\Temp\OnboardLogs"\RTDC4058\2017-11-13 --exclude "*" --recursive --include "*20171113*" &amp; "%USERPROFILE%\Documents\GitHub\mrs-test-scripts\Headless Mode &amp; Sideloading\WalkAndUnGZ.bat" "%USERPROFILE%\AppData\Local\Temp\OnboardLogs"\RTDC4058\2017-11-13</v>
      </c>
      <c r="S20" s="84" t="str">
        <f>VLOOKUP(C20,'Train Runs'!$A$13:$AE$10142,22,0)</f>
        <v>https://d0f6bd738d7f1b3e5a7ca70fe4ff75f0.us-east-1.aws.found.io/app/kibana#/discover/Steve-Slow-Train-Analysis-(2080s-and-2083s)?_g=(refreshInterval:(display:Off,pause:!f,section:0,value:0),time:(from:'2017-11-11T22:59:15-0700',mode:absolute,to:'2017-11-12T01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6" t="str">
        <f t="shared" si="1"/>
        <v>"C:\Program Files (x86)\AstroGrep\AstroGrep.exe" /e /r /s /spath="%USERPROFILE%\AppData\Local\Temp\OnboardLogs" /stypes="*4058*201711120*" /stext=" 06:.+((SYSTEM_STATE.+slice.+state.+changed )|(ment ac)|(multiple cpu faults)|(system.+state.+changed )|(\[timeout)|(PRM\|1\|D)|(kpr)|(kdp)|(train st.+moving)|(\|lc)|(penalty))"</v>
      </c>
      <c r="U20" s="9" t="str">
        <f t="shared" si="2"/>
        <v>4058</v>
      </c>
      <c r="V20" s="31">
        <f t="shared" si="3"/>
        <v>43051.277175925927</v>
      </c>
      <c r="W20" s="45" t="str">
        <f t="shared" si="4"/>
        <v>EC</v>
      </c>
      <c r="X20" s="22">
        <f t="shared" si="5"/>
        <v>239</v>
      </c>
      <c r="Y20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drop","project_id":79,"tracker_id":40,"status_id":1,"priority_id":2,"assigned_to_id":338,"start_date":"2017-11-11","description":"","custom_fields":[{"id":1,"name":"Subdivision","value":"EC"},{"id":4,"name":"Milepost","value":"3.6645"},{"id":17,"name":"Train ID","value":"239-11"},{"id":16,"name":"Locomotive ID","value":"4058"},{"id":130,"name":"Impact","value":""},{"id":150,"name":"Time of Event (Mountain Time)","value":"23:39:08"},{"id":151,"name":"Denver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/c/Users/stu/AppData/Local/Temp/OnboardLogs/RTDC4058 --include="*4058*201711120*"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"%USERPROFILE%\AppData\Local\Temp\OnboardLogs"\RTDC4058\*4058*201711120* &gt;&gt; 2017-11-11-SliceDisagreementCheck.txt</v>
      </c>
      <c r="AE20" s="145" t="str">
        <f t="shared" si="9"/>
        <v>start /low /b %USERPROFILE%\Documents\GitHub\eaglep3\Utilities\DownloadLogsFromS3.py --loco 4058 --day 2017-11-12</v>
      </c>
      <c r="AF20" s="1"/>
    </row>
    <row r="21" spans="1:32" x14ac:dyDescent="0.25">
      <c r="A21" s="31">
        <v>43050.334004629629</v>
      </c>
      <c r="B21" s="30" t="s">
        <v>663</v>
      </c>
      <c r="C21" s="30" t="s">
        <v>669</v>
      </c>
      <c r="D21" s="30" t="s">
        <v>49</v>
      </c>
      <c r="E21" s="30" t="s">
        <v>355</v>
      </c>
      <c r="F21" s="42">
        <v>0</v>
      </c>
      <c r="G21" s="42">
        <v>787</v>
      </c>
      <c r="H21" s="42">
        <v>97429</v>
      </c>
      <c r="I21" s="42">
        <v>93317</v>
      </c>
      <c r="J21" s="30" t="s">
        <v>356</v>
      </c>
      <c r="K21" s="42">
        <v>95986</v>
      </c>
      <c r="L21" s="131" t="s">
        <v>51</v>
      </c>
      <c r="M21" s="132">
        <f t="shared" si="0"/>
        <v>-1409.2320000000002</v>
      </c>
      <c r="N21" s="133" t="str">
        <f>VLOOKUP(C21,'Trips&amp;Operators'!$C$1:$G$99911,5,FALSE)</f>
        <v>THOMPSON LESTER</v>
      </c>
      <c r="O21" s="176" t="s">
        <v>349</v>
      </c>
      <c r="P21" s="134" t="s">
        <v>656</v>
      </c>
      <c r="Q21" s="30"/>
      <c r="R21" s="81" t="str">
        <f>VLOOKUP(C21,'Train Runs'!$A$13:$AE$10142,31,0)</f>
        <v>aws s3 cp s3://rtdc.mdm.uploadarchive.raw/RTDC4043/ "%USERPROFILE%\AppData\Local\Temp\OnboardLogs"\RTDC4043\2017-11-11 --exclude "*" --recursive --include "*20171111*" &amp; "%USERPROFILE%\Documents\GitHub\mrs-test-scripts\Headless Mode &amp; Sideloading\WalkAndUnGZ.bat" "%USERPROFILE%\AppData\Local\Temp\OnboardLogs"\RTDC4043\2017-11-11 &amp; aws s3 cp s3://rtdc.mdm.uploadarchive.raw/RTDC4043/ "%USERPROFILE%\AppData\Local\Temp\OnboardLogs"\RTDC4043\2017-11-12 --exclude "*" --recursive --include "*20171112*" &amp; "%USERPROFILE%\Documents\GitHub\mrs-test-scripts\Headless Mode &amp; Sideloading\WalkAndUnGZ.bat" "%USERPROFILE%\AppData\Local\Temp\OnboardLogs"\RTDC4043\2017-11-12</v>
      </c>
      <c r="S21" s="84" t="str">
        <f>VLOOKUP(C21,'Train Runs'!$A$13:$AE$10142,22,0)</f>
        <v>https://d0f6bd738d7f1b3e5a7ca70fe4ff75f0.us-east-1.aws.found.io/app/kibana#/discover/Steve-Slow-Train-Analysis-(2080s-and-2083s)?_g=(refreshInterval:(display:Off,pause:!f,section:0,value:0),time:(from:'2017-11-11T06:38:04-0700',mode:absolute,to:'2017-11-11T09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86" t="str">
        <f t="shared" si="1"/>
        <v>"C:\Program Files (x86)\AstroGrep\AstroGrep.exe" /e /r /s /spath="%USERPROFILE%\AppData\Local\Temp\OnboardLogs" /stypes="*4043*201711111*"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4043</v>
      </c>
      <c r="V21" s="31">
        <f t="shared" si="3"/>
        <v>43050.625671296293</v>
      </c>
      <c r="W21" s="45" t="str">
        <f t="shared" si="4"/>
        <v>EC</v>
      </c>
      <c r="X21" s="22">
        <f t="shared" si="5"/>
        <v>126</v>
      </c>
      <c r="Y21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drop","project_id":79,"tracker_id":40,"status_id":1,"priority_id":2,"assigned_to_id":338,"start_date":"2017-11-11","description":"","custom_fields":[{"id":1,"name":"Subdivision","value":"EC"},{"id":4,"name":"Milepost","value":"9.5986"},{"id":17,"name":"Train ID","value":"126-11"},{"id":16,"name":"Locomotive ID","value":"4043"},{"id":130,"name":"Impact","value":""},{"id":150,"name":"Time of Event (Mountain Time)","value":"08:00:58"},{"id":151,"name":"Denver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/c/Users/stu/AppData/Local/Temp/OnboardLogs/RTDC4043 --include="*4043*201711111*"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"%USERPROFILE%\AppData\Local\Temp\OnboardLogs"\RTDC4043\*4043*201711111* &gt;&gt; 2017-11-11-SliceDisagreementCheck.txt</v>
      </c>
      <c r="AE21" s="145" t="str">
        <f t="shared" si="9"/>
        <v>start /low /b %USERPROFILE%\Documents\GitHub\eaglep3\Utilities\DownloadLogsFromS3.py --loco 4043 --day 2017-11-11</v>
      </c>
      <c r="AF21" s="1"/>
    </row>
    <row r="22" spans="1:32" x14ac:dyDescent="0.25">
      <c r="A22" s="31">
        <v>43050.300798611112</v>
      </c>
      <c r="B22" s="30" t="s">
        <v>454</v>
      </c>
      <c r="C22" s="30" t="s">
        <v>668</v>
      </c>
      <c r="D22" s="30" t="s">
        <v>49</v>
      </c>
      <c r="E22" s="30" t="s">
        <v>355</v>
      </c>
      <c r="F22" s="42">
        <v>0</v>
      </c>
      <c r="G22" s="42">
        <v>423</v>
      </c>
      <c r="H22" s="42">
        <v>113679</v>
      </c>
      <c r="I22" s="42">
        <v>112386</v>
      </c>
      <c r="J22" s="30" t="s">
        <v>356</v>
      </c>
      <c r="K22" s="42">
        <v>110714</v>
      </c>
      <c r="L22" s="131" t="s">
        <v>51</v>
      </c>
      <c r="M22" s="132">
        <f t="shared" si="0"/>
        <v>882.81600000000003</v>
      </c>
      <c r="N22" s="133" t="str">
        <f>VLOOKUP(C22,'Trips&amp;Operators'!$C$1:$G$99911,5,FALSE)</f>
        <v>PAGE MARCUS</v>
      </c>
      <c r="O22" s="176" t="s">
        <v>349</v>
      </c>
      <c r="P22" s="134" t="s">
        <v>656</v>
      </c>
      <c r="Q22" s="30"/>
      <c r="R22" s="81" t="str">
        <f>VLOOKUP(C22,'Train Runs'!$A$13:$AE$10142,31,0)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S22" s="84" t="str">
        <f>VLOOKUP(C22,'Train Runs'!$A$13:$AE$10142,22,0)</f>
        <v>https://d0f6bd738d7f1b3e5a7ca70fe4ff75f0.us-east-1.aws.found.io/app/kibana#/discover/Steve-Slow-Train-Analysis-(2080s-and-2083s)?_g=(refreshInterval:(display:Off,pause:!f,section:0,value:0),time:(from:'2017-11-11T05:47:09-0700',mode:absolute,to:'2017-11-11T08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6" t="str">
        <f t="shared" si="1"/>
        <v>"C:\Program Files (x86)\AstroGrep\AstroGrep.exe" /e /r /s /spath="%USERPROFILE%\AppData\Local\Temp\OnboardLogs" /stypes="*4009*201711111*"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43050.592465277776</v>
      </c>
      <c r="W22" s="45" t="str">
        <f t="shared" si="4"/>
        <v>EC</v>
      </c>
      <c r="X22" s="22">
        <f t="shared" si="5"/>
        <v>120</v>
      </c>
      <c r="Y22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drop","project_id":79,"tracker_id":40,"status_id":1,"priority_id":2,"assigned_to_id":338,"start_date":"2017-11-11","description":"","custom_fields":[{"id":1,"name":"Subdivision","value":"EC"},{"id":4,"name":"Milepost","value":"11.0714"},{"id":17,"name":"Train ID","value":"120-11"},{"id":16,"name":"Locomotive ID","value":"4009"},{"id":130,"name":"Impact","value":""},{"id":150,"name":"Time of Event (Mountain Time)","value":"07:13:09"},{"id":151,"name":"Denver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/c/Users/stu/AppData/Local/Temp/OnboardLogs/RTDC4009 --include="*4009*201711111*"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"%USERPROFILE%\AppData\Local\Temp\OnboardLogs"\RTDC4009\*4009*201711111* &gt;&gt; 2017-11-11-SliceDisagreementCheck.txt</v>
      </c>
      <c r="AE22" s="145" t="str">
        <f t="shared" si="9"/>
        <v>start /low /b %USERPROFILE%\Documents\GitHub\eaglep3\Utilities\DownloadLogsFromS3.py --loco 4009 --day 2017-11-11</v>
      </c>
      <c r="AF22" s="1"/>
    </row>
    <row r="23" spans="1:32" x14ac:dyDescent="0.25">
      <c r="A23" s="31">
        <v>43050.301562499997</v>
      </c>
      <c r="B23" s="30" t="s">
        <v>454</v>
      </c>
      <c r="C23" s="30" t="s">
        <v>668</v>
      </c>
      <c r="D23" s="30" t="s">
        <v>49</v>
      </c>
      <c r="E23" s="30" t="s">
        <v>355</v>
      </c>
      <c r="F23" s="42">
        <v>0</v>
      </c>
      <c r="G23" s="42">
        <v>377</v>
      </c>
      <c r="H23" s="42">
        <v>110883</v>
      </c>
      <c r="I23" s="42">
        <v>109658</v>
      </c>
      <c r="J23" s="30" t="s">
        <v>356</v>
      </c>
      <c r="K23" s="42">
        <v>110714</v>
      </c>
      <c r="L23" s="131" t="s">
        <v>51</v>
      </c>
      <c r="M23" s="132">
        <f t="shared" si="0"/>
        <v>-557.56799999999998</v>
      </c>
      <c r="N23" s="133" t="str">
        <f>VLOOKUP(C23,'Trips&amp;Operators'!$C$1:$G$99911,5,FALSE)</f>
        <v>PAGE MARCUS</v>
      </c>
      <c r="O23" s="176" t="s">
        <v>349</v>
      </c>
      <c r="P23" s="134" t="s">
        <v>656</v>
      </c>
      <c r="Q23" s="30"/>
      <c r="R23" s="81" t="str">
        <f>VLOOKUP(C23,'Train Runs'!$A$13:$AE$10142,31,0)</f>
        <v>aws s3 cp s3://rtdc.mdm.uploadarchive.raw/RTDC4009/ "%USERPROFILE%\AppData\Local\Temp\OnboardLogs"\RTDC4009\2017-11-11 --exclude "*" --recursive --include "*20171111*" &amp; "%USERPROFILE%\Documents\GitHub\mrs-test-scripts\Headless Mode &amp; Sideloading\WalkAndUnGZ.bat" "%USERPROFILE%\AppData\Local\Temp\OnboardLogs"\RTDC4009\2017-11-11 &amp; aws s3 cp s3://rtdc.mdm.uploadarchive.raw/RTDC4009/ "%USERPROFILE%\AppData\Local\Temp\OnboardLogs"\RTDC4009\2017-11-12 --exclude "*" --recursive --include "*20171112*" &amp; "%USERPROFILE%\Documents\GitHub\mrs-test-scripts\Headless Mode &amp; Sideloading\WalkAndUnGZ.bat" "%USERPROFILE%\AppData\Local\Temp\OnboardLogs"\RTDC4009\2017-11-12</v>
      </c>
      <c r="S23" s="84" t="str">
        <f>VLOOKUP(C23,'Train Runs'!$A$13:$AE$10142,22,0)</f>
        <v>https://d0f6bd738d7f1b3e5a7ca70fe4ff75f0.us-east-1.aws.found.io/app/kibana#/discover/Steve-Slow-Train-Analysis-(2080s-and-2083s)?_g=(refreshInterval:(display:Off,pause:!f,section:0,value:0),time:(from:'2017-11-11T05:47:09-0700',mode:absolute,to:'2017-11-11T08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3" s="86" t="str">
        <f t="shared" si="1"/>
        <v>"C:\Program Files (x86)\AstroGrep\AstroGrep.exe" /e /r /s /spath="%USERPROFILE%\AppData\Local\Temp\OnboardLogs" /stypes="*4009*201711111*"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4009</v>
      </c>
      <c r="V23" s="31">
        <f t="shared" si="3"/>
        <v>43050.593229166661</v>
      </c>
      <c r="W23" s="45" t="str">
        <f t="shared" si="4"/>
        <v>EC</v>
      </c>
      <c r="X23" s="22">
        <f t="shared" si="5"/>
        <v>120</v>
      </c>
      <c r="Y23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drop","project_id":79,"tracker_id":40,"status_id":1,"priority_id":2,"assigned_to_id":338,"start_date":"2017-11-11","description":"","custom_fields":[{"id":1,"name":"Subdivision","value":"EC"},{"id":4,"name":"Milepost","value":"11.0714"},{"id":17,"name":"Train ID","value":"120-11"},{"id":16,"name":"Locomotive ID","value":"4009"},{"id":130,"name":"Impact","value":""},{"id":150,"name":"Time of Event (Mountain Time)","value":"07:14:15"},{"id":151,"name":"Denver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/c/Users/stu/AppData/Local/Temp/OnboardLogs/RTDC4009 --include="*4009*201711111*"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"%USERPROFILE%\AppData\Local\Temp\OnboardLogs"\RTDC4009\*4009*201711111* &gt;&gt; 2017-11-11-SliceDisagreementCheck.txt</v>
      </c>
      <c r="AE23" s="145" t="str">
        <f t="shared" si="9"/>
        <v>start /low /b %USERPROFILE%\Documents\GitHub\eaglep3\Utilities\DownloadLogsFromS3.py --loco 4009 --day 2017-11-11</v>
      </c>
      <c r="AF23" s="1"/>
    </row>
    <row r="24" spans="1:32" x14ac:dyDescent="0.25">
      <c r="A24" s="31">
        <v>43050.95548611111</v>
      </c>
      <c r="B24" s="30" t="s">
        <v>385</v>
      </c>
      <c r="C24" s="30" t="s">
        <v>692</v>
      </c>
      <c r="D24" s="30" t="s">
        <v>95</v>
      </c>
      <c r="E24" s="30" t="s">
        <v>355</v>
      </c>
      <c r="F24" s="42">
        <v>200</v>
      </c>
      <c r="G24" s="42">
        <v>266</v>
      </c>
      <c r="H24" s="42">
        <v>128891</v>
      </c>
      <c r="I24" s="42">
        <v>129580</v>
      </c>
      <c r="J24" s="30" t="s">
        <v>356</v>
      </c>
      <c r="K24" s="42">
        <v>126585</v>
      </c>
      <c r="L24" s="131" t="s">
        <v>50</v>
      </c>
      <c r="M24" s="132">
        <f t="shared" si="0"/>
        <v>-1581.36</v>
      </c>
      <c r="N24" s="133" t="str">
        <f>VLOOKUP(C24,'Trips&amp;Operators'!$C$1:$G$99911,5,FALSE)</f>
        <v>NICHOLSON WESLEY</v>
      </c>
      <c r="O24" s="176" t="s">
        <v>178</v>
      </c>
      <c r="P24" s="134" t="s">
        <v>1096</v>
      </c>
      <c r="Q24" s="30"/>
      <c r="R24" s="81" t="str">
        <f>VLOOKUP(C24,'Train Runs'!$A$13:$AE$10142,31,0)</f>
        <v>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 &amp; aws s3 cp s3://rtdc.mdm.uploadarchive.raw/RTDC4022/ "%USERPROFILE%\AppData\Local\Temp\OnboardLogs"\RTDC4022\2017-11-12 --exclude "*" --recursive --include "*20171112*" &amp; "%USERPROFILE%\Documents\GitHub\mrs-test-scripts\Headless Mode &amp; Sideloading\WalkAndUnGZ.bat" "%USERPROFILE%\AppData\Local\Temp\OnboardLogs"\RTDC4022\2017-11-12</v>
      </c>
      <c r="S24" s="84" t="str">
        <f>VLOOKUP(C24,'Train Runs'!$A$13:$AE$10142,22,0)</f>
        <v>https://d0f6bd738d7f1b3e5a7ca70fe4ff75f0.us-east-1.aws.found.io/app/kibana#/discover/Steve-Slow-Train-Analysis-(2080s-and-2083s)?_g=(refreshInterval:(display:Off,pause:!f,section:0,value:0),time:(from:'2017-11-11T21:17:38-0700',mode:absolute,to:'2017-11-11T23:59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4" s="86" t="str">
        <f t="shared" si="1"/>
        <v>"C:\Program Files (x86)\AstroGrep\AstroGrep.exe" /e /r /s /spath="%USERPROFILE%\AppData\Local\Temp\OnboardLogs" /stypes="*4022*201711120*"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4022</v>
      </c>
      <c r="V24" s="31">
        <f t="shared" si="3"/>
        <v>43051.247152777774</v>
      </c>
      <c r="W24" s="45" t="str">
        <f t="shared" si="4"/>
        <v>EC</v>
      </c>
      <c r="X24" s="22">
        <f t="shared" si="5"/>
        <v>235</v>
      </c>
      <c r="Y24" s="96" t="str">
        <f t="shared" si="6"/>
        <v>echo {"issue":{"subject":"Overspeed","project_id":79,"tracker_id":40,"status_id":1,"priority_id":2,"assigned_to_id":338,"start_date":"2017-11-11","description":"","custom_fields":[{"id":1,"name":"Subdivision","value":"EC"},{"id":4,"name":"Milepost","value":"12.6585"},{"id":17,"name":"Train ID","value":"235-11"},{"id":16,"name":"Locomotive ID","value":"4022"},{"id":130,"name":"Impact","value":""},{"id":150,"name":"Time of Event (Mountain Time)","value":"22:55:54"},{"id":151,"name":"Denver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/c/Users/stu/AppData/Local/Temp/OnboardLogs/RTDC4022 --include="*4022*201711120*"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"%USERPROFILE%\AppData\Local\Temp\OnboardLogs"\RTDC4022\*4022*201711120* &gt;&gt; 2017-11-11-SliceDisagreementCheck.txt</v>
      </c>
      <c r="AE24" s="145" t="str">
        <f t="shared" si="9"/>
        <v>start /low /b %USERPROFILE%\Documents\GitHub\eaglep3\Utilities\DownloadLogsFromS3.py --loco 4022 --day 2017-11-12</v>
      </c>
      <c r="AF24" s="1"/>
    </row>
    <row r="25" spans="1:32" x14ac:dyDescent="0.25">
      <c r="A25" s="31">
        <v>43050.526087962964</v>
      </c>
      <c r="B25" s="30" t="s">
        <v>675</v>
      </c>
      <c r="C25" s="30" t="s">
        <v>676</v>
      </c>
      <c r="D25" s="30" t="s">
        <v>49</v>
      </c>
      <c r="E25" s="30" t="s">
        <v>571</v>
      </c>
      <c r="F25" s="42">
        <v>0</v>
      </c>
      <c r="G25" s="42">
        <v>515</v>
      </c>
      <c r="H25" s="42">
        <v>123982</v>
      </c>
      <c r="I25" s="42">
        <v>125936</v>
      </c>
      <c r="J25" s="30" t="s">
        <v>572</v>
      </c>
      <c r="K25" s="42">
        <v>126678</v>
      </c>
      <c r="L25" s="131" t="s">
        <v>50</v>
      </c>
      <c r="M25" s="132">
        <f t="shared" si="0"/>
        <v>391.77600000000001</v>
      </c>
      <c r="N25" s="133" t="str">
        <f>VLOOKUP(C25,'Trips&amp;Operators'!$C$1:$G$99911,5,FALSE)</f>
        <v>BERLING GARY</v>
      </c>
      <c r="O25" s="176" t="s">
        <v>349</v>
      </c>
      <c r="P25" s="134" t="s">
        <v>656</v>
      </c>
      <c r="Q25" s="30"/>
      <c r="R25" s="81" t="str">
        <f>VLOOKUP(C25,'Train Runs'!$A$13:$AE$10142,31,0)</f>
        <v>aws s3 cp s3://rtdc.mdm.uploadarchive.raw/RTDC4066/ "%USERPROFILE%\AppData\Local\Temp\OnboardLogs"\RTDC4066\2017-11-11 --exclude "*" --recursive --include "*20171111*" &amp; "%USERPROFILE%\Documents\GitHub\mrs-test-scripts\Headless Mode &amp; Sideloading\WalkAndUnGZ.bat" "%USERPROFILE%\AppData\Local\Temp\OnboardLogs"\RTDC4066\2017-11-11 &amp; aws s3 cp s3://rtdc.mdm.uploadarchive.raw/RTDC4066/ "%USERPROFILE%\AppData\Local\Temp\OnboardLogs"\RTDC4066\2017-11-12 --exclude "*" --recursive --include "*20171112*" &amp; "%USERPROFILE%\Documents\GitHub\mrs-test-scripts\Headless Mode &amp; Sideloading\WalkAndUnGZ.bat" "%USERPROFILE%\AppData\Local\Temp\OnboardLogs"\RTDC4066\2017-11-12</v>
      </c>
      <c r="S25" s="84" t="str">
        <f>VLOOKUP(C25,'Train Runs'!$A$13:$AE$10142,22,0)</f>
        <v>https://d0f6bd738d7f1b3e5a7ca70fe4ff75f0.us-east-1.aws.found.io/app/kibana#/discover/Steve-Slow-Train-Analysis-(2080s-and-2083s)?_g=(refreshInterval:(display:Off,pause:!f,section:0,value:0),time:(from:'2017-11-11T11:08:45-0700',mode:absolute,to:'2017-11-11T13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5" s="86" t="str">
        <f t="shared" si="1"/>
        <v>"C:\Program Files (x86)\AstroGrep\AstroGrep.exe" /e /r /s /spath="%USERPROFILE%\AppData\Local\Temp\OnboardLogs" /stypes="*4066*201711111*"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4066</v>
      </c>
      <c r="V25" s="31">
        <f t="shared" si="3"/>
        <v>43050.817754629628</v>
      </c>
      <c r="W25" s="45" t="str">
        <f t="shared" si="4"/>
        <v>EC</v>
      </c>
      <c r="X25" s="22">
        <f t="shared" si="5"/>
        <v>169</v>
      </c>
      <c r="Y25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drop","project_id":79,"tracker_id":40,"status_id":1,"priority_id":2,"assigned_to_id":338,"start_date":"2017-11-11","description":"","custom_fields":[{"id":1,"name":"Subdivision","value":"EC"},{"id":4,"name":"Milepost","value":"12.6678"},{"id":17,"name":"Train ID","value":"169-11"},{"id":16,"name":"Locomotive ID","value":"4066"},{"id":130,"name":"Impact","value":""},{"id":150,"name":"Time of Event (Mountain Time)","value":"12:37:34"},{"id":151,"name":"Denver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/c/Users/stu/AppData/Local/Temp/OnboardLogs/RTDC4066 --include="*4066*201711111*"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"%USERPROFILE%\AppData\Local\Temp\OnboardLogs"\RTDC4066\*4066*201711111* &gt;&gt; 2017-11-11-SliceDisagreementCheck.txt</v>
      </c>
      <c r="AE25" s="145" t="str">
        <f t="shared" si="9"/>
        <v>start /low /b %USERPROFILE%\Documents\GitHub\eaglep3\Utilities\DownloadLogsFromS3.py --loco 4066 --day 2017-11-11</v>
      </c>
      <c r="AF25" s="1"/>
    </row>
    <row r="26" spans="1:32" x14ac:dyDescent="0.25">
      <c r="A26" s="31">
        <v>43050.504293981481</v>
      </c>
      <c r="B26" s="30" t="s">
        <v>537</v>
      </c>
      <c r="C26" s="30" t="s">
        <v>674</v>
      </c>
      <c r="D26" s="30" t="s">
        <v>49</v>
      </c>
      <c r="E26" s="30" t="s">
        <v>571</v>
      </c>
      <c r="F26" s="42">
        <v>0</v>
      </c>
      <c r="G26" s="42">
        <v>457</v>
      </c>
      <c r="H26" s="42">
        <v>158077</v>
      </c>
      <c r="I26" s="42">
        <v>0</v>
      </c>
      <c r="J26" s="30" t="s">
        <v>572</v>
      </c>
      <c r="K26" s="42">
        <v>156300</v>
      </c>
      <c r="L26" s="131" t="s">
        <v>51</v>
      </c>
      <c r="M26" s="132">
        <f t="shared" si="0"/>
        <v>-82526.399999999994</v>
      </c>
      <c r="N26" s="133" t="str">
        <f>VLOOKUP(C26,'Trips&amp;Operators'!$C$1:$G$99911,5,FALSE)</f>
        <v>WILLIAMS DONTE</v>
      </c>
      <c r="O26" s="176" t="s">
        <v>349</v>
      </c>
      <c r="P26" s="134" t="s">
        <v>656</v>
      </c>
      <c r="Q26" s="30"/>
      <c r="R26" s="81" t="str">
        <f>VLOOKUP(C26,'Train Runs'!$A$13:$AE$10142,31,0)</f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S26" s="84" t="str">
        <f>VLOOKUP(C26,'Train Runs'!$A$13:$AE$10142,22,0)</f>
        <v>https://d0f6bd738d7f1b3e5a7ca70fe4ff75f0.us-east-1.aws.found.io/app/kibana#/discover/Steve-Slow-Train-Analysis-(2080s-and-2083s)?_g=(refreshInterval:(display:Off,pause:!f,section:0,value:0),time:(from:'2017-11-11T10:49:19-0700',mode:absolute,to:'2017-11-11T13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 t="shared" si="1"/>
        <v>"C:\Program Files (x86)\AstroGrep\AstroGrep.exe" /e /r /s /spath="%USERPROFILE%\AppData\Local\Temp\OnboardLogs" /stypes="*4025*201711111*"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4025</v>
      </c>
      <c r="V26" s="31">
        <f t="shared" si="3"/>
        <v>43050.795960648145</v>
      </c>
      <c r="W26" s="45" t="str">
        <f t="shared" si="4"/>
        <v>EC</v>
      </c>
      <c r="X26" s="22">
        <f t="shared" si="5"/>
        <v>160</v>
      </c>
      <c r="Y26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drop","project_id":79,"tracker_id":40,"status_id":1,"priority_id":2,"assigned_to_id":338,"start_date":"2017-11-11","description":"","custom_fields":[{"id":1,"name":"Subdivision","value":"EC"},{"id":4,"name":"Milepost","value":"15.63"},{"id":17,"name":"Train ID","value":"160-11"},{"id":16,"name":"Locomotive ID","value":"4025"},{"id":130,"name":"Impact","value":""},{"id":150,"name":"Time of Event (Mountain Time)","value":"12:06:11"},{"id":151,"name":"Denver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/c/Users/stu/AppData/Local/Temp/OnboardLogs/RTDC4025 --include="*4025*201711111*"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"%USERPROFILE%\AppData\Local\Temp\OnboardLogs"\RTDC4025\*4025*201711111* &gt;&gt; 2017-11-11-SliceDisagreementCheck.txt</v>
      </c>
      <c r="AE26" s="145" t="str">
        <f t="shared" si="9"/>
        <v>start /low /b %USERPROFILE%\Documents\GitHub\eaglep3\Utilities\DownloadLogsFromS3.py --loco 4025 --day 2017-11-11</v>
      </c>
      <c r="AF26" s="1"/>
    </row>
    <row r="27" spans="1:32" x14ac:dyDescent="0.25">
      <c r="A27" s="31">
        <v>43050.261331018519</v>
      </c>
      <c r="B27" s="30" t="s">
        <v>661</v>
      </c>
      <c r="C27" s="30" t="s">
        <v>662</v>
      </c>
      <c r="D27" s="30" t="s">
        <v>49</v>
      </c>
      <c r="E27" s="30" t="s">
        <v>190</v>
      </c>
      <c r="F27" s="42">
        <v>400</v>
      </c>
      <c r="G27" s="42">
        <v>466</v>
      </c>
      <c r="H27" s="42">
        <v>35312</v>
      </c>
      <c r="I27" s="42">
        <v>37063</v>
      </c>
      <c r="J27" s="30" t="s">
        <v>191</v>
      </c>
      <c r="K27" s="42">
        <v>38172</v>
      </c>
      <c r="L27" s="131" t="s">
        <v>50</v>
      </c>
      <c r="M27" s="132">
        <f t="shared" si="0"/>
        <v>585.55200000000002</v>
      </c>
      <c r="N27" s="133" t="str">
        <f>VLOOKUP(C27,'Trips&amp;Operators'!$C$1:$G$99911,5,FALSE)</f>
        <v>LAMAR NEKESHA</v>
      </c>
      <c r="O27" s="176" t="s">
        <v>178</v>
      </c>
      <c r="P27" s="134"/>
      <c r="Q27" s="30"/>
      <c r="R27" s="81" t="str">
        <f>VLOOKUP(C27,'Train Runs'!$A$13:$AE$10142,31,0)</f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S27" s="84" t="str">
        <f>VLOOKUP(C27,'Train Runs'!$A$13:$AE$10142,22,0)</f>
        <v>https://d0f6bd738d7f1b3e5a7ca70fe4ff75f0.us-east-1.aws.found.io/app/kibana#/discover/Steve-Slow-Train-Analysis-(2080s-and-2083s)?_g=(refreshInterval:(display:Off,pause:!f,section:0,value:0),time:(from:'2017-11-11T05:05:56-0700',mode:absolute,to:'2017-11-11T07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6" t="str">
        <f t="shared" si="1"/>
        <v>"C:\Program Files (x86)\AstroGrep\AstroGrep.exe" /e /r /s /spath="%USERPROFILE%\AppData\Local\Temp\OnboardLogs" /stypes="*4006*201711111*"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4006</v>
      </c>
      <c r="V27" s="31">
        <f t="shared" si="3"/>
        <v>43050.552997685183</v>
      </c>
      <c r="W27" s="45" t="str">
        <f t="shared" si="4"/>
        <v>NW</v>
      </c>
      <c r="X27" s="22">
        <f t="shared" si="5"/>
        <v>1801</v>
      </c>
      <c r="Y27" s="96" t="str">
        <f t="shared" si="6"/>
        <v>echo {"issue":{"subject":"","project_id":79,"tracker_id":40,"status_id":1,"priority_id":2,"assigned_to_id":338,"start_date":"2017-11-11","description":"","custom_fields":[{"id":1,"name":"Subdivision","value":"NW"},{"id":4,"name":"Milepost","value":"3.8172"},{"id":17,"name":"Train ID","value":"1801-11"},{"id":16,"name":"Locomotive ID","value":"4006"},{"id":130,"name":"Impact","value":""},{"id":150,"name":"Time of Event (Mountain Time)","value":"06:16:19"},{"id":151,"name":"Denver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/c/Users/stu/AppData/Local/Temp/OnboardLogs/RTDC4006 --include="*4006*201711111*"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"%USERPROFILE%\AppData\Local\Temp\OnboardLogs"\RTDC4006\*4006*201711111* &gt;&gt; 2017-11-11-SliceDisagreementCheck.txt</v>
      </c>
      <c r="AE27" s="145" t="str">
        <f t="shared" si="9"/>
        <v>start /low /b %USERPROFILE%\Documents\GitHub\eaglep3\Utilities\DownloadLogsFromS3.py --loco 4006 --day 2017-11-11</v>
      </c>
      <c r="AF27" s="1"/>
    </row>
    <row r="28" spans="1:32" x14ac:dyDescent="0.25">
      <c r="A28" s="31">
        <v>43050.298900462964</v>
      </c>
      <c r="B28" s="30" t="s">
        <v>661</v>
      </c>
      <c r="C28" s="30" t="s">
        <v>667</v>
      </c>
      <c r="D28" s="30" t="s">
        <v>95</v>
      </c>
      <c r="E28" s="30" t="s">
        <v>355</v>
      </c>
      <c r="F28" s="42">
        <v>0</v>
      </c>
      <c r="G28" s="42">
        <v>42</v>
      </c>
      <c r="H28" s="42">
        <v>1882</v>
      </c>
      <c r="I28" s="42">
        <v>1905</v>
      </c>
      <c r="J28" s="30" t="s">
        <v>356</v>
      </c>
      <c r="K28" s="42">
        <v>1725</v>
      </c>
      <c r="L28" s="131" t="s">
        <v>50</v>
      </c>
      <c r="M28" s="132">
        <f t="shared" si="0"/>
        <v>-95.04</v>
      </c>
      <c r="N28" s="133" t="str">
        <f>VLOOKUP(C28,'Trips&amp;Operators'!$C$1:$G$99911,5,FALSE)</f>
        <v>LAMAR NEKESHA</v>
      </c>
      <c r="O28" s="176" t="s">
        <v>349</v>
      </c>
      <c r="P28" s="134" t="s">
        <v>655</v>
      </c>
      <c r="Q28" s="30"/>
      <c r="R28" s="81" t="str">
        <f>VLOOKUP(C28,'Train Runs'!$A$13:$AE$10142,31,0)</f>
        <v>aws s3 cp s3://rtdc.mdm.uploadarchive.raw/RTDC4006/ "%USERPROFILE%\AppData\Local\Temp\OnboardLogs"\RTDC4006\2017-11-11 --exclude "*" --recursive --include "*20171111*" &amp; "%USERPROFILE%\Documents\GitHub\mrs-test-scripts\Headless Mode &amp; Sideloading\WalkAndUnGZ.bat" "%USERPROFILE%\AppData\Local\Temp\OnboardLogs"\RTDC4006\2017-11-11 &amp; 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</v>
      </c>
      <c r="S28" s="84" t="str">
        <f>VLOOKUP(C28,'Train Runs'!$A$13:$AE$10142,22,0)</f>
        <v>https://d0f6bd738d7f1b3e5a7ca70fe4ff75f0.us-east-1.aws.found.io/app/kibana#/discover/Steve-Slow-Train-Analysis-(2080s-and-2083s)?_g=(refreshInterval:(display:Off,pause:!f,section:0,value:0),time:(from:'2017-11-11T06:08:15-0700',mode:absolute,to:'2017-11-11T08:10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6" t="str">
        <f t="shared" si="1"/>
        <v>"C:\Program Files (x86)\AstroGrep\AstroGrep.exe" /e /r /s /spath="%USERPROFILE%\AppData\Local\Temp\OnboardLogs" /stypes="*4006*201711111*"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4006</v>
      </c>
      <c r="V28" s="31">
        <f t="shared" si="3"/>
        <v>43050.590567129628</v>
      </c>
      <c r="W28" s="45" t="str">
        <f t="shared" si="4"/>
        <v>NW</v>
      </c>
      <c r="X28" s="22">
        <f t="shared" si="5"/>
        <v>1803</v>
      </c>
      <c r="Y28" s="96" t="str">
        <f t="shared" si="6"/>
        <v>echo {"issue":{"subject":"Poor GPS at DUS","project_id":79,"tracker_id":40,"status_id":1,"priority_id":2,"assigned_to_id":338,"start_date":"2017-11-11","description":"","custom_fields":[{"id":1,"name":"Subdivision","value":"NW"},{"id":4,"name":"Milepost","value":"0.1725"},{"id":17,"name":"Train ID","value":"1803-11"},{"id":16,"name":"Locomotive ID","value":"4006"},{"id":130,"name":"Impact","value":""},{"id":150,"name":"Time of Event (Mountain Time)","value":"07:10:25"},{"id":151,"name":"Denver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/c/Users/stu/AppData/Local/Temp/OnboardLogs/RTDC4006 --include="*4006*201711111*"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"%USERPROFILE%\AppData\Local\Temp\OnboardLogs"\RTDC4006\*4006*201711111* &gt;&gt; 2017-11-11-SliceDisagreementCheck.txt</v>
      </c>
      <c r="AE28" s="145" t="str">
        <f t="shared" si="9"/>
        <v>start /low /b %USERPROFILE%\Documents\GitHub\eaglep3\Utilities\DownloadLogsFromS3.py --loco 4006 --day 2017-11-11</v>
      </c>
      <c r="AF28" s="1"/>
    </row>
    <row r="29" spans="1:32" x14ac:dyDescent="0.25">
      <c r="A29" s="31">
        <v>43050.370381944442</v>
      </c>
      <c r="B29" s="30" t="s">
        <v>665</v>
      </c>
      <c r="C29" s="30" t="s">
        <v>670</v>
      </c>
      <c r="D29" s="30" t="s">
        <v>95</v>
      </c>
      <c r="E29" s="30" t="s">
        <v>355</v>
      </c>
      <c r="F29" s="42">
        <v>0</v>
      </c>
      <c r="G29" s="42">
        <v>72</v>
      </c>
      <c r="H29" s="42">
        <v>4783</v>
      </c>
      <c r="I29" s="42">
        <v>4662</v>
      </c>
      <c r="J29" s="30" t="s">
        <v>356</v>
      </c>
      <c r="K29" s="42">
        <v>4798</v>
      </c>
      <c r="L29" s="131" t="s">
        <v>51</v>
      </c>
      <c r="M29" s="132">
        <f t="shared" si="0"/>
        <v>-71.808000000000007</v>
      </c>
      <c r="N29" s="133" t="str">
        <f>VLOOKUP(C29,'Trips&amp;Operators'!$C$1:$G$99911,5,FALSE)</f>
        <v>LAMAR NEKESHA</v>
      </c>
      <c r="O29" s="176" t="s">
        <v>349</v>
      </c>
      <c r="P29" s="134" t="s">
        <v>1093</v>
      </c>
      <c r="Q29" s="30"/>
      <c r="R29" s="81" t="str">
        <f>VLOOKUP(C29,'Train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29" s="84" t="str">
        <f>VLOOKUP(C29,'Train Runs'!$A$13:$AE$10142,22,0)</f>
        <v>https://d0f6bd738d7f1b3e5a7ca70fe4ff75f0.us-east-1.aws.found.io/app/kibana#/discover/Steve-Slow-Train-Analysis-(2080s-and-2083s)?_g=(refreshInterval:(display:Off,pause:!f,section:0,value:0),time:(from:'2017-11-11T07:24:31-0700',mode:absolute,to:'2017-11-11T09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6" t="str">
        <f t="shared" si="1"/>
        <v>"C:\Program Files (x86)\AstroGrep\AstroGrep.exe" /e /r /s /spath="%USERPROFILE%\AppData\Local\Temp\OnboardLogs" /stypes="*4005*201711111*"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4005</v>
      </c>
      <c r="V29" s="31">
        <f t="shared" si="3"/>
        <v>43050.662048611106</v>
      </c>
      <c r="W29" s="45" t="str">
        <f t="shared" si="4"/>
        <v>NW</v>
      </c>
      <c r="X29" s="22">
        <f t="shared" si="5"/>
        <v>1806</v>
      </c>
      <c r="Y29" s="96" t="str">
        <f t="shared" si="6"/>
        <v>echo {"issue":{"subject":"Poor GPS under Wewatta St bridge","project_id":79,"tracker_id":40,"status_id":1,"priority_id":2,"assigned_to_id":338,"start_date":"2017-11-11","description":"","custom_fields":[{"id":1,"name":"Subdivision","value":"NW"},{"id":4,"name":"Milepost","value":"0.4798"},{"id":17,"name":"Train ID","value":"1806-11"},{"id":16,"name":"Locomotive ID","value":"4005"},{"id":130,"name":"Impact","value":""},{"id":150,"name":"Time of Event (Mountain Time)","value":"08:53:21"},{"id":151,"name":"Denver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/c/Users/stu/AppData/Local/Temp/OnboardLogs/RTDC4005 --include="*4005*201711111*"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"%USERPROFILE%\AppData\Local\Temp\OnboardLogs"\RTDC4005\*4005*201711111* &gt;&gt; 2017-11-11-SliceDisagreementCheck.txt</v>
      </c>
      <c r="AE29" s="145" t="str">
        <f t="shared" si="9"/>
        <v>start /low /b %USERPROFILE%\Documents\GitHub\eaglep3\Utilities\DownloadLogsFromS3.py --loco 4005 --day 2017-11-11</v>
      </c>
      <c r="AF29" s="1"/>
    </row>
    <row r="30" spans="1:32" x14ac:dyDescent="0.25">
      <c r="A30" s="31">
        <v>43050.536678240744</v>
      </c>
      <c r="B30" s="30" t="s">
        <v>665</v>
      </c>
      <c r="C30" s="30" t="s">
        <v>678</v>
      </c>
      <c r="D30" s="30" t="s">
        <v>95</v>
      </c>
      <c r="E30" s="30" t="s">
        <v>355</v>
      </c>
      <c r="F30" s="42">
        <v>0</v>
      </c>
      <c r="G30" s="42">
        <v>94</v>
      </c>
      <c r="H30" s="42">
        <v>4772</v>
      </c>
      <c r="I30" s="42">
        <v>4619</v>
      </c>
      <c r="J30" s="30" t="s">
        <v>356</v>
      </c>
      <c r="K30" s="42">
        <v>4798</v>
      </c>
      <c r="L30" s="131" t="s">
        <v>51</v>
      </c>
      <c r="M30" s="132">
        <f t="shared" si="0"/>
        <v>-94.512</v>
      </c>
      <c r="N30" s="133" t="str">
        <f>VLOOKUP(C30,'Trips&amp;Operators'!$C$1:$G$99911,5,FALSE)</f>
        <v>LAMAR NEKESHA</v>
      </c>
      <c r="O30" s="176" t="s">
        <v>349</v>
      </c>
      <c r="P30" s="134" t="s">
        <v>1093</v>
      </c>
      <c r="Q30" s="30"/>
      <c r="R30" s="81" t="str">
        <f>VLOOKUP(C30,'Train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0" s="84" t="str">
        <f>VLOOKUP(C30,'Train Runs'!$A$13:$AE$10142,22,0)</f>
        <v>https://d0f6bd738d7f1b3e5a7ca70fe4ff75f0.us-east-1.aws.found.io/app/kibana#/discover/Steve-Slow-Train-Analysis-(2080s-and-2083s)?_g=(refreshInterval:(display:Off,pause:!f,section:0,value:0),time:(from:'2017-11-11T11:28:41-0700',mode:absolute,to:'2017-11-11T13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0" s="86" t="str">
        <f t="shared" si="1"/>
        <v>"C:\Program Files (x86)\AstroGrep\AstroGrep.exe" /e /r /s /spath="%USERPROFILE%\AppData\Local\Temp\OnboardLogs" /stypes="*4005*201711111*"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4005</v>
      </c>
      <c r="V30" s="31">
        <f t="shared" si="3"/>
        <v>43050.828344907408</v>
      </c>
      <c r="W30" s="45" t="str">
        <f t="shared" si="4"/>
        <v>NW</v>
      </c>
      <c r="X30" s="22">
        <f t="shared" si="5"/>
        <v>1814</v>
      </c>
      <c r="Y30" s="96" t="str">
        <f t="shared" si="6"/>
        <v>echo {"issue":{"subject":"Poor GPS under Wewatta St bridge","project_id":79,"tracker_id":40,"status_id":1,"priority_id":2,"assigned_to_id":338,"start_date":"2017-11-11","description":"","custom_fields":[{"id":1,"name":"Subdivision","value":"NW"},{"id":4,"name":"Milepost","value":"0.4798"},{"id":17,"name":"Train ID","value":"1814-11"},{"id":16,"name":"Locomotive ID","value":"4005"},{"id":130,"name":"Impact","value":""},{"id":150,"name":"Time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/c/Users/stu/AppData/Local/Temp/OnboardLogs/RTDC4005 --include="*4005*201711111*"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"%USERPROFILE%\AppData\Local\Temp\OnboardLogs"\RTDC4005\*4005*201711111* &gt;&gt; 2017-11-11-SliceDisagreementCheck.txt</v>
      </c>
      <c r="AE30" s="145" t="str">
        <f t="shared" si="9"/>
        <v>start /low /b %USERPROFILE%\Documents\GitHub\eaglep3\Utilities\DownloadLogsFromS3.py --loco 4005 --day 2017-11-11</v>
      </c>
      <c r="AF30" s="1"/>
    </row>
    <row r="31" spans="1:32" x14ac:dyDescent="0.25">
      <c r="A31" s="31">
        <v>43050.910787037035</v>
      </c>
      <c r="B31" s="30" t="s">
        <v>665</v>
      </c>
      <c r="C31" s="30" t="s">
        <v>686</v>
      </c>
      <c r="D31" s="30" t="s">
        <v>49</v>
      </c>
      <c r="E31" s="30" t="s">
        <v>355</v>
      </c>
      <c r="F31" s="42">
        <v>0</v>
      </c>
      <c r="G31" s="42">
        <v>301</v>
      </c>
      <c r="H31" s="42">
        <v>9793</v>
      </c>
      <c r="I31" s="42">
        <v>9113</v>
      </c>
      <c r="J31" s="30" t="s">
        <v>356</v>
      </c>
      <c r="K31" s="42">
        <v>9500</v>
      </c>
      <c r="L31" s="131" t="s">
        <v>51</v>
      </c>
      <c r="M31" s="132">
        <f t="shared" si="0"/>
        <v>-204.33600000000001</v>
      </c>
      <c r="N31" s="133" t="str">
        <f>VLOOKUP(C31,'Trips&amp;Operators'!$C$1:$G$99911,5,FALSE)</f>
        <v>SMITH MICHAEL</v>
      </c>
      <c r="O31" s="176" t="s">
        <v>349</v>
      </c>
      <c r="P31" s="134" t="s">
        <v>656</v>
      </c>
      <c r="Q31" s="30"/>
      <c r="R31" s="81" t="str">
        <f>VLOOKUP(C31,'Train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1" s="84" t="str">
        <f>VLOOKUP(C31,'Train Runs'!$A$13:$AE$10142,22,0)</f>
        <v>https://d0f6bd738d7f1b3e5a7ca70fe4ff75f0.us-east-1.aws.found.io/app/kibana#/discover/Steve-Slow-Train-Analysis-(2080s-and-2083s)?_g=(refreshInterval:(display:Off,pause:!f,section:0,value:0),time:(from:'2017-11-11T20:25:37-0700',mode:absolute,to:'2017-11-11T22:59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86" t="str">
        <f t="shared" si="1"/>
        <v>"C:\Program Files (x86)\AstroGrep\AstroGrep.exe" /e /r /s /spath="%USERPROFILE%\AppData\Local\Temp\OnboardLogs" /stypes="*4005*201711120*" /stext=" 04:.+((SYSTEM_STATE.+slice.+state.+changed )|(ment ac)|(multiple cpu faults)|(system.+state.+changed )|(\[timeout)|(PRM\|1\|D)|(kpr)|(kdp)|(train st.+moving)|(\|lc)|(penalty))"</v>
      </c>
      <c r="U31" s="9" t="str">
        <f t="shared" si="2"/>
        <v>4005</v>
      </c>
      <c r="V31" s="31">
        <f t="shared" si="3"/>
        <v>43051.2024537037</v>
      </c>
      <c r="W31" s="45" t="str">
        <f t="shared" si="4"/>
        <v>NW</v>
      </c>
      <c r="X31" s="22">
        <f t="shared" si="5"/>
        <v>1832</v>
      </c>
      <c r="Y31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drop","project_id":79,"tracker_id":40,"status_id":1,"priority_id":2,"assigned_to_id":338,"start_date":"2017-11-11","description":"","custom_fields":[{"id":1,"name":"Subdivision","value":"NW"},{"id":4,"name":"Milepost","value":"0.95"},{"id":17,"name":"Train ID","value":"1832-11"},{"id":16,"name":"Locomotive ID","value":"4005"},{"id":130,"name":"Impact","value":""},{"id":150,"name":"Time of Event (Mountain Time)","value":"21:51:32"},{"id":151,"name":"Denver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/c/Users/stu/AppData/Local/Temp/OnboardLogs/RTDC4005 --include="*4005*201711120*"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"%USERPROFILE%\AppData\Local\Temp\OnboardLogs"\RTDC4005\*4005*201711120* &gt;&gt; 2017-11-11-SliceDisagreementCheck.txt</v>
      </c>
      <c r="AE31" s="145" t="str">
        <f t="shared" si="9"/>
        <v>start /low /b %USERPROFILE%\Documents\GitHub\eaglep3\Utilities\DownloadLogsFromS3.py --loco 4005 --day 2017-11-12</v>
      </c>
      <c r="AF31" s="1"/>
    </row>
    <row r="32" spans="1:32" x14ac:dyDescent="0.25">
      <c r="A32" s="31">
        <v>43050.867523148147</v>
      </c>
      <c r="B32" s="30" t="s">
        <v>665</v>
      </c>
      <c r="C32" s="30" t="s">
        <v>685</v>
      </c>
      <c r="D32" s="30" t="s">
        <v>49</v>
      </c>
      <c r="E32" s="30" t="s">
        <v>355</v>
      </c>
      <c r="F32" s="42">
        <v>0</v>
      </c>
      <c r="G32" s="42">
        <v>318</v>
      </c>
      <c r="H32" s="42">
        <v>20420</v>
      </c>
      <c r="I32" s="42">
        <v>19840</v>
      </c>
      <c r="J32" s="30" t="s">
        <v>356</v>
      </c>
      <c r="K32" s="42">
        <v>19000</v>
      </c>
      <c r="L32" s="131" t="s">
        <v>51</v>
      </c>
      <c r="M32" s="132">
        <f t="shared" si="0"/>
        <v>443.52</v>
      </c>
      <c r="N32" s="133" t="str">
        <f>VLOOKUP(C32,'Trips&amp;Operators'!$C$1:$G$99911,5,FALSE)</f>
        <v>SMITH MICHAEL</v>
      </c>
      <c r="O32" s="176" t="s">
        <v>349</v>
      </c>
      <c r="P32" s="134" t="s">
        <v>656</v>
      </c>
      <c r="Q32" s="30"/>
      <c r="R32" s="81" t="str">
        <f>VLOOKUP(C32,'Train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2" s="84" t="str">
        <f>VLOOKUP(C32,'Train Runs'!$A$13:$AE$10142,22,0)</f>
        <v>https://d0f6bd738d7f1b3e5a7ca70fe4ff75f0.us-east-1.aws.found.io/app/kibana#/discover/Steve-Slow-Train-Analysis-(2080s-and-2083s)?_g=(refreshInterval:(display:Off,pause:!f,section:0,value:0),time:(from:'2017-11-11T19:24:51-0700',mode:absolute,to:'2017-11-11T21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2" s="86" t="str">
        <f t="shared" si="1"/>
        <v>"C:\Program Files (x86)\AstroGrep\AstroGrep.exe" /e /r /s /spath="%USERPROFILE%\AppData\Local\Temp\OnboardLogs" /stypes="*4005*201711120*" /stext=" 03:.+((SYSTEM_STATE.+slice.+state.+changed )|(ment ac)|(multiple cpu faults)|(system.+state.+changed )|(\[timeout)|(PRM\|1\|D)|(kpr)|(kdp)|(train st.+moving)|(\|lc)|(penalty))"</v>
      </c>
      <c r="U32" s="9" t="str">
        <f t="shared" si="2"/>
        <v>4005</v>
      </c>
      <c r="V32" s="31">
        <f t="shared" si="3"/>
        <v>43051.159189814811</v>
      </c>
      <c r="W32" s="45" t="str">
        <f t="shared" si="4"/>
        <v>NW</v>
      </c>
      <c r="X32" s="22">
        <f t="shared" si="5"/>
        <v>1830</v>
      </c>
      <c r="Y32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drop","project_id":79,"tracker_id":40,"status_id":1,"priority_id":2,"assigned_to_id":338,"start_date":"2017-11-11","description":"","custom_fields":[{"id":1,"name":"Subdivision","value":"NW"},{"id":4,"name":"Milepost","value":"1.9"},{"id":17,"name":"Train ID","value":"1830-11"},{"id":16,"name":"Locomotive ID","value":"4005"},{"id":130,"name":"Impact","value":""},{"id":150,"name":"Time of Event (Mountain Time)","value":"20:49:14"},{"id":151,"name":"Denver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/c/Users/stu/AppData/Local/Temp/OnboardLogs/RTDC4005 --include="*4005*201711120*"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"%USERPROFILE%\AppData\Local\Temp\OnboardLogs"\RTDC4005\*4005*201711120* &gt;&gt; 2017-11-11-SliceDisagreementCheck.txt</v>
      </c>
      <c r="AE32" s="145" t="str">
        <f t="shared" si="9"/>
        <v>start /low /b %USERPROFILE%\Documents\GitHub\eaglep3\Utilities\DownloadLogsFromS3.py --loco 4005 --day 2017-11-12</v>
      </c>
      <c r="AF32" s="1"/>
    </row>
    <row r="33" spans="1:32" x14ac:dyDescent="0.25">
      <c r="A33" s="31">
        <v>43050.822604166664</v>
      </c>
      <c r="B33" s="30" t="s">
        <v>665</v>
      </c>
      <c r="C33" s="30" t="s">
        <v>683</v>
      </c>
      <c r="D33" s="30" t="s">
        <v>49</v>
      </c>
      <c r="E33" s="30" t="s">
        <v>355</v>
      </c>
      <c r="F33" s="42">
        <v>0</v>
      </c>
      <c r="G33" s="42">
        <v>544</v>
      </c>
      <c r="H33" s="42">
        <v>52412</v>
      </c>
      <c r="I33" s="42">
        <v>50485</v>
      </c>
      <c r="J33" s="30" t="s">
        <v>356</v>
      </c>
      <c r="K33" s="42">
        <v>48773</v>
      </c>
      <c r="L33" s="131" t="s">
        <v>51</v>
      </c>
      <c r="M33" s="132">
        <f t="shared" si="0"/>
        <v>903.93600000000004</v>
      </c>
      <c r="N33" s="133" t="str">
        <f>VLOOKUP(C33,'Trips&amp;Operators'!$C$1:$G$99911,5,FALSE)</f>
        <v>SMITH MICHAEL</v>
      </c>
      <c r="O33" s="176" t="s">
        <v>349</v>
      </c>
      <c r="P33" s="134" t="s">
        <v>656</v>
      </c>
      <c r="Q33" s="30"/>
      <c r="R33" s="81" t="str">
        <f>VLOOKUP(C33,'Train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3" s="84" t="str">
        <f>VLOOKUP(C33,'Train Runs'!$A$13:$AE$10142,22,0)</f>
        <v>https://d0f6bd738d7f1b3e5a7ca70fe4ff75f0.us-east-1.aws.found.io/app/kibana#/discover/Steve-Slow-Train-Analysis-(2080s-and-2083s)?_g=(refreshInterval:(display:Off,pause:!f,section:0,value:0),time:(from:'2017-11-11T18:31:13-0700',mode:absolute,to:'2017-11-11T20:56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86" t="str">
        <f t="shared" si="1"/>
        <v>"C:\Program Files (x86)\AstroGrep\AstroGrep.exe" /e /r /s /spath="%USERPROFILE%\AppData\Local\Temp\OnboardLogs" /stypes="*4005*201711120*" /stext=" 02:.+((SYSTEM_STATE.+slice.+state.+changed )|(ment ac)|(multiple cpu faults)|(system.+state.+changed )|(\[timeout)|(PRM\|1\|D)|(kpr)|(kdp)|(train st.+moving)|(\|lc)|(penalty))"</v>
      </c>
      <c r="U33" s="9" t="str">
        <f t="shared" si="2"/>
        <v>4005</v>
      </c>
      <c r="V33" s="31">
        <f t="shared" si="3"/>
        <v>43051.114270833328</v>
      </c>
      <c r="W33" s="45" t="str">
        <f t="shared" si="4"/>
        <v>NW</v>
      </c>
      <c r="X33" s="22">
        <f t="shared" si="5"/>
        <v>1828</v>
      </c>
      <c r="Y33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drop","project_id":79,"tracker_id":40,"status_id":1,"priority_id":2,"assigned_to_id":338,"start_date":"2017-11-11","description":"","custom_fields":[{"id":1,"name":"Subdivision","value":"NW"},{"id":4,"name":"Milepost","value":"4.8773"},{"id":17,"name":"Train ID","value":"1828-11"},{"id":16,"name":"Locomotive ID","value":"4005"},{"id":130,"name":"Impact","value":""},{"id":150,"name":"Time of Event (Mountain Time)","value":"19:44:33"},{"id":151,"name":"Denver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/c/Users/stu/AppData/Local/Temp/OnboardLogs/RTDC4005 --include="*4005*201711120*"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"%USERPROFILE%\AppData\Local\Temp\OnboardLogs"\RTDC4005\*4005*201711120* &gt;&gt; 2017-11-11-SliceDisagreementCheck.txt</v>
      </c>
      <c r="AE33" s="145" t="str">
        <f t="shared" si="9"/>
        <v>start /low /b %USERPROFILE%\Documents\GitHub\eaglep3\Utilities\DownloadLogsFromS3.py --loco 4005 --day 2017-11-12</v>
      </c>
      <c r="AF33" s="1"/>
    </row>
    <row r="34" spans="1:32" x14ac:dyDescent="0.25">
      <c r="A34" s="31">
        <v>43050.955949074072</v>
      </c>
      <c r="B34" s="30" t="s">
        <v>665</v>
      </c>
      <c r="C34" s="30" t="s">
        <v>689</v>
      </c>
      <c r="D34" s="30" t="s">
        <v>49</v>
      </c>
      <c r="E34" s="30" t="s">
        <v>571</v>
      </c>
      <c r="F34" s="42">
        <v>0</v>
      </c>
      <c r="G34" s="42">
        <v>140</v>
      </c>
      <c r="H34" s="42">
        <v>4974</v>
      </c>
      <c r="I34" s="42">
        <v>4714</v>
      </c>
      <c r="J34" s="30" t="s">
        <v>572</v>
      </c>
      <c r="K34" s="42">
        <v>4790</v>
      </c>
      <c r="L34" s="131" t="s">
        <v>51</v>
      </c>
      <c r="M34" s="132">
        <f t="shared" si="0"/>
        <v>-40.128</v>
      </c>
      <c r="N34" s="133" t="str">
        <f>VLOOKUP(C34,'Trips&amp;Operators'!$C$1:$G$99911,5,FALSE)</f>
        <v>SMITH MICHAEL</v>
      </c>
      <c r="O34" s="176" t="s">
        <v>349</v>
      </c>
      <c r="P34" s="134" t="s">
        <v>656</v>
      </c>
      <c r="Q34" s="30"/>
      <c r="R34" s="81" t="str">
        <f>VLOOKUP(C34,'Train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4" s="84" t="str">
        <f>VLOOKUP(C34,'Train Runs'!$A$13:$AE$10142,22,0)</f>
        <v>https://d0f6bd738d7f1b3e5a7ca70fe4ff75f0.us-east-1.aws.found.io/app/kibana#/discover/Steve-Slow-Train-Analysis-(2080s-and-2083s)?_g=(refreshInterval:(display:Off,pause:!f,section:0,value:0),time:(from:'2017-11-11T21:25:36-0700',mode:absolute,to:'2017-11-11T23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86" t="str">
        <f t="shared" si="1"/>
        <v>"C:\Program Files (x86)\AstroGrep\AstroGrep.exe" /e /r /s /spath="%USERPROFILE%\AppData\Local\Temp\OnboardLogs" /stypes="*4005*201711120*" /stext=" 05:.+((SYSTEM_STATE.+slice.+state.+changed )|(ment ac)|(multiple cpu faults)|(system.+state.+changed )|(\[timeout)|(PRM\|1\|D)|(kpr)|(kdp)|(train st.+moving)|(\|lc)|(penalty))"</v>
      </c>
      <c r="U34" s="9" t="str">
        <f t="shared" si="2"/>
        <v>4005</v>
      </c>
      <c r="V34" s="31">
        <f t="shared" si="3"/>
        <v>43051.247615740736</v>
      </c>
      <c r="W34" s="45" t="str">
        <f t="shared" si="4"/>
        <v>NW</v>
      </c>
      <c r="X34" s="22">
        <f t="shared" si="5"/>
        <v>1834</v>
      </c>
      <c r="Y34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drop","project_id":79,"tracker_id":40,"status_id":1,"priority_id":2,"assigned_to_id":338,"start_date":"2017-11-11","description":"","custom_fields":[{"id":1,"name":"Subdivision","value":"NW"},{"id":4,"name":"Milepost","value":"0.479"},{"id":17,"name":"Train ID","value":"1834-11"},{"id":16,"name":"Locomotive ID","value":"4005"},{"id":130,"name":"Impact","value":""},{"id":150,"name":"Time of Event (Mountain Time)","value":"22:56:34"},{"id":151,"name":"Denver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/c/Users/stu/AppData/Local/Temp/OnboardLogs/RTDC4005 --include="*4005*201711120*"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"%USERPROFILE%\AppData\Local\Temp\OnboardLogs"\RTDC4005\*4005*201711120* &gt;&gt; 2017-11-11-SliceDisagreementCheck.txt</v>
      </c>
      <c r="AE34" s="145" t="str">
        <f t="shared" si="9"/>
        <v>start /low /b %USERPROFILE%\Documents\GitHub\eaglep3\Utilities\DownloadLogsFromS3.py --loco 4005 --day 2017-11-12</v>
      </c>
      <c r="AF34" s="1"/>
    </row>
    <row r="35" spans="1:32" x14ac:dyDescent="0.25">
      <c r="A35" s="31">
        <v>43050.94939814815</v>
      </c>
      <c r="B35" s="30" t="s">
        <v>665</v>
      </c>
      <c r="C35" s="30" t="s">
        <v>689</v>
      </c>
      <c r="D35" s="30" t="s">
        <v>49</v>
      </c>
      <c r="E35" s="30" t="s">
        <v>571</v>
      </c>
      <c r="F35" s="42">
        <v>0</v>
      </c>
      <c r="G35" s="42">
        <v>308</v>
      </c>
      <c r="H35" s="42">
        <v>43760</v>
      </c>
      <c r="I35" s="42">
        <v>43029</v>
      </c>
      <c r="J35" s="30" t="s">
        <v>572</v>
      </c>
      <c r="K35" s="42">
        <v>41769</v>
      </c>
      <c r="L35" s="131" t="s">
        <v>51</v>
      </c>
      <c r="M35" s="132">
        <f t="shared" si="0"/>
        <v>665.28</v>
      </c>
      <c r="N35" s="133" t="str">
        <f>VLOOKUP(C35,'Trips&amp;Operators'!$C$1:$G$99911,5,FALSE)</f>
        <v>SMITH MICHAEL</v>
      </c>
      <c r="O35" s="176" t="s">
        <v>349</v>
      </c>
      <c r="P35" s="134" t="s">
        <v>656</v>
      </c>
      <c r="Q35" s="30"/>
      <c r="R35" s="81" t="str">
        <f>VLOOKUP(C35,'Train Runs'!$A$13:$AE$10142,31,0)</f>
        <v>aws s3 cp s3://rtdc.mdm.uploadarchive.raw/RTDC4005/ "%USERPROFILE%\AppData\Local\Temp\OnboardLogs"\RTDC4005\2017-11-11 --exclude "*" --recursive --include "*20171111*" &amp; "%USERPROFILE%\Documents\GitHub\mrs-test-scripts\Headless Mode &amp; Sideloading\WalkAndUnGZ.bat" "%USERPROFILE%\AppData\Local\Temp\OnboardLogs"\RTDC4005\2017-11-11 &amp; 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</v>
      </c>
      <c r="S35" s="84" t="str">
        <f>VLOOKUP(C35,'Train Runs'!$A$13:$AE$10142,22,0)</f>
        <v>https://d0f6bd738d7f1b3e5a7ca70fe4ff75f0.us-east-1.aws.found.io/app/kibana#/discover/Steve-Slow-Train-Analysis-(2080s-and-2083s)?_g=(refreshInterval:(display:Off,pause:!f,section:0,value:0),time:(from:'2017-11-11T21:25:36-0700',mode:absolute,to:'2017-11-11T23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86" t="str">
        <f t="shared" si="1"/>
        <v>"C:\Program Files (x86)\AstroGrep\AstroGrep.exe" /e /r /s /spath="%USERPROFILE%\AppData\Local\Temp\OnboardLogs" /stypes="*4005*201711120*" /stext=" 05:.+((SYSTEM_STATE.+slice.+state.+changed )|(ment ac)|(multiple cpu faults)|(system.+state.+changed )|(\[timeout)|(PRM\|1\|D)|(kpr)|(kdp)|(train st.+moving)|(\|lc)|(penalty))"</v>
      </c>
      <c r="U35" s="9" t="str">
        <f t="shared" si="2"/>
        <v>4005</v>
      </c>
      <c r="V35" s="31">
        <f t="shared" si="3"/>
        <v>43051.241064814814</v>
      </c>
      <c r="W35" s="45" t="str">
        <f t="shared" si="4"/>
        <v>NW</v>
      </c>
      <c r="X35" s="22">
        <f t="shared" si="5"/>
        <v>1834</v>
      </c>
      <c r="Y35" s="96" t="str">
        <f t="shared" si="6"/>
        <v>echo {"issue":{"subject":"Wi-MAX data drop","project_id":79,"tracker_id":40,"status_id":1,"priority_id":2,"assigned_to_id":338,"start_date":"2017-11-11","description":"","custom_fields":[{"id":1,"name":"Subdivision","value":"NW"},{"id":4,"name":"Milepost","value":"4.1769"},{"id":17,"name":"Train ID","value":"1834-11"},{"id":16,"name":"Locomotive ID","value":"4005"},{"id":130,"name":"Impact","value":""},{"id":150,"name":"Time of Event (Mountain Time)","value":"22:47:08"},{"id":151,"name":"Denver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/c/Users/stu/AppData/Local/Temp/OnboardLogs/RTDC4005 --include="*4005*201711120*"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"%USERPROFILE%\AppData\Local\Temp\OnboardLogs"\RTDC4005\*4005*201711120* &gt;&gt; 2017-11-11-SliceDisagreementCheck.txt</v>
      </c>
      <c r="AE35" s="145" t="str">
        <f t="shared" si="9"/>
        <v>start /low /b %USERPROFILE%\Documents\GitHub\eaglep3\Utilities\DownloadLogsFromS3.py --loco 4005 --day 2017-11-12</v>
      </c>
      <c r="AF35" s="1"/>
    </row>
    <row r="36" spans="1:32" x14ac:dyDescent="0.25">
      <c r="A36" s="31">
        <v>43050.126064814816</v>
      </c>
      <c r="B36" s="30" t="s">
        <v>657</v>
      </c>
      <c r="C36" s="30" t="s">
        <v>658</v>
      </c>
      <c r="D36" s="30" t="s">
        <v>49</v>
      </c>
      <c r="E36" s="30" t="s">
        <v>355</v>
      </c>
      <c r="F36" s="42">
        <v>0</v>
      </c>
      <c r="G36" s="42">
        <v>63</v>
      </c>
      <c r="H36" s="42">
        <v>4819</v>
      </c>
      <c r="I36" s="42">
        <v>4738</v>
      </c>
      <c r="J36" s="30" t="s">
        <v>356</v>
      </c>
      <c r="K36" s="42">
        <v>4798</v>
      </c>
      <c r="L36" s="131" t="s">
        <v>51</v>
      </c>
      <c r="M36" s="132">
        <f t="shared" si="0"/>
        <v>-31.68</v>
      </c>
      <c r="N36" s="133" t="str">
        <f>VLOOKUP(C36,'Trips&amp;Operators'!$C$1:$G$99911,5,FALSE)</f>
        <v>THOMPSON LESTER</v>
      </c>
      <c r="O36" s="176" t="s">
        <v>178</v>
      </c>
      <c r="P36" s="134"/>
      <c r="Q36" s="30"/>
      <c r="R36" s="81" t="str">
        <f>VLOOKUP(C36,'Train Runs'!$A$13:$AE$10142,31,0)</f>
        <v>aws s3 cp s3://rtdc.mdm.uploadarchive.raw/RTDC4019/ "%USERPROFILE%\AppData\Local\Temp\OnboardLogs"\RTDC4019\2017-11-11 --exclude "*" --recursive --include "*20171111*" &amp; "%USERPROFILE%\Documents\GitHub\mrs-test-scripts\Headless Mode &amp; Sideloading\WalkAndUnGZ.bat" "%USERPROFILE%\AppData\Local\Temp\OnboardLogs"\RTDC4019\2017-11-11 &amp; aws s3 cp s3://rtdc.mdm.uploadarchive.raw/RTDC4019/ "%USERPROFILE%\AppData\Local\Temp\OnboardLogs"\RTDC4019\2017-11-12 --exclude "*" --recursive --include "*20171112*" &amp; "%USERPROFILE%\Documents\GitHub\mrs-test-scripts\Headless Mode &amp; Sideloading\WalkAndUnGZ.bat" "%USERPROFILE%\AppData\Local\Temp\OnboardLogs"\RTDC4019\2017-11-12</v>
      </c>
      <c r="S36" s="84" t="str">
        <f>VLOOKUP(C36,'Train Runs'!$A$13:$AE$10142,22,0)</f>
        <v>https://d0f6bd738d7f1b3e5a7ca70fe4ff75f0.us-east-1.aws.found.io/app/kibana#/discover/Steve-Slow-Train-Analysis-(2080s-and-2083s)?_g=(refreshInterval:(display:Off,pause:!f,section:0,value:0),time:(from:'2017-11-11T01:50:14-0700',mode:absolute,to:'2017-11-11T04:01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86" t="str">
        <f t="shared" si="1"/>
        <v>"C:\Program Files (x86)\AstroGrep\AstroGrep.exe" /e /r /s /spath="%USERPROFILE%\AppData\Local\Temp\OnboardLogs" /stypes="*4019*201711111*"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4019</v>
      </c>
      <c r="V36" s="31">
        <f t="shared" si="3"/>
        <v>43050.417731481481</v>
      </c>
      <c r="W36" s="45" t="str">
        <f t="shared" si="4"/>
        <v>Other</v>
      </c>
      <c r="X36" s="22">
        <f t="shared" si="5"/>
        <v>300</v>
      </c>
      <c r="Y36" s="96" t="str">
        <f t="shared" si="6"/>
        <v>echo {"issue":{"subject":"","project_id":79,"tracker_id":40,"status_id":1,"priority_id":2,"assigned_to_id":338,"start_date":"2017-11-11","description":"","custom_fields":[{"id":1,"name":"Subdivision","value":"Other"},{"id":4,"name":"Milepost","value":"0.4798"},{"id":17,"name":"Train ID","value":"300-11"},{"id":16,"name":"Locomotive ID","value":"4019"},{"id":130,"name":"Impact","value":""},{"id":150,"name":"Time of Event (Mountain Time)","value":"03:01:32"},{"id":151,"name":"Denver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/c/Users/stu/AppData/Local/Temp/OnboardLogs/RTDC4019 --include="*4019*201711111*"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"%USERPROFILE%\AppData\Local\Temp\OnboardLogs"\RTDC4019\*4019*201711111* &gt;&gt; 2017-11-11-SliceDisagreementCheck.txt</v>
      </c>
      <c r="AE36" s="145" t="str">
        <f t="shared" si="9"/>
        <v>start /low /b %USERPROFILE%\Documents\GitHub\eaglep3\Utilities\DownloadLogsFromS3.py --loco 4019 --day 2017-11-11</v>
      </c>
      <c r="AF36" s="1"/>
    </row>
    <row r="37" spans="1:32" x14ac:dyDescent="0.25">
      <c r="A37" s="31">
        <v>43050.229432870372</v>
      </c>
      <c r="B37" s="30" t="s">
        <v>537</v>
      </c>
      <c r="C37" s="30" t="s">
        <v>659</v>
      </c>
      <c r="D37" s="30" t="s">
        <v>49</v>
      </c>
      <c r="E37" s="30" t="s">
        <v>355</v>
      </c>
      <c r="F37" s="42">
        <v>0</v>
      </c>
      <c r="G37" s="42">
        <v>41</v>
      </c>
      <c r="H37" s="42">
        <v>4849</v>
      </c>
      <c r="I37" s="42">
        <v>4660</v>
      </c>
      <c r="J37" s="30" t="s">
        <v>356</v>
      </c>
      <c r="K37" s="42">
        <v>4798</v>
      </c>
      <c r="L37" s="131" t="s">
        <v>51</v>
      </c>
      <c r="M37" s="132">
        <f t="shared" si="0"/>
        <v>-72.864000000000004</v>
      </c>
      <c r="N37" s="133" t="str">
        <f>VLOOKUP(C37,'Trips&amp;Operators'!$C$1:$G$99911,5,FALSE)</f>
        <v>WILLIAMS DONTE</v>
      </c>
      <c r="O37" s="176" t="s">
        <v>178</v>
      </c>
      <c r="P37" s="134"/>
      <c r="Q37" s="30"/>
      <c r="R37" s="81" t="str">
        <f>VLOOKUP(C37,'Train Runs'!$A$13:$AE$10142,31,0)</f>
        <v>aws s3 cp s3://rtdc.mdm.uploadarchive.raw/RTDC4025/ "%USERPROFILE%\AppData\Local\Temp\OnboardLogs"\RTDC4025\2017-11-11 --exclude "*" --recursive --include "*20171111*" &amp; "%USERPROFILE%\Documents\GitHub\mrs-test-scripts\Headless Mode &amp; Sideloading\WalkAndUnGZ.bat" "%USERPROFILE%\AppData\Local\Temp\OnboardLogs"\RTDC4025\2017-11-11 &amp; 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</v>
      </c>
      <c r="S37" s="84" t="str">
        <f>VLOOKUP(C37,'Train Runs'!$A$13:$AE$10142,22,0)</f>
        <v>https://d0f6bd738d7f1b3e5a7ca70fe4ff75f0.us-east-1.aws.found.io/app/kibana#/discover/Steve-Slow-Train-Analysis-(2080s-and-2083s)?_g=(refreshInterval:(display:Off,pause:!f,section:0,value:0),time:(from:'2017-11-11T04:14:33-0700',mode:absolute,to:'2017-11-11T06:30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86" t="str">
        <f t="shared" si="1"/>
        <v>"C:\Program Files (x86)\AstroGrep\AstroGrep.exe" /e /r /s /spath="%USERPROFILE%\AppData\Local\Temp\OnboardLogs" /stypes="*4025*201711111*"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4025</v>
      </c>
      <c r="V37" s="31">
        <f t="shared" si="3"/>
        <v>43050.521099537036</v>
      </c>
      <c r="W37" s="45" t="str">
        <f t="shared" si="4"/>
        <v>Other</v>
      </c>
      <c r="X37" s="22">
        <f t="shared" si="5"/>
        <v>312</v>
      </c>
      <c r="Y37" s="96" t="str">
        <f t="shared" si="6"/>
        <v>echo {"issue":{"subject":"","project_id":79,"tracker_id":40,"status_id":1,"priority_id":2,"assigned_to_id":338,"start_date":"2017-11-11","description":"","custom_fields":[{"id":1,"name":"Subdivision","value":"Other"},{"id":4,"name":"Milepost","value":"0.4798"},{"id":17,"name":"Train ID","value":"312-11"},{"id":16,"name":"Locomotive ID","value":"4025"},{"id":130,"name":"Impact","value":""},{"id":150,"name":"Time of Event (Mountain Time)","value":"05:30:23"},{"id":151,"name":"Denver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/c/Users/stu/AppData/Local/Temp/OnboardLogs/RTDC4025 --include="*4025*201711111*"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"%USERPROFILE%\AppData\Local\Temp\OnboardLogs"\RTDC4025\*4025*201711111* &gt;&gt; 2017-11-11-SliceDisagreementCheck.txt</v>
      </c>
      <c r="AE37" s="145" t="str">
        <f t="shared" si="9"/>
        <v>start /low /b %USERPROFILE%\Documents\GitHub\eaglep3\Utilities\DownloadLogsFromS3.py --loco 4025 --day 2017-11-11</v>
      </c>
      <c r="AF37" s="1"/>
    </row>
  </sheetData>
  <autoFilter ref="A6:AC21">
    <sortState ref="A7:AC37">
      <sortCondition ref="W7:W37"/>
      <sortCondition ref="E7:E37"/>
      <sortCondition ref="K7:K37"/>
      <sortCondition ref="F7:F37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2017-11-11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-11</v>
      </c>
      <c r="C3" s="135"/>
      <c r="D3" s="225">
        <v>4016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" s="30" t="e">
        <f>VLOOKUP(B3,'Train Runs'!$A$13:$A$100139,1,FALSE)</f>
        <v>#N/A</v>
      </c>
    </row>
    <row r="4" spans="1:10" x14ac:dyDescent="0.25">
      <c r="A4" s="198"/>
      <c r="B4" s="42" t="str">
        <f>A4&amp;"-"&amp;IF(DAY(Variables!$A$2)&lt;10,0,"")&amp;DAY(Variables!$A$2)</f>
        <v>-11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Runs'!$A$13:$A$100139,1,FALSE)</f>
        <v>#N/A</v>
      </c>
    </row>
    <row r="5" spans="1:10" x14ac:dyDescent="0.25">
      <c r="A5" s="198"/>
      <c r="B5" s="42" t="str">
        <f>A5&amp;"-"&amp;IF(DAY(Variables!$A$2)&lt;10,0,"")&amp;DAY(Variables!$A$2)</f>
        <v>-11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Runs'!$A$13:$A$100139,1,FALSE)</f>
        <v>#N/A</v>
      </c>
    </row>
    <row r="6" spans="1:10" x14ac:dyDescent="0.25">
      <c r="A6" s="198"/>
      <c r="B6" s="42" t="str">
        <f>A6&amp;"-"&amp;IF(DAY(Variables!$A$2)&lt;10,0,"")&amp;DAY(Variables!$A$2)</f>
        <v>-11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Runs'!$A$13:$A$100139,1,FALSE)</f>
        <v>#N/A</v>
      </c>
    </row>
    <row r="7" spans="1:10" x14ac:dyDescent="0.25">
      <c r="A7" s="198"/>
      <c r="B7" s="42" t="str">
        <f>A7&amp;"-"&amp;IF(DAY(Variables!$A$2)&lt;10,0,"")&amp;DAY(Variables!$A$2)</f>
        <v>-11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Runs'!$A$13:$A$100139,1,FALSE)</f>
        <v>#N/A</v>
      </c>
    </row>
    <row r="8" spans="1:10" x14ac:dyDescent="0.25">
      <c r="A8" s="198"/>
      <c r="B8" s="42" t="str">
        <f>A8&amp;"-"&amp;IF(DAY(Variables!$A$2)&lt;10,0,"")&amp;DAY(Variables!$A$2)</f>
        <v>-11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Runs'!$A$13:$A$100139,1,FALSE)</f>
        <v>#N/A</v>
      </c>
    </row>
    <row r="9" spans="1:10" x14ac:dyDescent="0.25">
      <c r="A9" s="198"/>
      <c r="B9" s="42" t="str">
        <f>A9&amp;"-"&amp;IF(DAY(Variables!$A$2)&lt;10,0,"")&amp;DAY(Variables!$A$2)</f>
        <v>-11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Runs'!$A$13:$A$100139,1,FALSE)</f>
        <v>#N/A</v>
      </c>
    </row>
    <row r="10" spans="1:10" x14ac:dyDescent="0.25">
      <c r="A10" s="198"/>
      <c r="B10" s="42" t="str">
        <f>A10&amp;"-"&amp;IF(DAY(Variables!$A$2)&lt;10,0,"")&amp;DAY(Variables!$A$2)</f>
        <v>-11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Runs'!$A$13:$A$100139,1,FALSE)</f>
        <v>#N/A</v>
      </c>
    </row>
    <row r="11" spans="1:10" x14ac:dyDescent="0.25">
      <c r="A11" s="198"/>
      <c r="B11" s="42" t="str">
        <f>A11&amp;"-"&amp;IF(DAY(Variables!$A$2)&lt;10,0,"")&amp;DAY(Variables!$A$2)</f>
        <v>-11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Runs'!$A$13:$A$100139,1,FALSE)</f>
        <v>#N/A</v>
      </c>
    </row>
    <row r="12" spans="1:10" x14ac:dyDescent="0.25">
      <c r="A12" s="198"/>
      <c r="B12" s="42" t="str">
        <f>A12&amp;"-"&amp;IF(DAY(Variables!$A$2)&lt;10,0,"")&amp;DAY(Variables!$A$2)</f>
        <v>-11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Runs'!$A$13:$A$100139,1,FALSE)</f>
        <v>#N/A</v>
      </c>
    </row>
    <row r="13" spans="1:10" x14ac:dyDescent="0.25">
      <c r="A13" s="198"/>
      <c r="B13" s="42" t="str">
        <f>A13&amp;"-"&amp;IF(DAY(Variables!$A$2)&lt;10,0,"")&amp;DAY(Variables!$A$2)</f>
        <v>-11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Runs'!$A$13:$A$100139,1,FALSE)</f>
        <v>#N/A</v>
      </c>
    </row>
    <row r="14" spans="1:10" x14ac:dyDescent="0.25">
      <c r="A14" s="198"/>
      <c r="B14" s="42" t="str">
        <f>A14&amp;"-"&amp;IF(DAY(Variables!$A$2)&lt;10,0,"")&amp;DAY(Variables!$A$2)</f>
        <v>-11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Runs'!$A$13:$A$100139,1,FALSE)</f>
        <v>#N/A</v>
      </c>
    </row>
    <row r="15" spans="1:10" x14ac:dyDescent="0.25">
      <c r="A15" s="198"/>
      <c r="B15" s="42" t="str">
        <f>A15&amp;"-"&amp;IF(DAY(Variables!$A$2)&lt;10,0,"")&amp;DAY(Variables!$A$2)</f>
        <v>-11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Runs'!$A$13:$A$100139,1,FALSE)</f>
        <v>#N/A</v>
      </c>
    </row>
    <row r="16" spans="1:10" x14ac:dyDescent="0.25">
      <c r="A16" s="198"/>
      <c r="B16" s="42" t="str">
        <f>A16&amp;"-"&amp;IF(DAY(Variables!$A$2)&lt;10,0,"")&amp;DAY(Variables!$A$2)</f>
        <v>-11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Runs'!$A$13:$A$100139,1,FALSE)</f>
        <v>#N/A</v>
      </c>
    </row>
    <row r="17" spans="1:10" x14ac:dyDescent="0.25">
      <c r="A17" s="198"/>
      <c r="B17" s="42" t="str">
        <f>A17&amp;"-"&amp;IF(DAY(Variables!$A$2)&lt;10,0,"")&amp;DAY(Variables!$A$2)</f>
        <v>-11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Runs'!$A$13:$A$100139,1,FALSE)</f>
        <v>#N/A</v>
      </c>
    </row>
    <row r="18" spans="1:10" x14ac:dyDescent="0.25">
      <c r="A18" s="198"/>
      <c r="B18" s="42" t="str">
        <f>A18&amp;"-"&amp;IF(DAY(Variables!$A$2)&lt;10,0,"")&amp;DAY(Variables!$A$2)</f>
        <v>-11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Runs'!$A$13:$A$100139,1,FALSE)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43050.036400462966</v>
      </c>
      <c r="B2" s="20" t="s">
        <v>391</v>
      </c>
      <c r="C2" s="20" t="s">
        <v>588</v>
      </c>
      <c r="D2" s="138">
        <v>3320000</v>
      </c>
      <c r="E2" s="20" t="s">
        <v>364</v>
      </c>
      <c r="F2" s="20" t="s">
        <v>365</v>
      </c>
      <c r="G2" s="8" t="str">
        <f>E2&amp;" "&amp;F2</f>
        <v>NICHOLSON WESLEY</v>
      </c>
      <c r="H2" t="str">
        <f>MID(B2,13,4)</f>
        <v>4059</v>
      </c>
    </row>
    <row r="3" spans="1:8" x14ac:dyDescent="0.25">
      <c r="A3" s="8">
        <v>43050.044930555552</v>
      </c>
      <c r="B3" s="20" t="s">
        <v>478</v>
      </c>
      <c r="C3" s="20" t="s">
        <v>589</v>
      </c>
      <c r="D3" s="138">
        <v>2540000</v>
      </c>
      <c r="E3" s="20" t="s">
        <v>501</v>
      </c>
      <c r="F3" s="20" t="s">
        <v>502</v>
      </c>
      <c r="G3" s="8" t="str">
        <f t="shared" ref="G3:G66" si="0">E3&amp;" "&amp;F3</f>
        <v>MCREYNOLDS KYLE</v>
      </c>
      <c r="H3" s="20" t="str">
        <f t="shared" ref="H3:H66" si="1">MID(B3,13,4)</f>
        <v>4052</v>
      </c>
    </row>
    <row r="4" spans="1:8" x14ac:dyDescent="0.25">
      <c r="A4" s="8">
        <v>43050.046331018515</v>
      </c>
      <c r="B4" s="20" t="s">
        <v>539</v>
      </c>
      <c r="C4" s="20" t="s">
        <v>590</v>
      </c>
      <c r="D4" s="138">
        <v>3340000</v>
      </c>
      <c r="E4" s="20" t="s">
        <v>545</v>
      </c>
      <c r="F4" s="20" t="s">
        <v>546</v>
      </c>
      <c r="G4" s="8" t="str">
        <f t="shared" si="0"/>
        <v>ELBAUM MIKE</v>
      </c>
      <c r="H4" s="20" t="str">
        <f t="shared" si="1"/>
        <v>4015</v>
      </c>
    </row>
    <row r="5" spans="1:8" x14ac:dyDescent="0.25">
      <c r="A5" s="8">
        <v>43050.069918981484</v>
      </c>
      <c r="B5" s="20" t="s">
        <v>358</v>
      </c>
      <c r="C5" s="20" t="s">
        <v>591</v>
      </c>
      <c r="D5" s="138">
        <v>3320000</v>
      </c>
      <c r="E5" s="20" t="s">
        <v>364</v>
      </c>
      <c r="F5" s="20" t="s">
        <v>365</v>
      </c>
      <c r="G5" s="8" t="str">
        <f t="shared" si="0"/>
        <v>NICHOLSON WESLEY</v>
      </c>
      <c r="H5" s="20" t="str">
        <f t="shared" si="1"/>
        <v>4060</v>
      </c>
    </row>
    <row r="6" spans="1:8" x14ac:dyDescent="0.25">
      <c r="A6" s="8">
        <v>43050.073553240742</v>
      </c>
      <c r="B6" s="20" t="s">
        <v>459</v>
      </c>
      <c r="C6" s="20" t="s">
        <v>592</v>
      </c>
      <c r="D6" s="138">
        <v>3700000</v>
      </c>
      <c r="E6" s="20" t="s">
        <v>461</v>
      </c>
      <c r="F6" s="20" t="s">
        <v>370</v>
      </c>
      <c r="G6" s="8" t="str">
        <f t="shared" si="0"/>
        <v>AUSTIN THOMPSON</v>
      </c>
      <c r="H6" s="20" t="str">
        <f t="shared" si="1"/>
        <v>4049</v>
      </c>
    </row>
    <row r="7" spans="1:8" x14ac:dyDescent="0.25">
      <c r="A7" s="8">
        <v>43050.087048611109</v>
      </c>
      <c r="B7" s="20" t="s">
        <v>486</v>
      </c>
      <c r="C7" s="20" t="s">
        <v>593</v>
      </c>
      <c r="D7" s="138">
        <v>3340000</v>
      </c>
      <c r="E7" s="20" t="s">
        <v>545</v>
      </c>
      <c r="F7" s="20" t="s">
        <v>546</v>
      </c>
      <c r="G7" s="8" t="str">
        <f t="shared" si="0"/>
        <v>ELBAUM MIKE</v>
      </c>
      <c r="H7" s="20" t="str">
        <f t="shared" si="1"/>
        <v>4016</v>
      </c>
    </row>
    <row r="8" spans="1:8" x14ac:dyDescent="0.25">
      <c r="A8" s="8">
        <v>43050.112928240742</v>
      </c>
      <c r="B8" s="20" t="s">
        <v>460</v>
      </c>
      <c r="C8" s="20" t="s">
        <v>594</v>
      </c>
      <c r="D8" s="138">
        <v>3700000</v>
      </c>
      <c r="E8" s="20" t="s">
        <v>461</v>
      </c>
      <c r="F8" s="20" t="s">
        <v>370</v>
      </c>
      <c r="G8" s="8" t="str">
        <f t="shared" si="0"/>
        <v>AUSTIN THOMPSON</v>
      </c>
      <c r="H8" s="20" t="str">
        <f t="shared" si="1"/>
        <v>4050</v>
      </c>
    </row>
    <row r="9" spans="1:8" ht="15.75" thickBot="1" x14ac:dyDescent="0.3">
      <c r="A9" s="24">
        <v>43050.117164351854</v>
      </c>
      <c r="B9" s="20" t="s">
        <v>657</v>
      </c>
      <c r="C9" s="20" t="s">
        <v>658</v>
      </c>
      <c r="D9" s="138">
        <v>3120000</v>
      </c>
      <c r="E9" s="20" t="s">
        <v>370</v>
      </c>
      <c r="F9" s="20" t="s">
        <v>696</v>
      </c>
      <c r="G9" s="8" t="str">
        <f t="shared" si="0"/>
        <v>THOMPSON LESTER</v>
      </c>
      <c r="H9" s="20" t="str">
        <f t="shared" si="1"/>
        <v>4019</v>
      </c>
    </row>
    <row r="10" spans="1:8" x14ac:dyDescent="0.25">
      <c r="A10" s="8">
        <v>43050.118576388886</v>
      </c>
      <c r="B10" s="20" t="s">
        <v>657</v>
      </c>
      <c r="C10" s="20" t="s">
        <v>658</v>
      </c>
      <c r="D10" s="138">
        <v>3120000</v>
      </c>
      <c r="E10" s="20" t="s">
        <v>370</v>
      </c>
      <c r="F10" s="20" t="s">
        <v>696</v>
      </c>
      <c r="G10" s="8" t="str">
        <f t="shared" si="0"/>
        <v>THOMPSON LESTER</v>
      </c>
      <c r="H10" s="20" t="str">
        <f t="shared" si="1"/>
        <v>4019</v>
      </c>
    </row>
    <row r="11" spans="1:8" x14ac:dyDescent="0.25">
      <c r="A11" s="8">
        <v>43050.134004629632</v>
      </c>
      <c r="B11" s="20" t="s">
        <v>697</v>
      </c>
      <c r="C11" s="20" t="s">
        <v>698</v>
      </c>
      <c r="D11" s="138">
        <v>2040000</v>
      </c>
      <c r="E11" s="20" t="s">
        <v>397</v>
      </c>
      <c r="F11" s="20" t="s">
        <v>398</v>
      </c>
      <c r="G11" s="8" t="str">
        <f t="shared" si="0"/>
        <v>MOSES BRADLEY</v>
      </c>
      <c r="H11" s="20" t="str">
        <f t="shared" si="1"/>
        <v>4020</v>
      </c>
    </row>
    <row r="12" spans="1:8" x14ac:dyDescent="0.25">
      <c r="A12" s="8">
        <v>43050.134756944448</v>
      </c>
      <c r="B12" s="20" t="s">
        <v>699</v>
      </c>
      <c r="C12" s="20" t="s">
        <v>700</v>
      </c>
      <c r="D12" s="138">
        <v>3120000</v>
      </c>
      <c r="E12" s="20" t="s">
        <v>370</v>
      </c>
      <c r="F12" s="20" t="s">
        <v>696</v>
      </c>
      <c r="G12" s="8" t="str">
        <f t="shared" si="0"/>
        <v>THOMPSON LESTER</v>
      </c>
      <c r="H12" s="20" t="str">
        <f t="shared" si="1"/>
        <v>4044</v>
      </c>
    </row>
    <row r="13" spans="1:8" x14ac:dyDescent="0.25">
      <c r="A13" s="8">
        <v>43050.136574074073</v>
      </c>
      <c r="B13" s="20" t="s">
        <v>690</v>
      </c>
      <c r="C13" s="20" t="s">
        <v>701</v>
      </c>
      <c r="D13" s="138">
        <v>2010000</v>
      </c>
      <c r="E13" s="20" t="s">
        <v>535</v>
      </c>
      <c r="F13" s="20" t="s">
        <v>536</v>
      </c>
      <c r="G13" s="8" t="str">
        <f t="shared" si="0"/>
        <v>MAELZER KURT</v>
      </c>
      <c r="H13" s="20" t="str">
        <f t="shared" si="1"/>
        <v>4057</v>
      </c>
    </row>
    <row r="14" spans="1:8" x14ac:dyDescent="0.25">
      <c r="A14" s="8">
        <v>43050.140798611108</v>
      </c>
      <c r="B14" s="20" t="s">
        <v>657</v>
      </c>
      <c r="C14" s="20" t="s">
        <v>702</v>
      </c>
      <c r="D14" s="138">
        <v>2040000</v>
      </c>
      <c r="E14" s="20" t="s">
        <v>397</v>
      </c>
      <c r="F14" s="20" t="s">
        <v>398</v>
      </c>
      <c r="G14" s="8" t="str">
        <f t="shared" si="0"/>
        <v>MOSES BRADLEY</v>
      </c>
      <c r="H14" s="20" t="str">
        <f t="shared" si="1"/>
        <v>4019</v>
      </c>
    </row>
    <row r="15" spans="1:8" x14ac:dyDescent="0.25">
      <c r="A15" s="8">
        <v>43050.152465277781</v>
      </c>
      <c r="B15" s="20" t="s">
        <v>694</v>
      </c>
      <c r="C15" s="20" t="s">
        <v>703</v>
      </c>
      <c r="D15" s="138">
        <v>2010000</v>
      </c>
      <c r="E15" s="20" t="s">
        <v>535</v>
      </c>
      <c r="F15" s="20" t="s">
        <v>536</v>
      </c>
      <c r="G15" s="8" t="str">
        <f t="shared" si="0"/>
        <v>MAELZER KURT</v>
      </c>
      <c r="H15" s="20" t="str">
        <f t="shared" si="1"/>
        <v>4058</v>
      </c>
    </row>
    <row r="16" spans="1:8" x14ac:dyDescent="0.25">
      <c r="A16" s="8">
        <v>43050.162569444445</v>
      </c>
      <c r="B16" s="20" t="s">
        <v>454</v>
      </c>
      <c r="C16" s="20" t="s">
        <v>704</v>
      </c>
      <c r="D16" s="138">
        <v>3260000</v>
      </c>
      <c r="E16" s="20" t="s">
        <v>540</v>
      </c>
      <c r="F16" s="20" t="s">
        <v>541</v>
      </c>
      <c r="G16" s="8" t="str">
        <f t="shared" si="0"/>
        <v>PAGE MARCUS</v>
      </c>
      <c r="H16" s="20" t="str">
        <f t="shared" si="1"/>
        <v>4009</v>
      </c>
    </row>
    <row r="17" spans="1:8" x14ac:dyDescent="0.25">
      <c r="A17" s="8">
        <v>43050.172847222224</v>
      </c>
      <c r="B17" s="20" t="s">
        <v>687</v>
      </c>
      <c r="C17" s="20" t="s">
        <v>705</v>
      </c>
      <c r="D17" s="138">
        <v>1100000</v>
      </c>
      <c r="E17" s="20" t="s">
        <v>573</v>
      </c>
      <c r="F17" s="20" t="s">
        <v>574</v>
      </c>
      <c r="G17" s="8" t="str">
        <f t="shared" si="0"/>
        <v>GEBRETEKLE DAGNEW</v>
      </c>
      <c r="H17" s="20" t="str">
        <f t="shared" si="1"/>
        <v>4021</v>
      </c>
    </row>
    <row r="18" spans="1:8" x14ac:dyDescent="0.25">
      <c r="A18" s="8">
        <v>43050.173611111109</v>
      </c>
      <c r="B18" s="20" t="s">
        <v>663</v>
      </c>
      <c r="C18" s="20" t="s">
        <v>706</v>
      </c>
      <c r="D18" s="138">
        <v>3120000</v>
      </c>
      <c r="E18" s="20" t="s">
        <v>370</v>
      </c>
      <c r="F18" s="20" t="s">
        <v>696</v>
      </c>
      <c r="G18" s="8" t="str">
        <f t="shared" si="0"/>
        <v>THOMPSON LESTER</v>
      </c>
      <c r="H18" s="20" t="str">
        <f t="shared" si="1"/>
        <v>4043</v>
      </c>
    </row>
    <row r="19" spans="1:8" x14ac:dyDescent="0.25">
      <c r="A19" s="8">
        <v>43050.175682870373</v>
      </c>
      <c r="B19" s="20" t="s">
        <v>455</v>
      </c>
      <c r="C19" s="20" t="s">
        <v>707</v>
      </c>
      <c r="D19" s="138">
        <v>3260000</v>
      </c>
      <c r="E19" s="20" t="s">
        <v>540</v>
      </c>
      <c r="F19" s="20" t="s">
        <v>541</v>
      </c>
      <c r="G19" s="8" t="str">
        <f t="shared" si="0"/>
        <v>PAGE MARCUS</v>
      </c>
      <c r="H19" s="20" t="str">
        <f t="shared" si="1"/>
        <v>4010</v>
      </c>
    </row>
    <row r="20" spans="1:8" x14ac:dyDescent="0.25">
      <c r="A20" s="8">
        <v>43050.178518518522</v>
      </c>
      <c r="B20" s="20" t="s">
        <v>368</v>
      </c>
      <c r="C20" s="20" t="s">
        <v>708</v>
      </c>
      <c r="D20" s="138">
        <v>3180000</v>
      </c>
      <c r="E20" s="20" t="s">
        <v>709</v>
      </c>
      <c r="F20" s="20" t="s">
        <v>710</v>
      </c>
      <c r="G20" s="8" t="str">
        <f t="shared" si="0"/>
        <v>HUFFSMITH MONTY</v>
      </c>
      <c r="H20" s="20" t="str">
        <f t="shared" si="1"/>
        <v>4035</v>
      </c>
    </row>
    <row r="21" spans="1:8" x14ac:dyDescent="0.25">
      <c r="A21" s="8">
        <v>43050.186319444445</v>
      </c>
      <c r="B21" s="20" t="s">
        <v>385</v>
      </c>
      <c r="C21" s="20" t="s">
        <v>711</v>
      </c>
      <c r="D21" s="138">
        <v>1100000</v>
      </c>
      <c r="E21" s="20" t="s">
        <v>573</v>
      </c>
      <c r="F21" s="20" t="s">
        <v>574</v>
      </c>
      <c r="G21" s="8" t="str">
        <f t="shared" si="0"/>
        <v>GEBRETEKLE DAGNEW</v>
      </c>
      <c r="H21" s="20" t="str">
        <f t="shared" si="1"/>
        <v>4022</v>
      </c>
    </row>
    <row r="22" spans="1:8" x14ac:dyDescent="0.25">
      <c r="A22" s="26">
        <v>43050.187222222223</v>
      </c>
      <c r="B22" s="20" t="s">
        <v>690</v>
      </c>
      <c r="C22" s="20" t="s">
        <v>712</v>
      </c>
      <c r="D22" s="138">
        <v>2010000</v>
      </c>
      <c r="E22" s="20" t="s">
        <v>535</v>
      </c>
      <c r="F22" s="20" t="s">
        <v>536</v>
      </c>
      <c r="G22" s="8" t="str">
        <f t="shared" si="0"/>
        <v>MAELZER KURT</v>
      </c>
      <c r="H22" s="20" t="str">
        <f t="shared" si="1"/>
        <v>4057</v>
      </c>
    </row>
    <row r="23" spans="1:8" x14ac:dyDescent="0.25">
      <c r="A23" s="8">
        <v>43050.188587962963</v>
      </c>
      <c r="B23" s="20" t="s">
        <v>663</v>
      </c>
      <c r="C23" s="20" t="s">
        <v>706</v>
      </c>
      <c r="D23" s="138">
        <v>3120000</v>
      </c>
      <c r="E23" s="20" t="s">
        <v>370</v>
      </c>
      <c r="F23" s="20" t="s">
        <v>696</v>
      </c>
      <c r="G23" s="8" t="str">
        <f t="shared" si="0"/>
        <v>THOMPSON LESTER</v>
      </c>
      <c r="H23" s="20" t="str">
        <f t="shared" si="1"/>
        <v>4043</v>
      </c>
    </row>
    <row r="24" spans="1:8" x14ac:dyDescent="0.25">
      <c r="A24" s="8">
        <v>43050.195844907408</v>
      </c>
      <c r="B24" s="20" t="s">
        <v>367</v>
      </c>
      <c r="C24" s="20" t="s">
        <v>713</v>
      </c>
      <c r="D24" s="138">
        <v>3180000</v>
      </c>
      <c r="E24" s="20" t="s">
        <v>709</v>
      </c>
      <c r="F24" s="20" t="s">
        <v>710</v>
      </c>
      <c r="G24" s="8" t="str">
        <f t="shared" si="0"/>
        <v>HUFFSMITH MONTY</v>
      </c>
      <c r="H24" s="20" t="str">
        <f t="shared" si="1"/>
        <v>4036</v>
      </c>
    </row>
    <row r="25" spans="1:8" x14ac:dyDescent="0.25">
      <c r="A25" s="8">
        <v>43050.198344907411</v>
      </c>
      <c r="B25" s="20" t="s">
        <v>385</v>
      </c>
      <c r="C25" s="20" t="s">
        <v>711</v>
      </c>
      <c r="D25" s="138">
        <v>1100000</v>
      </c>
      <c r="E25" s="20" t="s">
        <v>573</v>
      </c>
      <c r="F25" s="20" t="s">
        <v>574</v>
      </c>
      <c r="G25" s="8" t="str">
        <f t="shared" si="0"/>
        <v>GEBRETEKLE DAGNEW</v>
      </c>
      <c r="H25" s="20" t="str">
        <f t="shared" si="1"/>
        <v>4022</v>
      </c>
    </row>
    <row r="26" spans="1:8" x14ac:dyDescent="0.25">
      <c r="A26" s="8">
        <v>43050.202407407407</v>
      </c>
      <c r="B26" s="20" t="s">
        <v>672</v>
      </c>
      <c r="C26" s="20" t="s">
        <v>714</v>
      </c>
      <c r="D26" s="138">
        <v>2560000</v>
      </c>
      <c r="E26" s="20" t="s">
        <v>577</v>
      </c>
      <c r="F26" s="20" t="s">
        <v>576</v>
      </c>
      <c r="G26" s="8" t="str">
        <f t="shared" si="0"/>
        <v>MACDONALD THOMAS</v>
      </c>
      <c r="H26" s="20" t="str">
        <f t="shared" si="1"/>
        <v>4065</v>
      </c>
    </row>
    <row r="27" spans="1:8" x14ac:dyDescent="0.25">
      <c r="A27" s="8">
        <v>43050.209282407406</v>
      </c>
      <c r="B27" s="20" t="s">
        <v>699</v>
      </c>
      <c r="C27" s="20" t="s">
        <v>715</v>
      </c>
      <c r="D27" s="138">
        <v>3120000</v>
      </c>
      <c r="E27" s="20" t="s">
        <v>370</v>
      </c>
      <c r="F27" s="20" t="s">
        <v>696</v>
      </c>
      <c r="G27" s="8" t="str">
        <f t="shared" si="0"/>
        <v>THOMPSON LESTER</v>
      </c>
      <c r="H27" s="20" t="str">
        <f t="shared" si="1"/>
        <v>4044</v>
      </c>
    </row>
    <row r="28" spans="1:8" x14ac:dyDescent="0.25">
      <c r="A28" s="8">
        <v>43050.211643518516</v>
      </c>
      <c r="B28" s="20" t="s">
        <v>454</v>
      </c>
      <c r="C28" s="20" t="s">
        <v>660</v>
      </c>
      <c r="D28" s="138">
        <v>3260000</v>
      </c>
      <c r="E28" s="20" t="s">
        <v>540</v>
      </c>
      <c r="F28" s="20" t="s">
        <v>541</v>
      </c>
      <c r="G28" s="8" t="str">
        <f t="shared" si="0"/>
        <v>PAGE MARCUS</v>
      </c>
      <c r="H28" s="20" t="str">
        <f t="shared" si="1"/>
        <v>4009</v>
      </c>
    </row>
    <row r="29" spans="1:8" x14ac:dyDescent="0.25">
      <c r="A29" s="8">
        <v>43050.216331018521</v>
      </c>
      <c r="B29" s="20" t="s">
        <v>687</v>
      </c>
      <c r="C29" s="20" t="s">
        <v>716</v>
      </c>
      <c r="D29" s="138">
        <v>1100000</v>
      </c>
      <c r="E29" s="20" t="s">
        <v>573</v>
      </c>
      <c r="F29" s="20" t="s">
        <v>574</v>
      </c>
      <c r="G29" s="8" t="str">
        <f t="shared" si="0"/>
        <v>GEBRETEKLE DAGNEW</v>
      </c>
      <c r="H29" s="20" t="str">
        <f t="shared" si="1"/>
        <v>4021</v>
      </c>
    </row>
    <row r="30" spans="1:8" x14ac:dyDescent="0.25">
      <c r="A30" s="8">
        <v>43050.21733796296</v>
      </c>
      <c r="B30" s="20" t="s">
        <v>675</v>
      </c>
      <c r="C30" s="20" t="s">
        <v>717</v>
      </c>
      <c r="D30" s="138">
        <v>2560000</v>
      </c>
      <c r="E30" s="20" t="s">
        <v>577</v>
      </c>
      <c r="F30" s="20" t="s">
        <v>576</v>
      </c>
      <c r="G30" s="8" t="str">
        <f t="shared" si="0"/>
        <v>MACDONALD THOMAS</v>
      </c>
      <c r="H30" s="20" t="str">
        <f t="shared" si="1"/>
        <v>4066</v>
      </c>
    </row>
    <row r="31" spans="1:8" x14ac:dyDescent="0.25">
      <c r="A31" s="8">
        <v>43050.219178240739</v>
      </c>
      <c r="B31" s="20" t="s">
        <v>537</v>
      </c>
      <c r="C31" s="20" t="s">
        <v>659</v>
      </c>
      <c r="D31" s="138">
        <v>3040000</v>
      </c>
      <c r="E31" s="20" t="s">
        <v>369</v>
      </c>
      <c r="F31" s="20" t="s">
        <v>538</v>
      </c>
      <c r="G31" s="8" t="str">
        <f t="shared" si="0"/>
        <v>WILLIAMS DONTE</v>
      </c>
      <c r="H31" s="20" t="str">
        <f t="shared" si="1"/>
        <v>4025</v>
      </c>
    </row>
    <row r="32" spans="1:8" x14ac:dyDescent="0.25">
      <c r="A32" s="8">
        <v>43050.225034722222</v>
      </c>
      <c r="B32" s="20" t="s">
        <v>661</v>
      </c>
      <c r="C32" s="20" t="s">
        <v>718</v>
      </c>
      <c r="D32" s="138">
        <v>3090000</v>
      </c>
      <c r="E32" s="20" t="s">
        <v>719</v>
      </c>
      <c r="F32" s="20" t="s">
        <v>720</v>
      </c>
      <c r="G32" s="8" t="str">
        <f t="shared" si="0"/>
        <v>LAMAR NEKESHA</v>
      </c>
      <c r="H32" s="20" t="str">
        <f t="shared" si="1"/>
        <v>4006</v>
      </c>
    </row>
    <row r="33" spans="1:8" x14ac:dyDescent="0.25">
      <c r="A33" s="8">
        <v>43050.227500000001</v>
      </c>
      <c r="B33" s="20" t="s">
        <v>694</v>
      </c>
      <c r="C33" s="20" t="s">
        <v>721</v>
      </c>
      <c r="D33" s="138">
        <v>2010000</v>
      </c>
      <c r="E33" s="20" t="s">
        <v>535</v>
      </c>
      <c r="F33" s="20" t="s">
        <v>536</v>
      </c>
      <c r="G33" s="8" t="str">
        <f t="shared" si="0"/>
        <v>MAELZER KURT</v>
      </c>
      <c r="H33" s="20" t="str">
        <f t="shared" si="1"/>
        <v>4058</v>
      </c>
    </row>
    <row r="34" spans="1:8" x14ac:dyDescent="0.25">
      <c r="A34" s="8">
        <v>43050.230347222219</v>
      </c>
      <c r="B34" s="20" t="s">
        <v>368</v>
      </c>
      <c r="C34" s="20" t="s">
        <v>722</v>
      </c>
      <c r="D34" s="138">
        <v>3180000</v>
      </c>
      <c r="E34" s="20" t="s">
        <v>709</v>
      </c>
      <c r="F34" s="20" t="s">
        <v>710</v>
      </c>
      <c r="G34" s="8" t="str">
        <f t="shared" si="0"/>
        <v>HUFFSMITH MONTY</v>
      </c>
      <c r="H34" s="20" t="str">
        <f t="shared" si="1"/>
        <v>4035</v>
      </c>
    </row>
    <row r="35" spans="1:8" x14ac:dyDescent="0.25">
      <c r="A35" s="8">
        <v>43050.235567129632</v>
      </c>
      <c r="B35" s="20" t="s">
        <v>665</v>
      </c>
      <c r="C35" s="20" t="s">
        <v>723</v>
      </c>
      <c r="D35" s="138">
        <v>3090000</v>
      </c>
      <c r="E35" s="20" t="s">
        <v>719</v>
      </c>
      <c r="F35" s="20" t="s">
        <v>720</v>
      </c>
      <c r="G35" s="8" t="str">
        <f t="shared" si="0"/>
        <v>LAMAR NEKESHA</v>
      </c>
      <c r="H35" s="20" t="str">
        <f t="shared" si="1"/>
        <v>4005</v>
      </c>
    </row>
    <row r="36" spans="1:8" x14ac:dyDescent="0.25">
      <c r="A36" s="8">
        <v>43050.237662037034</v>
      </c>
      <c r="B36" s="20" t="s">
        <v>533</v>
      </c>
      <c r="C36" s="20" t="s">
        <v>724</v>
      </c>
      <c r="D36" s="138">
        <v>3040000</v>
      </c>
      <c r="E36" s="20" t="s">
        <v>369</v>
      </c>
      <c r="F36" s="20" t="s">
        <v>538</v>
      </c>
      <c r="G36" s="8" t="str">
        <f t="shared" si="0"/>
        <v>WILLIAMS DONTE</v>
      </c>
      <c r="H36" s="20" t="str">
        <f t="shared" si="1"/>
        <v>4026</v>
      </c>
    </row>
    <row r="37" spans="1:8" x14ac:dyDescent="0.25">
      <c r="A37" s="8">
        <v>43050.244791666664</v>
      </c>
      <c r="B37" s="20" t="s">
        <v>663</v>
      </c>
      <c r="C37" s="20" t="s">
        <v>664</v>
      </c>
      <c r="D37" s="138">
        <v>3120000</v>
      </c>
      <c r="E37" s="20" t="s">
        <v>370</v>
      </c>
      <c r="F37" s="20" t="s">
        <v>696</v>
      </c>
      <c r="G37" s="8" t="str">
        <f t="shared" si="0"/>
        <v>THOMPSON LESTER</v>
      </c>
      <c r="H37" s="20" t="str">
        <f t="shared" si="1"/>
        <v>4043</v>
      </c>
    </row>
    <row r="38" spans="1:8" x14ac:dyDescent="0.25">
      <c r="A38" s="8">
        <v>43050.245972222219</v>
      </c>
      <c r="B38" s="20" t="s">
        <v>455</v>
      </c>
      <c r="C38" s="20" t="s">
        <v>725</v>
      </c>
      <c r="D38" s="138">
        <v>3260000</v>
      </c>
      <c r="E38" s="20" t="s">
        <v>540</v>
      </c>
      <c r="F38" s="20" t="s">
        <v>541</v>
      </c>
      <c r="G38" s="8" t="str">
        <f t="shared" si="0"/>
        <v>PAGE MARCUS</v>
      </c>
      <c r="H38" s="20" t="str">
        <f t="shared" si="1"/>
        <v>4010</v>
      </c>
    </row>
    <row r="39" spans="1:8" x14ac:dyDescent="0.25">
      <c r="A39" s="8">
        <v>43050.246655092589</v>
      </c>
      <c r="B39" s="20" t="s">
        <v>672</v>
      </c>
      <c r="C39" s="20" t="s">
        <v>726</v>
      </c>
      <c r="D39" s="138">
        <v>2560000</v>
      </c>
      <c r="E39" s="20" t="s">
        <v>577</v>
      </c>
      <c r="F39" s="20" t="s">
        <v>576</v>
      </c>
      <c r="G39" s="8" t="str">
        <f t="shared" si="0"/>
        <v>MACDONALD THOMAS</v>
      </c>
      <c r="H39" s="20" t="str">
        <f t="shared" si="1"/>
        <v>4065</v>
      </c>
    </row>
    <row r="40" spans="1:8" x14ac:dyDescent="0.25">
      <c r="A40" s="8">
        <v>43050.254594907405</v>
      </c>
      <c r="B40" s="25" t="s">
        <v>661</v>
      </c>
      <c r="C40" s="20" t="s">
        <v>662</v>
      </c>
      <c r="D40" s="138">
        <v>3090000</v>
      </c>
      <c r="E40" s="20" t="s">
        <v>719</v>
      </c>
      <c r="F40" s="20" t="s">
        <v>720</v>
      </c>
      <c r="G40" s="8" t="str">
        <f t="shared" si="0"/>
        <v>LAMAR NEKESHA</v>
      </c>
      <c r="H40" s="20" t="str">
        <f t="shared" si="1"/>
        <v>4006</v>
      </c>
    </row>
    <row r="41" spans="1:8" x14ac:dyDescent="0.25">
      <c r="A41" s="8">
        <v>43050.257592592592</v>
      </c>
      <c r="B41" s="20" t="s">
        <v>385</v>
      </c>
      <c r="C41" s="20" t="s">
        <v>727</v>
      </c>
      <c r="D41" s="138">
        <v>1100000</v>
      </c>
      <c r="E41" s="20" t="s">
        <v>573</v>
      </c>
      <c r="F41" s="20" t="s">
        <v>574</v>
      </c>
      <c r="G41" s="8" t="str">
        <f t="shared" si="0"/>
        <v>GEBRETEKLE DAGNEW</v>
      </c>
      <c r="H41" s="20" t="str">
        <f t="shared" si="1"/>
        <v>4022</v>
      </c>
    </row>
    <row r="42" spans="1:8" x14ac:dyDescent="0.25">
      <c r="A42" s="8">
        <v>43050.262685185182</v>
      </c>
      <c r="B42" s="20" t="s">
        <v>690</v>
      </c>
      <c r="C42" s="20" t="s">
        <v>728</v>
      </c>
      <c r="D42" s="138">
        <v>2010000</v>
      </c>
      <c r="E42" s="20" t="s">
        <v>535</v>
      </c>
      <c r="F42" s="20" t="s">
        <v>536</v>
      </c>
      <c r="G42" s="8" t="str">
        <f t="shared" si="0"/>
        <v>MAELZER KURT</v>
      </c>
      <c r="H42" s="20" t="str">
        <f t="shared" si="1"/>
        <v>4057</v>
      </c>
    </row>
    <row r="43" spans="1:8" x14ac:dyDescent="0.25">
      <c r="A43" s="8">
        <v>43050.267511574071</v>
      </c>
      <c r="B43" s="20" t="s">
        <v>367</v>
      </c>
      <c r="C43" s="20" t="s">
        <v>729</v>
      </c>
      <c r="D43" s="138">
        <v>3180000</v>
      </c>
      <c r="E43" s="20" t="s">
        <v>709</v>
      </c>
      <c r="F43" s="20" t="s">
        <v>710</v>
      </c>
      <c r="G43" s="8" t="str">
        <f t="shared" si="0"/>
        <v>HUFFSMITH MONTY</v>
      </c>
      <c r="H43" s="20" t="str">
        <f t="shared" si="1"/>
        <v>4036</v>
      </c>
    </row>
    <row r="44" spans="1:8" x14ac:dyDescent="0.25">
      <c r="A44" s="8">
        <v>43050.267754629633</v>
      </c>
      <c r="B44" s="20" t="s">
        <v>665</v>
      </c>
      <c r="C44" s="20" t="s">
        <v>666</v>
      </c>
      <c r="D44" s="138">
        <v>3090000</v>
      </c>
      <c r="E44" s="20" t="s">
        <v>719</v>
      </c>
      <c r="F44" s="20" t="s">
        <v>720</v>
      </c>
      <c r="G44" s="8" t="str">
        <f t="shared" si="0"/>
        <v>LAMAR NEKESHA</v>
      </c>
      <c r="H44" s="20" t="str">
        <f t="shared" si="1"/>
        <v>4005</v>
      </c>
    </row>
    <row r="45" spans="1:8" x14ac:dyDescent="0.25">
      <c r="A45" s="8">
        <v>43050.271863425929</v>
      </c>
      <c r="B45" s="20" t="s">
        <v>537</v>
      </c>
      <c r="C45" s="20" t="s">
        <v>730</v>
      </c>
      <c r="D45" s="138">
        <v>3040000</v>
      </c>
      <c r="E45" s="20" t="s">
        <v>369</v>
      </c>
      <c r="F45" s="20" t="s">
        <v>538</v>
      </c>
      <c r="G45" s="8" t="str">
        <f t="shared" si="0"/>
        <v>WILLIAMS DONTE</v>
      </c>
      <c r="H45" s="20" t="str">
        <f t="shared" si="1"/>
        <v>4025</v>
      </c>
    </row>
    <row r="46" spans="1:8" x14ac:dyDescent="0.25">
      <c r="A46" s="8">
        <v>43050.279479166667</v>
      </c>
      <c r="B46" s="20" t="s">
        <v>699</v>
      </c>
      <c r="C46" s="20" t="s">
        <v>731</v>
      </c>
      <c r="D46" s="138">
        <v>3120000</v>
      </c>
      <c r="E46" s="20" t="s">
        <v>370</v>
      </c>
      <c r="F46" s="20" t="s">
        <v>696</v>
      </c>
      <c r="G46" s="8" t="str">
        <f t="shared" si="0"/>
        <v>THOMPSON LESTER</v>
      </c>
      <c r="H46" s="20" t="str">
        <f t="shared" si="1"/>
        <v>4044</v>
      </c>
    </row>
    <row r="47" spans="1:8" x14ac:dyDescent="0.25">
      <c r="A47" s="8">
        <v>43050.283136574071</v>
      </c>
      <c r="B47" s="20" t="s">
        <v>454</v>
      </c>
      <c r="C47" s="20" t="s">
        <v>668</v>
      </c>
      <c r="D47" s="138">
        <v>3260000</v>
      </c>
      <c r="E47" s="20" t="s">
        <v>540</v>
      </c>
      <c r="F47" s="20" t="s">
        <v>541</v>
      </c>
      <c r="G47" s="8" t="str">
        <f t="shared" si="0"/>
        <v>PAGE MARCUS</v>
      </c>
      <c r="H47" s="20" t="str">
        <f t="shared" si="1"/>
        <v>4009</v>
      </c>
    </row>
    <row r="48" spans="1:8" x14ac:dyDescent="0.25">
      <c r="A48" s="8">
        <v>43050.28628472222</v>
      </c>
      <c r="B48" s="20" t="s">
        <v>687</v>
      </c>
      <c r="C48" s="20" t="s">
        <v>732</v>
      </c>
      <c r="D48" s="138">
        <v>1100000</v>
      </c>
      <c r="E48" s="20" t="s">
        <v>573</v>
      </c>
      <c r="F48" s="20" t="s">
        <v>574</v>
      </c>
      <c r="G48" s="8" t="str">
        <f t="shared" si="0"/>
        <v>GEBRETEKLE DAGNEW</v>
      </c>
      <c r="H48" s="20" t="str">
        <f t="shared" si="1"/>
        <v>4021</v>
      </c>
    </row>
    <row r="49" spans="1:8" x14ac:dyDescent="0.25">
      <c r="A49" s="8">
        <v>43050.28869212963</v>
      </c>
      <c r="B49" s="20" t="s">
        <v>675</v>
      </c>
      <c r="C49" s="20" t="s">
        <v>733</v>
      </c>
      <c r="D49" s="138">
        <v>2560000</v>
      </c>
      <c r="E49" s="20" t="s">
        <v>577</v>
      </c>
      <c r="F49" s="20" t="s">
        <v>576</v>
      </c>
      <c r="G49" s="8" t="str">
        <f t="shared" si="0"/>
        <v>MACDONALD THOMAS</v>
      </c>
      <c r="H49" s="20" t="str">
        <f t="shared" si="1"/>
        <v>4066</v>
      </c>
    </row>
    <row r="50" spans="1:8" x14ac:dyDescent="0.25">
      <c r="A50" s="8">
        <v>43050.297812500001</v>
      </c>
      <c r="B50" s="20" t="s">
        <v>661</v>
      </c>
      <c r="C50" s="20" t="s">
        <v>667</v>
      </c>
      <c r="D50" s="138">
        <v>3090000</v>
      </c>
      <c r="E50" s="20" t="s">
        <v>719</v>
      </c>
      <c r="F50" s="20" t="s">
        <v>720</v>
      </c>
      <c r="G50" s="8" t="str">
        <f t="shared" si="0"/>
        <v>LAMAR NEKESHA</v>
      </c>
      <c r="H50" s="20" t="str">
        <f t="shared" si="1"/>
        <v>4006</v>
      </c>
    </row>
    <row r="51" spans="1:8" x14ac:dyDescent="0.25">
      <c r="A51" s="8">
        <v>43050.300219907411</v>
      </c>
      <c r="B51" s="20" t="s">
        <v>694</v>
      </c>
      <c r="C51" s="20" t="s">
        <v>734</v>
      </c>
      <c r="D51" s="138">
        <v>2010000</v>
      </c>
      <c r="E51" s="20" t="s">
        <v>535</v>
      </c>
      <c r="F51" s="20" t="s">
        <v>536</v>
      </c>
      <c r="G51" s="8" t="str">
        <f t="shared" si="0"/>
        <v>MAELZER KURT</v>
      </c>
      <c r="H51" s="20" t="str">
        <f t="shared" si="1"/>
        <v>4058</v>
      </c>
    </row>
    <row r="52" spans="1:8" x14ac:dyDescent="0.25">
      <c r="A52" s="8">
        <v>43050.303391203706</v>
      </c>
      <c r="B52" s="20" t="s">
        <v>368</v>
      </c>
      <c r="C52" s="20" t="s">
        <v>735</v>
      </c>
      <c r="D52" s="138">
        <v>3180000</v>
      </c>
      <c r="E52" s="20" t="s">
        <v>709</v>
      </c>
      <c r="F52" s="20" t="s">
        <v>710</v>
      </c>
      <c r="G52" s="8" t="str">
        <f t="shared" si="0"/>
        <v>HUFFSMITH MONTY</v>
      </c>
      <c r="H52" s="20" t="str">
        <f t="shared" si="1"/>
        <v>4035</v>
      </c>
    </row>
    <row r="53" spans="1:8" x14ac:dyDescent="0.25">
      <c r="A53" s="8">
        <v>43050.304189814815</v>
      </c>
      <c r="B53" s="20" t="s">
        <v>454</v>
      </c>
      <c r="C53" s="20" t="s">
        <v>668</v>
      </c>
      <c r="D53" s="138">
        <v>3260000</v>
      </c>
      <c r="E53" s="20" t="s">
        <v>540</v>
      </c>
      <c r="F53" s="20" t="s">
        <v>541</v>
      </c>
      <c r="G53" s="8" t="str">
        <f t="shared" si="0"/>
        <v>PAGE MARCUS</v>
      </c>
      <c r="H53" s="20" t="str">
        <f t="shared" si="1"/>
        <v>4009</v>
      </c>
    </row>
    <row r="54" spans="1:8" x14ac:dyDescent="0.25">
      <c r="A54" s="8">
        <v>43050.308564814812</v>
      </c>
      <c r="B54" s="20" t="s">
        <v>533</v>
      </c>
      <c r="C54" s="20" t="s">
        <v>736</v>
      </c>
      <c r="D54" s="138">
        <v>3040000</v>
      </c>
      <c r="E54" s="20" t="s">
        <v>369</v>
      </c>
      <c r="F54" s="20" t="s">
        <v>538</v>
      </c>
      <c r="G54" s="8" t="str">
        <f t="shared" si="0"/>
        <v>WILLIAMS DONTE</v>
      </c>
      <c r="H54" s="20" t="str">
        <f t="shared" si="1"/>
        <v>4026</v>
      </c>
    </row>
    <row r="55" spans="1:8" x14ac:dyDescent="0.25">
      <c r="A55" s="8">
        <v>43050.310208333336</v>
      </c>
      <c r="B55" s="20" t="s">
        <v>665</v>
      </c>
      <c r="C55" s="20" t="s">
        <v>737</v>
      </c>
      <c r="D55" s="138">
        <v>3090000</v>
      </c>
      <c r="E55" s="20" t="s">
        <v>719</v>
      </c>
      <c r="F55" s="20" t="s">
        <v>720</v>
      </c>
      <c r="G55" s="8" t="str">
        <f t="shared" si="0"/>
        <v>LAMAR NEKESHA</v>
      </c>
      <c r="H55" s="20" t="str">
        <f t="shared" si="1"/>
        <v>4005</v>
      </c>
    </row>
    <row r="56" spans="1:8" x14ac:dyDescent="0.25">
      <c r="A56" s="8">
        <v>43050.318576388891</v>
      </c>
      <c r="B56" s="20" t="s">
        <v>663</v>
      </c>
      <c r="C56" s="20" t="s">
        <v>669</v>
      </c>
      <c r="D56" s="138">
        <v>3120000</v>
      </c>
      <c r="E56" s="20" t="s">
        <v>370</v>
      </c>
      <c r="F56" s="20" t="s">
        <v>696</v>
      </c>
      <c r="G56" s="8" t="str">
        <f t="shared" si="0"/>
        <v>THOMPSON LESTER</v>
      </c>
      <c r="H56" s="20" t="str">
        <f t="shared" si="1"/>
        <v>4043</v>
      </c>
    </row>
    <row r="57" spans="1:8" x14ac:dyDescent="0.25">
      <c r="A57" s="8">
        <v>43050.319930555554</v>
      </c>
      <c r="B57" s="20" t="s">
        <v>455</v>
      </c>
      <c r="C57" s="20" t="s">
        <v>738</v>
      </c>
      <c r="D57" s="138">
        <v>3260000</v>
      </c>
      <c r="E57" s="20" t="s">
        <v>540</v>
      </c>
      <c r="F57" s="20" t="s">
        <v>541</v>
      </c>
      <c r="G57" s="8" t="str">
        <f t="shared" si="0"/>
        <v>PAGE MARCUS</v>
      </c>
      <c r="H57" s="20" t="str">
        <f t="shared" si="1"/>
        <v>4010</v>
      </c>
    </row>
    <row r="58" spans="1:8" x14ac:dyDescent="0.25">
      <c r="A58" s="8">
        <v>43050.329027777778</v>
      </c>
      <c r="B58" s="20" t="s">
        <v>385</v>
      </c>
      <c r="C58" s="20" t="s">
        <v>739</v>
      </c>
      <c r="D58" s="138">
        <v>1100000</v>
      </c>
      <c r="E58" s="20" t="s">
        <v>573</v>
      </c>
      <c r="F58" s="20" t="s">
        <v>574</v>
      </c>
      <c r="G58" s="8" t="str">
        <f t="shared" si="0"/>
        <v>GEBRETEKLE DAGNEW</v>
      </c>
      <c r="H58" s="20" t="str">
        <f t="shared" si="1"/>
        <v>4022</v>
      </c>
    </row>
    <row r="59" spans="1:8" x14ac:dyDescent="0.25">
      <c r="A59" s="8">
        <v>43050.329953703702</v>
      </c>
      <c r="B59" s="20" t="s">
        <v>672</v>
      </c>
      <c r="C59" s="20" t="s">
        <v>740</v>
      </c>
      <c r="D59" s="138">
        <v>2560000</v>
      </c>
      <c r="E59" s="20" t="s">
        <v>577</v>
      </c>
      <c r="F59" s="20" t="s">
        <v>576</v>
      </c>
      <c r="G59" s="8" t="str">
        <f t="shared" si="0"/>
        <v>MACDONALD THOMAS</v>
      </c>
      <c r="H59" s="20" t="str">
        <f t="shared" si="1"/>
        <v>4065</v>
      </c>
    </row>
    <row r="60" spans="1:8" x14ac:dyDescent="0.25">
      <c r="A60" s="8">
        <v>43050.336388888885</v>
      </c>
      <c r="B60" s="20" t="s">
        <v>690</v>
      </c>
      <c r="C60" s="20" t="s">
        <v>741</v>
      </c>
      <c r="D60" s="138">
        <v>2010000</v>
      </c>
      <c r="E60" s="20" t="s">
        <v>535</v>
      </c>
      <c r="F60" s="20" t="s">
        <v>536</v>
      </c>
      <c r="G60" s="8" t="str">
        <f t="shared" si="0"/>
        <v>MAELZER KURT</v>
      </c>
      <c r="H60" s="20" t="str">
        <f t="shared" si="1"/>
        <v>4057</v>
      </c>
    </row>
    <row r="61" spans="1:8" x14ac:dyDescent="0.25">
      <c r="A61" s="8">
        <v>43050.337407407409</v>
      </c>
      <c r="B61" s="20" t="s">
        <v>385</v>
      </c>
      <c r="C61" s="20" t="s">
        <v>739</v>
      </c>
      <c r="D61" s="138">
        <v>1100000</v>
      </c>
      <c r="E61" s="20" t="s">
        <v>573</v>
      </c>
      <c r="F61" s="20" t="s">
        <v>574</v>
      </c>
      <c r="G61" s="8" t="str">
        <f t="shared" si="0"/>
        <v>GEBRETEKLE DAGNEW</v>
      </c>
      <c r="H61" s="20" t="str">
        <f t="shared" si="1"/>
        <v>4022</v>
      </c>
    </row>
    <row r="62" spans="1:8" x14ac:dyDescent="0.25">
      <c r="A62" s="8">
        <v>43050.337789351855</v>
      </c>
      <c r="B62" s="20" t="s">
        <v>661</v>
      </c>
      <c r="C62" s="20" t="s">
        <v>742</v>
      </c>
      <c r="D62" s="138">
        <v>3090000</v>
      </c>
      <c r="E62" s="20" t="s">
        <v>719</v>
      </c>
      <c r="F62" s="20" t="s">
        <v>720</v>
      </c>
      <c r="G62" s="8" t="str">
        <f t="shared" si="0"/>
        <v>LAMAR NEKESHA</v>
      </c>
      <c r="H62" s="20" t="str">
        <f t="shared" si="1"/>
        <v>4006</v>
      </c>
    </row>
    <row r="63" spans="1:8" x14ac:dyDescent="0.25">
      <c r="A63" s="8">
        <v>43050.339131944442</v>
      </c>
      <c r="B63" s="20" t="s">
        <v>367</v>
      </c>
      <c r="C63" s="20" t="s">
        <v>743</v>
      </c>
      <c r="D63" s="138">
        <v>3180000</v>
      </c>
      <c r="E63" s="20" t="s">
        <v>709</v>
      </c>
      <c r="F63" s="20" t="s">
        <v>710</v>
      </c>
      <c r="G63" s="8" t="str">
        <f t="shared" si="0"/>
        <v>HUFFSMITH MONTY</v>
      </c>
      <c r="H63" s="20" t="str">
        <f t="shared" si="1"/>
        <v>4036</v>
      </c>
    </row>
    <row r="64" spans="1:8" x14ac:dyDescent="0.25">
      <c r="A64" s="26">
        <v>43050.349942129629</v>
      </c>
      <c r="B64" s="20" t="s">
        <v>537</v>
      </c>
      <c r="C64" s="20" t="s">
        <v>744</v>
      </c>
      <c r="D64" s="138">
        <v>3040000</v>
      </c>
      <c r="E64" s="20" t="s">
        <v>369</v>
      </c>
      <c r="F64" s="20" t="s">
        <v>538</v>
      </c>
      <c r="G64" s="8" t="str">
        <f t="shared" si="0"/>
        <v>WILLIAMS DONTE</v>
      </c>
      <c r="H64" s="20" t="str">
        <f t="shared" si="1"/>
        <v>4025</v>
      </c>
    </row>
    <row r="65" spans="1:8" x14ac:dyDescent="0.25">
      <c r="A65" s="8">
        <v>43050.350891203707</v>
      </c>
      <c r="B65" s="20" t="s">
        <v>665</v>
      </c>
      <c r="C65" s="20" t="s">
        <v>670</v>
      </c>
      <c r="D65" s="138">
        <v>3090000</v>
      </c>
      <c r="E65" s="20" t="s">
        <v>719</v>
      </c>
      <c r="F65" s="20" t="s">
        <v>720</v>
      </c>
      <c r="G65" s="8" t="str">
        <f t="shared" si="0"/>
        <v>LAMAR NEKESHA</v>
      </c>
      <c r="H65" s="20" t="str">
        <f t="shared" si="1"/>
        <v>4005</v>
      </c>
    </row>
    <row r="66" spans="1:8" x14ac:dyDescent="0.25">
      <c r="A66" s="8">
        <v>43050.352881944447</v>
      </c>
      <c r="B66" s="20" t="s">
        <v>699</v>
      </c>
      <c r="C66" s="20" t="s">
        <v>745</v>
      </c>
      <c r="D66" s="138">
        <v>3120000</v>
      </c>
      <c r="E66" s="20" t="s">
        <v>370</v>
      </c>
      <c r="F66" s="20" t="s">
        <v>696</v>
      </c>
      <c r="G66" s="8" t="str">
        <f t="shared" si="0"/>
        <v>THOMPSON LESTER</v>
      </c>
      <c r="H66" s="20" t="str">
        <f t="shared" si="1"/>
        <v>4044</v>
      </c>
    </row>
    <row r="67" spans="1:8" x14ac:dyDescent="0.25">
      <c r="A67" s="8">
        <v>43050.353912037041</v>
      </c>
      <c r="B67" s="20" t="s">
        <v>699</v>
      </c>
      <c r="C67" s="20" t="s">
        <v>745</v>
      </c>
      <c r="D67" s="138">
        <v>3120000</v>
      </c>
      <c r="E67" s="20" t="s">
        <v>370</v>
      </c>
      <c r="F67" s="20" t="s">
        <v>696</v>
      </c>
      <c r="G67" s="8" t="str">
        <f t="shared" ref="G67:G130" si="2">E67&amp;" "&amp;F67</f>
        <v>THOMPSON LESTER</v>
      </c>
      <c r="H67" s="20" t="str">
        <f t="shared" ref="H67:H130" si="3">MID(B67,13,4)</f>
        <v>4044</v>
      </c>
    </row>
    <row r="68" spans="1:8" x14ac:dyDescent="0.25">
      <c r="A68" s="8">
        <v>43050.35733796296</v>
      </c>
      <c r="B68" s="20" t="s">
        <v>454</v>
      </c>
      <c r="C68" s="20" t="s">
        <v>746</v>
      </c>
      <c r="D68" s="138">
        <v>3260000</v>
      </c>
      <c r="E68" s="20" t="s">
        <v>540</v>
      </c>
      <c r="F68" s="20" t="s">
        <v>541</v>
      </c>
      <c r="G68" s="8" t="str">
        <f t="shared" si="2"/>
        <v>PAGE MARCUS</v>
      </c>
      <c r="H68" s="20" t="str">
        <f t="shared" si="3"/>
        <v>4009</v>
      </c>
    </row>
    <row r="69" spans="1:8" x14ac:dyDescent="0.25">
      <c r="A69" s="8">
        <v>43050.361064814817</v>
      </c>
      <c r="B69" s="20" t="s">
        <v>687</v>
      </c>
      <c r="C69" s="20" t="s">
        <v>747</v>
      </c>
      <c r="D69" s="138">
        <v>1100000</v>
      </c>
      <c r="E69" s="20" t="s">
        <v>573</v>
      </c>
      <c r="F69" s="20" t="s">
        <v>574</v>
      </c>
      <c r="G69" s="8" t="str">
        <f t="shared" si="2"/>
        <v>GEBRETEKLE DAGNEW</v>
      </c>
      <c r="H69" s="20" t="str">
        <f t="shared" si="3"/>
        <v>4021</v>
      </c>
    </row>
    <row r="70" spans="1:8" x14ac:dyDescent="0.25">
      <c r="A70" s="8">
        <v>43050.362627314818</v>
      </c>
      <c r="B70" s="20" t="s">
        <v>675</v>
      </c>
      <c r="C70" s="20" t="s">
        <v>748</v>
      </c>
      <c r="D70" s="138">
        <v>2560000</v>
      </c>
      <c r="E70" s="20" t="s">
        <v>577</v>
      </c>
      <c r="F70" s="20" t="s">
        <v>576</v>
      </c>
      <c r="G70" s="8" t="str">
        <f t="shared" si="2"/>
        <v>MACDONALD THOMAS</v>
      </c>
      <c r="H70" s="20" t="str">
        <f t="shared" si="3"/>
        <v>4066</v>
      </c>
    </row>
    <row r="71" spans="1:8" x14ac:dyDescent="0.25">
      <c r="A71" s="8">
        <v>43050.370752314811</v>
      </c>
      <c r="B71" s="20" t="s">
        <v>694</v>
      </c>
      <c r="C71" s="20" t="s">
        <v>749</v>
      </c>
      <c r="D71" s="138">
        <v>2010000</v>
      </c>
      <c r="E71" s="20" t="s">
        <v>535</v>
      </c>
      <c r="F71" s="20" t="s">
        <v>536</v>
      </c>
      <c r="G71" s="8" t="str">
        <f t="shared" si="2"/>
        <v>MAELZER KURT</v>
      </c>
      <c r="H71" s="20" t="str">
        <f t="shared" si="3"/>
        <v>4058</v>
      </c>
    </row>
    <row r="72" spans="1:8" x14ac:dyDescent="0.25">
      <c r="A72" s="8">
        <v>43050.373518518521</v>
      </c>
      <c r="B72" s="20" t="s">
        <v>368</v>
      </c>
      <c r="C72" s="20" t="s">
        <v>750</v>
      </c>
      <c r="D72" s="138">
        <v>3180000</v>
      </c>
      <c r="E72" s="20" t="s">
        <v>709</v>
      </c>
      <c r="F72" s="20" t="s">
        <v>710</v>
      </c>
      <c r="G72" s="8" t="str">
        <f t="shared" si="2"/>
        <v>HUFFSMITH MONTY</v>
      </c>
      <c r="H72" s="20" t="str">
        <f t="shared" si="3"/>
        <v>4035</v>
      </c>
    </row>
    <row r="73" spans="1:8" x14ac:dyDescent="0.25">
      <c r="A73" s="8">
        <v>43050.380416666667</v>
      </c>
      <c r="B73" s="20" t="s">
        <v>533</v>
      </c>
      <c r="C73" s="20" t="s">
        <v>751</v>
      </c>
      <c r="D73" s="138">
        <v>3040000</v>
      </c>
      <c r="E73" s="20" t="s">
        <v>369</v>
      </c>
      <c r="F73" s="20" t="s">
        <v>538</v>
      </c>
      <c r="G73" s="8" t="str">
        <f t="shared" si="2"/>
        <v>WILLIAMS DONTE</v>
      </c>
      <c r="H73" s="20" t="str">
        <f t="shared" si="3"/>
        <v>4026</v>
      </c>
    </row>
    <row r="74" spans="1:8" x14ac:dyDescent="0.25">
      <c r="A74" s="8">
        <v>43050.380752314813</v>
      </c>
      <c r="B74" s="20" t="s">
        <v>661</v>
      </c>
      <c r="C74" s="20" t="s">
        <v>752</v>
      </c>
      <c r="D74" s="138">
        <v>3090000</v>
      </c>
      <c r="E74" s="20" t="s">
        <v>719</v>
      </c>
      <c r="F74" s="20" t="s">
        <v>720</v>
      </c>
      <c r="G74" s="8" t="str">
        <f t="shared" si="2"/>
        <v>LAMAR NEKESHA</v>
      </c>
      <c r="H74" s="20" t="str">
        <f t="shared" si="3"/>
        <v>4006</v>
      </c>
    </row>
    <row r="75" spans="1:8" x14ac:dyDescent="0.25">
      <c r="A75" s="8">
        <v>43050.391157407408</v>
      </c>
      <c r="B75" s="20" t="s">
        <v>455</v>
      </c>
      <c r="C75" s="20" t="s">
        <v>753</v>
      </c>
      <c r="D75" s="138">
        <v>3260000</v>
      </c>
      <c r="E75" s="20" t="s">
        <v>540</v>
      </c>
      <c r="F75" s="20" t="s">
        <v>541</v>
      </c>
      <c r="G75" s="8" t="str">
        <f t="shared" si="2"/>
        <v>PAGE MARCUS</v>
      </c>
      <c r="H75" s="20" t="str">
        <f t="shared" si="3"/>
        <v>4010</v>
      </c>
    </row>
    <row r="76" spans="1:8" x14ac:dyDescent="0.25">
      <c r="A76" s="8">
        <v>43050.391898148147</v>
      </c>
      <c r="B76" s="20" t="s">
        <v>663</v>
      </c>
      <c r="C76" s="20" t="s">
        <v>754</v>
      </c>
      <c r="D76" s="138">
        <v>3120000</v>
      </c>
      <c r="E76" s="20" t="s">
        <v>370</v>
      </c>
      <c r="F76" s="20" t="s">
        <v>696</v>
      </c>
      <c r="G76" s="8" t="str">
        <f t="shared" si="2"/>
        <v>THOMPSON LESTER</v>
      </c>
      <c r="H76" s="20" t="str">
        <f t="shared" si="3"/>
        <v>4043</v>
      </c>
    </row>
    <row r="77" spans="1:8" x14ac:dyDescent="0.25">
      <c r="A77" s="8">
        <v>43050.39334490741</v>
      </c>
      <c r="B77" s="20" t="s">
        <v>665</v>
      </c>
      <c r="C77" s="20" t="s">
        <v>755</v>
      </c>
      <c r="D77" s="138">
        <v>3090000</v>
      </c>
      <c r="E77" s="20" t="s">
        <v>719</v>
      </c>
      <c r="F77" s="20" t="s">
        <v>720</v>
      </c>
      <c r="G77" s="8" t="str">
        <f t="shared" si="2"/>
        <v>LAMAR NEKESHA</v>
      </c>
      <c r="H77" s="20" t="str">
        <f t="shared" si="3"/>
        <v>4005</v>
      </c>
    </row>
    <row r="78" spans="1:8" x14ac:dyDescent="0.25">
      <c r="A78" s="8">
        <v>43050.402037037034</v>
      </c>
      <c r="B78" s="20" t="s">
        <v>385</v>
      </c>
      <c r="C78" s="20" t="s">
        <v>756</v>
      </c>
      <c r="D78" s="138">
        <v>1100000</v>
      </c>
      <c r="E78" s="20" t="s">
        <v>573</v>
      </c>
      <c r="F78" s="20" t="s">
        <v>574</v>
      </c>
      <c r="G78" s="8" t="str">
        <f t="shared" si="2"/>
        <v>GEBRETEKLE DAGNEW</v>
      </c>
      <c r="H78" s="20" t="str">
        <f t="shared" si="3"/>
        <v>4022</v>
      </c>
    </row>
    <row r="79" spans="1:8" x14ac:dyDescent="0.25">
      <c r="A79" s="8">
        <v>43050.403877314813</v>
      </c>
      <c r="B79" s="20" t="s">
        <v>672</v>
      </c>
      <c r="C79" s="20" t="s">
        <v>757</v>
      </c>
      <c r="D79" s="138">
        <v>2560000</v>
      </c>
      <c r="E79" s="20" t="s">
        <v>577</v>
      </c>
      <c r="F79" s="20" t="s">
        <v>576</v>
      </c>
      <c r="G79" s="8" t="str">
        <f t="shared" si="2"/>
        <v>MACDONALD THOMAS</v>
      </c>
      <c r="H79" s="20" t="str">
        <f t="shared" si="3"/>
        <v>4065</v>
      </c>
    </row>
    <row r="80" spans="1:8" x14ac:dyDescent="0.25">
      <c r="A80" s="8">
        <v>43050.406689814816</v>
      </c>
      <c r="B80" s="20" t="s">
        <v>690</v>
      </c>
      <c r="C80" s="20" t="s">
        <v>758</v>
      </c>
      <c r="D80" s="138">
        <v>2010000</v>
      </c>
      <c r="E80" s="20" t="s">
        <v>535</v>
      </c>
      <c r="F80" s="20" t="s">
        <v>536</v>
      </c>
      <c r="G80" s="8" t="str">
        <f t="shared" si="2"/>
        <v>MAELZER KURT</v>
      </c>
      <c r="H80" s="20" t="str">
        <f t="shared" si="3"/>
        <v>4057</v>
      </c>
    </row>
    <row r="81" spans="1:8" x14ac:dyDescent="0.25">
      <c r="A81" s="8">
        <v>43050.412685185183</v>
      </c>
      <c r="B81" s="20" t="s">
        <v>367</v>
      </c>
      <c r="C81" s="20" t="s">
        <v>759</v>
      </c>
      <c r="D81" s="138">
        <v>3180000</v>
      </c>
      <c r="E81" s="20" t="s">
        <v>709</v>
      </c>
      <c r="F81" s="20" t="s">
        <v>710</v>
      </c>
      <c r="G81" s="8" t="str">
        <f t="shared" si="2"/>
        <v>HUFFSMITH MONTY</v>
      </c>
      <c r="H81" s="20" t="str">
        <f t="shared" si="3"/>
        <v>4036</v>
      </c>
    </row>
    <row r="82" spans="1:8" x14ac:dyDescent="0.25">
      <c r="A82" s="8">
        <v>43050.421342592592</v>
      </c>
      <c r="B82" s="20" t="s">
        <v>537</v>
      </c>
      <c r="C82" s="20" t="s">
        <v>760</v>
      </c>
      <c r="D82" s="138">
        <v>3040000</v>
      </c>
      <c r="E82" s="20" t="s">
        <v>369</v>
      </c>
      <c r="F82" s="20" t="s">
        <v>538</v>
      </c>
      <c r="G82" s="8" t="str">
        <f t="shared" si="2"/>
        <v>WILLIAMS DONTE</v>
      </c>
      <c r="H82" s="20" t="str">
        <f t="shared" si="3"/>
        <v>4025</v>
      </c>
    </row>
    <row r="83" spans="1:8" x14ac:dyDescent="0.25">
      <c r="A83" s="8">
        <v>43050.421574074076</v>
      </c>
      <c r="B83" s="20" t="s">
        <v>661</v>
      </c>
      <c r="C83" s="20" t="s">
        <v>761</v>
      </c>
      <c r="D83" s="138">
        <v>3090000</v>
      </c>
      <c r="E83" s="20" t="s">
        <v>719</v>
      </c>
      <c r="F83" s="20" t="s">
        <v>720</v>
      </c>
      <c r="G83" s="8" t="str">
        <f t="shared" si="2"/>
        <v>LAMAR NEKESHA</v>
      </c>
      <c r="H83" s="20" t="str">
        <f t="shared" si="3"/>
        <v>4006</v>
      </c>
    </row>
    <row r="84" spans="1:8" x14ac:dyDescent="0.25">
      <c r="A84" s="8">
        <v>43050.424201388887</v>
      </c>
      <c r="B84" s="20" t="s">
        <v>699</v>
      </c>
      <c r="C84" s="20" t="s">
        <v>762</v>
      </c>
      <c r="D84" s="138">
        <v>2550000</v>
      </c>
      <c r="E84" s="20" t="s">
        <v>542</v>
      </c>
      <c r="F84" s="20" t="s">
        <v>543</v>
      </c>
      <c r="G84" s="8" t="str">
        <f t="shared" si="2"/>
        <v>BADERTSCHER DIANE</v>
      </c>
      <c r="H84" s="20" t="str">
        <f t="shared" si="3"/>
        <v>4044</v>
      </c>
    </row>
    <row r="85" spans="1:8" x14ac:dyDescent="0.25">
      <c r="A85" s="8">
        <v>43050.431134259263</v>
      </c>
      <c r="B85" s="20" t="s">
        <v>454</v>
      </c>
      <c r="C85" s="20" t="s">
        <v>763</v>
      </c>
      <c r="D85" s="138">
        <v>3260000</v>
      </c>
      <c r="E85" s="20" t="s">
        <v>540</v>
      </c>
      <c r="F85" s="20" t="s">
        <v>541</v>
      </c>
      <c r="G85" s="8" t="str">
        <f t="shared" si="2"/>
        <v>PAGE MARCUS</v>
      </c>
      <c r="H85" s="20" t="str">
        <f t="shared" si="3"/>
        <v>4009</v>
      </c>
    </row>
    <row r="86" spans="1:8" x14ac:dyDescent="0.25">
      <c r="A86" s="8">
        <v>43050.43204861111</v>
      </c>
      <c r="B86" s="20" t="s">
        <v>687</v>
      </c>
      <c r="C86" s="20" t="s">
        <v>764</v>
      </c>
      <c r="D86" s="138">
        <v>1100000</v>
      </c>
      <c r="E86" s="20" t="s">
        <v>573</v>
      </c>
      <c r="F86" s="20" t="s">
        <v>574</v>
      </c>
      <c r="G86" s="8" t="str">
        <f t="shared" si="2"/>
        <v>GEBRETEKLE DAGNEW</v>
      </c>
      <c r="H86" s="20" t="str">
        <f t="shared" si="3"/>
        <v>4021</v>
      </c>
    </row>
    <row r="87" spans="1:8" x14ac:dyDescent="0.25">
      <c r="A87" s="8">
        <v>43050.433888888889</v>
      </c>
      <c r="B87" s="20" t="s">
        <v>665</v>
      </c>
      <c r="C87" s="20" t="s">
        <v>765</v>
      </c>
      <c r="D87" s="138">
        <v>3090000</v>
      </c>
      <c r="E87" s="20" t="s">
        <v>719</v>
      </c>
      <c r="F87" s="20" t="s">
        <v>720</v>
      </c>
      <c r="G87" s="8" t="str">
        <f t="shared" si="2"/>
        <v>LAMAR NEKESHA</v>
      </c>
      <c r="H87" s="20" t="str">
        <f t="shared" si="3"/>
        <v>4005</v>
      </c>
    </row>
    <row r="88" spans="1:8" x14ac:dyDescent="0.25">
      <c r="A88" s="8">
        <v>43050.434745370374</v>
      </c>
      <c r="B88" s="20" t="s">
        <v>675</v>
      </c>
      <c r="C88" s="20" t="s">
        <v>766</v>
      </c>
      <c r="D88" s="138">
        <v>2560000</v>
      </c>
      <c r="E88" s="20" t="s">
        <v>577</v>
      </c>
      <c r="F88" s="20" t="s">
        <v>576</v>
      </c>
      <c r="G88" s="8" t="str">
        <f t="shared" si="2"/>
        <v>MACDONALD THOMAS</v>
      </c>
      <c r="H88" s="20" t="str">
        <f t="shared" si="3"/>
        <v>4066</v>
      </c>
    </row>
    <row r="89" spans="1:8" x14ac:dyDescent="0.25">
      <c r="A89" s="8">
        <v>43050.443692129629</v>
      </c>
      <c r="B89" s="20" t="s">
        <v>694</v>
      </c>
      <c r="C89" s="20" t="s">
        <v>767</v>
      </c>
      <c r="D89" s="138">
        <v>2540000</v>
      </c>
      <c r="E89" s="20" t="s">
        <v>501</v>
      </c>
      <c r="F89" s="20" t="s">
        <v>502</v>
      </c>
      <c r="G89" s="8" t="str">
        <f t="shared" si="2"/>
        <v>MCREYNOLDS KYLE</v>
      </c>
      <c r="H89" s="20" t="str">
        <f t="shared" si="3"/>
        <v>4058</v>
      </c>
    </row>
    <row r="90" spans="1:8" x14ac:dyDescent="0.25">
      <c r="A90" s="8">
        <v>43050.451157407406</v>
      </c>
      <c r="B90" s="20" t="s">
        <v>368</v>
      </c>
      <c r="C90" s="20" t="s">
        <v>768</v>
      </c>
      <c r="D90" s="138">
        <v>3180000</v>
      </c>
      <c r="E90" s="20" t="s">
        <v>709</v>
      </c>
      <c r="F90" s="20" t="s">
        <v>710</v>
      </c>
      <c r="G90" s="8" t="str">
        <f t="shared" si="2"/>
        <v>HUFFSMITH MONTY</v>
      </c>
      <c r="H90" s="20" t="str">
        <f t="shared" si="3"/>
        <v>4035</v>
      </c>
    </row>
    <row r="91" spans="1:8" x14ac:dyDescent="0.25">
      <c r="A91" s="8">
        <v>43050.453101851854</v>
      </c>
      <c r="B91" s="20" t="s">
        <v>533</v>
      </c>
      <c r="C91" s="20" t="s">
        <v>769</v>
      </c>
      <c r="D91" s="138">
        <v>3040000</v>
      </c>
      <c r="E91" s="20" t="s">
        <v>369</v>
      </c>
      <c r="F91" s="20" t="s">
        <v>538</v>
      </c>
      <c r="G91" s="8" t="str">
        <f t="shared" si="2"/>
        <v>WILLIAMS DONTE</v>
      </c>
      <c r="H91" s="20" t="str">
        <f t="shared" si="3"/>
        <v>4026</v>
      </c>
    </row>
    <row r="92" spans="1:8" x14ac:dyDescent="0.25">
      <c r="A92" s="8">
        <v>43050.461562500001</v>
      </c>
      <c r="B92" s="20" t="s">
        <v>663</v>
      </c>
      <c r="C92" s="20" t="s">
        <v>671</v>
      </c>
      <c r="D92" s="138">
        <v>2550000</v>
      </c>
      <c r="E92" s="20" t="s">
        <v>542</v>
      </c>
      <c r="F92" s="20" t="s">
        <v>543</v>
      </c>
      <c r="G92" s="8" t="str">
        <f t="shared" si="2"/>
        <v>BADERTSCHER DIANE</v>
      </c>
      <c r="H92" s="20" t="str">
        <f t="shared" si="3"/>
        <v>4043</v>
      </c>
    </row>
    <row r="93" spans="1:8" x14ac:dyDescent="0.25">
      <c r="A93" s="8">
        <v>43050.462696759256</v>
      </c>
      <c r="B93" s="20" t="s">
        <v>661</v>
      </c>
      <c r="C93" s="20" t="s">
        <v>770</v>
      </c>
      <c r="D93" s="138">
        <v>3090000</v>
      </c>
      <c r="E93" s="20" t="s">
        <v>719</v>
      </c>
      <c r="F93" s="20" t="s">
        <v>720</v>
      </c>
      <c r="G93" s="8" t="str">
        <f t="shared" si="2"/>
        <v>LAMAR NEKESHA</v>
      </c>
      <c r="H93" s="20" t="str">
        <f t="shared" si="3"/>
        <v>4006</v>
      </c>
    </row>
    <row r="94" spans="1:8" x14ac:dyDescent="0.25">
      <c r="A94" s="8">
        <v>43050.46570601852</v>
      </c>
      <c r="B94" s="20" t="s">
        <v>455</v>
      </c>
      <c r="C94" s="20" t="s">
        <v>771</v>
      </c>
      <c r="D94" s="138">
        <v>920000</v>
      </c>
      <c r="E94" s="20" t="s">
        <v>772</v>
      </c>
      <c r="F94" s="20" t="s">
        <v>353</v>
      </c>
      <c r="G94" s="8" t="str">
        <f t="shared" si="2"/>
        <v>DAVIS MICHAEL</v>
      </c>
      <c r="H94" s="20" t="str">
        <f t="shared" si="3"/>
        <v>4010</v>
      </c>
    </row>
    <row r="95" spans="1:8" x14ac:dyDescent="0.25">
      <c r="A95" s="8">
        <v>43050.476180555554</v>
      </c>
      <c r="B95" s="20" t="s">
        <v>665</v>
      </c>
      <c r="C95" s="20" t="s">
        <v>773</v>
      </c>
      <c r="D95" s="138">
        <v>3090000</v>
      </c>
      <c r="E95" s="20" t="s">
        <v>719</v>
      </c>
      <c r="F95" s="20" t="s">
        <v>720</v>
      </c>
      <c r="G95" s="8" t="str">
        <f t="shared" si="2"/>
        <v>LAMAR NEKESHA</v>
      </c>
      <c r="H95" s="20" t="str">
        <f t="shared" si="3"/>
        <v>4005</v>
      </c>
    </row>
    <row r="96" spans="1:8" x14ac:dyDescent="0.25">
      <c r="A96" s="8">
        <v>43050.476342592592</v>
      </c>
      <c r="B96" s="20" t="s">
        <v>672</v>
      </c>
      <c r="C96" s="20" t="s">
        <v>673</v>
      </c>
      <c r="D96" s="138">
        <v>2560000</v>
      </c>
      <c r="E96" s="20" t="s">
        <v>577</v>
      </c>
      <c r="F96" s="20" t="s">
        <v>576</v>
      </c>
      <c r="G96" s="8" t="str">
        <f t="shared" si="2"/>
        <v>MACDONALD THOMAS</v>
      </c>
      <c r="H96" s="20" t="str">
        <f t="shared" si="3"/>
        <v>4065</v>
      </c>
    </row>
    <row r="97" spans="1:8" x14ac:dyDescent="0.25">
      <c r="A97" s="8">
        <v>43050.476469907408</v>
      </c>
      <c r="B97" s="20" t="s">
        <v>385</v>
      </c>
      <c r="C97" s="20" t="s">
        <v>774</v>
      </c>
      <c r="D97" s="138">
        <v>2630000</v>
      </c>
      <c r="E97" s="20" t="s">
        <v>373</v>
      </c>
      <c r="F97" s="20" t="s">
        <v>374</v>
      </c>
      <c r="G97" s="8" t="str">
        <f t="shared" si="2"/>
        <v>SAFIEF AEIMEN</v>
      </c>
      <c r="H97" s="20" t="str">
        <f t="shared" si="3"/>
        <v>4022</v>
      </c>
    </row>
    <row r="98" spans="1:8" x14ac:dyDescent="0.25">
      <c r="A98" s="8">
        <v>43050.483541666668</v>
      </c>
      <c r="B98" s="20" t="s">
        <v>690</v>
      </c>
      <c r="C98" s="20" t="s">
        <v>775</v>
      </c>
      <c r="D98" s="138">
        <v>2540000</v>
      </c>
      <c r="E98" s="20" t="s">
        <v>501</v>
      </c>
      <c r="F98" s="20" t="s">
        <v>502</v>
      </c>
      <c r="G98" s="8" t="str">
        <f t="shared" si="2"/>
        <v>MCREYNOLDS KYLE</v>
      </c>
      <c r="H98" s="20" t="str">
        <f t="shared" si="3"/>
        <v>4057</v>
      </c>
    </row>
    <row r="99" spans="1:8" x14ac:dyDescent="0.25">
      <c r="A99" s="8">
        <v>43050.48542824074</v>
      </c>
      <c r="B99" s="20" t="s">
        <v>367</v>
      </c>
      <c r="C99" s="20" t="s">
        <v>776</v>
      </c>
      <c r="D99" s="138">
        <v>2970000</v>
      </c>
      <c r="E99" s="20" t="s">
        <v>375</v>
      </c>
      <c r="F99" s="20" t="s">
        <v>376</v>
      </c>
      <c r="G99" s="8" t="str">
        <f t="shared" si="2"/>
        <v>GUZMAN DANNY</v>
      </c>
      <c r="H99" s="20" t="str">
        <f t="shared" si="3"/>
        <v>4036</v>
      </c>
    </row>
    <row r="100" spans="1:8" x14ac:dyDescent="0.25">
      <c r="A100" s="8">
        <v>43050.493391203701</v>
      </c>
      <c r="B100" s="20" t="s">
        <v>537</v>
      </c>
      <c r="C100" s="20" t="s">
        <v>674</v>
      </c>
      <c r="D100" s="138">
        <v>3040000</v>
      </c>
      <c r="E100" s="20" t="s">
        <v>369</v>
      </c>
      <c r="F100" s="20" t="s">
        <v>538</v>
      </c>
      <c r="G100" s="8" t="str">
        <f t="shared" si="2"/>
        <v>WILLIAMS DONTE</v>
      </c>
      <c r="H100" s="20" t="str">
        <f t="shared" si="3"/>
        <v>4025</v>
      </c>
    </row>
    <row r="101" spans="1:8" x14ac:dyDescent="0.25">
      <c r="A101" s="8">
        <v>43050.497685185182</v>
      </c>
      <c r="B101" s="20" t="s">
        <v>699</v>
      </c>
      <c r="C101" s="20" t="s">
        <v>777</v>
      </c>
      <c r="D101" s="138">
        <v>2550000</v>
      </c>
      <c r="E101" s="20" t="s">
        <v>542</v>
      </c>
      <c r="F101" s="20" t="s">
        <v>543</v>
      </c>
      <c r="G101" s="8" t="str">
        <f t="shared" si="2"/>
        <v>BADERTSCHER DIANE</v>
      </c>
      <c r="H101" s="20" t="str">
        <f t="shared" si="3"/>
        <v>4044</v>
      </c>
    </row>
    <row r="102" spans="1:8" x14ac:dyDescent="0.25">
      <c r="A102" s="8">
        <v>43050.504467592589</v>
      </c>
      <c r="B102" s="20" t="s">
        <v>661</v>
      </c>
      <c r="C102" s="20" t="s">
        <v>778</v>
      </c>
      <c r="D102" s="138">
        <v>3090000</v>
      </c>
      <c r="E102" s="20" t="s">
        <v>719</v>
      </c>
      <c r="F102" s="20" t="s">
        <v>720</v>
      </c>
      <c r="G102" s="8" t="str">
        <f t="shared" si="2"/>
        <v>LAMAR NEKESHA</v>
      </c>
      <c r="H102" s="20" t="str">
        <f t="shared" si="3"/>
        <v>4006</v>
      </c>
    </row>
    <row r="103" spans="1:8" x14ac:dyDescent="0.25">
      <c r="A103" s="8">
        <v>43050.506631944445</v>
      </c>
      <c r="B103" s="20" t="s">
        <v>675</v>
      </c>
      <c r="C103" s="20" t="s">
        <v>676</v>
      </c>
      <c r="D103" s="138">
        <v>2350000</v>
      </c>
      <c r="E103" s="20" t="s">
        <v>484</v>
      </c>
      <c r="F103" s="20" t="s">
        <v>485</v>
      </c>
      <c r="G103" s="8" t="str">
        <f t="shared" si="2"/>
        <v>BERLING GARY</v>
      </c>
      <c r="H103" s="20" t="str">
        <f t="shared" si="3"/>
        <v>4066</v>
      </c>
    </row>
    <row r="104" spans="1:8" x14ac:dyDescent="0.25">
      <c r="A104" s="8">
        <v>43050.506851851853</v>
      </c>
      <c r="B104" s="20" t="s">
        <v>454</v>
      </c>
      <c r="C104" s="20" t="s">
        <v>779</v>
      </c>
      <c r="D104" s="138">
        <v>920000</v>
      </c>
      <c r="E104" s="20" t="s">
        <v>772</v>
      </c>
      <c r="F104" s="20" t="s">
        <v>353</v>
      </c>
      <c r="G104" s="8" t="str">
        <f t="shared" si="2"/>
        <v>DAVIS MICHAEL</v>
      </c>
      <c r="H104" s="20" t="str">
        <f t="shared" si="3"/>
        <v>4009</v>
      </c>
    </row>
    <row r="105" spans="1:8" x14ac:dyDescent="0.25">
      <c r="A105" s="8">
        <v>43050.507592592592</v>
      </c>
      <c r="B105" s="20" t="s">
        <v>687</v>
      </c>
      <c r="C105" s="20" t="s">
        <v>780</v>
      </c>
      <c r="D105" s="138">
        <v>2630000</v>
      </c>
      <c r="E105" s="20" t="s">
        <v>373</v>
      </c>
      <c r="F105" s="20" t="s">
        <v>374</v>
      </c>
      <c r="G105" s="8" t="str">
        <f t="shared" si="2"/>
        <v>SAFIEF AEIMEN</v>
      </c>
      <c r="H105" s="20" t="str">
        <f t="shared" si="3"/>
        <v>4021</v>
      </c>
    </row>
    <row r="106" spans="1:8" x14ac:dyDescent="0.25">
      <c r="A106" s="8">
        <v>43050.516122685185</v>
      </c>
      <c r="B106" s="20" t="s">
        <v>368</v>
      </c>
      <c r="C106" s="20" t="s">
        <v>781</v>
      </c>
      <c r="D106" s="138">
        <v>2970000</v>
      </c>
      <c r="E106" s="20" t="s">
        <v>375</v>
      </c>
      <c r="F106" s="20" t="s">
        <v>376</v>
      </c>
      <c r="G106" s="8" t="str">
        <f t="shared" si="2"/>
        <v>GUZMAN DANNY</v>
      </c>
      <c r="H106" s="20" t="str">
        <f t="shared" si="3"/>
        <v>4035</v>
      </c>
    </row>
    <row r="107" spans="1:8" x14ac:dyDescent="0.25">
      <c r="A107" s="8">
        <v>43050.518171296295</v>
      </c>
      <c r="B107" s="20" t="s">
        <v>694</v>
      </c>
      <c r="C107" s="20" t="s">
        <v>782</v>
      </c>
      <c r="D107" s="138">
        <v>1770000</v>
      </c>
      <c r="E107" s="20" t="s">
        <v>467</v>
      </c>
      <c r="F107" s="20" t="s">
        <v>468</v>
      </c>
      <c r="G107" s="8" t="str">
        <f t="shared" si="2"/>
        <v>BRUDER RICHARD</v>
      </c>
      <c r="H107" s="20" t="str">
        <f t="shared" si="3"/>
        <v>4058</v>
      </c>
    </row>
    <row r="108" spans="1:8" x14ac:dyDescent="0.25">
      <c r="A108" s="8">
        <v>43050.520289351851</v>
      </c>
      <c r="B108" s="20" t="s">
        <v>665</v>
      </c>
      <c r="C108" s="20" t="s">
        <v>678</v>
      </c>
      <c r="D108" s="138">
        <v>3090000</v>
      </c>
      <c r="E108" s="20" t="s">
        <v>719</v>
      </c>
      <c r="F108" s="20" t="s">
        <v>720</v>
      </c>
      <c r="G108" s="8" t="str">
        <f t="shared" si="2"/>
        <v>LAMAR NEKESHA</v>
      </c>
      <c r="H108" s="20" t="str">
        <f t="shared" si="3"/>
        <v>4005</v>
      </c>
    </row>
    <row r="109" spans="1:8" x14ac:dyDescent="0.25">
      <c r="A109" s="8">
        <v>43050.528854166667</v>
      </c>
      <c r="B109" s="20" t="s">
        <v>533</v>
      </c>
      <c r="C109" s="20" t="s">
        <v>677</v>
      </c>
      <c r="D109" s="138">
        <v>2420000</v>
      </c>
      <c r="E109" s="20" t="s">
        <v>580</v>
      </c>
      <c r="F109" s="20" t="s">
        <v>581</v>
      </c>
      <c r="G109" s="8" t="str">
        <f t="shared" si="2"/>
        <v>HOLCOMB KAMDEN</v>
      </c>
      <c r="H109" s="20" t="str">
        <f t="shared" si="3"/>
        <v>4026</v>
      </c>
    </row>
    <row r="110" spans="1:8" x14ac:dyDescent="0.25">
      <c r="A110" s="8">
        <v>43050.534004629626</v>
      </c>
      <c r="B110" s="20" t="s">
        <v>663</v>
      </c>
      <c r="C110" s="20" t="s">
        <v>783</v>
      </c>
      <c r="D110" s="138">
        <v>2550000</v>
      </c>
      <c r="E110" s="20" t="s">
        <v>542</v>
      </c>
      <c r="F110" s="20" t="s">
        <v>543</v>
      </c>
      <c r="G110" s="8" t="str">
        <f t="shared" si="2"/>
        <v>BADERTSCHER DIANE</v>
      </c>
      <c r="H110" s="20" t="str">
        <f t="shared" si="3"/>
        <v>4043</v>
      </c>
    </row>
    <row r="111" spans="1:8" x14ac:dyDescent="0.25">
      <c r="A111" s="8">
        <v>43050.539259259262</v>
      </c>
      <c r="B111" s="20" t="s">
        <v>455</v>
      </c>
      <c r="C111" s="20" t="s">
        <v>784</v>
      </c>
      <c r="D111" s="138">
        <v>920000</v>
      </c>
      <c r="E111" s="20" t="s">
        <v>772</v>
      </c>
      <c r="F111" s="20" t="s">
        <v>353</v>
      </c>
      <c r="G111" s="8" t="str">
        <f t="shared" si="2"/>
        <v>DAVIS MICHAEL</v>
      </c>
      <c r="H111" s="20" t="str">
        <f t="shared" si="3"/>
        <v>4010</v>
      </c>
    </row>
    <row r="112" spans="1:8" x14ac:dyDescent="0.25">
      <c r="A112" s="8">
        <v>43050.5465625</v>
      </c>
      <c r="B112" s="20" t="s">
        <v>661</v>
      </c>
      <c r="C112" s="20" t="s">
        <v>785</v>
      </c>
      <c r="D112" s="138">
        <v>3090000</v>
      </c>
      <c r="E112" s="20" t="s">
        <v>719</v>
      </c>
      <c r="F112" s="20" t="s">
        <v>720</v>
      </c>
      <c r="G112" s="8" t="str">
        <f t="shared" si="2"/>
        <v>LAMAR NEKESHA</v>
      </c>
      <c r="H112" s="20" t="str">
        <f t="shared" si="3"/>
        <v>4006</v>
      </c>
    </row>
    <row r="113" spans="1:8" x14ac:dyDescent="0.25">
      <c r="A113" s="8">
        <v>43050.547303240739</v>
      </c>
      <c r="B113" s="20" t="s">
        <v>672</v>
      </c>
      <c r="C113" s="20" t="s">
        <v>786</v>
      </c>
      <c r="D113" s="138">
        <v>2350000</v>
      </c>
      <c r="E113" s="20" t="s">
        <v>484</v>
      </c>
      <c r="F113" s="20" t="s">
        <v>485</v>
      </c>
      <c r="G113" s="8" t="str">
        <f t="shared" si="2"/>
        <v>BERLING GARY</v>
      </c>
      <c r="H113" s="20" t="str">
        <f t="shared" si="3"/>
        <v>4065</v>
      </c>
    </row>
    <row r="114" spans="1:8" x14ac:dyDescent="0.25">
      <c r="A114" s="8">
        <v>43050.548831018517</v>
      </c>
      <c r="B114" s="20" t="s">
        <v>385</v>
      </c>
      <c r="C114" s="20" t="s">
        <v>787</v>
      </c>
      <c r="D114" s="138">
        <v>2630000</v>
      </c>
      <c r="E114" s="20" t="s">
        <v>373</v>
      </c>
      <c r="F114" s="20" t="s">
        <v>374</v>
      </c>
      <c r="G114" s="8" t="str">
        <f t="shared" si="2"/>
        <v>SAFIEF AEIMEN</v>
      </c>
      <c r="H114" s="20" t="str">
        <f t="shared" si="3"/>
        <v>4022</v>
      </c>
    </row>
    <row r="115" spans="1:8" x14ac:dyDescent="0.25">
      <c r="A115" s="8">
        <v>43050.558472222219</v>
      </c>
      <c r="B115" s="20" t="s">
        <v>367</v>
      </c>
      <c r="C115" s="20" t="s">
        <v>788</v>
      </c>
      <c r="D115" s="138">
        <v>2970000</v>
      </c>
      <c r="E115" s="20" t="s">
        <v>375</v>
      </c>
      <c r="F115" s="20" t="s">
        <v>376</v>
      </c>
      <c r="G115" s="8" t="str">
        <f t="shared" si="2"/>
        <v>GUZMAN DANNY</v>
      </c>
      <c r="H115" s="20" t="str">
        <f t="shared" si="3"/>
        <v>4036</v>
      </c>
    </row>
    <row r="116" spans="1:8" x14ac:dyDescent="0.25">
      <c r="A116" s="8">
        <v>43050.558692129627</v>
      </c>
      <c r="B116" s="20" t="s">
        <v>690</v>
      </c>
      <c r="C116" s="20" t="s">
        <v>789</v>
      </c>
      <c r="D116" s="138">
        <v>1770000</v>
      </c>
      <c r="E116" s="20" t="s">
        <v>467</v>
      </c>
      <c r="F116" s="20" t="s">
        <v>468</v>
      </c>
      <c r="G116" s="8" t="str">
        <f t="shared" si="2"/>
        <v>BRUDER RICHARD</v>
      </c>
      <c r="H116" s="20" t="str">
        <f t="shared" si="3"/>
        <v>4057</v>
      </c>
    </row>
    <row r="117" spans="1:8" x14ac:dyDescent="0.25">
      <c r="A117" s="8">
        <v>43050.559745370374</v>
      </c>
      <c r="B117" s="20" t="s">
        <v>665</v>
      </c>
      <c r="C117" s="20" t="s">
        <v>790</v>
      </c>
      <c r="D117" s="138">
        <v>3090000</v>
      </c>
      <c r="E117" s="20" t="s">
        <v>719</v>
      </c>
      <c r="F117" s="20" t="s">
        <v>720</v>
      </c>
      <c r="G117" s="8" t="str">
        <f t="shared" si="2"/>
        <v>LAMAR NEKESHA</v>
      </c>
      <c r="H117" s="20" t="str">
        <f t="shared" si="3"/>
        <v>4005</v>
      </c>
    </row>
    <row r="118" spans="1:8" x14ac:dyDescent="0.25">
      <c r="A118" s="8">
        <v>43050.56726851852</v>
      </c>
      <c r="B118" s="20" t="s">
        <v>537</v>
      </c>
      <c r="C118" s="20" t="s">
        <v>791</v>
      </c>
      <c r="D118" s="138">
        <v>2420000</v>
      </c>
      <c r="E118" s="20" t="s">
        <v>580</v>
      </c>
      <c r="F118" s="20" t="s">
        <v>581</v>
      </c>
      <c r="G118" s="8" t="str">
        <f t="shared" si="2"/>
        <v>HOLCOMB KAMDEN</v>
      </c>
      <c r="H118" s="20" t="str">
        <f t="shared" si="3"/>
        <v>4025</v>
      </c>
    </row>
    <row r="119" spans="1:8" x14ac:dyDescent="0.25">
      <c r="A119" s="8">
        <v>43050.571446759262</v>
      </c>
      <c r="B119" s="20" t="s">
        <v>699</v>
      </c>
      <c r="C119" s="20" t="s">
        <v>792</v>
      </c>
      <c r="D119" s="138">
        <v>2550000</v>
      </c>
      <c r="E119" s="20" t="s">
        <v>542</v>
      </c>
      <c r="F119" s="20" t="s">
        <v>543</v>
      </c>
      <c r="G119" s="8" t="str">
        <f t="shared" si="2"/>
        <v>BADERTSCHER DIANE</v>
      </c>
      <c r="H119" s="20" t="str">
        <f t="shared" si="3"/>
        <v>4044</v>
      </c>
    </row>
    <row r="120" spans="1:8" x14ac:dyDescent="0.25">
      <c r="A120" s="8">
        <v>43050.579895833333</v>
      </c>
      <c r="B120" s="20" t="s">
        <v>454</v>
      </c>
      <c r="C120" s="20" t="s">
        <v>793</v>
      </c>
      <c r="D120" s="138">
        <v>920000</v>
      </c>
      <c r="E120" s="20" t="s">
        <v>772</v>
      </c>
      <c r="F120" s="20" t="s">
        <v>353</v>
      </c>
      <c r="G120" s="8" t="str">
        <f t="shared" si="2"/>
        <v>DAVIS MICHAEL</v>
      </c>
      <c r="H120" s="20" t="str">
        <f t="shared" si="3"/>
        <v>4009</v>
      </c>
    </row>
    <row r="121" spans="1:8" x14ac:dyDescent="0.25">
      <c r="A121" s="8">
        <v>43050.581284722219</v>
      </c>
      <c r="B121" s="20" t="s">
        <v>675</v>
      </c>
      <c r="C121" s="20" t="s">
        <v>794</v>
      </c>
      <c r="D121" s="138">
        <v>2350000</v>
      </c>
      <c r="E121" s="20" t="s">
        <v>484</v>
      </c>
      <c r="F121" s="20" t="s">
        <v>485</v>
      </c>
      <c r="G121" s="8" t="str">
        <f t="shared" si="2"/>
        <v>BERLING GARY</v>
      </c>
      <c r="H121" s="20" t="str">
        <f t="shared" si="3"/>
        <v>4066</v>
      </c>
    </row>
    <row r="122" spans="1:8" x14ac:dyDescent="0.25">
      <c r="A122" s="8">
        <v>43050.583229166667</v>
      </c>
      <c r="B122" s="25" t="s">
        <v>687</v>
      </c>
      <c r="C122" s="20" t="s">
        <v>795</v>
      </c>
      <c r="D122" s="138">
        <v>2630000</v>
      </c>
      <c r="E122" s="20" t="s">
        <v>373</v>
      </c>
      <c r="F122" s="20" t="s">
        <v>374</v>
      </c>
      <c r="G122" s="8" t="str">
        <f t="shared" si="2"/>
        <v>SAFIEF AEIMEN</v>
      </c>
      <c r="H122" s="20" t="str">
        <f t="shared" si="3"/>
        <v>4021</v>
      </c>
    </row>
    <row r="123" spans="1:8" x14ac:dyDescent="0.25">
      <c r="A123" s="8">
        <v>43050.584085648145</v>
      </c>
      <c r="B123" s="20" t="s">
        <v>661</v>
      </c>
      <c r="C123" s="20" t="s">
        <v>796</v>
      </c>
      <c r="D123" s="138">
        <v>2230000</v>
      </c>
      <c r="E123" s="20" t="s">
        <v>394</v>
      </c>
      <c r="F123" s="20" t="s">
        <v>353</v>
      </c>
      <c r="G123" s="8" t="str">
        <f t="shared" si="2"/>
        <v>SMITH MICHAEL</v>
      </c>
      <c r="H123" s="20" t="str">
        <f t="shared" si="3"/>
        <v>4006</v>
      </c>
    </row>
    <row r="124" spans="1:8" x14ac:dyDescent="0.25">
      <c r="A124" s="8">
        <v>43050.591516203705</v>
      </c>
      <c r="B124" s="20" t="s">
        <v>694</v>
      </c>
      <c r="C124" s="20" t="s">
        <v>797</v>
      </c>
      <c r="D124" s="138">
        <v>1770000</v>
      </c>
      <c r="E124" s="20" t="s">
        <v>467</v>
      </c>
      <c r="F124" s="20" t="s">
        <v>468</v>
      </c>
      <c r="G124" s="8" t="str">
        <f t="shared" si="2"/>
        <v>BRUDER RICHARD</v>
      </c>
      <c r="H124" s="20" t="str">
        <f t="shared" si="3"/>
        <v>4058</v>
      </c>
    </row>
    <row r="125" spans="1:8" x14ac:dyDescent="0.25">
      <c r="A125" s="8">
        <v>43050.599108796298</v>
      </c>
      <c r="B125" s="20" t="s">
        <v>368</v>
      </c>
      <c r="C125" s="20" t="s">
        <v>798</v>
      </c>
      <c r="D125" s="138">
        <v>2970000</v>
      </c>
      <c r="E125" s="20" t="s">
        <v>375</v>
      </c>
      <c r="F125" s="20" t="s">
        <v>376</v>
      </c>
      <c r="G125" s="8" t="str">
        <f t="shared" si="2"/>
        <v>GUZMAN DANNY</v>
      </c>
      <c r="H125" s="20" t="str">
        <f t="shared" si="3"/>
        <v>4035</v>
      </c>
    </row>
    <row r="126" spans="1:8" x14ac:dyDescent="0.25">
      <c r="A126" s="8">
        <v>43050.601064814815</v>
      </c>
      <c r="B126" s="20" t="s">
        <v>533</v>
      </c>
      <c r="C126" s="20" t="s">
        <v>679</v>
      </c>
      <c r="D126" s="138">
        <v>2420000</v>
      </c>
      <c r="E126" s="20" t="s">
        <v>580</v>
      </c>
      <c r="F126" s="20" t="s">
        <v>581</v>
      </c>
      <c r="G126" s="8" t="str">
        <f t="shared" si="2"/>
        <v>HOLCOMB KAMDEN</v>
      </c>
      <c r="H126" s="20" t="str">
        <f t="shared" si="3"/>
        <v>4026</v>
      </c>
    </row>
    <row r="127" spans="1:8" x14ac:dyDescent="0.25">
      <c r="A127" s="8">
        <v>43050.602025462962</v>
      </c>
      <c r="B127" s="20" t="s">
        <v>665</v>
      </c>
      <c r="C127" s="20" t="s">
        <v>799</v>
      </c>
      <c r="D127" s="138">
        <v>2230000</v>
      </c>
      <c r="E127" s="20" t="s">
        <v>394</v>
      </c>
      <c r="F127" s="20" t="s">
        <v>353</v>
      </c>
      <c r="G127" s="8" t="str">
        <f t="shared" si="2"/>
        <v>SMITH MICHAEL</v>
      </c>
      <c r="H127" s="20" t="str">
        <f t="shared" si="3"/>
        <v>4005</v>
      </c>
    </row>
    <row r="128" spans="1:8" x14ac:dyDescent="0.25">
      <c r="A128" s="8">
        <v>43050.609016203707</v>
      </c>
      <c r="B128" s="20" t="s">
        <v>663</v>
      </c>
      <c r="C128" s="20" t="s">
        <v>680</v>
      </c>
      <c r="D128" s="138">
        <v>2550000</v>
      </c>
      <c r="E128" s="20" t="s">
        <v>542</v>
      </c>
      <c r="F128" s="20" t="s">
        <v>543</v>
      </c>
      <c r="G128" s="8" t="str">
        <f t="shared" si="2"/>
        <v>BADERTSCHER DIANE</v>
      </c>
      <c r="H128" s="20" t="str">
        <f t="shared" si="3"/>
        <v>4043</v>
      </c>
    </row>
    <row r="129" spans="1:8" x14ac:dyDescent="0.25">
      <c r="A129" s="8">
        <v>43050.614502314813</v>
      </c>
      <c r="B129" s="20" t="s">
        <v>455</v>
      </c>
      <c r="C129" s="20" t="s">
        <v>800</v>
      </c>
      <c r="D129" s="138">
        <v>920000</v>
      </c>
      <c r="E129" s="20" t="s">
        <v>772</v>
      </c>
      <c r="F129" s="20" t="s">
        <v>353</v>
      </c>
      <c r="G129" s="8" t="str">
        <f t="shared" si="2"/>
        <v>DAVIS MICHAEL</v>
      </c>
      <c r="H129" s="20" t="str">
        <f t="shared" si="3"/>
        <v>4010</v>
      </c>
    </row>
    <row r="130" spans="1:8" x14ac:dyDescent="0.25">
      <c r="A130" s="8">
        <v>43050.615671296298</v>
      </c>
      <c r="B130" s="20" t="s">
        <v>533</v>
      </c>
      <c r="C130" s="20" t="s">
        <v>679</v>
      </c>
      <c r="D130" s="138">
        <v>2420000</v>
      </c>
      <c r="E130" s="20" t="s">
        <v>580</v>
      </c>
      <c r="F130" s="20" t="s">
        <v>581</v>
      </c>
      <c r="G130" s="8" t="str">
        <f t="shared" si="2"/>
        <v>HOLCOMB KAMDEN</v>
      </c>
      <c r="H130" s="20" t="str">
        <f t="shared" si="3"/>
        <v>4026</v>
      </c>
    </row>
    <row r="131" spans="1:8" x14ac:dyDescent="0.25">
      <c r="A131" s="8">
        <v>43050.618460648147</v>
      </c>
      <c r="B131" s="20" t="s">
        <v>672</v>
      </c>
      <c r="C131" s="20" t="s">
        <v>801</v>
      </c>
      <c r="D131" s="138">
        <v>2350000</v>
      </c>
      <c r="E131" s="20" t="s">
        <v>484</v>
      </c>
      <c r="F131" s="20" t="s">
        <v>485</v>
      </c>
      <c r="G131" s="8" t="str">
        <f t="shared" ref="G131:G194" si="4">E131&amp;" "&amp;F131</f>
        <v>BERLING GARY</v>
      </c>
      <c r="H131" s="20" t="str">
        <f t="shared" ref="H131:H194" si="5">MID(B131,13,4)</f>
        <v>4065</v>
      </c>
    </row>
    <row r="132" spans="1:8" x14ac:dyDescent="0.25">
      <c r="A132" s="8">
        <v>43050.622372685182</v>
      </c>
      <c r="B132" s="20" t="s">
        <v>385</v>
      </c>
      <c r="C132" s="20" t="s">
        <v>802</v>
      </c>
      <c r="D132" s="138">
        <v>2630000</v>
      </c>
      <c r="E132" s="20" t="s">
        <v>373</v>
      </c>
      <c r="F132" s="20" t="s">
        <v>374</v>
      </c>
      <c r="G132" s="8" t="str">
        <f t="shared" si="4"/>
        <v>SAFIEF AEIMEN</v>
      </c>
      <c r="H132" s="20" t="str">
        <f t="shared" si="5"/>
        <v>4022</v>
      </c>
    </row>
    <row r="133" spans="1:8" x14ac:dyDescent="0.25">
      <c r="A133" s="8">
        <v>43050.626400462963</v>
      </c>
      <c r="B133" s="20" t="s">
        <v>661</v>
      </c>
      <c r="C133" s="20" t="s">
        <v>803</v>
      </c>
      <c r="D133" s="138">
        <v>2230000</v>
      </c>
      <c r="E133" s="20" t="s">
        <v>394</v>
      </c>
      <c r="F133" s="20" t="s">
        <v>353</v>
      </c>
      <c r="G133" s="8" t="str">
        <f t="shared" si="4"/>
        <v>SMITH MICHAEL</v>
      </c>
      <c r="H133" s="20" t="str">
        <f t="shared" si="5"/>
        <v>4006</v>
      </c>
    </row>
    <row r="134" spans="1:8" x14ac:dyDescent="0.25">
      <c r="A134" s="8">
        <v>43050.630937499998</v>
      </c>
      <c r="B134" s="20" t="s">
        <v>690</v>
      </c>
      <c r="C134" s="20" t="s">
        <v>804</v>
      </c>
      <c r="D134" s="138">
        <v>1770000</v>
      </c>
      <c r="E134" s="20" t="s">
        <v>467</v>
      </c>
      <c r="F134" s="20" t="s">
        <v>468</v>
      </c>
      <c r="G134" s="8" t="str">
        <f t="shared" si="4"/>
        <v>BRUDER RICHARD</v>
      </c>
      <c r="H134" s="20" t="str">
        <f t="shared" si="5"/>
        <v>4057</v>
      </c>
    </row>
    <row r="135" spans="1:8" x14ac:dyDescent="0.25">
      <c r="A135" s="8">
        <v>43050.635034722225</v>
      </c>
      <c r="B135" s="20" t="s">
        <v>367</v>
      </c>
      <c r="C135" s="20" t="s">
        <v>805</v>
      </c>
      <c r="D135" s="138">
        <v>2970000</v>
      </c>
      <c r="E135" s="20" t="s">
        <v>375</v>
      </c>
      <c r="F135" s="20" t="s">
        <v>376</v>
      </c>
      <c r="G135" s="8" t="str">
        <f t="shared" si="4"/>
        <v>GUZMAN DANNY</v>
      </c>
      <c r="H135" s="20" t="str">
        <f t="shared" si="5"/>
        <v>4036</v>
      </c>
    </row>
    <row r="136" spans="1:8" x14ac:dyDescent="0.25">
      <c r="A136" s="8">
        <v>43050.640335648146</v>
      </c>
      <c r="B136" s="20" t="s">
        <v>537</v>
      </c>
      <c r="C136" s="20" t="s">
        <v>806</v>
      </c>
      <c r="D136" s="138">
        <v>2420000</v>
      </c>
      <c r="E136" s="20" t="s">
        <v>580</v>
      </c>
      <c r="F136" s="20" t="s">
        <v>581</v>
      </c>
      <c r="G136" s="8" t="str">
        <f t="shared" si="4"/>
        <v>HOLCOMB KAMDEN</v>
      </c>
      <c r="H136" s="20" t="str">
        <f t="shared" si="5"/>
        <v>4025</v>
      </c>
    </row>
    <row r="137" spans="1:8" x14ac:dyDescent="0.25">
      <c r="A137" s="8">
        <v>43050.64335648148</v>
      </c>
      <c r="B137" s="20" t="s">
        <v>665</v>
      </c>
      <c r="C137" s="20" t="s">
        <v>807</v>
      </c>
      <c r="D137" s="138">
        <v>2230000</v>
      </c>
      <c r="E137" s="20" t="s">
        <v>394</v>
      </c>
      <c r="F137" s="20" t="s">
        <v>353</v>
      </c>
      <c r="G137" s="8" t="str">
        <f t="shared" si="4"/>
        <v>SMITH MICHAEL</v>
      </c>
      <c r="H137" s="20" t="str">
        <f t="shared" si="5"/>
        <v>4005</v>
      </c>
    </row>
    <row r="138" spans="1:8" x14ac:dyDescent="0.25">
      <c r="A138" s="8">
        <v>43050.644641203704</v>
      </c>
      <c r="B138" s="20" t="s">
        <v>699</v>
      </c>
      <c r="C138" s="20" t="s">
        <v>808</v>
      </c>
      <c r="D138" s="138">
        <v>2550000</v>
      </c>
      <c r="E138" s="20" t="s">
        <v>542</v>
      </c>
      <c r="F138" s="20" t="s">
        <v>543</v>
      </c>
      <c r="G138" s="8" t="str">
        <f t="shared" si="4"/>
        <v>BADERTSCHER DIANE</v>
      </c>
      <c r="H138" s="20" t="str">
        <f t="shared" si="5"/>
        <v>4044</v>
      </c>
    </row>
    <row r="139" spans="1:8" x14ac:dyDescent="0.25">
      <c r="A139" s="8">
        <v>43050.65116898148</v>
      </c>
      <c r="B139" s="20" t="s">
        <v>454</v>
      </c>
      <c r="C139" s="20" t="s">
        <v>809</v>
      </c>
      <c r="D139" s="138">
        <v>920000</v>
      </c>
      <c r="E139" s="20" t="s">
        <v>772</v>
      </c>
      <c r="F139" s="20" t="s">
        <v>353</v>
      </c>
      <c r="G139" s="8" t="str">
        <f t="shared" si="4"/>
        <v>DAVIS MICHAEL</v>
      </c>
      <c r="H139" s="20" t="str">
        <f t="shared" si="5"/>
        <v>4009</v>
      </c>
    </row>
    <row r="140" spans="1:8" x14ac:dyDescent="0.25">
      <c r="A140" s="8">
        <v>43050.654710648145</v>
      </c>
      <c r="B140" s="20" t="s">
        <v>675</v>
      </c>
      <c r="C140" s="20" t="s">
        <v>810</v>
      </c>
      <c r="D140" s="138">
        <v>2350000</v>
      </c>
      <c r="E140" s="20" t="s">
        <v>484</v>
      </c>
      <c r="F140" s="20" t="s">
        <v>485</v>
      </c>
      <c r="G140" s="8" t="str">
        <f t="shared" si="4"/>
        <v>BERLING GARY</v>
      </c>
      <c r="H140" s="20" t="str">
        <f t="shared" si="5"/>
        <v>4066</v>
      </c>
    </row>
    <row r="141" spans="1:8" x14ac:dyDescent="0.25">
      <c r="A141" s="8">
        <v>43050.659212962964</v>
      </c>
      <c r="B141" s="20" t="s">
        <v>687</v>
      </c>
      <c r="C141" s="20" t="s">
        <v>811</v>
      </c>
      <c r="D141" s="138">
        <v>2630000</v>
      </c>
      <c r="E141" s="20" t="s">
        <v>373</v>
      </c>
      <c r="F141" s="20" t="s">
        <v>374</v>
      </c>
      <c r="G141" s="8" t="str">
        <f t="shared" si="4"/>
        <v>SAFIEF AEIMEN</v>
      </c>
      <c r="H141" s="20" t="str">
        <f t="shared" si="5"/>
        <v>4021</v>
      </c>
    </row>
    <row r="142" spans="1:8" x14ac:dyDescent="0.25">
      <c r="A142" s="8">
        <v>43050.662800925929</v>
      </c>
      <c r="B142" s="20" t="s">
        <v>368</v>
      </c>
      <c r="C142" s="20" t="s">
        <v>812</v>
      </c>
      <c r="D142" s="138">
        <v>2970000</v>
      </c>
      <c r="E142" s="20" t="s">
        <v>375</v>
      </c>
      <c r="F142" s="20" t="s">
        <v>376</v>
      </c>
      <c r="G142" s="8" t="str">
        <f t="shared" si="4"/>
        <v>GUZMAN DANNY</v>
      </c>
      <c r="H142" s="20" t="str">
        <f t="shared" si="5"/>
        <v>4035</v>
      </c>
    </row>
    <row r="143" spans="1:8" x14ac:dyDescent="0.25">
      <c r="A143" s="8">
        <v>43050.663715277777</v>
      </c>
      <c r="B143" s="20" t="s">
        <v>694</v>
      </c>
      <c r="C143" s="20" t="s">
        <v>813</v>
      </c>
      <c r="D143" s="138">
        <v>1770000</v>
      </c>
      <c r="E143" s="20" t="s">
        <v>467</v>
      </c>
      <c r="F143" s="20" t="s">
        <v>468</v>
      </c>
      <c r="G143" s="8" t="str">
        <f t="shared" si="4"/>
        <v>BRUDER RICHARD</v>
      </c>
      <c r="H143" s="20" t="str">
        <f t="shared" si="5"/>
        <v>4058</v>
      </c>
    </row>
    <row r="144" spans="1:8" x14ac:dyDescent="0.25">
      <c r="A144" s="8">
        <v>43050.665833333333</v>
      </c>
      <c r="B144" s="20" t="s">
        <v>661</v>
      </c>
      <c r="C144" s="20" t="s">
        <v>814</v>
      </c>
      <c r="D144" s="138">
        <v>2230000</v>
      </c>
      <c r="E144" s="20" t="s">
        <v>394</v>
      </c>
      <c r="F144" s="20" t="s">
        <v>353</v>
      </c>
      <c r="G144" s="8" t="str">
        <f t="shared" si="4"/>
        <v>SMITH MICHAEL</v>
      </c>
      <c r="H144" s="20" t="str">
        <f t="shared" si="5"/>
        <v>4006</v>
      </c>
    </row>
    <row r="145" spans="1:8" x14ac:dyDescent="0.25">
      <c r="A145" s="8">
        <v>43050.670891203707</v>
      </c>
      <c r="B145" s="20" t="s">
        <v>697</v>
      </c>
      <c r="C145" s="20" t="s">
        <v>815</v>
      </c>
      <c r="D145" s="138">
        <v>3030000</v>
      </c>
      <c r="E145" s="20" t="s">
        <v>575</v>
      </c>
      <c r="F145" s="20" t="s">
        <v>576</v>
      </c>
      <c r="G145" s="8" t="str">
        <f t="shared" si="4"/>
        <v>BIRENBAUM THOMAS</v>
      </c>
      <c r="H145" s="20" t="str">
        <f t="shared" si="5"/>
        <v>4020</v>
      </c>
    </row>
    <row r="146" spans="1:8" x14ac:dyDescent="0.25">
      <c r="A146" s="8">
        <v>43050.671481481484</v>
      </c>
      <c r="B146" s="20" t="s">
        <v>697</v>
      </c>
      <c r="C146" s="20" t="s">
        <v>815</v>
      </c>
      <c r="D146" s="138">
        <v>3030000</v>
      </c>
      <c r="E146" s="20" t="s">
        <v>575</v>
      </c>
      <c r="F146" s="20" t="s">
        <v>576</v>
      </c>
      <c r="G146" s="8" t="str">
        <f t="shared" si="4"/>
        <v>BIRENBAUM THOMAS</v>
      </c>
      <c r="H146" s="20" t="str">
        <f t="shared" si="5"/>
        <v>4020</v>
      </c>
    </row>
    <row r="147" spans="1:8" x14ac:dyDescent="0.25">
      <c r="A147" s="8">
        <v>43050.673078703701</v>
      </c>
      <c r="B147" s="20" t="s">
        <v>697</v>
      </c>
      <c r="C147" s="20" t="s">
        <v>816</v>
      </c>
      <c r="D147" s="138">
        <v>3030000</v>
      </c>
      <c r="E147" s="20" t="s">
        <v>575</v>
      </c>
      <c r="F147" s="20" t="s">
        <v>576</v>
      </c>
      <c r="G147" s="8" t="str">
        <f t="shared" si="4"/>
        <v>BIRENBAUM THOMAS</v>
      </c>
      <c r="H147" s="20" t="str">
        <f t="shared" si="5"/>
        <v>4020</v>
      </c>
    </row>
    <row r="148" spans="1:8" x14ac:dyDescent="0.25">
      <c r="A148" s="8">
        <v>43050.673576388886</v>
      </c>
      <c r="B148" s="20" t="s">
        <v>533</v>
      </c>
      <c r="C148" s="20" t="s">
        <v>817</v>
      </c>
      <c r="D148" s="138">
        <v>2420000</v>
      </c>
      <c r="E148" s="20" t="s">
        <v>580</v>
      </c>
      <c r="F148" s="20" t="s">
        <v>581</v>
      </c>
      <c r="G148" s="8" t="str">
        <f t="shared" si="4"/>
        <v>HOLCOMB KAMDEN</v>
      </c>
      <c r="H148" s="20" t="str">
        <f t="shared" si="5"/>
        <v>4026</v>
      </c>
    </row>
    <row r="149" spans="1:8" x14ac:dyDescent="0.25">
      <c r="A149" s="8">
        <v>43050.677268518521</v>
      </c>
      <c r="B149" s="20" t="s">
        <v>663</v>
      </c>
      <c r="C149" s="20" t="s">
        <v>818</v>
      </c>
      <c r="D149" s="138">
        <v>2550000</v>
      </c>
      <c r="E149" s="20" t="s">
        <v>542</v>
      </c>
      <c r="F149" s="20" t="s">
        <v>543</v>
      </c>
      <c r="G149" s="8" t="str">
        <f t="shared" si="4"/>
        <v>BADERTSCHER DIANE</v>
      </c>
      <c r="H149" s="20" t="str">
        <f t="shared" si="5"/>
        <v>4043</v>
      </c>
    </row>
    <row r="150" spans="1:8" x14ac:dyDescent="0.25">
      <c r="A150" s="8">
        <v>43050.684965277775</v>
      </c>
      <c r="B150" s="20" t="s">
        <v>665</v>
      </c>
      <c r="C150" s="20" t="s">
        <v>819</v>
      </c>
      <c r="D150" s="138">
        <v>2230000</v>
      </c>
      <c r="E150" s="20" t="s">
        <v>394</v>
      </c>
      <c r="F150" s="20" t="s">
        <v>353</v>
      </c>
      <c r="G150" s="8" t="str">
        <f t="shared" si="4"/>
        <v>SMITH MICHAEL</v>
      </c>
      <c r="H150" s="20" t="str">
        <f t="shared" si="5"/>
        <v>4005</v>
      </c>
    </row>
    <row r="151" spans="1:8" x14ac:dyDescent="0.25">
      <c r="A151" s="8">
        <v>43050.688715277778</v>
      </c>
      <c r="B151" s="20" t="s">
        <v>455</v>
      </c>
      <c r="C151" s="20" t="s">
        <v>820</v>
      </c>
      <c r="D151" s="138">
        <v>920000</v>
      </c>
      <c r="E151" s="20" t="s">
        <v>772</v>
      </c>
      <c r="F151" s="20" t="s">
        <v>353</v>
      </c>
      <c r="G151" s="8" t="str">
        <f t="shared" si="4"/>
        <v>DAVIS MICHAEL</v>
      </c>
      <c r="H151" s="20" t="str">
        <f t="shared" si="5"/>
        <v>4010</v>
      </c>
    </row>
    <row r="152" spans="1:8" x14ac:dyDescent="0.25">
      <c r="A152" s="8">
        <v>43050.689733796295</v>
      </c>
      <c r="B152" s="20" t="s">
        <v>672</v>
      </c>
      <c r="C152" s="20" t="s">
        <v>821</v>
      </c>
      <c r="D152" s="138">
        <v>2350000</v>
      </c>
      <c r="E152" s="20" t="s">
        <v>484</v>
      </c>
      <c r="F152" s="20" t="s">
        <v>485</v>
      </c>
      <c r="G152" s="8" t="str">
        <f t="shared" si="4"/>
        <v>BERLING GARY</v>
      </c>
      <c r="H152" s="20" t="str">
        <f t="shared" si="5"/>
        <v>4065</v>
      </c>
    </row>
    <row r="153" spans="1:8" x14ac:dyDescent="0.25">
      <c r="A153" s="8">
        <v>43050.697106481479</v>
      </c>
      <c r="B153" s="20" t="s">
        <v>385</v>
      </c>
      <c r="C153" s="20" t="s">
        <v>822</v>
      </c>
      <c r="D153" s="138">
        <v>2630000</v>
      </c>
      <c r="E153" s="20" t="s">
        <v>373</v>
      </c>
      <c r="F153" s="20" t="s">
        <v>374</v>
      </c>
      <c r="G153" s="8" t="str">
        <f t="shared" si="4"/>
        <v>SAFIEF AEIMEN</v>
      </c>
      <c r="H153" s="20" t="str">
        <f t="shared" si="5"/>
        <v>4022</v>
      </c>
    </row>
    <row r="154" spans="1:8" x14ac:dyDescent="0.25">
      <c r="A154" s="8">
        <v>43050.70349537037</v>
      </c>
      <c r="B154" s="20" t="s">
        <v>690</v>
      </c>
      <c r="C154" s="20" t="s">
        <v>823</v>
      </c>
      <c r="D154" s="138">
        <v>1770000</v>
      </c>
      <c r="E154" s="20" t="s">
        <v>467</v>
      </c>
      <c r="F154" s="20" t="s">
        <v>468</v>
      </c>
      <c r="G154" s="8" t="str">
        <f t="shared" si="4"/>
        <v>BRUDER RICHARD</v>
      </c>
      <c r="H154" s="20" t="str">
        <f t="shared" si="5"/>
        <v>4057</v>
      </c>
    </row>
    <row r="155" spans="1:8" x14ac:dyDescent="0.25">
      <c r="A155" s="8">
        <v>43050.704108796293</v>
      </c>
      <c r="B155" s="20" t="s">
        <v>367</v>
      </c>
      <c r="C155" s="20" t="s">
        <v>824</v>
      </c>
      <c r="D155" s="138">
        <v>2970000</v>
      </c>
      <c r="E155" s="20" t="s">
        <v>375</v>
      </c>
      <c r="F155" s="20" t="s">
        <v>376</v>
      </c>
      <c r="G155" s="8" t="str">
        <f t="shared" si="4"/>
        <v>GUZMAN DANNY</v>
      </c>
      <c r="H155" s="20" t="str">
        <f t="shared" si="5"/>
        <v>4036</v>
      </c>
    </row>
    <row r="156" spans="1:8" x14ac:dyDescent="0.25">
      <c r="A156" s="8">
        <v>43050.707245370373</v>
      </c>
      <c r="B156" s="20" t="s">
        <v>537</v>
      </c>
      <c r="C156" s="20" t="s">
        <v>825</v>
      </c>
      <c r="D156" s="138">
        <v>1360000</v>
      </c>
      <c r="E156" s="20" t="s">
        <v>826</v>
      </c>
      <c r="F156" s="20" t="s">
        <v>827</v>
      </c>
      <c r="G156" s="8" t="str">
        <f t="shared" si="4"/>
        <v>SANTIZO D. EDY</v>
      </c>
      <c r="H156" s="20" t="str">
        <f t="shared" si="5"/>
        <v>4025</v>
      </c>
    </row>
    <row r="157" spans="1:8" x14ac:dyDescent="0.25">
      <c r="A157" s="8">
        <v>43050.709652777776</v>
      </c>
      <c r="B157" s="20" t="s">
        <v>661</v>
      </c>
      <c r="C157" s="20" t="s">
        <v>681</v>
      </c>
      <c r="D157" s="138">
        <v>2230000</v>
      </c>
      <c r="E157" s="20" t="s">
        <v>394</v>
      </c>
      <c r="F157" s="20" t="s">
        <v>353</v>
      </c>
      <c r="G157" s="8" t="str">
        <f t="shared" si="4"/>
        <v>SMITH MICHAEL</v>
      </c>
      <c r="H157" s="20" t="str">
        <f t="shared" si="5"/>
        <v>4006</v>
      </c>
    </row>
    <row r="158" spans="1:8" x14ac:dyDescent="0.25">
      <c r="A158" s="8">
        <v>43050.715821759259</v>
      </c>
      <c r="B158" s="20" t="s">
        <v>699</v>
      </c>
      <c r="C158" s="20" t="s">
        <v>828</v>
      </c>
      <c r="D158" s="138">
        <v>2550000</v>
      </c>
      <c r="E158" s="20" t="s">
        <v>542</v>
      </c>
      <c r="F158" s="20" t="s">
        <v>543</v>
      </c>
      <c r="G158" s="8" t="str">
        <f t="shared" si="4"/>
        <v>BADERTSCHER DIANE</v>
      </c>
      <c r="H158" s="20" t="str">
        <f t="shared" si="5"/>
        <v>4044</v>
      </c>
    </row>
    <row r="159" spans="1:8" x14ac:dyDescent="0.25">
      <c r="A159" s="8">
        <v>43050.721851851849</v>
      </c>
      <c r="B159" s="20" t="s">
        <v>544</v>
      </c>
      <c r="C159" s="20" t="s">
        <v>829</v>
      </c>
      <c r="D159" s="138">
        <v>3330000</v>
      </c>
      <c r="E159" s="20" t="s">
        <v>578</v>
      </c>
      <c r="F159" s="20" t="s">
        <v>579</v>
      </c>
      <c r="G159" s="8" t="str">
        <f t="shared" si="4"/>
        <v>GONZALEZ ARMANDO</v>
      </c>
      <c r="H159" s="20" t="str">
        <f t="shared" si="5"/>
        <v>4014</v>
      </c>
    </row>
    <row r="160" spans="1:8" x14ac:dyDescent="0.25">
      <c r="A160" s="8">
        <v>43050.725219907406</v>
      </c>
      <c r="B160" s="20" t="s">
        <v>687</v>
      </c>
      <c r="C160" s="20" t="s">
        <v>830</v>
      </c>
      <c r="D160" s="138">
        <v>2630000</v>
      </c>
      <c r="E160" s="20" t="s">
        <v>373</v>
      </c>
      <c r="F160" s="20" t="s">
        <v>374</v>
      </c>
      <c r="G160" s="8" t="str">
        <f t="shared" si="4"/>
        <v>SAFIEF AEIMEN</v>
      </c>
      <c r="H160" s="20" t="str">
        <f t="shared" si="5"/>
        <v>4021</v>
      </c>
    </row>
    <row r="161" spans="1:8" x14ac:dyDescent="0.25">
      <c r="A161" s="8">
        <v>43050.72550925926</v>
      </c>
      <c r="B161" s="20" t="s">
        <v>454</v>
      </c>
      <c r="C161" s="20" t="s">
        <v>831</v>
      </c>
      <c r="D161" s="138">
        <v>920000</v>
      </c>
      <c r="E161" s="20" t="s">
        <v>772</v>
      </c>
      <c r="F161" s="20" t="s">
        <v>353</v>
      </c>
      <c r="G161" s="8" t="str">
        <f t="shared" si="4"/>
        <v>DAVIS MICHAEL</v>
      </c>
      <c r="H161" s="20" t="str">
        <f t="shared" si="5"/>
        <v>4009</v>
      </c>
    </row>
    <row r="162" spans="1:8" x14ac:dyDescent="0.25">
      <c r="A162" s="8">
        <v>43050.725717592592</v>
      </c>
      <c r="B162" s="20" t="s">
        <v>675</v>
      </c>
      <c r="C162" s="20" t="s">
        <v>832</v>
      </c>
      <c r="D162" s="138">
        <v>2350000</v>
      </c>
      <c r="E162" s="20" t="s">
        <v>484</v>
      </c>
      <c r="F162" s="20" t="s">
        <v>485</v>
      </c>
      <c r="G162" s="8" t="str">
        <f t="shared" si="4"/>
        <v>BERLING GARY</v>
      </c>
      <c r="H162" s="20" t="str">
        <f t="shared" si="5"/>
        <v>4066</v>
      </c>
    </row>
    <row r="163" spans="1:8" x14ac:dyDescent="0.25">
      <c r="A163" s="8">
        <v>43050.727025462962</v>
      </c>
      <c r="B163" s="20" t="s">
        <v>665</v>
      </c>
      <c r="C163" s="20" t="s">
        <v>833</v>
      </c>
      <c r="D163" s="138">
        <v>2230000</v>
      </c>
      <c r="E163" s="20" t="s">
        <v>394</v>
      </c>
      <c r="F163" s="20" t="s">
        <v>353</v>
      </c>
      <c r="G163" s="8" t="str">
        <f t="shared" si="4"/>
        <v>SMITH MICHAEL</v>
      </c>
      <c r="H163" s="20" t="str">
        <f t="shared" si="5"/>
        <v>4005</v>
      </c>
    </row>
    <row r="164" spans="1:8" x14ac:dyDescent="0.25">
      <c r="A164" s="8">
        <v>43050.732141203705</v>
      </c>
      <c r="B164" s="20" t="s">
        <v>834</v>
      </c>
      <c r="C164" s="20" t="s">
        <v>835</v>
      </c>
      <c r="D164" s="138">
        <v>3500000</v>
      </c>
      <c r="E164" s="20" t="s">
        <v>377</v>
      </c>
      <c r="F164" s="20" t="s">
        <v>378</v>
      </c>
      <c r="G164" s="8" t="str">
        <f t="shared" si="4"/>
        <v>GUNTHIER ERIC</v>
      </c>
      <c r="H164" s="20" t="str">
        <f t="shared" si="5"/>
        <v>4063</v>
      </c>
    </row>
    <row r="165" spans="1:8" x14ac:dyDescent="0.25">
      <c r="A165" s="8">
        <v>43050.735868055555</v>
      </c>
      <c r="B165" s="20" t="s">
        <v>368</v>
      </c>
      <c r="C165" s="20" t="s">
        <v>836</v>
      </c>
      <c r="D165" s="138">
        <v>2970000</v>
      </c>
      <c r="E165" s="20" t="s">
        <v>375</v>
      </c>
      <c r="F165" s="20" t="s">
        <v>376</v>
      </c>
      <c r="G165" s="8" t="str">
        <f t="shared" si="4"/>
        <v>GUZMAN DANNY</v>
      </c>
      <c r="H165" s="20" t="str">
        <f t="shared" si="5"/>
        <v>4035</v>
      </c>
    </row>
    <row r="166" spans="1:8" x14ac:dyDescent="0.25">
      <c r="A166" s="8">
        <v>43050.736041666663</v>
      </c>
      <c r="B166" s="20" t="s">
        <v>694</v>
      </c>
      <c r="C166" s="20" t="s">
        <v>837</v>
      </c>
      <c r="D166" s="138">
        <v>3000000</v>
      </c>
      <c r="E166" s="20" t="s">
        <v>465</v>
      </c>
      <c r="F166" s="20" t="s">
        <v>466</v>
      </c>
      <c r="G166" s="8" t="str">
        <f t="shared" si="4"/>
        <v>FORTUNATO FRANK</v>
      </c>
      <c r="H166" s="20" t="str">
        <f t="shared" si="5"/>
        <v>4058</v>
      </c>
    </row>
    <row r="167" spans="1:8" x14ac:dyDescent="0.25">
      <c r="A167" s="8">
        <v>43050.744687500002</v>
      </c>
      <c r="B167" s="20" t="s">
        <v>533</v>
      </c>
      <c r="C167" s="20" t="s">
        <v>838</v>
      </c>
      <c r="D167" s="138">
        <v>1360000</v>
      </c>
      <c r="E167" s="20" t="s">
        <v>826</v>
      </c>
      <c r="F167" s="20" t="s">
        <v>827</v>
      </c>
      <c r="G167" s="8" t="str">
        <f t="shared" si="4"/>
        <v>SANTIZO D. EDY</v>
      </c>
      <c r="H167" s="20" t="str">
        <f t="shared" si="5"/>
        <v>4026</v>
      </c>
    </row>
    <row r="168" spans="1:8" x14ac:dyDescent="0.25">
      <c r="A168" s="8">
        <v>43050.749675925923</v>
      </c>
      <c r="B168" s="20" t="s">
        <v>661</v>
      </c>
      <c r="C168" s="20" t="s">
        <v>839</v>
      </c>
      <c r="D168" s="138">
        <v>2230000</v>
      </c>
      <c r="E168" s="20" t="s">
        <v>394</v>
      </c>
      <c r="F168" s="20" t="s">
        <v>353</v>
      </c>
      <c r="G168" s="8" t="str">
        <f t="shared" si="4"/>
        <v>SMITH MICHAEL</v>
      </c>
      <c r="H168" s="20" t="str">
        <f t="shared" si="5"/>
        <v>4006</v>
      </c>
    </row>
    <row r="169" spans="1:8" x14ac:dyDescent="0.25">
      <c r="A169" s="8">
        <v>43050.754120370373</v>
      </c>
      <c r="B169" s="20" t="s">
        <v>663</v>
      </c>
      <c r="C169" s="20" t="s">
        <v>840</v>
      </c>
      <c r="D169" s="138">
        <v>2550000</v>
      </c>
      <c r="E169" s="20" t="s">
        <v>542</v>
      </c>
      <c r="F169" s="20" t="s">
        <v>543</v>
      </c>
      <c r="G169" s="8" t="str">
        <f t="shared" si="4"/>
        <v>BADERTSCHER DIANE</v>
      </c>
      <c r="H169" s="20" t="str">
        <f t="shared" si="5"/>
        <v>4043</v>
      </c>
    </row>
    <row r="170" spans="1:8" x14ac:dyDescent="0.25">
      <c r="A170" s="8">
        <v>43050.758356481485</v>
      </c>
      <c r="B170" s="20" t="s">
        <v>455</v>
      </c>
      <c r="C170" s="20" t="s">
        <v>841</v>
      </c>
      <c r="D170" s="138">
        <v>3340000</v>
      </c>
      <c r="E170" s="20" t="s">
        <v>545</v>
      </c>
      <c r="F170" s="20" t="s">
        <v>546</v>
      </c>
      <c r="G170" s="8" t="str">
        <f t="shared" si="4"/>
        <v>ELBAUM MIKE</v>
      </c>
      <c r="H170" s="20" t="str">
        <f t="shared" si="5"/>
        <v>4010</v>
      </c>
    </row>
    <row r="171" spans="1:8" x14ac:dyDescent="0.25">
      <c r="A171" s="8">
        <v>43050.763206018521</v>
      </c>
      <c r="B171" s="20" t="s">
        <v>672</v>
      </c>
      <c r="C171" s="20" t="s">
        <v>842</v>
      </c>
      <c r="D171" s="138">
        <v>2350000</v>
      </c>
      <c r="E171" s="20" t="s">
        <v>484</v>
      </c>
      <c r="F171" s="20" t="s">
        <v>485</v>
      </c>
      <c r="G171" s="8" t="str">
        <f t="shared" si="4"/>
        <v>BERLING GARY</v>
      </c>
      <c r="H171" s="20" t="str">
        <f t="shared" si="5"/>
        <v>4065</v>
      </c>
    </row>
    <row r="172" spans="1:8" x14ac:dyDescent="0.25">
      <c r="A172" s="8">
        <v>43050.767141203702</v>
      </c>
      <c r="B172" s="20" t="s">
        <v>385</v>
      </c>
      <c r="C172" s="20" t="s">
        <v>843</v>
      </c>
      <c r="D172" s="138">
        <v>3320000</v>
      </c>
      <c r="E172" s="20" t="s">
        <v>364</v>
      </c>
      <c r="F172" s="20" t="s">
        <v>365</v>
      </c>
      <c r="G172" s="8" t="str">
        <f t="shared" si="4"/>
        <v>NICHOLSON WESLEY</v>
      </c>
      <c r="H172" s="20" t="str">
        <f t="shared" si="5"/>
        <v>4022</v>
      </c>
    </row>
    <row r="173" spans="1:8" x14ac:dyDescent="0.25">
      <c r="A173" s="8">
        <v>43050.768449074072</v>
      </c>
      <c r="B173" s="20" t="s">
        <v>665</v>
      </c>
      <c r="C173" s="20" t="s">
        <v>844</v>
      </c>
      <c r="D173" s="138">
        <v>2230000</v>
      </c>
      <c r="E173" s="20" t="s">
        <v>394</v>
      </c>
      <c r="F173" s="20" t="s">
        <v>353</v>
      </c>
      <c r="G173" s="8" t="str">
        <f t="shared" si="4"/>
        <v>SMITH MICHAEL</v>
      </c>
      <c r="H173" s="20" t="str">
        <f t="shared" si="5"/>
        <v>4005</v>
      </c>
    </row>
    <row r="174" spans="1:8" x14ac:dyDescent="0.25">
      <c r="A174" s="8">
        <v>43050.769236111111</v>
      </c>
      <c r="B174" s="20" t="s">
        <v>690</v>
      </c>
      <c r="C174" s="20" t="s">
        <v>845</v>
      </c>
      <c r="D174" s="138">
        <v>3000000</v>
      </c>
      <c r="E174" s="20" t="s">
        <v>465</v>
      </c>
      <c r="F174" s="20" t="s">
        <v>466</v>
      </c>
      <c r="G174" s="8" t="str">
        <f t="shared" si="4"/>
        <v>FORTUNATO FRANK</v>
      </c>
      <c r="H174" s="20" t="str">
        <f t="shared" si="5"/>
        <v>4057</v>
      </c>
    </row>
    <row r="175" spans="1:8" x14ac:dyDescent="0.25">
      <c r="A175" s="8">
        <v>43050.777002314811</v>
      </c>
      <c r="B175" s="20" t="s">
        <v>367</v>
      </c>
      <c r="C175" s="20" t="s">
        <v>846</v>
      </c>
      <c r="D175" s="138">
        <v>2970000</v>
      </c>
      <c r="E175" s="20" t="s">
        <v>375</v>
      </c>
      <c r="F175" s="20" t="s">
        <v>376</v>
      </c>
      <c r="G175" s="8" t="str">
        <f t="shared" si="4"/>
        <v>GUZMAN DANNY</v>
      </c>
      <c r="H175" s="20" t="str">
        <f t="shared" si="5"/>
        <v>4036</v>
      </c>
    </row>
    <row r="176" spans="1:8" x14ac:dyDescent="0.25">
      <c r="A176" s="8">
        <v>43050.784050925926</v>
      </c>
      <c r="B176" s="20" t="s">
        <v>537</v>
      </c>
      <c r="C176" s="20" t="s">
        <v>847</v>
      </c>
      <c r="D176" s="138">
        <v>2420000</v>
      </c>
      <c r="E176" s="20" t="s">
        <v>580</v>
      </c>
      <c r="F176" s="20" t="s">
        <v>581</v>
      </c>
      <c r="G176" s="8" t="str">
        <f t="shared" si="4"/>
        <v>HOLCOMB KAMDEN</v>
      </c>
      <c r="H176" s="20" t="str">
        <f t="shared" si="5"/>
        <v>4025</v>
      </c>
    </row>
    <row r="177" spans="1:8" x14ac:dyDescent="0.25">
      <c r="A177" s="8">
        <v>43050.78634259259</v>
      </c>
      <c r="B177" s="20" t="s">
        <v>454</v>
      </c>
      <c r="C177" s="20" t="s">
        <v>682</v>
      </c>
      <c r="D177" s="138">
        <v>3340000</v>
      </c>
      <c r="E177" s="20" t="s">
        <v>545</v>
      </c>
      <c r="F177" s="20" t="s">
        <v>546</v>
      </c>
      <c r="G177" s="8" t="str">
        <f t="shared" si="4"/>
        <v>ELBAUM MIKE</v>
      </c>
      <c r="H177" s="20" t="str">
        <f t="shared" si="5"/>
        <v>4009</v>
      </c>
    </row>
    <row r="178" spans="1:8" x14ac:dyDescent="0.25">
      <c r="A178" s="8">
        <v>43050.789942129632</v>
      </c>
      <c r="B178" s="20" t="s">
        <v>699</v>
      </c>
      <c r="C178" s="20" t="s">
        <v>848</v>
      </c>
      <c r="D178" s="138">
        <v>3310000</v>
      </c>
      <c r="E178" s="20" t="s">
        <v>849</v>
      </c>
      <c r="F178" s="20" t="s">
        <v>850</v>
      </c>
      <c r="G178" s="8" t="str">
        <f t="shared" si="4"/>
        <v>ANDERS STEVEN</v>
      </c>
      <c r="H178" s="20" t="str">
        <f t="shared" si="5"/>
        <v>4044</v>
      </c>
    </row>
    <row r="179" spans="1:8" x14ac:dyDescent="0.25">
      <c r="A179" s="8">
        <v>43050.792372685188</v>
      </c>
      <c r="B179" s="20" t="s">
        <v>661</v>
      </c>
      <c r="C179" s="20" t="s">
        <v>851</v>
      </c>
      <c r="D179" s="138">
        <v>2230000</v>
      </c>
      <c r="E179" s="20" t="s">
        <v>394</v>
      </c>
      <c r="F179" s="20" t="s">
        <v>353</v>
      </c>
      <c r="G179" s="8" t="str">
        <f t="shared" si="4"/>
        <v>SMITH MICHAEL</v>
      </c>
      <c r="H179" s="20" t="str">
        <f t="shared" si="5"/>
        <v>4006</v>
      </c>
    </row>
    <row r="180" spans="1:8" x14ac:dyDescent="0.25">
      <c r="A180" s="8">
        <v>43050.798703703702</v>
      </c>
      <c r="B180" s="20" t="s">
        <v>675</v>
      </c>
      <c r="C180" s="20" t="s">
        <v>852</v>
      </c>
      <c r="D180" s="138">
        <v>2350000</v>
      </c>
      <c r="E180" s="20" t="s">
        <v>484</v>
      </c>
      <c r="F180" s="20" t="s">
        <v>485</v>
      </c>
      <c r="G180" s="8" t="str">
        <f t="shared" si="4"/>
        <v>BERLING GARY</v>
      </c>
      <c r="H180" s="20" t="str">
        <f t="shared" si="5"/>
        <v>4066</v>
      </c>
    </row>
    <row r="181" spans="1:8" x14ac:dyDescent="0.25">
      <c r="A181" s="8">
        <v>43050.801342592589</v>
      </c>
      <c r="B181" s="20" t="s">
        <v>687</v>
      </c>
      <c r="C181" s="20" t="s">
        <v>853</v>
      </c>
      <c r="D181" s="138">
        <v>3320000</v>
      </c>
      <c r="E181" s="20" t="s">
        <v>364</v>
      </c>
      <c r="F181" s="20" t="s">
        <v>365</v>
      </c>
      <c r="G181" s="8" t="str">
        <f t="shared" si="4"/>
        <v>NICHOLSON WESLEY</v>
      </c>
      <c r="H181" s="20" t="str">
        <f t="shared" si="5"/>
        <v>4021</v>
      </c>
    </row>
    <row r="182" spans="1:8" x14ac:dyDescent="0.25">
      <c r="A182" s="8">
        <v>43050.807893518519</v>
      </c>
      <c r="B182" s="20" t="s">
        <v>694</v>
      </c>
      <c r="C182" s="20" t="s">
        <v>854</v>
      </c>
      <c r="D182" s="138">
        <v>3000000</v>
      </c>
      <c r="E182" s="20" t="s">
        <v>465</v>
      </c>
      <c r="F182" s="20" t="s">
        <v>466</v>
      </c>
      <c r="G182" s="8" t="str">
        <f t="shared" si="4"/>
        <v>FORTUNATO FRANK</v>
      </c>
      <c r="H182" s="20" t="str">
        <f t="shared" si="5"/>
        <v>4058</v>
      </c>
    </row>
    <row r="183" spans="1:8" x14ac:dyDescent="0.25">
      <c r="A183" s="8">
        <v>43050.814016203702</v>
      </c>
      <c r="B183" s="20" t="s">
        <v>665</v>
      </c>
      <c r="C183" s="20" t="s">
        <v>683</v>
      </c>
      <c r="D183" s="138">
        <v>2230000</v>
      </c>
      <c r="E183" s="20" t="s">
        <v>394</v>
      </c>
      <c r="F183" s="20" t="s">
        <v>353</v>
      </c>
      <c r="G183" s="8" t="str">
        <f t="shared" si="4"/>
        <v>SMITH MICHAEL</v>
      </c>
      <c r="H183" s="20" t="str">
        <f t="shared" si="5"/>
        <v>4005</v>
      </c>
    </row>
    <row r="184" spans="1:8" x14ac:dyDescent="0.25">
      <c r="A184" s="8">
        <v>43050.817893518521</v>
      </c>
      <c r="B184" s="20" t="s">
        <v>533</v>
      </c>
      <c r="C184" s="20" t="s">
        <v>855</v>
      </c>
      <c r="D184" s="138">
        <v>2420000</v>
      </c>
      <c r="E184" s="20" t="s">
        <v>580</v>
      </c>
      <c r="F184" s="20" t="s">
        <v>581</v>
      </c>
      <c r="G184" s="8" t="str">
        <f t="shared" si="4"/>
        <v>HOLCOMB KAMDEN</v>
      </c>
      <c r="H184" s="20" t="str">
        <f t="shared" si="5"/>
        <v>4026</v>
      </c>
    </row>
    <row r="185" spans="1:8" x14ac:dyDescent="0.25">
      <c r="A185" s="8">
        <v>43050.827256944445</v>
      </c>
      <c r="B185" s="20" t="s">
        <v>455</v>
      </c>
      <c r="C185" s="20" t="s">
        <v>856</v>
      </c>
      <c r="D185" s="138">
        <v>3340000</v>
      </c>
      <c r="E185" s="20" t="s">
        <v>545</v>
      </c>
      <c r="F185" s="20" t="s">
        <v>546</v>
      </c>
      <c r="G185" s="8" t="str">
        <f t="shared" si="4"/>
        <v>ELBAUM MIKE</v>
      </c>
      <c r="H185" s="20" t="str">
        <f t="shared" si="5"/>
        <v>4010</v>
      </c>
    </row>
    <row r="186" spans="1:8" x14ac:dyDescent="0.25">
      <c r="A186" s="8">
        <v>43050.828634259262</v>
      </c>
      <c r="B186" s="20" t="s">
        <v>663</v>
      </c>
      <c r="C186" s="20" t="s">
        <v>857</v>
      </c>
      <c r="D186" s="138">
        <v>3310000</v>
      </c>
      <c r="E186" s="20" t="s">
        <v>849</v>
      </c>
      <c r="F186" s="20" t="s">
        <v>850</v>
      </c>
      <c r="G186" s="8" t="str">
        <f t="shared" si="4"/>
        <v>ANDERS STEVEN</v>
      </c>
      <c r="H186" s="20" t="str">
        <f t="shared" si="5"/>
        <v>4043</v>
      </c>
    </row>
    <row r="187" spans="1:8" x14ac:dyDescent="0.25">
      <c r="A187" s="8">
        <v>43050.835625</v>
      </c>
      <c r="B187" s="20" t="s">
        <v>661</v>
      </c>
      <c r="C187" s="20" t="s">
        <v>858</v>
      </c>
      <c r="D187" s="138">
        <v>2230000</v>
      </c>
      <c r="E187" s="20" t="s">
        <v>394</v>
      </c>
      <c r="F187" s="20" t="s">
        <v>353</v>
      </c>
      <c r="G187" s="8" t="str">
        <f t="shared" si="4"/>
        <v>SMITH MICHAEL</v>
      </c>
      <c r="H187" s="20" t="str">
        <f t="shared" si="5"/>
        <v>4006</v>
      </c>
    </row>
    <row r="188" spans="1:8" x14ac:dyDescent="0.25">
      <c r="A188" s="8">
        <v>43050.839444444442</v>
      </c>
      <c r="B188" s="20" t="s">
        <v>690</v>
      </c>
      <c r="C188" s="20" t="s">
        <v>859</v>
      </c>
      <c r="D188" s="138">
        <v>3000000</v>
      </c>
      <c r="E188" s="20" t="s">
        <v>465</v>
      </c>
      <c r="F188" s="20" t="s">
        <v>466</v>
      </c>
      <c r="G188" s="8" t="str">
        <f t="shared" si="4"/>
        <v>FORTUNATO FRANK</v>
      </c>
      <c r="H188" s="20" t="str">
        <f t="shared" si="5"/>
        <v>4057</v>
      </c>
    </row>
    <row r="189" spans="1:8" x14ac:dyDescent="0.25">
      <c r="A189" s="8">
        <v>43050.842060185183</v>
      </c>
      <c r="B189" s="20" t="s">
        <v>385</v>
      </c>
      <c r="C189" s="20" t="s">
        <v>684</v>
      </c>
      <c r="D189" s="138">
        <v>3500000</v>
      </c>
      <c r="E189" s="20" t="s">
        <v>377</v>
      </c>
      <c r="F189" s="20" t="s">
        <v>378</v>
      </c>
      <c r="G189" s="8" t="str">
        <f t="shared" si="4"/>
        <v>GUNTHIER ERIC</v>
      </c>
      <c r="H189" s="20" t="str">
        <f t="shared" si="5"/>
        <v>4022</v>
      </c>
    </row>
    <row r="190" spans="1:8" x14ac:dyDescent="0.25">
      <c r="A190" s="8">
        <v>43050.851273148146</v>
      </c>
      <c r="B190" s="20" t="s">
        <v>665</v>
      </c>
      <c r="C190" s="20" t="s">
        <v>685</v>
      </c>
      <c r="D190" s="138">
        <v>2230000</v>
      </c>
      <c r="E190" s="20" t="s">
        <v>394</v>
      </c>
      <c r="F190" s="20" t="s">
        <v>353</v>
      </c>
      <c r="G190" s="8" t="str">
        <f t="shared" si="4"/>
        <v>SMITH MICHAEL</v>
      </c>
      <c r="H190" s="20" t="str">
        <f t="shared" si="5"/>
        <v>4005</v>
      </c>
    </row>
    <row r="191" spans="1:8" x14ac:dyDescent="0.25">
      <c r="A191" s="8">
        <v>43050.858993055554</v>
      </c>
      <c r="B191" s="20" t="s">
        <v>454</v>
      </c>
      <c r="C191" s="20" t="s">
        <v>860</v>
      </c>
      <c r="D191" s="138">
        <v>3340000</v>
      </c>
      <c r="E191" s="20" t="s">
        <v>545</v>
      </c>
      <c r="F191" s="20" t="s">
        <v>546</v>
      </c>
      <c r="G191" s="8" t="str">
        <f t="shared" si="4"/>
        <v>ELBAUM MIKE</v>
      </c>
      <c r="H191" s="20" t="str">
        <f t="shared" si="5"/>
        <v>4009</v>
      </c>
    </row>
    <row r="192" spans="1:8" x14ac:dyDescent="0.25">
      <c r="A192" s="8">
        <v>43050.872523148151</v>
      </c>
      <c r="B192" s="20" t="s">
        <v>699</v>
      </c>
      <c r="C192" s="20" t="s">
        <v>861</v>
      </c>
      <c r="D192" s="138">
        <v>3310000</v>
      </c>
      <c r="E192" s="20" t="s">
        <v>849</v>
      </c>
      <c r="F192" s="20" t="s">
        <v>850</v>
      </c>
      <c r="G192" s="8" t="str">
        <f t="shared" si="4"/>
        <v>ANDERS STEVEN</v>
      </c>
      <c r="H192" s="20" t="str">
        <f t="shared" si="5"/>
        <v>4044</v>
      </c>
    </row>
    <row r="193" spans="1:8" x14ac:dyDescent="0.25">
      <c r="A193" s="8">
        <v>43050.876932870371</v>
      </c>
      <c r="B193" s="20" t="s">
        <v>661</v>
      </c>
      <c r="C193" s="20" t="s">
        <v>862</v>
      </c>
      <c r="D193" s="138">
        <v>2230000</v>
      </c>
      <c r="E193" s="20" t="s">
        <v>394</v>
      </c>
      <c r="F193" s="20" t="s">
        <v>353</v>
      </c>
      <c r="G193" s="8" t="str">
        <f t="shared" si="4"/>
        <v>SMITH MICHAEL</v>
      </c>
      <c r="H193" s="20" t="str">
        <f t="shared" si="5"/>
        <v>4006</v>
      </c>
    </row>
    <row r="194" spans="1:8" x14ac:dyDescent="0.25">
      <c r="A194" s="8">
        <v>43050.879525462966</v>
      </c>
      <c r="B194" s="20" t="s">
        <v>694</v>
      </c>
      <c r="C194" s="20" t="s">
        <v>863</v>
      </c>
      <c r="D194" s="138">
        <v>3000000</v>
      </c>
      <c r="E194" s="20" t="s">
        <v>465</v>
      </c>
      <c r="F194" s="20" t="s">
        <v>466</v>
      </c>
      <c r="G194" s="8" t="str">
        <f t="shared" si="4"/>
        <v>FORTUNATO FRANK</v>
      </c>
      <c r="H194" s="20" t="str">
        <f t="shared" si="5"/>
        <v>4058</v>
      </c>
    </row>
    <row r="195" spans="1:8" x14ac:dyDescent="0.25">
      <c r="A195" s="8">
        <v>43050.884293981479</v>
      </c>
      <c r="B195" s="20" t="s">
        <v>687</v>
      </c>
      <c r="C195" s="20" t="s">
        <v>688</v>
      </c>
      <c r="D195" s="138">
        <v>3500000</v>
      </c>
      <c r="E195" s="20" t="s">
        <v>377</v>
      </c>
      <c r="F195" s="20" t="s">
        <v>378</v>
      </c>
      <c r="G195" s="8" t="str">
        <f t="shared" ref="G195:G258" si="6">E195&amp;" "&amp;F195</f>
        <v>GUNTHIER ERIC</v>
      </c>
      <c r="H195" s="20" t="str">
        <f t="shared" ref="H195:H258" si="7">MID(B195,13,4)</f>
        <v>4021</v>
      </c>
    </row>
    <row r="196" spans="1:8" x14ac:dyDescent="0.25">
      <c r="A196" s="8">
        <v>43050.893460648149</v>
      </c>
      <c r="B196" s="20" t="s">
        <v>665</v>
      </c>
      <c r="C196" s="20" t="s">
        <v>686</v>
      </c>
      <c r="D196" s="138">
        <v>2230000</v>
      </c>
      <c r="E196" s="20" t="s">
        <v>394</v>
      </c>
      <c r="F196" s="20" t="s">
        <v>353</v>
      </c>
      <c r="G196" s="8" t="str">
        <f t="shared" si="6"/>
        <v>SMITH MICHAEL</v>
      </c>
      <c r="H196" s="20" t="str">
        <f t="shared" si="7"/>
        <v>4005</v>
      </c>
    </row>
    <row r="197" spans="1:8" x14ac:dyDescent="0.25">
      <c r="A197" s="8">
        <v>43050.899710648147</v>
      </c>
      <c r="B197" s="20" t="s">
        <v>455</v>
      </c>
      <c r="C197" s="20" t="s">
        <v>864</v>
      </c>
      <c r="D197" s="138">
        <v>3340000</v>
      </c>
      <c r="E197" s="20" t="s">
        <v>545</v>
      </c>
      <c r="F197" s="20" t="s">
        <v>546</v>
      </c>
      <c r="G197" s="8" t="str">
        <f t="shared" si="6"/>
        <v>ELBAUM MIKE</v>
      </c>
      <c r="H197" s="20" t="str">
        <f t="shared" si="7"/>
        <v>4010</v>
      </c>
    </row>
    <row r="198" spans="1:8" x14ac:dyDescent="0.25">
      <c r="A198" s="8">
        <v>43050.913124999999</v>
      </c>
      <c r="B198" s="20" t="s">
        <v>663</v>
      </c>
      <c r="C198" s="20" t="s">
        <v>865</v>
      </c>
      <c r="D198" s="138">
        <v>3310000</v>
      </c>
      <c r="E198" s="20" t="s">
        <v>849</v>
      </c>
      <c r="F198" s="20" t="s">
        <v>850</v>
      </c>
      <c r="G198" s="8" t="str">
        <f t="shared" si="6"/>
        <v>ANDERS STEVEN</v>
      </c>
      <c r="H198" s="20" t="str">
        <f t="shared" si="7"/>
        <v>4043</v>
      </c>
    </row>
    <row r="199" spans="1:8" x14ac:dyDescent="0.25">
      <c r="A199" s="8">
        <v>43050.918379629627</v>
      </c>
      <c r="B199" s="20" t="s">
        <v>661</v>
      </c>
      <c r="C199" s="20" t="s">
        <v>866</v>
      </c>
      <c r="D199" s="138">
        <v>2230000</v>
      </c>
      <c r="E199" s="20" t="s">
        <v>394</v>
      </c>
      <c r="F199" s="20" t="s">
        <v>353</v>
      </c>
      <c r="G199" s="8" t="str">
        <f t="shared" si="6"/>
        <v>SMITH MICHAEL</v>
      </c>
      <c r="H199" s="20" t="str">
        <f t="shared" si="7"/>
        <v>4006</v>
      </c>
    </row>
    <row r="200" spans="1:8" x14ac:dyDescent="0.25">
      <c r="A200" s="8">
        <v>43050.922777777778</v>
      </c>
      <c r="B200" s="20" t="s">
        <v>690</v>
      </c>
      <c r="C200" s="20" t="s">
        <v>691</v>
      </c>
      <c r="D200" s="138">
        <v>3000000</v>
      </c>
      <c r="E200" s="20" t="s">
        <v>465</v>
      </c>
      <c r="F200" s="20" t="s">
        <v>466</v>
      </c>
      <c r="G200" s="8" t="str">
        <f t="shared" si="6"/>
        <v>FORTUNATO FRANK</v>
      </c>
      <c r="H200" s="20" t="str">
        <f t="shared" si="7"/>
        <v>4057</v>
      </c>
    </row>
    <row r="201" spans="1:8" x14ac:dyDescent="0.25">
      <c r="A201" s="8">
        <v>43050.929988425924</v>
      </c>
      <c r="B201" s="20" t="s">
        <v>385</v>
      </c>
      <c r="C201" s="20" t="s">
        <v>692</v>
      </c>
      <c r="D201" s="138">
        <v>3320000</v>
      </c>
      <c r="E201" s="20" t="s">
        <v>364</v>
      </c>
      <c r="F201" s="20" t="s">
        <v>365</v>
      </c>
      <c r="G201" s="8" t="str">
        <f t="shared" si="6"/>
        <v>NICHOLSON WESLEY</v>
      </c>
      <c r="H201" s="20" t="str">
        <f t="shared" si="7"/>
        <v>4022</v>
      </c>
    </row>
    <row r="202" spans="1:8" x14ac:dyDescent="0.25">
      <c r="A202" s="26">
        <v>43050.935023148151</v>
      </c>
      <c r="B202" s="20" t="s">
        <v>665</v>
      </c>
      <c r="C202" s="20" t="s">
        <v>689</v>
      </c>
      <c r="D202" s="138">
        <v>2230000</v>
      </c>
      <c r="E202" s="20" t="s">
        <v>394</v>
      </c>
      <c r="F202" s="20" t="s">
        <v>353</v>
      </c>
      <c r="G202" s="8" t="str">
        <f t="shared" si="6"/>
        <v>SMITH MICHAEL</v>
      </c>
      <c r="H202" s="20" t="str">
        <f t="shared" si="7"/>
        <v>4005</v>
      </c>
    </row>
    <row r="203" spans="1:8" x14ac:dyDescent="0.25">
      <c r="A203" s="8">
        <v>43050.945081018515</v>
      </c>
      <c r="B203" s="20" t="s">
        <v>454</v>
      </c>
      <c r="C203" s="20" t="s">
        <v>693</v>
      </c>
      <c r="D203" s="138">
        <v>3340000</v>
      </c>
      <c r="E203" s="20" t="s">
        <v>545</v>
      </c>
      <c r="F203" s="20" t="s">
        <v>546</v>
      </c>
      <c r="G203" s="8" t="str">
        <f t="shared" si="6"/>
        <v>ELBAUM MIKE</v>
      </c>
      <c r="H203" s="20" t="str">
        <f t="shared" si="7"/>
        <v>4009</v>
      </c>
    </row>
    <row r="204" spans="1:8" x14ac:dyDescent="0.25">
      <c r="A204" s="8">
        <v>43050.946585648147</v>
      </c>
      <c r="B204" s="20" t="s">
        <v>699</v>
      </c>
      <c r="C204" s="20" t="s">
        <v>867</v>
      </c>
      <c r="D204" s="138">
        <v>3310000</v>
      </c>
      <c r="E204" s="20" t="s">
        <v>849</v>
      </c>
      <c r="F204" s="20" t="s">
        <v>850</v>
      </c>
      <c r="G204" s="8" t="str">
        <f t="shared" si="6"/>
        <v>ANDERS STEVEN</v>
      </c>
      <c r="H204" s="20" t="str">
        <f t="shared" si="7"/>
        <v>4044</v>
      </c>
    </row>
    <row r="205" spans="1:8" x14ac:dyDescent="0.25">
      <c r="A205" s="8">
        <v>43050.961655092593</v>
      </c>
      <c r="B205" s="20" t="s">
        <v>661</v>
      </c>
      <c r="C205" s="20" t="s">
        <v>868</v>
      </c>
      <c r="D205" s="138">
        <v>2230000</v>
      </c>
      <c r="E205" s="20" t="s">
        <v>394</v>
      </c>
      <c r="F205" s="20" t="s">
        <v>353</v>
      </c>
      <c r="G205" s="8" t="str">
        <f t="shared" si="6"/>
        <v>SMITH MICHAEL</v>
      </c>
      <c r="H205" s="20" t="str">
        <f t="shared" si="7"/>
        <v>4006</v>
      </c>
    </row>
    <row r="206" spans="1:8" x14ac:dyDescent="0.25">
      <c r="A206" s="8">
        <v>43050.966435185182</v>
      </c>
      <c r="B206" s="20" t="s">
        <v>694</v>
      </c>
      <c r="C206" s="20" t="s">
        <v>695</v>
      </c>
      <c r="D206" s="138">
        <v>3000000</v>
      </c>
      <c r="E206" s="20" t="s">
        <v>465</v>
      </c>
      <c r="F206" s="20" t="s">
        <v>466</v>
      </c>
      <c r="G206" s="8" t="str">
        <f t="shared" si="6"/>
        <v>FORTUNATO FRANK</v>
      </c>
      <c r="H206" s="20" t="str">
        <f t="shared" si="7"/>
        <v>4058</v>
      </c>
    </row>
    <row r="207" spans="1:8" x14ac:dyDescent="0.25">
      <c r="A207" s="8">
        <v>43050.970601851855</v>
      </c>
      <c r="B207" s="20" t="s">
        <v>687</v>
      </c>
      <c r="C207" s="20" t="s">
        <v>869</v>
      </c>
      <c r="D207" s="138">
        <v>3320000</v>
      </c>
      <c r="E207" s="20" t="s">
        <v>364</v>
      </c>
      <c r="F207" s="20" t="s">
        <v>365</v>
      </c>
      <c r="G207" s="8" t="str">
        <f t="shared" si="6"/>
        <v>NICHOLSON WESLEY</v>
      </c>
      <c r="H207" s="20" t="str">
        <f t="shared" si="7"/>
        <v>4021</v>
      </c>
    </row>
    <row r="208" spans="1:8" x14ac:dyDescent="0.25">
      <c r="A208" s="8">
        <v>43050.977025462962</v>
      </c>
      <c r="B208" s="20" t="s">
        <v>665</v>
      </c>
      <c r="C208" s="20" t="s">
        <v>870</v>
      </c>
      <c r="D208" s="138">
        <v>2230000</v>
      </c>
      <c r="E208" s="20" t="s">
        <v>394</v>
      </c>
      <c r="F208" s="20" t="s">
        <v>353</v>
      </c>
      <c r="G208" s="8" t="str">
        <f t="shared" si="6"/>
        <v>SMITH MICHAEL</v>
      </c>
      <c r="H208" s="20" t="str">
        <f t="shared" si="7"/>
        <v>4005</v>
      </c>
    </row>
    <row r="209" spans="1:8" x14ac:dyDescent="0.25">
      <c r="A209" s="8">
        <v>43050.98946759259</v>
      </c>
      <c r="B209" s="20" t="s">
        <v>455</v>
      </c>
      <c r="C209" s="20" t="s">
        <v>871</v>
      </c>
      <c r="D209" s="138">
        <v>3340000</v>
      </c>
      <c r="E209" s="20" t="s">
        <v>545</v>
      </c>
      <c r="F209" s="20" t="s">
        <v>546</v>
      </c>
      <c r="G209" s="8" t="str">
        <f t="shared" si="6"/>
        <v>ELBAUM MIKE</v>
      </c>
      <c r="H209" s="20" t="str">
        <f t="shared" si="7"/>
        <v>4010</v>
      </c>
    </row>
    <row r="210" spans="1:8" x14ac:dyDescent="0.25">
      <c r="A210" s="8">
        <v>43050.993043981478</v>
      </c>
      <c r="B210" s="20" t="s">
        <v>663</v>
      </c>
      <c r="C210" s="20" t="s">
        <v>872</v>
      </c>
      <c r="D210" s="138">
        <v>3310000</v>
      </c>
      <c r="E210" s="20" t="s">
        <v>849</v>
      </c>
      <c r="F210" s="20" t="s">
        <v>850</v>
      </c>
      <c r="G210" s="8" t="str">
        <f t="shared" si="6"/>
        <v>ANDERS STEVEN</v>
      </c>
      <c r="H210" s="20" t="str">
        <f t="shared" si="7"/>
        <v>4043</v>
      </c>
    </row>
    <row r="211" spans="1:8" x14ac:dyDescent="0.25">
      <c r="A211" s="8">
        <v>43050.999699074076</v>
      </c>
      <c r="B211" s="20" t="s">
        <v>694</v>
      </c>
      <c r="C211" s="20" t="s">
        <v>695</v>
      </c>
      <c r="D211" s="138">
        <v>3000000</v>
      </c>
      <c r="E211" s="20" t="s">
        <v>465</v>
      </c>
      <c r="F211" s="20" t="s">
        <v>466</v>
      </c>
      <c r="G211" s="8" t="str">
        <f t="shared" si="6"/>
        <v>FORTUNATO FRANK</v>
      </c>
      <c r="H211" s="20" t="str">
        <f t="shared" si="7"/>
        <v>4058</v>
      </c>
    </row>
    <row r="212" spans="1:8" x14ac:dyDescent="0.25">
      <c r="A212" s="8">
        <v>43051.006967592592</v>
      </c>
      <c r="B212" s="20" t="s">
        <v>385</v>
      </c>
      <c r="C212" s="20" t="s">
        <v>873</v>
      </c>
      <c r="D212" s="138">
        <v>3320000</v>
      </c>
      <c r="E212" s="20" t="s">
        <v>364</v>
      </c>
      <c r="F212" s="20" t="s">
        <v>365</v>
      </c>
      <c r="G212" s="8" t="str">
        <f t="shared" si="6"/>
        <v>NICHOLSON WESLEY</v>
      </c>
      <c r="H212" s="20" t="str">
        <f t="shared" si="7"/>
        <v>4022</v>
      </c>
    </row>
    <row r="213" spans="1:8" x14ac:dyDescent="0.25">
      <c r="A213" s="8">
        <v>43051.008518518516</v>
      </c>
      <c r="B213" s="20" t="s">
        <v>690</v>
      </c>
      <c r="C213" s="20" t="s">
        <v>874</v>
      </c>
      <c r="D213" s="138">
        <v>3000000</v>
      </c>
      <c r="E213" s="20" t="s">
        <v>465</v>
      </c>
      <c r="F213" s="20" t="s">
        <v>466</v>
      </c>
      <c r="G213" s="8" t="str">
        <f t="shared" si="6"/>
        <v>FORTUNATO FRANK</v>
      </c>
      <c r="H213" s="20" t="str">
        <f t="shared" si="7"/>
        <v>4057</v>
      </c>
    </row>
    <row r="214" spans="1:8" x14ac:dyDescent="0.25">
      <c r="A214" s="8">
        <v>43051.026504629626</v>
      </c>
      <c r="B214" s="20" t="s">
        <v>454</v>
      </c>
      <c r="C214" s="20" t="s">
        <v>875</v>
      </c>
      <c r="D214" s="138">
        <v>3340000</v>
      </c>
      <c r="E214" s="20" t="s">
        <v>545</v>
      </c>
      <c r="F214" s="20" t="s">
        <v>546</v>
      </c>
      <c r="G214" s="8" t="str">
        <f t="shared" si="6"/>
        <v>ELBAUM MIKE</v>
      </c>
      <c r="H214" s="20" t="str">
        <f t="shared" si="7"/>
        <v>4009</v>
      </c>
    </row>
    <row r="215" spans="1:8" x14ac:dyDescent="0.25">
      <c r="A215" s="8">
        <v>43051.02847222222</v>
      </c>
      <c r="B215" s="20" t="s">
        <v>699</v>
      </c>
      <c r="C215" s="20" t="s">
        <v>876</v>
      </c>
      <c r="D215" s="138">
        <v>3310000</v>
      </c>
      <c r="E215" s="20" t="s">
        <v>849</v>
      </c>
      <c r="F215" s="20" t="s">
        <v>850</v>
      </c>
      <c r="G215" s="8" t="str">
        <f t="shared" si="6"/>
        <v>ANDERS STEVEN</v>
      </c>
      <c r="H215" s="20" t="str">
        <f t="shared" si="7"/>
        <v>4044</v>
      </c>
    </row>
    <row r="216" spans="1:8" x14ac:dyDescent="0.25">
      <c r="A216" s="8">
        <v>43051.046203703707</v>
      </c>
      <c r="B216" s="20" t="s">
        <v>694</v>
      </c>
      <c r="C216" s="20" t="s">
        <v>877</v>
      </c>
      <c r="D216" s="138">
        <v>3000000</v>
      </c>
      <c r="E216" s="20" t="s">
        <v>465</v>
      </c>
      <c r="F216" s="20" t="s">
        <v>466</v>
      </c>
      <c r="G216" s="8" t="str">
        <f t="shared" si="6"/>
        <v>FORTUNATO FRANK</v>
      </c>
      <c r="H216" s="20" t="str">
        <f t="shared" si="7"/>
        <v>4058</v>
      </c>
    </row>
    <row r="217" spans="1:8" x14ac:dyDescent="0.25">
      <c r="A217" s="8">
        <v>43051.056458333333</v>
      </c>
      <c r="B217" s="20" t="s">
        <v>687</v>
      </c>
      <c r="C217" s="20" t="s">
        <v>878</v>
      </c>
      <c r="D217" s="138">
        <v>3320000</v>
      </c>
      <c r="E217" s="20" t="s">
        <v>364</v>
      </c>
      <c r="F217" s="20" t="s">
        <v>365</v>
      </c>
      <c r="G217" s="8" t="str">
        <f t="shared" si="6"/>
        <v>NICHOLSON WESLEY</v>
      </c>
      <c r="H217" s="20" t="str">
        <f t="shared" si="7"/>
        <v>4021</v>
      </c>
    </row>
    <row r="218" spans="1:8" x14ac:dyDescent="0.25">
      <c r="A218" s="8">
        <v>43051.065636574072</v>
      </c>
      <c r="B218" s="20" t="s">
        <v>455</v>
      </c>
      <c r="C218" s="20" t="s">
        <v>879</v>
      </c>
      <c r="D218" s="138">
        <v>3340000</v>
      </c>
      <c r="E218" s="20" t="s">
        <v>545</v>
      </c>
      <c r="F218" s="20" t="s">
        <v>546</v>
      </c>
      <c r="G218" s="8" t="str">
        <f t="shared" si="6"/>
        <v>ELBAUM MIKE</v>
      </c>
      <c r="H218" s="20" t="str">
        <f t="shared" si="7"/>
        <v>4010</v>
      </c>
    </row>
    <row r="219" spans="1:8" x14ac:dyDescent="0.25">
      <c r="A219" s="8">
        <v>43051.072627314818</v>
      </c>
      <c r="B219" s="20" t="s">
        <v>663</v>
      </c>
      <c r="C219" s="20" t="s">
        <v>880</v>
      </c>
      <c r="D219" s="138">
        <v>3310000</v>
      </c>
      <c r="E219" s="20" t="s">
        <v>849</v>
      </c>
      <c r="F219" s="20" t="s">
        <v>850</v>
      </c>
      <c r="G219" s="8" t="str">
        <f t="shared" si="6"/>
        <v>ANDERS STEVEN</v>
      </c>
      <c r="H219" s="20" t="str">
        <f t="shared" si="7"/>
        <v>4043</v>
      </c>
    </row>
    <row r="220" spans="1:8" x14ac:dyDescent="0.25">
      <c r="A220" s="8">
        <v>43051.092986111114</v>
      </c>
      <c r="B220" s="20" t="s">
        <v>385</v>
      </c>
      <c r="C220" s="20" t="s">
        <v>881</v>
      </c>
      <c r="D220" s="138">
        <v>3320000</v>
      </c>
      <c r="E220" s="20" t="s">
        <v>364</v>
      </c>
      <c r="F220" s="20" t="s">
        <v>365</v>
      </c>
      <c r="G220" s="8" t="str">
        <f t="shared" si="6"/>
        <v>NICHOLSON WESLEY</v>
      </c>
      <c r="H220" s="20" t="str">
        <f t="shared" si="7"/>
        <v>4022</v>
      </c>
    </row>
    <row r="221" spans="1:8" x14ac:dyDescent="0.25">
      <c r="A221" s="8">
        <v>43051.109236111108</v>
      </c>
      <c r="B221" s="20" t="s">
        <v>699</v>
      </c>
      <c r="C221" s="20" t="s">
        <v>882</v>
      </c>
      <c r="D221" s="138">
        <v>3310000</v>
      </c>
      <c r="E221" s="20" t="s">
        <v>849</v>
      </c>
      <c r="F221" s="20" t="s">
        <v>850</v>
      </c>
      <c r="G221" s="8" t="str">
        <f t="shared" si="6"/>
        <v>ANDERS STEVEN</v>
      </c>
      <c r="H221" s="20" t="str">
        <f t="shared" si="7"/>
        <v>4044</v>
      </c>
    </row>
    <row r="222" spans="1:8" x14ac:dyDescent="0.25">
      <c r="A222" s="8">
        <v>43051.114537037036</v>
      </c>
      <c r="B222" s="20" t="s">
        <v>883</v>
      </c>
      <c r="C222" s="20" t="s">
        <v>884</v>
      </c>
      <c r="D222" s="138">
        <v>3120000</v>
      </c>
      <c r="E222" s="20" t="s">
        <v>370</v>
      </c>
      <c r="F222" s="20" t="s">
        <v>696</v>
      </c>
      <c r="G222" s="8" t="str">
        <f t="shared" si="6"/>
        <v>THOMPSON LESTER</v>
      </c>
      <c r="H222" s="20" t="str">
        <f t="shared" si="7"/>
        <v>4001</v>
      </c>
    </row>
    <row r="223" spans="1:8" x14ac:dyDescent="0.25">
      <c r="A223" s="8">
        <v>43049.977222222224</v>
      </c>
      <c r="B223" s="20" t="s">
        <v>362</v>
      </c>
      <c r="C223" s="20" t="s">
        <v>582</v>
      </c>
      <c r="D223" s="138">
        <v>2230000</v>
      </c>
      <c r="E223" s="20" t="s">
        <v>394</v>
      </c>
      <c r="F223" s="20" t="s">
        <v>353</v>
      </c>
      <c r="G223" s="8" t="str">
        <f t="shared" si="6"/>
        <v>SMITH MICHAEL</v>
      </c>
      <c r="H223" s="20" t="str">
        <f t="shared" si="7"/>
        <v>4007</v>
      </c>
    </row>
    <row r="224" spans="1:8" x14ac:dyDescent="0.25">
      <c r="A224" s="8">
        <v>43049.989432870374</v>
      </c>
      <c r="B224" t="s">
        <v>358</v>
      </c>
      <c r="C224" t="s">
        <v>583</v>
      </c>
      <c r="D224" s="138">
        <v>3320000</v>
      </c>
      <c r="E224" t="s">
        <v>364</v>
      </c>
      <c r="F224" s="20" t="s">
        <v>365</v>
      </c>
      <c r="G224" s="8" t="str">
        <f t="shared" si="6"/>
        <v>NICHOLSON WESLEY</v>
      </c>
      <c r="H224" s="20" t="str">
        <f t="shared" si="7"/>
        <v>4060</v>
      </c>
    </row>
    <row r="225" spans="1:8" x14ac:dyDescent="0.25">
      <c r="A225" s="8">
        <v>43049.994340277779</v>
      </c>
      <c r="B225" t="s">
        <v>459</v>
      </c>
      <c r="C225" t="s">
        <v>584</v>
      </c>
      <c r="D225" s="138">
        <v>3700000</v>
      </c>
      <c r="E225" t="s">
        <v>461</v>
      </c>
      <c r="F225" s="20" t="s">
        <v>370</v>
      </c>
      <c r="G225" s="8" t="str">
        <f t="shared" si="6"/>
        <v>AUSTIN THOMPSON</v>
      </c>
      <c r="H225" s="20" t="str">
        <f t="shared" si="7"/>
        <v>4049</v>
      </c>
    </row>
    <row r="226" spans="1:8" x14ac:dyDescent="0.25">
      <c r="A226" s="8">
        <v>43050.009872685187</v>
      </c>
      <c r="B226" t="s">
        <v>483</v>
      </c>
      <c r="C226" t="s">
        <v>585</v>
      </c>
      <c r="D226" s="138">
        <v>2540000</v>
      </c>
      <c r="E226" t="s">
        <v>501</v>
      </c>
      <c r="F226" s="20" t="s">
        <v>502</v>
      </c>
      <c r="G226" s="8" t="str">
        <f t="shared" si="6"/>
        <v>MCREYNOLDS KYLE</v>
      </c>
      <c r="H226" s="20" t="str">
        <f t="shared" si="7"/>
        <v>4051</v>
      </c>
    </row>
    <row r="227" spans="1:8" x14ac:dyDescent="0.25">
      <c r="A227" s="8">
        <v>43050.017129629632</v>
      </c>
      <c r="B227" t="s">
        <v>486</v>
      </c>
      <c r="C227" t="s">
        <v>586</v>
      </c>
      <c r="D227" s="138">
        <v>3340000</v>
      </c>
      <c r="E227" t="s">
        <v>545</v>
      </c>
      <c r="F227" s="20" t="s">
        <v>546</v>
      </c>
      <c r="G227" s="8" t="str">
        <f t="shared" si="6"/>
        <v>ELBAUM MIKE</v>
      </c>
      <c r="H227" s="20" t="str">
        <f t="shared" si="7"/>
        <v>4016</v>
      </c>
    </row>
    <row r="228" spans="1:8" x14ac:dyDescent="0.25">
      <c r="A228" s="8">
        <v>43050.028981481482</v>
      </c>
      <c r="B228" t="s">
        <v>460</v>
      </c>
      <c r="C228" t="s">
        <v>587</v>
      </c>
      <c r="D228" s="138">
        <v>3700000</v>
      </c>
      <c r="E228" t="s">
        <v>461</v>
      </c>
      <c r="F228" s="20" t="s">
        <v>370</v>
      </c>
      <c r="G228" s="8" t="str">
        <f t="shared" si="6"/>
        <v>AUSTIN THOMPSON</v>
      </c>
      <c r="H228" s="20" t="str">
        <f t="shared" si="7"/>
        <v>4050</v>
      </c>
    </row>
    <row r="229" spans="1:8" x14ac:dyDescent="0.25">
      <c r="A229" s="8">
        <v>43050.036400462966</v>
      </c>
      <c r="B229" t="s">
        <v>391</v>
      </c>
      <c r="C229" t="s">
        <v>588</v>
      </c>
      <c r="D229" s="138">
        <v>3320000</v>
      </c>
      <c r="E229" t="s">
        <v>364</v>
      </c>
      <c r="F229" s="20" t="s">
        <v>365</v>
      </c>
      <c r="G229" s="8" t="str">
        <f t="shared" si="6"/>
        <v>NICHOLSON WESLEY</v>
      </c>
      <c r="H229" s="20" t="str">
        <f t="shared" si="7"/>
        <v>4059</v>
      </c>
    </row>
    <row r="230" spans="1:8" x14ac:dyDescent="0.25">
      <c r="A230" s="8">
        <v>43050.044930555552</v>
      </c>
      <c r="B230" t="s">
        <v>478</v>
      </c>
      <c r="C230" t="s">
        <v>589</v>
      </c>
      <c r="D230" s="138">
        <v>2540000</v>
      </c>
      <c r="E230" t="s">
        <v>501</v>
      </c>
      <c r="F230" s="20" t="s">
        <v>502</v>
      </c>
      <c r="G230" s="8" t="str">
        <f t="shared" si="6"/>
        <v>MCREYNOLDS KYLE</v>
      </c>
      <c r="H230" s="20" t="str">
        <f t="shared" si="7"/>
        <v>4052</v>
      </c>
    </row>
    <row r="231" spans="1:8" x14ac:dyDescent="0.25">
      <c r="A231" s="8">
        <v>43050.046331018515</v>
      </c>
      <c r="B231" t="s">
        <v>539</v>
      </c>
      <c r="C231" t="s">
        <v>590</v>
      </c>
      <c r="D231" s="138">
        <v>3340000</v>
      </c>
      <c r="E231" t="s">
        <v>545</v>
      </c>
      <c r="F231" s="20" t="s">
        <v>546</v>
      </c>
      <c r="G231" s="8" t="str">
        <f t="shared" si="6"/>
        <v>ELBAUM MIKE</v>
      </c>
      <c r="H231" s="20" t="str">
        <f t="shared" si="7"/>
        <v>4015</v>
      </c>
    </row>
    <row r="232" spans="1:8" x14ac:dyDescent="0.25">
      <c r="A232" s="8">
        <v>43050.069918981484</v>
      </c>
      <c r="B232" t="s">
        <v>358</v>
      </c>
      <c r="C232" t="s">
        <v>591</v>
      </c>
      <c r="D232" s="138">
        <v>3320000</v>
      </c>
      <c r="E232" t="s">
        <v>364</v>
      </c>
      <c r="F232" s="20" t="s">
        <v>365</v>
      </c>
      <c r="G232" s="8" t="str">
        <f t="shared" si="6"/>
        <v>NICHOLSON WESLEY</v>
      </c>
      <c r="H232" s="20" t="str">
        <f t="shared" si="7"/>
        <v>4060</v>
      </c>
    </row>
    <row r="233" spans="1:8" x14ac:dyDescent="0.25">
      <c r="A233" s="8">
        <v>43050.073553240742</v>
      </c>
      <c r="B233" t="s">
        <v>459</v>
      </c>
      <c r="C233" t="s">
        <v>592</v>
      </c>
      <c r="D233" s="138">
        <v>3700000</v>
      </c>
      <c r="E233" t="s">
        <v>461</v>
      </c>
      <c r="F233" s="20" t="s">
        <v>370</v>
      </c>
      <c r="G233" s="8" t="str">
        <f t="shared" si="6"/>
        <v>AUSTIN THOMPSON</v>
      </c>
      <c r="H233" s="20" t="str">
        <f t="shared" si="7"/>
        <v>4049</v>
      </c>
    </row>
    <row r="234" spans="1:8" x14ac:dyDescent="0.25">
      <c r="A234" s="8">
        <v>43050.087048611109</v>
      </c>
      <c r="B234" t="s">
        <v>486</v>
      </c>
      <c r="C234" t="s">
        <v>593</v>
      </c>
      <c r="D234" s="138">
        <v>3340000</v>
      </c>
      <c r="E234" t="s">
        <v>545</v>
      </c>
      <c r="F234" s="20" t="s">
        <v>546</v>
      </c>
      <c r="G234" s="8" t="str">
        <f t="shared" si="6"/>
        <v>ELBAUM MIKE</v>
      </c>
      <c r="H234" s="20" t="str">
        <f t="shared" si="7"/>
        <v>4016</v>
      </c>
    </row>
    <row r="235" spans="1:8" x14ac:dyDescent="0.25">
      <c r="A235" s="8">
        <v>43050.112928240742</v>
      </c>
      <c r="B235" t="s">
        <v>460</v>
      </c>
      <c r="C235" t="s">
        <v>594</v>
      </c>
      <c r="D235" s="138">
        <v>3700000</v>
      </c>
      <c r="E235" t="s">
        <v>461</v>
      </c>
      <c r="F235" s="20" t="s">
        <v>370</v>
      </c>
      <c r="G235" s="8" t="str">
        <f t="shared" si="6"/>
        <v>AUSTIN THOMPSON</v>
      </c>
      <c r="H235" s="20" t="str">
        <f t="shared" si="7"/>
        <v>4050</v>
      </c>
    </row>
    <row r="236" spans="1:8" x14ac:dyDescent="0.25">
      <c r="A236" s="8">
        <v>43049.029722222222</v>
      </c>
      <c r="B236" t="s">
        <v>489</v>
      </c>
      <c r="C236" t="s">
        <v>534</v>
      </c>
      <c r="D236" s="138">
        <v>3340000</v>
      </c>
      <c r="E236" t="s">
        <v>545</v>
      </c>
      <c r="F236" s="20" t="s">
        <v>546</v>
      </c>
      <c r="G236" s="8" t="str">
        <f t="shared" si="6"/>
        <v>ELBAUM MIKE</v>
      </c>
      <c r="H236" s="20" t="str">
        <f t="shared" si="7"/>
        <v>4013</v>
      </c>
    </row>
    <row r="237" spans="1:8" x14ac:dyDescent="0.25">
      <c r="A237" s="8">
        <v>43049.051562499997</v>
      </c>
      <c r="B237" t="s">
        <v>385</v>
      </c>
      <c r="C237" t="s">
        <v>547</v>
      </c>
      <c r="D237" s="138">
        <v>890000</v>
      </c>
      <c r="E237" t="s">
        <v>345</v>
      </c>
      <c r="F237" s="20" t="s">
        <v>346</v>
      </c>
      <c r="G237" s="8" t="str">
        <f t="shared" si="6"/>
        <v>LOZA FIDEL</v>
      </c>
      <c r="H237" s="20" t="str">
        <f t="shared" si="7"/>
        <v>4022</v>
      </c>
    </row>
    <row r="238" spans="1:8" x14ac:dyDescent="0.25">
      <c r="A238" s="8">
        <v>43049.054942129631</v>
      </c>
      <c r="B238" t="s">
        <v>480</v>
      </c>
      <c r="C238" t="s">
        <v>548</v>
      </c>
      <c r="D238" s="138">
        <v>3320000</v>
      </c>
      <c r="E238" t="s">
        <v>364</v>
      </c>
      <c r="F238" s="20" t="s">
        <v>365</v>
      </c>
      <c r="G238" s="8" t="str">
        <f t="shared" si="6"/>
        <v>NICHOLSON WESLEY</v>
      </c>
      <c r="H238" s="20" t="str">
        <f t="shared" si="7"/>
        <v>4023</v>
      </c>
    </row>
    <row r="239" spans="1:8" x14ac:dyDescent="0.25">
      <c r="A239" s="8">
        <v>43049.069097222222</v>
      </c>
      <c r="B239" t="s">
        <v>544</v>
      </c>
      <c r="C239" t="s">
        <v>549</v>
      </c>
      <c r="D239" s="138">
        <v>3340000</v>
      </c>
      <c r="E239" t="s">
        <v>545</v>
      </c>
      <c r="F239" s="20" t="s">
        <v>546</v>
      </c>
      <c r="G239" s="8" t="str">
        <f t="shared" si="6"/>
        <v>ELBAUM MIKE</v>
      </c>
      <c r="H239" s="20" t="str">
        <f t="shared" si="7"/>
        <v>4014</v>
      </c>
    </row>
    <row r="240" spans="1:8" x14ac:dyDescent="0.25">
      <c r="A240" s="8">
        <v>43049.091874999998</v>
      </c>
      <c r="B240" t="s">
        <v>479</v>
      </c>
      <c r="C240" t="s">
        <v>550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391</v>
      </c>
      <c r="C241" t="s">
        <v>490</v>
      </c>
      <c r="D241" s="138">
        <v>3700000</v>
      </c>
      <c r="E241" t="s">
        <v>461</v>
      </c>
      <c r="F241" s="20" t="s">
        <v>370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480</v>
      </c>
      <c r="C242" t="s">
        <v>491</v>
      </c>
      <c r="D242" s="138">
        <v>3220000</v>
      </c>
      <c r="E242" t="s">
        <v>379</v>
      </c>
      <c r="F242" s="20" t="s">
        <v>380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454</v>
      </c>
      <c r="C243" t="s">
        <v>492</v>
      </c>
      <c r="D243" s="138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478</v>
      </c>
      <c r="C244" t="s">
        <v>493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479</v>
      </c>
      <c r="C245" t="s">
        <v>494</v>
      </c>
      <c r="D245" s="138">
        <v>3220000</v>
      </c>
      <c r="E245" t="s">
        <v>379</v>
      </c>
      <c r="F245" s="20" t="s">
        <v>380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358</v>
      </c>
      <c r="C246" t="s">
        <v>481</v>
      </c>
      <c r="D246" s="138">
        <v>3700000</v>
      </c>
      <c r="E246" t="s">
        <v>461</v>
      </c>
      <c r="F246" s="20" t="s">
        <v>370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459</v>
      </c>
      <c r="C247" t="s">
        <v>495</v>
      </c>
      <c r="D247" s="138">
        <v>2440000</v>
      </c>
      <c r="E247" t="s">
        <v>487</v>
      </c>
      <c r="F247" s="20" t="s">
        <v>488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480</v>
      </c>
      <c r="C248" t="s">
        <v>496</v>
      </c>
      <c r="D248" s="138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455</v>
      </c>
      <c r="C249" t="s">
        <v>497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483</v>
      </c>
      <c r="C250" t="s">
        <v>498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479</v>
      </c>
      <c r="C251" t="s">
        <v>499</v>
      </c>
      <c r="D251" s="138">
        <v>2000000</v>
      </c>
      <c r="E251" t="s">
        <v>395</v>
      </c>
      <c r="F251" s="20" t="s">
        <v>396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460</v>
      </c>
      <c r="C252" t="s">
        <v>500</v>
      </c>
      <c r="D252" s="138">
        <v>2540000</v>
      </c>
      <c r="E252" t="s">
        <v>501</v>
      </c>
      <c r="F252" s="20" t="s">
        <v>502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391</v>
      </c>
      <c r="C253" t="s">
        <v>503</v>
      </c>
      <c r="D253" s="138">
        <v>3700000</v>
      </c>
      <c r="E253" t="s">
        <v>461</v>
      </c>
      <c r="F253" s="20" t="s">
        <v>370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480</v>
      </c>
      <c r="C254" t="s">
        <v>504</v>
      </c>
      <c r="D254" s="138">
        <v>2000000</v>
      </c>
      <c r="E254" t="s">
        <v>395</v>
      </c>
      <c r="F254" s="20" t="s">
        <v>396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478</v>
      </c>
      <c r="C255" t="s">
        <v>505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454</v>
      </c>
      <c r="C256" t="s">
        <v>506</v>
      </c>
      <c r="D256" s="138">
        <v>3320000</v>
      </c>
      <c r="E256" t="s">
        <v>364</v>
      </c>
      <c r="F256" s="20" t="s">
        <v>365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459</v>
      </c>
      <c r="C257" t="s">
        <v>507</v>
      </c>
      <c r="D257" s="138">
        <v>2540000</v>
      </c>
      <c r="E257" t="s">
        <v>501</v>
      </c>
      <c r="F257" s="20" t="s">
        <v>502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482</v>
      </c>
      <c r="D258" s="138">
        <v>3700000</v>
      </c>
      <c r="E258" t="s">
        <v>461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455</v>
      </c>
      <c r="C259" t="s">
        <v>508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483</v>
      </c>
      <c r="C260" t="s">
        <v>509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460</v>
      </c>
      <c r="C261" t="s">
        <v>510</v>
      </c>
      <c r="D261" s="138">
        <v>2440000</v>
      </c>
      <c r="E261" t="s">
        <v>487</v>
      </c>
      <c r="F261" s="20" t="s">
        <v>488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511</v>
      </c>
      <c r="D262" s="138">
        <v>3700000</v>
      </c>
      <c r="E262" t="s">
        <v>461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478</v>
      </c>
      <c r="C263" t="s">
        <v>512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513</v>
      </c>
      <c r="D264" s="138">
        <v>3700000</v>
      </c>
      <c r="E264" t="s">
        <v>461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38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400</v>
      </c>
      <c r="D266" s="138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38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403</v>
      </c>
      <c r="D269" s="138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404</v>
      </c>
      <c r="D270" s="138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405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38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38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38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409</v>
      </c>
      <c r="D275" s="138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38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411</v>
      </c>
      <c r="D277" s="138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412</v>
      </c>
      <c r="D278" s="138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38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414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38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38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416</v>
      </c>
      <c r="D283" s="138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417</v>
      </c>
      <c r="D284" s="138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418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38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38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38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421</v>
      </c>
      <c r="D289" s="138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38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423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424</v>
      </c>
      <c r="D292" s="138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38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38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426</v>
      </c>
      <c r="D295" s="138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38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428</v>
      </c>
      <c r="D297" s="138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429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38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38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432</v>
      </c>
      <c r="D301" s="138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38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390</v>
      </c>
      <c r="D303" s="138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434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38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436</v>
      </c>
      <c r="D306" s="138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437</v>
      </c>
      <c r="D307" s="138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438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38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440</v>
      </c>
      <c r="D310" s="138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441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442</v>
      </c>
      <c r="D312" s="138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456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32.94</v>
      </c>
      <c r="B2" s="196">
        <v>0.02</v>
      </c>
      <c r="C2" s="196">
        <v>29</v>
      </c>
      <c r="D2" s="8">
        <v>43050</v>
      </c>
      <c r="E2" s="196">
        <v>0.85</v>
      </c>
      <c r="F2" s="196" t="s">
        <v>517</v>
      </c>
      <c r="G2" s="196">
        <v>252.79</v>
      </c>
      <c r="H2" s="196">
        <v>0</v>
      </c>
      <c r="I2" s="196">
        <v>0</v>
      </c>
      <c r="J2" s="196"/>
      <c r="K2" s="196">
        <v>1012.63</v>
      </c>
      <c r="L2" s="196" t="s">
        <v>516</v>
      </c>
      <c r="M2" s="196">
        <v>32.94</v>
      </c>
      <c r="N2" s="196">
        <v>1510383600</v>
      </c>
      <c r="O2" s="196">
        <v>0</v>
      </c>
      <c r="P2" s="196">
        <v>2.63</v>
      </c>
      <c r="Q2" s="196">
        <v>188</v>
      </c>
      <c r="R2" s="196">
        <v>2.2999999999999998</v>
      </c>
      <c r="S2" s="196">
        <v>0.54</v>
      </c>
      <c r="T2"/>
    </row>
    <row r="3" spans="1:20" x14ac:dyDescent="0.25">
      <c r="A3" s="196">
        <v>32.450000000000003</v>
      </c>
      <c r="B3" s="196">
        <v>0.03</v>
      </c>
      <c r="C3" s="196">
        <v>28.56</v>
      </c>
      <c r="D3" s="8">
        <v>43050.041666666664</v>
      </c>
      <c r="E3" s="196">
        <v>0.85</v>
      </c>
      <c r="F3" s="196" t="s">
        <v>517</v>
      </c>
      <c r="G3" s="196">
        <v>252.79</v>
      </c>
      <c r="H3" s="196">
        <v>0</v>
      </c>
      <c r="I3" s="196">
        <v>0</v>
      </c>
      <c r="J3" s="196"/>
      <c r="K3" s="196">
        <v>1012.76</v>
      </c>
      <c r="L3" s="196" t="s">
        <v>516</v>
      </c>
      <c r="M3" s="196">
        <v>32.450000000000003</v>
      </c>
      <c r="N3" s="196">
        <v>1510387200</v>
      </c>
      <c r="O3" s="196">
        <v>0</v>
      </c>
      <c r="P3" s="196">
        <v>2.71</v>
      </c>
      <c r="Q3" s="196">
        <v>232</v>
      </c>
      <c r="R3" s="196">
        <v>2.89</v>
      </c>
      <c r="S3" s="196">
        <v>0.91</v>
      </c>
      <c r="T3"/>
    </row>
    <row r="4" spans="1:20" x14ac:dyDescent="0.25">
      <c r="A4" s="196">
        <v>32.18</v>
      </c>
      <c r="B4" s="196">
        <v>0.03</v>
      </c>
      <c r="C4" s="196">
        <v>28.16</v>
      </c>
      <c r="D4" s="8">
        <v>43050.083333333336</v>
      </c>
      <c r="E4" s="196">
        <v>0.85</v>
      </c>
      <c r="F4" s="196" t="s">
        <v>517</v>
      </c>
      <c r="G4" s="196">
        <v>252.79</v>
      </c>
      <c r="H4" s="196">
        <v>0</v>
      </c>
      <c r="I4" s="196">
        <v>0</v>
      </c>
      <c r="J4" s="196"/>
      <c r="K4" s="196">
        <v>1012.91</v>
      </c>
      <c r="L4" s="196" t="s">
        <v>516</v>
      </c>
      <c r="M4" s="196">
        <v>32.18</v>
      </c>
      <c r="N4" s="196">
        <v>1510390800</v>
      </c>
      <c r="O4" s="196">
        <v>0</v>
      </c>
      <c r="P4" s="196">
        <v>2.82</v>
      </c>
      <c r="Q4" s="196">
        <v>210</v>
      </c>
      <c r="R4" s="196">
        <v>3.12</v>
      </c>
      <c r="S4" s="196">
        <v>1.1200000000000001</v>
      </c>
      <c r="T4"/>
    </row>
    <row r="5" spans="1:20" x14ac:dyDescent="0.25">
      <c r="A5" s="196">
        <v>32.1</v>
      </c>
      <c r="B5" s="196">
        <v>0.03</v>
      </c>
      <c r="C5" s="196">
        <v>27.4</v>
      </c>
      <c r="D5" s="8">
        <v>43050.125</v>
      </c>
      <c r="E5" s="196">
        <v>0.83</v>
      </c>
      <c r="F5" s="196" t="s">
        <v>517</v>
      </c>
      <c r="G5" s="196">
        <v>252.8</v>
      </c>
      <c r="H5" s="196">
        <v>0</v>
      </c>
      <c r="I5" s="196">
        <v>0</v>
      </c>
      <c r="J5" s="196"/>
      <c r="K5" s="196">
        <v>1012.71</v>
      </c>
      <c r="L5" s="196" t="s">
        <v>516</v>
      </c>
      <c r="M5" s="196">
        <v>32.1</v>
      </c>
      <c r="N5" s="196">
        <v>1510394400</v>
      </c>
      <c r="O5" s="196">
        <v>0</v>
      </c>
      <c r="P5" s="196">
        <v>2.38</v>
      </c>
      <c r="Q5" s="196">
        <v>205</v>
      </c>
      <c r="R5" s="196">
        <v>3.51</v>
      </c>
      <c r="S5" s="196">
        <v>1</v>
      </c>
      <c r="T5"/>
    </row>
    <row r="6" spans="1:20" x14ac:dyDescent="0.25">
      <c r="A6" s="196">
        <v>32.270000000000003</v>
      </c>
      <c r="B6" s="196">
        <v>0.03</v>
      </c>
      <c r="C6" s="196">
        <v>26.85</v>
      </c>
      <c r="D6" s="8">
        <v>43050.166666666664</v>
      </c>
      <c r="E6" s="196">
        <v>0.8</v>
      </c>
      <c r="F6" s="196" t="s">
        <v>517</v>
      </c>
      <c r="G6" s="196">
        <v>252.8</v>
      </c>
      <c r="H6" s="196">
        <v>0</v>
      </c>
      <c r="I6" s="196">
        <v>0</v>
      </c>
      <c r="J6" s="196"/>
      <c r="K6" s="196">
        <v>1012.56</v>
      </c>
      <c r="L6" s="196" t="s">
        <v>516</v>
      </c>
      <c r="M6" s="196">
        <v>32.270000000000003</v>
      </c>
      <c r="N6" s="196">
        <v>1510398000</v>
      </c>
      <c r="O6" s="196">
        <v>0</v>
      </c>
      <c r="P6" s="196">
        <v>2.36</v>
      </c>
      <c r="Q6" s="196">
        <v>221</v>
      </c>
      <c r="R6" s="196">
        <v>4.2300000000000004</v>
      </c>
      <c r="S6" s="196">
        <v>1.23</v>
      </c>
      <c r="T6"/>
    </row>
    <row r="7" spans="1:20" x14ac:dyDescent="0.25">
      <c r="A7" s="196">
        <v>31.94</v>
      </c>
      <c r="B7" s="196">
        <v>0.02</v>
      </c>
      <c r="C7" s="196">
        <v>26.07</v>
      </c>
      <c r="D7" s="8">
        <v>43050.208333333336</v>
      </c>
      <c r="E7" s="196">
        <v>0.79</v>
      </c>
      <c r="F7" s="196" t="s">
        <v>517</v>
      </c>
      <c r="G7" s="196">
        <v>254.52</v>
      </c>
      <c r="H7" s="196">
        <v>0</v>
      </c>
      <c r="I7" s="196">
        <v>0</v>
      </c>
      <c r="J7" s="196"/>
      <c r="K7" s="196">
        <v>1013.28</v>
      </c>
      <c r="L7" s="196" t="s">
        <v>516</v>
      </c>
      <c r="M7" s="196">
        <v>31.94</v>
      </c>
      <c r="N7" s="196">
        <v>1510401600</v>
      </c>
      <c r="O7" s="196">
        <v>0</v>
      </c>
      <c r="P7" s="196">
        <v>3.18</v>
      </c>
      <c r="Q7" s="196">
        <v>194</v>
      </c>
      <c r="R7" s="196">
        <v>3.67</v>
      </c>
      <c r="S7" s="196">
        <v>1.62</v>
      </c>
      <c r="T7"/>
    </row>
    <row r="8" spans="1:20" x14ac:dyDescent="0.25">
      <c r="A8" s="196">
        <v>31.68</v>
      </c>
      <c r="B8" s="196">
        <v>0.03</v>
      </c>
      <c r="C8" s="196">
        <v>25.58</v>
      </c>
      <c r="D8" s="8">
        <v>43050.25</v>
      </c>
      <c r="E8" s="196">
        <v>0.78</v>
      </c>
      <c r="F8" s="196" t="s">
        <v>517</v>
      </c>
      <c r="G8" s="196">
        <v>255.7</v>
      </c>
      <c r="H8" s="196">
        <v>0</v>
      </c>
      <c r="I8" s="196">
        <v>0</v>
      </c>
      <c r="J8" s="196"/>
      <c r="K8" s="196">
        <v>1013.92</v>
      </c>
      <c r="L8" s="196" t="s">
        <v>516</v>
      </c>
      <c r="M8" s="196">
        <v>31.68</v>
      </c>
      <c r="N8" s="196">
        <v>1510405200</v>
      </c>
      <c r="O8" s="196">
        <v>0</v>
      </c>
      <c r="P8" s="196">
        <v>3.34</v>
      </c>
      <c r="Q8" s="196">
        <v>192</v>
      </c>
      <c r="R8" s="196">
        <v>3.47</v>
      </c>
      <c r="S8" s="196">
        <v>1.1200000000000001</v>
      </c>
      <c r="T8"/>
    </row>
    <row r="9" spans="1:20" x14ac:dyDescent="0.25">
      <c r="A9" s="196">
        <v>31.57</v>
      </c>
      <c r="B9" s="196">
        <v>0.05</v>
      </c>
      <c r="C9" s="196">
        <v>24.81</v>
      </c>
      <c r="D9" s="8">
        <v>43050.291666666664</v>
      </c>
      <c r="E9" s="196">
        <v>0.76</v>
      </c>
      <c r="F9" s="196" t="s">
        <v>515</v>
      </c>
      <c r="G9" s="196">
        <v>257.13</v>
      </c>
      <c r="H9" s="196">
        <v>0</v>
      </c>
      <c r="I9" s="196">
        <v>0</v>
      </c>
      <c r="J9" s="196"/>
      <c r="K9" s="196">
        <v>1014.9</v>
      </c>
      <c r="L9" s="196" t="s">
        <v>516</v>
      </c>
      <c r="M9" s="196">
        <v>31.57</v>
      </c>
      <c r="N9" s="196">
        <v>1510408800</v>
      </c>
      <c r="O9" s="196">
        <v>0</v>
      </c>
      <c r="P9" s="196">
        <v>2.38</v>
      </c>
      <c r="Q9" s="196">
        <v>198</v>
      </c>
      <c r="R9" s="196">
        <v>3.09</v>
      </c>
      <c r="S9" s="196">
        <v>0.98</v>
      </c>
      <c r="T9"/>
    </row>
    <row r="10" spans="1:20" x14ac:dyDescent="0.25">
      <c r="A10" s="196">
        <v>36.56</v>
      </c>
      <c r="B10" s="196">
        <v>0.06</v>
      </c>
      <c r="C10" s="196">
        <v>26.84</v>
      </c>
      <c r="D10" s="8">
        <v>43050.333333333336</v>
      </c>
      <c r="E10" s="196">
        <v>0.68</v>
      </c>
      <c r="F10" s="196" t="s">
        <v>515</v>
      </c>
      <c r="G10" s="196">
        <v>258.43</v>
      </c>
      <c r="H10" s="196">
        <v>0</v>
      </c>
      <c r="I10" s="196">
        <v>0</v>
      </c>
      <c r="J10" s="196"/>
      <c r="K10" s="196">
        <v>1015.25</v>
      </c>
      <c r="L10" s="196" t="s">
        <v>516</v>
      </c>
      <c r="M10" s="196">
        <v>36.56</v>
      </c>
      <c r="N10" s="196">
        <v>1510412400</v>
      </c>
      <c r="O10" s="196">
        <v>1</v>
      </c>
      <c r="P10" s="196">
        <v>4.16</v>
      </c>
      <c r="Q10" s="196">
        <v>181</v>
      </c>
      <c r="R10" s="196">
        <v>4.2</v>
      </c>
      <c r="S10" s="196">
        <v>0.73</v>
      </c>
      <c r="T10"/>
    </row>
    <row r="11" spans="1:20" x14ac:dyDescent="0.25">
      <c r="A11" s="196">
        <v>43.09</v>
      </c>
      <c r="B11" s="196">
        <v>0.06</v>
      </c>
      <c r="C11" s="196">
        <v>28.15</v>
      </c>
      <c r="D11" s="8">
        <v>43050.375</v>
      </c>
      <c r="E11" s="196">
        <v>0.55000000000000004</v>
      </c>
      <c r="F11" s="196" t="s">
        <v>515</v>
      </c>
      <c r="G11" s="196">
        <v>259.70999999999998</v>
      </c>
      <c r="H11" s="196">
        <v>5.9999999999999995E-4</v>
      </c>
      <c r="I11" s="196">
        <v>0.09</v>
      </c>
      <c r="J11" s="196" t="s">
        <v>457</v>
      </c>
      <c r="K11" s="196">
        <v>1014.29</v>
      </c>
      <c r="L11" s="196" t="s">
        <v>516</v>
      </c>
      <c r="M11" s="196">
        <v>43.09</v>
      </c>
      <c r="N11" s="196">
        <v>1510416000</v>
      </c>
      <c r="O11" s="196">
        <v>1</v>
      </c>
      <c r="P11" s="196">
        <v>4.0999999999999996</v>
      </c>
      <c r="Q11" s="196">
        <v>189</v>
      </c>
      <c r="R11" s="196">
        <v>4.93</v>
      </c>
      <c r="S11" s="196">
        <v>0.87</v>
      </c>
      <c r="T11"/>
    </row>
    <row r="12" spans="1:20" x14ac:dyDescent="0.25">
      <c r="A12" s="196">
        <v>49.36</v>
      </c>
      <c r="B12" s="196">
        <v>7.0000000000000007E-2</v>
      </c>
      <c r="C12" s="196">
        <v>28.36</v>
      </c>
      <c r="D12" s="8">
        <v>43050.416666666664</v>
      </c>
      <c r="E12" s="196">
        <v>0.44</v>
      </c>
      <c r="F12" s="196" t="s">
        <v>515</v>
      </c>
      <c r="G12" s="196">
        <v>260.99</v>
      </c>
      <c r="H12" s="196">
        <v>2.9999999999999997E-4</v>
      </c>
      <c r="I12" s="196">
        <v>7.0000000000000007E-2</v>
      </c>
      <c r="J12" s="196" t="s">
        <v>457</v>
      </c>
      <c r="K12" s="196">
        <v>1013.46</v>
      </c>
      <c r="L12" s="196" t="s">
        <v>516</v>
      </c>
      <c r="M12" s="196">
        <v>49.36</v>
      </c>
      <c r="N12" s="196">
        <v>1510419600</v>
      </c>
      <c r="O12" s="196">
        <v>2</v>
      </c>
      <c r="P12" s="196">
        <v>4.09</v>
      </c>
      <c r="Q12" s="196">
        <v>19</v>
      </c>
      <c r="R12" s="196">
        <v>4.79</v>
      </c>
      <c r="S12" s="196">
        <v>0.63</v>
      </c>
      <c r="T12"/>
    </row>
    <row r="13" spans="1:20" x14ac:dyDescent="0.25">
      <c r="A13" s="196">
        <v>53.4</v>
      </c>
      <c r="B13" s="196">
        <v>0.18</v>
      </c>
      <c r="C13" s="196">
        <v>28.53</v>
      </c>
      <c r="D13" s="8">
        <v>43050.458333333336</v>
      </c>
      <c r="E13" s="196">
        <v>0.38</v>
      </c>
      <c r="F13" s="196" t="s">
        <v>515</v>
      </c>
      <c r="G13" s="196">
        <v>260.22000000000003</v>
      </c>
      <c r="H13" s="196">
        <v>0</v>
      </c>
      <c r="I13" s="196">
        <v>0</v>
      </c>
      <c r="J13" s="196"/>
      <c r="K13" s="196">
        <v>1013.6</v>
      </c>
      <c r="L13" s="196" t="s">
        <v>516</v>
      </c>
      <c r="M13" s="196">
        <v>53.4</v>
      </c>
      <c r="N13" s="196">
        <v>1510423200</v>
      </c>
      <c r="O13" s="196">
        <v>3</v>
      </c>
      <c r="P13" s="196">
        <v>4.3099999999999996</v>
      </c>
      <c r="Q13" s="196">
        <v>10</v>
      </c>
      <c r="R13" s="196">
        <v>8.41</v>
      </c>
      <c r="S13" s="196">
        <v>3.05</v>
      </c>
      <c r="T13"/>
    </row>
    <row r="14" spans="1:20" x14ac:dyDescent="0.25">
      <c r="A14" s="196">
        <v>55.55</v>
      </c>
      <c r="B14" s="196">
        <v>0.12</v>
      </c>
      <c r="C14" s="196">
        <v>28.44</v>
      </c>
      <c r="D14" s="8">
        <v>43050.5</v>
      </c>
      <c r="E14" s="196">
        <v>0.35</v>
      </c>
      <c r="F14" s="196" t="s">
        <v>515</v>
      </c>
      <c r="G14" s="196">
        <v>259.70999999999998</v>
      </c>
      <c r="H14" s="196">
        <v>1E-4</v>
      </c>
      <c r="I14" s="196">
        <v>0.01</v>
      </c>
      <c r="J14" s="196" t="s">
        <v>457</v>
      </c>
      <c r="K14" s="196">
        <v>1012.8</v>
      </c>
      <c r="L14" s="196" t="s">
        <v>516</v>
      </c>
      <c r="M14" s="196">
        <v>55.55</v>
      </c>
      <c r="N14" s="196">
        <v>1510426800</v>
      </c>
      <c r="O14" s="196">
        <v>3</v>
      </c>
      <c r="P14" s="196">
        <v>4.3099999999999996</v>
      </c>
      <c r="Q14" s="196">
        <v>24</v>
      </c>
      <c r="R14" s="196">
        <v>8.73</v>
      </c>
      <c r="S14" s="196">
        <v>3.27</v>
      </c>
      <c r="T14"/>
    </row>
    <row r="15" spans="1:20" x14ac:dyDescent="0.25">
      <c r="A15" s="196">
        <v>57.37</v>
      </c>
      <c r="B15" s="196">
        <v>0.15</v>
      </c>
      <c r="C15" s="196">
        <v>28.36</v>
      </c>
      <c r="D15" s="8">
        <v>43050.541666666664</v>
      </c>
      <c r="E15" s="196">
        <v>0.33</v>
      </c>
      <c r="F15" s="196" t="s">
        <v>515</v>
      </c>
      <c r="G15" s="196">
        <v>258.81</v>
      </c>
      <c r="H15" s="196">
        <v>2.0000000000000001E-4</v>
      </c>
      <c r="I15" s="196">
        <v>0.01</v>
      </c>
      <c r="J15" s="196" t="s">
        <v>457</v>
      </c>
      <c r="K15" s="196">
        <v>1012.51</v>
      </c>
      <c r="L15" s="196" t="s">
        <v>516</v>
      </c>
      <c r="M15" s="196">
        <v>57.37</v>
      </c>
      <c r="N15" s="196">
        <v>1510430400</v>
      </c>
      <c r="O15" s="196">
        <v>3</v>
      </c>
      <c r="P15" s="196">
        <v>3.17</v>
      </c>
      <c r="Q15" s="196">
        <v>18</v>
      </c>
      <c r="R15" s="196">
        <v>8.4600000000000009</v>
      </c>
      <c r="S15" s="196">
        <v>3.16</v>
      </c>
      <c r="T15"/>
    </row>
    <row r="16" spans="1:20" x14ac:dyDescent="0.25">
      <c r="A16" s="196">
        <v>58.81</v>
      </c>
      <c r="B16" s="196">
        <v>0.18</v>
      </c>
      <c r="C16" s="196">
        <v>27.93</v>
      </c>
      <c r="D16" s="8">
        <v>43050.583333333336</v>
      </c>
      <c r="E16" s="196">
        <v>0.31</v>
      </c>
      <c r="F16" s="196" t="s">
        <v>515</v>
      </c>
      <c r="G16" s="196">
        <v>258.29000000000002</v>
      </c>
      <c r="H16" s="196">
        <v>2.0000000000000001E-4</v>
      </c>
      <c r="I16" s="196">
        <v>0.01</v>
      </c>
      <c r="J16" s="196" t="s">
        <v>457</v>
      </c>
      <c r="K16" s="196">
        <v>1012.77</v>
      </c>
      <c r="L16" s="196" t="s">
        <v>516</v>
      </c>
      <c r="M16" s="196">
        <v>58.81</v>
      </c>
      <c r="N16" s="196">
        <v>1510434000</v>
      </c>
      <c r="O16" s="196">
        <v>2</v>
      </c>
      <c r="P16" s="196">
        <v>4.3099999999999996</v>
      </c>
      <c r="Q16" s="196">
        <v>18</v>
      </c>
      <c r="R16" s="196">
        <v>9.65</v>
      </c>
      <c r="S16" s="196">
        <v>3.11</v>
      </c>
      <c r="T16"/>
    </row>
    <row r="17" spans="1:20" x14ac:dyDescent="0.25">
      <c r="A17" s="196">
        <v>58.92</v>
      </c>
      <c r="B17" s="196">
        <v>0.21</v>
      </c>
      <c r="C17" s="196">
        <v>27.3</v>
      </c>
      <c r="D17" s="8">
        <v>43050.625</v>
      </c>
      <c r="E17" s="196">
        <v>0.3</v>
      </c>
      <c r="F17" s="196" t="s">
        <v>515</v>
      </c>
      <c r="G17" s="196">
        <v>258.42</v>
      </c>
      <c r="H17" s="196">
        <v>1E-4</v>
      </c>
      <c r="I17" s="196">
        <v>0.01</v>
      </c>
      <c r="J17" s="196" t="s">
        <v>457</v>
      </c>
      <c r="K17" s="196">
        <v>1013.89</v>
      </c>
      <c r="L17" s="196" t="s">
        <v>516</v>
      </c>
      <c r="M17" s="196">
        <v>58.92</v>
      </c>
      <c r="N17" s="196">
        <v>1510437600</v>
      </c>
      <c r="O17" s="196">
        <v>1</v>
      </c>
      <c r="P17" s="196">
        <v>4.3099999999999996</v>
      </c>
      <c r="Q17" s="196">
        <v>14</v>
      </c>
      <c r="R17" s="196">
        <v>9.8800000000000008</v>
      </c>
      <c r="S17" s="196">
        <v>3.41</v>
      </c>
      <c r="T17"/>
    </row>
    <row r="18" spans="1:20" x14ac:dyDescent="0.25">
      <c r="A18" s="196">
        <v>57.64</v>
      </c>
      <c r="B18" s="196">
        <v>0.31</v>
      </c>
      <c r="C18" s="196">
        <v>26.59</v>
      </c>
      <c r="D18" s="8">
        <v>43050.666666666664</v>
      </c>
      <c r="E18" s="196">
        <v>0.3</v>
      </c>
      <c r="F18" s="196" t="s">
        <v>448</v>
      </c>
      <c r="G18" s="196">
        <v>258.81</v>
      </c>
      <c r="H18" s="196">
        <v>1E-4</v>
      </c>
      <c r="I18" s="196">
        <v>0.01</v>
      </c>
      <c r="J18" s="196" t="s">
        <v>457</v>
      </c>
      <c r="K18" s="196">
        <v>1015.46</v>
      </c>
      <c r="L18" s="196" t="s">
        <v>514</v>
      </c>
      <c r="M18" s="196">
        <v>57.64</v>
      </c>
      <c r="N18" s="196">
        <v>1510441200</v>
      </c>
      <c r="O18" s="196">
        <v>0</v>
      </c>
      <c r="P18" s="196">
        <v>4.3099999999999996</v>
      </c>
      <c r="Q18" s="196">
        <v>21</v>
      </c>
      <c r="R18" s="196">
        <v>8.64</v>
      </c>
      <c r="S18" s="196">
        <v>2.95</v>
      </c>
      <c r="T18"/>
    </row>
    <row r="19" spans="1:20" x14ac:dyDescent="0.25">
      <c r="A19" s="196">
        <v>51.54</v>
      </c>
      <c r="B19" s="196">
        <v>0.22</v>
      </c>
      <c r="C19" s="196">
        <v>27.87</v>
      </c>
      <c r="D19" s="8">
        <v>43050.708333333336</v>
      </c>
      <c r="E19" s="196">
        <v>0.4</v>
      </c>
      <c r="F19" s="196" t="s">
        <v>517</v>
      </c>
      <c r="G19" s="196">
        <v>259.2</v>
      </c>
      <c r="H19" s="196">
        <v>1E-4</v>
      </c>
      <c r="I19" s="196">
        <v>0.01</v>
      </c>
      <c r="J19" s="196" t="s">
        <v>457</v>
      </c>
      <c r="K19" s="196">
        <v>1017.7</v>
      </c>
      <c r="L19" s="196" t="s">
        <v>516</v>
      </c>
      <c r="M19" s="196">
        <v>51.54</v>
      </c>
      <c r="N19" s="196">
        <v>1510444800</v>
      </c>
      <c r="O19" s="196">
        <v>0</v>
      </c>
      <c r="P19" s="196">
        <v>5</v>
      </c>
      <c r="Q19" s="196">
        <v>44</v>
      </c>
      <c r="R19" s="196">
        <v>8.4600000000000009</v>
      </c>
      <c r="S19" s="196">
        <v>2.88</v>
      </c>
      <c r="T19"/>
    </row>
    <row r="20" spans="1:20" x14ac:dyDescent="0.25">
      <c r="A20" s="196">
        <v>47.31</v>
      </c>
      <c r="B20" s="196">
        <v>0.06</v>
      </c>
      <c r="C20" s="196">
        <v>27.53</v>
      </c>
      <c r="D20" s="8">
        <v>43050.75</v>
      </c>
      <c r="E20" s="196">
        <v>0.46</v>
      </c>
      <c r="F20" s="196" t="s">
        <v>517</v>
      </c>
      <c r="G20" s="196">
        <v>259.07</v>
      </c>
      <c r="H20" s="196">
        <v>0</v>
      </c>
      <c r="I20" s="196">
        <v>0</v>
      </c>
      <c r="J20" s="196"/>
      <c r="K20" s="196">
        <v>1019.76</v>
      </c>
      <c r="L20" s="196" t="s">
        <v>516</v>
      </c>
      <c r="M20" s="196">
        <v>47.31</v>
      </c>
      <c r="N20" s="196">
        <v>1510448400</v>
      </c>
      <c r="O20" s="196">
        <v>0</v>
      </c>
      <c r="P20" s="196">
        <v>3.42</v>
      </c>
      <c r="Q20" s="196">
        <v>69</v>
      </c>
      <c r="R20" s="196">
        <v>5.56</v>
      </c>
      <c r="S20" s="196">
        <v>1.26</v>
      </c>
      <c r="T20"/>
    </row>
    <row r="21" spans="1:20" x14ac:dyDescent="0.25">
      <c r="A21" s="196">
        <v>44.88</v>
      </c>
      <c r="B21" s="196">
        <v>0.13</v>
      </c>
      <c r="C21" s="196">
        <v>26.94</v>
      </c>
      <c r="D21" s="8">
        <v>43050.791666666664</v>
      </c>
      <c r="E21" s="196">
        <v>0.49</v>
      </c>
      <c r="F21" s="196" t="s">
        <v>517</v>
      </c>
      <c r="G21" s="196">
        <v>258.81</v>
      </c>
      <c r="H21" s="196">
        <v>0</v>
      </c>
      <c r="I21" s="196">
        <v>0</v>
      </c>
      <c r="J21" s="196"/>
      <c r="K21" s="196">
        <v>1021.25</v>
      </c>
      <c r="L21" s="196" t="s">
        <v>516</v>
      </c>
      <c r="M21" s="196">
        <v>44.88</v>
      </c>
      <c r="N21" s="196">
        <v>1510452000</v>
      </c>
      <c r="O21" s="196">
        <v>0</v>
      </c>
      <c r="P21" s="196">
        <v>4.97</v>
      </c>
      <c r="Q21" s="196">
        <v>138</v>
      </c>
      <c r="R21" s="196">
        <v>4.1900000000000004</v>
      </c>
      <c r="S21" s="196">
        <v>1.19</v>
      </c>
      <c r="T21"/>
    </row>
    <row r="22" spans="1:20" x14ac:dyDescent="0.25">
      <c r="A22" s="196">
        <v>42.57</v>
      </c>
      <c r="B22" s="196">
        <v>0.09</v>
      </c>
      <c r="C22" s="196">
        <v>26.77</v>
      </c>
      <c r="D22" s="8">
        <v>43050.833333333336</v>
      </c>
      <c r="E22" s="196">
        <v>0.53</v>
      </c>
      <c r="F22" s="196" t="s">
        <v>517</v>
      </c>
      <c r="G22" s="196">
        <v>258.42</v>
      </c>
      <c r="H22" s="196">
        <v>0</v>
      </c>
      <c r="I22" s="196">
        <v>0</v>
      </c>
      <c r="J22" s="196"/>
      <c r="K22" s="196">
        <v>1021.88</v>
      </c>
      <c r="L22" s="196" t="s">
        <v>516</v>
      </c>
      <c r="M22" s="196">
        <v>42.57</v>
      </c>
      <c r="N22" s="196">
        <v>1510455600</v>
      </c>
      <c r="O22" s="196">
        <v>0</v>
      </c>
      <c r="P22" s="196">
        <v>4.97</v>
      </c>
      <c r="Q22" s="196">
        <v>147</v>
      </c>
      <c r="R22" s="196">
        <v>3.96</v>
      </c>
      <c r="S22" s="196">
        <v>1.21</v>
      </c>
      <c r="T22"/>
    </row>
    <row r="23" spans="1:20" x14ac:dyDescent="0.25">
      <c r="A23" s="196">
        <v>41.17</v>
      </c>
      <c r="B23" s="196">
        <v>0.08</v>
      </c>
      <c r="C23" s="196">
        <v>26.02</v>
      </c>
      <c r="D23" s="8">
        <v>43050.875</v>
      </c>
      <c r="E23" s="196">
        <v>0.55000000000000004</v>
      </c>
      <c r="F23" s="196" t="s">
        <v>517</v>
      </c>
      <c r="G23" s="196">
        <v>257.52</v>
      </c>
      <c r="H23" s="196">
        <v>0</v>
      </c>
      <c r="I23" s="196">
        <v>0</v>
      </c>
      <c r="J23" s="196"/>
      <c r="K23" s="196">
        <v>1022.98</v>
      </c>
      <c r="L23" s="196" t="s">
        <v>516</v>
      </c>
      <c r="M23" s="196">
        <v>41.17</v>
      </c>
      <c r="N23" s="196">
        <v>1510459200</v>
      </c>
      <c r="O23" s="196">
        <v>0</v>
      </c>
      <c r="P23" s="196">
        <v>4.12</v>
      </c>
      <c r="Q23" s="196">
        <v>143</v>
      </c>
      <c r="R23" s="196">
        <v>4.0199999999999996</v>
      </c>
      <c r="S23" s="196">
        <v>1.21</v>
      </c>
      <c r="T23"/>
    </row>
    <row r="24" spans="1:20" x14ac:dyDescent="0.25">
      <c r="A24" s="196">
        <v>39.65</v>
      </c>
      <c r="B24" s="196">
        <v>0.08</v>
      </c>
      <c r="C24" s="196">
        <v>25.3</v>
      </c>
      <c r="D24" s="8">
        <v>43050.916666666664</v>
      </c>
      <c r="E24" s="196">
        <v>0.56000000000000005</v>
      </c>
      <c r="F24" s="196" t="s">
        <v>517</v>
      </c>
      <c r="G24" s="196">
        <v>256.22000000000003</v>
      </c>
      <c r="H24" s="196">
        <v>0</v>
      </c>
      <c r="I24" s="196">
        <v>0</v>
      </c>
      <c r="J24" s="196"/>
      <c r="K24" s="196">
        <v>1023.69</v>
      </c>
      <c r="L24" s="196" t="s">
        <v>516</v>
      </c>
      <c r="M24" s="196">
        <v>39.65</v>
      </c>
      <c r="N24" s="196">
        <v>1510462800</v>
      </c>
      <c r="O24" s="196">
        <v>0</v>
      </c>
      <c r="P24" s="196">
        <v>3.38</v>
      </c>
      <c r="Q24" s="196">
        <v>144</v>
      </c>
      <c r="R24" s="196">
        <v>4.2699999999999996</v>
      </c>
      <c r="S24" s="196">
        <v>1.27</v>
      </c>
      <c r="T24"/>
    </row>
    <row r="25" spans="1:20" x14ac:dyDescent="0.25">
      <c r="A25" s="196">
        <v>37.93</v>
      </c>
      <c r="B25" s="196">
        <v>7.0000000000000007E-2</v>
      </c>
      <c r="C25" s="196">
        <v>24.42</v>
      </c>
      <c r="D25" s="8">
        <v>43050.958333333336</v>
      </c>
      <c r="E25" s="196">
        <v>0.57999999999999996</v>
      </c>
      <c r="F25" s="196" t="s">
        <v>517</v>
      </c>
      <c r="G25" s="196">
        <v>255.17</v>
      </c>
      <c r="H25" s="196">
        <v>0</v>
      </c>
      <c r="I25" s="196">
        <v>0</v>
      </c>
      <c r="J25" s="196"/>
      <c r="K25" s="196">
        <v>1023.83</v>
      </c>
      <c r="L25" s="196" t="s">
        <v>516</v>
      </c>
      <c r="M25" s="196">
        <v>37.93</v>
      </c>
      <c r="N25" s="196">
        <v>1510466400</v>
      </c>
      <c r="O25" s="196">
        <v>0</v>
      </c>
      <c r="P25" s="196">
        <v>3.41</v>
      </c>
      <c r="Q25" s="196">
        <v>128</v>
      </c>
      <c r="R25" s="196">
        <v>3.41</v>
      </c>
      <c r="S25" s="196">
        <v>1.03</v>
      </c>
      <c r="T25"/>
    </row>
    <row r="26" spans="1:20" x14ac:dyDescent="0.25">
      <c r="A26" s="196">
        <v>35.72</v>
      </c>
      <c r="B26" s="196">
        <v>0.05</v>
      </c>
      <c r="C26" s="196">
        <v>23.76</v>
      </c>
      <c r="D26" s="8">
        <v>43051</v>
      </c>
      <c r="E26" s="196">
        <v>0.61</v>
      </c>
      <c r="F26" s="196" t="s">
        <v>517</v>
      </c>
      <c r="G26" s="196">
        <v>254.12</v>
      </c>
      <c r="H26" s="196">
        <v>0</v>
      </c>
      <c r="I26" s="196">
        <v>0</v>
      </c>
      <c r="J26" s="196"/>
      <c r="K26" s="196">
        <v>1025.0999999999999</v>
      </c>
      <c r="L26" s="196" t="s">
        <v>516</v>
      </c>
      <c r="M26" s="196">
        <v>35.72</v>
      </c>
      <c r="N26" s="196">
        <v>1510470000</v>
      </c>
      <c r="O26" s="196">
        <v>0</v>
      </c>
      <c r="P26" s="196">
        <v>3.37</v>
      </c>
      <c r="Q26" s="196">
        <v>129</v>
      </c>
      <c r="R26" s="196">
        <v>2.73</v>
      </c>
      <c r="S26" s="196">
        <v>1.06</v>
      </c>
      <c r="T26"/>
    </row>
    <row r="27" spans="1:20" x14ac:dyDescent="0.25">
      <c r="A27" s="196">
        <v>33.72</v>
      </c>
      <c r="B27" s="196">
        <v>0.01</v>
      </c>
      <c r="C27" s="196">
        <v>23.36</v>
      </c>
      <c r="D27" s="8">
        <v>43051.041666666664</v>
      </c>
      <c r="E27" s="196">
        <v>0.65</v>
      </c>
      <c r="F27" s="196" t="s">
        <v>517</v>
      </c>
      <c r="G27" s="196">
        <v>252.93</v>
      </c>
      <c r="H27" s="196">
        <v>0</v>
      </c>
      <c r="I27" s="196">
        <v>0</v>
      </c>
      <c r="J27" s="196"/>
      <c r="K27" s="196">
        <v>1026.07</v>
      </c>
      <c r="L27" s="196" t="s">
        <v>516</v>
      </c>
      <c r="M27" s="196">
        <v>33.72</v>
      </c>
      <c r="N27" s="196">
        <v>1510473600</v>
      </c>
      <c r="O27" s="196">
        <v>0</v>
      </c>
      <c r="P27" s="196">
        <v>3.43</v>
      </c>
      <c r="Q27" s="196">
        <v>140</v>
      </c>
      <c r="R27" s="196">
        <v>2.0499999999999998</v>
      </c>
      <c r="S27" s="196">
        <v>0.71</v>
      </c>
      <c r="T27"/>
    </row>
    <row r="28" spans="1:20" x14ac:dyDescent="0.25">
      <c r="A28" s="196">
        <v>31.66</v>
      </c>
      <c r="B28" s="196">
        <v>0.01</v>
      </c>
      <c r="C28" s="196">
        <v>22.66</v>
      </c>
      <c r="D28" s="8">
        <v>43051.083333333336</v>
      </c>
      <c r="E28" s="196">
        <v>0.69</v>
      </c>
      <c r="F28" s="196" t="s">
        <v>517</v>
      </c>
      <c r="G28" s="196">
        <v>252.13</v>
      </c>
      <c r="H28" s="196">
        <v>0</v>
      </c>
      <c r="I28" s="196">
        <v>0</v>
      </c>
      <c r="J28" s="196"/>
      <c r="K28" s="196">
        <v>1026.25</v>
      </c>
      <c r="L28" s="196" t="s">
        <v>516</v>
      </c>
      <c r="M28" s="196">
        <v>31.66</v>
      </c>
      <c r="N28" s="196">
        <v>1510477200</v>
      </c>
      <c r="O28" s="196">
        <v>0</v>
      </c>
      <c r="P28" s="196">
        <v>3.64</v>
      </c>
      <c r="Q28" s="196">
        <v>150</v>
      </c>
      <c r="R28" s="196">
        <v>1.61</v>
      </c>
      <c r="S28" s="196">
        <v>0.53</v>
      </c>
      <c r="T28"/>
    </row>
    <row r="29" spans="1:20" x14ac:dyDescent="0.25">
      <c r="A29" s="196">
        <v>31.28</v>
      </c>
      <c r="B29" s="196">
        <v>0.01</v>
      </c>
      <c r="C29" s="196">
        <v>22.02</v>
      </c>
      <c r="D29" s="8">
        <v>43051.125</v>
      </c>
      <c r="E29" s="196">
        <v>0.68</v>
      </c>
      <c r="F29" s="196" t="s">
        <v>517</v>
      </c>
      <c r="G29" s="196">
        <v>251.6</v>
      </c>
      <c r="H29" s="196">
        <v>0</v>
      </c>
      <c r="I29" s="196">
        <v>0</v>
      </c>
      <c r="J29" s="196"/>
      <c r="K29" s="196">
        <v>1027.47</v>
      </c>
      <c r="L29" s="196" t="s">
        <v>516</v>
      </c>
      <c r="M29" s="196">
        <v>31.28</v>
      </c>
      <c r="N29" s="196">
        <v>1510480800</v>
      </c>
      <c r="O29" s="196">
        <v>0</v>
      </c>
      <c r="P29" s="196">
        <v>5.41</v>
      </c>
      <c r="Q29" s="196">
        <v>180</v>
      </c>
      <c r="R29" s="196">
        <v>2.36</v>
      </c>
      <c r="S29" s="196">
        <v>1.41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1073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1074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1075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1076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1077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1078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1079</v>
      </c>
      <c r="J25" s="140" t="s">
        <v>144</v>
      </c>
      <c r="M25" s="154" t="b">
        <v>1</v>
      </c>
    </row>
    <row r="26" spans="3:24" x14ac:dyDescent="0.25">
      <c r="C26" t="s">
        <v>1080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%USERPROFILE%\Documents\GitHub\eaglep3-reporting\EC\2017-11-11-refined-times.txt</v>
      </c>
    </row>
    <row r="27" spans="3:24" x14ac:dyDescent="0.25">
      <c r="C27" t="s">
        <v>1081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%USERPROFILE%\Documents\GitHub\eaglep3-reporting\EC\2017-11-11-Enforcements.txt</v>
      </c>
    </row>
    <row r="28" spans="3:24" x14ac:dyDescent="0.25">
      <c r="C28" t="s">
        <v>1082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%USERPROFILE%\Documents\GitHub\eaglep3-reporting\EC\2017-11-11-Runs-refined.txt</v>
      </c>
    </row>
    <row r="29" spans="3:24" x14ac:dyDescent="0.25">
      <c r="C29" t="s">
        <v>1083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%USERPROFILE%\Documents\GitHub\eaglep3-reporting\EC\2017-11-11-Trips.txt</v>
      </c>
    </row>
    <row r="30" spans="3:24" x14ac:dyDescent="0.25">
      <c r="C30" t="s">
        <v>1084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%USERPROFILE%\Documents\GitHub\eaglep3-reporting\EC\2017-11-11-Weather.txt</v>
      </c>
    </row>
    <row r="31" spans="3:24" x14ac:dyDescent="0.25">
      <c r="C31" t="s">
        <v>1085</v>
      </c>
      <c r="J31" s="140" t="s">
        <v>188</v>
      </c>
      <c r="M31" s="154" t="s">
        <v>189</v>
      </c>
    </row>
    <row r="32" spans="3:24" x14ac:dyDescent="0.25">
      <c r="C32" t="s">
        <v>1086</v>
      </c>
    </row>
    <row r="33" spans="3:3" x14ac:dyDescent="0.25">
      <c r="C33" t="s">
        <v>1087</v>
      </c>
    </row>
    <row r="34" spans="3:3" x14ac:dyDescent="0.25">
      <c r="C34" t="s">
        <v>1088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2017-11-13T16:40:06Z</dcterms:modified>
</cp:coreProperties>
</file>