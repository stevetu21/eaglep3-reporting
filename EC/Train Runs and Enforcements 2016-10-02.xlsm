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Enforcements!$A$6:$AC$68</definedName>
    <definedName name="_xlnm._FilterDatabase" localSheetId="2" hidden="1">'Missing Trips'!$B$2:$I$2</definedName>
    <definedName name="_xlnm._FilterDatabase" localSheetId="0" hidden="1">'Train Runs'!$A$12:$AG$240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5" i="1" l="1"/>
  <c r="X156" i="1"/>
  <c r="X157" i="1"/>
  <c r="X158" i="1"/>
  <c r="X159" i="1"/>
  <c r="U8" i="3" l="1"/>
  <c r="T8" i="3" s="1"/>
  <c r="V8" i="3"/>
  <c r="W8" i="3"/>
  <c r="X8" i="3"/>
  <c r="AC8" i="3"/>
  <c r="U9" i="3"/>
  <c r="T9" i="3" s="1"/>
  <c r="V9" i="3"/>
  <c r="W9" i="3"/>
  <c r="X9" i="3"/>
  <c r="U10" i="3"/>
  <c r="AC10" i="3" s="1"/>
  <c r="V10" i="3"/>
  <c r="W10" i="3"/>
  <c r="X10" i="3"/>
  <c r="U11" i="3"/>
  <c r="T11" i="3" s="1"/>
  <c r="V11" i="3"/>
  <c r="W11" i="3"/>
  <c r="X11" i="3"/>
  <c r="AC11" i="3"/>
  <c r="U12" i="3"/>
  <c r="T12" i="3" s="1"/>
  <c r="V12" i="3"/>
  <c r="W12" i="3"/>
  <c r="X12" i="3"/>
  <c r="AC12" i="3"/>
  <c r="U13" i="3"/>
  <c r="T13" i="3" s="1"/>
  <c r="V13" i="3"/>
  <c r="W13" i="3"/>
  <c r="X13" i="3"/>
  <c r="U14" i="3"/>
  <c r="AC14" i="3" s="1"/>
  <c r="V14" i="3"/>
  <c r="W14" i="3"/>
  <c r="X14" i="3"/>
  <c r="U15" i="3"/>
  <c r="T15" i="3" s="1"/>
  <c r="V15" i="3"/>
  <c r="W15" i="3"/>
  <c r="X15" i="3"/>
  <c r="AC15" i="3"/>
  <c r="U16" i="3"/>
  <c r="T16" i="3" s="1"/>
  <c r="V16" i="3"/>
  <c r="W16" i="3"/>
  <c r="X16" i="3"/>
  <c r="U17" i="3"/>
  <c r="T17" i="3" s="1"/>
  <c r="V17" i="3"/>
  <c r="W17" i="3"/>
  <c r="X17" i="3"/>
  <c r="U18" i="3"/>
  <c r="AC18" i="3" s="1"/>
  <c r="V18" i="3"/>
  <c r="W18" i="3"/>
  <c r="X18" i="3"/>
  <c r="U19" i="3"/>
  <c r="T19" i="3" s="1"/>
  <c r="V19" i="3"/>
  <c r="W19" i="3"/>
  <c r="X19" i="3"/>
  <c r="AC19" i="3"/>
  <c r="U20" i="3"/>
  <c r="T20" i="3" s="1"/>
  <c r="V20" i="3"/>
  <c r="W20" i="3"/>
  <c r="X20" i="3"/>
  <c r="AC20" i="3"/>
  <c r="U21" i="3"/>
  <c r="T21" i="3" s="1"/>
  <c r="V21" i="3"/>
  <c r="W21" i="3"/>
  <c r="X21" i="3"/>
  <c r="U22" i="3"/>
  <c r="AC22" i="3" s="1"/>
  <c r="V22" i="3"/>
  <c r="W22" i="3"/>
  <c r="X22" i="3"/>
  <c r="U23" i="3"/>
  <c r="T23" i="3" s="1"/>
  <c r="V23" i="3"/>
  <c r="W23" i="3"/>
  <c r="X23" i="3"/>
  <c r="AC23" i="3"/>
  <c r="U24" i="3"/>
  <c r="T24" i="3" s="1"/>
  <c r="V24" i="3"/>
  <c r="W24" i="3"/>
  <c r="X24" i="3"/>
  <c r="AC24" i="3"/>
  <c r="U25" i="3"/>
  <c r="T25" i="3" s="1"/>
  <c r="V25" i="3"/>
  <c r="W25" i="3"/>
  <c r="X25" i="3"/>
  <c r="U26" i="3"/>
  <c r="AC26" i="3" s="1"/>
  <c r="V26" i="3"/>
  <c r="W26" i="3"/>
  <c r="X26" i="3"/>
  <c r="U27" i="3"/>
  <c r="T27" i="3" s="1"/>
  <c r="V27" i="3"/>
  <c r="W27" i="3"/>
  <c r="X27" i="3"/>
  <c r="AC27" i="3"/>
  <c r="U28" i="3"/>
  <c r="T28" i="3" s="1"/>
  <c r="V28" i="3"/>
  <c r="W28" i="3"/>
  <c r="X28" i="3"/>
  <c r="AC28" i="3"/>
  <c r="U29" i="3"/>
  <c r="T29" i="3" s="1"/>
  <c r="V29" i="3"/>
  <c r="W29" i="3"/>
  <c r="Y29" i="3" s="1"/>
  <c r="X29" i="3"/>
  <c r="U30" i="3"/>
  <c r="AC30" i="3" s="1"/>
  <c r="V30" i="3"/>
  <c r="W30" i="3"/>
  <c r="Y30" i="3" s="1"/>
  <c r="X30" i="3"/>
  <c r="U31" i="3"/>
  <c r="T31" i="3" s="1"/>
  <c r="V31" i="3"/>
  <c r="W31" i="3"/>
  <c r="X31" i="3"/>
  <c r="AC31" i="3"/>
  <c r="U32" i="3"/>
  <c r="T32" i="3" s="1"/>
  <c r="V32" i="3"/>
  <c r="W32" i="3"/>
  <c r="X32" i="3"/>
  <c r="AC32" i="3"/>
  <c r="U33" i="3"/>
  <c r="T33" i="3" s="1"/>
  <c r="V33" i="3"/>
  <c r="W33" i="3"/>
  <c r="X33" i="3"/>
  <c r="AC33" i="3"/>
  <c r="U34" i="3"/>
  <c r="AC34" i="3" s="1"/>
  <c r="V34" i="3"/>
  <c r="W34" i="3"/>
  <c r="X34" i="3"/>
  <c r="U35" i="3"/>
  <c r="T35" i="3" s="1"/>
  <c r="V35" i="3"/>
  <c r="W35" i="3"/>
  <c r="Y35" i="3" s="1"/>
  <c r="X35" i="3"/>
  <c r="AC35" i="3"/>
  <c r="U36" i="3"/>
  <c r="T36" i="3" s="1"/>
  <c r="V36" i="3"/>
  <c r="W36" i="3"/>
  <c r="X36" i="3"/>
  <c r="AC36" i="3"/>
  <c r="U37" i="3"/>
  <c r="T37" i="3" s="1"/>
  <c r="V37" i="3"/>
  <c r="W37" i="3"/>
  <c r="X37" i="3"/>
  <c r="Y37" i="3"/>
  <c r="U38" i="3"/>
  <c r="AC38" i="3" s="1"/>
  <c r="V38" i="3"/>
  <c r="W38" i="3"/>
  <c r="X38" i="3"/>
  <c r="Y14" i="3" l="1"/>
  <c r="AC16" i="3"/>
  <c r="Y16" i="3"/>
  <c r="Y13" i="3"/>
  <c r="Y27" i="3"/>
  <c r="Y25" i="3"/>
  <c r="Y18" i="3"/>
  <c r="Y12" i="3"/>
  <c r="Y38" i="3"/>
  <c r="Y22" i="3"/>
  <c r="Y21" i="3"/>
  <c r="Y11" i="3"/>
  <c r="Y9" i="3"/>
  <c r="Y28" i="3"/>
  <c r="Y8" i="3"/>
  <c r="Y36" i="3"/>
  <c r="Y26" i="3"/>
  <c r="Y19" i="3"/>
  <c r="Y17" i="3"/>
  <c r="Y10" i="3"/>
  <c r="Y33" i="3"/>
  <c r="Y34" i="3"/>
  <c r="Y20" i="3"/>
  <c r="AC25" i="3"/>
  <c r="AC17" i="3"/>
  <c r="AC9" i="3"/>
  <c r="Y31" i="3"/>
  <c r="Y23" i="3"/>
  <c r="Y15" i="3"/>
  <c r="AC37" i="3"/>
  <c r="Y32" i="3"/>
  <c r="AC29" i="3"/>
  <c r="Y24" i="3"/>
  <c r="AC21" i="3"/>
  <c r="AC13" i="3"/>
  <c r="T38" i="3"/>
  <c r="T34" i="3"/>
  <c r="T30" i="3"/>
  <c r="T26" i="3"/>
  <c r="T22" i="3"/>
  <c r="T18" i="3"/>
  <c r="T14" i="3"/>
  <c r="T10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7" i="3"/>
  <c r="N7" i="3"/>
  <c r="U7" i="3"/>
  <c r="T7" i="3" s="1"/>
  <c r="V7" i="3"/>
  <c r="W7" i="3"/>
  <c r="X7" i="3"/>
  <c r="K14" i="1"/>
  <c r="L14" i="1"/>
  <c r="M14" i="1"/>
  <c r="N14" i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S24" i="3" s="1"/>
  <c r="Y15" i="1"/>
  <c r="Z15" i="1"/>
  <c r="AB15" i="1"/>
  <c r="AC15" i="1"/>
  <c r="AD15" i="1"/>
  <c r="T15" i="1" s="1"/>
  <c r="AE15" i="1"/>
  <c r="R24" i="3" s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AA22" i="1" s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AA34" i="1" s="1"/>
  <c r="Z34" i="1"/>
  <c r="AB34" i="1"/>
  <c r="AC34" i="1"/>
  <c r="AD34" i="1"/>
  <c r="AE34" i="1"/>
  <c r="AF34" i="1"/>
  <c r="K35" i="1"/>
  <c r="L35" i="1"/>
  <c r="M35" i="1"/>
  <c r="N35" i="1" s="1"/>
  <c r="V35" i="1"/>
  <c r="S15" i="3" s="1"/>
  <c r="Y35" i="1"/>
  <c r="Z35" i="1"/>
  <c r="AB35" i="1"/>
  <c r="AC35" i="1"/>
  <c r="AD35" i="1"/>
  <c r="AE35" i="1"/>
  <c r="R15" i="3" s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I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I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AA47" i="1" s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S7" i="3" s="1"/>
  <c r="Y49" i="1"/>
  <c r="Z49" i="1"/>
  <c r="AB49" i="1"/>
  <c r="AC49" i="1"/>
  <c r="AD49" i="1"/>
  <c r="T49" i="1" s="1"/>
  <c r="AE49" i="1"/>
  <c r="R7" i="3" s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P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P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S8" i="3" s="1"/>
  <c r="Y65" i="1"/>
  <c r="Z65" i="1"/>
  <c r="AB65" i="1"/>
  <c r="AC65" i="1"/>
  <c r="AD65" i="1"/>
  <c r="AG65" i="1" s="1"/>
  <c r="AE65" i="1"/>
  <c r="R8" i="3" s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X72" i="1"/>
  <c r="Y72" i="1"/>
  <c r="Z72" i="1"/>
  <c r="AB72" i="1"/>
  <c r="AC72" i="1"/>
  <c r="AD72" i="1"/>
  <c r="T72" i="1" s="1"/>
  <c r="AE72" i="1"/>
  <c r="AF72" i="1"/>
  <c r="AG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S19" i="3" s="1"/>
  <c r="Y78" i="1"/>
  <c r="AA78" i="1" s="1"/>
  <c r="Z78" i="1"/>
  <c r="AB78" i="1"/>
  <c r="AC78" i="1"/>
  <c r="AD78" i="1"/>
  <c r="AG78" i="1" s="1"/>
  <c r="AI78" i="1" s="1"/>
  <c r="AE78" i="1"/>
  <c r="R19" i="3" s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AA82" i="1" s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A84" i="1" s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G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S9" i="3" s="1"/>
  <c r="Y88" i="1"/>
  <c r="Z88" i="1"/>
  <c r="AB88" i="1"/>
  <c r="AC88" i="1"/>
  <c r="AD88" i="1"/>
  <c r="AG88" i="1" s="1"/>
  <c r="AE88" i="1"/>
  <c r="R9" i="3" s="1"/>
  <c r="AF88" i="1"/>
  <c r="K89" i="1"/>
  <c r="L89" i="1"/>
  <c r="M89" i="1"/>
  <c r="N89" i="1" s="1"/>
  <c r="V89" i="1"/>
  <c r="S16" i="3" s="1"/>
  <c r="Y89" i="1"/>
  <c r="Z89" i="1"/>
  <c r="AA89" i="1" s="1"/>
  <c r="W89" i="1" s="1"/>
  <c r="AB89" i="1"/>
  <c r="AC89" i="1"/>
  <c r="AD89" i="1"/>
  <c r="AG89" i="1" s="1"/>
  <c r="AE89" i="1"/>
  <c r="R16" i="3" s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G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S34" i="3" s="1"/>
  <c r="Y161" i="1"/>
  <c r="Z161" i="1"/>
  <c r="AB161" i="1"/>
  <c r="AC161" i="1"/>
  <c r="AD161" i="1"/>
  <c r="AE161" i="1"/>
  <c r="R34" i="3" s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AA165" i="1" s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S37" i="3" s="1"/>
  <c r="Y174" i="1"/>
  <c r="Z174" i="1"/>
  <c r="AB174" i="1"/>
  <c r="AC174" i="1"/>
  <c r="AD174" i="1"/>
  <c r="AE174" i="1"/>
  <c r="R37" i="3" s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177" i="1"/>
  <c r="L177" i="1"/>
  <c r="M177" i="1"/>
  <c r="N177" i="1" s="1"/>
  <c r="V177" i="1"/>
  <c r="S26" i="3" s="1"/>
  <c r="Y177" i="1"/>
  <c r="Z177" i="1"/>
  <c r="AB177" i="1"/>
  <c r="AC177" i="1"/>
  <c r="AD177" i="1"/>
  <c r="T177" i="1" s="1"/>
  <c r="AE177" i="1"/>
  <c r="R26" i="3" s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S29" i="3" s="1"/>
  <c r="Y182" i="1"/>
  <c r="Z182" i="1"/>
  <c r="AB182" i="1"/>
  <c r="AC182" i="1"/>
  <c r="AD182" i="1"/>
  <c r="AE182" i="1"/>
  <c r="R29" i="3" s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103" i="1"/>
  <c r="L103" i="1"/>
  <c r="M103" i="1"/>
  <c r="N103" i="1" s="1"/>
  <c r="V103" i="1"/>
  <c r="Y103" i="1"/>
  <c r="AA103" i="1" s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S13" i="3" s="1"/>
  <c r="Y116" i="1"/>
  <c r="Z116" i="1"/>
  <c r="AB116" i="1"/>
  <c r="AC116" i="1"/>
  <c r="AD116" i="1"/>
  <c r="AG116" i="1" s="1"/>
  <c r="AE116" i="1"/>
  <c r="R13" i="3" s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K120" i="1"/>
  <c r="L120" i="1"/>
  <c r="M120" i="1"/>
  <c r="P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S20" i="3" s="1"/>
  <c r="Y124" i="1"/>
  <c r="Z124" i="1"/>
  <c r="AB124" i="1"/>
  <c r="AC124" i="1"/>
  <c r="AD124" i="1"/>
  <c r="AG124" i="1" s="1"/>
  <c r="AI124" i="1" s="1"/>
  <c r="AE124" i="1"/>
  <c r="R20" i="3" s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X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S21" i="3" s="1"/>
  <c r="Y132" i="1"/>
  <c r="Z132" i="1"/>
  <c r="AB132" i="1"/>
  <c r="AC132" i="1"/>
  <c r="AD132" i="1"/>
  <c r="AG132" i="1" s="1"/>
  <c r="AE132" i="1"/>
  <c r="R21" i="3" s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S25" i="3" s="1"/>
  <c r="Y135" i="1"/>
  <c r="Z135" i="1"/>
  <c r="AB135" i="1"/>
  <c r="AC135" i="1"/>
  <c r="AD135" i="1"/>
  <c r="T135" i="1" s="1"/>
  <c r="AE135" i="1"/>
  <c r="R25" i="3" s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P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G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I202" i="1" s="1"/>
  <c r="AB202" i="1"/>
  <c r="AC202" i="1"/>
  <c r="AD202" i="1"/>
  <c r="AG202" i="1" s="1"/>
  <c r="AE202" i="1"/>
  <c r="AF202" i="1"/>
  <c r="K203" i="1"/>
  <c r="L203" i="1"/>
  <c r="M203" i="1"/>
  <c r="N203" i="1" s="1"/>
  <c r="V203" i="1"/>
  <c r="S38" i="3" s="1"/>
  <c r="Y203" i="1"/>
  <c r="Z203" i="1"/>
  <c r="AB203" i="1"/>
  <c r="AC203" i="1"/>
  <c r="AD203" i="1"/>
  <c r="AG203" i="1" s="1"/>
  <c r="AE203" i="1"/>
  <c r="R38" i="3" s="1"/>
  <c r="AF203" i="1"/>
  <c r="AG100" i="1" l="1"/>
  <c r="AG95" i="1"/>
  <c r="W95" i="1" s="1"/>
  <c r="AA184" i="1"/>
  <c r="X95" i="1"/>
  <c r="AA94" i="1"/>
  <c r="AI173" i="1"/>
  <c r="AI69" i="1"/>
  <c r="AG45" i="1"/>
  <c r="U45" i="1" s="1"/>
  <c r="S45" i="1" s="1"/>
  <c r="AA202" i="1"/>
  <c r="AI193" i="1"/>
  <c r="AA135" i="1"/>
  <c r="AA178" i="1"/>
  <c r="AI85" i="1"/>
  <c r="AI77" i="1"/>
  <c r="AI73" i="1"/>
  <c r="AG68" i="1"/>
  <c r="U68" i="1" s="1"/>
  <c r="S68" i="1" s="1"/>
  <c r="AA58" i="1"/>
  <c r="AA33" i="1"/>
  <c r="W33" i="1" s="1"/>
  <c r="AA29" i="1"/>
  <c r="AA100" i="1"/>
  <c r="W100" i="1" s="1"/>
  <c r="AA196" i="1"/>
  <c r="AA189" i="1"/>
  <c r="AI89" i="1"/>
  <c r="AA87" i="1"/>
  <c r="AA39" i="1"/>
  <c r="W39" i="1" s="1"/>
  <c r="AA30" i="1"/>
  <c r="W202" i="1"/>
  <c r="AA156" i="1"/>
  <c r="W156" i="1" s="1"/>
  <c r="AA140" i="1"/>
  <c r="W140" i="1" s="1"/>
  <c r="AA139" i="1"/>
  <c r="AA125" i="1"/>
  <c r="AA174" i="1"/>
  <c r="AA54" i="1"/>
  <c r="AI50" i="1"/>
  <c r="AA15" i="1"/>
  <c r="AA137" i="1"/>
  <c r="W137" i="1" s="1"/>
  <c r="X131" i="1"/>
  <c r="AA131" i="1"/>
  <c r="AG107" i="1"/>
  <c r="AI104" i="1"/>
  <c r="AI101" i="1"/>
  <c r="AI186" i="1"/>
  <c r="AA164" i="1"/>
  <c r="AA159" i="1"/>
  <c r="W159" i="1" s="1"/>
  <c r="AA66" i="1"/>
  <c r="AA62" i="1"/>
  <c r="X50" i="1"/>
  <c r="AI46" i="1"/>
  <c r="AA43" i="1"/>
  <c r="AG41" i="1"/>
  <c r="U41" i="1" s="1"/>
  <c r="S41" i="1" s="1"/>
  <c r="AA25" i="1"/>
  <c r="W25" i="1" s="1"/>
  <c r="AA20" i="1"/>
  <c r="AG17" i="1"/>
  <c r="AI17" i="1" s="1"/>
  <c r="AG15" i="1"/>
  <c r="S36" i="3"/>
  <c r="S35" i="3"/>
  <c r="AA193" i="1"/>
  <c r="W193" i="1" s="1"/>
  <c r="AA192" i="1"/>
  <c r="AA144" i="1"/>
  <c r="W144" i="1" s="1"/>
  <c r="AA143" i="1"/>
  <c r="X142" i="1"/>
  <c r="S22" i="3"/>
  <c r="S23" i="3"/>
  <c r="AG135" i="1"/>
  <c r="AI135" i="1" s="1"/>
  <c r="AA132" i="1"/>
  <c r="W132" i="1" s="1"/>
  <c r="AI130" i="1"/>
  <c r="AG127" i="1"/>
  <c r="AA123" i="1"/>
  <c r="AG121" i="1"/>
  <c r="X118" i="1"/>
  <c r="AA113" i="1"/>
  <c r="AG111" i="1"/>
  <c r="U111" i="1" s="1"/>
  <c r="S111" i="1" s="1"/>
  <c r="AA109" i="1"/>
  <c r="X101" i="1"/>
  <c r="AA97" i="1"/>
  <c r="W97" i="1" s="1"/>
  <c r="X187" i="1"/>
  <c r="AA187" i="1"/>
  <c r="AA186" i="1"/>
  <c r="W186" i="1" s="1"/>
  <c r="AA185" i="1"/>
  <c r="W185" i="1" s="1"/>
  <c r="S28" i="3"/>
  <c r="S32" i="3"/>
  <c r="S31" i="3"/>
  <c r="S33" i="3"/>
  <c r="AA168" i="1"/>
  <c r="W168" i="1" s="1"/>
  <c r="S27" i="3"/>
  <c r="S30" i="3"/>
  <c r="AA85" i="1"/>
  <c r="W85" i="1" s="1"/>
  <c r="AA77" i="1"/>
  <c r="W77" i="1" s="1"/>
  <c r="X75" i="1"/>
  <c r="S10" i="3"/>
  <c r="S11" i="3"/>
  <c r="AA72" i="1"/>
  <c r="W72" i="1" s="1"/>
  <c r="X69" i="1"/>
  <c r="AA59" i="1"/>
  <c r="AA53" i="1"/>
  <c r="W53" i="1" s="1"/>
  <c r="AA45" i="1"/>
  <c r="AG33" i="1"/>
  <c r="AA31" i="1"/>
  <c r="W31" i="1" s="1"/>
  <c r="S12" i="3"/>
  <c r="S14" i="3"/>
  <c r="AA21" i="1"/>
  <c r="X20" i="1"/>
  <c r="X135" i="1"/>
  <c r="R36" i="3"/>
  <c r="R35" i="3"/>
  <c r="AI72" i="1"/>
  <c r="X53" i="1"/>
  <c r="S17" i="3"/>
  <c r="S18" i="3"/>
  <c r="X94" i="1"/>
  <c r="AI203" i="1"/>
  <c r="AA201" i="1"/>
  <c r="AA197" i="1"/>
  <c r="W197" i="1" s="1"/>
  <c r="AI194" i="1"/>
  <c r="AA194" i="1"/>
  <c r="W194" i="1" s="1"/>
  <c r="AA155" i="1"/>
  <c r="W155" i="1" s="1"/>
  <c r="AA153" i="1"/>
  <c r="W153" i="1" s="1"/>
  <c r="AA152" i="1"/>
  <c r="W152" i="1" s="1"/>
  <c r="AA147" i="1"/>
  <c r="AG143" i="1"/>
  <c r="U143" i="1" s="1"/>
  <c r="S143" i="1" s="1"/>
  <c r="R23" i="3"/>
  <c r="R22" i="3"/>
  <c r="AA136" i="1"/>
  <c r="W136" i="1" s="1"/>
  <c r="AA121" i="1"/>
  <c r="W121" i="1" s="1"/>
  <c r="AA111" i="1"/>
  <c r="AI105" i="1"/>
  <c r="AG103" i="1"/>
  <c r="U103" i="1" s="1"/>
  <c r="S103" i="1" s="1"/>
  <c r="X103" i="1"/>
  <c r="R18" i="3"/>
  <c r="R17" i="3"/>
  <c r="AA98" i="1"/>
  <c r="X183" i="1"/>
  <c r="R28" i="3"/>
  <c r="R32" i="3"/>
  <c r="AA175" i="1"/>
  <c r="R33" i="3"/>
  <c r="R31" i="3"/>
  <c r="X170" i="1"/>
  <c r="R30" i="3"/>
  <c r="R27" i="3"/>
  <c r="AI166" i="1"/>
  <c r="AG164" i="1"/>
  <c r="AI164" i="1" s="1"/>
  <c r="AA160" i="1"/>
  <c r="X80" i="1"/>
  <c r="R11" i="3"/>
  <c r="R10" i="3"/>
  <c r="AA64" i="1"/>
  <c r="AA55" i="1"/>
  <c r="AG52" i="1"/>
  <c r="AG49" i="1"/>
  <c r="AI49" i="1" s="1"/>
  <c r="AA38" i="1"/>
  <c r="X37" i="1"/>
  <c r="AA37" i="1"/>
  <c r="X33" i="1"/>
  <c r="R12" i="3"/>
  <c r="R14" i="3"/>
  <c r="AA19" i="1"/>
  <c r="AG201" i="1"/>
  <c r="U201" i="1" s="1"/>
  <c r="S201" i="1" s="1"/>
  <c r="W165" i="1"/>
  <c r="X196" i="1"/>
  <c r="AA195" i="1"/>
  <c r="X191" i="1"/>
  <c r="AI156" i="1"/>
  <c r="AG151" i="1"/>
  <c r="U151" i="1" s="1"/>
  <c r="S151" i="1" s="1"/>
  <c r="X151" i="1"/>
  <c r="AA148" i="1"/>
  <c r="W148" i="1" s="1"/>
  <c r="AA145" i="1"/>
  <c r="W145" i="1" s="1"/>
  <c r="AI140" i="1"/>
  <c r="AA127" i="1"/>
  <c r="AG123" i="1"/>
  <c r="AI123" i="1" s="1"/>
  <c r="X104" i="1"/>
  <c r="AA180" i="1"/>
  <c r="AA173" i="1"/>
  <c r="W173" i="1" s="1"/>
  <c r="AA172" i="1"/>
  <c r="W172" i="1" s="1"/>
  <c r="AG171" i="1"/>
  <c r="AI171" i="1" s="1"/>
  <c r="X171" i="1"/>
  <c r="AA170" i="1"/>
  <c r="AA169" i="1"/>
  <c r="AA167" i="1"/>
  <c r="AG92" i="1"/>
  <c r="AI92" i="1" s="1"/>
  <c r="X92" i="1"/>
  <c r="AA91" i="1"/>
  <c r="AA90" i="1"/>
  <c r="X88" i="1"/>
  <c r="T84" i="1"/>
  <c r="U84" i="1" s="1"/>
  <c r="S84" i="1" s="1"/>
  <c r="X76" i="1"/>
  <c r="X73" i="1"/>
  <c r="AA70" i="1"/>
  <c r="AA65" i="1"/>
  <c r="AA63" i="1"/>
  <c r="AA60" i="1"/>
  <c r="AG56" i="1"/>
  <c r="U56" i="1" s="1"/>
  <c r="T52" i="1"/>
  <c r="U52" i="1" s="1"/>
  <c r="S52" i="1" s="1"/>
  <c r="AA50" i="1"/>
  <c r="W50" i="1" s="1"/>
  <c r="AA49" i="1"/>
  <c r="AG32" i="1"/>
  <c r="T28" i="1"/>
  <c r="U28" i="1" s="1"/>
  <c r="S28" i="1" s="1"/>
  <c r="AG24" i="1"/>
  <c r="U24" i="1" s="1"/>
  <c r="S24" i="1" s="1"/>
  <c r="X24" i="1"/>
  <c r="AA18" i="1"/>
  <c r="AG16" i="1"/>
  <c r="U16" i="1" s="1"/>
  <c r="S16" i="1" s="1"/>
  <c r="X16" i="1"/>
  <c r="X201" i="1"/>
  <c r="AG192" i="1"/>
  <c r="U192" i="1" s="1"/>
  <c r="S192" i="1" s="1"/>
  <c r="AA203" i="1"/>
  <c r="W203" i="1" s="1"/>
  <c r="X202" i="1"/>
  <c r="T193" i="1"/>
  <c r="X132" i="1"/>
  <c r="AA129" i="1"/>
  <c r="AA128" i="1"/>
  <c r="W128" i="1" s="1"/>
  <c r="U121" i="1"/>
  <c r="S121" i="1" s="1"/>
  <c r="AA115" i="1"/>
  <c r="AA199" i="1"/>
  <c r="AA102" i="1"/>
  <c r="AA95" i="1"/>
  <c r="AA177" i="1"/>
  <c r="AA93" i="1"/>
  <c r="AA162" i="1"/>
  <c r="AA158" i="1"/>
  <c r="W158" i="1" s="1"/>
  <c r="AA157" i="1"/>
  <c r="AA81" i="1"/>
  <c r="T80" i="1"/>
  <c r="W78" i="1"/>
  <c r="AA69" i="1"/>
  <c r="W69" i="1" s="1"/>
  <c r="AA57" i="1"/>
  <c r="W57" i="1" s="1"/>
  <c r="W45" i="1"/>
  <c r="X41" i="1"/>
  <c r="W38" i="1"/>
  <c r="T32" i="1"/>
  <c r="X29" i="1"/>
  <c r="X21" i="1"/>
  <c r="X124" i="1"/>
  <c r="AA112" i="1"/>
  <c r="W112" i="1" s="1"/>
  <c r="AA105" i="1"/>
  <c r="W105" i="1" s="1"/>
  <c r="AA104" i="1"/>
  <c r="W104" i="1" s="1"/>
  <c r="AA96" i="1"/>
  <c r="W96" i="1" s="1"/>
  <c r="X172" i="1"/>
  <c r="AA88" i="1"/>
  <c r="W88" i="1" s="1"/>
  <c r="AA73" i="1"/>
  <c r="W73" i="1" s="1"/>
  <c r="AA46" i="1"/>
  <c r="W46" i="1" s="1"/>
  <c r="AA42" i="1"/>
  <c r="AA32" i="1"/>
  <c r="AA26" i="1"/>
  <c r="X25" i="1"/>
  <c r="X17" i="1"/>
  <c r="T196" i="1"/>
  <c r="AG155" i="1"/>
  <c r="U155" i="1" s="1"/>
  <c r="T202" i="1"/>
  <c r="U202" i="1" s="1"/>
  <c r="S202" i="1" s="1"/>
  <c r="X197" i="1"/>
  <c r="AG196" i="1"/>
  <c r="AG195" i="1"/>
  <c r="W195" i="1" s="1"/>
  <c r="X195" i="1"/>
  <c r="AA154" i="1"/>
  <c r="AA151" i="1"/>
  <c r="AA149" i="1"/>
  <c r="X148" i="1"/>
  <c r="AG147" i="1"/>
  <c r="AG146" i="1"/>
  <c r="AI146" i="1" s="1"/>
  <c r="X146" i="1"/>
  <c r="AG139" i="1"/>
  <c r="AG138" i="1"/>
  <c r="AI138" i="1" s="1"/>
  <c r="X138" i="1"/>
  <c r="T136" i="1"/>
  <c r="U136" i="1" s="1"/>
  <c r="S136" i="1" s="1"/>
  <c r="T132" i="1"/>
  <c r="U132" i="1" s="1"/>
  <c r="S132" i="1" s="1"/>
  <c r="AA124" i="1"/>
  <c r="W124" i="1" s="1"/>
  <c r="T124" i="1"/>
  <c r="U124" i="1" s="1"/>
  <c r="S124" i="1" s="1"/>
  <c r="X120" i="1"/>
  <c r="AG119" i="1"/>
  <c r="AI119" i="1" s="1"/>
  <c r="X119" i="1"/>
  <c r="AA118" i="1"/>
  <c r="AA117" i="1"/>
  <c r="X116" i="1"/>
  <c r="AG115" i="1"/>
  <c r="AG114" i="1"/>
  <c r="X114" i="1"/>
  <c r="AA107" i="1"/>
  <c r="W107" i="1" s="1"/>
  <c r="AG106" i="1"/>
  <c r="U106" i="1" s="1"/>
  <c r="S106" i="1" s="1"/>
  <c r="X106" i="1"/>
  <c r="X199" i="1"/>
  <c r="X100" i="1"/>
  <c r="AA99" i="1"/>
  <c r="AG181" i="1"/>
  <c r="AI181" i="1" s="1"/>
  <c r="X181" i="1"/>
  <c r="T180" i="1"/>
  <c r="AG180" i="1"/>
  <c r="AI180" i="1" s="1"/>
  <c r="X167" i="1"/>
  <c r="AG167" i="1"/>
  <c r="X168" i="1"/>
  <c r="AI88" i="1"/>
  <c r="AI21" i="1"/>
  <c r="AA198" i="1"/>
  <c r="X152" i="1"/>
  <c r="X147" i="1"/>
  <c r="AA141" i="1"/>
  <c r="X139" i="1"/>
  <c r="W135" i="1"/>
  <c r="AA133" i="1"/>
  <c r="AA130" i="1"/>
  <c r="W130" i="1" s="1"/>
  <c r="T128" i="1"/>
  <c r="U128" i="1" s="1"/>
  <c r="S128" i="1" s="1"/>
  <c r="W123" i="1"/>
  <c r="X115" i="1"/>
  <c r="AA108" i="1"/>
  <c r="U107" i="1"/>
  <c r="S107" i="1" s="1"/>
  <c r="X107" i="1"/>
  <c r="T104" i="1"/>
  <c r="U104" i="1" s="1"/>
  <c r="S104" i="1" s="1"/>
  <c r="AA101" i="1"/>
  <c r="W101" i="1" s="1"/>
  <c r="T99" i="1"/>
  <c r="X99" i="1"/>
  <c r="AG99" i="1"/>
  <c r="AI25" i="1"/>
  <c r="AI197" i="1"/>
  <c r="AA146" i="1"/>
  <c r="W146" i="1" s="1"/>
  <c r="T144" i="1"/>
  <c r="AA138" i="1"/>
  <c r="T131" i="1"/>
  <c r="AA126" i="1"/>
  <c r="AA122" i="1"/>
  <c r="AA120" i="1"/>
  <c r="W120" i="1" s="1"/>
  <c r="T120" i="1"/>
  <c r="U120" i="1" s="1"/>
  <c r="S120" i="1" s="1"/>
  <c r="AA116" i="1"/>
  <c r="W116" i="1" s="1"/>
  <c r="AA114" i="1"/>
  <c r="W114" i="1" s="1"/>
  <c r="T112" i="1"/>
  <c r="U112" i="1" s="1"/>
  <c r="S112" i="1" s="1"/>
  <c r="AA106" i="1"/>
  <c r="T96" i="1"/>
  <c r="U96" i="1" s="1"/>
  <c r="S96" i="1" s="1"/>
  <c r="T184" i="1"/>
  <c r="X184" i="1"/>
  <c r="AG184" i="1"/>
  <c r="X185" i="1"/>
  <c r="T174" i="1"/>
  <c r="X174" i="1"/>
  <c r="T160" i="1"/>
  <c r="X160" i="1"/>
  <c r="AG160" i="1"/>
  <c r="W160" i="1" s="1"/>
  <c r="AG157" i="1"/>
  <c r="AI84" i="1"/>
  <c r="W196" i="1"/>
  <c r="T152" i="1"/>
  <c r="AG131" i="1"/>
  <c r="U100" i="1"/>
  <c r="S100" i="1" s="1"/>
  <c r="AI100" i="1"/>
  <c r="AG177" i="1"/>
  <c r="X177" i="1"/>
  <c r="T57" i="1"/>
  <c r="U57" i="1" s="1"/>
  <c r="S57" i="1" s="1"/>
  <c r="W47" i="1"/>
  <c r="T37" i="1"/>
  <c r="U33" i="1"/>
  <c r="S33" i="1" s="1"/>
  <c r="T187" i="1"/>
  <c r="AA183" i="1"/>
  <c r="AA182" i="1"/>
  <c r="AA176" i="1"/>
  <c r="W176" i="1" s="1"/>
  <c r="AA166" i="1"/>
  <c r="W166" i="1" s="1"/>
  <c r="AA161" i="1"/>
  <c r="AA92" i="1"/>
  <c r="W84" i="1"/>
  <c r="AA80" i="1"/>
  <c r="AG79" i="1"/>
  <c r="U79" i="1" s="1"/>
  <c r="S79" i="1" s="1"/>
  <c r="X79" i="1"/>
  <c r="T77" i="1"/>
  <c r="AA71" i="1"/>
  <c r="X65" i="1"/>
  <c r="AG64" i="1"/>
  <c r="X61" i="1"/>
  <c r="AG60" i="1"/>
  <c r="AA56" i="1"/>
  <c r="X49" i="1"/>
  <c r="AA48" i="1"/>
  <c r="AA40" i="1"/>
  <c r="X38" i="1"/>
  <c r="AG37" i="1"/>
  <c r="U37" i="1" s="1"/>
  <c r="S37" i="1" s="1"/>
  <c r="AG36" i="1"/>
  <c r="U36" i="1" s="1"/>
  <c r="S36" i="1" s="1"/>
  <c r="AA35" i="1"/>
  <c r="T29" i="1"/>
  <c r="W21" i="1"/>
  <c r="AA14" i="1"/>
  <c r="T94" i="1"/>
  <c r="T172" i="1"/>
  <c r="T88" i="1"/>
  <c r="U88" i="1" s="1"/>
  <c r="S88" i="1" s="1"/>
  <c r="AG80" i="1"/>
  <c r="AI80" i="1" s="1"/>
  <c r="AA76" i="1"/>
  <c r="T69" i="1"/>
  <c r="X57" i="1"/>
  <c r="T53" i="1"/>
  <c r="U53" i="1" s="1"/>
  <c r="S53" i="1" s="1"/>
  <c r="AI33" i="1"/>
  <c r="AG29" i="1"/>
  <c r="W29" i="1" s="1"/>
  <c r="T25" i="1"/>
  <c r="U25" i="1" s="1"/>
  <c r="S25" i="1" s="1"/>
  <c r="T21" i="1"/>
  <c r="U21" i="1" s="1"/>
  <c r="S21" i="1" s="1"/>
  <c r="T20" i="1"/>
  <c r="AA16" i="1"/>
  <c r="AA188" i="1"/>
  <c r="AG187" i="1"/>
  <c r="W187" i="1" s="1"/>
  <c r="T185" i="1"/>
  <c r="AA181" i="1"/>
  <c r="W181" i="1" s="1"/>
  <c r="AG94" i="1"/>
  <c r="AA171" i="1"/>
  <c r="X89" i="1"/>
  <c r="AA86" i="1"/>
  <c r="W86" i="1" s="1"/>
  <c r="AA79" i="1"/>
  <c r="X77" i="1"/>
  <c r="AG76" i="1"/>
  <c r="AI76" i="1" s="1"/>
  <c r="AA75" i="1"/>
  <c r="AA74" i="1"/>
  <c r="AA68" i="1"/>
  <c r="AA67" i="1"/>
  <c r="T65" i="1"/>
  <c r="U65" i="1" s="1"/>
  <c r="S65" i="1" s="1"/>
  <c r="AA61" i="1"/>
  <c r="W61" i="1" s="1"/>
  <c r="T61" i="1"/>
  <c r="U61" i="1" s="1"/>
  <c r="S61" i="1" s="1"/>
  <c r="AA52" i="1"/>
  <c r="AA51" i="1"/>
  <c r="AA41" i="1"/>
  <c r="AG40" i="1"/>
  <c r="U40" i="1" s="1"/>
  <c r="S40" i="1" s="1"/>
  <c r="X40" i="1"/>
  <c r="T38" i="1"/>
  <c r="U38" i="1" s="1"/>
  <c r="S38" i="1" s="1"/>
  <c r="AA36" i="1"/>
  <c r="AG20" i="1"/>
  <c r="AG19" i="1"/>
  <c r="U19" i="1" s="1"/>
  <c r="U17" i="1"/>
  <c r="S17" i="1" s="1"/>
  <c r="T149" i="1"/>
  <c r="X149" i="1"/>
  <c r="T142" i="1"/>
  <c r="AI172" i="1"/>
  <c r="T200" i="1"/>
  <c r="AI196" i="1"/>
  <c r="AI185" i="1"/>
  <c r="T150" i="1"/>
  <c r="T134" i="1"/>
  <c r="AI165" i="1"/>
  <c r="AI158" i="1"/>
  <c r="AI155" i="1"/>
  <c r="AI148" i="1"/>
  <c r="T102" i="1"/>
  <c r="X102" i="1"/>
  <c r="AG102" i="1"/>
  <c r="AI102" i="1" s="1"/>
  <c r="W98" i="1"/>
  <c r="T182" i="1"/>
  <c r="X182" i="1"/>
  <c r="AG182" i="1"/>
  <c r="AI182" i="1" s="1"/>
  <c r="AI52" i="1"/>
  <c r="T198" i="1"/>
  <c r="X198" i="1"/>
  <c r="T191" i="1"/>
  <c r="T133" i="1"/>
  <c r="X133" i="1"/>
  <c r="W154" i="1"/>
  <c r="U154" i="1"/>
  <c r="S154" i="1" s="1"/>
  <c r="T141" i="1"/>
  <c r="X141" i="1"/>
  <c r="X140" i="1"/>
  <c r="AG200" i="1"/>
  <c r="X200" i="1"/>
  <c r="T197" i="1"/>
  <c r="U197" i="1" s="1"/>
  <c r="S197" i="1" s="1"/>
  <c r="T194" i="1"/>
  <c r="U194" i="1" s="1"/>
  <c r="S194" i="1" s="1"/>
  <c r="X194" i="1"/>
  <c r="X193" i="1"/>
  <c r="X192" i="1"/>
  <c r="AA191" i="1"/>
  <c r="S155" i="1"/>
  <c r="U152" i="1"/>
  <c r="S152" i="1" s="1"/>
  <c r="AG150" i="1"/>
  <c r="AI150" i="1" s="1"/>
  <c r="X150" i="1"/>
  <c r="T148" i="1"/>
  <c r="U148" i="1" s="1"/>
  <c r="S148" i="1" s="1"/>
  <c r="T145" i="1"/>
  <c r="U145" i="1" s="1"/>
  <c r="S145" i="1" s="1"/>
  <c r="X145" i="1"/>
  <c r="X144" i="1"/>
  <c r="X143" i="1"/>
  <c r="AA142" i="1"/>
  <c r="AG141" i="1"/>
  <c r="AI141" i="1" s="1"/>
  <c r="AG134" i="1"/>
  <c r="AI134" i="1" s="1"/>
  <c r="X134" i="1"/>
  <c r="AI157" i="1"/>
  <c r="AI154" i="1"/>
  <c r="AG108" i="1"/>
  <c r="AI108" i="1" s="1"/>
  <c r="T108" i="1"/>
  <c r="X108" i="1"/>
  <c r="AI132" i="1"/>
  <c r="AG188" i="1"/>
  <c r="AI188" i="1" s="1"/>
  <c r="T188" i="1"/>
  <c r="X188" i="1"/>
  <c r="T175" i="1"/>
  <c r="X175" i="1"/>
  <c r="AG175" i="1"/>
  <c r="T129" i="1"/>
  <c r="X129" i="1"/>
  <c r="AG129" i="1"/>
  <c r="AG122" i="1"/>
  <c r="X123" i="1"/>
  <c r="T122" i="1"/>
  <c r="X122" i="1"/>
  <c r="U114" i="1"/>
  <c r="S114" i="1" s="1"/>
  <c r="T14" i="1"/>
  <c r="AG14" i="1"/>
  <c r="T203" i="1"/>
  <c r="U203" i="1" s="1"/>
  <c r="S203" i="1" s="1"/>
  <c r="X203" i="1"/>
  <c r="AA200" i="1"/>
  <c r="AG198" i="1"/>
  <c r="U193" i="1"/>
  <c r="S193" i="1" s="1"/>
  <c r="AG191" i="1"/>
  <c r="T156" i="1"/>
  <c r="U156" i="1" s="1"/>
  <c r="S156" i="1" s="1"/>
  <c r="T153" i="1"/>
  <c r="U153" i="1" s="1"/>
  <c r="S153" i="1" s="1"/>
  <c r="X153" i="1"/>
  <c r="AA150" i="1"/>
  <c r="AG149" i="1"/>
  <c r="AI149" i="1" s="1"/>
  <c r="U144" i="1"/>
  <c r="S144" i="1" s="1"/>
  <c r="AG142" i="1"/>
  <c r="AI142" i="1" s="1"/>
  <c r="T140" i="1"/>
  <c r="U140" i="1" s="1"/>
  <c r="S140" i="1" s="1"/>
  <c r="T137" i="1"/>
  <c r="U137" i="1" s="1"/>
  <c r="S137" i="1" s="1"/>
  <c r="X137" i="1"/>
  <c r="X136" i="1"/>
  <c r="AA134" i="1"/>
  <c r="AG133" i="1"/>
  <c r="AI133" i="1" s="1"/>
  <c r="T130" i="1"/>
  <c r="U130" i="1" s="1"/>
  <c r="S130" i="1" s="1"/>
  <c r="X130" i="1"/>
  <c r="AG126" i="1"/>
  <c r="X127" i="1"/>
  <c r="T126" i="1"/>
  <c r="X126" i="1"/>
  <c r="U119" i="1"/>
  <c r="S119" i="1" s="1"/>
  <c r="T117" i="1"/>
  <c r="X117" i="1"/>
  <c r="AG117" i="1"/>
  <c r="W113" i="1"/>
  <c r="X110" i="1"/>
  <c r="AG110" i="1"/>
  <c r="AI110" i="1" s="1"/>
  <c r="X111" i="1"/>
  <c r="X190" i="1"/>
  <c r="AG190" i="1"/>
  <c r="AI190" i="1" s="1"/>
  <c r="X96" i="1"/>
  <c r="U95" i="1"/>
  <c r="S95" i="1" s="1"/>
  <c r="U171" i="1"/>
  <c r="S171" i="1" s="1"/>
  <c r="AG161" i="1"/>
  <c r="T161" i="1"/>
  <c r="X161" i="1"/>
  <c r="AG125" i="1"/>
  <c r="T118" i="1"/>
  <c r="T109" i="1"/>
  <c r="X109" i="1"/>
  <c r="T199" i="1"/>
  <c r="T97" i="1"/>
  <c r="U97" i="1" s="1"/>
  <c r="S97" i="1" s="1"/>
  <c r="T189" i="1"/>
  <c r="X189" i="1"/>
  <c r="T183" i="1"/>
  <c r="T179" i="1"/>
  <c r="X179" i="1"/>
  <c r="AI114" i="1"/>
  <c r="AI113" i="1"/>
  <c r="X163" i="1"/>
  <c r="AG163" i="1"/>
  <c r="X164" i="1"/>
  <c r="AI95" i="1"/>
  <c r="U159" i="1"/>
  <c r="S159" i="1" s="1"/>
  <c r="T90" i="1"/>
  <c r="X90" i="1"/>
  <c r="AG90" i="1"/>
  <c r="AI86" i="1"/>
  <c r="AI65" i="1"/>
  <c r="AG55" i="1"/>
  <c r="X56" i="1"/>
  <c r="T55" i="1"/>
  <c r="X55" i="1"/>
  <c r="X125" i="1"/>
  <c r="X121" i="1"/>
  <c r="AG118" i="1"/>
  <c r="AI118" i="1" s="1"/>
  <c r="T116" i="1"/>
  <c r="U116" i="1" s="1"/>
  <c r="S116" i="1" s="1"/>
  <c r="T113" i="1"/>
  <c r="U113" i="1" s="1"/>
  <c r="S113" i="1" s="1"/>
  <c r="X113" i="1"/>
  <c r="X112" i="1"/>
  <c r="AA110" i="1"/>
  <c r="AG109" i="1"/>
  <c r="AI109" i="1" s="1"/>
  <c r="AG199" i="1"/>
  <c r="T101" i="1"/>
  <c r="U101" i="1" s="1"/>
  <c r="S101" i="1" s="1"/>
  <c r="T98" i="1"/>
  <c r="U98" i="1" s="1"/>
  <c r="S98" i="1" s="1"/>
  <c r="X98" i="1"/>
  <c r="X97" i="1"/>
  <c r="AA190" i="1"/>
  <c r="AG189" i="1"/>
  <c r="AI189" i="1" s="1"/>
  <c r="U185" i="1"/>
  <c r="S185" i="1" s="1"/>
  <c r="AG183" i="1"/>
  <c r="T181" i="1"/>
  <c r="U181" i="1" s="1"/>
  <c r="S181" i="1" s="1"/>
  <c r="X180" i="1"/>
  <c r="AG179" i="1"/>
  <c r="AI179" i="1" s="1"/>
  <c r="T169" i="1"/>
  <c r="X169" i="1"/>
  <c r="AG169" i="1"/>
  <c r="AG81" i="1"/>
  <c r="T81" i="1"/>
  <c r="X81" i="1"/>
  <c r="U72" i="1"/>
  <c r="S72" i="1" s="1"/>
  <c r="X44" i="1"/>
  <c r="AG44" i="1"/>
  <c r="X45" i="1"/>
  <c r="T44" i="1"/>
  <c r="T105" i="1"/>
  <c r="U105" i="1" s="1"/>
  <c r="S105" i="1" s="1"/>
  <c r="X105" i="1"/>
  <c r="T186" i="1"/>
  <c r="U186" i="1" s="1"/>
  <c r="S186" i="1" s="1"/>
  <c r="X186" i="1"/>
  <c r="AA179" i="1"/>
  <c r="T178" i="1"/>
  <c r="X178" i="1"/>
  <c r="AG178" i="1"/>
  <c r="T176" i="1"/>
  <c r="U176" i="1" s="1"/>
  <c r="S176" i="1" s="1"/>
  <c r="X176" i="1"/>
  <c r="X83" i="1"/>
  <c r="AG83" i="1"/>
  <c r="X84" i="1"/>
  <c r="AI79" i="1"/>
  <c r="U76" i="1"/>
  <c r="S76" i="1" s="1"/>
  <c r="T74" i="1"/>
  <c r="X74" i="1"/>
  <c r="AG74" i="1"/>
  <c r="AI40" i="1"/>
  <c r="AI23" i="1"/>
  <c r="T170" i="1"/>
  <c r="AG93" i="1"/>
  <c r="AI93" i="1" s="1"/>
  <c r="X93" i="1"/>
  <c r="T165" i="1"/>
  <c r="U165" i="1" s="1"/>
  <c r="S165" i="1" s="1"/>
  <c r="T162" i="1"/>
  <c r="X162" i="1"/>
  <c r="T91" i="1"/>
  <c r="AG87" i="1"/>
  <c r="X87" i="1"/>
  <c r="T85" i="1"/>
  <c r="U85" i="1" s="1"/>
  <c r="S85" i="1" s="1"/>
  <c r="T82" i="1"/>
  <c r="X82" i="1"/>
  <c r="T75" i="1"/>
  <c r="AG71" i="1"/>
  <c r="W71" i="1" s="1"/>
  <c r="X71" i="1"/>
  <c r="T70" i="1"/>
  <c r="X70" i="1"/>
  <c r="AG70" i="1"/>
  <c r="AG67" i="1"/>
  <c r="W67" i="1" s="1"/>
  <c r="X68" i="1"/>
  <c r="T67" i="1"/>
  <c r="X67" i="1"/>
  <c r="AI53" i="1"/>
  <c r="AG42" i="1"/>
  <c r="T42" i="1"/>
  <c r="X42" i="1"/>
  <c r="AG174" i="1"/>
  <c r="AI174" i="1" s="1"/>
  <c r="U172" i="1"/>
  <c r="S172" i="1" s="1"/>
  <c r="AG170" i="1"/>
  <c r="AI170" i="1" s="1"/>
  <c r="T168" i="1"/>
  <c r="U168" i="1" s="1"/>
  <c r="S168" i="1" s="1"/>
  <c r="T166" i="1"/>
  <c r="U166" i="1" s="1"/>
  <c r="S166" i="1" s="1"/>
  <c r="X166" i="1"/>
  <c r="X165" i="1"/>
  <c r="AA163" i="1"/>
  <c r="AG162" i="1"/>
  <c r="AI162" i="1" s="1"/>
  <c r="AI96" i="1"/>
  <c r="U157" i="1"/>
  <c r="S157" i="1" s="1"/>
  <c r="AG91" i="1"/>
  <c r="T89" i="1"/>
  <c r="U89" i="1" s="1"/>
  <c r="S89" i="1" s="1"/>
  <c r="T86" i="1"/>
  <c r="U86" i="1" s="1"/>
  <c r="S86" i="1" s="1"/>
  <c r="X86" i="1"/>
  <c r="X85" i="1"/>
  <c r="AA83" i="1"/>
  <c r="AG82" i="1"/>
  <c r="U77" i="1"/>
  <c r="S77" i="1" s="1"/>
  <c r="AG75" i="1"/>
  <c r="T73" i="1"/>
  <c r="U73" i="1" s="1"/>
  <c r="S73" i="1" s="1"/>
  <c r="U69" i="1"/>
  <c r="S69" i="1" s="1"/>
  <c r="W65" i="1"/>
  <c r="AG63" i="1"/>
  <c r="X64" i="1"/>
  <c r="T63" i="1"/>
  <c r="X63" i="1"/>
  <c r="U60" i="1"/>
  <c r="S60" i="1" s="1"/>
  <c r="AG59" i="1"/>
  <c r="X60" i="1"/>
  <c r="T59" i="1"/>
  <c r="X59" i="1"/>
  <c r="S56" i="1"/>
  <c r="W52" i="1"/>
  <c r="AI31" i="1"/>
  <c r="T27" i="1"/>
  <c r="X27" i="1"/>
  <c r="AG27" i="1"/>
  <c r="X28" i="1"/>
  <c r="T173" i="1"/>
  <c r="U173" i="1" s="1"/>
  <c r="S173" i="1" s="1"/>
  <c r="X173" i="1"/>
  <c r="T158" i="1"/>
  <c r="U158" i="1" s="1"/>
  <c r="S158" i="1" s="1"/>
  <c r="T78" i="1"/>
  <c r="U78" i="1" s="1"/>
  <c r="S78" i="1" s="1"/>
  <c r="X78" i="1"/>
  <c r="AI68" i="1"/>
  <c r="AI61" i="1"/>
  <c r="AI57" i="1"/>
  <c r="T51" i="1"/>
  <c r="X51" i="1"/>
  <c r="AG51" i="1"/>
  <c r="X52" i="1"/>
  <c r="AI47" i="1"/>
  <c r="T30" i="1"/>
  <c r="X30" i="1"/>
  <c r="AG30" i="1"/>
  <c r="AI15" i="1"/>
  <c r="U15" i="1"/>
  <c r="S15" i="1" s="1"/>
  <c r="AG66" i="1"/>
  <c r="AG62" i="1"/>
  <c r="AG58" i="1"/>
  <c r="AG54" i="1"/>
  <c r="AG48" i="1"/>
  <c r="X48" i="1"/>
  <c r="T46" i="1"/>
  <c r="T43" i="1"/>
  <c r="X43" i="1"/>
  <c r="T35" i="1"/>
  <c r="X35" i="1"/>
  <c r="AI32" i="1"/>
  <c r="X32" i="1"/>
  <c r="AA24" i="1"/>
  <c r="W24" i="1" s="1"/>
  <c r="AA23" i="1"/>
  <c r="W23" i="1" s="1"/>
  <c r="T22" i="1"/>
  <c r="X22" i="1"/>
  <c r="AG22" i="1"/>
  <c r="W15" i="1"/>
  <c r="X66" i="1"/>
  <c r="X62" i="1"/>
  <c r="X58" i="1"/>
  <c r="X54" i="1"/>
  <c r="T50" i="1"/>
  <c r="U50" i="1" s="1"/>
  <c r="S50" i="1" s="1"/>
  <c r="T47" i="1"/>
  <c r="U47" i="1" s="1"/>
  <c r="S47" i="1" s="1"/>
  <c r="X47" i="1"/>
  <c r="X46" i="1"/>
  <c r="AA44" i="1"/>
  <c r="W44" i="1" s="1"/>
  <c r="AG43" i="1"/>
  <c r="AI41" i="1"/>
  <c r="AI36" i="1"/>
  <c r="X36" i="1"/>
  <c r="AG35" i="1"/>
  <c r="AA28" i="1"/>
  <c r="W28" i="1" s="1"/>
  <c r="AA27" i="1"/>
  <c r="T26" i="1"/>
  <c r="X26" i="1"/>
  <c r="AG26" i="1"/>
  <c r="W26" i="1" s="1"/>
  <c r="T23" i="1"/>
  <c r="U23" i="1" s="1"/>
  <c r="S23" i="1" s="1"/>
  <c r="X23" i="1"/>
  <c r="AI20" i="1"/>
  <c r="S19" i="1"/>
  <c r="AI19" i="1"/>
  <c r="T18" i="1"/>
  <c r="X18" i="1"/>
  <c r="AG18" i="1"/>
  <c r="U46" i="1"/>
  <c r="S46" i="1" s="1"/>
  <c r="T39" i="1"/>
  <c r="U39" i="1" s="1"/>
  <c r="S39" i="1" s="1"/>
  <c r="X39" i="1"/>
  <c r="T34" i="1"/>
  <c r="X34" i="1"/>
  <c r="AG34" i="1"/>
  <c r="W34" i="1" s="1"/>
  <c r="T31" i="1"/>
  <c r="U31" i="1" s="1"/>
  <c r="S31" i="1" s="1"/>
  <c r="X31" i="1"/>
  <c r="AI28" i="1"/>
  <c r="X19" i="1"/>
  <c r="X15" i="1"/>
  <c r="Y7" i="3"/>
  <c r="AI56" i="1" l="1"/>
  <c r="W87" i="1"/>
  <c r="U92" i="1"/>
  <c r="S92" i="1" s="1"/>
  <c r="W198" i="1"/>
  <c r="W14" i="1"/>
  <c r="W92" i="1"/>
  <c r="AI151" i="1"/>
  <c r="W151" i="1"/>
  <c r="W147" i="1"/>
  <c r="W127" i="1"/>
  <c r="W55" i="1"/>
  <c r="U135" i="1"/>
  <c r="S135" i="1" s="1"/>
  <c r="W68" i="1"/>
  <c r="AI45" i="1"/>
  <c r="W56" i="1"/>
  <c r="U184" i="1"/>
  <c r="S184" i="1" s="1"/>
  <c r="W180" i="1"/>
  <c r="W32" i="1"/>
  <c r="W170" i="1"/>
  <c r="U49" i="1"/>
  <c r="S49" i="1" s="1"/>
  <c r="W63" i="1"/>
  <c r="W75" i="1"/>
  <c r="W110" i="1"/>
  <c r="W126" i="1"/>
  <c r="W184" i="1"/>
  <c r="W36" i="1"/>
  <c r="W41" i="1"/>
  <c r="W79" i="1"/>
  <c r="W40" i="1"/>
  <c r="W139" i="1"/>
  <c r="W111" i="1"/>
  <c r="W175" i="1"/>
  <c r="W103" i="1"/>
  <c r="W119" i="1"/>
  <c r="W60" i="1"/>
  <c r="W167" i="1"/>
  <c r="U127" i="1"/>
  <c r="S127" i="1" s="1"/>
  <c r="W131" i="1"/>
  <c r="W183" i="1"/>
  <c r="W125" i="1"/>
  <c r="W102" i="1"/>
  <c r="W164" i="1"/>
  <c r="W163" i="1"/>
  <c r="W35" i="1"/>
  <c r="W51" i="1"/>
  <c r="AI60" i="1"/>
  <c r="W169" i="1"/>
  <c r="AI126" i="1"/>
  <c r="W90" i="1"/>
  <c r="W161" i="1"/>
  <c r="W134" i="1"/>
  <c r="W150" i="1"/>
  <c r="W171" i="1"/>
  <c r="W64" i="1"/>
  <c r="W157" i="1"/>
  <c r="W138" i="1"/>
  <c r="W17" i="1"/>
  <c r="U138" i="1"/>
  <c r="S138" i="1" s="1"/>
  <c r="U164" i="1"/>
  <c r="S164" i="1" s="1"/>
  <c r="W42" i="1"/>
  <c r="W199" i="1"/>
  <c r="W182" i="1"/>
  <c r="AI24" i="1"/>
  <c r="W179" i="1"/>
  <c r="W106" i="1"/>
  <c r="W122" i="1"/>
  <c r="W201" i="1"/>
  <c r="W192" i="1"/>
  <c r="W143" i="1"/>
  <c r="W91" i="1"/>
  <c r="W59" i="1"/>
  <c r="W49" i="1"/>
  <c r="AC7" i="3"/>
  <c r="AI16" i="1"/>
  <c r="AI37" i="1"/>
  <c r="W129" i="1"/>
  <c r="AI195" i="1"/>
  <c r="U195" i="1"/>
  <c r="S195" i="1" s="1"/>
  <c r="U99" i="1"/>
  <c r="S99" i="1" s="1"/>
  <c r="W27" i="1"/>
  <c r="U64" i="1"/>
  <c r="S64" i="1" s="1"/>
  <c r="AI64" i="1"/>
  <c r="U167" i="1"/>
  <c r="S167" i="1" s="1"/>
  <c r="W190" i="1"/>
  <c r="AI125" i="1"/>
  <c r="AI201" i="1"/>
  <c r="U180" i="1"/>
  <c r="S180" i="1" s="1"/>
  <c r="U123" i="1"/>
  <c r="S123" i="1" s="1"/>
  <c r="W37" i="1"/>
  <c r="W149" i="1"/>
  <c r="W16" i="1"/>
  <c r="U80" i="1"/>
  <c r="S80" i="1" s="1"/>
  <c r="U196" i="1"/>
  <c r="S196" i="1" s="1"/>
  <c r="U32" i="1"/>
  <c r="S32" i="1" s="1"/>
  <c r="U177" i="1"/>
  <c r="S177" i="1" s="1"/>
  <c r="AI177" i="1"/>
  <c r="U139" i="1"/>
  <c r="S139" i="1" s="1"/>
  <c r="AI139" i="1"/>
  <c r="AI161" i="1"/>
  <c r="U20" i="1"/>
  <c r="S20" i="1" s="1"/>
  <c r="U187" i="1"/>
  <c r="S187" i="1" s="1"/>
  <c r="AI187" i="1"/>
  <c r="U160" i="1"/>
  <c r="S160" i="1" s="1"/>
  <c r="U146" i="1"/>
  <c r="S146" i="1" s="1"/>
  <c r="AI122" i="1"/>
  <c r="AI94" i="1"/>
  <c r="U94" i="1"/>
  <c r="S94" i="1" s="1"/>
  <c r="W76" i="1"/>
  <c r="W19" i="1"/>
  <c r="AI198" i="1"/>
  <c r="W177" i="1"/>
  <c r="AI169" i="1"/>
  <c r="W99" i="1"/>
  <c r="U115" i="1"/>
  <c r="S115" i="1" s="1"/>
  <c r="AI115" i="1"/>
  <c r="W115" i="1"/>
  <c r="W178" i="1"/>
  <c r="AI178" i="1"/>
  <c r="W118" i="1"/>
  <c r="W200" i="1"/>
  <c r="U29" i="1"/>
  <c r="S29" i="1" s="1"/>
  <c r="AI29" i="1"/>
  <c r="W94" i="1"/>
  <c r="W20" i="1"/>
  <c r="W80" i="1"/>
  <c r="U131" i="1"/>
  <c r="S131" i="1" s="1"/>
  <c r="AI131" i="1"/>
  <c r="U147" i="1"/>
  <c r="S147" i="1" s="1"/>
  <c r="AI147" i="1"/>
  <c r="U26" i="1"/>
  <c r="S26" i="1" s="1"/>
  <c r="AI26" i="1"/>
  <c r="AI43" i="1"/>
  <c r="U43" i="1"/>
  <c r="S43" i="1" s="1"/>
  <c r="W43" i="1"/>
  <c r="U22" i="1"/>
  <c r="S22" i="1" s="1"/>
  <c r="AI22" i="1"/>
  <c r="W22" i="1"/>
  <c r="U66" i="1"/>
  <c r="S66" i="1" s="1"/>
  <c r="W66" i="1"/>
  <c r="AI66" i="1"/>
  <c r="AI27" i="1"/>
  <c r="U27" i="1"/>
  <c r="S27" i="1" s="1"/>
  <c r="U59" i="1"/>
  <c r="S59" i="1" s="1"/>
  <c r="AI59" i="1"/>
  <c r="W83" i="1"/>
  <c r="U81" i="1"/>
  <c r="S81" i="1" s="1"/>
  <c r="AI81" i="1"/>
  <c r="AI176" i="1"/>
  <c r="U142" i="1"/>
  <c r="S142" i="1" s="1"/>
  <c r="U188" i="1"/>
  <c r="S188" i="1" s="1"/>
  <c r="AI127" i="1"/>
  <c r="AI168" i="1"/>
  <c r="U134" i="1"/>
  <c r="S134" i="1" s="1"/>
  <c r="W191" i="1"/>
  <c r="AI200" i="1"/>
  <c r="U200" i="1"/>
  <c r="S200" i="1" s="1"/>
  <c r="AI35" i="1"/>
  <c r="U35" i="1"/>
  <c r="S35" i="1" s="1"/>
  <c r="U54" i="1"/>
  <c r="S54" i="1" s="1"/>
  <c r="AI54" i="1"/>
  <c r="W54" i="1"/>
  <c r="U63" i="1"/>
  <c r="S63" i="1" s="1"/>
  <c r="AI63" i="1"/>
  <c r="AI91" i="1"/>
  <c r="U91" i="1"/>
  <c r="S91" i="1" s="1"/>
  <c r="AI98" i="1"/>
  <c r="U162" i="1"/>
  <c r="S162" i="1" s="1"/>
  <c r="W162" i="1"/>
  <c r="U174" i="1"/>
  <c r="S174" i="1" s="1"/>
  <c r="AI111" i="1"/>
  <c r="U42" i="1"/>
  <c r="S42" i="1" s="1"/>
  <c r="AI42" i="1"/>
  <c r="AI74" i="1"/>
  <c r="U74" i="1"/>
  <c r="S74" i="1" s="1"/>
  <c r="AI83" i="1"/>
  <c r="U83" i="1"/>
  <c r="S83" i="1" s="1"/>
  <c r="AI137" i="1"/>
  <c r="U199" i="1"/>
  <c r="S199" i="1" s="1"/>
  <c r="AI144" i="1"/>
  <c r="U109" i="1"/>
  <c r="S109" i="1" s="1"/>
  <c r="W109" i="1"/>
  <c r="AI99" i="1"/>
  <c r="U163" i="1"/>
  <c r="S163" i="1" s="1"/>
  <c r="AI152" i="1"/>
  <c r="U117" i="1"/>
  <c r="S117" i="1" s="1"/>
  <c r="AI167" i="1"/>
  <c r="U133" i="1"/>
  <c r="S133" i="1" s="1"/>
  <c r="AI199" i="1"/>
  <c r="U198" i="1"/>
  <c r="S198" i="1" s="1"/>
  <c r="AI14" i="1"/>
  <c r="U14" i="1"/>
  <c r="S14" i="1" s="1"/>
  <c r="W174" i="1"/>
  <c r="U175" i="1"/>
  <c r="S175" i="1" s="1"/>
  <c r="AI112" i="1"/>
  <c r="AI120" i="1"/>
  <c r="U182" i="1"/>
  <c r="S182" i="1" s="1"/>
  <c r="W188" i="1"/>
  <c r="W133" i="1"/>
  <c r="U58" i="1"/>
  <c r="S58" i="1" s="1"/>
  <c r="AI58" i="1"/>
  <c r="U67" i="1"/>
  <c r="S67" i="1" s="1"/>
  <c r="AI67" i="1"/>
  <c r="U178" i="1"/>
  <c r="S178" i="1" s="1"/>
  <c r="AI116" i="1"/>
  <c r="AI44" i="1"/>
  <c r="U44" i="1"/>
  <c r="S44" i="1" s="1"/>
  <c r="AI90" i="1"/>
  <c r="U90" i="1"/>
  <c r="S90" i="1" s="1"/>
  <c r="U125" i="1"/>
  <c r="S125" i="1" s="1"/>
  <c r="AI159" i="1"/>
  <c r="U161" i="1"/>
  <c r="S161" i="1" s="1"/>
  <c r="AI97" i="1"/>
  <c r="AI129" i="1"/>
  <c r="U190" i="1"/>
  <c r="S190" i="1" s="1"/>
  <c r="AI145" i="1"/>
  <c r="U110" i="1"/>
  <c r="S110" i="1" s="1"/>
  <c r="U126" i="1"/>
  <c r="S126" i="1"/>
  <c r="AI160" i="1"/>
  <c r="AI183" i="1"/>
  <c r="U149" i="1"/>
  <c r="S149" i="1" s="1"/>
  <c r="W117" i="1"/>
  <c r="W58" i="1"/>
  <c r="U108" i="1"/>
  <c r="S108" i="1" s="1"/>
  <c r="AI143" i="1"/>
  <c r="AI175" i="1"/>
  <c r="U141" i="1"/>
  <c r="S141" i="1" s="1"/>
  <c r="W108" i="1"/>
  <c r="W141" i="1"/>
  <c r="U34" i="1"/>
  <c r="S34" i="1" s="1"/>
  <c r="AI34" i="1"/>
  <c r="AI18" i="1"/>
  <c r="U18" i="1"/>
  <c r="S18" i="1" s="1"/>
  <c r="W18" i="1"/>
  <c r="AI48" i="1"/>
  <c r="U48" i="1"/>
  <c r="S48" i="1" s="1"/>
  <c r="U62" i="1"/>
  <c r="S62" i="1" s="1"/>
  <c r="AI62" i="1"/>
  <c r="U30" i="1"/>
  <c r="S30" i="1" s="1"/>
  <c r="AI30" i="1"/>
  <c r="AI51" i="1"/>
  <c r="U51" i="1"/>
  <c r="S51" i="1" s="1"/>
  <c r="AI75" i="1"/>
  <c r="U75" i="1"/>
  <c r="S75" i="1" s="1"/>
  <c r="AI82" i="1"/>
  <c r="U82" i="1"/>
  <c r="S82" i="1" s="1"/>
  <c r="W82" i="1"/>
  <c r="AI107" i="1"/>
  <c r="U170" i="1"/>
  <c r="S170" i="1" s="1"/>
  <c r="U70" i="1"/>
  <c r="S70" i="1" s="1"/>
  <c r="AI70" i="1"/>
  <c r="W70" i="1"/>
  <c r="AI71" i="1"/>
  <c r="U71" i="1"/>
  <c r="S71" i="1" s="1"/>
  <c r="AI87" i="1"/>
  <c r="U87" i="1"/>
  <c r="S87" i="1" s="1"/>
  <c r="AI103" i="1"/>
  <c r="U93" i="1"/>
  <c r="S93" i="1" s="1"/>
  <c r="W30" i="1"/>
  <c r="AI106" i="1"/>
  <c r="U169" i="1"/>
  <c r="S169" i="1" s="1"/>
  <c r="AI117" i="1"/>
  <c r="U179" i="1"/>
  <c r="S179" i="1" s="1"/>
  <c r="AI121" i="1"/>
  <c r="U183" i="1"/>
  <c r="S183" i="1" s="1"/>
  <c r="AI128" i="1"/>
  <c r="U189" i="1"/>
  <c r="S189" i="1" s="1"/>
  <c r="W189" i="1"/>
  <c r="AI153" i="1"/>
  <c r="U118" i="1"/>
  <c r="S118" i="1" s="1"/>
  <c r="W48" i="1"/>
  <c r="U55" i="1"/>
  <c r="S55" i="1" s="1"/>
  <c r="AI55" i="1"/>
  <c r="W81" i="1"/>
  <c r="W93" i="1"/>
  <c r="AI192" i="1"/>
  <c r="U191" i="1"/>
  <c r="S191" i="1" s="1"/>
  <c r="W74" i="1"/>
  <c r="U122" i="1"/>
  <c r="S122" i="1" s="1"/>
  <c r="U129" i="1"/>
  <c r="S129" i="1" s="1"/>
  <c r="AI163" i="1"/>
  <c r="W62" i="1"/>
  <c r="W142" i="1"/>
  <c r="AI184" i="1"/>
  <c r="U150" i="1"/>
  <c r="S150" i="1" s="1"/>
  <c r="AI191" i="1"/>
  <c r="AI136" i="1"/>
  <c r="U102" i="1"/>
  <c r="S102" i="1" s="1"/>
  <c r="AE13" i="1" l="1"/>
  <c r="B3" i="6" l="1"/>
  <c r="G3" i="6" s="1"/>
  <c r="B4" i="6"/>
  <c r="F4" i="6" s="1"/>
  <c r="B5" i="6"/>
  <c r="H5" i="6" s="1"/>
  <c r="B6" i="6"/>
  <c r="H6" i="6" s="1"/>
  <c r="B7" i="6"/>
  <c r="G7" i="6" s="1"/>
  <c r="I4" i="6" l="1"/>
  <c r="G5" i="6"/>
  <c r="H4" i="6"/>
  <c r="F5" i="6"/>
  <c r="G4" i="6"/>
  <c r="F6" i="6"/>
  <c r="I6" i="6"/>
  <c r="I5" i="6"/>
  <c r="I7" i="6"/>
  <c r="F7" i="6"/>
  <c r="G6" i="6"/>
  <c r="F3" i="6"/>
  <c r="I3" i="6"/>
  <c r="H7" i="6"/>
  <c r="H3" i="6"/>
  <c r="AF13" i="1" l="1"/>
  <c r="V13" i="1" l="1"/>
  <c r="K13" i="1" l="1"/>
  <c r="L13" i="1"/>
  <c r="M13" i="1"/>
  <c r="N13" i="1" s="1"/>
  <c r="Y13" i="1"/>
  <c r="Z13" i="1"/>
  <c r="AB13" i="1"/>
  <c r="AC13" i="1"/>
  <c r="AD13" i="1"/>
  <c r="X14" i="1" s="1"/>
  <c r="T13" i="1" l="1"/>
  <c r="X13" i="1"/>
  <c r="AA13" i="1"/>
  <c r="AG13" i="1"/>
  <c r="M26" i="5"/>
  <c r="AH14" i="1" l="1"/>
  <c r="AH33" i="1"/>
  <c r="AH34" i="1"/>
  <c r="AH35" i="1"/>
  <c r="AH36" i="1"/>
  <c r="AH37" i="1"/>
  <c r="AH51" i="1"/>
  <c r="AH67" i="1"/>
  <c r="AH70" i="1"/>
  <c r="AH71" i="1"/>
  <c r="AH74" i="1"/>
  <c r="AH75" i="1"/>
  <c r="AH86" i="1"/>
  <c r="AH87" i="1"/>
  <c r="AH88" i="1"/>
  <c r="AH89" i="1"/>
  <c r="AH99" i="1"/>
  <c r="AH116" i="1"/>
  <c r="AH117" i="1"/>
  <c r="AH118" i="1"/>
  <c r="AH119" i="1"/>
  <c r="AH120" i="1"/>
  <c r="AH121" i="1"/>
  <c r="AH122" i="1"/>
  <c r="AH123" i="1"/>
  <c r="AH134" i="1"/>
  <c r="AH142" i="1"/>
  <c r="AH143" i="1"/>
  <c r="AH144" i="1"/>
  <c r="AH145" i="1"/>
  <c r="AH159" i="1"/>
  <c r="AH160" i="1"/>
  <c r="AH179" i="1"/>
  <c r="AH180" i="1"/>
  <c r="AH181" i="1"/>
  <c r="AH196" i="1"/>
  <c r="AH77" i="1"/>
  <c r="AH82" i="1"/>
  <c r="AH84" i="1"/>
  <c r="AH90" i="1"/>
  <c r="AH92" i="1"/>
  <c r="AH93" i="1"/>
  <c r="AH100" i="1"/>
  <c r="AH102" i="1"/>
  <c r="AH103" i="1"/>
  <c r="AH135" i="1"/>
  <c r="AH136" i="1"/>
  <c r="AH137" i="1"/>
  <c r="AH146" i="1"/>
  <c r="AH15" i="1"/>
  <c r="AH16" i="1"/>
  <c r="AH18" i="1"/>
  <c r="AH19" i="1"/>
  <c r="AH20" i="1"/>
  <c r="AH21" i="1"/>
  <c r="AH38" i="1"/>
  <c r="AH41" i="1"/>
  <c r="AH42" i="1"/>
  <c r="AH43" i="1"/>
  <c r="AH47" i="1"/>
  <c r="AH48" i="1"/>
  <c r="AH52" i="1"/>
  <c r="AH53" i="1"/>
  <c r="AH54" i="1"/>
  <c r="AH55" i="1"/>
  <c r="AH56" i="1"/>
  <c r="AH57" i="1"/>
  <c r="AH76" i="1"/>
  <c r="AH83" i="1"/>
  <c r="AH85" i="1"/>
  <c r="AH91" i="1"/>
  <c r="AH94" i="1"/>
  <c r="AH101" i="1"/>
  <c r="AH124" i="1"/>
  <c r="AH22" i="1"/>
  <c r="AH23" i="1"/>
  <c r="AH24" i="1"/>
  <c r="AH39" i="1"/>
  <c r="AH44" i="1"/>
  <c r="AH49" i="1"/>
  <c r="AH68" i="1"/>
  <c r="AH72" i="1"/>
  <c r="AH73" i="1"/>
  <c r="AH78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52" i="1"/>
  <c r="AH153" i="1"/>
  <c r="AH154" i="1"/>
  <c r="AH155" i="1"/>
  <c r="AH162" i="1"/>
  <c r="AH163" i="1"/>
  <c r="AH164" i="1"/>
  <c r="AH165" i="1"/>
  <c r="AH174" i="1"/>
  <c r="AH175" i="1"/>
  <c r="AH176" i="1"/>
  <c r="AH190" i="1"/>
  <c r="AH191" i="1"/>
  <c r="AH192" i="1"/>
  <c r="AH193" i="1"/>
  <c r="AH202" i="1"/>
  <c r="AH17" i="1"/>
  <c r="AH25" i="1"/>
  <c r="AH26" i="1"/>
  <c r="AH27" i="1"/>
  <c r="AH28" i="1"/>
  <c r="AH29" i="1"/>
  <c r="AH30" i="1"/>
  <c r="AH31" i="1"/>
  <c r="AH32" i="1"/>
  <c r="AH40" i="1"/>
  <c r="AH45" i="1"/>
  <c r="AH46" i="1"/>
  <c r="AH50" i="1"/>
  <c r="AH58" i="1"/>
  <c r="AH59" i="1"/>
  <c r="AH60" i="1"/>
  <c r="AH61" i="1"/>
  <c r="AH62" i="1"/>
  <c r="AH63" i="1"/>
  <c r="AH64" i="1"/>
  <c r="AH65" i="1"/>
  <c r="AH66" i="1"/>
  <c r="AH69" i="1"/>
  <c r="AH79" i="1"/>
  <c r="AH80" i="1"/>
  <c r="AH81" i="1"/>
  <c r="AH95" i="1"/>
  <c r="AH96" i="1"/>
  <c r="AH97" i="1"/>
  <c r="AH98" i="1"/>
  <c r="AH125" i="1"/>
  <c r="AH126" i="1"/>
  <c r="AH127" i="1"/>
  <c r="AH128" i="1"/>
  <c r="AH129" i="1"/>
  <c r="AH130" i="1"/>
  <c r="AH131" i="1"/>
  <c r="AH132" i="1"/>
  <c r="AH133" i="1"/>
  <c r="AH138" i="1"/>
  <c r="AH139" i="1"/>
  <c r="AH140" i="1"/>
  <c r="AH141" i="1"/>
  <c r="AH156" i="1"/>
  <c r="AH157" i="1"/>
  <c r="AH158" i="1"/>
  <c r="AH147" i="1"/>
  <c r="AH148" i="1"/>
  <c r="AH149" i="1"/>
  <c r="AH150" i="1"/>
  <c r="AH151" i="1"/>
  <c r="AH166" i="1"/>
  <c r="AH167" i="1"/>
  <c r="AH182" i="1"/>
  <c r="AH186" i="1"/>
  <c r="AH203" i="1"/>
  <c r="AH161" i="1"/>
  <c r="AH169" i="1"/>
  <c r="AH170" i="1"/>
  <c r="AH171" i="1"/>
  <c r="AH172" i="1"/>
  <c r="AH173" i="1"/>
  <c r="AH187" i="1"/>
  <c r="AH194" i="1"/>
  <c r="AH195" i="1"/>
  <c r="AH199" i="1"/>
  <c r="AH200" i="1"/>
  <c r="AH168" i="1"/>
  <c r="AH183" i="1"/>
  <c r="AH185" i="1"/>
  <c r="AH188" i="1"/>
  <c r="AH189" i="1"/>
  <c r="AH178" i="1"/>
  <c r="AH197" i="1"/>
  <c r="AH198" i="1"/>
  <c r="AH201" i="1"/>
  <c r="AH184" i="1"/>
  <c r="AH177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<sst xmlns="http://schemas.openxmlformats.org/spreadsheetml/2006/main" count="2044" uniqueCount="732">
  <si>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</si>
  <si>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</si>
  <si>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</si>
  <si>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</si>
  <si>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</si>
  <si>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</si>
  <si>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</si>
  <si>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</si>
  <si>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</si>
  <si>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</si>
  <si>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</si>
  <si>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</si>
  <si>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</si>
  <si>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</si>
  <si>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</si>
  <si>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</si>
  <si>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</si>
  <si>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</si>
  <si>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</si>
  <si>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</si>
  <si>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</si>
  <si>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</si>
  <si>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</si>
  <si>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</si>
  <si>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</si>
  <si>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</si>
  <si>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</si>
  <si>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</si>
  <si>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</si>
  <si>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</si>
  <si>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</si>
  <si>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</si>
  <si>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</si>
  <si>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</si>
  <si>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</si>
  <si>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</si>
  <si>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</si>
  <si>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</si>
  <si>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</si>
  <si>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</si>
  <si>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</si>
  <si>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</si>
  <si>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</si>
  <si>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</si>
  <si>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</si>
  <si>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</si>
  <si>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</si>
  <si>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</si>
  <si>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</si>
  <si>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</si>
  <si>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</si>
  <si>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</si>
  <si>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</si>
  <si>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</si>
  <si>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</si>
  <si>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</si>
  <si>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</si>
  <si>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</si>
  <si>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</si>
  <si>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</si>
  <si>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</si>
  <si>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</si>
  <si>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</si>
  <si>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</si>
  <si>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</si>
  <si>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</si>
  <si>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</si>
  <si>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</si>
  <si>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</si>
  <si>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</si>
  <si>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</si>
  <si>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</si>
  <si>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</si>
  <si>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</si>
  <si>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</si>
  <si>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</si>
  <si>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</si>
  <si>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</si>
  <si>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</si>
  <si>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</si>
  <si>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</si>
  <si>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</si>
  <si>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</si>
  <si>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</si>
  <si>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</si>
  <si>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</si>
  <si>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</si>
  <si>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</si>
  <si>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</si>
  <si>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</si>
  <si>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</si>
  <si>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</si>
  <si>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</si>
  <si>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</si>
  <si>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</si>
  <si>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</si>
  <si>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</si>
  <si>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</si>
  <si>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</si>
  <si>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</si>
  <si>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</si>
  <si>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</si>
  <si>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</si>
  <si>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</si>
  <si>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</si>
  <si>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</si>
  <si>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</si>
  <si>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</si>
  <si>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</si>
  <si>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</si>
  <si>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</si>
  <si>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</si>
  <si>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</si>
  <si>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</si>
  <si>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</si>
  <si>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</si>
  <si>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</si>
  <si>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</si>
  <si>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</si>
  <si>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</si>
  <si>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</si>
  <si>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</si>
  <si>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</si>
  <si>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</si>
  <si>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</si>
  <si>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</si>
  <si>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</si>
  <si>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</si>
  <si>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</si>
  <si>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</si>
  <si>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</si>
  <si>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</si>
  <si>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</si>
  <si>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</si>
  <si>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</si>
  <si>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</si>
  <si>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</si>
  <si>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</si>
  <si>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</si>
  <si>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</si>
  <si>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</si>
  <si>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</si>
  <si>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</si>
  <si>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</si>
  <si>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</si>
  <si>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</si>
  <si>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</si>
  <si>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</si>
  <si>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</si>
  <si>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</si>
  <si>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</si>
  <si>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</si>
  <si>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</si>
  <si>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</si>
  <si>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</si>
  <si>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</si>
  <si>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</si>
  <si>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</si>
  <si>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</si>
  <si>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</si>
  <si>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</si>
  <si>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</si>
  <si>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</si>
  <si>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</si>
  <si>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</si>
  <si>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</si>
  <si>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</si>
  <si>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</si>
  <si>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</si>
  <si>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</si>
  <si>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</si>
  <si>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</si>
  <si>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</si>
  <si>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</si>
  <si>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</si>
  <si>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</si>
  <si>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</si>
  <si>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</si>
  <si>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240-07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</si>
  <si>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</si>
  <si>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</si>
  <si>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</si>
  <si>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</si>
  <si>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</si>
  <si>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</si>
  <si>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</si>
  <si>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</si>
  <si>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</si>
  <si>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</si>
  <si>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</si>
  <si>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</si>
  <si>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</si>
  <si>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</si>
  <si>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</si>
  <si>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</si>
  <si>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</si>
  <si>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</si>
  <si>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</si>
  <si>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</si>
  <si>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</si>
  <si>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</si>
  <si>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</si>
  <si>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</si>
  <si>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</si>
  <si>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</si>
  <si>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</si>
  <si>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</si>
  <si>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</si>
  <si>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</si>
  <si>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</si>
  <si>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</si>
  <si>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</si>
  <si>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</si>
  <si>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204:460</t>
  </si>
  <si>
    <t>human_readable_time</t>
  </si>
  <si>
    <t>204:138</t>
  </si>
  <si>
    <t>204:462</t>
  </si>
  <si>
    <t>Loco - PTC</t>
  </si>
  <si>
    <t>Power</t>
  </si>
  <si>
    <t>204:156</t>
  </si>
  <si>
    <t>rtdc.l.rtdc.4012:itc</t>
  </si>
  <si>
    <t>204:233314</t>
  </si>
  <si>
    <t>CLI Grep</t>
  </si>
  <si>
    <t>204:145</t>
  </si>
  <si>
    <t>204:233000</t>
  </si>
  <si>
    <t>204:141</t>
  </si>
  <si>
    <t>204:233312</t>
  </si>
  <si>
    <t>rtdc.l.rtdc.4014:itc</t>
  </si>
  <si>
    <t>204:233300</t>
  </si>
  <si>
    <t>Time (US/Mountain)</t>
  </si>
  <si>
    <t>Source</t>
  </si>
  <si>
    <t>Employee Identifier</t>
  </si>
  <si>
    <t>Employee Last Name</t>
  </si>
  <si>
    <t>204:464</t>
  </si>
  <si>
    <t>rtdc.l.rtdc.4029:itc</t>
  </si>
  <si>
    <t>204:143</t>
  </si>
  <si>
    <t>204:232977</t>
  </si>
  <si>
    <t>clear-night</t>
  </si>
  <si>
    <t>Clear</t>
  </si>
  <si>
    <t>rtdc.l.rtdc.4017:itc</t>
  </si>
  <si>
    <t>rtdc.l.rtdc.4018:itc</t>
  </si>
  <si>
    <t>204:473</t>
  </si>
  <si>
    <t>204:233305</t>
  </si>
  <si>
    <t>Reactive Warning (1)</t>
  </si>
  <si>
    <t>204:444</t>
  </si>
  <si>
    <t>LEVERE</t>
  </si>
  <si>
    <t>204:233293</t>
  </si>
  <si>
    <t>204:233307</t>
  </si>
  <si>
    <t>204:232981</t>
  </si>
  <si>
    <t>204:232983</t>
  </si>
  <si>
    <t>rtdc.l.rtdc.4045:itc</t>
  </si>
  <si>
    <t>rtdc.l.rtdc.4013:itc</t>
  </si>
  <si>
    <t>rtdc.l.rtdc.4005:itc</t>
  </si>
  <si>
    <t>rtdc.l.rtdc.4006:itc</t>
  </si>
  <si>
    <t>204:233288</t>
  </si>
  <si>
    <t>204:232988</t>
  </si>
  <si>
    <t>204:232991</t>
  </si>
  <si>
    <t>204:233309</t>
  </si>
  <si>
    <t>204:233317</t>
  </si>
  <si>
    <t>204:440</t>
  </si>
  <si>
    <t>300:58933</t>
  </si>
  <si>
    <t>:.+((SYSTEM_STATE.+slice.+state.+changed )|(ment ac)|(system.+state.+changed )|(\[timeout)|(PRM\|1\|D)|(kpr)|(kdp)|(\|lc)|(penalty))</t>
  </si>
  <si>
    <t>partly-cloudy-day</t>
  </si>
  <si>
    <t>Partly Cloudy</t>
  </si>
  <si>
    <t>MAELZER</t>
  </si>
  <si>
    <t>rtdc.l.rtdc.4039:itc</t>
  </si>
  <si>
    <t>MOSES</t>
  </si>
  <si>
    <t>STURGEON</t>
  </si>
  <si>
    <t>204:232984</t>
  </si>
  <si>
    <t>204:139</t>
  </si>
  <si>
    <t>204:232978</t>
  </si>
  <si>
    <t>204:232968</t>
  </si>
  <si>
    <t>204:232986</t>
  </si>
  <si>
    <t>204:161</t>
  </si>
  <si>
    <t>204:232990</t>
  </si>
  <si>
    <t>204:477</t>
  </si>
  <si>
    <t>s3://rtdc.mdm.uploadarchive.raw</t>
  </si>
  <si>
    <t>Y</t>
  </si>
  <si>
    <t>MALAVE</t>
  </si>
  <si>
    <t>YORK</t>
  </si>
  <si>
    <t>rtdc.l.rtdc.4011:itc</t>
  </si>
  <si>
    <t>NEWELL</t>
  </si>
  <si>
    <t>SHOOK</t>
  </si>
  <si>
    <t>SMITH</t>
  </si>
  <si>
    <t>309-29</t>
  </si>
  <si>
    <t>242-29</t>
  </si>
  <si>
    <t>311-29</t>
  </si>
  <si>
    <t>244-29</t>
  </si>
  <si>
    <t>313-29</t>
  </si>
  <si>
    <t>partly-cloudy-night</t>
  </si>
  <si>
    <t>204:449</t>
  </si>
  <si>
    <t>204:232980</t>
  </si>
  <si>
    <t>204:233284</t>
  </si>
  <si>
    <t>204:232996</t>
  </si>
  <si>
    <t>204:165</t>
  </si>
  <si>
    <t>300:23308</t>
  </si>
  <si>
    <t>300:58624</t>
  </si>
  <si>
    <t>204:232987</t>
  </si>
  <si>
    <t>204:136</t>
  </si>
  <si>
    <t>204:232969</t>
  </si>
  <si>
    <t>204:233004</t>
  </si>
  <si>
    <t>204:233011</t>
  </si>
  <si>
    <t>204:233332</t>
  </si>
  <si>
    <t>204:233306</t>
  </si>
  <si>
    <t>226-30</t>
  </si>
  <si>
    <t>228-30</t>
  </si>
  <si>
    <t>229-30</t>
  </si>
  <si>
    <t>230-30</t>
  </si>
  <si>
    <t>231-30</t>
  </si>
  <si>
    <t>204:233274</t>
  </si>
  <si>
    <t>232-30</t>
  </si>
  <si>
    <t>233-30</t>
  </si>
  <si>
    <t>234-30</t>
  </si>
  <si>
    <t>204:232961</t>
  </si>
  <si>
    <t>235-30</t>
  </si>
  <si>
    <t>236-30</t>
  </si>
  <si>
    <t>237-30</t>
  </si>
  <si>
    <t>238-30</t>
  </si>
  <si>
    <t>239-30</t>
  </si>
  <si>
    <t>240-30</t>
  </si>
  <si>
    <t>241-30</t>
  </si>
  <si>
    <t>242-30</t>
  </si>
  <si>
    <t>243-30</t>
  </si>
  <si>
    <t>244-30</t>
  </si>
  <si>
    <t>245-30</t>
  </si>
  <si>
    <t>246-30</t>
  </si>
  <si>
    <t>309-30</t>
  </si>
  <si>
    <t>311-30</t>
  </si>
  <si>
    <t>313-30</t>
  </si>
  <si>
    <t>315-30</t>
  </si>
  <si>
    <t>300:58617</t>
  </si>
  <si>
    <t>300:58621</t>
  </si>
  <si>
    <t>204:1034</t>
  </si>
  <si>
    <t>300:58615</t>
  </si>
  <si>
    <t>300:58931</t>
  </si>
  <si>
    <t>844-30</t>
  </si>
  <si>
    <t>845-30</t>
  </si>
  <si>
    <t>847-30</t>
  </si>
  <si>
    <t>908-30</t>
  </si>
  <si>
    <t>rtdc.l.rtdc.4010:itc</t>
  </si>
  <si>
    <t>rtdc.l.rtdc.4015:itc</t>
  </si>
  <si>
    <t>rtdc.l.rtdc.4016:itc</t>
  </si>
  <si>
    <t>rtdc.l.rtdc.4054:itc</t>
  </si>
  <si>
    <t>rtdc.l.rtdc.4032:itc</t>
  </si>
  <si>
    <t>rtdc.l.rtdc.4031:itc</t>
  </si>
  <si>
    <t>rtdc.l.rtdc.4053:itc</t>
  </si>
  <si>
    <t>STEWART</t>
  </si>
  <si>
    <t>CLARK</t>
  </si>
  <si>
    <t>SWANSON</t>
  </si>
  <si>
    <t>rtdc.l.rtdc.4009:itc</t>
  </si>
  <si>
    <t>ARVIDSON</t>
  </si>
  <si>
    <t>CHANDLER</t>
  </si>
  <si>
    <t>precipType</t>
  </si>
  <si>
    <t>rain</t>
  </si>
  <si>
    <t>204:233308</t>
  </si>
  <si>
    <t>204:719</t>
  </si>
  <si>
    <t>204:637</t>
  </si>
  <si>
    <t>204:233302</t>
  </si>
  <si>
    <t>204:232971</t>
  </si>
  <si>
    <t>204:172</t>
  </si>
  <si>
    <t>204:467</t>
  </si>
  <si>
    <t>204:233327</t>
  </si>
  <si>
    <t>204:233289</t>
  </si>
  <si>
    <t>204:127</t>
  </si>
  <si>
    <t>204:233006</t>
  </si>
  <si>
    <t>204:475</t>
  </si>
  <si>
    <t>204:232972</t>
  </si>
  <si>
    <t>204:447</t>
  </si>
  <si>
    <t>204:233329</t>
  </si>
  <si>
    <t>204:163</t>
  </si>
  <si>
    <t>204:233326</t>
  </si>
  <si>
    <t>204:747</t>
  </si>
  <si>
    <t>204:1025</t>
  </si>
  <si>
    <t>300:58986</t>
  </si>
  <si>
    <t>204:1018</t>
  </si>
  <si>
    <t>300:58967</t>
  </si>
  <si>
    <t>204:233321</t>
  </si>
  <si>
    <t>204:233287</t>
  </si>
  <si>
    <t>204:232976</t>
  </si>
  <si>
    <t>204:233010</t>
  </si>
  <si>
    <t>240-01</t>
  </si>
  <si>
    <t>241-01</t>
  </si>
  <si>
    <t>204:233272</t>
  </si>
  <si>
    <t>242-01</t>
  </si>
  <si>
    <t>243-01</t>
  </si>
  <si>
    <t>244-01</t>
  </si>
  <si>
    <t>245-01</t>
  </si>
  <si>
    <t>204:488</t>
  </si>
  <si>
    <t>246-01</t>
  </si>
  <si>
    <t>300:23299</t>
  </si>
  <si>
    <t>204:509</t>
  </si>
  <si>
    <t>300:23302</t>
  </si>
  <si>
    <t>309-01</t>
  </si>
  <si>
    <t>311-01</t>
  </si>
  <si>
    <t>313-01</t>
  </si>
  <si>
    <t>300:23316</t>
  </si>
  <si>
    <t>315-01</t>
  </si>
  <si>
    <t>rtdc.l.rtdc.4003:itc</t>
  </si>
  <si>
    <t>rtdc.l.rtdc.4004:itc</t>
  </si>
  <si>
    <t>rtdc.l.rtdc.4030:itc</t>
  </si>
  <si>
    <t>ACKERMAN</t>
  </si>
  <si>
    <t>KILLION</t>
  </si>
  <si>
    <t>BARTLETT</t>
  </si>
  <si>
    <t>clear-day</t>
  </si>
  <si>
    <t>101-02</t>
  </si>
  <si>
    <t>204:734</t>
  </si>
  <si>
    <t>102-02</t>
  </si>
  <si>
    <t>204:232660</t>
  </si>
  <si>
    <t>103-02</t>
  </si>
  <si>
    <t>204:233325</t>
  </si>
  <si>
    <t>104-02</t>
  </si>
  <si>
    <t>204:232679</t>
  </si>
  <si>
    <t>105-02</t>
  </si>
  <si>
    <t>204:826</t>
  </si>
  <si>
    <t>106-02</t>
  </si>
  <si>
    <t>204:232694</t>
  </si>
  <si>
    <t>107-02</t>
  </si>
  <si>
    <t>204:233311</t>
  </si>
  <si>
    <t>108-02</t>
  </si>
  <si>
    <t>204:232998</t>
  </si>
  <si>
    <t>109-02</t>
  </si>
  <si>
    <t>204:486</t>
  </si>
  <si>
    <t>110-02</t>
  </si>
  <si>
    <t>111-02</t>
  </si>
  <si>
    <t>204:728</t>
  </si>
  <si>
    <t>112-02</t>
  </si>
  <si>
    <t>204:232952</t>
  </si>
  <si>
    <t>113-02</t>
  </si>
  <si>
    <t>204:233298</t>
  </si>
  <si>
    <t>114-02</t>
  </si>
  <si>
    <t>115-02</t>
  </si>
  <si>
    <t>204:774</t>
  </si>
  <si>
    <t>204:233297</t>
  </si>
  <si>
    <t>116-02</t>
  </si>
  <si>
    <t>204:232965</t>
  </si>
  <si>
    <t>117-02</t>
  </si>
  <si>
    <t>118-02</t>
  </si>
  <si>
    <t>119-02</t>
  </si>
  <si>
    <t>120-02</t>
  </si>
  <si>
    <t>204:232992</t>
  </si>
  <si>
    <t>121-02</t>
  </si>
  <si>
    <t>122-02</t>
  </si>
  <si>
    <t>204:233008</t>
  </si>
  <si>
    <t>123-02</t>
  </si>
  <si>
    <t>124-02</t>
  </si>
  <si>
    <t>125-02</t>
  </si>
  <si>
    <t>204:233304</t>
  </si>
  <si>
    <t>126-02</t>
  </si>
  <si>
    <t>127-02</t>
  </si>
  <si>
    <t>204:233263</t>
  </si>
  <si>
    <t>128-02</t>
  </si>
  <si>
    <t>129-02</t>
  </si>
  <si>
    <t>204:233283</t>
  </si>
  <si>
    <t>130-02</t>
  </si>
  <si>
    <t>204:232960</t>
  </si>
  <si>
    <t>131-02</t>
  </si>
  <si>
    <t>132-02</t>
  </si>
  <si>
    <t>204:232973</t>
  </si>
  <si>
    <t>133-02</t>
  </si>
  <si>
    <t>134-02</t>
  </si>
  <si>
    <t>204:232994</t>
  </si>
  <si>
    <t>135-02</t>
  </si>
  <si>
    <t>136-02</t>
  </si>
  <si>
    <t>137-02</t>
  </si>
  <si>
    <t>204:233247</t>
  </si>
  <si>
    <t>138-02</t>
  </si>
  <si>
    <t>204:232945</t>
  </si>
  <si>
    <t>139-02</t>
  </si>
  <si>
    <t>204:469</t>
  </si>
  <si>
    <t>204:233320</t>
  </si>
  <si>
    <t>140-02</t>
  </si>
  <si>
    <t>204:1188</t>
  </si>
  <si>
    <t>141-02</t>
  </si>
  <si>
    <t>204:422</t>
  </si>
  <si>
    <t>204:154435</t>
  </si>
  <si>
    <t>142-02</t>
  </si>
  <si>
    <t>143-02</t>
  </si>
  <si>
    <t>204:123426</t>
  </si>
  <si>
    <t>144-02</t>
  </si>
  <si>
    <t>145-02</t>
  </si>
  <si>
    <t>146-02</t>
  </si>
  <si>
    <t>147-02</t>
  </si>
  <si>
    <t>148-02</t>
  </si>
  <si>
    <t>149-02</t>
  </si>
  <si>
    <t>204:233310</t>
  </si>
  <si>
    <t>150-02</t>
  </si>
  <si>
    <t>151-02</t>
  </si>
  <si>
    <t>204:233318</t>
  </si>
  <si>
    <t>152-02</t>
  </si>
  <si>
    <t>204:178</t>
  </si>
  <si>
    <t>153-02</t>
  </si>
  <si>
    <t>154-02</t>
  </si>
  <si>
    <t>155-02</t>
  </si>
  <si>
    <t>204:233249</t>
  </si>
  <si>
    <t>156-02</t>
  </si>
  <si>
    <t>204:232929</t>
  </si>
  <si>
    <t>204:174</t>
  </si>
  <si>
    <t>157-02</t>
  </si>
  <si>
    <t>158-02</t>
  </si>
  <si>
    <t>159-02</t>
  </si>
  <si>
    <t>160-02</t>
  </si>
  <si>
    <t>161-02</t>
  </si>
  <si>
    <t>162-02</t>
  </si>
  <si>
    <t>204:232993</t>
  </si>
  <si>
    <t>163-02</t>
  </si>
  <si>
    <t>164-02</t>
  </si>
  <si>
    <t>204:233007</t>
  </si>
  <si>
    <t>165-02</t>
  </si>
  <si>
    <t>166-02</t>
  </si>
  <si>
    <t>167-02</t>
  </si>
  <si>
    <t>168-02</t>
  </si>
  <si>
    <t>204:180</t>
  </si>
  <si>
    <t>169-02</t>
  </si>
  <si>
    <t>170-02</t>
  </si>
  <si>
    <t>204:232964</t>
  </si>
  <si>
    <t>171-02</t>
  </si>
  <si>
    <t>204:233278</t>
  </si>
  <si>
    <t>172-02</t>
  </si>
  <si>
    <t>173-02</t>
  </si>
  <si>
    <t>174-02</t>
  </si>
  <si>
    <t>175-02</t>
  </si>
  <si>
    <t>176-02</t>
  </si>
  <si>
    <t>177-02</t>
  </si>
  <si>
    <t>178-02</t>
  </si>
  <si>
    <t>204:121</t>
  </si>
  <si>
    <t>179-02</t>
  </si>
  <si>
    <t>180-02</t>
  </si>
  <si>
    <t>1800-02</t>
  </si>
  <si>
    <t>300:58613</t>
  </si>
  <si>
    <t>204:724</t>
  </si>
  <si>
    <t>1801-02</t>
  </si>
  <si>
    <t>204:1014</t>
  </si>
  <si>
    <t>300:58944</t>
  </si>
  <si>
    <t>1802-02</t>
  </si>
  <si>
    <t>204:736</t>
  </si>
  <si>
    <t>1803-02</t>
  </si>
  <si>
    <t>204:1013</t>
  </si>
  <si>
    <t>300:58928</t>
  </si>
  <si>
    <t>1804-02</t>
  </si>
  <si>
    <t>204:776</t>
  </si>
  <si>
    <t>1805-02</t>
  </si>
  <si>
    <t>204:1055</t>
  </si>
  <si>
    <t>1806-02</t>
  </si>
  <si>
    <t>1807-02</t>
  </si>
  <si>
    <t>204:1028</t>
  </si>
  <si>
    <t>1808-02</t>
  </si>
  <si>
    <t>204:740</t>
  </si>
  <si>
    <t>1809-02</t>
  </si>
  <si>
    <t>204:1032</t>
  </si>
  <si>
    <t>300:58939</t>
  </si>
  <si>
    <t>181-02</t>
  </si>
  <si>
    <t>204:497</t>
  </si>
  <si>
    <t>1810-02</t>
  </si>
  <si>
    <t>1811-02</t>
  </si>
  <si>
    <t>1812-02</t>
  </si>
  <si>
    <t>204:710</t>
  </si>
  <si>
    <t>1813-02</t>
  </si>
  <si>
    <t>300:58918</t>
  </si>
  <si>
    <t>1814-02</t>
  </si>
  <si>
    <t>1815-02</t>
  </si>
  <si>
    <t>1816-02</t>
  </si>
  <si>
    <t>204:722</t>
  </si>
  <si>
    <t>1817-02</t>
  </si>
  <si>
    <t>1818-02</t>
  </si>
  <si>
    <t>300:58653</t>
  </si>
  <si>
    <t>204:729</t>
  </si>
  <si>
    <t>1819-02</t>
  </si>
  <si>
    <t>182-02</t>
  </si>
  <si>
    <t>1820-02</t>
  </si>
  <si>
    <t>300:58651</t>
  </si>
  <si>
    <t>1821-02</t>
  </si>
  <si>
    <t>300:58946</t>
  </si>
  <si>
    <t>1822-02</t>
  </si>
  <si>
    <t>300:58626</t>
  </si>
  <si>
    <t>204:745</t>
  </si>
  <si>
    <t>1823-02</t>
  </si>
  <si>
    <t>204:1041</t>
  </si>
  <si>
    <t>300:58965</t>
  </si>
  <si>
    <t>1824-02</t>
  </si>
  <si>
    <t>300:58643</t>
  </si>
  <si>
    <t>204:741</t>
  </si>
  <si>
    <t>1825-02</t>
  </si>
  <si>
    <t>204:1020</t>
  </si>
  <si>
    <t>300:58960</t>
  </si>
  <si>
    <t>1826-02</t>
  </si>
  <si>
    <t>300:58638</t>
  </si>
  <si>
    <t>204:750</t>
  </si>
  <si>
    <t>1827-02</t>
  </si>
  <si>
    <t>300:58952</t>
  </si>
  <si>
    <t>1828-02</t>
  </si>
  <si>
    <t>300:58636</t>
  </si>
  <si>
    <t>1829-02</t>
  </si>
  <si>
    <t>204:1030</t>
  </si>
  <si>
    <t>183-02</t>
  </si>
  <si>
    <t>1830-02</t>
  </si>
  <si>
    <t>1831-02</t>
  </si>
  <si>
    <t>300:58910</t>
  </si>
  <si>
    <t>1832-02</t>
  </si>
  <si>
    <t>300:58594</t>
  </si>
  <si>
    <t>1833-02</t>
  </si>
  <si>
    <t>300:58912</t>
  </si>
  <si>
    <t>184-02</t>
  </si>
  <si>
    <t>204:232955</t>
  </si>
  <si>
    <t>185-02</t>
  </si>
  <si>
    <t>186-02</t>
  </si>
  <si>
    <t>204:233032</t>
  </si>
  <si>
    <t>187-02</t>
  </si>
  <si>
    <t>204:233303</t>
  </si>
  <si>
    <t>188-02</t>
  </si>
  <si>
    <t>189-02</t>
  </si>
  <si>
    <t>204:231105</t>
  </si>
  <si>
    <t>190-02</t>
  </si>
  <si>
    <t>1902-02</t>
  </si>
  <si>
    <t>300:58602</t>
  </si>
  <si>
    <t>300:21933</t>
  </si>
  <si>
    <t>191-02</t>
  </si>
  <si>
    <t>192-02</t>
  </si>
  <si>
    <t>193-02</t>
  </si>
  <si>
    <t>194-02</t>
  </si>
  <si>
    <t>195-02</t>
  </si>
  <si>
    <t>196-02</t>
  </si>
  <si>
    <t>204:207</t>
  </si>
  <si>
    <t>197-02</t>
  </si>
  <si>
    <t>204:233285</t>
  </si>
  <si>
    <t>198-02</t>
  </si>
  <si>
    <t>199-02</t>
  </si>
  <si>
    <t>204:233357</t>
  </si>
  <si>
    <t>200-02</t>
  </si>
  <si>
    <t>204:233028</t>
  </si>
  <si>
    <t>201-02</t>
  </si>
  <si>
    <t>202-02</t>
  </si>
  <si>
    <t>204:233013</t>
  </si>
  <si>
    <t>203-02</t>
  </si>
  <si>
    <t>204-02</t>
  </si>
  <si>
    <t>205-02</t>
  </si>
  <si>
    <t>204:431</t>
  </si>
  <si>
    <t>206-02</t>
  </si>
  <si>
    <t>207-02</t>
  </si>
  <si>
    <t>208-02</t>
  </si>
  <si>
    <t>204:36730</t>
  </si>
  <si>
    <t>209-02</t>
  </si>
  <si>
    <t>210-02</t>
  </si>
  <si>
    <t>211-02</t>
  </si>
  <si>
    <t>212-02</t>
  </si>
  <si>
    <t>204:202</t>
  </si>
  <si>
    <t>213-02</t>
  </si>
  <si>
    <t>214-02</t>
  </si>
  <si>
    <t>215-02</t>
  </si>
  <si>
    <t>216-02</t>
  </si>
  <si>
    <t>204:233021</t>
  </si>
  <si>
    <t>204:142</t>
  </si>
  <si>
    <t>217-02</t>
  </si>
  <si>
    <t>218-02</t>
  </si>
  <si>
    <t>219-02</t>
  </si>
  <si>
    <t>220-02</t>
  </si>
  <si>
    <t>204:232975</t>
  </si>
  <si>
    <t>221-02</t>
  </si>
  <si>
    <t>222-02</t>
  </si>
  <si>
    <t>223-02</t>
  </si>
  <si>
    <t>224-02</t>
  </si>
  <si>
    <t>225-02</t>
  </si>
  <si>
    <t>226-02</t>
  </si>
  <si>
    <t>227-02</t>
  </si>
  <si>
    <t>204:504</t>
  </si>
  <si>
    <t>228-02</t>
  </si>
  <si>
    <t>229-02</t>
  </si>
  <si>
    <t>230-02</t>
  </si>
  <si>
    <t>231-02</t>
  </si>
  <si>
    <t>232-02</t>
  </si>
  <si>
    <t>233-02</t>
  </si>
  <si>
    <t>204:10765</t>
  </si>
  <si>
    <t>234-02</t>
  </si>
  <si>
    <t>235-02</t>
  </si>
  <si>
    <t>236-02</t>
  </si>
  <si>
    <t>237-02</t>
  </si>
  <si>
    <t>204:233301</t>
  </si>
  <si>
    <t>238-02</t>
  </si>
  <si>
    <t>239-02</t>
  </si>
  <si>
    <t>240-02</t>
  </si>
  <si>
    <t>204:233017</t>
  </si>
  <si>
    <t>241-02</t>
  </si>
  <si>
    <t>242-02</t>
  </si>
  <si>
    <t>204:167</t>
  </si>
  <si>
    <t>243-02</t>
  </si>
  <si>
    <t>244-02</t>
  </si>
  <si>
    <t>204:232959</t>
  </si>
  <si>
    <t>303-02</t>
  </si>
  <si>
    <t>204:415</t>
  </si>
  <si>
    <t>300:23338</t>
  </si>
  <si>
    <t>307-02</t>
  </si>
  <si>
    <t>300:23310</t>
  </si>
  <si>
    <t>309-02</t>
  </si>
  <si>
    <t>300:22828</t>
  </si>
  <si>
    <t>311-02</t>
  </si>
  <si>
    <t>313-02</t>
  </si>
  <si>
    <t>300:23304</t>
  </si>
  <si>
    <t>315-02</t>
  </si>
  <si>
    <t>204:437</t>
  </si>
  <si>
    <t>300:23297</t>
  </si>
  <si>
    <t>50-02</t>
  </si>
  <si>
    <t>300:23489</t>
  </si>
  <si>
    <t>204:878</t>
  </si>
  <si>
    <t>55-02</t>
  </si>
  <si>
    <t>204:1197</t>
  </si>
  <si>
    <t>300:24711</t>
  </si>
  <si>
    <t>63-02</t>
  </si>
  <si>
    <t>204:1511</t>
  </si>
  <si>
    <t>66-02</t>
  </si>
  <si>
    <t>300:22011</t>
  </si>
  <si>
    <t>204:1639</t>
  </si>
  <si>
    <t>rtdc.l.rtdc.4007:itc</t>
  </si>
  <si>
    <t>TEMPORARY SPEED RESTRICTION</t>
  </si>
  <si>
    <t>SWITCH UNKNOWN</t>
  </si>
  <si>
    <t>Track device (7)</t>
  </si>
  <si>
    <t>DAVIS</t>
  </si>
  <si>
    <t>STRICKLAND</t>
  </si>
  <si>
    <t>rtdc.l.rtdc.4008:itc</t>
  </si>
  <si>
    <t>STARKS</t>
  </si>
  <si>
    <t>ROBINSON</t>
  </si>
  <si>
    <t>HAITHCOX</t>
  </si>
  <si>
    <t>YOUNG</t>
  </si>
  <si>
    <t>BROWN</t>
  </si>
  <si>
    <t>HOMIK</t>
  </si>
  <si>
    <t>Summary for DUS 2016-10-02: Partly cloudy starting overnight, continuing until evening.</t>
  </si>
  <si>
    <t>CP 61st main/standby transfer issue</t>
  </si>
  <si>
    <t>Delayed at Pena 4S due to CP 61st main/standby issue</t>
  </si>
  <si>
    <t>Onboard in-route failure</t>
  </si>
  <si>
    <t>Multiple CPU faults at 18:27:23</t>
  </si>
  <si>
    <t>SYS :2016/10/03 03:41:44.296:SYSTEM_STATE:slice state changed [SECONDARY]-&gt;[PRIMARY]. Slice state change caused system to not go active when train started moving. Operator had to re-init</t>
  </si>
  <si>
    <t>Early arrival</t>
  </si>
  <si>
    <t>Wi-MAX outage</t>
  </si>
  <si>
    <t>http://stevetu21.github.io/eaglep3/load_kml.html?kml=http://rtdc.gmaps-snips.s3.amazonaws.com/144735c0-2171-4889-9d2c-8da27109077d.kml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</si>
</sst>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144735c0-2171-4889-9d2c-8da27109077d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tabSelected="1" topLeftCell="A4" workbookViewId="0">
      <selection activeCell="R120" sqref="R12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425781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42645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42645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34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COUNTIFS($N$13:$N$9383,"&gt;0",$AG$13:$AG$9383,I1)</f>
        <v>140</v>
      </c>
      <c r="K5" s="46"/>
      <c r="L5" s="46"/>
      <c r="M5" s="47">
        <f>AVERAGEIFS($N$13:$N$9383,$AG$13:$AG$9383,I1)</f>
        <v>38.482023809579132</v>
      </c>
      <c r="N5" s="45">
        <f t="array" ref="N5">MIN(IF($AG$13:$AG$9383=I1,IF(ISNUMBER($N$13:$N$9383),IF($N$13:$N$9383&gt;0,$N$13:$N$9383))))</f>
        <v>34.68333333148621</v>
      </c>
      <c r="O5" s="3">
        <f t="array" ref="O5">MAX(IF($AG$13:$AG$9383=I1,IF(ISNUMBER($N$13:$N$9383),IF($N$13:$N$9383&gt;0,$N$13:$N$9383))))</f>
        <v>54.466666668886319</v>
      </c>
      <c r="P5" s="2"/>
      <c r="R5" s="83" t="s">
        <v>17</v>
      </c>
      <c r="S5" s="57">
        <f>COUNTIFS($N$13:$N$9383,"&gt;0",$AG$13:$AG$9383,R1)</f>
        <v>34</v>
      </c>
      <c r="T5" s="46"/>
      <c r="U5" s="156"/>
      <c r="V5" s="47">
        <f>AVERAGEIFS($N$13:$N$9383,$AG$13:$AG$9383,R1)</f>
        <v>15.183333333561142</v>
      </c>
      <c r="W5" s="45">
        <f t="array" ref="W5">MIN(IF($AG$13:$AG$9383=R1,IF(ISNUMBER($N$13:$N$9383),IF($N$13:$N$9383&gt;0,$N$13:$N$9383))))</f>
        <v>13.050000001676381</v>
      </c>
      <c r="X5" s="161">
        <f t="array" ref="X5">MAX(IF($AG$13:$AG$9383=R1,IF(ISNUMBER($N$13:$N$9383),IF($N$13:$N$9383&gt;0,$N$13:$N$9383))))</f>
        <v>18.383333334932104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COUNT($O$13:$O$158)</f>
        <v>0</v>
      </c>
      <c r="K6" s="46"/>
      <c r="L6" s="46"/>
      <c r="M6" s="47">
        <f>IFERROR(AVERAGE($O$13:$O$158),0)</f>
        <v>0</v>
      </c>
      <c r="N6" s="45">
        <f>MIN($O$13:$O$158)</f>
        <v>0</v>
      </c>
      <c r="O6" s="3">
        <f>MAX($O$13:$O$158)</f>
        <v>0</v>
      </c>
      <c r="P6" s="2"/>
      <c r="R6" s="84" t="s">
        <v>43</v>
      </c>
      <c r="S6" s="57">
        <f>COUNT($O$13:$O$158)</f>
        <v>0</v>
      </c>
      <c r="T6" s="46"/>
      <c r="U6" s="156"/>
      <c r="V6" s="47">
        <f>IFERROR(AVERAGE($O$13:$O$158),0)</f>
        <v>0</v>
      </c>
      <c r="W6" s="45">
        <f>MIN($O$13:$O$158)</f>
        <v>0</v>
      </c>
      <c r="X6" s="161">
        <f>MAX($O$13:$O$158)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COUNTIFS($P$13:$P$9383,"&gt;0",$AG$13:$AG$9383,I1)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COUNTIFS($P$13:$P$9383,"&gt;0",$AG$13:$AG$9383,R1)</f>
        <v>0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140</v>
      </c>
      <c r="K8" s="46"/>
      <c r="L8" s="46"/>
      <c r="M8" s="47">
        <f>M5</f>
        <v>38.482023809579132</v>
      </c>
      <c r="N8" s="45">
        <f>N5</f>
        <v>34.68333333148621</v>
      </c>
      <c r="O8" s="3">
        <f>O5</f>
        <v>54.466666668886319</v>
      </c>
      <c r="P8" s="2"/>
      <c r="R8" s="83" t="s">
        <v>16</v>
      </c>
      <c r="S8" s="57">
        <f>S5</f>
        <v>34</v>
      </c>
      <c r="T8" s="46"/>
      <c r="U8" s="156"/>
      <c r="V8" s="47">
        <f>V5</f>
        <v>15.183333333561142</v>
      </c>
      <c r="W8" s="45">
        <f>W5</f>
        <v>13.050000001676381</v>
      </c>
      <c r="X8" s="161">
        <f>X5</f>
        <v>18.383333334932104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0.97222222222222221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1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0" t="str">
        <f>"Eagle P3 System Performance - "&amp;TEXT(Variables!A2,"yyyy-mm-dd")</f>
        <v>Eagle P3 System Performance - 2016-10-02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S11" s="72">
        <f>AVERAGE(S13:S110)</f>
        <v>1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158</v>
      </c>
      <c r="AJ12" s="53" t="s">
        <v>159</v>
      </c>
      <c r="AK12" s="53" t="s">
        <v>132</v>
      </c>
      <c r="AL12" s="53" t="s">
        <v>160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404</v>
      </c>
      <c r="B13" s="7">
        <v>4031</v>
      </c>
      <c r="C13" s="24" t="s">
        <v>106</v>
      </c>
      <c r="D13" s="24" t="s">
        <v>405</v>
      </c>
      <c r="E13" s="15">
        <v>42645.130208333336</v>
      </c>
      <c r="F13" s="15">
        <v>42645.135625000003</v>
      </c>
      <c r="G13" s="7">
        <v>1</v>
      </c>
      <c r="H13" s="15" t="s">
        <v>357</v>
      </c>
      <c r="I13" s="15">
        <v>42645.161006944443</v>
      </c>
      <c r="J13" s="7">
        <v>0</v>
      </c>
      <c r="K13" s="117" t="str">
        <f t="shared" ref="K13:K44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44" si="1">I13-F13</f>
        <v>2.5381944440596271E-2</v>
      </c>
      <c r="N13" s="7">
        <f t="shared" ref="N13:N44" si="2">24*60*SUM($M13:$M13)</f>
        <v>36.549999994458631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https://search-rtdc-monitor-bjffxe2xuh6vdkpspy63sjmuny.us-east-1.es.amazonaws.com/_plugin/kibana/#/discover/Steve-Slow-Train-Analysis-(2080s-and-2083s)?_g=(refreshInterval:(display:Off,section:0,value:0),time:(from:'2016-10-02 02:07:30-0600',mode:absolute,to:'2016-10-02 04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44" si="6">IF(AA13&lt;IF(AG13="EC",23,5.65),"Y","N")</f>
        <v>N</v>
      </c>
      <c r="X13" s="164" t="e">
        <f t="shared" ref="X13:X44" si="7">VALUE(LEFT(AD13,4))-VALUE(LEFT(AD12,4))</f>
        <v>#VALUE!</v>
      </c>
      <c r="Y13" s="69">
        <f t="shared" ref="Y13:Y44" si="8">RIGHT(D13,LEN(D13)-4)/10000</f>
        <v>7.3400000000000007E-2</v>
      </c>
      <c r="Z13" s="69">
        <f t="shared" ref="Z13:Z44" si="9">RIGHT(H13,LEN(H13)-4)/10000</f>
        <v>23.330200000000001</v>
      </c>
      <c r="AA13" s="69">
        <f t="shared" ref="AA13:AA44" si="10">ABS(Z13-Y13)</f>
        <v>23.256800000000002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44" si="11">IF(LEN(A13)=6,"0"&amp;A13,A13)</f>
        <v>0101-02</v>
      </c>
      <c r="AE13" s="95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 &amp; 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</v>
      </c>
      <c r="AF13" s="92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/stypes="app*4031*20161002*"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4031 --swversion DE.1.0.7.0 --startMP 204:734 --initTime 2016-10-02T03:07:30 --startdatetime 2016-10-02T03:15:18 --delay 1 --endMP 204:233302 --enddatetime 2016-10-02T03:51:51 --enforcementcount 0 &gt;&gt;C:\Users\stu\Documents\GitHub\eaglep3-reporting\EC\2016-10-02-refined-times.txt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{"issue":{"subject":"","project_id":79,"tracker_id":40,"status_id":1,"priority_id":2,"assigned_to_id":23,"start_date":"2016-10-02","description":"","custom_fields":[{"id":1,"name":"Subdivision","value":"EC"},{"id":4,"name":"Milepost","value":"23.3302"},{"id":17,"name":"Train ID","value":"101-02"},{"id":16,"name":"Locomotive ID","value":"4031"},{"id":130,"name":"Impact","value":""},{"id":150,"name":"Time of Event (Mountain Time)","value":"03:51:51"},{"id":151,"name":"Denver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406</v>
      </c>
      <c r="B14" s="7">
        <v>4019</v>
      </c>
      <c r="C14" s="24" t="s">
        <v>106</v>
      </c>
      <c r="D14" s="24" t="s">
        <v>407</v>
      </c>
      <c r="E14" s="15">
        <v>42645.168182870373</v>
      </c>
      <c r="F14" s="15">
        <v>42645.174513888887</v>
      </c>
      <c r="G14" s="7">
        <v>1</v>
      </c>
      <c r="H14" s="15" t="s">
        <v>207</v>
      </c>
      <c r="I14" s="15">
        <v>42645.202141203707</v>
      </c>
      <c r="J14" s="7">
        <v>0</v>
      </c>
      <c r="K14" s="117" t="str">
        <f t="shared" si="0"/>
        <v>4019/4020</v>
      </c>
      <c r="L14" s="24" t="str">
        <f>VLOOKUP(A14,'Trips&amp;Operators'!$C$1:$E$10000,3,FALSE)</f>
        <v>KILLION</v>
      </c>
      <c r="M14" s="6">
        <f t="shared" si="1"/>
        <v>2.7627314819255844E-2</v>
      </c>
      <c r="N14" s="7">
        <f t="shared" si="2"/>
        <v>39.783333339728415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03:02:11-0600',mode:absolute,to:'2016-10-02 05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23.265999999999998</v>
      </c>
      <c r="Z14" s="69">
        <f t="shared" si="9"/>
        <v>1.52E-2</v>
      </c>
      <c r="AA14" s="69">
        <f t="shared" si="10"/>
        <v>23.250799999999998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0102-02</v>
      </c>
      <c r="AE14" s="95" t="str">
        <f t="shared" si="12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14" s="92" t="str">
        <f t="shared" si="13"/>
        <v>"C:\Program Files (x86)\AstroGrep\AstroGrep.exe" /spath="%USERPROFILE%\AppData\Local\Temp\OnboardLogs" /stypes="app*4019*20161002*"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4019 --swversion DE.1.0.7.0 --startMP 204:232660 --initTime 2016-10-02T04:02:11 --startdatetime 2016-10-02T04:11:18 --delay 1 --endMP 204:152 --enddatetime 2016-10-02T04:51:05 --enforcementcount 0 &gt;&gt;C:\Users\stu\Documents\GitHub\eaglep3-reporting\EC\2016-10-02-refined-times.txt</v>
      </c>
      <c r="AI14" s="130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ID","value":"102-02"},{"id":16,"name":"Locomotive ID","value":"4019"},{"id":130,"name":"Impact","value":""},{"id":150,"name":"Time of Event (Mountain Time)","value":"04:51:05"},{"id":151,"name":"Denver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408</v>
      </c>
      <c r="B15" s="7">
        <v>4042</v>
      </c>
      <c r="C15" s="24" t="s">
        <v>106</v>
      </c>
      <c r="D15" s="24" t="s">
        <v>356</v>
      </c>
      <c r="E15" s="15">
        <v>42645.151828703703</v>
      </c>
      <c r="F15" s="15">
        <v>42645.156493055554</v>
      </c>
      <c r="G15" s="7">
        <v>1</v>
      </c>
      <c r="H15" s="15" t="s">
        <v>409</v>
      </c>
      <c r="I15" s="15">
        <v>42645.182187500002</v>
      </c>
      <c r="J15" s="7">
        <v>0</v>
      </c>
      <c r="K15" s="117" t="str">
        <f t="shared" si="0"/>
        <v>4041/4042</v>
      </c>
      <c r="L15" s="24" t="str">
        <f>VLOOKUP(A15,'Trips&amp;Operators'!$C$1:$E$10000,3,FALSE)</f>
        <v>ACKERMAN</v>
      </c>
      <c r="M15" s="6">
        <f t="shared" si="1"/>
        <v>2.5694444448163267E-2</v>
      </c>
      <c r="N15" s="7">
        <f t="shared" si="2"/>
        <v>37.000000005355105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02:38:38-0600',mode:absolute,to:'2016-10-02 05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6.3700000000000007E-2</v>
      </c>
      <c r="Z15" s="69">
        <f t="shared" si="9"/>
        <v>23.3325</v>
      </c>
      <c r="AA15" s="69">
        <f t="shared" si="10"/>
        <v>23.268799999999999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0103-02</v>
      </c>
      <c r="AE15" s="95" t="str">
        <f t="shared" si="12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5" s="92" t="str">
        <f t="shared" si="13"/>
        <v>"C:\Program Files (x86)\AstroGrep\AstroGrep.exe" /spath="%USERPROFILE%\AppData\Local\Temp\OnboardLogs" /stypes="app*4042*20161002*"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103-02 --locoid 4042 --swversion DE.1.0.7.0 --startMP 204:637 --initTime 2016-10-02T03:38:38 --startdatetime 2016-10-02T03:45:21 --delay 1 --endMP 204:233325 --enddatetime 2016-10-02T04:22:21 --enforcementcount 0 &gt;&gt;C:\Users\stu\Documents\GitHub\eaglep3-reporting\EC\2016-10-02-refined-times.txt</v>
      </c>
      <c r="AI1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{"issue":{"subject":"","project_id":79,"tracker_id":40,"status_id":1,"priority_id":2,"assigned_to_id":23,"start_date":"2016-10-02","description":"","custom_fields":[{"id":1,"name":"Subdivision","value":"EC"},{"id":4,"name":"Milepost","value":"23.3325"},{"id":17,"name":"Train ID","value":"103-02"},{"id":16,"name":"Locomotive ID","value":"4042"},{"id":130,"name":"Impact","value":""},{"id":150,"name":"Time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410</v>
      </c>
      <c r="B16" s="7">
        <v>4015</v>
      </c>
      <c r="C16" s="24" t="s">
        <v>106</v>
      </c>
      <c r="D16" s="24" t="s">
        <v>411</v>
      </c>
      <c r="E16" s="15">
        <v>42645.19054398148</v>
      </c>
      <c r="F16" s="15">
        <v>42645.195381944446</v>
      </c>
      <c r="G16" s="7">
        <v>1</v>
      </c>
      <c r="H16" s="15" t="s">
        <v>200</v>
      </c>
      <c r="I16" s="15">
        <v>42645.22347222222</v>
      </c>
      <c r="J16" s="7">
        <v>0</v>
      </c>
      <c r="K16" s="117" t="str">
        <f t="shared" si="0"/>
        <v>4015/4016</v>
      </c>
      <c r="L16" s="24" t="str">
        <f>VLOOKUP(A16,'Trips&amp;Operators'!$C$1:$E$10000,3,FALSE)</f>
        <v>ACKERMAN</v>
      </c>
      <c r="M16" s="6">
        <f t="shared" si="1"/>
        <v>2.8090277774026617E-2</v>
      </c>
      <c r="N16" s="7">
        <f t="shared" si="2"/>
        <v>40.449999994598329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03:34:23-0600',mode:absolute,to:'2016-10-02 06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23.267900000000001</v>
      </c>
      <c r="Z16" s="69">
        <f t="shared" si="9"/>
        <v>1.6E-2</v>
      </c>
      <c r="AA16" s="69">
        <f t="shared" si="10"/>
        <v>23.251900000000003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0104-02</v>
      </c>
      <c r="AE16" s="95" t="str">
        <f t="shared" si="12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16" s="92" t="str">
        <f t="shared" si="13"/>
        <v>"C:\Program Files (x86)\AstroGrep\AstroGrep.exe" /spath="%USERPROFILE%\AppData\Local\Temp\OnboardLogs" /stypes="app*4015*20161002*"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104-02 --locoid 4015 --swversion DE.1.0.7.0 --startMP 204:232679 --initTime 2016-10-02T04:34:23 --startdatetime 2016-10-02T04:41:21 --delay 1 --endMP 204:160 --enddatetime 2016-10-02T05:21:48 --enforcementcount 0 &gt;&gt;C:\Users\stu\Documents\GitHub\eaglep3-reporting\EC\2016-10-02-refined-times.txt</v>
      </c>
      <c r="AI1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ID","value":"104-02"},{"id":16,"name":"Locomotive ID","value":"4015"},{"id":130,"name":"Impact","value":""},{"id":150,"name":"Time of Event (Mountain Time)","value":"05:21:48"},{"id":151,"name":"Denver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412</v>
      </c>
      <c r="B17" s="7">
        <v>4053</v>
      </c>
      <c r="C17" s="24" t="s">
        <v>106</v>
      </c>
      <c r="D17" s="24" t="s">
        <v>413</v>
      </c>
      <c r="E17" s="15">
        <v>42645.174050925925</v>
      </c>
      <c r="F17" s="15">
        <v>42645.177662037036</v>
      </c>
      <c r="G17" s="7">
        <v>1</v>
      </c>
      <c r="H17" s="15" t="s">
        <v>382</v>
      </c>
      <c r="I17" s="15">
        <v>42645.202916666669</v>
      </c>
      <c r="J17" s="7">
        <v>0</v>
      </c>
      <c r="K17" s="117" t="str">
        <f t="shared" si="0"/>
        <v>4053/4054</v>
      </c>
      <c r="L17" s="24" t="str">
        <f>VLOOKUP(A17,'Trips&amp;Operators'!$C$1:$E$10000,3,FALSE)</f>
        <v>MAELZER</v>
      </c>
      <c r="M17" s="6">
        <f t="shared" si="1"/>
        <v>2.5254629632399883E-2</v>
      </c>
      <c r="N17" s="7">
        <f t="shared" si="2"/>
        <v>36.366666670655832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03:10:38-0600',mode:absolute,to:'2016-10-02 05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8.2600000000000007E-2</v>
      </c>
      <c r="Z17" s="69">
        <f t="shared" si="9"/>
        <v>23.327200000000001</v>
      </c>
      <c r="AA17" s="69">
        <f t="shared" si="10"/>
        <v>23.244600000000002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0105-02</v>
      </c>
      <c r="AE17" s="95" t="str">
        <f t="shared" si="12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7" s="92" t="str">
        <f t="shared" si="13"/>
        <v>"C:\Program Files (x86)\AstroGrep\AstroGrep.exe" /spath="%USERPROFILE%\AppData\Local\Temp\OnboardLogs" /stypes="app*4053*20161002*"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105-02 --locoid 4053 --swversion DE.1.0.7.0 --startMP 204:826 --initTime 2016-10-02T04:10:38 --startdatetime 2016-10-02T04:15:50 --delay 1 --endMP 204:233272 --enddatetime 2016-10-02T04:52:12 --enforcementcount 0 &gt;&gt;C:\Users\stu\Documents\GitHub\eaglep3-reporting\EC\2016-10-02-refined-times.txt</v>
      </c>
      <c r="AI1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{"issue":{"subject":"","project_id":79,"tracker_id":40,"status_id":1,"priority_id":2,"assigned_to_id":23,"start_date":"2016-10-02","description":"","custom_fields":[{"id":1,"name":"Subdivision","value":"EC"},{"id":4,"name":"Milepost","value":"23.3272"},{"id":17,"name":"Train ID","value":"105-02"},{"id":16,"name":"Locomotive ID","value":"4053"},{"id":130,"name":"Impact","value":""},{"id":150,"name":"Time of Event (Mountain Time)","value":"04:52:12"},{"id":151,"name":"Denver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414</v>
      </c>
      <c r="B18" s="7">
        <v>4026</v>
      </c>
      <c r="C18" s="24" t="s">
        <v>106</v>
      </c>
      <c r="D18" s="24" t="s">
        <v>415</v>
      </c>
      <c r="E18" s="15">
        <v>42645.207962962966</v>
      </c>
      <c r="F18" s="15">
        <v>42645.21638888889</v>
      </c>
      <c r="G18" s="7">
        <v>1</v>
      </c>
      <c r="H18" s="15" t="s">
        <v>199</v>
      </c>
      <c r="I18" s="15">
        <v>42645.243310185186</v>
      </c>
      <c r="J18" s="7">
        <v>0</v>
      </c>
      <c r="K18" s="117" t="str">
        <f t="shared" si="0"/>
        <v>4025/4026</v>
      </c>
      <c r="L18" s="24" t="str">
        <f>VLOOKUP(A18,'Trips&amp;Operators'!$C$1:$E$10000,3,FALSE)</f>
        <v>MAELZER</v>
      </c>
      <c r="M18" s="6">
        <f t="shared" si="1"/>
        <v>2.6921296295768116E-2</v>
      </c>
      <c r="N18" s="7">
        <f t="shared" si="2"/>
        <v>38.766666665906087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03:59:28-0600',mode:absolute,to:'2016-10-02 06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23.269400000000001</v>
      </c>
      <c r="Z18" s="69">
        <f t="shared" si="9"/>
        <v>1.49E-2</v>
      </c>
      <c r="AA18" s="69">
        <f t="shared" si="10"/>
        <v>23.2545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0106-02</v>
      </c>
      <c r="AE18" s="95" t="str">
        <f t="shared" si="12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18" s="92" t="str">
        <f t="shared" si="13"/>
        <v>"C:\Program Files (x86)\AstroGrep\AstroGrep.exe" /spath="%USERPROFILE%\AppData\Local\Temp\OnboardLogs" /stypes="app*4026*20161002*"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106-02 --locoid 4026 --swversion DE.1.0.7.0 --startMP 204:232694 --initTime 2016-10-02T04:59:28 --startdatetime 2016-10-02T05:11:36 --delay 1 --endMP 204:149 --enddatetime 2016-10-02T05:50:22 --enforcementcount 0 &gt;&gt;C:\Users\stu\Documents\GitHub\eaglep3-reporting\EC\2016-10-02-refined-times.txt</v>
      </c>
      <c r="AI1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{"issue":{"subject":"","project_id":79,"tracker_id":40,"status_id":1,"priority_id":2,"assigned_to_id":23,"start_date":"2016-10-02","description":"","custom_fields":[{"id":1,"name":"Subdivision","value":"EC"},{"id":4,"name":"Milepost","value":"0.0149"},{"id":17,"name":"Train ID","value":"106-02"},{"id":16,"name":"Locomotive ID","value":"4026"},{"id":130,"name":"Impact","value":""},{"id":150,"name":"Time of Event (Mountain Time)","value":"05:50:22"},{"id":151,"name":"Denver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416</v>
      </c>
      <c r="B19" s="7">
        <v>4014</v>
      </c>
      <c r="C19" s="24" t="s">
        <v>106</v>
      </c>
      <c r="D19" s="24" t="s">
        <v>365</v>
      </c>
      <c r="E19" s="15">
        <v>42645.184432870374</v>
      </c>
      <c r="F19" s="15">
        <v>42645.187731481485</v>
      </c>
      <c r="G19" s="7">
        <v>1</v>
      </c>
      <c r="H19" s="15" t="s">
        <v>417</v>
      </c>
      <c r="I19" s="15">
        <v>42645.213692129626</v>
      </c>
      <c r="J19" s="7">
        <v>0</v>
      </c>
      <c r="K19" s="117" t="str">
        <f t="shared" si="0"/>
        <v>4013/4014</v>
      </c>
      <c r="L19" s="24" t="str">
        <f>VLOOKUP(A19,'Trips&amp;Operators'!$C$1:$E$10000,3,FALSE)</f>
        <v>DAVIS</v>
      </c>
      <c r="M19" s="6">
        <f t="shared" si="1"/>
        <v>2.5960648141335696E-2</v>
      </c>
      <c r="N19" s="7">
        <f t="shared" si="2"/>
        <v>37.383333323523402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03:25:35-0600',mode:absolute,to:'2016-10-02 06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4.7500000000000001E-2</v>
      </c>
      <c r="Z19" s="69">
        <f t="shared" si="9"/>
        <v>23.331099999999999</v>
      </c>
      <c r="AA19" s="69">
        <f t="shared" si="10"/>
        <v>23.2836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0107-02</v>
      </c>
      <c r="AE19" s="95" t="str">
        <f t="shared" si="12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9" s="92" t="str">
        <f t="shared" si="13"/>
        <v>"C:\Program Files (x86)\AstroGrep\AstroGrep.exe" /spath="%USERPROFILE%\AppData\Local\Temp\OnboardLogs" /stypes="app*4014*20161002*"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107-02 --locoid 4014 --swversion DE.1.0.7.0 --startMP 204:475 --initTime 2016-10-02T04:25:35 --startdatetime 2016-10-02T04:30:20 --delay 1 --endMP 204:233311 --enddatetime 2016-10-02T05:07:43 --enforcementcount 0 &gt;&gt;C:\Users\stu\Documents\GitHub\eaglep3-reporting\EC\2016-10-02-refined-times.txt</v>
      </c>
      <c r="AI1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{"issue":{"subject":"","project_id":79,"tracker_id":40,"status_id":1,"priority_id":2,"assigned_to_id":23,"start_date":"2016-10-02","description":"","custom_fields":[{"id":1,"name":"Subdivision","value":"EC"},{"id":4,"name":"Milepost","value":"23.3311"},{"id":17,"name":"Train ID","value":"107-02"},{"id":16,"name":"Locomotive ID","value":"4014"},{"id":130,"name":"Impact","value":""},{"id":150,"name":"Time of Event (Mountain Time)","value":"05:07:43"},{"id":151,"name":"Denver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418</v>
      </c>
      <c r="B20" s="7">
        <v>4013</v>
      </c>
      <c r="C20" s="24" t="s">
        <v>106</v>
      </c>
      <c r="D20" s="24" t="s">
        <v>419</v>
      </c>
      <c r="E20" s="15">
        <v>42645.225335648145</v>
      </c>
      <c r="F20" s="15">
        <v>42645.227233796293</v>
      </c>
      <c r="G20" s="7">
        <v>1</v>
      </c>
      <c r="H20" s="15" t="s">
        <v>269</v>
      </c>
      <c r="I20" s="15">
        <v>42645.254942129628</v>
      </c>
      <c r="J20" s="7">
        <v>0</v>
      </c>
      <c r="K20" s="117" t="str">
        <f t="shared" si="0"/>
        <v>4013/4014</v>
      </c>
      <c r="L20" s="24" t="str">
        <f>VLOOKUP(A20,'Trips&amp;Operators'!$C$1:$E$10000,3,FALSE)</f>
        <v>DAVIS</v>
      </c>
      <c r="M20" s="6">
        <f t="shared" si="1"/>
        <v>2.7708333334885538E-2</v>
      </c>
      <c r="N20" s="7">
        <f t="shared" si="2"/>
        <v>39.900000002235174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04:24:29-0600',mode:absolute,to:'2016-10-02 07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23.299800000000001</v>
      </c>
      <c r="Z20" s="69">
        <f t="shared" si="9"/>
        <v>1.3899999999999999E-2</v>
      </c>
      <c r="AA20" s="69">
        <f t="shared" si="10"/>
        <v>23.285900000000002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0108-02</v>
      </c>
      <c r="AE20" s="95" t="str">
        <f t="shared" si="12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20" s="92" t="str">
        <f t="shared" si="13"/>
        <v>"C:\Program Files (x86)\AstroGrep\AstroGrep.exe" /spath="%USERPROFILE%\AppData\Local\Temp\OnboardLogs" /stypes="app*4013*20161002*"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108-02 --locoid 4013 --swversion DE.1.0.7.0 --startMP 204:232998 --initTime 2016-10-02T05:24:29 --startdatetime 2016-10-02T05:27:13 --delay 1 --endMP 204:139 --enddatetime 2016-10-02T06:07:07 --enforcementcount 0 &gt;&gt;C:\Users\stu\Documents\GitHub\eaglep3-reporting\EC\2016-10-02-refined-times.txt</v>
      </c>
      <c r="AI20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{"issue":{"subject":"","project_id":79,"tracker_id":40,"status_id":1,"priority_id":2,"assigned_to_id":23,"start_date":"2016-10-02","description":"","custom_fields":[{"id":1,"name":"Subdivision","value":"EC"},{"id":4,"name":"Milepost","value":"0.0139"},{"id":17,"name":"Train ID","value":"108-02"},{"id":16,"name":"Locomotive ID","value":"4013"},{"id":130,"name":"Impact","value":""},{"id":150,"name":"Time of Event (Mountain Time)","value":"06:07:07"},{"id":151,"name":"Denver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420</v>
      </c>
      <c r="B21" s="7">
        <v>4007</v>
      </c>
      <c r="C21" s="24" t="s">
        <v>106</v>
      </c>
      <c r="D21" s="24" t="s">
        <v>421</v>
      </c>
      <c r="E21" s="15">
        <v>42645.196469907409</v>
      </c>
      <c r="F21" s="15">
        <v>42645.198217592595</v>
      </c>
      <c r="G21" s="7">
        <v>1</v>
      </c>
      <c r="H21" s="15" t="s">
        <v>362</v>
      </c>
      <c r="I21" s="15">
        <v>42645.224560185183</v>
      </c>
      <c r="J21" s="7">
        <v>0</v>
      </c>
      <c r="K21" s="117" t="str">
        <f t="shared" si="0"/>
        <v>4007/4008</v>
      </c>
      <c r="L21" s="24" t="str">
        <f>VLOOKUP(A21,'Trips&amp;Operators'!$C$1:$E$10000,3,FALSE)</f>
        <v>MALAVE</v>
      </c>
      <c r="M21" s="6">
        <f t="shared" si="1"/>
        <v>2.6342592587752733E-2</v>
      </c>
      <c r="N21" s="7">
        <f t="shared" si="2"/>
        <v>37.933333326363936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03:42:55-0600',mode:absolute,to:'2016-10-02 06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4.8599999999999997E-2</v>
      </c>
      <c r="Z21" s="69">
        <f t="shared" si="9"/>
        <v>23.328900000000001</v>
      </c>
      <c r="AA21" s="69">
        <f t="shared" si="10"/>
        <v>23.2803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0109-02</v>
      </c>
      <c r="AE21" s="95" t="str">
        <f t="shared" si="12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21" s="92" t="str">
        <f t="shared" si="13"/>
        <v>"C:\Program Files (x86)\AstroGrep\AstroGrep.exe" /spath="%USERPROFILE%\AppData\Local\Temp\OnboardLogs" /stypes="app*4007*20161002*"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109-02 --locoid 4007 --swversion DE.1.0.7.0 --startMP 204:486 --initTime 2016-10-02T04:42:55 --startdatetime 2016-10-02T04:45:26 --delay 1 --endMP 204:233289 --enddatetime 2016-10-02T05:23:22 --enforcementcount 0 &gt;&gt;C:\Users\stu\Documents\GitHub\eaglep3-reporting\EC\2016-10-02-refined-times.txt</v>
      </c>
      <c r="AI2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ID","value":"109-02"},{"id":16,"name":"Locomotive ID","value":"4007"},{"id":130,"name":"Impact","value":""},{"id":150,"name":"Time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422</v>
      </c>
      <c r="B22" s="7">
        <v>4008</v>
      </c>
      <c r="C22" s="24" t="s">
        <v>106</v>
      </c>
      <c r="D22" s="24" t="s">
        <v>271</v>
      </c>
      <c r="E22" s="15">
        <v>42645.234872685185</v>
      </c>
      <c r="F22" s="15">
        <v>42645.237164351849</v>
      </c>
      <c r="G22" s="7">
        <v>1</v>
      </c>
      <c r="H22" s="15" t="s">
        <v>273</v>
      </c>
      <c r="I22" s="15">
        <v>42645.263807870368</v>
      </c>
      <c r="J22" s="7">
        <v>0</v>
      </c>
      <c r="K22" s="117" t="str">
        <f t="shared" si="0"/>
        <v>4007/4008</v>
      </c>
      <c r="L22" s="24" t="str">
        <f>VLOOKUP(A22,'Trips&amp;Operators'!$C$1:$E$10000,3,FALSE)</f>
        <v>MALAVE</v>
      </c>
      <c r="M22" s="6">
        <f t="shared" si="1"/>
        <v>2.6643518518540077E-2</v>
      </c>
      <c r="N22" s="7">
        <f t="shared" si="2"/>
        <v>38.366666666697711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04:38:13-0600',mode:absolute,to:'2016-10-02 07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23.296800000000001</v>
      </c>
      <c r="Z22" s="69">
        <f t="shared" si="9"/>
        <v>1.61E-2</v>
      </c>
      <c r="AA22" s="69">
        <f t="shared" si="10"/>
        <v>23.2807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0110-02</v>
      </c>
      <c r="AE22" s="95" t="str">
        <f t="shared" si="12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22" s="92" t="str">
        <f t="shared" si="13"/>
        <v>"C:\Program Files (x86)\AstroGrep\AstroGrep.exe" /spath="%USERPROFILE%\AppData\Local\Temp\OnboardLogs" /stypes="app*4008*20161002*"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110-02 --locoid 4008 --swversion DE.1.0.7.0 --startMP 204:232968 --initTime 2016-10-02T05:38:13 --startdatetime 2016-10-02T05:41:31 --delay 1 --endMP 204:161 --enddatetime 2016-10-02T06:19:53 --enforcementcount 0 &gt;&gt;C:\Users\stu\Documents\GitHub\eaglep3-reporting\EC\2016-10-02-refined-times.txt</v>
      </c>
      <c r="AI2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{"issue":{"subject":"","project_id":79,"tracker_id":40,"status_id":1,"priority_id":2,"assigned_to_id":23,"start_date":"2016-10-02","description":"","custom_fields":[{"id":1,"name":"Subdivision","value":"EC"},{"id":4,"name":"Milepost","value":"0.0161"},{"id":17,"name":"Train ID","value":"110-02"},{"id":16,"name":"Locomotive ID","value":"4008"},{"id":130,"name":"Impact","value":""},{"id":150,"name":"Time of Event (Mountain Time)","value":"06:19:53"},{"id":151,"name":"Denver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423</v>
      </c>
      <c r="B23" s="7">
        <v>4031</v>
      </c>
      <c r="C23" s="24" t="s">
        <v>106</v>
      </c>
      <c r="D23" s="24" t="s">
        <v>424</v>
      </c>
      <c r="E23" s="15">
        <v>42645.204143518517</v>
      </c>
      <c r="F23" s="15">
        <v>42645.20884259259</v>
      </c>
      <c r="G23" s="7">
        <v>1</v>
      </c>
      <c r="H23" s="15" t="s">
        <v>309</v>
      </c>
      <c r="I23" s="15">
        <v>42645.234629629631</v>
      </c>
      <c r="J23" s="7">
        <v>0</v>
      </c>
      <c r="K23" s="117" t="str">
        <f t="shared" si="0"/>
        <v>4031/4032</v>
      </c>
      <c r="L23" s="24" t="str">
        <f>VLOOKUP(A23,'Trips&amp;Operators'!$C$1:$E$10000,3,FALSE)</f>
        <v>STRICKLAND</v>
      </c>
      <c r="M23" s="6">
        <f t="shared" si="1"/>
        <v>2.5787037040572613E-2</v>
      </c>
      <c r="N23" s="7">
        <f t="shared" si="2"/>
        <v>37.133333338424563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03:53:58-0600',mode:absolute,to:'2016-10-02 06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7.2800000000000004E-2</v>
      </c>
      <c r="Z23" s="69">
        <f t="shared" si="9"/>
        <v>23.327400000000001</v>
      </c>
      <c r="AA23" s="69">
        <f t="shared" si="10"/>
        <v>23.2546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0111-02</v>
      </c>
      <c r="AE23" s="95" t="str">
        <f t="shared" si="12"/>
        <v>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 &amp; 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</v>
      </c>
      <c r="AF23" s="92" t="str">
        <f t="shared" si="13"/>
        <v>"C:\Program Files (x86)\AstroGrep\AstroGrep.exe" /spath="%USERPROFILE%\AppData\Local\Temp\OnboardLogs" /stypes="app*4031*20161002*"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111-02 --locoid 4031 --swversion DE.1.0.7.0 --startMP 204:728 --initTime 2016-10-02T04:53:58 --startdatetime 2016-10-02T05:00:44 --delay 1 --endMP 204:233274 --enddatetime 2016-10-02T05:37:52 --enforcementcount 0 &gt;&gt;C:\Users\stu\Documents\GitHub\eaglep3-reporting\EC\2016-10-02-refined-times.txt</v>
      </c>
      <c r="AI23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{"issue":{"subject":"","project_id":79,"tracker_id":40,"status_id":1,"priority_id":2,"assigned_to_id":23,"start_date":"2016-10-02","description":"","custom_fields":[{"id":1,"name":"Subdivision","value":"EC"},{"id":4,"name":"Milepost","value":"23.3274"},{"id":17,"name":"Train ID","value":"111-02"},{"id":16,"name":"Locomotive ID","value":"4031"},{"id":130,"name":"Impact","value":""},{"id":150,"name":"Time of Event (Mountain Time)","value":"05:37:52"},{"id":151,"name":"Denver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425</v>
      </c>
      <c r="B24" s="7">
        <v>4032</v>
      </c>
      <c r="C24" s="24" t="s">
        <v>106</v>
      </c>
      <c r="D24" s="24" t="s">
        <v>426</v>
      </c>
      <c r="E24" s="15">
        <v>42645.24181712963</v>
      </c>
      <c r="F24" s="15">
        <v>42645.247430555559</v>
      </c>
      <c r="G24" s="7">
        <v>2</v>
      </c>
      <c r="H24" s="15" t="s">
        <v>207</v>
      </c>
      <c r="I24" s="15">
        <v>42645.275416666664</v>
      </c>
      <c r="J24" s="7">
        <v>0</v>
      </c>
      <c r="K24" s="117" t="str">
        <f t="shared" si="0"/>
        <v>4031/4032</v>
      </c>
      <c r="L24" s="24" t="str">
        <f>VLOOKUP(A24,'Trips&amp;Operators'!$C$1:$E$10000,3,FALSE)</f>
        <v>STRICKLAND</v>
      </c>
      <c r="M24" s="6">
        <f t="shared" si="1"/>
        <v>2.7986111104837619E-2</v>
      </c>
      <c r="N24" s="7">
        <f t="shared" si="2"/>
        <v>40.299999990966171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04:48:13-0600',mode:absolute,to:'2016-10-02 07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23.295200000000001</v>
      </c>
      <c r="Z24" s="69">
        <f t="shared" si="9"/>
        <v>1.52E-2</v>
      </c>
      <c r="AA24" s="69">
        <f t="shared" si="10"/>
        <v>23.28</v>
      </c>
      <c r="AB24" s="66" t="str">
        <f>VLOOKUP(A24,Enforcements!$C$7:$K$21,8,0)</f>
        <v>Bulletin (2)</v>
      </c>
      <c r="AC24" s="62" t="str">
        <f>VLOOKUP(A24,Enforcements!$C$7:$E$21,3,0)</f>
        <v>GRADE CROSSING</v>
      </c>
      <c r="AD24" s="63" t="str">
        <f t="shared" si="11"/>
        <v>0112-02</v>
      </c>
      <c r="AE24" s="95" t="str">
        <f t="shared" si="12"/>
        <v>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 &amp; 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</v>
      </c>
      <c r="AF24" s="92" t="str">
        <f t="shared" si="13"/>
        <v>"C:\Program Files (x86)\AstroGrep\AstroGrep.exe" /spath="%USERPROFILE%\AppData\Local\Temp\OnboardLogs" /stypes="app*4032*20161002*"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112-02 --locoid 4032 --swversion DE.1.0.7.0 --startMP 204:232952 --initTime 2016-10-02T05:48:13 --startdatetime 2016-10-02T05:56:18 --delay 2 --endMP 204:152 --enddatetime 2016-10-02T06:36:36 --enforcementcount 0 &gt;&gt;C:\Users\stu\Documents\GitHub\eaglep3-reporting\EC\2016-10-02-refined-times.txt</v>
      </c>
      <c r="AI2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ID","value":"112-02"},{"id":16,"name":"Locomotive ID","value":"4032"},{"id":130,"name":"Impact","value":""},{"id":150,"name":"Time of Event (Mountain Time)","value":"06:36:36"},{"id":151,"name":"Denver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427</v>
      </c>
      <c r="B25" s="7">
        <v>4020</v>
      </c>
      <c r="C25" s="24" t="s">
        <v>106</v>
      </c>
      <c r="D25" s="24" t="s">
        <v>367</v>
      </c>
      <c r="E25" s="15">
        <v>42645.20579861111</v>
      </c>
      <c r="F25" s="15">
        <v>42645.218946759262</v>
      </c>
      <c r="G25" s="7">
        <v>1</v>
      </c>
      <c r="H25" s="15" t="s">
        <v>428</v>
      </c>
      <c r="I25" s="15">
        <v>42645.244143518517</v>
      </c>
      <c r="J25" s="7">
        <v>0</v>
      </c>
      <c r="K25" s="117" t="str">
        <f t="shared" si="0"/>
        <v>4019/4020</v>
      </c>
      <c r="L25" s="24" t="str">
        <f>VLOOKUP(A25,'Trips&amp;Operators'!$C$1:$E$10000,3,FALSE)</f>
        <v>KILLION</v>
      </c>
      <c r="M25" s="6">
        <f t="shared" si="1"/>
        <v>2.5196759255777579E-2</v>
      </c>
      <c r="N25" s="7">
        <f t="shared" si="2"/>
        <v>36.283333328319713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03:56:21-0600',mode:absolute,to:'2016-10-02 06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4.4699999999999997E-2</v>
      </c>
      <c r="Z25" s="69">
        <f t="shared" si="9"/>
        <v>23.329799999999999</v>
      </c>
      <c r="AA25" s="69">
        <f t="shared" si="10"/>
        <v>23.2851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0113-02</v>
      </c>
      <c r="AE25" s="95" t="str">
        <f t="shared" si="12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25" s="92" t="str">
        <f t="shared" si="13"/>
        <v>"C:\Program Files (x86)\AstroGrep\AstroGrep.exe" /spath="%USERPROFILE%\AppData\Local\Temp\OnboardLogs" /stypes="app*4020*20161002*"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113-02 --locoid 4020 --swversion DE.1.0.7.0 --startMP 204:447 --initTime 2016-10-02T04:56:21 --startdatetime 2016-10-02T05:15:17 --delay 1 --endMP 204:233298 --enddatetime 2016-10-02T05:51:34 --enforcementcount 0 &gt;&gt;C:\Users\stu\Documents\GitHub\eaglep3-reporting\EC\2016-10-02-refined-times.txt</v>
      </c>
      <c r="AI2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{"issue":{"subject":"","project_id":79,"tracker_id":40,"status_id":1,"priority_id":2,"assigned_to_id":23,"start_date":"2016-10-02","description":"","custom_fields":[{"id":1,"name":"Subdivision","value":"EC"},{"id":4,"name":"Milepost","value":"23.3298"},{"id":17,"name":"Train ID","value":"113-02"},{"id":16,"name":"Locomotive ID","value":"4020"},{"id":130,"name":"Impact","value":""},{"id":150,"name":"Time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429</v>
      </c>
      <c r="B26" s="7">
        <v>4019</v>
      </c>
      <c r="C26" s="24" t="s">
        <v>106</v>
      </c>
      <c r="D26" s="24" t="s">
        <v>249</v>
      </c>
      <c r="E26" s="15">
        <v>42645.249641203707</v>
      </c>
      <c r="F26" s="15">
        <v>42645.257847222223</v>
      </c>
      <c r="G26" s="7">
        <v>1</v>
      </c>
      <c r="H26" s="15" t="s">
        <v>207</v>
      </c>
      <c r="I26" s="15">
        <v>42645.284212962964</v>
      </c>
      <c r="J26" s="7">
        <v>0</v>
      </c>
      <c r="K26" s="117" t="str">
        <f t="shared" si="0"/>
        <v>4019/4020</v>
      </c>
      <c r="L26" s="24" t="str">
        <f>VLOOKUP(A26,'Trips&amp;Operators'!$C$1:$E$10000,3,FALSE)</f>
        <v>KILLION</v>
      </c>
      <c r="M26" s="6">
        <f t="shared" si="1"/>
        <v>2.6365740741312038E-2</v>
      </c>
      <c r="N26" s="7">
        <f t="shared" si="2"/>
        <v>37.966666667489335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04:59:29-0600',mode:absolute,to:'2016-10-02 07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23.298300000000001</v>
      </c>
      <c r="Z26" s="69">
        <f t="shared" si="9"/>
        <v>1.52E-2</v>
      </c>
      <c r="AA26" s="69">
        <f t="shared" si="10"/>
        <v>23.283100000000001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0114-02</v>
      </c>
      <c r="AE26" s="95" t="str">
        <f t="shared" si="12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26" s="92" t="str">
        <f t="shared" si="13"/>
        <v>"C:\Program Files (x86)\AstroGrep\AstroGrep.exe" /spath="%USERPROFILE%\AppData\Local\Temp\OnboardLogs" /stypes="app*4019*20161002*"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114-02 --locoid 4019 --swversion DE.1.0.7.0 --startMP 204:232983 --initTime 2016-10-02T05:59:29 --startdatetime 2016-10-02T06:11:18 --delay 1 --endMP 204:152 --enddatetime 2016-10-02T06:49:16 --enforcementcount 0 &gt;&gt;C:\Users\stu\Documents\GitHub\eaglep3-reporting\EC\2016-10-02-refined-times.txt</v>
      </c>
      <c r="AI2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ID","value":"114-02"},{"id":16,"name":"Locomotive ID","value":"4019"},{"id":130,"name":"Impact","value":""},{"id":150,"name":"Time of Event (Mountain Time)","value":"06:49:16"},{"id":151,"name":"Denver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430</v>
      </c>
      <c r="B27" s="7">
        <v>4042</v>
      </c>
      <c r="C27" s="24" t="s">
        <v>106</v>
      </c>
      <c r="D27" s="24" t="s">
        <v>431</v>
      </c>
      <c r="E27" s="15">
        <v>42645.226064814815</v>
      </c>
      <c r="F27" s="15">
        <v>42645.229351851849</v>
      </c>
      <c r="G27" s="7">
        <v>1</v>
      </c>
      <c r="H27" s="15" t="s">
        <v>432</v>
      </c>
      <c r="I27" s="15">
        <v>42645.253530092596</v>
      </c>
      <c r="J27" s="7">
        <v>0</v>
      </c>
      <c r="K27" s="117" t="str">
        <f t="shared" si="0"/>
        <v>4041/4042</v>
      </c>
      <c r="L27" s="24" t="str">
        <f>VLOOKUP(A27,'Trips&amp;Operators'!$C$1:$E$10000,3,FALSE)</f>
        <v>YORK</v>
      </c>
      <c r="M27" s="6">
        <f t="shared" si="1"/>
        <v>2.4178240746550728E-2</v>
      </c>
      <c r="N27" s="7">
        <f t="shared" si="2"/>
        <v>34.816666675033048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04:25:32-0600',mode:absolute,to:'2016-10-02 07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7.7399999999999997E-2</v>
      </c>
      <c r="Z27" s="69">
        <f t="shared" si="9"/>
        <v>23.329699999999999</v>
      </c>
      <c r="AA27" s="69">
        <f t="shared" si="10"/>
        <v>23.252299999999998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0115-02</v>
      </c>
      <c r="AE27" s="95" t="str">
        <f t="shared" si="12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27" s="92" t="str">
        <f t="shared" si="13"/>
        <v>"C:\Program Files (x86)\AstroGrep\AstroGrep.exe" /spath="%USERPROFILE%\AppData\Local\Temp\OnboardLogs" /stypes="app*4042*20161002*"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115-02 --locoid 4042 --swversion DE.1.0.7.0 --startMP 204:774 --initTime 2016-10-02T05:25:32 --startdatetime 2016-10-02T05:30:16 --delay 1 --endMP 204:233297 --enddatetime 2016-10-02T06:05:05 --enforcementcount 0 &gt;&gt;C:\Users\stu\Documents\GitHub\eaglep3-reporting\EC\2016-10-02-refined-times.txt</v>
      </c>
      <c r="AI2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{"issue":{"subject":"","project_id":79,"tracker_id":40,"status_id":1,"priority_id":2,"assigned_to_id":23,"start_date":"2016-10-02","description":"","custom_fields":[{"id":1,"name":"Subdivision","value":"EC"},{"id":4,"name":"Milepost","value":"23.3297"},{"id":17,"name":"Train ID","value":"115-02"},{"id":16,"name":"Locomotive ID","value":"4042"},{"id":130,"name":"Impact","value":""},{"id":150,"name":"Time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433</v>
      </c>
      <c r="B28" s="7">
        <v>4041</v>
      </c>
      <c r="C28" s="24" t="s">
        <v>106</v>
      </c>
      <c r="D28" s="24" t="s">
        <v>434</v>
      </c>
      <c r="E28" s="15">
        <v>42645.254548611112</v>
      </c>
      <c r="F28" s="15">
        <v>42645.268287037034</v>
      </c>
      <c r="G28" s="7">
        <v>1</v>
      </c>
      <c r="H28" s="15" t="s">
        <v>369</v>
      </c>
      <c r="I28" s="15">
        <v>42645.294108796297</v>
      </c>
      <c r="J28" s="7">
        <v>0</v>
      </c>
      <c r="K28" s="117" t="str">
        <f t="shared" si="0"/>
        <v>4041/4042</v>
      </c>
      <c r="L28" s="24" t="str">
        <f>VLOOKUP(A28,'Trips&amp;Operators'!$C$1:$E$10000,3,FALSE)</f>
        <v>YORK</v>
      </c>
      <c r="M28" s="6">
        <f t="shared" si="1"/>
        <v>2.5821759263635613E-2</v>
      </c>
      <c r="N28" s="7">
        <f t="shared" si="2"/>
        <v>37.183333339635283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05:06:33-0600',mode:absolute,to:'2016-10-02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23.296500000000002</v>
      </c>
      <c r="Z28" s="69">
        <f t="shared" si="9"/>
        <v>1.6299999999999999E-2</v>
      </c>
      <c r="AA28" s="69">
        <f t="shared" si="10"/>
        <v>23.280200000000001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0116-02</v>
      </c>
      <c r="AE28" s="95" t="str">
        <f t="shared" si="12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28" s="92" t="str">
        <f t="shared" si="13"/>
        <v>"C:\Program Files (x86)\AstroGrep\AstroGrep.exe" /spath="%USERPROFILE%\AppData\Local\Temp\OnboardLogs" /stypes="app*4041*20161002*"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116-02 --locoid 4041 --swversion DE.1.0.7.0 --startMP 204:232965 --initTime 2016-10-02T06:06:33 --startdatetime 2016-10-02T06:26:20 --delay 1 --endMP 204:163 --enddatetime 2016-10-02T07:03:31 --enforcementcount 0 &gt;&gt;C:\Users\stu\Documents\GitHub\eaglep3-reporting\EC\2016-10-02-refined-times.txt</v>
      </c>
      <c r="AI2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{"issue":{"subject":"","project_id":79,"tracker_id":40,"status_id":1,"priority_id":2,"assigned_to_id":23,"start_date":"2016-10-02","description":"","custom_fields":[{"id":1,"name":"Subdivision","value":"EC"},{"id":4,"name":"Milepost","value":"0.0163"},{"id":17,"name":"Train ID","value":"116-02"},{"id":16,"name":"Locomotive ID","value":"4041"},{"id":130,"name":"Impact","value":""},{"id":150,"name":"Time of Event (Mountain Time)","value":"07:03:31"},{"id":151,"name":"Denver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435</v>
      </c>
      <c r="B29" s="7">
        <v>4016</v>
      </c>
      <c r="C29" s="24" t="s">
        <v>106</v>
      </c>
      <c r="D29" s="24" t="s">
        <v>233</v>
      </c>
      <c r="E29" s="15">
        <v>42645.234201388892</v>
      </c>
      <c r="F29" s="15">
        <v>42645.239803240744</v>
      </c>
      <c r="G29" s="7">
        <v>1</v>
      </c>
      <c r="H29" s="15" t="s">
        <v>228</v>
      </c>
      <c r="I29" s="15">
        <v>42645.264803240738</v>
      </c>
      <c r="J29" s="7">
        <v>0</v>
      </c>
      <c r="K29" s="117" t="str">
        <f t="shared" si="0"/>
        <v>4015/4016</v>
      </c>
      <c r="L29" s="24" t="str">
        <f>VLOOKUP(A29,'Trips&amp;Operators'!$C$1:$E$10000,3,FALSE)</f>
        <v>ACKERMAN</v>
      </c>
      <c r="M29" s="6">
        <f t="shared" si="1"/>
        <v>2.4999999994179234E-2</v>
      </c>
      <c r="N29" s="7">
        <f t="shared" si="2"/>
        <v>35.999999991618097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04:37:15-0600',mode:absolute,to:'2016-10-02 07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4.6399999999999997E-2</v>
      </c>
      <c r="Z29" s="69">
        <f t="shared" si="9"/>
        <v>23.33</v>
      </c>
      <c r="AA29" s="69">
        <f t="shared" si="10"/>
        <v>23.2836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0117-02</v>
      </c>
      <c r="AE29" s="95" t="str">
        <f t="shared" si="12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29" s="92" t="str">
        <f t="shared" si="13"/>
        <v>"C:\Program Files (x86)\AstroGrep\AstroGrep.exe" /spath="%USERPROFILE%\AppData\Local\Temp\OnboardLogs" /stypes="app*4016*20161002*"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6" t="str">
        <f t="shared" si="17"/>
        <v>"%USERPROFILE%\Documents\GitHub\eaglep3\Utilities\RefineRTDCRunTimes.py" --tripid 117-02 --locoid 4016 --swversion DE.1.0.7.0 --startMP 204:464 --initTime 2016-10-02T05:37:15 --startdatetime 2016-10-02T05:45:19 --delay 1 --endMP 204:233300 --enddatetime 2016-10-02T06:21:19 --enforcementcount 0 &gt;&gt;C:\Users\stu\Documents\GitHub\eaglep3-reporting\EC\2016-10-02-refined-times.txt</v>
      </c>
      <c r="AI2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{"issue":{"subject":"","project_id":79,"tracker_id":40,"status_id":1,"priority_id":2,"assigned_to_id":23,"start_date":"2016-10-02","description":"","custom_fields":[{"id":1,"name":"Subdivision","value":"EC"},{"id":4,"name":"Milepost","value":"23.33"},{"id":17,"name":"Train ID","value":"117-02"},{"id":16,"name":"Locomotive ID","value":"4016"},{"id":130,"name":"Impact","value":""},{"id":150,"name":"Time of Event (Mountain Time)","value":"06:21:19"},{"id":151,"name":"Denver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436</v>
      </c>
      <c r="B30" s="7">
        <v>4015</v>
      </c>
      <c r="C30" s="24" t="s">
        <v>106</v>
      </c>
      <c r="D30" s="24" t="s">
        <v>378</v>
      </c>
      <c r="E30" s="15">
        <v>42645.272881944446</v>
      </c>
      <c r="F30" s="15">
        <v>42645.278715277775</v>
      </c>
      <c r="G30" s="7">
        <v>1</v>
      </c>
      <c r="H30" s="15" t="s">
        <v>203</v>
      </c>
      <c r="I30" s="15">
        <v>42645.307002314818</v>
      </c>
      <c r="J30" s="7">
        <v>0</v>
      </c>
      <c r="K30" s="117" t="str">
        <f t="shared" si="0"/>
        <v>4015/4016</v>
      </c>
      <c r="L30" s="24" t="str">
        <f>VLOOKUP(A30,'Trips&amp;Operators'!$C$1:$E$10000,3,FALSE)</f>
        <v>ACKERMAN</v>
      </c>
      <c r="M30" s="6">
        <f t="shared" si="1"/>
        <v>2.828703704290092E-2</v>
      </c>
      <c r="N30" s="7">
        <f t="shared" si="2"/>
        <v>40.733333341777325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05:32:57-0600',mode:absolute,to:'2016-10-02 08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23.297599999999999</v>
      </c>
      <c r="Z30" s="69">
        <f t="shared" si="9"/>
        <v>1.47E-2</v>
      </c>
      <c r="AA30" s="69">
        <f t="shared" si="10"/>
        <v>23.282899999999998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0118-02</v>
      </c>
      <c r="AE30" s="95" t="str">
        <f t="shared" si="12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30" s="92" t="str">
        <f t="shared" si="13"/>
        <v>"C:\Program Files (x86)\AstroGrep\AstroGrep.exe" /spath="%USERPROFILE%\AppData\Local\Temp\OnboardLogs" /stypes="app*4015*20161002*"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118-02 --locoid 4015 --swversion DE.1.0.7.0 --startMP 204:232976 --initTime 2016-10-02T06:32:57 --startdatetime 2016-10-02T06:41:21 --delay 1 --endMP 204:147 --enddatetime 2016-10-02T07:22:05 --enforcementcount 0 &gt;&gt;C:\Users\stu\Documents\GitHub\eaglep3-reporting\EC\2016-10-02-refined-times.txt</v>
      </c>
      <c r="AI30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{"issue":{"subject":"","project_id":79,"tracker_id":40,"status_id":1,"priority_id":2,"assigned_to_id":23,"start_date":"2016-10-02","description":"","custom_fields":[{"id":1,"name":"Subdivision","value":"EC"},{"id":4,"name":"Milepost","value":"0.0147"},{"id":17,"name":"Train ID","value":"118-02"},{"id":16,"name":"Locomotive ID","value":"4015"},{"id":130,"name":"Impact","value":""},{"id":150,"name":"Time of Event (Mountain Time)","value":"07:22:05"},{"id":151,"name":"Denver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437</v>
      </c>
      <c r="B31" s="7">
        <v>4053</v>
      </c>
      <c r="C31" s="24" t="s">
        <v>106</v>
      </c>
      <c r="D31" s="24" t="s">
        <v>405</v>
      </c>
      <c r="E31" s="15">
        <v>42645.246932870374</v>
      </c>
      <c r="F31" s="15">
        <v>42645.250358796293</v>
      </c>
      <c r="G31" s="7">
        <v>1</v>
      </c>
      <c r="H31" s="15" t="s">
        <v>417</v>
      </c>
      <c r="I31" s="15">
        <v>42645.27511574074</v>
      </c>
      <c r="J31" s="7">
        <v>0</v>
      </c>
      <c r="K31" s="117" t="str">
        <f t="shared" si="0"/>
        <v>4053/4054</v>
      </c>
      <c r="L31" s="24" t="str">
        <f>VLOOKUP(A31,'Trips&amp;Operators'!$C$1:$E$10000,3,FALSE)</f>
        <v>MAELZER</v>
      </c>
      <c r="M31" s="6">
        <f t="shared" si="1"/>
        <v>2.4756944447290152E-2</v>
      </c>
      <c r="N31" s="7">
        <f t="shared" si="2"/>
        <v>35.650000004097819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04:55:35-0600',mode:absolute,to:'2016-10-02 07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7.3400000000000007E-2</v>
      </c>
      <c r="Z31" s="69">
        <f t="shared" si="9"/>
        <v>23.331099999999999</v>
      </c>
      <c r="AA31" s="69">
        <f t="shared" si="10"/>
        <v>23.2577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0119-02</v>
      </c>
      <c r="AE31" s="95" t="str">
        <f t="shared" si="12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31" s="92" t="str">
        <f t="shared" si="13"/>
        <v>"C:\Program Files (x86)\AstroGrep\AstroGrep.exe" /spath="%USERPROFILE%\AppData\Local\Temp\OnboardLogs" /stypes="app*4053*20161002*"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119-02 --locoid 4053 --swversion DE.1.0.7.0 --startMP 204:734 --initTime 2016-10-02T05:55:35 --startdatetime 2016-10-02T06:00:31 --delay 1 --endMP 204:233311 --enddatetime 2016-10-02T06:36:10 --enforcementcount 0 &gt;&gt;C:\Users\stu\Documents\GitHub\eaglep3-reporting\EC\2016-10-02-refined-times.txt</v>
      </c>
      <c r="AI3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{"issue":{"subject":"","project_id":79,"tracker_id":40,"status_id":1,"priority_id":2,"assigned_to_id":23,"start_date":"2016-10-02","description":"","custom_fields":[{"id":1,"name":"Subdivision","value":"EC"},{"id":4,"name":"Milepost","value":"23.3311"},{"id":17,"name":"Train ID","value":"119-02"},{"id":16,"name":"Locomotive ID","value":"4053"},{"id":130,"name":"Impact","value":""},{"id":150,"name":"Time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438</v>
      </c>
      <c r="B32" s="7">
        <v>4054</v>
      </c>
      <c r="C32" s="24" t="s">
        <v>106</v>
      </c>
      <c r="D32" s="24" t="s">
        <v>439</v>
      </c>
      <c r="E32" s="15">
        <v>42645.284074074072</v>
      </c>
      <c r="F32" s="15">
        <v>42645.289166666669</v>
      </c>
      <c r="G32" s="7">
        <v>1</v>
      </c>
      <c r="H32" s="15" t="s">
        <v>207</v>
      </c>
      <c r="I32" s="15">
        <v>42645.317094907405</v>
      </c>
      <c r="J32" s="7">
        <v>0</v>
      </c>
      <c r="K32" s="117" t="str">
        <f t="shared" si="0"/>
        <v>4053/4054</v>
      </c>
      <c r="L32" s="24" t="str">
        <f>VLOOKUP(A32,'Trips&amp;Operators'!$C$1:$E$10000,3,FALSE)</f>
        <v>MAELZER</v>
      </c>
      <c r="M32" s="6">
        <f t="shared" si="1"/>
        <v>2.7928240735491272E-2</v>
      </c>
      <c r="N32" s="7">
        <f t="shared" si="2"/>
        <v>40.216666659107432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05:49:04-0600',mode:absolute,to:'2016-10-02 08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23.299199999999999</v>
      </c>
      <c r="Z32" s="69">
        <f t="shared" si="9"/>
        <v>1.52E-2</v>
      </c>
      <c r="AA32" s="69">
        <f t="shared" si="10"/>
        <v>23.283999999999999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0120-02</v>
      </c>
      <c r="AE32" s="95" t="str">
        <f t="shared" si="12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32" s="92" t="str">
        <f t="shared" si="13"/>
        <v>"C:\Program Files (x86)\AstroGrep\AstroGrep.exe" /spath="%USERPROFILE%\AppData\Local\Temp\OnboardLogs" /stypes="app*4054*20161002*"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120-02 --locoid 4054 --swversion DE.1.0.7.0 --startMP 204:232992 --initTime 2016-10-02T06:49:04 --startdatetime 2016-10-02T06:56:24 --delay 1 --endMP 204:152 --enddatetime 2016-10-02T07:36:37 --enforcementcount 0 &gt;&gt;C:\Users\stu\Documents\GitHub\eaglep3-reporting\EC\2016-10-02-refined-times.txt</v>
      </c>
      <c r="AI3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ID","value":"120-02"},{"id":16,"name":"Locomotive ID","value":"4054"},{"id":130,"name":"Impact","value":""},{"id":150,"name":"Time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440</v>
      </c>
      <c r="B33" s="7">
        <v>4014</v>
      </c>
      <c r="C33" s="24" t="s">
        <v>106</v>
      </c>
      <c r="D33" s="24" t="s">
        <v>259</v>
      </c>
      <c r="E33" s="15">
        <v>42645.256354166668</v>
      </c>
      <c r="F33" s="15">
        <v>42645.260671296295</v>
      </c>
      <c r="G33" s="7">
        <v>1</v>
      </c>
      <c r="H33" s="15" t="s">
        <v>361</v>
      </c>
      <c r="I33" s="15">
        <v>42645.286562499998</v>
      </c>
      <c r="J33" s="7">
        <v>0</v>
      </c>
      <c r="K33" s="117" t="str">
        <f t="shared" si="0"/>
        <v>4013/4014</v>
      </c>
      <c r="L33" s="24" t="str">
        <f>VLOOKUP(A33,'Trips&amp;Operators'!$C$1:$E$10000,3,FALSE)</f>
        <v>DAVIS</v>
      </c>
      <c r="M33" s="6">
        <f t="shared" si="1"/>
        <v>2.5891203702485655E-2</v>
      </c>
      <c r="N33" s="7">
        <f t="shared" si="2"/>
        <v>37.283333331579342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05:09:09-0600',mode:absolute,to:'2016-10-02 07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4.3999999999999997E-2</v>
      </c>
      <c r="Z33" s="69">
        <f t="shared" si="9"/>
        <v>23.332699999999999</v>
      </c>
      <c r="AA33" s="69">
        <f t="shared" si="10"/>
        <v>23.288699999999999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0121-02</v>
      </c>
      <c r="AE33" s="95" t="str">
        <f t="shared" si="12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33" s="92" t="str">
        <f t="shared" si="13"/>
        <v>"C:\Program Files (x86)\AstroGrep\AstroGrep.exe" /spath="%USERPROFILE%\AppData\Local\Temp\OnboardLogs" /stypes="app*4014*20161002*"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121-02 --locoid 4014 --swversion DE.1.0.7.0 --startMP 204:440 --initTime 2016-10-02T06:09:09 --startdatetime 2016-10-02T06:15:22 --delay 1 --endMP 204:233327 --enddatetime 2016-10-02T06:52:39 --enforcementcount 0 &gt;&gt;C:\Users\stu\Documents\GitHub\eaglep3-reporting\EC\2016-10-02-refined-times.txt</v>
      </c>
      <c r="AI33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{"issue":{"subject":"","project_id":79,"tracker_id":40,"status_id":1,"priority_id":2,"assigned_to_id":23,"start_date":"2016-10-02","description":"","custom_fields":[{"id":1,"name":"Subdivision","value":"EC"},{"id":4,"name":"Milepost","value":"23.3327"},{"id":17,"name":"Train ID","value":"121-02"},{"id":16,"name":"Locomotive ID","value":"4014"},{"id":130,"name":"Impact","value":""},{"id":150,"name":"Time of Event (Mountain Time)","value":"06:52:39"},{"id":151,"name":"Denver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441</v>
      </c>
      <c r="B34" s="7">
        <v>4013</v>
      </c>
      <c r="C34" s="24" t="s">
        <v>106</v>
      </c>
      <c r="D34" s="24" t="s">
        <v>442</v>
      </c>
      <c r="E34" s="15">
        <v>42645.295497685183</v>
      </c>
      <c r="F34" s="15">
        <v>42645.299513888887</v>
      </c>
      <c r="G34" s="7">
        <v>1</v>
      </c>
      <c r="H34" s="15" t="s">
        <v>202</v>
      </c>
      <c r="I34" s="15">
        <v>42645.327499999999</v>
      </c>
      <c r="J34" s="7">
        <v>0</v>
      </c>
      <c r="K34" s="117" t="str">
        <f t="shared" si="0"/>
        <v>4013/4014</v>
      </c>
      <c r="L34" s="24" t="str">
        <f>VLOOKUP(A34,'Trips&amp;Operators'!$C$1:$E$10000,3,FALSE)</f>
        <v>DAVIS</v>
      </c>
      <c r="M34" s="6">
        <f t="shared" si="1"/>
        <v>2.7986111112113576E-2</v>
      </c>
      <c r="N34" s="7">
        <f t="shared" si="2"/>
        <v>40.30000000144355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06:05:31-0600',mode:absolute,to:'2016-10-02 08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23.300799999999999</v>
      </c>
      <c r="Z34" s="69">
        <f t="shared" si="9"/>
        <v>1.5800000000000002E-2</v>
      </c>
      <c r="AA34" s="69">
        <f t="shared" si="10"/>
        <v>23.285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0122-02</v>
      </c>
      <c r="AE34" s="95" t="str">
        <f t="shared" si="12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34" s="92" t="str">
        <f t="shared" si="13"/>
        <v>"C:\Program Files (x86)\AstroGrep\AstroGrep.exe" /spath="%USERPROFILE%\AppData\Local\Temp\OnboardLogs" /stypes="app*4013*20161002*"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122-02 --locoid 4013 --swversion DE.1.0.7.0 --startMP 204:233008 --initTime 2016-10-02T07:05:31 --startdatetime 2016-10-02T07:11:18 --delay 1 --endMP 204:158 --enddatetime 2016-10-02T07:51:36 --enforcementcount 0 &gt;&gt;C:\Users\stu\Documents\GitHub\eaglep3-reporting\EC\2016-10-02-refined-times.txt</v>
      </c>
      <c r="AI3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{"issue":{"subject":"","project_id":79,"tracker_id":40,"status_id":1,"priority_id":2,"assigned_to_id":23,"start_date":"2016-10-02","description":"","custom_fields":[{"id":1,"name":"Subdivision","value":"EC"},{"id":4,"name":"Milepost","value":"0.0158"},{"id":17,"name":"Train ID","value":"122-02"},{"id":16,"name":"Locomotive ID","value":"4013"},{"id":130,"name":"Impact","value":""},{"id":150,"name":"Time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443</v>
      </c>
      <c r="B35" s="7">
        <v>4007</v>
      </c>
      <c r="C35" s="24" t="s">
        <v>106</v>
      </c>
      <c r="D35" s="24" t="s">
        <v>201</v>
      </c>
      <c r="E35" s="15">
        <v>42645.268773148149</v>
      </c>
      <c r="F35" s="15">
        <v>42645.271134259259</v>
      </c>
      <c r="G35" s="7">
        <v>1</v>
      </c>
      <c r="H35" s="15" t="s">
        <v>432</v>
      </c>
      <c r="I35" s="15">
        <v>42645.298356481479</v>
      </c>
      <c r="J35" s="7">
        <v>0</v>
      </c>
      <c r="K35" s="117" t="str">
        <f t="shared" si="0"/>
        <v>4007/4008</v>
      </c>
      <c r="L35" s="24" t="str">
        <f>VLOOKUP(A35,'Trips&amp;Operators'!$C$1:$E$10000,3,FALSE)</f>
        <v>MALAVE</v>
      </c>
      <c r="M35" s="6">
        <f t="shared" si="1"/>
        <v>2.7222222219279502E-2</v>
      </c>
      <c r="N35" s="7">
        <f t="shared" si="2"/>
        <v>39.199999995762482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05:27:02-0600',mode:absolute,to:'2016-10-02 08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4.7100000000000003E-2</v>
      </c>
      <c r="Z35" s="69">
        <f t="shared" si="9"/>
        <v>23.329699999999999</v>
      </c>
      <c r="AA35" s="69">
        <f t="shared" si="10"/>
        <v>23.282599999999999</v>
      </c>
      <c r="AB35" s="66" t="str">
        <f>VLOOKUP(A35,Enforcements!$C$7:$K$21,8,0)</f>
        <v>Speed (6)</v>
      </c>
      <c r="AC35" s="62" t="str">
        <f>VLOOKUP(A35,Enforcements!$C$7:$E$21,3,0)</f>
        <v>PERMANENT SPEED RESTRICTION</v>
      </c>
      <c r="AD35" s="63" t="str">
        <f t="shared" si="11"/>
        <v>0123-02</v>
      </c>
      <c r="AE35" s="95" t="str">
        <f t="shared" si="12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35" s="92" t="str">
        <f t="shared" si="13"/>
        <v>"C:\Program Files (x86)\AstroGrep\AstroGrep.exe" /spath="%USERPROFILE%\AppData\Local\Temp\OnboardLogs" /stypes="app*4007*20161002*"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123-02 --locoid 4007 --swversion DE.1.0.7.0 --startMP 204:471 --initTime 2016-10-02T06:27:02 --startdatetime 2016-10-02T06:30:26 --delay 1 --endMP 204:233297 --enddatetime 2016-10-02T07:09:38 --enforcementcount 0 &gt;&gt;C:\Users\stu\Documents\GitHub\eaglep3-reporting\EC\2016-10-02-refined-times.txt</v>
      </c>
      <c r="AI3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{"issue":{"subject":"","project_id":79,"tracker_id":40,"status_id":1,"priority_id":2,"assigned_to_id":23,"start_date":"2016-10-02","description":"","custom_fields":[{"id":1,"name":"Subdivision","value":"EC"},{"id":4,"name":"Milepost","value":"23.3297"},{"id":17,"name":"Train ID","value":"123-02"},{"id":16,"name":"Locomotive ID","value":"4007"},{"id":130,"name":"Impact","value":""},{"id":150,"name":"Time of Event (Mountain Time)","value":"07:09:38"},{"id":151,"name":"Denver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444</v>
      </c>
      <c r="B36" s="7">
        <v>4008</v>
      </c>
      <c r="C36" s="24" t="s">
        <v>106</v>
      </c>
      <c r="D36" s="24" t="s">
        <v>434</v>
      </c>
      <c r="E36" s="15">
        <v>42645.307997685188</v>
      </c>
      <c r="F36" s="15">
        <v>42645.310312499998</v>
      </c>
      <c r="G36" s="7">
        <v>2</v>
      </c>
      <c r="H36" s="15" t="s">
        <v>200</v>
      </c>
      <c r="I36" s="15">
        <v>42645.337673611109</v>
      </c>
      <c r="J36" s="7">
        <v>0</v>
      </c>
      <c r="K36" s="117" t="str">
        <f t="shared" si="0"/>
        <v>4007/4008</v>
      </c>
      <c r="L36" s="24" t="str">
        <f>VLOOKUP(A36,'Trips&amp;Operators'!$C$1:$E$10000,3,FALSE)</f>
        <v>MALAVE</v>
      </c>
      <c r="M36" s="6">
        <f t="shared" si="1"/>
        <v>2.73611111115315E-2</v>
      </c>
      <c r="N36" s="7">
        <f t="shared" si="2"/>
        <v>39.40000000060536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06:23:31-0600',mode:absolute,to:'2016-10-02 09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36" s="54" t="str">
        <f t="shared" si="6"/>
        <v>N</v>
      </c>
      <c r="X36" s="164">
        <f t="shared" si="7"/>
        <v>1</v>
      </c>
      <c r="Y36" s="69">
        <f t="shared" si="8"/>
        <v>23.296500000000002</v>
      </c>
      <c r="Z36" s="69">
        <f t="shared" si="9"/>
        <v>1.6E-2</v>
      </c>
      <c r="AA36" s="69">
        <f t="shared" si="10"/>
        <v>23.280500000000004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0124-02</v>
      </c>
      <c r="AE36" s="95" t="str">
        <f t="shared" si="12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36" s="92" t="str">
        <f t="shared" si="13"/>
        <v>"C:\Program Files (x86)\AstroGrep\AstroGrep.exe" /spath="%USERPROFILE%\AppData\Local\Temp\OnboardLogs" /stypes="app*4008*20161002*"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124-02 --locoid 4008 --swversion DE.1.0.7.0 --startMP 204:232965 --initTime 2016-10-02T07:23:31 --startdatetime 2016-10-02T07:26:51 --delay 2 --endMP 204:160 --enddatetime 2016-10-02T08:06:15 --enforcementcount 0 &gt;&gt;C:\Users\stu\Documents\GitHub\eaglep3-reporting\EC\2016-10-02-refined-times.txt</v>
      </c>
      <c r="AI3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ID","value":"124-02"},{"id":16,"name":"Locomotive ID","value":"4008"},{"id":130,"name":"Impact","value":""},{"id":150,"name":"Time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445</v>
      </c>
      <c r="B37" s="7">
        <v>4031</v>
      </c>
      <c r="C37" s="24" t="s">
        <v>106</v>
      </c>
      <c r="D37" s="24" t="s">
        <v>216</v>
      </c>
      <c r="E37" s="15">
        <v>42645.277071759258</v>
      </c>
      <c r="F37" s="15">
        <v>42645.2815162037</v>
      </c>
      <c r="G37" s="7">
        <v>1</v>
      </c>
      <c r="H37" s="15" t="s">
        <v>446</v>
      </c>
      <c r="I37" s="15">
        <v>42645.30741898148</v>
      </c>
      <c r="J37" s="7">
        <v>0</v>
      </c>
      <c r="K37" s="117" t="str">
        <f t="shared" si="0"/>
        <v>4031/4032</v>
      </c>
      <c r="L37" s="24" t="str">
        <f>VLOOKUP(A37,'Trips&amp;Operators'!$C$1:$E$10000,3,FALSE)</f>
        <v>STRICKLAND</v>
      </c>
      <c r="M37" s="6">
        <f t="shared" si="1"/>
        <v>2.5902777779265307E-2</v>
      </c>
      <c r="N37" s="7">
        <f t="shared" si="2"/>
        <v>37.300000002142042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05:38:59-0600',mode:absolute,to:'2016-10-02 08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64">
        <f t="shared" si="7"/>
        <v>1</v>
      </c>
      <c r="Y37" s="69">
        <f t="shared" si="8"/>
        <v>4.6199999999999998E-2</v>
      </c>
      <c r="Z37" s="69">
        <f t="shared" si="9"/>
        <v>23.330400000000001</v>
      </c>
      <c r="AA37" s="69">
        <f t="shared" si="10"/>
        <v>23.284200000000002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0125-02</v>
      </c>
      <c r="AE37" s="95" t="str">
        <f t="shared" si="12"/>
        <v>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 &amp; 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</v>
      </c>
      <c r="AF37" s="92" t="str">
        <f t="shared" si="13"/>
        <v>"C:\Program Files (x86)\AstroGrep\AstroGrep.exe" /spath="%USERPROFILE%\AppData\Local\Temp\OnboardLogs" /stypes="app*4031*20161002*"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125-02 --locoid 4031 --swversion DE.1.0.7.0 --startMP 204:462 --initTime 2016-10-02T06:38:59 --startdatetime 2016-10-02T06:45:23 --delay 1 --endMP 204:233304 --enddatetime 2016-10-02T07:22:41 --enforcementcount 0 &gt;&gt;C:\Users\stu\Documents\GitHub\eaglep3-reporting\EC\2016-10-02-refined-times.txt</v>
      </c>
      <c r="AI3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{"issue":{"subject":"","project_id":79,"tracker_id":40,"status_id":1,"priority_id":2,"assigned_to_id":23,"start_date":"2016-10-02","description":"","custom_fields":[{"id":1,"name":"Subdivision","value":"EC"},{"id":4,"name":"Milepost","value":"23.3304"},{"id":17,"name":"Train ID","value":"125-02"},{"id":16,"name":"Locomotive ID","value":"4031"},{"id":130,"name":"Impact","value":""},{"id":150,"name":"Time of Event (Mountain Time)","value":"07:22:41"},{"id":151,"name":"Denver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447</v>
      </c>
      <c r="B38" s="7">
        <v>4032</v>
      </c>
      <c r="C38" s="24" t="s">
        <v>106</v>
      </c>
      <c r="D38" s="24" t="s">
        <v>297</v>
      </c>
      <c r="E38" s="15">
        <v>42645.318356481483</v>
      </c>
      <c r="F38" s="15">
        <v>42645.320381944446</v>
      </c>
      <c r="G38" s="7">
        <v>1</v>
      </c>
      <c r="H38" s="15" t="s">
        <v>219</v>
      </c>
      <c r="I38" s="15">
        <v>42645.347013888888</v>
      </c>
      <c r="J38" s="7">
        <v>0</v>
      </c>
      <c r="K38" s="117" t="str">
        <f t="shared" si="0"/>
        <v>4031/4032</v>
      </c>
      <c r="L38" s="24" t="str">
        <f>VLOOKUP(A38,'Trips&amp;Operators'!$C$1:$E$10000,3,FALSE)</f>
        <v>STRICKLAND</v>
      </c>
      <c r="M38" s="6">
        <f t="shared" si="1"/>
        <v>2.6631944441760425E-2</v>
      </c>
      <c r="N38" s="7">
        <f t="shared" si="2"/>
        <v>38.349999996135011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06:38:26-0600',mode:absolute,to:'2016-10-02 09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64">
        <f t="shared" si="7"/>
        <v>1</v>
      </c>
      <c r="Y38" s="69">
        <f t="shared" si="8"/>
        <v>23.2987</v>
      </c>
      <c r="Z38" s="69">
        <f t="shared" si="9"/>
        <v>1.5599999999999999E-2</v>
      </c>
      <c r="AA38" s="69">
        <f t="shared" si="10"/>
        <v>23.283100000000001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0126-02</v>
      </c>
      <c r="AE38" s="95" t="str">
        <f t="shared" si="12"/>
        <v>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 &amp; 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</v>
      </c>
      <c r="AF38" s="92" t="str">
        <f t="shared" si="13"/>
        <v>"C:\Program Files (x86)\AstroGrep\AstroGrep.exe" /spath="%USERPROFILE%\AppData\Local\Temp\OnboardLogs" /stypes="app*4032*20161002*"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126-02 --locoid 4032 --swversion DE.1.0.7.0 --startMP 204:232987 --initTime 2016-10-02T07:38:26 --startdatetime 2016-10-02T07:41:21 --delay 1 --endMP 204:156 --enddatetime 2016-10-02T08:19:42 --enforcementcount 0 &gt;&gt;C:\Users\stu\Documents\GitHub\eaglep3-reporting\EC\2016-10-02-refined-times.txt</v>
      </c>
      <c r="AI3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{"issue":{"subject":"","project_id":79,"tracker_id":40,"status_id":1,"priority_id":2,"assigned_to_id":23,"start_date":"2016-10-02","description":"","custom_fields":[{"id":1,"name":"Subdivision","value":"EC"},{"id":4,"name":"Milepost","value":"0.0156"},{"id":17,"name":"Train ID","value":"126-02"},{"id":16,"name":"Locomotive ID","value":"4032"},{"id":130,"name":"Impact","value":""},{"id":150,"name":"Time of Event (Mountain Time)","value":"08:19:42"},{"id":151,"name":"Denver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448</v>
      </c>
      <c r="B39" s="7">
        <v>4020</v>
      </c>
      <c r="C39" s="24" t="s">
        <v>106</v>
      </c>
      <c r="D39" s="24" t="s">
        <v>216</v>
      </c>
      <c r="E39" s="15">
        <v>42645.285821759258</v>
      </c>
      <c r="F39" s="15">
        <v>42645.291886574072</v>
      </c>
      <c r="G39" s="7">
        <v>1</v>
      </c>
      <c r="H39" s="15" t="s">
        <v>449</v>
      </c>
      <c r="I39" s="15">
        <v>42645.316793981481</v>
      </c>
      <c r="J39" s="7">
        <v>0</v>
      </c>
      <c r="K39" s="117" t="str">
        <f t="shared" si="0"/>
        <v>4019/4020</v>
      </c>
      <c r="L39" s="24" t="str">
        <f>VLOOKUP(A39,'Trips&amp;Operators'!$C$1:$E$10000,3,FALSE)</f>
        <v>KILLION</v>
      </c>
      <c r="M39" s="6">
        <f t="shared" si="1"/>
        <v>2.4907407409045845E-2</v>
      </c>
      <c r="N39" s="7">
        <f t="shared" si="2"/>
        <v>35.866666669026017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05:51:35-0600',mode:absolute,to:'2016-10-02 08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9" s="54" t="str">
        <f t="shared" si="6"/>
        <v>N</v>
      </c>
      <c r="X39" s="164">
        <f t="shared" si="7"/>
        <v>1</v>
      </c>
      <c r="Y39" s="69">
        <f t="shared" si="8"/>
        <v>4.6199999999999998E-2</v>
      </c>
      <c r="Z39" s="69">
        <f t="shared" si="9"/>
        <v>23.3263</v>
      </c>
      <c r="AA39" s="69">
        <f t="shared" si="10"/>
        <v>23.280100000000001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0127-02</v>
      </c>
      <c r="AE39" s="95" t="str">
        <f t="shared" si="12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39" s="92" t="str">
        <f t="shared" si="13"/>
        <v>"C:\Program Files (x86)\AstroGrep\AstroGrep.exe" /spath="%USERPROFILE%\AppData\Local\Temp\OnboardLogs" /stypes="app*4020*20161002*"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127-02 --locoid 4020 --swversion DE.1.0.7.0 --startMP 204:462 --initTime 2016-10-02T06:51:35 --startdatetime 2016-10-02T07:00:19 --delay 1 --endMP 204:233263 --enddatetime 2016-10-02T07:36:11 --enforcementcount 0 &gt;&gt;C:\Users\stu\Documents\GitHub\eaglep3-reporting\EC\2016-10-02-refined-times.txt</v>
      </c>
      <c r="AI3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{"issue":{"subject":"","project_id":79,"tracker_id":40,"status_id":1,"priority_id":2,"assigned_to_id":23,"start_date":"2016-10-02","description":"","custom_fields":[{"id":1,"name":"Subdivision","value":"EC"},{"id":4,"name":"Milepost","value":"23.3263"},{"id":17,"name":"Train ID","value":"127-02"},{"id":16,"name":"Locomotive ID","value":"4020"},{"id":130,"name":"Impact","value":""},{"id":150,"name":"Time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450</v>
      </c>
      <c r="B40" s="7">
        <v>4019</v>
      </c>
      <c r="C40" s="24" t="s">
        <v>106</v>
      </c>
      <c r="D40" s="24" t="s">
        <v>299</v>
      </c>
      <c r="E40" s="15">
        <v>42645.32267361111</v>
      </c>
      <c r="F40" s="15">
        <v>42645.330763888887</v>
      </c>
      <c r="G40" s="7">
        <v>1</v>
      </c>
      <c r="H40" s="15" t="s">
        <v>235</v>
      </c>
      <c r="I40" s="15">
        <v>42645.357291666667</v>
      </c>
      <c r="J40" s="7">
        <v>0</v>
      </c>
      <c r="K40" s="117" t="str">
        <f t="shared" si="0"/>
        <v>4019/4020</v>
      </c>
      <c r="L40" s="24" t="str">
        <f>VLOOKUP(A40,'Trips&amp;Operators'!$C$1:$E$10000,3,FALSE)</f>
        <v>KILLION</v>
      </c>
      <c r="M40" s="6">
        <f t="shared" si="1"/>
        <v>2.6527777779847383E-2</v>
      </c>
      <c r="N40" s="7">
        <f t="shared" si="2"/>
        <v>38.200000002980232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06:44:39-0600',mode:absolute,to:'2016-10-02 09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0" s="54" t="str">
        <f t="shared" si="6"/>
        <v>N</v>
      </c>
      <c r="X40" s="164">
        <f t="shared" si="7"/>
        <v>1</v>
      </c>
      <c r="Y40" s="69">
        <f t="shared" si="8"/>
        <v>23.296900000000001</v>
      </c>
      <c r="Z40" s="69">
        <f t="shared" si="9"/>
        <v>1.43E-2</v>
      </c>
      <c r="AA40" s="69">
        <f t="shared" si="10"/>
        <v>23.282600000000002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0128-02</v>
      </c>
      <c r="AE40" s="95" t="str">
        <f t="shared" si="12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40" s="92" t="str">
        <f t="shared" si="13"/>
        <v>"C:\Program Files (x86)\AstroGrep\AstroGrep.exe" /spath="%USERPROFILE%\AppData\Local\Temp\OnboardLogs" /stypes="app*4019*20161002*"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128-02 --locoid 4019 --swversion DE.1.0.7.0 --startMP 204:232969 --initTime 2016-10-02T07:44:39 --startdatetime 2016-10-02T07:56:18 --delay 1 --endMP 204:143 --enddatetime 2016-10-02T08:34:30 --enforcementcount 0 &gt;&gt;C:\Users\stu\Documents\GitHub\eaglep3-reporting\EC\2016-10-02-refined-times.txt</v>
      </c>
      <c r="AI40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{"issue":{"subject":"","project_id":79,"tracker_id":40,"status_id":1,"priority_id":2,"assigned_to_id":23,"start_date":"2016-10-02","description":"","custom_fields":[{"id":1,"name":"Subdivision","value":"EC"},{"id":4,"name":"Milepost","value":"0.0143"},{"id":17,"name":"Train ID","value":"128-02"},{"id":16,"name":"Locomotive ID","value":"4019"},{"id":130,"name":"Impact","value":""},{"id":150,"name":"Time of Event (Mountain Time)","value":"08:34:30"},{"id":151,"name":"Denver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451</v>
      </c>
      <c r="B41" s="7">
        <v>4042</v>
      </c>
      <c r="C41" s="24" t="s">
        <v>106</v>
      </c>
      <c r="D41" s="24" t="s">
        <v>360</v>
      </c>
      <c r="E41" s="15">
        <v>42645.295752314814</v>
      </c>
      <c r="F41" s="15">
        <v>42645.302407407406</v>
      </c>
      <c r="G41" s="7">
        <v>1</v>
      </c>
      <c r="H41" s="15" t="s">
        <v>452</v>
      </c>
      <c r="I41" s="15">
        <v>42645.326550925929</v>
      </c>
      <c r="J41" s="7">
        <v>0</v>
      </c>
      <c r="K41" s="117" t="str">
        <f t="shared" si="0"/>
        <v>4041/4042</v>
      </c>
      <c r="L41" s="24" t="str">
        <f>VLOOKUP(A41,'Trips&amp;Operators'!$C$1:$E$10000,3,FALSE)</f>
        <v>YORK</v>
      </c>
      <c r="M41" s="6">
        <f t="shared" si="1"/>
        <v>2.4143518523487728E-2</v>
      </c>
      <c r="N41" s="7">
        <f t="shared" si="2"/>
        <v>34.766666673822328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06:05:53-0600',mode:absolute,to:'2016-10-02 08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1" s="54" t="str">
        <f t="shared" si="6"/>
        <v>N</v>
      </c>
      <c r="X41" s="164">
        <f t="shared" si="7"/>
        <v>1</v>
      </c>
      <c r="Y41" s="69">
        <f t="shared" si="8"/>
        <v>4.6699999999999998E-2</v>
      </c>
      <c r="Z41" s="69">
        <f t="shared" si="9"/>
        <v>23.328299999999999</v>
      </c>
      <c r="AA41" s="69">
        <f t="shared" si="10"/>
        <v>23.281599999999997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0129-02</v>
      </c>
      <c r="AE41" s="95" t="str">
        <f t="shared" si="12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41" s="92" t="str">
        <f t="shared" si="13"/>
        <v>"C:\Program Files (x86)\AstroGrep\AstroGrep.exe" /spath="%USERPROFILE%\AppData\Local\Temp\OnboardLogs" /stypes="app*4042*20161002*"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129-02 --locoid 4042 --swversion DE.1.0.7.0 --startMP 204:467 --initTime 2016-10-02T07:05:53 --startdatetime 2016-10-02T07:15:28 --delay 1 --endMP 204:233283 --enddatetime 2016-10-02T07:50:14 --enforcementcount 0 &gt;&gt;C:\Users\stu\Documents\GitHub\eaglep3-reporting\EC\2016-10-02-refined-times.txt</v>
      </c>
      <c r="AI4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{"issue":{"subject":"","project_id":79,"tracker_id":40,"status_id":1,"priority_id":2,"assigned_to_id":23,"start_date":"2016-10-02","description":"","custom_fields":[{"id":1,"name":"Subdivision","value":"EC"},{"id":4,"name":"Milepost","value":"23.3283"},{"id":17,"name":"Train ID","value":"129-02"},{"id":16,"name":"Locomotive ID","value":"4042"},{"id":130,"name":"Impact","value":""},{"id":150,"name":"Time of Event (Mountain Time)","value":"07:50:14"},{"id":151,"name":"Denver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31" customFormat="1" x14ac:dyDescent="0.25">
      <c r="A42" s="39" t="s">
        <v>453</v>
      </c>
      <c r="B42" s="7">
        <v>4041</v>
      </c>
      <c r="C42" s="24" t="s">
        <v>106</v>
      </c>
      <c r="D42" s="24" t="s">
        <v>454</v>
      </c>
      <c r="E42" s="15">
        <v>42645.327557870369</v>
      </c>
      <c r="F42" s="15">
        <v>42645.341168981482</v>
      </c>
      <c r="G42" s="7">
        <v>0</v>
      </c>
      <c r="H42" s="15" t="s">
        <v>199</v>
      </c>
      <c r="I42" s="15">
        <v>42645.367118055554</v>
      </c>
      <c r="J42" s="7">
        <v>0</v>
      </c>
      <c r="K42" s="117" t="str">
        <f t="shared" si="0"/>
        <v>4041/4042</v>
      </c>
      <c r="L42" s="24" t="str">
        <f>VLOOKUP(A42,'Trips&amp;Operators'!$C$1:$E$10000,3,FALSE)</f>
        <v>YORK</v>
      </c>
      <c r="M42" s="6">
        <f t="shared" si="1"/>
        <v>2.5949074071832001E-2</v>
      </c>
      <c r="N42" s="7">
        <f t="shared" si="2"/>
        <v>37.366666663438082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06:51:41-0600',mode:absolute,to:'2016-10-02 09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2" s="54" t="str">
        <f t="shared" si="6"/>
        <v>N</v>
      </c>
      <c r="X42" s="164">
        <f t="shared" si="7"/>
        <v>1</v>
      </c>
      <c r="Y42" s="69">
        <f t="shared" si="8"/>
        <v>23.295999999999999</v>
      </c>
      <c r="Z42" s="69">
        <f t="shared" si="9"/>
        <v>1.49E-2</v>
      </c>
      <c r="AA42" s="69">
        <f t="shared" si="10"/>
        <v>23.281099999999999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0130-02</v>
      </c>
      <c r="AE42" s="95" t="str">
        <f t="shared" si="12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42" s="92" t="str">
        <f t="shared" si="13"/>
        <v>"C:\Program Files (x86)\AstroGrep\AstroGrep.exe" /spath="%USERPROFILE%\AppData\Local\Temp\OnboardLogs" /stypes="app*4041*20161002*"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130-02 --locoid 4041 --swversion DE.1.0.7.0 --startMP 204:232960 --initTime 2016-10-02T07:51:41 --startdatetime 2016-10-02T08:11:17 --delay 0 --endMP 204:149 --enddatetime 2016-10-02T08:48:39 --enforcementcount 0 &gt;&gt;C:\Users\stu\Documents\GitHub\eaglep3-reporting\EC\2016-10-02-refined-times.txt</v>
      </c>
      <c r="AI4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{"issue":{"subject":"","project_id":79,"tracker_id":40,"status_id":1,"priority_id":2,"assigned_to_id":23,"start_date":"2016-10-02","description":"","custom_fields":[{"id":1,"name":"Subdivision","value":"EC"},{"id":4,"name":"Milepost","value":"0.0149"},{"id":17,"name":"Train ID","value":"130-02"},{"id":16,"name":"Locomotive ID","value":"4041"},{"id":130,"name":"Impact","value":""},{"id":150,"name":"Time of Event (Mountain Time)","value":"08:48:39"},{"id":151,"name":"Denver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455</v>
      </c>
      <c r="B43" s="7">
        <v>4016</v>
      </c>
      <c r="C43" s="24" t="s">
        <v>106</v>
      </c>
      <c r="D43" s="24" t="s">
        <v>212</v>
      </c>
      <c r="E43" s="15">
        <v>42645.308958333335</v>
      </c>
      <c r="F43" s="15">
        <v>42645.312719907408</v>
      </c>
      <c r="G43" s="7">
        <v>1</v>
      </c>
      <c r="H43" s="15" t="s">
        <v>292</v>
      </c>
      <c r="I43" s="15">
        <v>42645.337106481478</v>
      </c>
      <c r="J43" s="7">
        <v>0</v>
      </c>
      <c r="K43" s="117" t="str">
        <f t="shared" si="0"/>
        <v>4015/4016</v>
      </c>
      <c r="L43" s="24" t="str">
        <f>VLOOKUP(A43,'Trips&amp;Operators'!$C$1:$E$10000,3,FALSE)</f>
        <v>ACKERMAN</v>
      </c>
      <c r="M43" s="6">
        <f t="shared" si="1"/>
        <v>2.438657407037681E-2</v>
      </c>
      <c r="N43" s="7">
        <f t="shared" si="2"/>
        <v>35.116666661342606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06:24:54-0600',mode:absolute,to:'2016-10-02 09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3" s="54" t="str">
        <f t="shared" si="6"/>
        <v>N</v>
      </c>
      <c r="X43" s="164">
        <f t="shared" si="7"/>
        <v>1</v>
      </c>
      <c r="Y43" s="69">
        <f t="shared" si="8"/>
        <v>4.58E-2</v>
      </c>
      <c r="Z43" s="69">
        <f t="shared" si="9"/>
        <v>23.328399999999998</v>
      </c>
      <c r="AA43" s="69">
        <f t="shared" si="10"/>
        <v>23.282599999999999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0131-02</v>
      </c>
      <c r="AE43" s="95" t="str">
        <f t="shared" si="12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43" s="92" t="str">
        <f t="shared" si="13"/>
        <v>"C:\Program Files (x86)\AstroGrep\AstroGrep.exe" /spath="%USERPROFILE%\AppData\Local\Temp\OnboardLogs" /stypes="app*4016*20161002*"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131-02 --locoid 4016 --swversion DE.1.0.7.0 --startMP 204:458 --initTime 2016-10-02T07:24:54 --startdatetime 2016-10-02T07:30:19 --delay 1 --endMP 204:233284 --enddatetime 2016-10-02T08:05:26 --enforcementcount 0 &gt;&gt;C:\Users\stu\Documents\GitHub\eaglep3-reporting\EC\2016-10-02-refined-times.txt</v>
      </c>
      <c r="AI43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{"issue":{"subject":"","project_id":79,"tracker_id":40,"status_id":1,"priority_id":2,"assigned_to_id":23,"start_date":"2016-10-02","description":"","custom_fields":[{"id":1,"name":"Subdivision","value":"EC"},{"id":4,"name":"Milepost","value":"23.3284"},{"id":17,"name":"Train ID","value":"131-02"},{"id":16,"name":"Locomotive ID","value":"4016"},{"id":130,"name":"Impact","value":""},{"id":150,"name":"Time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456</v>
      </c>
      <c r="B44" s="7">
        <v>4015</v>
      </c>
      <c r="C44" s="24" t="s">
        <v>106</v>
      </c>
      <c r="D44" s="24" t="s">
        <v>457</v>
      </c>
      <c r="E44" s="15">
        <v>42645.347083333334</v>
      </c>
      <c r="F44" s="15">
        <v>42645.351655092592</v>
      </c>
      <c r="G44" s="7">
        <v>1</v>
      </c>
      <c r="H44" s="15" t="s">
        <v>203</v>
      </c>
      <c r="I44" s="15">
        <v>42645.378680555557</v>
      </c>
      <c r="J44" s="7">
        <v>0</v>
      </c>
      <c r="K44" s="117" t="str">
        <f t="shared" si="0"/>
        <v>4015/4016</v>
      </c>
      <c r="L44" s="24" t="str">
        <f>VLOOKUP(A44,'Trips&amp;Operators'!$C$1:$E$10000,3,FALSE)</f>
        <v>ACKERMAN</v>
      </c>
      <c r="M44" s="6">
        <f t="shared" si="1"/>
        <v>2.7025462964957114E-2</v>
      </c>
      <c r="N44" s="7">
        <f t="shared" si="2"/>
        <v>38.916666669538245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https://search-rtdc-monitor-bjffxe2xuh6vdkpspy63sjmuny.us-east-1.es.amazonaws.com/_plugin/kibana/#/discover/Steve-Slow-Train-Analysis-(2080s-and-2083s)?_g=(refreshInterval:(display:Off,section:0,value:0),time:(from:'2016-10-02 07:19:48-0600',mode:absolute,to:'2016-10-02 10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4" s="54" t="str">
        <f t="shared" si="6"/>
        <v>N</v>
      </c>
      <c r="X44" s="164">
        <f t="shared" si="7"/>
        <v>1</v>
      </c>
      <c r="Y44" s="69">
        <f t="shared" si="8"/>
        <v>23.2973</v>
      </c>
      <c r="Z44" s="69">
        <f t="shared" si="9"/>
        <v>1.47E-2</v>
      </c>
      <c r="AA44" s="69">
        <f t="shared" si="10"/>
        <v>23.282599999999999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0132-02</v>
      </c>
      <c r="AE44" s="95" t="str">
        <f t="shared" si="12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44" s="92" t="str">
        <f t="shared" si="13"/>
        <v>"C:\Program Files (x86)\AstroGrep\AstroGrep.exe" /spath="%USERPROFILE%\AppData\Local\Temp\OnboardLogs" /stypes="app*4015*20161002*"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132-02 --locoid 4015 --swversion DE.1.0.7.0 --startMP 204:232973 --initTime 2016-10-02T08:19:48 --startdatetime 2016-10-02T08:26:23 --delay 1 --endMP 204:147 --enddatetime 2016-10-02T09:05:18 --enforcementcount 0 &gt;&gt;C:\Users\stu\Documents\GitHub\eaglep3-reporting\EC\2016-10-02-refined-times.txt</v>
      </c>
      <c r="AI4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{"issue":{"subject":"","project_id":79,"tracker_id":40,"status_id":1,"priority_id":2,"assigned_to_id":23,"start_date":"2016-10-02","description":"","custom_fields":[{"id":1,"name":"Subdivision","value":"EC"},{"id":4,"name":"Milepost","value":"0.0147"},{"id":17,"name":"Train ID","value":"132-02"},{"id":16,"name":"Locomotive ID","value":"4015"},{"id":130,"name":"Impact","value":""},{"id":150,"name":"Time of Event (Mountain Time)","value":"09:05:18"},{"id":151,"name":"Denver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458</v>
      </c>
      <c r="B45" s="7">
        <v>4053</v>
      </c>
      <c r="C45" s="24" t="s">
        <v>106</v>
      </c>
      <c r="D45" s="24" t="s">
        <v>290</v>
      </c>
      <c r="E45" s="15">
        <v>42645.319039351853</v>
      </c>
      <c r="F45" s="15">
        <v>42645.323229166665</v>
      </c>
      <c r="G45" s="7">
        <v>1</v>
      </c>
      <c r="H45" s="15" t="s">
        <v>354</v>
      </c>
      <c r="I45" s="15">
        <v>42645.348136574074</v>
      </c>
      <c r="J45" s="7">
        <v>0</v>
      </c>
      <c r="K45" s="117" t="str">
        <f t="shared" ref="K45:K76" si="19">IF(ISEVEN(B45),(B45-1)&amp;"/"&amp;B45,B45&amp;"/"&amp;(B45+1))</f>
        <v>4053/4054</v>
      </c>
      <c r="L45" s="24" t="str">
        <f>VLOOKUP(A45,'Trips&amp;Operators'!$C$1:$E$10000,3,FALSE)</f>
        <v>MAELZER</v>
      </c>
      <c r="M45" s="6">
        <f t="shared" ref="M45:M76" si="20">I45-F45</f>
        <v>2.4907407409045845E-2</v>
      </c>
      <c r="N45" s="7">
        <f t="shared" ref="N45:P76" si="21">24*60*SUM($M45:$M45)</f>
        <v>35.866666669026017</v>
      </c>
      <c r="O45" s="7"/>
      <c r="P45" s="7"/>
      <c r="Q45" s="25"/>
      <c r="R45" s="25"/>
      <c r="S45" s="37">
        <f t="shared" ref="S45:S76" si="22">SUM(U45:U45)/IF(AG45="EC",12,1)</f>
        <v>1</v>
      </c>
      <c r="T45" s="52" t="str">
        <f t="shared" ref="T45:T76" si="23">IF(ISEVEN(LEFT(AD45,4)),"Southbound","NorthBound")</f>
        <v>NorthBound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https://search-rtdc-monitor-bjffxe2xuh6vdkpspy63sjmuny.us-east-1.es.amazonaws.com/_plugin/kibana/#/discover/Steve-Slow-Train-Analysis-(2080s-and-2083s)?_g=(refreshInterval:(display:Off,section:0,value:0),time:(from:'2016-10-02 06:39:25-0600',mode:absolute,to:'2016-10-02 09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5" s="54" t="str">
        <f t="shared" ref="W45:W76" si="25">IF(AA45&lt;IF(AG45="EC",23,5.65),"Y","N")</f>
        <v>N</v>
      </c>
      <c r="X45" s="164">
        <f t="shared" ref="X45:X76" si="26">VALUE(LEFT(AD45,4))-VALUE(LEFT(AD44,4))</f>
        <v>1</v>
      </c>
      <c r="Y45" s="69">
        <f t="shared" ref="Y45:Y76" si="27">RIGHT(D45,LEN(D45)-4)/10000</f>
        <v>4.4900000000000002E-2</v>
      </c>
      <c r="Z45" s="69">
        <f t="shared" ref="Z45:Z76" si="28">RIGHT(H45,LEN(H45)-4)/10000</f>
        <v>23.3308</v>
      </c>
      <c r="AA45" s="69">
        <f t="shared" ref="AA45:AA76" si="29">ABS(Z45-Y45)</f>
        <v>23.285900000000002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ref="AD45:AD76" si="30">IF(LEN(A45)=6,"0"&amp;A45,A45)</f>
        <v>0133-02</v>
      </c>
      <c r="AE45" s="95" t="str">
        <f t="shared" ref="AE45:AE76" si="31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45" s="92" t="str">
        <f t="shared" ref="AF45:AF76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/stypes="app*4053*20161002*" /stext=" 14:.+((SYSTEM_STATE.+slice.+state.+changed )|(ment ac)|(system.+state.+changed )|(\[timeout)|(PRM\|1\|D)|(kpr)|(kdp)|(\|lc)|(penalty))" /e /r /s</v>
      </c>
      <c r="AG45" s="1" t="str">
        <f t="shared" ref="AG45:AG76" si="33">IFERROR(IF(VALUE(LEFT(AD45,2))&lt;=2,"EC",IF(OR(VALUE(LEFT(AD45,2))=8,VALUE(LEFT(AD45,2))=18),"NW","Other")),"Other")</f>
        <v>EC</v>
      </c>
      <c r="AH45" s="96" t="str">
        <f t="shared" si="17"/>
        <v>"%USERPROFILE%\Documents\GitHub\eaglep3\Utilities\RefineRTDCRunTimes.py" --tripid 133-02 --locoid 4053 --swversion DE.1.0.7.0 --startMP 204:449 --initTime 2016-10-02T07:39:25 --startdatetime 2016-10-02T07:45:27 --delay 1 --endMP 204:233308 --enddatetime 2016-10-02T08:21:19 --enforcementcount 0 &gt;&gt;C:\Users\stu\Documents\GitHub\eaglep3-reporting\EC\2016-10-02-refined-times.txt</v>
      </c>
      <c r="AI4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{"issue":{"subject":"","project_id":79,"tracker_id":40,"status_id":1,"priority_id":2,"assigned_to_id":23,"start_date":"2016-10-02","description":"","custom_fields":[{"id":1,"name":"Subdivision","value":"EC"},{"id":4,"name":"Milepost","value":"23.3308"},{"id":17,"name":"Train ID","value":"133-02"},{"id":16,"name":"Locomotive ID","value":"4053"},{"id":130,"name":"Impact","value":""},{"id":150,"name":"Time of Event (Mountain Time)","value":"08:21:19"},{"id":151,"name":"Denver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459</v>
      </c>
      <c r="B46" s="7">
        <v>4054</v>
      </c>
      <c r="C46" s="24" t="s">
        <v>106</v>
      </c>
      <c r="D46" s="24" t="s">
        <v>460</v>
      </c>
      <c r="E46" s="15">
        <v>42645.358171296299</v>
      </c>
      <c r="F46" s="15">
        <v>42645.362222222226</v>
      </c>
      <c r="G46" s="7">
        <v>0</v>
      </c>
      <c r="H46" s="15" t="s">
        <v>225</v>
      </c>
      <c r="I46" s="15">
        <v>42645.389062499999</v>
      </c>
      <c r="J46" s="7">
        <v>0</v>
      </c>
      <c r="K46" s="117" t="str">
        <f t="shared" si="19"/>
        <v>4053/4054</v>
      </c>
      <c r="L46" s="24" t="str">
        <f>VLOOKUP(A46,'Trips&amp;Operators'!$C$1:$E$10000,3,FALSE)</f>
        <v>MAELZER</v>
      </c>
      <c r="M46" s="6">
        <f t="shared" si="20"/>
        <v>2.6840277772862464E-2</v>
      </c>
      <c r="N46" s="7">
        <f t="shared" si="21"/>
        <v>38.649999992921948</v>
      </c>
      <c r="O46" s="7"/>
      <c r="P46" s="7"/>
      <c r="Q46" s="25"/>
      <c r="R46" s="25"/>
      <c r="S46" s="37">
        <f t="shared" si="22"/>
        <v>1</v>
      </c>
      <c r="T46" s="52" t="str">
        <f t="shared" si="23"/>
        <v>Southbound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07:35:46-0600',mode:absolute,to:'2016-10-02 10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6" s="54" t="str">
        <f t="shared" si="25"/>
        <v>N</v>
      </c>
      <c r="X46" s="164">
        <f t="shared" si="26"/>
        <v>1</v>
      </c>
      <c r="Y46" s="69">
        <f t="shared" si="27"/>
        <v>23.299399999999999</v>
      </c>
      <c r="Z46" s="69">
        <f t="shared" si="28"/>
        <v>1.41E-2</v>
      </c>
      <c r="AA46" s="69">
        <f t="shared" si="29"/>
        <v>23.285299999999999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30"/>
        <v>0134-02</v>
      </c>
      <c r="AE46" s="95" t="str">
        <f t="shared" si="31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46" s="92" t="str">
        <f t="shared" si="32"/>
        <v>"C:\Program Files (x86)\AstroGrep\AstroGrep.exe" /spath="%USERPROFILE%\AppData\Local\Temp\OnboardLogs" /stypes="app*4054*20161002*" /stext=" 15:.+((SYSTEM_STATE.+slice.+state.+changed )|(ment ac)|(system.+state.+changed )|(\[timeout)|(PRM\|1\|D)|(kpr)|(kdp)|(\|lc)|(penalty))" /e /r /s</v>
      </c>
      <c r="AG46" s="1" t="str">
        <f t="shared" si="33"/>
        <v>EC</v>
      </c>
      <c r="AH46" s="96" t="str">
        <f t="shared" si="17"/>
        <v>"%USERPROFILE%\Documents\GitHub\eaglep3\Utilities\RefineRTDCRunTimes.py" --tripid 134-02 --locoid 4054 --swversion DE.1.0.7.0 --startMP 204:232994 --initTime 2016-10-02T08:35:46 --startdatetime 2016-10-02T08:41:36 --delay 0 --endMP 204:141 --enddatetime 2016-10-02T09:20:15 --enforcementcount 0 &gt;&gt;C:\Users\stu\Documents\GitHub\eaglep3-reporting\EC\2016-10-02-refined-times.txt</v>
      </c>
      <c r="AI4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{"issue":{"subject":"","project_id":79,"tracker_id":40,"status_id":1,"priority_id":2,"assigned_to_id":23,"start_date":"2016-10-02","description":"","custom_fields":[{"id":1,"name":"Subdivision","value":"EC"},{"id":4,"name":"Milepost","value":"0.0141"},{"id":17,"name":"Train ID","value":"134-02"},{"id":16,"name":"Locomotive ID","value":"4054"},{"id":130,"name":"Impact","value":""},{"id":150,"name":"Time of Event (Mountain Time)","value":"09:20:15"},{"id":151,"name":"Denver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461</v>
      </c>
      <c r="B47" s="7">
        <v>4014</v>
      </c>
      <c r="C47" s="24" t="s">
        <v>106</v>
      </c>
      <c r="D47" s="24" t="s">
        <v>216</v>
      </c>
      <c r="E47" s="15">
        <v>42645.328969907408</v>
      </c>
      <c r="F47" s="15">
        <v>42645.333495370367</v>
      </c>
      <c r="G47" s="7">
        <v>1</v>
      </c>
      <c r="H47" s="15" t="s">
        <v>417</v>
      </c>
      <c r="I47" s="15">
        <v>42645.359456018516</v>
      </c>
      <c r="J47" s="7">
        <v>0</v>
      </c>
      <c r="K47" s="117" t="str">
        <f t="shared" si="19"/>
        <v>4013/4014</v>
      </c>
      <c r="L47" s="24" t="str">
        <f>VLOOKUP(A47,'Trips&amp;Operators'!$C$1:$E$10000,3,FALSE)</f>
        <v>DAVIS</v>
      </c>
      <c r="M47" s="6">
        <f t="shared" si="20"/>
        <v>2.5960648148611654E-2</v>
      </c>
      <c r="N47" s="7">
        <f t="shared" si="21"/>
        <v>37.383333334000781</v>
      </c>
      <c r="O47" s="7"/>
      <c r="P47" s="7"/>
      <c r="Q47" s="25"/>
      <c r="R47" s="25"/>
      <c r="S47" s="37">
        <f t="shared" si="22"/>
        <v>1</v>
      </c>
      <c r="T47" s="52" t="str">
        <f t="shared" si="23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06:53:43-0600',mode:absolute,to:'2016-10-02 09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25"/>
        <v>N</v>
      </c>
      <c r="X47" s="164">
        <f t="shared" si="26"/>
        <v>1</v>
      </c>
      <c r="Y47" s="69">
        <f t="shared" si="27"/>
        <v>4.6199999999999998E-2</v>
      </c>
      <c r="Z47" s="69">
        <f t="shared" si="28"/>
        <v>23.331099999999999</v>
      </c>
      <c r="AA47" s="69">
        <f t="shared" si="29"/>
        <v>23.2849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30"/>
        <v>0135-02</v>
      </c>
      <c r="AE47" s="95" t="str">
        <f t="shared" si="31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47" s="92" t="str">
        <f t="shared" si="32"/>
        <v>"C:\Program Files (x86)\AstroGrep\AstroGrep.exe" /spath="%USERPROFILE%\AppData\Local\Temp\OnboardLogs" /stypes="app*4014*20161002*" /stext=" 14:.+((SYSTEM_STATE.+slice.+state.+changed )|(ment ac)|(system.+state.+changed )|(\[timeout)|(PRM\|1\|D)|(kpr)|(kdp)|(\|lc)|(penalty))" /e /r /s</v>
      </c>
      <c r="AG47" s="1" t="str">
        <f t="shared" si="33"/>
        <v>EC</v>
      </c>
      <c r="AH47" s="96" t="str">
        <f t="shared" si="17"/>
        <v>"%USERPROFILE%\Documents\GitHub\eaglep3\Utilities\RefineRTDCRunTimes.py" --tripid 135-02 --locoid 4014 --swversion DE.1.0.7.0 --startMP 204:462 --initTime 2016-10-02T07:53:43 --startdatetime 2016-10-02T08:00:14 --delay 1 --endMP 204:233311 --enddatetime 2016-10-02T08:37:37 --enforcementcount 0 &gt;&gt;C:\Users\stu\Documents\GitHub\eaglep3-reporting\EC\2016-10-02-refined-times.txt</v>
      </c>
      <c r="AI4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{"issue":{"subject":"","project_id":79,"tracker_id":40,"status_id":1,"priority_id":2,"assigned_to_id":23,"start_date":"2016-10-02","description":"","custom_fields":[{"id":1,"name":"Subdivision","value":"EC"},{"id":4,"name":"Milepost","value":"23.3311"},{"id":17,"name":"Train ID","value":"135-02"},{"id":16,"name":"Locomotive ID","value":"4014"},{"id":130,"name":"Impact","value":""},{"id":150,"name":"Time of Event (Mountain Time)","value":"08:37:37"},{"id":151,"name":"Denver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462</v>
      </c>
      <c r="B48" s="7">
        <v>4013</v>
      </c>
      <c r="C48" s="24" t="s">
        <v>106</v>
      </c>
      <c r="D48" s="24" t="s">
        <v>255</v>
      </c>
      <c r="E48" s="15">
        <v>42645.368518518517</v>
      </c>
      <c r="F48" s="15">
        <v>42645.372650462959</v>
      </c>
      <c r="G48" s="7">
        <v>1</v>
      </c>
      <c r="H48" s="15" t="s">
        <v>225</v>
      </c>
      <c r="I48" s="15">
        <v>42645.400659722225</v>
      </c>
      <c r="J48" s="7">
        <v>0</v>
      </c>
      <c r="K48" s="117" t="str">
        <f t="shared" si="19"/>
        <v>4013/4014</v>
      </c>
      <c r="L48" s="24" t="str">
        <f>VLOOKUP(A48,'Trips&amp;Operators'!$C$1:$E$10000,3,FALSE)</f>
        <v>DAVIS</v>
      </c>
      <c r="M48" s="6">
        <f t="shared" si="20"/>
        <v>2.8009259265672881E-2</v>
      </c>
      <c r="N48" s="7">
        <f t="shared" si="21"/>
        <v>40.333333342568949</v>
      </c>
      <c r="O48" s="7"/>
      <c r="P48" s="7"/>
      <c r="Q48" s="25"/>
      <c r="R48" s="25"/>
      <c r="S48" s="37">
        <f t="shared" si="22"/>
        <v>1</v>
      </c>
      <c r="T48" s="52" t="str">
        <f t="shared" si="23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07:50:40-0600',mode:absolute,to:'2016-10-02 10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25"/>
        <v>N</v>
      </c>
      <c r="X48" s="164">
        <f t="shared" si="26"/>
        <v>1</v>
      </c>
      <c r="Y48" s="69">
        <f t="shared" si="27"/>
        <v>23.2988</v>
      </c>
      <c r="Z48" s="69">
        <f t="shared" si="28"/>
        <v>1.41E-2</v>
      </c>
      <c r="AA48" s="69">
        <f t="shared" si="29"/>
        <v>23.284700000000001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30"/>
        <v>0136-02</v>
      </c>
      <c r="AE48" s="95" t="str">
        <f t="shared" si="31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48" s="92" t="str">
        <f t="shared" si="32"/>
        <v>"C:\Program Files (x86)\AstroGrep\AstroGrep.exe" /spath="%USERPROFILE%\AppData\Local\Temp\OnboardLogs" /stypes="app*4013*20161002*" /stext=" 15:.+((SYSTEM_STATE.+slice.+state.+changed )|(ment ac)|(system.+state.+changed )|(\[timeout)|(PRM\|1\|D)|(kpr)|(kdp)|(\|lc)|(penalty))" /e /r /s</v>
      </c>
      <c r="AG48" s="1" t="str">
        <f t="shared" si="33"/>
        <v>EC</v>
      </c>
      <c r="AH48" s="96" t="str">
        <f t="shared" si="17"/>
        <v>"%USERPROFILE%\Documents\GitHub\eaglep3\Utilities\RefineRTDCRunTimes.py" --tripid 136-02 --locoid 4013 --swversion DE.1.0.7.0 --startMP 204:232988 --initTime 2016-10-02T08:50:40 --startdatetime 2016-10-02T08:56:37 --delay 1 --endMP 204:141 --enddatetime 2016-10-02T09:36:57 --enforcementcount 0 &gt;&gt;C:\Users\stu\Documents\GitHub\eaglep3-reporting\EC\2016-10-02-refined-times.txt</v>
      </c>
      <c r="AI4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{"issue":{"subject":"","project_id":79,"tracker_id":40,"status_id":1,"priority_id":2,"assigned_to_id":23,"start_date":"2016-10-02","description":"","custom_fields":[{"id":1,"name":"Subdivision","value":"EC"},{"id":4,"name":"Milepost","value":"0.0141"},{"id":17,"name":"Train ID","value":"136-02"},{"id":16,"name":"Locomotive ID","value":"4013"},{"id":130,"name":"Impact","value":""},{"id":150,"name":"Time of Event (Mountain Time)","value":"09:36:57"},{"id":151,"name":"Denver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463</v>
      </c>
      <c r="B49" s="7">
        <v>4007</v>
      </c>
      <c r="C49" s="24" t="s">
        <v>106</v>
      </c>
      <c r="D49" s="24" t="s">
        <v>201</v>
      </c>
      <c r="E49" s="15">
        <v>42645.342395833337</v>
      </c>
      <c r="F49" s="15">
        <v>42645.343981481485</v>
      </c>
      <c r="G49" s="7">
        <v>0</v>
      </c>
      <c r="H49" s="15" t="s">
        <v>464</v>
      </c>
      <c r="I49" s="15">
        <v>42645.369490740741</v>
      </c>
      <c r="J49" s="7">
        <v>0</v>
      </c>
      <c r="K49" s="117" t="str">
        <f t="shared" si="19"/>
        <v>4007/4008</v>
      </c>
      <c r="L49" s="24" t="str">
        <f>VLOOKUP(A49,'Trips&amp;Operators'!$C$1:$E$10000,3,FALSE)</f>
        <v>MALAVE</v>
      </c>
      <c r="M49" s="6">
        <f t="shared" si="20"/>
        <v>2.5509259256068617E-2</v>
      </c>
      <c r="N49" s="7">
        <f t="shared" si="21"/>
        <v>36.733333328738809</v>
      </c>
      <c r="O49" s="7"/>
      <c r="P49" s="7"/>
      <c r="Q49" s="25"/>
      <c r="R49" s="25"/>
      <c r="S49" s="37">
        <f t="shared" si="22"/>
        <v>1</v>
      </c>
      <c r="T49" s="52" t="str">
        <f t="shared" si="23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07:13:03-0600',mode:absolute,to:'2016-10-02 09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49" s="54" t="str">
        <f t="shared" si="25"/>
        <v>N</v>
      </c>
      <c r="X49" s="164">
        <f t="shared" si="26"/>
        <v>1</v>
      </c>
      <c r="Y49" s="69">
        <f t="shared" si="27"/>
        <v>4.7100000000000003E-2</v>
      </c>
      <c r="Z49" s="69">
        <f t="shared" si="28"/>
        <v>23.3247</v>
      </c>
      <c r="AA49" s="69">
        <f t="shared" si="29"/>
        <v>23.2776</v>
      </c>
      <c r="AB49" s="66" t="str">
        <f>VLOOKUP(A49,Enforcements!$C$7:$K$21,8,0)</f>
        <v>Bulletin (2)</v>
      </c>
      <c r="AC49" s="62" t="str">
        <f>VLOOKUP(A49,Enforcements!$C$7:$E$21,3,0)</f>
        <v>GRADE CROSSING</v>
      </c>
      <c r="AD49" s="63" t="str">
        <f t="shared" si="30"/>
        <v>0137-02</v>
      </c>
      <c r="AE49" s="95" t="str">
        <f t="shared" si="31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49" s="92" t="str">
        <f t="shared" si="32"/>
        <v>"C:\Program Files (x86)\AstroGrep\AstroGrep.exe" /spath="%USERPROFILE%\AppData\Local\Temp\OnboardLogs" /stypes="app*4007*20161002*" /stext=" 14:.+((SYSTEM_STATE.+slice.+state.+changed )|(ment ac)|(system.+state.+changed )|(\[timeout)|(PRM\|1\|D)|(kpr)|(kdp)|(\|lc)|(penalty))" /e /r /s</v>
      </c>
      <c r="AG49" s="1" t="str">
        <f t="shared" si="33"/>
        <v>EC</v>
      </c>
      <c r="AH49" s="96" t="str">
        <f t="shared" si="17"/>
        <v>"%USERPROFILE%\Documents\GitHub\eaglep3\Utilities\RefineRTDCRunTimes.py" --tripid 137-02 --locoid 4007 --swversion DE.1.0.7.0 --startMP 204:471 --initTime 2016-10-02T08:13:03 --startdatetime 2016-10-02T08:15:20 --delay 0 --endMP 204:233247 --enddatetime 2016-10-02T08:52:04 --enforcementcount 0 &gt;&gt;C:\Users\stu\Documents\GitHub\eaglep3-reporting\EC\2016-10-02-refined-times.txt</v>
      </c>
      <c r="AI4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{"issue":{"subject":"","project_id":79,"tracker_id":40,"status_id":1,"priority_id":2,"assigned_to_id":23,"start_date":"2016-10-02","description":"","custom_fields":[{"id":1,"name":"Subdivision","value":"EC"},{"id":4,"name":"Milepost","value":"23.3247"},{"id":17,"name":"Train ID","value":"137-02"},{"id":16,"name":"Locomotive ID","value":"4007"},{"id":130,"name":"Impact","value":""},{"id":150,"name":"Time of Event (Mountain Time)","value":"08:52:04"},{"id":151,"name":"Denver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465</v>
      </c>
      <c r="B50" s="7">
        <v>4008</v>
      </c>
      <c r="C50" s="24" t="s">
        <v>106</v>
      </c>
      <c r="D50" s="24" t="s">
        <v>466</v>
      </c>
      <c r="E50" s="15">
        <v>42645.382152777776</v>
      </c>
      <c r="F50" s="15">
        <v>42645.383113425924</v>
      </c>
      <c r="G50" s="7">
        <v>1</v>
      </c>
      <c r="H50" s="15" t="s">
        <v>205</v>
      </c>
      <c r="I50" s="15">
        <v>42645.420937499999</v>
      </c>
      <c r="J50" s="7">
        <v>0</v>
      </c>
      <c r="K50" s="117" t="str">
        <f t="shared" si="19"/>
        <v>4007/4008</v>
      </c>
      <c r="L50" s="24" t="str">
        <f>VLOOKUP(A50,'Trips&amp;Operators'!$C$1:$E$10000,3,FALSE)</f>
        <v>MALAVE</v>
      </c>
      <c r="M50" s="6">
        <f t="shared" si="20"/>
        <v>3.7824074075615499E-2</v>
      </c>
      <c r="N50" s="7">
        <f t="shared" si="21"/>
        <v>54.466666668886319</v>
      </c>
      <c r="O50" s="7"/>
      <c r="P50" s="7"/>
      <c r="Q50" s="25"/>
      <c r="R50" s="25" t="s">
        <v>725</v>
      </c>
      <c r="S50" s="37">
        <f t="shared" si="22"/>
        <v>1</v>
      </c>
      <c r="T50" s="52" t="str">
        <f t="shared" si="23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08:10:18-0600',mode:absolute,to:'2016-10-02 11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50" s="54" t="str">
        <f t="shared" si="25"/>
        <v>N</v>
      </c>
      <c r="X50" s="164">
        <f t="shared" si="26"/>
        <v>1</v>
      </c>
      <c r="Y50" s="69">
        <f t="shared" si="27"/>
        <v>23.294499999999999</v>
      </c>
      <c r="Z50" s="69">
        <f t="shared" si="28"/>
        <v>1.4999999999999999E-2</v>
      </c>
      <c r="AA50" s="69">
        <f t="shared" si="29"/>
        <v>23.279499999999999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30"/>
        <v>0138-02</v>
      </c>
      <c r="AE50" s="95" t="str">
        <f t="shared" si="31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50" s="92" t="str">
        <f t="shared" si="32"/>
        <v>"C:\Program Files (x86)\AstroGrep\AstroGrep.exe" /spath="%USERPROFILE%\AppData\Local\Temp\OnboardLogs" /stypes="app*4008*20161002*" /stext=" 16:.+((SYSTEM_STATE.+slice.+state.+changed )|(ment ac)|(system.+state.+changed )|(\[timeout)|(PRM\|1\|D)|(kpr)|(kdp)|(\|lc)|(penalty))" /e /r /s</v>
      </c>
      <c r="AG50" s="1" t="str">
        <f t="shared" si="33"/>
        <v>EC</v>
      </c>
      <c r="AH50" s="96" t="str">
        <f t="shared" si="17"/>
        <v>"%USERPROFILE%\Documents\GitHub\eaglep3\Utilities\RefineRTDCRunTimes.py" --tripid 138-02 --locoid 4008 --swversion DE.1.0.7.0 --startMP 204:232945 --initTime 2016-10-02T09:10:18 --startdatetime 2016-10-02T09:11:41 --delay 1 --endMP 204:150 --enddatetime 2016-10-02T10:06:09 --enforcementcount 0 &gt;&gt;C:\Users\stu\Documents\GitHub\eaglep3-reporting\EC\2016-10-02-refined-times.txt</v>
      </c>
      <c r="AI50" s="130" t="str">
        <f t="shared" si="18"/>
        <v>echo {"issue":{"subject":"Delayed at Pena 4S due to CP 61st main/standby issue","project_id":79,"tracker_id":40,"status_id":1,"priority_id":2,"assigned_to_id":23,"start_date":"2016-10-02","description":"","custom_fields":[{"id":1,"name":"Subdivision","value":"EC"},{"id":4,"name":"Milepost","value":"0.015"},{"id":17,"name":"Train ID","value":"138-02"},{"id":16,"name":"Locomotive ID","value":"4008"},{"id":130,"name":"Impact","value":""},{"id":150,"name":"Time of Event (Mountain Time)","value":"10:06:09"},{"id":151,"name":"Denver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467</v>
      </c>
      <c r="B51" s="7">
        <v>4031</v>
      </c>
      <c r="C51" s="24" t="s">
        <v>106</v>
      </c>
      <c r="D51" s="24" t="s">
        <v>468</v>
      </c>
      <c r="E51" s="15">
        <v>42645.348715277774</v>
      </c>
      <c r="F51" s="15">
        <v>42645.354467592595</v>
      </c>
      <c r="G51" s="7">
        <v>2</v>
      </c>
      <c r="H51" s="15" t="s">
        <v>469</v>
      </c>
      <c r="I51" s="15">
        <v>42645.380856481483</v>
      </c>
      <c r="J51" s="7">
        <v>0</v>
      </c>
      <c r="K51" s="117" t="str">
        <f t="shared" si="19"/>
        <v>4031/4032</v>
      </c>
      <c r="L51" s="24" t="str">
        <f>VLOOKUP(A51,'Trips&amp;Operators'!$C$1:$E$10000,3,FALSE)</f>
        <v>STRICKLAND</v>
      </c>
      <c r="M51" s="6">
        <f t="shared" si="20"/>
        <v>2.6388888887595385E-2</v>
      </c>
      <c r="N51" s="7">
        <f t="shared" si="21"/>
        <v>37.999999998137355</v>
      </c>
      <c r="O51" s="7"/>
      <c r="P51" s="7"/>
      <c r="Q51" s="25"/>
      <c r="R51" s="25"/>
      <c r="S51" s="37">
        <f t="shared" si="22"/>
        <v>1</v>
      </c>
      <c r="T51" s="52" t="str">
        <f t="shared" si="23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07:22:09-0600',mode:absolute,to:'2016-10-02 10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25"/>
        <v>N</v>
      </c>
      <c r="X51" s="164">
        <f t="shared" si="26"/>
        <v>1</v>
      </c>
      <c r="Y51" s="69">
        <f t="shared" si="27"/>
        <v>4.6899999999999997E-2</v>
      </c>
      <c r="Z51" s="69">
        <f t="shared" si="28"/>
        <v>23.332000000000001</v>
      </c>
      <c r="AA51" s="69">
        <f t="shared" si="29"/>
        <v>23.2851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30"/>
        <v>0139-02</v>
      </c>
      <c r="AE51" s="95" t="str">
        <f t="shared" si="31"/>
        <v>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 &amp; aws s3 cp s3://rtdc.mdm.uploadarchive.raw/RTDC4031/ "%USERPROFILE%\AppData\Local\Temp\OnboardLogs"\RTDC4031\2016-10-03 --exclude "*" --recursive --include "*20161003*" &amp; "%USERPROFILE%\Documents\GitHub\mrs-test-scripts\Headless Mode &amp; Sideloading\WalkAndUnGZ.bat" "%USERPROFILE%\AppData\Local\Temp\OnboardLogs"\RTDC4031\2016-10-03</v>
      </c>
      <c r="AF51" s="92" t="str">
        <f t="shared" si="32"/>
        <v>"C:\Program Files (x86)\AstroGrep\AstroGrep.exe" /spath="%USERPROFILE%\AppData\Local\Temp\OnboardLogs" /stypes="app*4031*20161002*" /stext=" 15:.+((SYSTEM_STATE.+slice.+state.+changed )|(ment ac)|(system.+state.+changed )|(\[timeout)|(PRM\|1\|D)|(kpr)|(kdp)|(\|lc)|(penalty))" /e /r /s</v>
      </c>
      <c r="AG51" s="1" t="str">
        <f t="shared" si="33"/>
        <v>EC</v>
      </c>
      <c r="AH51" s="96" t="str">
        <f t="shared" si="17"/>
        <v>"%USERPROFILE%\Documents\GitHub\eaglep3\Utilities\RefineRTDCRunTimes.py" --tripid 139-02 --locoid 4031 --swversion DE.1.0.7.0 --startMP 204:469 --initTime 2016-10-02T08:22:09 --startdatetime 2016-10-02T08:30:26 --delay 2 --endMP 204:233320 --enddatetime 2016-10-02T09:08:26 --enforcementcount 0 &gt;&gt;C:\Users\stu\Documents\GitHub\eaglep3-reporting\EC\2016-10-02-refined-times.txt</v>
      </c>
      <c r="AI5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{"issue":{"subject":"","project_id":79,"tracker_id":40,"status_id":1,"priority_id":2,"assigned_to_id":23,"start_date":"2016-10-02","description":"","custom_fields":[{"id":1,"name":"Subdivision","value":"EC"},{"id":4,"name":"Milepost","value":"23.332"},{"id":17,"name":"Train ID","value":"139-02"},{"id":16,"name":"Locomotive ID","value":"4031"},{"id":130,"name":"Impact","value":""},{"id":150,"name":"Time of Event (Mountain Time)","value":"09:08:26"},{"id":151,"name":"Denver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470</v>
      </c>
      <c r="B52" s="7">
        <v>4032</v>
      </c>
      <c r="C52" s="24" t="s">
        <v>106</v>
      </c>
      <c r="D52" s="24" t="s">
        <v>255</v>
      </c>
      <c r="E52" s="15">
        <v>42645.389467592591</v>
      </c>
      <c r="F52" s="15">
        <v>42645.39806712963</v>
      </c>
      <c r="G52" s="7">
        <v>1</v>
      </c>
      <c r="H52" s="15" t="s">
        <v>471</v>
      </c>
      <c r="I52" s="15">
        <v>42645.43074074074</v>
      </c>
      <c r="J52" s="7">
        <v>0</v>
      </c>
      <c r="K52" s="117" t="str">
        <f t="shared" si="19"/>
        <v>4031/4032</v>
      </c>
      <c r="L52" s="24" t="str">
        <f>VLOOKUP(A52,'Trips&amp;Operators'!$C$1:$E$10000,3,FALSE)</f>
        <v>STRICKLAND</v>
      </c>
      <c r="M52" s="6">
        <f t="shared" si="20"/>
        <v>3.2673611109203193E-2</v>
      </c>
      <c r="N52" s="7">
        <f t="shared" si="21"/>
        <v>47.049999997252598</v>
      </c>
      <c r="O52" s="7"/>
      <c r="P52" s="7"/>
      <c r="Q52" s="25"/>
      <c r="R52" s="25"/>
      <c r="S52" s="37">
        <f t="shared" si="22"/>
        <v>1</v>
      </c>
      <c r="T52" s="52" t="str">
        <f t="shared" si="23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08:20:50-0600',mode:absolute,to:'2016-10-02 11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25"/>
        <v>N</v>
      </c>
      <c r="X52" s="164">
        <f t="shared" si="26"/>
        <v>1</v>
      </c>
      <c r="Y52" s="69">
        <f t="shared" si="27"/>
        <v>23.2988</v>
      </c>
      <c r="Z52" s="69">
        <f t="shared" si="28"/>
        <v>0.1188</v>
      </c>
      <c r="AA52" s="69">
        <f t="shared" si="29"/>
        <v>23.18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30"/>
        <v>0140-02</v>
      </c>
      <c r="AE52" s="95" t="str">
        <f t="shared" si="31"/>
        <v>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 &amp; 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</v>
      </c>
      <c r="AF52" s="92" t="str">
        <f t="shared" si="32"/>
        <v>"C:\Program Files (x86)\AstroGrep\AstroGrep.exe" /spath="%USERPROFILE%\AppData\Local\Temp\OnboardLogs" /stypes="app*4032*20161002*" /stext=" 16:.+((SYSTEM_STATE.+slice.+state.+changed )|(ment ac)|(system.+state.+changed )|(\[timeout)|(PRM\|1\|D)|(kpr)|(kdp)|(\|lc)|(penalty))" /e /r /s</v>
      </c>
      <c r="AG52" s="1" t="str">
        <f t="shared" si="33"/>
        <v>EC</v>
      </c>
      <c r="AH52" s="96" t="str">
        <f t="shared" si="17"/>
        <v>"%USERPROFILE%\Documents\GitHub\eaglep3\Utilities\RefineRTDCRunTimes.py" --tripid 140-02 --locoid 4032 --swversion DE.1.0.7.0 --startMP 204:232988 --initTime 2016-10-02T09:20:50 --startdatetime 2016-10-02T09:33:13 --delay 1 --endMP 204:1188 --enddatetime 2016-10-02T10:20:16 --enforcementcount 0 &gt;&gt;C:\Users\stu\Documents\GitHub\eaglep3-reporting\EC\2016-10-02-refined-times.txt</v>
      </c>
      <c r="AI5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{"issue":{"subject":"","project_id":79,"tracker_id":40,"status_id":1,"priority_id":2,"assigned_to_id":23,"start_date":"2016-10-02","description":"","custom_fields":[{"id":1,"name":"Subdivision","value":"EC"},{"id":4,"name":"Milepost","value":"0.1188"},{"id":17,"name":"Train ID","value":"140-02"},{"id":16,"name":"Locomotive ID","value":"4032"},{"id":130,"name":"Impact","value":""},{"id":150,"name":"Time of Event (Mountain Time)","value":"10:20:16"},{"id":151,"name":"Denver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472</v>
      </c>
      <c r="B53" s="7">
        <v>4020</v>
      </c>
      <c r="C53" s="24" t="s">
        <v>106</v>
      </c>
      <c r="D53" s="24" t="s">
        <v>473</v>
      </c>
      <c r="E53" s="15">
        <v>42645.361956018518</v>
      </c>
      <c r="F53" s="15">
        <v>42645.364895833336</v>
      </c>
      <c r="G53" s="7">
        <v>1</v>
      </c>
      <c r="H53" s="15" t="s">
        <v>474</v>
      </c>
      <c r="I53" s="15">
        <v>42645.383159722223</v>
      </c>
      <c r="J53" s="7">
        <v>0</v>
      </c>
      <c r="K53" s="117" t="str">
        <f t="shared" si="19"/>
        <v>4019/4020</v>
      </c>
      <c r="L53" s="24" t="str">
        <f>VLOOKUP(A53,'Trips&amp;Operators'!$C$1:$E$10000,3,FALSE)</f>
        <v>KILLION</v>
      </c>
      <c r="M53" s="6">
        <f t="shared" si="20"/>
        <v>1.8263888887304347E-2</v>
      </c>
      <c r="N53" s="7"/>
      <c r="O53" s="7"/>
      <c r="P53" s="7">
        <f t="shared" si="21"/>
        <v>26.29999999771826</v>
      </c>
      <c r="Q53" s="25"/>
      <c r="R53" s="25" t="s">
        <v>724</v>
      </c>
      <c r="S53" s="37">
        <f t="shared" si="22"/>
        <v>1</v>
      </c>
      <c r="T53" s="52" t="str">
        <f t="shared" si="23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07:41:13-0600',mode:absolute,to:'2016-10-02 10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3" s="54" t="str">
        <f t="shared" si="25"/>
        <v>Y</v>
      </c>
      <c r="X53" s="164">
        <f t="shared" si="26"/>
        <v>1</v>
      </c>
      <c r="Y53" s="69">
        <f t="shared" si="27"/>
        <v>4.2200000000000001E-2</v>
      </c>
      <c r="Z53" s="69">
        <f t="shared" si="28"/>
        <v>15.4435</v>
      </c>
      <c r="AA53" s="69">
        <f t="shared" si="29"/>
        <v>15.401300000000001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30"/>
        <v>0141-02</v>
      </c>
      <c r="AE53" s="95" t="str">
        <f t="shared" si="31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53" s="92" t="str">
        <f t="shared" si="32"/>
        <v>"C:\Program Files (x86)\AstroGrep\AstroGrep.exe" /spath="%USERPROFILE%\AppData\Local\Temp\OnboardLogs" /stypes="app*4020*20161002*" /stext=" 15:.+((SYSTEM_STATE.+slice.+state.+changed )|(ment ac)|(system.+state.+changed )|(\[timeout)|(PRM\|1\|D)|(kpr)|(kdp)|(\|lc)|(penalty))" /e /r /s</v>
      </c>
      <c r="AG53" s="1" t="str">
        <f t="shared" si="33"/>
        <v>EC</v>
      </c>
      <c r="AH53" s="96" t="str">
        <f t="shared" si="17"/>
        <v>"%USERPROFILE%\Documents\GitHub\eaglep3\Utilities\RefineRTDCRunTimes.py" --tripid 141-02 --locoid 4020 --swversion DE.1.0.7.0 --startMP 204:422 --initTime 2016-10-02T08:41:13 --startdatetime 2016-10-02T08:45:27 --delay 1 --endMP 204:154435 --enddatetime 2016-10-02T09:11:45 --enforcementcount 0 &gt;&gt;C:\Users\stu\Documents\GitHub\eaglep3-reporting\EC\2016-10-02-refined-times.txt</v>
      </c>
      <c r="AI53" s="130" t="str">
        <f t="shared" si="18"/>
        <v>echo {"issue":{"subject":"CP 61st main/standby transfer issue","project_id":79,"tracker_id":40,"status_id":1,"priority_id":2,"assigned_to_id":23,"start_date":"2016-10-02","description":"","custom_fields":[{"id":1,"name":"Subdivision","value":"EC"},{"id":4,"name":"Milepost","value":"15.4435"},{"id":17,"name":"Train ID","value":"141-02"},{"id":16,"name":"Locomotive ID","value":"4020"},{"id":130,"name":"Impact","value":""},{"id":150,"name":"Time of Event (Mountain Time)","value":"09:11:45"},{"id":151,"name":"Denver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475</v>
      </c>
      <c r="B54" s="7">
        <v>4019</v>
      </c>
      <c r="C54" s="24" t="s">
        <v>106</v>
      </c>
      <c r="D54" s="24" t="s">
        <v>248</v>
      </c>
      <c r="E54" s="15">
        <v>42645.405335648145</v>
      </c>
      <c r="F54" s="15">
        <v>42645.407731481479</v>
      </c>
      <c r="G54" s="7">
        <v>1</v>
      </c>
      <c r="H54" s="15" t="s">
        <v>223</v>
      </c>
      <c r="I54" s="15">
        <v>42645.435798611114</v>
      </c>
      <c r="J54" s="7">
        <v>0</v>
      </c>
      <c r="K54" s="117" t="str">
        <f t="shared" si="19"/>
        <v>4019/4020</v>
      </c>
      <c r="L54" s="24" t="str">
        <f>VLOOKUP(A54,'Trips&amp;Operators'!$C$1:$E$10000,3,FALSE)</f>
        <v>KILLION</v>
      </c>
      <c r="M54" s="6">
        <f t="shared" si="20"/>
        <v>2.8067129635019228E-2</v>
      </c>
      <c r="N54" s="7">
        <f t="shared" si="21"/>
        <v>40.416666674427688</v>
      </c>
      <c r="O54" s="7"/>
      <c r="P54" s="7"/>
      <c r="Q54" s="25"/>
      <c r="R54" s="25"/>
      <c r="S54" s="37">
        <f t="shared" si="22"/>
        <v>1</v>
      </c>
      <c r="T54" s="52" t="str">
        <f t="shared" si="23"/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08:43:41-0600',mode:absolute,to:'2016-10-02 11:27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4" s="54" t="str">
        <f t="shared" si="25"/>
        <v>N</v>
      </c>
      <c r="X54" s="164">
        <f t="shared" si="26"/>
        <v>1</v>
      </c>
      <c r="Y54" s="69">
        <f t="shared" si="27"/>
        <v>23.298100000000002</v>
      </c>
      <c r="Z54" s="69">
        <f t="shared" si="28"/>
        <v>1.4500000000000001E-2</v>
      </c>
      <c r="AA54" s="69">
        <f t="shared" si="29"/>
        <v>23.2836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30"/>
        <v>0142-02</v>
      </c>
      <c r="AE54" s="95" t="str">
        <f t="shared" si="31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54" s="92" t="str">
        <f t="shared" si="32"/>
        <v>"C:\Program Files (x86)\AstroGrep\AstroGrep.exe" /spath="%USERPROFILE%\AppData\Local\Temp\OnboardLogs" /stypes="app*4019*20161002*" /stext=" 16:.+((SYSTEM_STATE.+slice.+state.+changed )|(ment ac)|(system.+state.+changed )|(\[timeout)|(PRM\|1\|D)|(kpr)|(kdp)|(\|lc)|(penalty))" /e /r /s</v>
      </c>
      <c r="AG54" s="1" t="str">
        <f t="shared" si="33"/>
        <v>EC</v>
      </c>
      <c r="AH54" s="96" t="str">
        <f t="shared" si="17"/>
        <v>"%USERPROFILE%\Documents\GitHub\eaglep3\Utilities\RefineRTDCRunTimes.py" --tripid 142-02 --locoid 4019 --swversion DE.1.0.7.0 --startMP 204:232981 --initTime 2016-10-02T09:43:41 --startdatetime 2016-10-02T09:47:08 --delay 1 --endMP 204:145 --enddatetime 2016-10-02T10:27:33 --enforcementcount 0 &gt;&gt;C:\Users\stu\Documents\GitHub\eaglep3-reporting\EC\2016-10-02-refined-times.txt</v>
      </c>
      <c r="AI5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{"issue":{"subject":"","project_id":79,"tracker_id":40,"status_id":1,"priority_id":2,"assigned_to_id":23,"start_date":"2016-10-02","description":"","custom_fields":[{"id":1,"name":"Subdivision","value":"EC"},{"id":4,"name":"Milepost","value":"0.0145"},{"id":17,"name":"Train ID","value":"142-02"},{"id":16,"name":"Locomotive ID","value":"4019"},{"id":130,"name":"Impact","value":""},{"id":150,"name":"Time of Event (Mountain Time)","value":"10:27:33"},{"id":151,"name":"Denver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476</v>
      </c>
      <c r="B55" s="7">
        <v>4042</v>
      </c>
      <c r="C55" s="24" t="s">
        <v>106</v>
      </c>
      <c r="D55" s="24" t="s">
        <v>201</v>
      </c>
      <c r="E55" s="15">
        <v>42645.370150462964</v>
      </c>
      <c r="F55" s="15">
        <v>42645.375173611108</v>
      </c>
      <c r="G55" s="7">
        <v>1</v>
      </c>
      <c r="H55" s="15" t="s">
        <v>477</v>
      </c>
      <c r="I55" s="15">
        <v>42645.390798611108</v>
      </c>
      <c r="J55" s="7">
        <v>0</v>
      </c>
      <c r="K55" s="117" t="str">
        <f t="shared" si="19"/>
        <v>4041/4042</v>
      </c>
      <c r="L55" s="24" t="str">
        <f>VLOOKUP(A55,'Trips&amp;Operators'!$C$1:$E$10000,3,FALSE)</f>
        <v>YORK</v>
      </c>
      <c r="M55" s="6">
        <f t="shared" si="20"/>
        <v>1.5625E-2</v>
      </c>
      <c r="N55" s="7"/>
      <c r="O55" s="7"/>
      <c r="P55" s="7">
        <f t="shared" si="21"/>
        <v>22.5</v>
      </c>
      <c r="Q55" s="25"/>
      <c r="R55" s="25" t="s">
        <v>724</v>
      </c>
      <c r="S55" s="37">
        <f t="shared" si="22"/>
        <v>1</v>
      </c>
      <c r="T55" s="52" t="str">
        <f t="shared" si="23"/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07:53:01-0600',mode:absolute,to:'2016-10-02 10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5" s="54" t="str">
        <f t="shared" si="25"/>
        <v>Y</v>
      </c>
      <c r="X55" s="164">
        <f t="shared" si="26"/>
        <v>1</v>
      </c>
      <c r="Y55" s="69">
        <f t="shared" si="27"/>
        <v>4.7100000000000003E-2</v>
      </c>
      <c r="Z55" s="69">
        <f t="shared" si="28"/>
        <v>12.342599999999999</v>
      </c>
      <c r="AA55" s="69">
        <f t="shared" si="29"/>
        <v>12.295499999999999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30"/>
        <v>0143-02</v>
      </c>
      <c r="AE55" s="95" t="str">
        <f t="shared" si="31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55" s="92" t="str">
        <f t="shared" si="32"/>
        <v>"C:\Program Files (x86)\AstroGrep\AstroGrep.exe" /spath="%USERPROFILE%\AppData\Local\Temp\OnboardLogs" /stypes="app*4042*20161002*" /stext=" 15:.+((SYSTEM_STATE.+slice.+state.+changed )|(ment ac)|(system.+state.+changed )|(\[timeout)|(PRM\|1\|D)|(kpr)|(kdp)|(\|lc)|(penalty))" /e /r /s</v>
      </c>
      <c r="AG55" s="1" t="str">
        <f t="shared" si="33"/>
        <v>EC</v>
      </c>
      <c r="AH55" s="96" t="str">
        <f t="shared" si="17"/>
        <v>"%USERPROFILE%\Documents\GitHub\eaglep3\Utilities\RefineRTDCRunTimes.py" --tripid 143-02 --locoid 4042 --swversion DE.1.0.7.0 --startMP 204:471 --initTime 2016-10-02T08:53:01 --startdatetime 2016-10-02T09:00:15 --delay 1 --endMP 204:123426 --enddatetime 2016-10-02T09:22:45 --enforcementcount 0 &gt;&gt;C:\Users\stu\Documents\GitHub\eaglep3-reporting\EC\2016-10-02-refined-times.txt</v>
      </c>
      <c r="AI55" s="130" t="str">
        <f t="shared" si="18"/>
        <v>echo {"issue":{"subject":"CP 61st main/standby transfer issue","project_id":79,"tracker_id":40,"status_id":1,"priority_id":2,"assigned_to_id":23,"start_date":"2016-10-02","description":"","custom_fields":[{"id":1,"name":"Subdivision","value":"EC"},{"id":4,"name":"Milepost","value":"12.3426"},{"id":17,"name":"Train ID","value":"143-02"},{"id":16,"name":"Locomotive ID","value":"4042"},{"id":130,"name":"Impact","value":""},{"id":150,"name":"Time of Event (Mountain Time)","value":"09:22:45"},{"id":151,"name":"Denver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478</v>
      </c>
      <c r="B56" s="7">
        <v>4041</v>
      </c>
      <c r="C56" s="24" t="s">
        <v>106</v>
      </c>
      <c r="D56" s="24" t="s">
        <v>270</v>
      </c>
      <c r="E56" s="15">
        <v>42645.410034722219</v>
      </c>
      <c r="F56" s="15">
        <v>42645.414525462962</v>
      </c>
      <c r="G56" s="7">
        <v>1</v>
      </c>
      <c r="H56" s="15" t="s">
        <v>205</v>
      </c>
      <c r="I56" s="15">
        <v>42645.441076388888</v>
      </c>
      <c r="J56" s="7">
        <v>0</v>
      </c>
      <c r="K56" s="117" t="str">
        <f t="shared" si="19"/>
        <v>4041/4042</v>
      </c>
      <c r="L56" s="24" t="str">
        <f>VLOOKUP(A56,'Trips&amp;Operators'!$C$1:$E$10000,3,FALSE)</f>
        <v>YORK</v>
      </c>
      <c r="M56" s="6">
        <f t="shared" si="20"/>
        <v>2.6550925926130731E-2</v>
      </c>
      <c r="N56" s="7">
        <f t="shared" si="21"/>
        <v>38.233333333628252</v>
      </c>
      <c r="O56" s="7"/>
      <c r="P56" s="7"/>
      <c r="Q56" s="25"/>
      <c r="R56" s="25"/>
      <c r="S56" s="37">
        <f t="shared" si="22"/>
        <v>1</v>
      </c>
      <c r="T56" s="52" t="str">
        <f t="shared" si="23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08:50:27-0600',mode:absolute,to:'2016-10-02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6" s="54" t="str">
        <f t="shared" si="25"/>
        <v>N</v>
      </c>
      <c r="X56" s="164">
        <f t="shared" si="26"/>
        <v>1</v>
      </c>
      <c r="Y56" s="69">
        <f t="shared" si="27"/>
        <v>23.297799999999999</v>
      </c>
      <c r="Z56" s="69">
        <f t="shared" si="28"/>
        <v>1.4999999999999999E-2</v>
      </c>
      <c r="AA56" s="69">
        <f t="shared" si="29"/>
        <v>23.282799999999998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30"/>
        <v>0144-02</v>
      </c>
      <c r="AE56" s="95" t="str">
        <f t="shared" si="31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56" s="92" t="str">
        <f t="shared" si="32"/>
        <v>"C:\Program Files (x86)\AstroGrep\AstroGrep.exe" /spath="%USERPROFILE%\AppData\Local\Temp\OnboardLogs" /stypes="app*4041*20161002*" /stext=" 16:.+((SYSTEM_STATE.+slice.+state.+changed )|(ment ac)|(system.+state.+changed )|(\[timeout)|(PRM\|1\|D)|(kpr)|(kdp)|(\|lc)|(penalty))" /e /r /s</v>
      </c>
      <c r="AG56" s="1" t="str">
        <f t="shared" si="33"/>
        <v>EC</v>
      </c>
      <c r="AH56" s="96" t="str">
        <f t="shared" si="17"/>
        <v>"%USERPROFILE%\Documents\GitHub\eaglep3\Utilities\RefineRTDCRunTimes.py" --tripid 144-02 --locoid 4041 --swversion DE.1.0.7.0 --startMP 204:232978 --initTime 2016-10-02T09:50:27 --startdatetime 2016-10-02T09:56:55 --delay 1 --endMP 204:150 --enddatetime 2016-10-02T10:35:09 --enforcementcount 0 &gt;&gt;C:\Users\stu\Documents\GitHub\eaglep3-reporting\EC\2016-10-02-refined-times.txt</v>
      </c>
      <c r="AI5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{"issue":{"subject":"","project_id":79,"tracker_id":40,"status_id":1,"priority_id":2,"assigned_to_id":23,"start_date":"2016-10-02","description":"","custom_fields":[{"id":1,"name":"Subdivision","value":"EC"},{"id":4,"name":"Milepost","value":"0.015"},{"id":17,"name":"Train ID","value":"144-02"},{"id":16,"name":"Locomotive ID","value":"4041"},{"id":130,"name":"Impact","value":""},{"id":150,"name":"Time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479</v>
      </c>
      <c r="B57" s="7">
        <v>4016</v>
      </c>
      <c r="C57" s="24" t="s">
        <v>106</v>
      </c>
      <c r="D57" s="24" t="s">
        <v>204</v>
      </c>
      <c r="E57" s="15">
        <v>42645.381423611114</v>
      </c>
      <c r="F57" s="15">
        <v>42645.385729166665</v>
      </c>
      <c r="G57" s="7">
        <v>1</v>
      </c>
      <c r="H57" s="15" t="s">
        <v>432</v>
      </c>
      <c r="I57" s="15">
        <v>42645.41679398148</v>
      </c>
      <c r="J57" s="7">
        <v>0</v>
      </c>
      <c r="K57" s="117" t="str">
        <f t="shared" si="19"/>
        <v>4015/4016</v>
      </c>
      <c r="L57" s="24" t="str">
        <f>VLOOKUP(A57,'Trips&amp;Operators'!$C$1:$E$10000,3,FALSE)</f>
        <v>ACKERMAN</v>
      </c>
      <c r="M57" s="6">
        <f t="shared" si="20"/>
        <v>3.1064814815181307E-2</v>
      </c>
      <c r="N57" s="7">
        <f t="shared" si="21"/>
        <v>44.733333333861083</v>
      </c>
      <c r="O57" s="7"/>
      <c r="P57" s="7"/>
      <c r="Q57" s="25"/>
      <c r="R57" s="25"/>
      <c r="S57" s="37">
        <f t="shared" si="22"/>
        <v>1</v>
      </c>
      <c r="T57" s="52" t="str">
        <f t="shared" si="23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08:09:15-0600',mode:absolute,to:'2016-10-02 11:00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7" s="54" t="str">
        <f t="shared" si="25"/>
        <v>N</v>
      </c>
      <c r="X57" s="164">
        <f t="shared" si="26"/>
        <v>1</v>
      </c>
      <c r="Y57" s="69">
        <f t="shared" si="27"/>
        <v>4.53E-2</v>
      </c>
      <c r="Z57" s="69">
        <f t="shared" si="28"/>
        <v>23.329699999999999</v>
      </c>
      <c r="AA57" s="69">
        <f t="shared" si="29"/>
        <v>23.284399999999998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30"/>
        <v>0145-02</v>
      </c>
      <c r="AE57" s="95" t="str">
        <f t="shared" si="31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57" s="92" t="str">
        <f t="shared" si="32"/>
        <v>"C:\Program Files (x86)\AstroGrep\AstroGrep.exe" /spath="%USERPROFILE%\AppData\Local\Temp\OnboardLogs" /stypes="app*4016*20161002*" /stext=" 16:.+((SYSTEM_STATE.+slice.+state.+changed )|(ment ac)|(system.+state.+changed )|(\[timeout)|(PRM\|1\|D)|(kpr)|(kdp)|(\|lc)|(penalty))" /e /r /s</v>
      </c>
      <c r="AG57" s="1" t="str">
        <f t="shared" si="33"/>
        <v>EC</v>
      </c>
      <c r="AH57" s="96" t="str">
        <f t="shared" si="17"/>
        <v>"%USERPROFILE%\Documents\GitHub\eaglep3\Utilities\RefineRTDCRunTimes.py" --tripid 145-02 --locoid 4016 --swversion DE.1.0.7.0 --startMP 204:453 --initTime 2016-10-02T09:09:15 --startdatetime 2016-10-02T09:15:27 --delay 1 --endMP 204:233297 --enddatetime 2016-10-02T10:00:11 --enforcementcount 0 &gt;&gt;C:\Users\stu\Documents\GitHub\eaglep3-reporting\EC\2016-10-02-refined-times.txt</v>
      </c>
      <c r="AI5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{"issue":{"subject":"","project_id":79,"tracker_id":40,"status_id":1,"priority_id":2,"assigned_to_id":23,"start_date":"2016-10-02","description":"","custom_fields":[{"id":1,"name":"Subdivision","value":"EC"},{"id":4,"name":"Milepost","value":"23.3297"},{"id":17,"name":"Train ID","value":"145-02"},{"id":16,"name":"Locomotive ID","value":"4016"},{"id":130,"name":"Impact","value":""},{"id":150,"name":"Time of Event (Mountain Time)","value":"10:00:11"},{"id":151,"name":"Denver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480</v>
      </c>
      <c r="B58" s="7">
        <v>4015</v>
      </c>
      <c r="C58" s="24" t="s">
        <v>106</v>
      </c>
      <c r="D58" s="24" t="s">
        <v>248</v>
      </c>
      <c r="E58" s="15">
        <v>42645.420254629629</v>
      </c>
      <c r="F58" s="15">
        <v>42645.424618055556</v>
      </c>
      <c r="G58" s="7">
        <v>1</v>
      </c>
      <c r="H58" s="15" t="s">
        <v>205</v>
      </c>
      <c r="I58" s="15">
        <v>42645.453923611109</v>
      </c>
      <c r="J58" s="7">
        <v>0</v>
      </c>
      <c r="K58" s="117" t="str">
        <f t="shared" si="19"/>
        <v>4015/4016</v>
      </c>
      <c r="L58" s="24" t="str">
        <f>VLOOKUP(A58,'Trips&amp;Operators'!$C$1:$E$10000,3,FALSE)</f>
        <v>ACKERMAN</v>
      </c>
      <c r="M58" s="6">
        <f t="shared" si="20"/>
        <v>2.9305555552127771E-2</v>
      </c>
      <c r="N58" s="7">
        <f t="shared" si="21"/>
        <v>42.19999999506399</v>
      </c>
      <c r="O58" s="7"/>
      <c r="P58" s="7"/>
      <c r="Q58" s="25"/>
      <c r="R58" s="25"/>
      <c r="S58" s="37">
        <f t="shared" si="22"/>
        <v>1</v>
      </c>
      <c r="T58" s="52" t="str">
        <f t="shared" si="23"/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09:05:10-0600',mode:absolute,to:'2016-10-02 11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8" s="54" t="str">
        <f t="shared" si="25"/>
        <v>N</v>
      </c>
      <c r="X58" s="164">
        <f t="shared" si="26"/>
        <v>1</v>
      </c>
      <c r="Y58" s="69">
        <f t="shared" si="27"/>
        <v>23.298100000000002</v>
      </c>
      <c r="Z58" s="69">
        <f t="shared" si="28"/>
        <v>1.4999999999999999E-2</v>
      </c>
      <c r="AA58" s="69">
        <f t="shared" si="29"/>
        <v>23.283100000000001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30"/>
        <v>0146-02</v>
      </c>
      <c r="AE58" s="95" t="str">
        <f t="shared" si="31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58" s="92" t="str">
        <f t="shared" si="32"/>
        <v>"C:\Program Files (x86)\AstroGrep\AstroGrep.exe" /spath="%USERPROFILE%\AppData\Local\Temp\OnboardLogs" /stypes="app*4015*20161002*" /stext=" 16:.+((SYSTEM_STATE.+slice.+state.+changed )|(ment ac)|(system.+state.+changed )|(\[timeout)|(PRM\|1\|D)|(kpr)|(kdp)|(\|lc)|(penalty))" /e /r /s</v>
      </c>
      <c r="AG58" s="1" t="str">
        <f t="shared" si="33"/>
        <v>EC</v>
      </c>
      <c r="AH58" s="96" t="str">
        <f t="shared" si="17"/>
        <v>"%USERPROFILE%\Documents\GitHub\eaglep3\Utilities\RefineRTDCRunTimes.py" --tripid 146-02 --locoid 4015 --swversion DE.1.0.7.0 --startMP 204:232981 --initTime 2016-10-02T10:05:10 --startdatetime 2016-10-02T10:11:27 --delay 1 --endMP 204:150 --enddatetime 2016-10-02T10:53:39 --enforcementcount 0 &gt;&gt;C:\Users\stu\Documents\GitHub\eaglep3-reporting\EC\2016-10-02-refined-times.txt</v>
      </c>
      <c r="AI5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{"issue":{"subject":"","project_id":79,"tracker_id":40,"status_id":1,"priority_id":2,"assigned_to_id":23,"start_date":"2016-10-02","description":"","custom_fields":[{"id":1,"name":"Subdivision","value":"EC"},{"id":4,"name":"Milepost","value":"0.015"},{"id":17,"name":"Train ID","value":"146-02"},{"id":16,"name":"Locomotive ID","value":"4015"},{"id":130,"name":"Impact","value":""},{"id":150,"name":"Time of Event (Mountain Time)","value":"10:53:39"},{"id":151,"name":"Denver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481</v>
      </c>
      <c r="B59" s="7">
        <v>4053</v>
      </c>
      <c r="C59" s="24" t="s">
        <v>106</v>
      </c>
      <c r="D59" s="24" t="s">
        <v>208</v>
      </c>
      <c r="E59" s="15">
        <v>42645.393078703702</v>
      </c>
      <c r="F59" s="15">
        <v>42645.396122685182</v>
      </c>
      <c r="G59" s="7">
        <v>1</v>
      </c>
      <c r="H59" s="15" t="s">
        <v>247</v>
      </c>
      <c r="I59" s="15">
        <v>42645.423611111109</v>
      </c>
      <c r="J59" s="7">
        <v>0</v>
      </c>
      <c r="K59" s="117" t="str">
        <f t="shared" si="19"/>
        <v>4053/4054</v>
      </c>
      <c r="L59" s="24" t="str">
        <f>VLOOKUP(A59,'Trips&amp;Operators'!$C$1:$E$10000,3,FALSE)</f>
        <v>MAELZER</v>
      </c>
      <c r="M59" s="6">
        <f t="shared" si="20"/>
        <v>2.7488425927003846E-2</v>
      </c>
      <c r="N59" s="7">
        <f t="shared" si="21"/>
        <v>39.583333334885538</v>
      </c>
      <c r="O59" s="7"/>
      <c r="P59" s="7"/>
      <c r="Q59" s="25"/>
      <c r="R59" s="25"/>
      <c r="S59" s="37">
        <f t="shared" si="22"/>
        <v>1</v>
      </c>
      <c r="T59" s="52" t="str">
        <f t="shared" si="23"/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08:26:02-0600',mode:absolute,to:'2016-10-02 11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9" s="54" t="str">
        <f t="shared" si="25"/>
        <v>N</v>
      </c>
      <c r="X59" s="164">
        <f t="shared" si="26"/>
        <v>1</v>
      </c>
      <c r="Y59" s="69">
        <f t="shared" si="27"/>
        <v>4.5699999999999998E-2</v>
      </c>
      <c r="Z59" s="69">
        <f t="shared" si="28"/>
        <v>23.3307</v>
      </c>
      <c r="AA59" s="69">
        <f t="shared" si="29"/>
        <v>23.285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0"/>
        <v>0147-02</v>
      </c>
      <c r="AE59" s="95" t="str">
        <f t="shared" si="31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59" s="92" t="str">
        <f t="shared" si="32"/>
        <v>"C:\Program Files (x86)\AstroGrep\AstroGrep.exe" /spath="%USERPROFILE%\AppData\Local\Temp\OnboardLogs" /stypes="app*4053*20161002*" /stext=" 16:.+((SYSTEM_STATE.+slice.+state.+changed )|(ment ac)|(system.+state.+changed )|(\[timeout)|(PRM\|1\|D)|(kpr)|(kdp)|(\|lc)|(penalty))" /e /r /s</v>
      </c>
      <c r="AG59" s="1" t="str">
        <f t="shared" si="33"/>
        <v>EC</v>
      </c>
      <c r="AH59" s="96" t="str">
        <f t="shared" si="17"/>
        <v>"%USERPROFILE%\Documents\GitHub\eaglep3\Utilities\RefineRTDCRunTimes.py" --tripid 147-02 --locoid 4053 --swversion DE.1.0.7.0 --startMP 204:457 --initTime 2016-10-02T09:26:02 --startdatetime 2016-10-02T09:30:25 --delay 1 --endMP 204:233307 --enddatetime 2016-10-02T10:10:00 --enforcementcount 0 &gt;&gt;C:\Users\stu\Documents\GitHub\eaglep3-reporting\EC\2016-10-02-refined-times.txt</v>
      </c>
      <c r="AI5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{"issue":{"subject":"","project_id":79,"tracker_id":40,"status_id":1,"priority_id":2,"assigned_to_id":23,"start_date":"2016-10-02","description":"","custom_fields":[{"id":1,"name":"Subdivision","value":"EC"},{"id":4,"name":"Milepost","value":"23.3307"},{"id":17,"name":"Train ID","value":"147-02"},{"id":16,"name":"Locomotive ID","value":"4053"},{"id":130,"name":"Impact","value":""},{"id":150,"name":"Time of Event (Mountain Time)","value":"10:10:00"},{"id":151,"name":"Denver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482</v>
      </c>
      <c r="B60" s="7">
        <v>4054</v>
      </c>
      <c r="C60" s="24" t="s">
        <v>106</v>
      </c>
      <c r="D60" s="24" t="s">
        <v>293</v>
      </c>
      <c r="E60" s="15">
        <v>42645.429513888892</v>
      </c>
      <c r="F60" s="15">
        <v>42645.434999999998</v>
      </c>
      <c r="G60" s="7">
        <v>1</v>
      </c>
      <c r="H60" s="15" t="s">
        <v>225</v>
      </c>
      <c r="I60" s="15">
        <v>42645.461516203701</v>
      </c>
      <c r="J60" s="7">
        <v>0</v>
      </c>
      <c r="K60" s="117" t="str">
        <f t="shared" si="19"/>
        <v>4053/4054</v>
      </c>
      <c r="L60" s="24" t="str">
        <f>VLOOKUP(A60,'Trips&amp;Operators'!$C$1:$E$10000,3,FALSE)</f>
        <v>MAELZER</v>
      </c>
      <c r="M60" s="6">
        <f t="shared" si="20"/>
        <v>2.6516203703067731E-2</v>
      </c>
      <c r="N60" s="7">
        <f t="shared" si="21"/>
        <v>38.183333332417533</v>
      </c>
      <c r="O60" s="7"/>
      <c r="P60" s="7"/>
      <c r="Q60" s="25"/>
      <c r="R60" s="25"/>
      <c r="S60" s="37">
        <f t="shared" si="22"/>
        <v>1</v>
      </c>
      <c r="T60" s="52" t="str">
        <f t="shared" si="23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09:18:30-0600',mode:absolute,to:'2016-10-02 12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0" s="54" t="str">
        <f t="shared" si="25"/>
        <v>N</v>
      </c>
      <c r="X60" s="164">
        <f t="shared" si="26"/>
        <v>1</v>
      </c>
      <c r="Y60" s="69">
        <f t="shared" si="27"/>
        <v>23.299600000000002</v>
      </c>
      <c r="Z60" s="69">
        <f t="shared" si="28"/>
        <v>1.41E-2</v>
      </c>
      <c r="AA60" s="69">
        <f t="shared" si="29"/>
        <v>23.285500000000003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30"/>
        <v>0148-02</v>
      </c>
      <c r="AE60" s="95" t="str">
        <f t="shared" si="31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60" s="92" t="str">
        <f t="shared" si="32"/>
        <v>"C:\Program Files (x86)\AstroGrep\AstroGrep.exe" /spath="%USERPROFILE%\AppData\Local\Temp\OnboardLogs" /stypes="app*4054*20161002*" /stext=" 17:.+((SYSTEM_STATE.+slice.+state.+changed )|(ment ac)|(system.+state.+changed )|(\[timeout)|(PRM\|1\|D)|(kpr)|(kdp)|(\|lc)|(penalty))" /e /r /s</v>
      </c>
      <c r="AG60" s="1" t="str">
        <f t="shared" si="33"/>
        <v>EC</v>
      </c>
      <c r="AH60" s="96" t="str">
        <f t="shared" si="17"/>
        <v>"%USERPROFILE%\Documents\GitHub\eaglep3\Utilities\RefineRTDCRunTimes.py" --tripid 148-02 --locoid 4054 --swversion DE.1.0.7.0 --startMP 204:232996 --initTime 2016-10-02T10:18:30 --startdatetime 2016-10-02T10:26:24 --delay 1 --endMP 204:141 --enddatetime 2016-10-02T11:04:35 --enforcementcount 0 &gt;&gt;C:\Users\stu\Documents\GitHub\eaglep3-reporting\EC\2016-10-02-refined-times.txt</v>
      </c>
      <c r="AI60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{"issue":{"subject":"","project_id":79,"tracker_id":40,"status_id":1,"priority_id":2,"assigned_to_id":23,"start_date":"2016-10-02","description":"","custom_fields":[{"id":1,"name":"Subdivision","value":"EC"},{"id":4,"name":"Milepost","value":"0.0141"},{"id":17,"name":"Train ID","value":"148-02"},{"id":16,"name":"Locomotive ID","value":"4054"},{"id":130,"name":"Impact","value":""},{"id":150,"name":"Time of Event (Mountain Time)","value":"11:04:35"},{"id":151,"name":"Denver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483</v>
      </c>
      <c r="B61" s="7">
        <v>4014</v>
      </c>
      <c r="C61" s="24" t="s">
        <v>106</v>
      </c>
      <c r="D61" s="24" t="s">
        <v>233</v>
      </c>
      <c r="E61" s="15">
        <v>42645.401944444442</v>
      </c>
      <c r="F61" s="15">
        <v>42645.407129629632</v>
      </c>
      <c r="G61" s="7">
        <v>1</v>
      </c>
      <c r="H61" s="15" t="s">
        <v>484</v>
      </c>
      <c r="I61" s="15">
        <v>42645.434270833335</v>
      </c>
      <c r="J61" s="7">
        <v>0</v>
      </c>
      <c r="K61" s="117" t="str">
        <f t="shared" si="19"/>
        <v>4013/4014</v>
      </c>
      <c r="L61" s="24" t="str">
        <f>VLOOKUP(A61,'Trips&amp;Operators'!$C$1:$E$10000,3,FALSE)</f>
        <v>DAVIS</v>
      </c>
      <c r="M61" s="6">
        <f t="shared" si="20"/>
        <v>2.7141203703649808E-2</v>
      </c>
      <c r="N61" s="7">
        <f t="shared" si="21"/>
        <v>39.083333333255723</v>
      </c>
      <c r="O61" s="7"/>
      <c r="P61" s="7"/>
      <c r="Q61" s="25"/>
      <c r="R61" s="25"/>
      <c r="S61" s="37">
        <f t="shared" si="22"/>
        <v>1</v>
      </c>
      <c r="T61" s="52" t="str">
        <f t="shared" si="23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08:38:48-0600',mode:absolute,to:'2016-10-02 11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25"/>
        <v>N</v>
      </c>
      <c r="X61" s="164">
        <f t="shared" si="26"/>
        <v>1</v>
      </c>
      <c r="Y61" s="69">
        <f t="shared" si="27"/>
        <v>4.6399999999999997E-2</v>
      </c>
      <c r="Z61" s="69">
        <f t="shared" si="28"/>
        <v>23.331</v>
      </c>
      <c r="AA61" s="69">
        <f t="shared" si="29"/>
        <v>23.284600000000001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0"/>
        <v>0149-02</v>
      </c>
      <c r="AE61" s="95" t="str">
        <f t="shared" si="31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61" s="92" t="str">
        <f t="shared" si="32"/>
        <v>"C:\Program Files (x86)\AstroGrep\AstroGrep.exe" /spath="%USERPROFILE%\AppData\Local\Temp\OnboardLogs" /stypes="app*4014*20161002*" /stext=" 16:.+((SYSTEM_STATE.+slice.+state.+changed )|(ment ac)|(system.+state.+changed )|(\[timeout)|(PRM\|1\|D)|(kpr)|(kdp)|(\|lc)|(penalty))" /e /r /s</v>
      </c>
      <c r="AG61" s="1" t="str">
        <f t="shared" si="33"/>
        <v>EC</v>
      </c>
      <c r="AH61" s="96" t="str">
        <f t="shared" si="17"/>
        <v>"%USERPROFILE%\Documents\GitHub\eaglep3\Utilities\RefineRTDCRunTimes.py" --tripid 149-02 --locoid 4014 --swversion DE.1.0.7.0 --startMP 204:464 --initTime 2016-10-02T09:38:48 --startdatetime 2016-10-02T09:46:16 --delay 1 --endMP 204:233310 --enddatetime 2016-10-02T10:25:21 --enforcementcount 0 &gt;&gt;C:\Users\stu\Documents\GitHub\eaglep3-reporting\EC\2016-10-02-refined-times.txt</v>
      </c>
      <c r="AI6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{"issue":{"subject":"","project_id":79,"tracker_id":40,"status_id":1,"priority_id":2,"assigned_to_id":23,"start_date":"2016-10-02","description":"","custom_fields":[{"id":1,"name":"Subdivision","value":"EC"},{"id":4,"name":"Milepost","value":"23.331"},{"id":17,"name":"Train ID","value":"149-02"},{"id":16,"name":"Locomotive ID","value":"4014"},{"id":130,"name":"Impact","value":""},{"id":150,"name":"Time of Event (Mountain Time)","value":"10:25:21"},{"id":151,"name":"Denver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485</v>
      </c>
      <c r="B62" s="7">
        <v>4013</v>
      </c>
      <c r="C62" s="24" t="s">
        <v>106</v>
      </c>
      <c r="D62" s="24" t="s">
        <v>419</v>
      </c>
      <c r="E62" s="15">
        <v>42645.443414351852</v>
      </c>
      <c r="F62" s="15">
        <v>42645.445300925923</v>
      </c>
      <c r="G62" s="7">
        <v>1</v>
      </c>
      <c r="H62" s="15" t="s">
        <v>219</v>
      </c>
      <c r="I62" s="15">
        <v>42645.476793981485</v>
      </c>
      <c r="J62" s="7">
        <v>0</v>
      </c>
      <c r="K62" s="117" t="str">
        <f t="shared" si="19"/>
        <v>4013/4014</v>
      </c>
      <c r="L62" s="24" t="str">
        <f>VLOOKUP(A62,'Trips&amp;Operators'!$C$1:$E$10000,3,FALSE)</f>
        <v>DAVIS</v>
      </c>
      <c r="M62" s="6">
        <f t="shared" si="20"/>
        <v>3.1493055561440997E-2</v>
      </c>
      <c r="N62" s="7">
        <f t="shared" si="21"/>
        <v>45.350000008475035</v>
      </c>
      <c r="O62" s="7"/>
      <c r="P62" s="7"/>
      <c r="Q62" s="25"/>
      <c r="R62" s="25"/>
      <c r="S62" s="37">
        <f t="shared" si="22"/>
        <v>1</v>
      </c>
      <c r="T62" s="52" t="str">
        <f t="shared" si="23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09:38:31-0600',mode:absolute,to:'2016-10-02 12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25"/>
        <v>N</v>
      </c>
      <c r="X62" s="164">
        <f t="shared" si="26"/>
        <v>1</v>
      </c>
      <c r="Y62" s="69">
        <f t="shared" si="27"/>
        <v>23.299800000000001</v>
      </c>
      <c r="Z62" s="69">
        <f t="shared" si="28"/>
        <v>1.5599999999999999E-2</v>
      </c>
      <c r="AA62" s="69">
        <f t="shared" si="29"/>
        <v>23.284200000000002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0"/>
        <v>0150-02</v>
      </c>
      <c r="AE62" s="95" t="str">
        <f t="shared" si="31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62" s="92" t="str">
        <f t="shared" si="32"/>
        <v>"C:\Program Files (x86)\AstroGrep\AstroGrep.exe" /spath="%USERPROFILE%\AppData\Local\Temp\OnboardLogs" /stypes="app*4013*20161002*" /stext=" 17:.+((SYSTEM_STATE.+slice.+state.+changed )|(ment ac)|(system.+state.+changed )|(\[timeout)|(PRM\|1\|D)|(kpr)|(kdp)|(\|lc)|(penalty))" /e /r /s</v>
      </c>
      <c r="AG62" s="1" t="str">
        <f t="shared" si="33"/>
        <v>EC</v>
      </c>
      <c r="AH62" s="96" t="str">
        <f t="shared" si="17"/>
        <v>"%USERPROFILE%\Documents\GitHub\eaglep3\Utilities\RefineRTDCRunTimes.py" --tripid 150-02 --locoid 4013 --swversion DE.1.0.7.0 --startMP 204:232998 --initTime 2016-10-02T10:38:31 --startdatetime 2016-10-02T10:41:14 --delay 1 --endMP 204:156 --enddatetime 2016-10-02T11:26:35 --enforcementcount 0 &gt;&gt;C:\Users\stu\Documents\GitHub\eaglep3-reporting\EC\2016-10-02-refined-times.txt</v>
      </c>
      <c r="AI6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{"issue":{"subject":"","project_id":79,"tracker_id":40,"status_id":1,"priority_id":2,"assigned_to_id":23,"start_date":"2016-10-02","description":"","custom_fields":[{"id":1,"name":"Subdivision","value":"EC"},{"id":4,"name":"Milepost","value":"0.0156"},{"id":17,"name":"Train ID","value":"150-02"},{"id":16,"name":"Locomotive ID","value":"4013"},{"id":130,"name":"Impact","value":""},{"id":150,"name":"Time of Event (Mountain Time)","value":"11:26:35"},{"id":151,"name":"Denver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486</v>
      </c>
      <c r="B63" s="7">
        <v>4025</v>
      </c>
      <c r="C63" s="24" t="s">
        <v>106</v>
      </c>
      <c r="D63" s="24" t="s">
        <v>468</v>
      </c>
      <c r="E63" s="15">
        <v>42645.411087962966</v>
      </c>
      <c r="F63" s="15">
        <v>42645.417037037034</v>
      </c>
      <c r="G63" s="7">
        <v>2</v>
      </c>
      <c r="H63" s="15" t="s">
        <v>487</v>
      </c>
      <c r="I63" s="15">
        <v>42645.442106481481</v>
      </c>
      <c r="J63" s="7">
        <v>0</v>
      </c>
      <c r="K63" s="117" t="str">
        <f t="shared" si="19"/>
        <v>4025/4026</v>
      </c>
      <c r="L63" s="24" t="str">
        <f>VLOOKUP(A63,'Trips&amp;Operators'!$C$1:$E$10000,3,FALSE)</f>
        <v>ROBINSON</v>
      </c>
      <c r="M63" s="6">
        <f t="shared" si="20"/>
        <v>2.5069444447581191E-2</v>
      </c>
      <c r="N63" s="7">
        <f t="shared" si="21"/>
        <v>36.100000004516914</v>
      </c>
      <c r="O63" s="7"/>
      <c r="P63" s="7"/>
      <c r="Q63" s="25"/>
      <c r="R63" s="25"/>
      <c r="S63" s="37">
        <f t="shared" si="22"/>
        <v>1</v>
      </c>
      <c r="T63" s="52" t="str">
        <f t="shared" si="23"/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08:51:58-0600',mode:absolute,to:'2016-10-02 11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3" s="54" t="str">
        <f t="shared" si="25"/>
        <v>N</v>
      </c>
      <c r="X63" s="164">
        <f t="shared" si="26"/>
        <v>1</v>
      </c>
      <c r="Y63" s="69">
        <f t="shared" si="27"/>
        <v>4.6899999999999997E-2</v>
      </c>
      <c r="Z63" s="69">
        <f t="shared" si="28"/>
        <v>23.331800000000001</v>
      </c>
      <c r="AA63" s="69">
        <f t="shared" si="29"/>
        <v>23.2849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0"/>
        <v>0151-02</v>
      </c>
      <c r="AE63" s="95" t="str">
        <f t="shared" si="31"/>
        <v>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 &amp; 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</v>
      </c>
      <c r="AF63" s="92" t="str">
        <f t="shared" si="32"/>
        <v>"C:\Program Files (x86)\AstroGrep\AstroGrep.exe" /spath="%USERPROFILE%\AppData\Local\Temp\OnboardLogs" /stypes="app*4025*20161002*" /stext=" 16:.+((SYSTEM_STATE.+slice.+state.+changed )|(ment ac)|(system.+state.+changed )|(\[timeout)|(PRM\|1\|D)|(kpr)|(kdp)|(\|lc)|(penalty))" /e /r /s</v>
      </c>
      <c r="AG63" s="1" t="str">
        <f t="shared" si="33"/>
        <v>EC</v>
      </c>
      <c r="AH63" s="96" t="str">
        <f t="shared" si="17"/>
        <v>"%USERPROFILE%\Documents\GitHub\eaglep3\Utilities\RefineRTDCRunTimes.py" --tripid 151-02 --locoid 4025 --swversion DE.1.0.7.0 --startMP 204:469 --initTime 2016-10-02T09:51:58 --startdatetime 2016-10-02T10:00:32 --delay 2 --endMP 204:233318 --enddatetime 2016-10-02T10:36:38 --enforcementcount 0 &gt;&gt;C:\Users\stu\Documents\GitHub\eaglep3-reporting\EC\2016-10-02-refined-times.txt</v>
      </c>
      <c r="AI63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{"issue":{"subject":"","project_id":79,"tracker_id":40,"status_id":1,"priority_id":2,"assigned_to_id":23,"start_date":"2016-10-02","description":"","custom_fields":[{"id":1,"name":"Subdivision","value":"EC"},{"id":4,"name":"Milepost","value":"23.3318"},{"id":17,"name":"Train ID","value":"151-02"},{"id":16,"name":"Locomotive ID","value":"4025"},{"id":130,"name":"Impact","value":""},{"id":150,"name":"Time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488</v>
      </c>
      <c r="B64" s="7">
        <v>4026</v>
      </c>
      <c r="C64" s="24" t="s">
        <v>106</v>
      </c>
      <c r="D64" s="24" t="s">
        <v>460</v>
      </c>
      <c r="E64" s="15">
        <v>42645.443796296298</v>
      </c>
      <c r="F64" s="15">
        <v>42645.455706018518</v>
      </c>
      <c r="G64" s="7">
        <v>1</v>
      </c>
      <c r="H64" s="15" t="s">
        <v>489</v>
      </c>
      <c r="I64" s="15">
        <v>42645.484722222223</v>
      </c>
      <c r="J64" s="7">
        <v>0</v>
      </c>
      <c r="K64" s="117" t="str">
        <f t="shared" si="19"/>
        <v>4025/4026</v>
      </c>
      <c r="L64" s="24" t="str">
        <f>VLOOKUP(A64,'Trips&amp;Operators'!$C$1:$E$10000,3,FALSE)</f>
        <v>ROBINSON</v>
      </c>
      <c r="M64" s="6">
        <f t="shared" si="20"/>
        <v>2.9016203705396038E-2</v>
      </c>
      <c r="N64" s="7">
        <f t="shared" si="21"/>
        <v>41.783333335770294</v>
      </c>
      <c r="O64" s="7"/>
      <c r="P64" s="7"/>
      <c r="Q64" s="25"/>
      <c r="R64" s="25"/>
      <c r="S64" s="37">
        <f t="shared" si="22"/>
        <v>1</v>
      </c>
      <c r="T64" s="52" t="str">
        <f t="shared" si="23"/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09:39:04-0600',mode:absolute,to:'2016-10-02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4" s="54" t="str">
        <f t="shared" si="25"/>
        <v>N</v>
      </c>
      <c r="X64" s="164">
        <f t="shared" si="26"/>
        <v>1</v>
      </c>
      <c r="Y64" s="69">
        <f t="shared" si="27"/>
        <v>23.299399999999999</v>
      </c>
      <c r="Z64" s="69">
        <f t="shared" si="28"/>
        <v>1.78E-2</v>
      </c>
      <c r="AA64" s="69">
        <f t="shared" si="29"/>
        <v>23.281599999999997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0"/>
        <v>0152-02</v>
      </c>
      <c r="AE64" s="95" t="str">
        <f t="shared" si="31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64" s="92" t="str">
        <f t="shared" si="32"/>
        <v>"C:\Program Files (x86)\AstroGrep\AstroGrep.exe" /spath="%USERPROFILE%\AppData\Local\Temp\OnboardLogs" /stypes="app*4026*20161002*" /stext=" 17:.+((SYSTEM_STATE.+slice.+state.+changed )|(ment ac)|(system.+state.+changed )|(\[timeout)|(PRM\|1\|D)|(kpr)|(kdp)|(\|lc)|(penalty))" /e /r /s</v>
      </c>
      <c r="AG64" s="1" t="str">
        <f t="shared" si="33"/>
        <v>EC</v>
      </c>
      <c r="AH64" s="96" t="str">
        <f t="shared" si="17"/>
        <v>"%USERPROFILE%\Documents\GitHub\eaglep3\Utilities\RefineRTDCRunTimes.py" --tripid 152-02 --locoid 4026 --swversion DE.1.0.7.0 --startMP 204:232994 --initTime 2016-10-02T10:39:04 --startdatetime 2016-10-02T10:56:13 --delay 1 --endMP 204:178 --enddatetime 2016-10-02T11:38:00 --enforcementcount 0 &gt;&gt;C:\Users\stu\Documents\GitHub\eaglep3-reporting\EC\2016-10-02-refined-times.txt</v>
      </c>
      <c r="AI6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{"issue":{"subject":"","project_id":79,"tracker_id":40,"status_id":1,"priority_id":2,"assigned_to_id":23,"start_date":"2016-10-02","description":"","custom_fields":[{"id":1,"name":"Subdivision","value":"EC"},{"id":4,"name":"Milepost","value":"0.0178"},{"id":17,"name":"Train ID","value":"152-02"},{"id":16,"name":"Locomotive ID","value":"4026"},{"id":130,"name":"Impact","value":""},{"id":150,"name":"Time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490</v>
      </c>
      <c r="B65" s="7">
        <v>4007</v>
      </c>
      <c r="C65" s="24" t="s">
        <v>106</v>
      </c>
      <c r="D65" s="24" t="s">
        <v>211</v>
      </c>
      <c r="E65" s="15">
        <v>42645.425312500003</v>
      </c>
      <c r="F65" s="15">
        <v>42645.427303240744</v>
      </c>
      <c r="G65" s="7">
        <v>1</v>
      </c>
      <c r="H65" s="15" t="s">
        <v>362</v>
      </c>
      <c r="I65" s="15">
        <v>42645.452615740738</v>
      </c>
      <c r="J65" s="7">
        <v>0</v>
      </c>
      <c r="K65" s="117" t="str">
        <f t="shared" si="19"/>
        <v>4007/4008</v>
      </c>
      <c r="L65" s="24" t="str">
        <f>VLOOKUP(A65,'Trips&amp;Operators'!$C$1:$E$10000,3,FALSE)</f>
        <v>MALAVE</v>
      </c>
      <c r="M65" s="6">
        <f t="shared" si="20"/>
        <v>2.5312499994470272E-2</v>
      </c>
      <c r="N65" s="7">
        <f t="shared" si="21"/>
        <v>36.449999992037192</v>
      </c>
      <c r="O65" s="7"/>
      <c r="P65" s="7"/>
      <c r="Q65" s="25"/>
      <c r="R65" s="25"/>
      <c r="S65" s="37">
        <f t="shared" si="22"/>
        <v>1</v>
      </c>
      <c r="T65" s="52" t="str">
        <f t="shared" si="23"/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09:12:27-0600',mode:absolute,to:'2016-10-02 11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65" s="54" t="str">
        <f t="shared" si="25"/>
        <v>N</v>
      </c>
      <c r="X65" s="164">
        <f t="shared" si="26"/>
        <v>1</v>
      </c>
      <c r="Y65" s="69">
        <f t="shared" si="27"/>
        <v>4.5499999999999999E-2</v>
      </c>
      <c r="Z65" s="69">
        <f t="shared" si="28"/>
        <v>23.328900000000001</v>
      </c>
      <c r="AA65" s="69">
        <f t="shared" si="29"/>
        <v>23.2834</v>
      </c>
      <c r="AB65" s="66" t="str">
        <f>VLOOKUP(A65,Enforcements!$C$7:$K$21,8,0)</f>
        <v>Bulletin (2)</v>
      </c>
      <c r="AC65" s="62" t="str">
        <f>VLOOKUP(A65,Enforcements!$C$7:$E$21,3,0)</f>
        <v>GRADE CROSSING</v>
      </c>
      <c r="AD65" s="63" t="str">
        <f t="shared" si="30"/>
        <v>0153-02</v>
      </c>
      <c r="AE65" s="95" t="str">
        <f t="shared" si="31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65" s="92" t="str">
        <f t="shared" si="32"/>
        <v>"C:\Program Files (x86)\AstroGrep\AstroGrep.exe" /spath="%USERPROFILE%\AppData\Local\Temp\OnboardLogs" /stypes="app*4007*20161002*" /stext=" 16:.+((SYSTEM_STATE.+slice.+state.+changed )|(ment ac)|(system.+state.+changed )|(\[timeout)|(PRM\|1\|D)|(kpr)|(kdp)|(\|lc)|(penalty))" /e /r /s</v>
      </c>
      <c r="AG65" s="1" t="str">
        <f t="shared" si="33"/>
        <v>EC</v>
      </c>
      <c r="AH65" s="96" t="str">
        <f t="shared" si="17"/>
        <v>"%USERPROFILE%\Documents\GitHub\eaglep3\Utilities\RefineRTDCRunTimes.py" --tripid 153-02 --locoid 4007 --swversion DE.1.0.7.0 --startMP 204:455 --initTime 2016-10-02T10:12:27 --startdatetime 2016-10-02T10:15:19 --delay 1 --endMP 204:233289 --enddatetime 2016-10-02T10:51:46 --enforcementcount 0 &gt;&gt;C:\Users\stu\Documents\GitHub\eaglep3-reporting\EC\2016-10-02-refined-times.txt</v>
      </c>
      <c r="AI6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ID","value":"153-02"},{"id":16,"name":"Locomotive ID","value":"4007"},{"id":130,"name":"Impact","value":""},{"id":150,"name":"Time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491</v>
      </c>
      <c r="B66" s="7">
        <v>4008</v>
      </c>
      <c r="C66" s="24" t="s">
        <v>106</v>
      </c>
      <c r="D66" s="24" t="s">
        <v>248</v>
      </c>
      <c r="E66" s="15">
        <v>42645.464305555557</v>
      </c>
      <c r="F66" s="15">
        <v>42645.466400462959</v>
      </c>
      <c r="G66" s="7">
        <v>0</v>
      </c>
      <c r="H66" s="15" t="s">
        <v>200</v>
      </c>
      <c r="I66" s="15">
        <v>42645.493657407409</v>
      </c>
      <c r="J66" s="7">
        <v>0</v>
      </c>
      <c r="K66" s="117" t="str">
        <f t="shared" si="19"/>
        <v>4007/4008</v>
      </c>
      <c r="L66" s="24" t="str">
        <f>VLOOKUP(A66,'Trips&amp;Operators'!$C$1:$E$10000,3,FALSE)</f>
        <v>MALAVE</v>
      </c>
      <c r="M66" s="6">
        <f t="shared" si="20"/>
        <v>2.7256944449618459E-2</v>
      </c>
      <c r="N66" s="7">
        <f t="shared" si="21"/>
        <v>39.250000007450581</v>
      </c>
      <c r="O66" s="7"/>
      <c r="P66" s="7"/>
      <c r="Q66" s="25"/>
      <c r="R66" s="25"/>
      <c r="S66" s="37">
        <f t="shared" si="22"/>
        <v>1</v>
      </c>
      <c r="T66" s="52" t="str">
        <f t="shared" si="23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10:08:36-0600',mode:absolute,to:'2016-10-02 12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66" s="54" t="str">
        <f t="shared" si="25"/>
        <v>N</v>
      </c>
      <c r="X66" s="164">
        <f t="shared" si="26"/>
        <v>1</v>
      </c>
      <c r="Y66" s="69">
        <f t="shared" si="27"/>
        <v>23.298100000000002</v>
      </c>
      <c r="Z66" s="69">
        <f t="shared" si="28"/>
        <v>1.6E-2</v>
      </c>
      <c r="AA66" s="69">
        <f t="shared" si="29"/>
        <v>23.282100000000003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30"/>
        <v>0154-02</v>
      </c>
      <c r="AE66" s="95" t="str">
        <f t="shared" si="31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66" s="92" t="str">
        <f t="shared" si="32"/>
        <v>"C:\Program Files (x86)\AstroGrep\AstroGrep.exe" /spath="%USERPROFILE%\AppData\Local\Temp\OnboardLogs" /stypes="app*4008*20161002*" /stext=" 17:.+((SYSTEM_STATE.+slice.+state.+changed )|(ment ac)|(system.+state.+changed )|(\[timeout)|(PRM\|1\|D)|(kpr)|(kdp)|(\|lc)|(penalty))" /e /r /s</v>
      </c>
      <c r="AG66" s="1" t="str">
        <f t="shared" si="33"/>
        <v>EC</v>
      </c>
      <c r="AH66" s="96" t="str">
        <f t="shared" si="17"/>
        <v>"%USERPROFILE%\Documents\GitHub\eaglep3\Utilities\RefineRTDCRunTimes.py" --tripid 154-02 --locoid 4008 --swversion DE.1.0.7.0 --startMP 204:232981 --initTime 2016-10-02T11:08:36 --startdatetime 2016-10-02T11:11:37 --delay 0 --endMP 204:160 --enddatetime 2016-10-02T11:50:52 --enforcementcount 0 &gt;&gt;C:\Users\stu\Documents\GitHub\eaglep3-reporting\EC\2016-10-02-refined-times.txt</v>
      </c>
      <c r="AI6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ID","value":"154-02"},{"id":16,"name":"Locomotive ID","value":"4008"},{"id":130,"name":"Impact","value":""},{"id":150,"name":"Time of Event (Mountain Time)","value":"11:50:52"},{"id":151,"name":"Denver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492</v>
      </c>
      <c r="B67" s="7">
        <v>4020</v>
      </c>
      <c r="C67" s="24" t="s">
        <v>106</v>
      </c>
      <c r="D67" s="24" t="s">
        <v>212</v>
      </c>
      <c r="E67" s="15">
        <v>42645.437268518515</v>
      </c>
      <c r="F67" s="15">
        <v>42645.439189814817</v>
      </c>
      <c r="G67" s="7">
        <v>1</v>
      </c>
      <c r="H67" s="15" t="s">
        <v>493</v>
      </c>
      <c r="I67" s="15">
        <v>42645.474224537036</v>
      </c>
      <c r="J67" s="7">
        <v>0</v>
      </c>
      <c r="K67" s="117" t="str">
        <f t="shared" si="19"/>
        <v>4019/4020</v>
      </c>
      <c r="L67" s="24" t="str">
        <f>VLOOKUP(A67,'Trips&amp;Operators'!$C$1:$E$10000,3,FALSE)</f>
        <v>CLARK</v>
      </c>
      <c r="M67" s="6">
        <f t="shared" si="20"/>
        <v>3.5034722219279502E-2</v>
      </c>
      <c r="N67" s="7">
        <f t="shared" si="21"/>
        <v>50.449999995762482</v>
      </c>
      <c r="O67" s="7"/>
      <c r="P67" s="7"/>
      <c r="Q67" s="25"/>
      <c r="R67" s="25"/>
      <c r="S67" s="37">
        <f t="shared" si="22"/>
        <v>1</v>
      </c>
      <c r="T67" s="52" t="str">
        <f t="shared" si="23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09:29:40-0600',mode:absolute,to:'2016-10-02 12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7" s="54" t="str">
        <f t="shared" si="25"/>
        <v>N</v>
      </c>
      <c r="X67" s="164">
        <f t="shared" si="26"/>
        <v>1</v>
      </c>
      <c r="Y67" s="69">
        <f t="shared" si="27"/>
        <v>4.58E-2</v>
      </c>
      <c r="Z67" s="69">
        <f t="shared" si="28"/>
        <v>23.3249</v>
      </c>
      <c r="AA67" s="69">
        <f t="shared" si="29"/>
        <v>23.2791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30"/>
        <v>0155-02</v>
      </c>
      <c r="AE67" s="95" t="str">
        <f t="shared" si="31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67" s="92" t="str">
        <f t="shared" si="32"/>
        <v>"C:\Program Files (x86)\AstroGrep\AstroGrep.exe" /spath="%USERPROFILE%\AppData\Local\Temp\OnboardLogs" /stypes="app*4020*20161002*" /stext=" 17:.+((SYSTEM_STATE.+slice.+state.+changed )|(ment ac)|(system.+state.+changed )|(\[timeout)|(PRM\|1\|D)|(kpr)|(kdp)|(\|lc)|(penalty))" /e /r /s</v>
      </c>
      <c r="AG67" s="1" t="str">
        <f t="shared" si="33"/>
        <v>EC</v>
      </c>
      <c r="AH67" s="96" t="str">
        <f t="shared" si="17"/>
        <v>"%USERPROFILE%\Documents\GitHub\eaglep3\Utilities\RefineRTDCRunTimes.py" --tripid 155-02 --locoid 4020 --swversion DE.1.0.7.0 --startMP 204:458 --initTime 2016-10-02T10:29:40 --startdatetime 2016-10-02T10:32:26 --delay 1 --endMP 204:233249 --enddatetime 2016-10-02T11:22:53 --enforcementcount 0 &gt;&gt;C:\Users\stu\Documents\GitHub\eaglep3-reporting\EC\2016-10-02-refined-times.txt</v>
      </c>
      <c r="AI6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{"issue":{"subject":"","project_id":79,"tracker_id":40,"status_id":1,"priority_id":2,"assigned_to_id":23,"start_date":"2016-10-02","description":"","custom_fields":[{"id":1,"name":"Subdivision","value":"EC"},{"id":4,"name":"Milepost","value":"23.3249"},{"id":17,"name":"Train ID","value":"155-02"},{"id":16,"name":"Locomotive ID","value":"4020"},{"id":130,"name":"Impact","value":""},{"id":150,"name":"Time of Event (Mountain Time)","value":"11:22:53"},{"id":151,"name":"Denver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494</v>
      </c>
      <c r="B68" s="7">
        <v>4019</v>
      </c>
      <c r="C68" s="24" t="s">
        <v>106</v>
      </c>
      <c r="D68" s="24" t="s">
        <v>495</v>
      </c>
      <c r="E68" s="15">
        <v>42645.475428240738</v>
      </c>
      <c r="F68" s="15">
        <v>42645.477187500001</v>
      </c>
      <c r="G68" s="7">
        <v>1</v>
      </c>
      <c r="H68" s="15" t="s">
        <v>496</v>
      </c>
      <c r="I68" s="15">
        <v>42645.504606481481</v>
      </c>
      <c r="J68" s="7">
        <v>0</v>
      </c>
      <c r="K68" s="117" t="str">
        <f t="shared" si="19"/>
        <v>4019/4020</v>
      </c>
      <c r="L68" s="24" t="str">
        <f>VLOOKUP(A68,'Trips&amp;Operators'!$C$1:$E$10000,3,FALSE)</f>
        <v>CLARK</v>
      </c>
      <c r="M68" s="6">
        <f t="shared" si="20"/>
        <v>2.7418981480877846E-2</v>
      </c>
      <c r="N68" s="7">
        <f t="shared" si="21"/>
        <v>39.483333332464099</v>
      </c>
      <c r="O68" s="7"/>
      <c r="P68" s="7"/>
      <c r="Q68" s="25"/>
      <c r="R68" s="25"/>
      <c r="S68" s="37">
        <f t="shared" si="22"/>
        <v>1</v>
      </c>
      <c r="T68" s="52" t="str">
        <f t="shared" si="23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10:24:37-0600',mode:absolute,to:'2016-10-02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8" s="54" t="str">
        <f t="shared" si="25"/>
        <v>N</v>
      </c>
      <c r="X68" s="164">
        <f t="shared" si="26"/>
        <v>1</v>
      </c>
      <c r="Y68" s="69">
        <f t="shared" si="27"/>
        <v>23.292899999999999</v>
      </c>
      <c r="Z68" s="69">
        <f t="shared" si="28"/>
        <v>1.7399999999999999E-2</v>
      </c>
      <c r="AA68" s="69">
        <f t="shared" si="29"/>
        <v>23.275500000000001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30"/>
        <v>0156-02</v>
      </c>
      <c r="AE68" s="95" t="str">
        <f t="shared" si="31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68" s="92" t="str">
        <f t="shared" si="32"/>
        <v>"C:\Program Files (x86)\AstroGrep\AstroGrep.exe" /spath="%USERPROFILE%\AppData\Local\Temp\OnboardLogs" /stypes="app*4019*20161002*" /stext=" 18:.+((SYSTEM_STATE.+slice.+state.+changed )|(ment ac)|(system.+state.+changed )|(\[timeout)|(PRM\|1\|D)|(kpr)|(kdp)|(\|lc)|(penalty))" /e /r /s</v>
      </c>
      <c r="AG68" s="1" t="str">
        <f t="shared" si="33"/>
        <v>EC</v>
      </c>
      <c r="AH68" s="96" t="str">
        <f t="shared" si="17"/>
        <v>"%USERPROFILE%\Documents\GitHub\eaglep3\Utilities\RefineRTDCRunTimes.py" --tripid 156-02 --locoid 4019 --swversion DE.1.0.7.0 --startMP 204:232929 --initTime 2016-10-02T11:24:37 --startdatetime 2016-10-02T11:27:09 --delay 1 --endMP 204:174 --enddatetime 2016-10-02T12:06:38 --enforcementcount 0 &gt;&gt;C:\Users\stu\Documents\GitHub\eaglep3-reporting\EC\2016-10-02-refined-times.txt</v>
      </c>
      <c r="AI68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{"issue":{"subject":"","project_id":79,"tracker_id":40,"status_id":1,"priority_id":2,"assigned_to_id":23,"start_date":"2016-10-02","description":"","custom_fields":[{"id":1,"name":"Subdivision","value":"EC"},{"id":4,"name":"Milepost","value":"0.0174"},{"id":17,"name":"Train ID","value":"156-02"},{"id":16,"name":"Locomotive ID","value":"4019"},{"id":130,"name":"Impact","value":""},{"id":150,"name":"Time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497</v>
      </c>
      <c r="B69" s="7">
        <v>4042</v>
      </c>
      <c r="C69" s="24" t="s">
        <v>106</v>
      </c>
      <c r="D69" s="24" t="s">
        <v>213</v>
      </c>
      <c r="E69" s="15">
        <v>42645.442361111112</v>
      </c>
      <c r="F69" s="15">
        <v>42645.448171296295</v>
      </c>
      <c r="G69" s="7">
        <v>1</v>
      </c>
      <c r="H69" s="15" t="s">
        <v>446</v>
      </c>
      <c r="I69" s="15">
        <v>42645.480439814812</v>
      </c>
      <c r="J69" s="7">
        <v>0</v>
      </c>
      <c r="K69" s="117" t="str">
        <f t="shared" si="19"/>
        <v>4041/4042</v>
      </c>
      <c r="L69" s="24" t="str">
        <f>VLOOKUP(A69,'Trips&amp;Operators'!$C$1:$E$10000,3,FALSE)</f>
        <v>YORK</v>
      </c>
      <c r="M69" s="6">
        <f t="shared" si="20"/>
        <v>3.2268518516502809E-2</v>
      </c>
      <c r="N69" s="7">
        <f t="shared" si="21"/>
        <v>46.466666663764045</v>
      </c>
      <c r="O69" s="7"/>
      <c r="P69" s="7"/>
      <c r="Q69" s="25"/>
      <c r="R69" s="25"/>
      <c r="S69" s="37">
        <f t="shared" si="22"/>
        <v>1</v>
      </c>
      <c r="T69" s="52" t="str">
        <f t="shared" si="23"/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09:37:00-0600',mode:absolute,to:'2016-10-02 12:31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9" s="54" t="str">
        <f t="shared" si="25"/>
        <v>N</v>
      </c>
      <c r="X69" s="164">
        <f t="shared" si="26"/>
        <v>1</v>
      </c>
      <c r="Y69" s="69">
        <f t="shared" si="27"/>
        <v>4.5999999999999999E-2</v>
      </c>
      <c r="Z69" s="69">
        <f t="shared" si="28"/>
        <v>23.330400000000001</v>
      </c>
      <c r="AA69" s="69">
        <f t="shared" si="29"/>
        <v>23.284400000000002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0"/>
        <v>0157-02</v>
      </c>
      <c r="AE69" s="95" t="str">
        <f t="shared" si="31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69" s="92" t="str">
        <f t="shared" si="32"/>
        <v>"C:\Program Files (x86)\AstroGrep\AstroGrep.exe" /spath="%USERPROFILE%\AppData\Local\Temp\OnboardLogs" /stypes="app*4042*20161002*" /stext=" 17:.+((SYSTEM_STATE.+slice.+state.+changed )|(ment ac)|(system.+state.+changed )|(\[timeout)|(PRM\|1\|D)|(kpr)|(kdp)|(\|lc)|(penalty))" /e /r /s</v>
      </c>
      <c r="AG69" s="1" t="str">
        <f t="shared" si="33"/>
        <v>EC</v>
      </c>
      <c r="AH69" s="96" t="str">
        <f t="shared" si="17"/>
        <v>"%USERPROFILE%\Documents\GitHub\eaglep3\Utilities\RefineRTDCRunTimes.py" --tripid 157-02 --locoid 4042 --swversion DE.1.0.7.0 --startMP 204:460 --initTime 2016-10-02T10:37:00 --startdatetime 2016-10-02T10:45:22 --delay 1 --endMP 204:233304 --enddatetime 2016-10-02T11:31:50 --enforcementcount 0 &gt;&gt;C:\Users\stu\Documents\GitHub\eaglep3-reporting\EC\2016-10-02-refined-times.txt</v>
      </c>
      <c r="AI69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{"issue":{"subject":"","project_id":79,"tracker_id":40,"status_id":1,"priority_id":2,"assigned_to_id":23,"start_date":"2016-10-02","description":"","custom_fields":[{"id":1,"name":"Subdivision","value":"EC"},{"id":4,"name":"Milepost","value":"23.3304"},{"id":17,"name":"Train ID","value":"157-02"},{"id":16,"name":"Locomotive ID","value":"4042"},{"id":130,"name":"Impact","value":""},{"id":150,"name":"Time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498</v>
      </c>
      <c r="B70" s="7">
        <v>4041</v>
      </c>
      <c r="C70" s="24" t="s">
        <v>106</v>
      </c>
      <c r="D70" s="24" t="s">
        <v>256</v>
      </c>
      <c r="E70" s="15">
        <v>42645.481446759259</v>
      </c>
      <c r="F70" s="15">
        <v>42645.487361111111</v>
      </c>
      <c r="G70" s="7">
        <v>0</v>
      </c>
      <c r="H70" s="15" t="s">
        <v>127</v>
      </c>
      <c r="I70" s="15">
        <v>42645.513310185182</v>
      </c>
      <c r="J70" s="7">
        <v>0</v>
      </c>
      <c r="K70" s="117" t="str">
        <f t="shared" si="19"/>
        <v>4041/4042</v>
      </c>
      <c r="L70" s="24" t="str">
        <f>VLOOKUP(A70,'Trips&amp;Operators'!$C$1:$E$10000,3,FALSE)</f>
        <v>YORK</v>
      </c>
      <c r="M70" s="6">
        <f t="shared" si="20"/>
        <v>2.5949074071832001E-2</v>
      </c>
      <c r="N70" s="7">
        <f t="shared" si="21"/>
        <v>37.366666663438082</v>
      </c>
      <c r="O70" s="7"/>
      <c r="P70" s="7"/>
      <c r="Q70" s="25"/>
      <c r="R70" s="25"/>
      <c r="S70" s="37">
        <f t="shared" si="22"/>
        <v>1</v>
      </c>
      <c r="T70" s="52" t="str">
        <f t="shared" si="23"/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10:33:17-0600',mode:absolute,to:'2016-10-02 13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0" s="54" t="str">
        <f t="shared" si="25"/>
        <v>N</v>
      </c>
      <c r="X70" s="164">
        <f t="shared" si="26"/>
        <v>1</v>
      </c>
      <c r="Y70" s="69">
        <f t="shared" si="27"/>
        <v>23.299099999999999</v>
      </c>
      <c r="Z70" s="69">
        <f t="shared" si="28"/>
        <v>1.54E-2</v>
      </c>
      <c r="AA70" s="69">
        <f t="shared" si="29"/>
        <v>23.2837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0"/>
        <v>0158-02</v>
      </c>
      <c r="AE70" s="95" t="str">
        <f t="shared" si="31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70" s="92" t="str">
        <f t="shared" si="32"/>
        <v>"C:\Program Files (x86)\AstroGrep\AstroGrep.exe" /spath="%USERPROFILE%\AppData\Local\Temp\OnboardLogs" /stypes="app*4041*20161002*" /stext=" 18:.+((SYSTEM_STATE.+slice.+state.+changed )|(ment ac)|(system.+state.+changed )|(\[timeout)|(PRM\|1\|D)|(kpr)|(kdp)|(\|lc)|(penalty))" /e /r /s</v>
      </c>
      <c r="AG70" s="1" t="str">
        <f t="shared" si="33"/>
        <v>EC</v>
      </c>
      <c r="AH70" s="96" t="str">
        <f t="shared" si="17"/>
        <v>"%USERPROFILE%\Documents\GitHub\eaglep3\Utilities\RefineRTDCRunTimes.py" --tripid 158-02 --locoid 4041 --swversion DE.1.0.7.0 --startMP 204:232991 --initTime 2016-10-02T11:33:17 --startdatetime 2016-10-02T11:41:48 --delay 0 --endMP 204:154 --enddatetime 2016-10-02T12:19:10 --enforcementcount 0 &gt;&gt;C:\Users\stu\Documents\GitHub\eaglep3-reporting\EC\2016-10-02-refined-times.txt</v>
      </c>
      <c r="AI70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{"issue":{"subject":"","project_id":79,"tracker_id":40,"status_id":1,"priority_id":2,"assigned_to_id":23,"start_date":"2016-10-02","description":"","custom_fields":[{"id":1,"name":"Subdivision","value":"EC"},{"id":4,"name":"Milepost","value":"0.0154"},{"id":17,"name":"Train ID","value":"158-02"},{"id":16,"name":"Locomotive ID","value":"4041"},{"id":130,"name":"Impact","value":""},{"id":150,"name":"Time of Event (Mountain Time)","value":"12:19:10"},{"id":151,"name":"Denver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499</v>
      </c>
      <c r="B71" s="7">
        <v>4016</v>
      </c>
      <c r="C71" s="24" t="s">
        <v>106</v>
      </c>
      <c r="D71" s="24" t="s">
        <v>367</v>
      </c>
      <c r="E71" s="15">
        <v>42645.455810185187</v>
      </c>
      <c r="F71" s="15">
        <v>42645.458796296298</v>
      </c>
      <c r="G71" s="7">
        <v>2</v>
      </c>
      <c r="H71" s="15" t="s">
        <v>254</v>
      </c>
      <c r="I71" s="15">
        <v>42645.484722222223</v>
      </c>
      <c r="J71" s="7">
        <v>0</v>
      </c>
      <c r="K71" s="117" t="str">
        <f t="shared" si="19"/>
        <v>4015/4016</v>
      </c>
      <c r="L71" s="24" t="str">
        <f>VLOOKUP(A71,'Trips&amp;Operators'!$C$1:$E$10000,3,FALSE)</f>
        <v>STEWART</v>
      </c>
      <c r="M71" s="6">
        <f t="shared" si="20"/>
        <v>2.5925925925548654E-2</v>
      </c>
      <c r="N71" s="7">
        <f t="shared" si="21"/>
        <v>37.333333332790062</v>
      </c>
      <c r="O71" s="7"/>
      <c r="P71" s="7"/>
      <c r="Q71" s="25"/>
      <c r="R71" s="25"/>
      <c r="S71" s="37">
        <f t="shared" si="22"/>
        <v>1</v>
      </c>
      <c r="T71" s="52" t="str">
        <f t="shared" si="23"/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09:56:22-0600',mode:absolute,to:'2016-10-02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1" s="54" t="str">
        <f t="shared" si="25"/>
        <v>N</v>
      </c>
      <c r="X71" s="164">
        <f t="shared" si="26"/>
        <v>1</v>
      </c>
      <c r="Y71" s="69">
        <f t="shared" si="27"/>
        <v>4.4699999999999997E-2</v>
      </c>
      <c r="Z71" s="69">
        <f t="shared" si="28"/>
        <v>23.328800000000001</v>
      </c>
      <c r="AA71" s="69">
        <f t="shared" si="29"/>
        <v>23.284100000000002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0"/>
        <v>0159-02</v>
      </c>
      <c r="AE71" s="95" t="str">
        <f t="shared" si="31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71" s="92" t="str">
        <f t="shared" si="32"/>
        <v>"C:\Program Files (x86)\AstroGrep\AstroGrep.exe" /spath="%USERPROFILE%\AppData\Local\Temp\OnboardLogs" /stypes="app*4016*20161002*" /stext=" 17:.+((SYSTEM_STATE.+slice.+state.+changed )|(ment ac)|(system.+state.+changed )|(\[timeout)|(PRM\|1\|D)|(kpr)|(kdp)|(\|lc)|(penalty))" /e /r /s</v>
      </c>
      <c r="AG71" s="1" t="str">
        <f t="shared" si="33"/>
        <v>EC</v>
      </c>
      <c r="AH71" s="96" t="str">
        <f t="shared" si="17"/>
        <v>"%USERPROFILE%\Documents\GitHub\eaglep3\Utilities\RefineRTDCRunTimes.py" --tripid 159-02 --locoid 4016 --swversion DE.1.0.7.0 --startMP 204:447 --initTime 2016-10-02T10:56:22 --startdatetime 2016-10-02T11:00:40 --delay 2 --endMP 204:233288 --enddatetime 2016-10-02T11:38:00 --enforcementcount 0 &gt;&gt;C:\Users\stu\Documents\GitHub\eaglep3-reporting\EC\2016-10-02-refined-times.txt</v>
      </c>
      <c r="AI71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{"issue":{"subject":"","project_id":79,"tracker_id":40,"status_id":1,"priority_id":2,"assigned_to_id":23,"start_date":"2016-10-02","description":"","custom_fields":[{"id":1,"name":"Subdivision","value":"EC"},{"id":4,"name":"Milepost","value":"23.3288"},{"id":17,"name":"Train ID","value":"159-02"},{"id":16,"name":"Locomotive ID","value":"4016"},{"id":130,"name":"Impact","value":""},{"id":150,"name":"Time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500</v>
      </c>
      <c r="B72" s="7">
        <v>4015</v>
      </c>
      <c r="C72" s="24" t="s">
        <v>106</v>
      </c>
      <c r="D72" s="24" t="s">
        <v>358</v>
      </c>
      <c r="E72" s="15">
        <v>42645.494884259257</v>
      </c>
      <c r="F72" s="15">
        <v>42645.497488425928</v>
      </c>
      <c r="G72" s="7">
        <v>1</v>
      </c>
      <c r="H72" s="15" t="s">
        <v>127</v>
      </c>
      <c r="I72" s="15">
        <v>42645.525173611109</v>
      </c>
      <c r="J72" s="7">
        <v>0</v>
      </c>
      <c r="K72" s="117" t="str">
        <f t="shared" si="19"/>
        <v>4015/4016</v>
      </c>
      <c r="L72" s="24" t="str">
        <f>VLOOKUP(A72,'Trips&amp;Operators'!$C$1:$E$10000,3,FALSE)</f>
        <v>STEWART</v>
      </c>
      <c r="M72" s="6">
        <f t="shared" si="20"/>
        <v>2.7685185181326233E-2</v>
      </c>
      <c r="N72" s="7">
        <f t="shared" si="21"/>
        <v>39.866666661109775</v>
      </c>
      <c r="O72" s="7"/>
      <c r="P72" s="7"/>
      <c r="Q72" s="25"/>
      <c r="R72" s="25"/>
      <c r="S72" s="37">
        <f t="shared" si="22"/>
        <v>1</v>
      </c>
      <c r="T72" s="52" t="str">
        <f t="shared" si="23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10:52:38-0600',mode:absolute,to:'2016-10-02 13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2" s="54" t="str">
        <f t="shared" si="25"/>
        <v>N</v>
      </c>
      <c r="X72" s="164">
        <f t="shared" si="26"/>
        <v>1</v>
      </c>
      <c r="Y72" s="69">
        <f t="shared" si="27"/>
        <v>23.2971</v>
      </c>
      <c r="Z72" s="69">
        <f t="shared" si="28"/>
        <v>1.54E-2</v>
      </c>
      <c r="AA72" s="69">
        <f t="shared" si="29"/>
        <v>23.281700000000001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30"/>
        <v>0160-02</v>
      </c>
      <c r="AE72" s="95" t="str">
        <f t="shared" si="31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72" s="92" t="str">
        <f t="shared" si="32"/>
        <v>"C:\Program Files (x86)\AstroGrep\AstroGrep.exe" /spath="%USERPROFILE%\AppData\Local\Temp\OnboardLogs" /stypes="app*4015*20161002*" /stext=" 18:.+((SYSTEM_STATE.+slice.+state.+changed )|(ment ac)|(system.+state.+changed )|(\[timeout)|(PRM\|1\|D)|(kpr)|(kdp)|(\|lc)|(penalty))" /e /r /s</v>
      </c>
      <c r="AG72" s="1" t="str">
        <f t="shared" si="33"/>
        <v>EC</v>
      </c>
      <c r="AH72" s="96" t="str">
        <f t="shared" si="17"/>
        <v>"%USERPROFILE%\Documents\GitHub\eaglep3\Utilities\RefineRTDCRunTimes.py" --tripid 160-02 --locoid 4015 --swversion DE.1.0.7.0 --startMP 204:232971 --initTime 2016-10-02T11:52:38 --startdatetime 2016-10-02T11:56:23 --delay 1 --endMP 204:154 --enddatetime 2016-10-02T12:36:15 --enforcementcount 0 &gt;&gt;C:\Users\stu\Documents\GitHub\eaglep3-reporting\EC\2016-10-02-refined-times.txt</v>
      </c>
      <c r="AI72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{"issue":{"subject":"","project_id":79,"tracker_id":40,"status_id":1,"priority_id":2,"assigned_to_id":23,"start_date":"2016-10-02","description":"","custom_fields":[{"id":1,"name":"Subdivision","value":"EC"},{"id":4,"name":"Milepost","value":"0.0154"},{"id":17,"name":"Train ID","value":"160-02"},{"id":16,"name":"Locomotive ID","value":"4015"},{"id":130,"name":"Impact","value":""},{"id":150,"name":"Time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501</v>
      </c>
      <c r="B73" s="7">
        <v>4053</v>
      </c>
      <c r="C73" s="24" t="s">
        <v>106</v>
      </c>
      <c r="D73" s="24" t="s">
        <v>244</v>
      </c>
      <c r="E73" s="15">
        <v>42645.463761574072</v>
      </c>
      <c r="F73" s="15">
        <v>42645.4690162037</v>
      </c>
      <c r="G73" s="7">
        <v>1</v>
      </c>
      <c r="H73" s="15" t="s">
        <v>357</v>
      </c>
      <c r="I73" s="15">
        <v>42645.494606481479</v>
      </c>
      <c r="J73" s="7">
        <v>0</v>
      </c>
      <c r="K73" s="117" t="str">
        <f t="shared" si="19"/>
        <v>4053/4054</v>
      </c>
      <c r="L73" s="24" t="str">
        <f>VLOOKUP(A73,'Trips&amp;Operators'!$C$1:$E$10000,3,FALSE)</f>
        <v>BARTLETT</v>
      </c>
      <c r="M73" s="6">
        <f t="shared" si="20"/>
        <v>2.5590277778974269E-2</v>
      </c>
      <c r="N73" s="7">
        <f t="shared" si="21"/>
        <v>36.850000001722947</v>
      </c>
      <c r="O73" s="7"/>
      <c r="P73" s="7"/>
      <c r="Q73" s="25"/>
      <c r="R73" s="25"/>
      <c r="S73" s="37">
        <f t="shared" si="22"/>
        <v>1</v>
      </c>
      <c r="T73" s="52" t="str">
        <f t="shared" si="23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10:07:49-0600',mode:absolute,to:'2016-10-02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3" s="54" t="str">
        <f t="shared" si="25"/>
        <v>N</v>
      </c>
      <c r="X73" s="164">
        <f t="shared" si="26"/>
        <v>1</v>
      </c>
      <c r="Y73" s="69">
        <f t="shared" si="27"/>
        <v>4.4400000000000002E-2</v>
      </c>
      <c r="Z73" s="69">
        <f t="shared" si="28"/>
        <v>23.330200000000001</v>
      </c>
      <c r="AA73" s="69">
        <f t="shared" si="29"/>
        <v>23.285800000000002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0"/>
        <v>0161-02</v>
      </c>
      <c r="AE73" s="95" t="str">
        <f t="shared" si="31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73" s="92" t="str">
        <f t="shared" si="32"/>
        <v>"C:\Program Files (x86)\AstroGrep\AstroGrep.exe" /spath="%USERPROFILE%\AppData\Local\Temp\OnboardLogs" /stypes="app*4053*20161002*" /stext=" 17:.+((SYSTEM_STATE.+slice.+state.+changed )|(ment ac)|(system.+state.+changed )|(\[timeout)|(PRM\|1\|D)|(kpr)|(kdp)|(\|lc)|(penalty))" /e /r /s</v>
      </c>
      <c r="AG73" s="1" t="str">
        <f t="shared" si="33"/>
        <v>EC</v>
      </c>
      <c r="AH73" s="96" t="str">
        <f t="shared" si="17"/>
        <v>"%USERPROFILE%\Documents\GitHub\eaglep3\Utilities\RefineRTDCRunTimes.py" --tripid 161-02 --locoid 4053 --swversion DE.1.0.7.0 --startMP 204:444 --initTime 2016-10-02T11:07:49 --startdatetime 2016-10-02T11:15:23 --delay 1 --endMP 204:233302 --enddatetime 2016-10-02T11:52:14 --enforcementcount 0 &gt;&gt;C:\Users\stu\Documents\GitHub\eaglep3-reporting\EC\2016-10-02-refined-times.txt</v>
      </c>
      <c r="AI73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{"issue":{"subject":"","project_id":79,"tracker_id":40,"status_id":1,"priority_id":2,"assigned_to_id":23,"start_date":"2016-10-02","description":"","custom_fields":[{"id":1,"name":"Subdivision","value":"EC"},{"id":4,"name":"Milepost","value":"23.3302"},{"id":17,"name":"Train ID","value":"161-02"},{"id":16,"name":"Locomotive ID","value":"4053"},{"id":130,"name":"Impact","value":""},{"id":150,"name":"Time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502</v>
      </c>
      <c r="B74" s="7">
        <v>4054</v>
      </c>
      <c r="C74" s="24" t="s">
        <v>106</v>
      </c>
      <c r="D74" s="24" t="s">
        <v>503</v>
      </c>
      <c r="E74" s="15">
        <v>42645.497928240744</v>
      </c>
      <c r="F74" s="15">
        <v>42645.507962962962</v>
      </c>
      <c r="G74" s="7">
        <v>1</v>
      </c>
      <c r="H74" s="15" t="s">
        <v>207</v>
      </c>
      <c r="I74" s="15">
        <v>42645.535439814812</v>
      </c>
      <c r="J74" s="7">
        <v>0</v>
      </c>
      <c r="K74" s="117" t="str">
        <f t="shared" si="19"/>
        <v>4053/4054</v>
      </c>
      <c r="L74" s="24" t="str">
        <f>VLOOKUP(A74,'Trips&amp;Operators'!$C$1:$E$10000,3,FALSE)</f>
        <v>BARTLETT</v>
      </c>
      <c r="M74" s="6">
        <f t="shared" si="20"/>
        <v>2.7476851850224193E-2</v>
      </c>
      <c r="N74" s="7">
        <f t="shared" si="21"/>
        <v>39.566666664322838</v>
      </c>
      <c r="O74" s="7"/>
      <c r="P74" s="7"/>
      <c r="Q74" s="25"/>
      <c r="R74" s="25"/>
      <c r="S74" s="37">
        <f t="shared" si="22"/>
        <v>1</v>
      </c>
      <c r="T74" s="52" t="str">
        <f t="shared" si="23"/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10:57:01-0600',mode:absolute,to:'2016-10-02 13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4" s="54" t="str">
        <f t="shared" si="25"/>
        <v>N</v>
      </c>
      <c r="X74" s="164">
        <f t="shared" si="26"/>
        <v>1</v>
      </c>
      <c r="Y74" s="69">
        <f t="shared" si="27"/>
        <v>23.299299999999999</v>
      </c>
      <c r="Z74" s="69">
        <f t="shared" si="28"/>
        <v>1.52E-2</v>
      </c>
      <c r="AA74" s="69">
        <f t="shared" si="29"/>
        <v>23.284099999999999</v>
      </c>
      <c r="AB74" s="66" t="str">
        <f>VLOOKUP(A74,Enforcements!$C$7:$K$21,8,0)</f>
        <v>Bulletin (2)</v>
      </c>
      <c r="AC74" s="62" t="str">
        <f>VLOOKUP(A74,Enforcements!$C$7:$E$21,3,0)</f>
        <v>GRADE CROSSING</v>
      </c>
      <c r="AD74" s="63" t="str">
        <f t="shared" si="30"/>
        <v>0162-02</v>
      </c>
      <c r="AE74" s="95" t="str">
        <f t="shared" si="31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74" s="92" t="str">
        <f t="shared" si="32"/>
        <v>"C:\Program Files (x86)\AstroGrep\AstroGrep.exe" /spath="%USERPROFILE%\AppData\Local\Temp\OnboardLogs" /stypes="app*4054*20161002*" /stext=" 18:.+((SYSTEM_STATE.+slice.+state.+changed )|(ment ac)|(system.+state.+changed )|(\[timeout)|(PRM\|1\|D)|(kpr)|(kdp)|(\|lc)|(penalty))" /e /r /s</v>
      </c>
      <c r="AG74" s="1" t="str">
        <f t="shared" si="33"/>
        <v>EC</v>
      </c>
      <c r="AH74" s="96" t="str">
        <f t="shared" si="17"/>
        <v>"%USERPROFILE%\Documents\GitHub\eaglep3\Utilities\RefineRTDCRunTimes.py" --tripid 162-02 --locoid 4054 --swversion DE.1.0.7.0 --startMP 204:232993 --initTime 2016-10-02T11:57:01 --startdatetime 2016-10-02T12:11:28 --delay 1 --endMP 204:152 --enddatetime 2016-10-02T12:51:02 --enforcementcount 0 &gt;&gt;C:\Users\stu\Documents\GitHub\eaglep3-reporting\EC\2016-10-02-refined-times.txt</v>
      </c>
      <c r="AI74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ID","value":"162-02"},{"id":16,"name":"Locomotive ID","value":"4054"},{"id":130,"name":"Impact","value":""},{"id":150,"name":"Time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504</v>
      </c>
      <c r="B75" s="7">
        <v>4014</v>
      </c>
      <c r="C75" s="24" t="s">
        <v>106</v>
      </c>
      <c r="D75" s="24" t="s">
        <v>204</v>
      </c>
      <c r="E75" s="15">
        <v>42645.478576388887</v>
      </c>
      <c r="F75" s="15">
        <v>42645.480486111112</v>
      </c>
      <c r="G75" s="7">
        <v>2</v>
      </c>
      <c r="H75" s="15" t="s">
        <v>362</v>
      </c>
      <c r="I75" s="15">
        <v>42645.505810185183</v>
      </c>
      <c r="J75" s="7">
        <v>0</v>
      </c>
      <c r="K75" s="117" t="str">
        <f t="shared" si="19"/>
        <v>4013/4014</v>
      </c>
      <c r="L75" s="24" t="str">
        <f>VLOOKUP(A75,'Trips&amp;Operators'!$C$1:$E$10000,3,FALSE)</f>
        <v>HAITHCOX</v>
      </c>
      <c r="M75" s="6">
        <f t="shared" si="20"/>
        <v>2.5324074071249925E-2</v>
      </c>
      <c r="N75" s="7">
        <f t="shared" si="21"/>
        <v>36.466666662599891</v>
      </c>
      <c r="O75" s="7"/>
      <c r="P75" s="7"/>
      <c r="Q75" s="25"/>
      <c r="R75" s="25"/>
      <c r="S75" s="37">
        <f t="shared" si="22"/>
        <v>1</v>
      </c>
      <c r="T75" s="52" t="str">
        <f t="shared" si="23"/>
        <v>NorthBound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10:29:09-0600',mode:absolute,to:'2016-10-02 13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5" s="54" t="str">
        <f t="shared" si="25"/>
        <v>N</v>
      </c>
      <c r="X75" s="164">
        <f t="shared" si="26"/>
        <v>1</v>
      </c>
      <c r="Y75" s="69">
        <f t="shared" si="27"/>
        <v>4.53E-2</v>
      </c>
      <c r="Z75" s="69">
        <f t="shared" si="28"/>
        <v>23.328900000000001</v>
      </c>
      <c r="AA75" s="69">
        <f t="shared" si="29"/>
        <v>23.2836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30"/>
        <v>0163-02</v>
      </c>
      <c r="AE75" s="95" t="str">
        <f t="shared" si="31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75" s="92" t="str">
        <f t="shared" si="32"/>
        <v>"C:\Program Files (x86)\AstroGrep\AstroGrep.exe" /spath="%USERPROFILE%\AppData\Local\Temp\OnboardLogs" /stypes="app*4014*20161002*" /stext=" 18:.+((SYSTEM_STATE.+slice.+state.+changed )|(ment ac)|(system.+state.+changed )|(\[timeout)|(PRM\|1\|D)|(kpr)|(kdp)|(\|lc)|(penalty))" /e /r /s</v>
      </c>
      <c r="AG75" s="1" t="str">
        <f t="shared" si="33"/>
        <v>EC</v>
      </c>
      <c r="AH75" s="96" t="str">
        <f t="shared" si="17"/>
        <v>"%USERPROFILE%\Documents\GitHub\eaglep3\Utilities\RefineRTDCRunTimes.py" --tripid 163-02 --locoid 4014 --swversion DE.1.0.7.0 --startMP 204:453 --initTime 2016-10-02T11:29:09 --startdatetime 2016-10-02T11:31:54 --delay 2 --endMP 204:233289 --enddatetime 2016-10-02T12:08:22 --enforcementcount 0 &gt;&gt;C:\Users\stu\Documents\GitHub\eaglep3-reporting\EC\2016-10-02-refined-times.txt</v>
      </c>
      <c r="AI75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ID","value":"163-02"},{"id":16,"name":"Locomotive ID","value":"4014"},{"id":130,"name":"Impact","value":""},{"id":150,"name":"Time of Event (Mountain Time)","value":"12:08:22"},{"id":151,"name":"Denver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505</v>
      </c>
      <c r="B76" s="7">
        <v>4013</v>
      </c>
      <c r="C76" s="24" t="s">
        <v>106</v>
      </c>
      <c r="D76" s="24" t="s">
        <v>506</v>
      </c>
      <c r="E76" s="15">
        <v>42645.513425925928</v>
      </c>
      <c r="F76" s="15">
        <v>42645.518379629626</v>
      </c>
      <c r="G76" s="7">
        <v>1</v>
      </c>
      <c r="H76" s="15" t="s">
        <v>203</v>
      </c>
      <c r="I76" s="15">
        <v>42645.547951388886</v>
      </c>
      <c r="J76" s="7">
        <v>0</v>
      </c>
      <c r="K76" s="117" t="str">
        <f t="shared" si="19"/>
        <v>4013/4014</v>
      </c>
      <c r="L76" s="24" t="str">
        <f>VLOOKUP(A76,'Trips&amp;Operators'!$C$1:$E$10000,3,FALSE)</f>
        <v>HAITHCOX</v>
      </c>
      <c r="M76" s="6">
        <f t="shared" si="20"/>
        <v>2.9571759259852115E-2</v>
      </c>
      <c r="N76" s="7">
        <f t="shared" si="21"/>
        <v>42.583333334187046</v>
      </c>
      <c r="O76" s="7"/>
      <c r="P76" s="7"/>
      <c r="Q76" s="25"/>
      <c r="R76" s="25"/>
      <c r="S76" s="37">
        <f t="shared" si="22"/>
        <v>1</v>
      </c>
      <c r="T76" s="52" t="str">
        <f t="shared" si="23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24"/>
        <v>https://search-rtdc-monitor-bjffxe2xuh6vdkpspy63sjmuny.us-east-1.es.amazonaws.com/_plugin/kibana/#/discover/Steve-Slow-Train-Analysis-(2080s-and-2083s)?_g=(refreshInterval:(display:Off,section:0,value:0),time:(from:'2016-10-02 11:19:20-0600',mode:absolute,to:'2016-10-02 14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6" s="54" t="str">
        <f t="shared" si="25"/>
        <v>N</v>
      </c>
      <c r="X76" s="164">
        <f t="shared" si="26"/>
        <v>1</v>
      </c>
      <c r="Y76" s="69">
        <f t="shared" si="27"/>
        <v>23.300699999999999</v>
      </c>
      <c r="Z76" s="69">
        <f t="shared" si="28"/>
        <v>1.47E-2</v>
      </c>
      <c r="AA76" s="69">
        <f t="shared" si="29"/>
        <v>23.285999999999998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30"/>
        <v>0164-02</v>
      </c>
      <c r="AE76" s="95" t="str">
        <f t="shared" si="31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76" s="92" t="str">
        <f t="shared" si="32"/>
        <v>"C:\Program Files (x86)\AstroGrep\AstroGrep.exe" /spath="%USERPROFILE%\AppData\Local\Temp\OnboardLogs" /stypes="app*4013*20161002*" /stext=" 19:.+((SYSTEM_STATE.+slice.+state.+changed )|(ment ac)|(system.+state.+changed )|(\[timeout)|(PRM\|1\|D)|(kpr)|(kdp)|(\|lc)|(penalty))" /e /r /s</v>
      </c>
      <c r="AG76" s="1" t="str">
        <f t="shared" si="33"/>
        <v>EC</v>
      </c>
      <c r="AH76" s="96" t="str">
        <f t="shared" si="17"/>
        <v>"%USERPROFILE%\Documents\GitHub\eaglep3\Utilities\RefineRTDCRunTimes.py" --tripid 164-02 --locoid 4013 --swversion DE.1.0.7.0 --startMP 204:233007 --initTime 2016-10-02T12:19:20 --startdatetime 2016-10-02T12:26:28 --delay 1 --endMP 204:147 --enddatetime 2016-10-02T13:09:03 --enforcementcount 0 &gt;&gt;C:\Users\stu\Documents\GitHub\eaglep3-reporting\EC\2016-10-02-refined-times.txt</v>
      </c>
      <c r="AI76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{"issue":{"subject":"","project_id":79,"tracker_id":40,"status_id":1,"priority_id":2,"assigned_to_id":23,"start_date":"2016-10-02","description":"","custom_fields":[{"id":1,"name":"Subdivision","value":"EC"},{"id":4,"name":"Milepost","value":"0.0147"},{"id":17,"name":"Train ID","value":"164-02"},{"id":16,"name":"Locomotive ID","value":"4013"},{"id":130,"name":"Impact","value":""},{"id":150,"name":"Time of Event (Mountain Time)","value":"13:09:03"},{"id":151,"name":"Denver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507</v>
      </c>
      <c r="B77" s="7">
        <v>4025</v>
      </c>
      <c r="C77" s="24" t="s">
        <v>106</v>
      </c>
      <c r="D77" s="24" t="s">
        <v>241</v>
      </c>
      <c r="E77" s="15">
        <v>42645.48846064815</v>
      </c>
      <c r="F77" s="15">
        <v>42645.490729166668</v>
      </c>
      <c r="G77" s="7">
        <v>1</v>
      </c>
      <c r="H77" s="15" t="s">
        <v>226</v>
      </c>
      <c r="I77" s="15">
        <v>42645.515972222223</v>
      </c>
      <c r="J77" s="7">
        <v>0</v>
      </c>
      <c r="K77" s="117" t="str">
        <f t="shared" ref="K77:K108" si="34">IF(ISEVEN(B77),(B77-1)&amp;"/"&amp;B77,B77&amp;"/"&amp;(B77+1))</f>
        <v>4025/4026</v>
      </c>
      <c r="L77" s="24" t="str">
        <f>VLOOKUP(A77,'Trips&amp;Operators'!$C$1:$E$10000,3,FALSE)</f>
        <v>MOSES</v>
      </c>
      <c r="M77" s="6">
        <f t="shared" ref="M77:M108" si="35">I77-F77</f>
        <v>2.5243055555620231E-2</v>
      </c>
      <c r="N77" s="7">
        <f t="shared" ref="N77:N108" si="36">24*60*SUM($M77:$M77)</f>
        <v>36.350000000093132</v>
      </c>
      <c r="O77" s="7"/>
      <c r="P77" s="7"/>
      <c r="Q77" s="25"/>
      <c r="R77" s="25"/>
      <c r="S77" s="37">
        <f t="shared" ref="S77:S108" si="37">SUM(U77:U77)/IF(AG77="EC",12,1)</f>
        <v>1</v>
      </c>
      <c r="T77" s="52" t="str">
        <f t="shared" ref="T77:T108" si="38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https://search-rtdc-monitor-bjffxe2xuh6vdkpspy63sjmuny.us-east-1.es.amazonaws.com/_plugin/kibana/#/discover/Steve-Slow-Train-Analysis-(2080s-and-2083s)?_g=(refreshInterval:(display:Off,section:0,value:0),time:(from:'2016-10-02 10:43:23-0600',mode:absolute,to:'2016-10-02 13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7" s="54" t="str">
        <f t="shared" ref="W77:W108" si="40">IF(AA77&lt;IF(AG77="EC",23,5.65),"Y","N")</f>
        <v>N</v>
      </c>
      <c r="X77" s="164">
        <f t="shared" ref="X77:X108" si="41">VALUE(LEFT(AD77,4))-VALUE(LEFT(AD76,4))</f>
        <v>1</v>
      </c>
      <c r="Y77" s="69">
        <f t="shared" ref="Y77:Y108" si="42">RIGHT(D77,LEN(D77)-4)/10000</f>
        <v>4.7300000000000002E-2</v>
      </c>
      <c r="Z77" s="69">
        <f t="shared" ref="Z77:Z108" si="43">RIGHT(H77,LEN(H77)-4)/10000</f>
        <v>23.331199999999999</v>
      </c>
      <c r="AA77" s="69">
        <f t="shared" ref="AA77:AA108" si="44">ABS(Z77-Y77)</f>
        <v>23.283899999999999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08" si="45">IF(LEN(A77)=6,"0"&amp;A77,A77)</f>
        <v>0165-02</v>
      </c>
      <c r="AE77" s="95" t="str">
        <f t="shared" ref="AE77:AE108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 &amp; 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</v>
      </c>
      <c r="AF77" s="92" t="str">
        <f t="shared" ref="AF77:AF108" si="4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/stypes="app*4025*20161002*" /stext=" 18:.+((SYSTEM_STATE.+slice.+state.+changed )|(ment ac)|(system.+state.+changed )|(\[timeout)|(PRM\|1\|D)|(kpr)|(kdp)|(\|lc)|(penalty))" /e /r /s</v>
      </c>
      <c r="AG77" s="1" t="str">
        <f t="shared" ref="AG77:AG108" si="48">IFERROR(IF(VALUE(LEFT(AD77,2))&lt;=2,"EC",IF(OR(VALUE(LEFT(AD77,2))=8,VALUE(LEFT(AD77,2))=18),"NW","Other")),"Other")</f>
        <v>EC</v>
      </c>
      <c r="AH77" s="96" t="str">
        <f t="shared" si="17"/>
        <v>"%USERPROFILE%\Documents\GitHub\eaglep3\Utilities\RefineRTDCRunTimes.py" --tripid 165-02 --locoid 4025 --swversion DE.1.0.7.0 --startMP 204:473 --initTime 2016-10-02T11:43:23 --startdatetime 2016-10-02T11:46:39 --delay 1 --endMP 204:233312 --enddatetime 2016-10-02T12:23:00 --enforcementcount 0 &gt;&gt;C:\Users\stu\Documents\GitHub\eaglep3-reporting\EC\2016-10-02-refined-times.txt</v>
      </c>
      <c r="AI77" s="130" t="str">
        <f t="shared" si="18"/>
        <v>echo {"issue":{"subject":"","project_id":79,"tracker_id":40,"status_id":1,"priority_id":2,"assigned_to_id":23,"start_date":"2016-10-02","description":"","custom_fields":[{"id":1,"name":"Subdivision","value":"EC"},{"id":4,"name":"Milepost","value":"23.3312"},{"id":17,"name":"Train ID","value":"165-02"},{"id":16,"name":"Locomotive ID","value":"4025"},{"id":130,"name":"Impact","value":""},{"id":150,"name":"Time of Event (Mountain Time)","value":"12:23:00"},{"id":151,"name":"Denver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508</v>
      </c>
      <c r="B78" s="7">
        <v>4026</v>
      </c>
      <c r="C78" s="24" t="s">
        <v>106</v>
      </c>
      <c r="D78" s="24" t="s">
        <v>300</v>
      </c>
      <c r="E78" s="15">
        <v>42645.523842592593</v>
      </c>
      <c r="F78" s="15">
        <v>42645.528784722221</v>
      </c>
      <c r="G78" s="7">
        <v>2</v>
      </c>
      <c r="H78" s="15" t="s">
        <v>273</v>
      </c>
      <c r="I78" s="15">
        <v>42645.555775462963</v>
      </c>
      <c r="J78" s="7">
        <v>0</v>
      </c>
      <c r="K78" s="117" t="str">
        <f t="shared" si="34"/>
        <v>4025/4026</v>
      </c>
      <c r="L78" s="24" t="str">
        <f>VLOOKUP(A78,'Trips&amp;Operators'!$C$1:$E$10000,3,FALSE)</f>
        <v>MOSES</v>
      </c>
      <c r="M78" s="6">
        <f t="shared" si="35"/>
        <v>2.6990740741894115E-2</v>
      </c>
      <c r="N78" s="7">
        <f t="shared" si="36"/>
        <v>38.866666668327525</v>
      </c>
      <c r="O78" s="7"/>
      <c r="P78" s="7"/>
      <c r="Q78" s="25"/>
      <c r="R78" s="25"/>
      <c r="S78" s="37">
        <f t="shared" si="37"/>
        <v>1</v>
      </c>
      <c r="T78" s="52" t="str">
        <f t="shared" si="38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11:34:20-0600',mode:absolute,to:'2016-10-02 14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8" s="54" t="str">
        <f t="shared" si="40"/>
        <v>N</v>
      </c>
      <c r="X78" s="164">
        <f t="shared" si="41"/>
        <v>1</v>
      </c>
      <c r="Y78" s="69">
        <f t="shared" si="42"/>
        <v>23.3004</v>
      </c>
      <c r="Z78" s="69">
        <f t="shared" si="43"/>
        <v>1.61E-2</v>
      </c>
      <c r="AA78" s="69">
        <f t="shared" si="44"/>
        <v>23.284299999999998</v>
      </c>
      <c r="AB78" s="66" t="str">
        <f>VLOOKUP(A78,Enforcements!$C$7:$K$21,8,0)</f>
        <v>Form based authority (4)</v>
      </c>
      <c r="AC78" s="62" t="str">
        <f>VLOOKUP(A78,Enforcements!$C$7:$E$21,3,0)</f>
        <v>TRACK WARRANT AUTHORITY</v>
      </c>
      <c r="AD78" s="63" t="str">
        <f t="shared" si="45"/>
        <v>0166-02</v>
      </c>
      <c r="AE78" s="95" t="str">
        <f t="shared" si="46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78" s="92" t="str">
        <f t="shared" si="47"/>
        <v>"C:\Program Files (x86)\AstroGrep\AstroGrep.exe" /spath="%USERPROFILE%\AppData\Local\Temp\OnboardLogs" /stypes="app*4026*20161002*" /stext=" 19:.+((SYSTEM_STATE.+slice.+state.+changed )|(ment ac)|(system.+state.+changed )|(\[timeout)|(PRM\|1\|D)|(kpr)|(kdp)|(\|lc)|(penalty))" /e /r /s</v>
      </c>
      <c r="AG78" s="1" t="str">
        <f t="shared" si="48"/>
        <v>EC</v>
      </c>
      <c r="AH78" s="96" t="str">
        <f t="shared" ref="AH78:AH141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4026 --swversion DE.1.0.7.0 --startMP 204:233004 --initTime 2016-10-02T12:34:20 --startdatetime 2016-10-02T12:41:27 --delay 2 --endMP 204:161 --enddatetime 2016-10-02T13:20:19 --enforcementcount 0 &gt;&gt;C:\Users\stu\Documents\GitHub\eaglep3-reporting\EC\2016-10-02-refined-times.txt</v>
      </c>
      <c r="AI78" s="130" t="str">
        <f t="shared" ref="AI78:AI141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{"issue":{"subject":"","project_id":79,"tracker_id":40,"status_id":1,"priority_id":2,"assigned_to_id":23,"start_date":"2016-10-02","description":"","custom_fields":[{"id":1,"name":"Subdivision","value":"EC"},{"id":4,"name":"Milepost","value":"0.0161"},{"id":17,"name":"Train ID","value":"166-02"},{"id":16,"name":"Locomotive ID","value":"4026"},{"id":130,"name":"Impact","value":""},{"id":150,"name":"Time of Event (Mountain Time)","value":"13:20:19"},{"id":151,"name":"Denver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509</v>
      </c>
      <c r="B79" s="7">
        <v>4007</v>
      </c>
      <c r="C79" s="24" t="s">
        <v>106</v>
      </c>
      <c r="D79" s="24" t="s">
        <v>275</v>
      </c>
      <c r="E79" s="15">
        <v>42645.497442129628</v>
      </c>
      <c r="F79" s="15">
        <v>42645.500555555554</v>
      </c>
      <c r="G79" s="7">
        <v>1</v>
      </c>
      <c r="H79" s="15" t="s">
        <v>417</v>
      </c>
      <c r="I79" s="15">
        <v>42645.528090277781</v>
      </c>
      <c r="J79" s="7">
        <v>0</v>
      </c>
      <c r="K79" s="117" t="str">
        <f t="shared" si="34"/>
        <v>4007/4008</v>
      </c>
      <c r="L79" s="24" t="str">
        <f>VLOOKUP(A79,'Trips&amp;Operators'!$C$1:$E$10000,3,FALSE)</f>
        <v>YOUNG</v>
      </c>
      <c r="M79" s="6">
        <f t="shared" si="35"/>
        <v>2.7534722226846498E-2</v>
      </c>
      <c r="N79" s="7">
        <f t="shared" si="36"/>
        <v>39.650000006658956</v>
      </c>
      <c r="O79" s="7"/>
      <c r="P79" s="7"/>
      <c r="Q79" s="25"/>
      <c r="R79" s="25"/>
      <c r="S79" s="37">
        <f t="shared" si="37"/>
        <v>1</v>
      </c>
      <c r="T79" s="52" t="str">
        <f t="shared" si="38"/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10:56:19-0600',mode:absolute,to:'2016-10-02 13:40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79" s="54" t="str">
        <f t="shared" si="40"/>
        <v>N</v>
      </c>
      <c r="X79" s="164">
        <f t="shared" si="41"/>
        <v>1</v>
      </c>
      <c r="Y79" s="69">
        <f t="shared" si="42"/>
        <v>4.7699999999999999E-2</v>
      </c>
      <c r="Z79" s="69">
        <f t="shared" si="43"/>
        <v>23.331099999999999</v>
      </c>
      <c r="AA79" s="69">
        <f t="shared" si="44"/>
        <v>23.2834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5"/>
        <v>0167-02</v>
      </c>
      <c r="AE79" s="95" t="str">
        <f t="shared" si="46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79" s="92" t="str">
        <f t="shared" si="47"/>
        <v>"C:\Program Files (x86)\AstroGrep\AstroGrep.exe" /spath="%USERPROFILE%\AppData\Local\Temp\OnboardLogs" /stypes="app*4007*20161002*" /stext=" 18:.+((SYSTEM_STATE.+slice.+state.+changed )|(ment ac)|(system.+state.+changed )|(\[timeout)|(PRM\|1\|D)|(kpr)|(kdp)|(\|lc)|(penalty))" /e /r /s</v>
      </c>
      <c r="AG79" s="1" t="str">
        <f t="shared" si="48"/>
        <v>EC</v>
      </c>
      <c r="AH79" s="96" t="str">
        <f t="shared" si="49"/>
        <v>"%USERPROFILE%\Documents\GitHub\eaglep3\Utilities\RefineRTDCRunTimes.py" --tripid 167-02 --locoid 4007 --swversion DE.1.0.7.0 --startMP 204:477 --initTime 2016-10-02T11:56:19 --startdatetime 2016-10-02T12:00:48 --delay 1 --endMP 204:233311 --enddatetime 2016-10-02T12:40:27 --enforcementcount 0 &gt;&gt;C:\Users\stu\Documents\GitHub\eaglep3-reporting\EC\2016-10-02-refined-times.txt</v>
      </c>
      <c r="AI7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{"issue":{"subject":"","project_id":79,"tracker_id":40,"status_id":1,"priority_id":2,"assigned_to_id":23,"start_date":"2016-10-02","description":"","custom_fields":[{"id":1,"name":"Subdivision","value":"EC"},{"id":4,"name":"Milepost","value":"23.3311"},{"id":17,"name":"Train ID","value":"167-02"},{"id":16,"name":"Locomotive ID","value":"4007"},{"id":130,"name":"Impact","value":""},{"id":150,"name":"Time of Event (Mountain Time)","value":"12:40:27"},{"id":151,"name":"Denver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510</v>
      </c>
      <c r="B80" s="7">
        <v>4008</v>
      </c>
      <c r="C80" s="24" t="s">
        <v>106</v>
      </c>
      <c r="D80" s="24" t="s">
        <v>236</v>
      </c>
      <c r="E80" s="15">
        <v>42645.531574074077</v>
      </c>
      <c r="F80" s="15">
        <v>42645.5393287037</v>
      </c>
      <c r="G80" s="7">
        <v>1</v>
      </c>
      <c r="H80" s="15" t="s">
        <v>511</v>
      </c>
      <c r="I80" s="15">
        <v>42645.567164351851</v>
      </c>
      <c r="J80" s="7">
        <v>0</v>
      </c>
      <c r="K80" s="117" t="str">
        <f t="shared" si="34"/>
        <v>4007/4008</v>
      </c>
      <c r="L80" s="24" t="str">
        <f>VLOOKUP(A80,'Trips&amp;Operators'!$C$1:$E$10000,3,FALSE)</f>
        <v>YOUNG</v>
      </c>
      <c r="M80" s="6">
        <f t="shared" si="35"/>
        <v>2.7835648150357883E-2</v>
      </c>
      <c r="N80" s="7">
        <f t="shared" si="36"/>
        <v>40.083333336515352</v>
      </c>
      <c r="O80" s="7"/>
      <c r="P80" s="7"/>
      <c r="Q80" s="25"/>
      <c r="R80" s="25"/>
      <c r="S80" s="37">
        <f t="shared" si="37"/>
        <v>1</v>
      </c>
      <c r="T80" s="52" t="str">
        <f t="shared" si="38"/>
        <v>Southbound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11:45:28-0600',mode:absolute,to:'2016-10-02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80" s="54" t="str">
        <f t="shared" si="40"/>
        <v>N</v>
      </c>
      <c r="X80" s="164">
        <f t="shared" si="41"/>
        <v>1</v>
      </c>
      <c r="Y80" s="69">
        <f t="shared" si="42"/>
        <v>23.297699999999999</v>
      </c>
      <c r="Z80" s="69">
        <f t="shared" si="43"/>
        <v>1.7999999999999999E-2</v>
      </c>
      <c r="AA80" s="69">
        <f t="shared" si="44"/>
        <v>23.279699999999998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45"/>
        <v>0168-02</v>
      </c>
      <c r="AE80" s="95" t="str">
        <f t="shared" si="46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80" s="92" t="str">
        <f t="shared" si="47"/>
        <v>"C:\Program Files (x86)\AstroGrep\AstroGrep.exe" /spath="%USERPROFILE%\AppData\Local\Temp\OnboardLogs" /stypes="app*4008*20161002*" /stext=" 19:.+((SYSTEM_STATE.+slice.+state.+changed )|(ment ac)|(system.+state.+changed )|(\[timeout)|(PRM\|1\|D)|(kpr)|(kdp)|(\|lc)|(penalty))" /e /r /s</v>
      </c>
      <c r="AG80" s="1" t="str">
        <f t="shared" si="48"/>
        <v>EC</v>
      </c>
      <c r="AH80" s="96" t="str">
        <f t="shared" si="49"/>
        <v>"%USERPROFILE%\Documents\GitHub\eaglep3\Utilities\RefineRTDCRunTimes.py" --tripid 168-02 --locoid 4008 --swversion DE.1.0.7.0 --startMP 204:232977 --initTime 2016-10-02T12:45:28 --startdatetime 2016-10-02T12:56:38 --delay 1 --endMP 204:180 --enddatetime 2016-10-02T13:36:43 --enforcementcount 0 &gt;&gt;C:\Users\stu\Documents\GitHub\eaglep3-reporting\EC\2016-10-02-refined-times.txt</v>
      </c>
      <c r="AI8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{"issue":{"subject":"","project_id":79,"tracker_id":40,"status_id":1,"priority_id":2,"assigned_to_id":23,"start_date":"2016-10-02","description":"","custom_fields":[{"id":1,"name":"Subdivision","value":"EC"},{"id":4,"name":"Milepost","value":"0.018"},{"id":17,"name":"Train ID","value":"168-02"},{"id":16,"name":"Locomotive ID","value":"4008"},{"id":130,"name":"Impact","value":""},{"id":150,"name":"Time of Event (Mountain Time)","value":"13:36:43"},{"id":151,"name":"Denver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512</v>
      </c>
      <c r="B81" s="7">
        <v>4020</v>
      </c>
      <c r="C81" s="24" t="s">
        <v>106</v>
      </c>
      <c r="D81" s="24" t="s">
        <v>208</v>
      </c>
      <c r="E81" s="15">
        <v>42645.508645833332</v>
      </c>
      <c r="F81" s="15">
        <v>42645.51059027778</v>
      </c>
      <c r="G81" s="7">
        <v>1</v>
      </c>
      <c r="H81" s="15" t="s">
        <v>362</v>
      </c>
      <c r="I81" s="15">
        <v>42645.536481481482</v>
      </c>
      <c r="J81" s="7">
        <v>0</v>
      </c>
      <c r="K81" s="117" t="str">
        <f t="shared" si="34"/>
        <v>4019/4020</v>
      </c>
      <c r="L81" s="24" t="str">
        <f>VLOOKUP(A81,'Trips&amp;Operators'!$C$1:$E$10000,3,FALSE)</f>
        <v>CLARK</v>
      </c>
      <c r="M81" s="6">
        <f t="shared" si="35"/>
        <v>2.5891203702485655E-2</v>
      </c>
      <c r="N81" s="7">
        <f t="shared" si="36"/>
        <v>37.283333331579342</v>
      </c>
      <c r="O81" s="7"/>
      <c r="P81" s="7"/>
      <c r="Q81" s="25"/>
      <c r="R81" s="25"/>
      <c r="S81" s="37">
        <f t="shared" si="37"/>
        <v>1</v>
      </c>
      <c r="T81" s="52" t="str">
        <f t="shared" si="38"/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11:12:27-0600',mode:absolute,to:'2016-10-02 13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1" s="54" t="str">
        <f t="shared" si="40"/>
        <v>N</v>
      </c>
      <c r="X81" s="164">
        <f t="shared" si="41"/>
        <v>1</v>
      </c>
      <c r="Y81" s="69">
        <f t="shared" si="42"/>
        <v>4.5699999999999998E-2</v>
      </c>
      <c r="Z81" s="69">
        <f t="shared" si="43"/>
        <v>23.328900000000001</v>
      </c>
      <c r="AA81" s="69">
        <f t="shared" si="44"/>
        <v>23.283200000000001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45"/>
        <v>0169-02</v>
      </c>
      <c r="AE81" s="95" t="str">
        <f t="shared" si="46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81" s="92" t="str">
        <f t="shared" si="47"/>
        <v>"C:\Program Files (x86)\AstroGrep\AstroGrep.exe" /spath="%USERPROFILE%\AppData\Local\Temp\OnboardLogs" /stypes="app*4020*20161002*" /stext=" 18:.+((SYSTEM_STATE.+slice.+state.+changed )|(ment ac)|(system.+state.+changed )|(\[timeout)|(PRM\|1\|D)|(kpr)|(kdp)|(\|lc)|(penalty))" /e /r /s</v>
      </c>
      <c r="AG81" s="1" t="str">
        <f t="shared" si="48"/>
        <v>EC</v>
      </c>
      <c r="AH81" s="96" t="str">
        <f t="shared" si="49"/>
        <v>"%USERPROFILE%\Documents\GitHub\eaglep3\Utilities\RefineRTDCRunTimes.py" --tripid 169-02 --locoid 4020 --swversion DE.1.0.7.0 --startMP 204:457 --initTime 2016-10-02T12:12:27 --startdatetime 2016-10-02T12:15:15 --delay 1 --endMP 204:233289 --enddatetime 2016-10-02T12:52:32 --enforcementcount 0 &gt;&gt;C:\Users\stu\Documents\GitHub\eaglep3-reporting\EC\2016-10-02-refined-times.txt</v>
      </c>
      <c r="AI8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ID","value":"169-02"},{"id":16,"name":"Locomotive ID","value":"4020"},{"id":130,"name":"Impact","value":""},{"id":150,"name":"Time of Event (Mountain Time)","value":"12:52:32"},{"id":151,"name":"Denver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513</v>
      </c>
      <c r="B82" s="7">
        <v>4019</v>
      </c>
      <c r="C82" s="24" t="s">
        <v>106</v>
      </c>
      <c r="D82" s="24" t="s">
        <v>514</v>
      </c>
      <c r="E82" s="15">
        <v>42645.544583333336</v>
      </c>
      <c r="F82" s="15">
        <v>42645.549664351849</v>
      </c>
      <c r="G82" s="7">
        <v>1</v>
      </c>
      <c r="H82" s="15" t="s">
        <v>369</v>
      </c>
      <c r="I82" s="15">
        <v>42645.577407407407</v>
      </c>
      <c r="J82" s="7">
        <v>0</v>
      </c>
      <c r="K82" s="117" t="str">
        <f t="shared" si="34"/>
        <v>4019/4020</v>
      </c>
      <c r="L82" s="24" t="str">
        <f>VLOOKUP(A82,'Trips&amp;Operators'!$C$1:$E$10000,3,FALSE)</f>
        <v>CLARK</v>
      </c>
      <c r="M82" s="6">
        <f t="shared" si="35"/>
        <v>2.7743055557948537E-2</v>
      </c>
      <c r="N82" s="7">
        <f t="shared" si="36"/>
        <v>39.950000003445894</v>
      </c>
      <c r="O82" s="7"/>
      <c r="P82" s="7"/>
      <c r="Q82" s="25"/>
      <c r="R82" s="25"/>
      <c r="S82" s="37">
        <f t="shared" si="37"/>
        <v>1</v>
      </c>
      <c r="T82" s="52" t="str">
        <f t="shared" si="38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12:04:12-0600',mode:absolute,to:'2016-10-02 14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2" s="54" t="str">
        <f t="shared" si="40"/>
        <v>N</v>
      </c>
      <c r="X82" s="164">
        <f t="shared" si="41"/>
        <v>1</v>
      </c>
      <c r="Y82" s="69">
        <f t="shared" si="42"/>
        <v>23.296399999999998</v>
      </c>
      <c r="Z82" s="69">
        <f t="shared" si="43"/>
        <v>1.6299999999999999E-2</v>
      </c>
      <c r="AA82" s="69">
        <f t="shared" si="44"/>
        <v>23.280099999999997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45"/>
        <v>0170-02</v>
      </c>
      <c r="AE82" s="95" t="str">
        <f t="shared" si="46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82" s="92" t="str">
        <f t="shared" si="47"/>
        <v>"C:\Program Files (x86)\AstroGrep\AstroGrep.exe" /spath="%USERPROFILE%\AppData\Local\Temp\OnboardLogs" /stypes="app*4019*20161002*" /stext=" 19:.+((SYSTEM_STATE.+slice.+state.+changed )|(ment ac)|(system.+state.+changed )|(\[timeout)|(PRM\|1\|D)|(kpr)|(kdp)|(\|lc)|(penalty))" /e /r /s</v>
      </c>
      <c r="AG82" s="1" t="str">
        <f t="shared" si="48"/>
        <v>EC</v>
      </c>
      <c r="AH82" s="96" t="str">
        <f t="shared" si="49"/>
        <v>"%USERPROFILE%\Documents\GitHub\eaglep3\Utilities\RefineRTDCRunTimes.py" --tripid 170-02 --locoid 4019 --swversion DE.1.0.7.0 --startMP 204:232964 --initTime 2016-10-02T13:04:12 --startdatetime 2016-10-02T13:11:31 --delay 1 --endMP 204:163 --enddatetime 2016-10-02T13:51:28 --enforcementcount 0 &gt;&gt;C:\Users\stu\Documents\GitHub\eaglep3-reporting\EC\2016-10-02-refined-times.txt</v>
      </c>
      <c r="AI8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{"issue":{"subject":"","project_id":79,"tracker_id":40,"status_id":1,"priority_id":2,"assigned_to_id":23,"start_date":"2016-10-02","description":"","custom_fields":[{"id":1,"name":"Subdivision","value":"EC"},{"id":4,"name":"Milepost","value":"0.0163"},{"id":17,"name":"Train ID","value":"170-02"},{"id":16,"name":"Locomotive ID","value":"4019"},{"id":130,"name":"Impact","value":""},{"id":150,"name":"Time of Event (Mountain Time)","value":"13:51:28"},{"id":151,"name":"Denver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515</v>
      </c>
      <c r="B83" s="7">
        <v>4042</v>
      </c>
      <c r="C83" s="24" t="s">
        <v>106</v>
      </c>
      <c r="D83" s="24" t="s">
        <v>360</v>
      </c>
      <c r="E83" s="15">
        <v>42645.515902777777</v>
      </c>
      <c r="F83" s="15">
        <v>42645.521064814813</v>
      </c>
      <c r="G83" s="7">
        <v>1</v>
      </c>
      <c r="H83" s="15" t="s">
        <v>516</v>
      </c>
      <c r="I83" s="15">
        <v>42645.546956018516</v>
      </c>
      <c r="J83" s="7">
        <v>0</v>
      </c>
      <c r="K83" s="117" t="str">
        <f t="shared" si="34"/>
        <v>4041/4042</v>
      </c>
      <c r="L83" s="24" t="str">
        <f>VLOOKUP(A83,'Trips&amp;Operators'!$C$1:$E$10000,3,FALSE)</f>
        <v>SHOOK</v>
      </c>
      <c r="M83" s="6">
        <f t="shared" si="35"/>
        <v>2.5891203702485655E-2</v>
      </c>
      <c r="N83" s="7">
        <f t="shared" si="36"/>
        <v>37.283333331579342</v>
      </c>
      <c r="O83" s="7"/>
      <c r="P83" s="7"/>
      <c r="Q83" s="25"/>
      <c r="R83" s="25"/>
      <c r="S83" s="37">
        <f t="shared" si="37"/>
        <v>1</v>
      </c>
      <c r="T83" s="52" t="str">
        <f t="shared" si="38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11:22:54-0600',mode:absolute,to:'2016-10-02 14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3" s="54" t="str">
        <f t="shared" si="40"/>
        <v>N</v>
      </c>
      <c r="X83" s="164">
        <f t="shared" si="41"/>
        <v>1</v>
      </c>
      <c r="Y83" s="69">
        <f t="shared" si="42"/>
        <v>4.6699999999999998E-2</v>
      </c>
      <c r="Z83" s="69">
        <f t="shared" si="43"/>
        <v>23.3278</v>
      </c>
      <c r="AA83" s="69">
        <f t="shared" si="44"/>
        <v>23.281099999999999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45"/>
        <v>0171-02</v>
      </c>
      <c r="AE83" s="95" t="str">
        <f t="shared" si="46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83" s="92" t="str">
        <f t="shared" si="47"/>
        <v>"C:\Program Files (x86)\AstroGrep\AstroGrep.exe" /spath="%USERPROFILE%\AppData\Local\Temp\OnboardLogs" /stypes="app*4042*20161002*" /stext=" 19:.+((SYSTEM_STATE.+slice.+state.+changed )|(ment ac)|(system.+state.+changed )|(\[timeout)|(PRM\|1\|D)|(kpr)|(kdp)|(\|lc)|(penalty))" /e /r /s</v>
      </c>
      <c r="AG83" s="1" t="str">
        <f t="shared" si="48"/>
        <v>EC</v>
      </c>
      <c r="AH83" s="96" t="str">
        <f t="shared" si="49"/>
        <v>"%USERPROFILE%\Documents\GitHub\eaglep3\Utilities\RefineRTDCRunTimes.py" --tripid 171-02 --locoid 4042 --swversion DE.1.0.7.0 --startMP 204:467 --initTime 2016-10-02T12:22:54 --startdatetime 2016-10-02T12:30:20 --delay 1 --endMP 204:233278 --enddatetime 2016-10-02T13:07:37 --enforcementcount 0 &gt;&gt;C:\Users\stu\Documents\GitHub\eaglep3-reporting\EC\2016-10-02-refined-times.txt</v>
      </c>
      <c r="AI8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{"issue":{"subject":"","project_id":79,"tracker_id":40,"status_id":1,"priority_id":2,"assigned_to_id":23,"start_date":"2016-10-02","description":"","custom_fields":[{"id":1,"name":"Subdivision","value":"EC"},{"id":4,"name":"Milepost","value":"23.3278"},{"id":17,"name":"Train ID","value":"171-02"},{"id":16,"name":"Locomotive ID","value":"4042"},{"id":130,"name":"Impact","value":""},{"id":150,"name":"Time of Event (Mountain Time)","value":"13:07:37"},{"id":151,"name":"Denver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517</v>
      </c>
      <c r="B84" s="7">
        <v>4041</v>
      </c>
      <c r="C84" s="24" t="s">
        <v>106</v>
      </c>
      <c r="D84" s="24" t="s">
        <v>434</v>
      </c>
      <c r="E84" s="15">
        <v>42645.555578703701</v>
      </c>
      <c r="F84" s="15">
        <v>42645.559942129628</v>
      </c>
      <c r="G84" s="7">
        <v>1</v>
      </c>
      <c r="H84" s="15" t="s">
        <v>200</v>
      </c>
      <c r="I84" s="15">
        <v>42645.586759259262</v>
      </c>
      <c r="J84" s="7">
        <v>0</v>
      </c>
      <c r="K84" s="117" t="str">
        <f t="shared" si="34"/>
        <v>4041/4042</v>
      </c>
      <c r="L84" s="24" t="str">
        <f>VLOOKUP(A84,'Trips&amp;Operators'!$C$1:$E$10000,3,FALSE)</f>
        <v>SHOOK</v>
      </c>
      <c r="M84" s="6">
        <f t="shared" si="35"/>
        <v>2.6817129633855075E-2</v>
      </c>
      <c r="N84" s="7">
        <f t="shared" si="36"/>
        <v>38.616666672751307</v>
      </c>
      <c r="O84" s="7"/>
      <c r="P84" s="7"/>
      <c r="Q84" s="25"/>
      <c r="R84" s="25"/>
      <c r="S84" s="37">
        <f t="shared" si="37"/>
        <v>1</v>
      </c>
      <c r="T84" s="52" t="str">
        <f t="shared" si="38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12:20:02-0600',mode:absolute,to:'2016-10-02 15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4" s="54" t="str">
        <f t="shared" si="40"/>
        <v>N</v>
      </c>
      <c r="X84" s="164">
        <f t="shared" si="41"/>
        <v>1</v>
      </c>
      <c r="Y84" s="69">
        <f t="shared" si="42"/>
        <v>23.296500000000002</v>
      </c>
      <c r="Z84" s="69">
        <f t="shared" si="43"/>
        <v>1.6E-2</v>
      </c>
      <c r="AA84" s="69">
        <f t="shared" si="44"/>
        <v>23.280500000000004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5"/>
        <v>0172-02</v>
      </c>
      <c r="AE84" s="95" t="str">
        <f t="shared" si="46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84" s="92" t="str">
        <f t="shared" si="47"/>
        <v>"C:\Program Files (x86)\AstroGrep\AstroGrep.exe" /spath="%USERPROFILE%\AppData\Local\Temp\OnboardLogs" /stypes="app*4041*20161002*" /stext=" 20:.+((SYSTEM_STATE.+slice.+state.+changed )|(ment ac)|(system.+state.+changed )|(\[timeout)|(PRM\|1\|D)|(kpr)|(kdp)|(\|lc)|(penalty))" /e /r /s</v>
      </c>
      <c r="AG84" s="1" t="str">
        <f t="shared" si="48"/>
        <v>EC</v>
      </c>
      <c r="AH84" s="96" t="str">
        <f t="shared" si="49"/>
        <v>"%USERPROFILE%\Documents\GitHub\eaglep3\Utilities\RefineRTDCRunTimes.py" --tripid 172-02 --locoid 4041 --swversion DE.1.0.7.0 --startMP 204:232965 --initTime 2016-10-02T13:20:02 --startdatetime 2016-10-02T13:26:19 --delay 1 --endMP 204:160 --enddatetime 2016-10-02T14:04:56 --enforcementcount 0 &gt;&gt;C:\Users\stu\Documents\GitHub\eaglep3-reporting\EC\2016-10-02-refined-times.txt</v>
      </c>
      <c r="AI8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ID","value":"172-02"},{"id":16,"name":"Locomotive ID","value":"4041"},{"id":130,"name":"Impact","value":""},{"id":150,"name":"Time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518</v>
      </c>
      <c r="B85" s="7">
        <v>4016</v>
      </c>
      <c r="C85" s="24" t="s">
        <v>106</v>
      </c>
      <c r="D85" s="24" t="s">
        <v>233</v>
      </c>
      <c r="E85" s="15">
        <v>42645.527303240742</v>
      </c>
      <c r="F85" s="15">
        <v>42645.531585648147</v>
      </c>
      <c r="G85" s="7">
        <v>1</v>
      </c>
      <c r="H85" s="15" t="s">
        <v>357</v>
      </c>
      <c r="I85" s="15">
        <v>42645.556631944448</v>
      </c>
      <c r="J85" s="7">
        <v>0</v>
      </c>
      <c r="K85" s="117" t="str">
        <f t="shared" si="34"/>
        <v>4015/4016</v>
      </c>
      <c r="L85" s="24" t="str">
        <f>VLOOKUP(A85,'Trips&amp;Operators'!$C$1:$E$10000,3,FALSE)</f>
        <v>STEWART</v>
      </c>
      <c r="M85" s="6">
        <f t="shared" si="35"/>
        <v>2.5046296301297843E-2</v>
      </c>
      <c r="N85" s="7">
        <f t="shared" si="36"/>
        <v>36.066666673868895</v>
      </c>
      <c r="O85" s="7"/>
      <c r="P85" s="7"/>
      <c r="Q85" s="25"/>
      <c r="R85" s="25"/>
      <c r="S85" s="37">
        <f t="shared" si="37"/>
        <v>1</v>
      </c>
      <c r="T85" s="52" t="str">
        <f t="shared" si="38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11:39:19-0600',mode:absolute,to:'2016-10-02 14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5" s="54" t="str">
        <f t="shared" si="40"/>
        <v>N</v>
      </c>
      <c r="X85" s="164">
        <f t="shared" si="41"/>
        <v>1</v>
      </c>
      <c r="Y85" s="69">
        <f t="shared" si="42"/>
        <v>4.6399999999999997E-2</v>
      </c>
      <c r="Z85" s="69">
        <f t="shared" si="43"/>
        <v>23.330200000000001</v>
      </c>
      <c r="AA85" s="69">
        <f t="shared" si="44"/>
        <v>23.283800000000003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5"/>
        <v>0173-02</v>
      </c>
      <c r="AE85" s="95" t="str">
        <f t="shared" si="46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85" s="92" t="str">
        <f t="shared" si="47"/>
        <v>"C:\Program Files (x86)\AstroGrep\AstroGrep.exe" /spath="%USERPROFILE%\AppData\Local\Temp\OnboardLogs" /stypes="app*4016*20161002*" /stext=" 19:.+((SYSTEM_STATE.+slice.+state.+changed )|(ment ac)|(system.+state.+changed )|(\[timeout)|(PRM\|1\|D)|(kpr)|(kdp)|(\|lc)|(penalty))" /e /r /s</v>
      </c>
      <c r="AG85" s="1" t="str">
        <f t="shared" si="48"/>
        <v>EC</v>
      </c>
      <c r="AH85" s="96" t="str">
        <f t="shared" si="49"/>
        <v>"%USERPROFILE%\Documents\GitHub\eaglep3\Utilities\RefineRTDCRunTimes.py" --tripid 173-02 --locoid 4016 --swversion DE.1.0.7.0 --startMP 204:464 --initTime 2016-10-02T12:39:19 --startdatetime 2016-10-02T12:45:29 --delay 1 --endMP 204:233302 --enddatetime 2016-10-02T13:21:33 --enforcementcount 0 &gt;&gt;C:\Users\stu\Documents\GitHub\eaglep3-reporting\EC\2016-10-02-refined-times.txt</v>
      </c>
      <c r="AI8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{"issue":{"subject":"","project_id":79,"tracker_id":40,"status_id":1,"priority_id":2,"assigned_to_id":23,"start_date":"2016-10-02","description":"","custom_fields":[{"id":1,"name":"Subdivision","value":"EC"},{"id":4,"name":"Milepost","value":"23.3302"},{"id":17,"name":"Train ID","value":"173-02"},{"id":16,"name":"Locomotive ID","value":"4016"},{"id":130,"name":"Impact","value":""},{"id":150,"name":"Time of Event (Mountain Time)","value":"13:21:33"},{"id":151,"name":"Denver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519</v>
      </c>
      <c r="B86" s="7">
        <v>4015</v>
      </c>
      <c r="C86" s="24" t="s">
        <v>106</v>
      </c>
      <c r="D86" s="24" t="s">
        <v>249</v>
      </c>
      <c r="E86" s="15">
        <v>42645.567106481481</v>
      </c>
      <c r="F86" s="15">
        <v>42645.570405092592</v>
      </c>
      <c r="G86" s="7">
        <v>1</v>
      </c>
      <c r="H86" s="15" t="s">
        <v>219</v>
      </c>
      <c r="I86" s="15">
        <v>42645.597141203703</v>
      </c>
      <c r="J86" s="7">
        <v>0</v>
      </c>
      <c r="K86" s="117" t="str">
        <f t="shared" si="34"/>
        <v>4015/4016</v>
      </c>
      <c r="L86" s="24" t="str">
        <f>VLOOKUP(A86,'Trips&amp;Operators'!$C$1:$E$10000,3,FALSE)</f>
        <v>STEWART</v>
      </c>
      <c r="M86" s="6">
        <f t="shared" si="35"/>
        <v>2.6736111110949423E-2</v>
      </c>
      <c r="N86" s="7">
        <f t="shared" si="36"/>
        <v>38.499999999767169</v>
      </c>
      <c r="O86" s="7"/>
      <c r="P86" s="7"/>
      <c r="Q86" s="25"/>
      <c r="R86" s="25"/>
      <c r="S86" s="37">
        <f t="shared" si="37"/>
        <v>1</v>
      </c>
      <c r="T86" s="52" t="str">
        <f t="shared" si="38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12:36:38-0600',mode:absolute,to:'2016-10-02 15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6" s="54" t="str">
        <f t="shared" si="40"/>
        <v>N</v>
      </c>
      <c r="X86" s="164">
        <f t="shared" si="41"/>
        <v>1</v>
      </c>
      <c r="Y86" s="69">
        <f t="shared" si="42"/>
        <v>23.298300000000001</v>
      </c>
      <c r="Z86" s="69">
        <f t="shared" si="43"/>
        <v>1.5599999999999999E-2</v>
      </c>
      <c r="AA86" s="69">
        <f t="shared" si="44"/>
        <v>23.282700000000002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5"/>
        <v>0174-02</v>
      </c>
      <c r="AE86" s="95" t="str">
        <f t="shared" si="46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86" s="92" t="str">
        <f t="shared" si="47"/>
        <v>"C:\Program Files (x86)\AstroGrep\AstroGrep.exe" /spath="%USERPROFILE%\AppData\Local\Temp\OnboardLogs" /stypes="app*4015*20161002*" /stext=" 20:.+((SYSTEM_STATE.+slice.+state.+changed )|(ment ac)|(system.+state.+changed )|(\[timeout)|(PRM\|1\|D)|(kpr)|(kdp)|(\|lc)|(penalty))" /e /r /s</v>
      </c>
      <c r="AG86" s="1" t="str">
        <f t="shared" si="48"/>
        <v>EC</v>
      </c>
      <c r="AH86" s="96" t="str">
        <f t="shared" si="49"/>
        <v>"%USERPROFILE%\Documents\GitHub\eaglep3\Utilities\RefineRTDCRunTimes.py" --tripid 174-02 --locoid 4015 --swversion DE.1.0.7.0 --startMP 204:232983 --initTime 2016-10-02T13:36:38 --startdatetime 2016-10-02T13:41:23 --delay 1 --endMP 204:156 --enddatetime 2016-10-02T14:19:53 --enforcementcount 0 &gt;&gt;C:\Users\stu\Documents\GitHub\eaglep3-reporting\EC\2016-10-02-refined-times.txt</v>
      </c>
      <c r="AI8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{"issue":{"subject":"","project_id":79,"tracker_id":40,"status_id":1,"priority_id":2,"assigned_to_id":23,"start_date":"2016-10-02","description":"","custom_fields":[{"id":1,"name":"Subdivision","value":"EC"},{"id":4,"name":"Milepost","value":"0.0156"},{"id":17,"name":"Train ID","value":"174-02"},{"id":16,"name":"Locomotive ID","value":"4015"},{"id":130,"name":"Impact","value":""},{"id":150,"name":"Time of Event (Mountain Time)","value":"14:19:53"},{"id":151,"name":"Denver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520</v>
      </c>
      <c r="B87" s="7">
        <v>4053</v>
      </c>
      <c r="C87" s="24" t="s">
        <v>106</v>
      </c>
      <c r="D87" s="24" t="s">
        <v>208</v>
      </c>
      <c r="E87" s="15">
        <v>42645.536782407406</v>
      </c>
      <c r="F87" s="15">
        <v>42645.541932870372</v>
      </c>
      <c r="G87" s="7">
        <v>1</v>
      </c>
      <c r="H87" s="15" t="s">
        <v>417</v>
      </c>
      <c r="I87" s="15">
        <v>42645.567314814813</v>
      </c>
      <c r="J87" s="7">
        <v>0</v>
      </c>
      <c r="K87" s="117" t="str">
        <f t="shared" si="34"/>
        <v>4053/4054</v>
      </c>
      <c r="L87" s="24" t="str">
        <f>VLOOKUP(A87,'Trips&amp;Operators'!$C$1:$E$10000,3,FALSE)</f>
        <v>BARTLETT</v>
      </c>
      <c r="M87" s="6">
        <f t="shared" si="35"/>
        <v>2.5381944440596271E-2</v>
      </c>
      <c r="N87" s="7">
        <f t="shared" si="36"/>
        <v>36.549999994458631</v>
      </c>
      <c r="O87" s="7"/>
      <c r="P87" s="7"/>
      <c r="Q87" s="25"/>
      <c r="R87" s="25"/>
      <c r="S87" s="37">
        <f t="shared" si="37"/>
        <v>1</v>
      </c>
      <c r="T87" s="52" t="str">
        <f t="shared" si="38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11:52:58-0600',mode:absolute,to:'2016-10-02 14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7" s="54" t="str">
        <f t="shared" si="40"/>
        <v>N</v>
      </c>
      <c r="X87" s="164">
        <f t="shared" si="41"/>
        <v>1</v>
      </c>
      <c r="Y87" s="69">
        <f t="shared" si="42"/>
        <v>4.5699999999999998E-2</v>
      </c>
      <c r="Z87" s="69">
        <f t="shared" si="43"/>
        <v>23.331099999999999</v>
      </c>
      <c r="AA87" s="69">
        <f t="shared" si="44"/>
        <v>23.285399999999999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5"/>
        <v>0175-02</v>
      </c>
      <c r="AE87" s="95" t="str">
        <f t="shared" si="46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87" s="92" t="str">
        <f t="shared" si="47"/>
        <v>"C:\Program Files (x86)\AstroGrep\AstroGrep.exe" /spath="%USERPROFILE%\AppData\Local\Temp\OnboardLogs" /stypes="app*4053*20161002*" /stext=" 19:.+((SYSTEM_STATE.+slice.+state.+changed )|(ment ac)|(system.+state.+changed )|(\[timeout)|(PRM\|1\|D)|(kpr)|(kdp)|(\|lc)|(penalty))" /e /r /s</v>
      </c>
      <c r="AG87" s="1" t="str">
        <f t="shared" si="48"/>
        <v>EC</v>
      </c>
      <c r="AH87" s="96" t="str">
        <f t="shared" si="49"/>
        <v>"%USERPROFILE%\Documents\GitHub\eaglep3\Utilities\RefineRTDCRunTimes.py" --tripid 175-02 --locoid 4053 --swversion DE.1.0.7.0 --startMP 204:457 --initTime 2016-10-02T12:52:58 --startdatetime 2016-10-02T13:00:23 --delay 1 --endMP 204:233311 --enddatetime 2016-10-02T13:36:56 --enforcementcount 0 &gt;&gt;C:\Users\stu\Documents\GitHub\eaglep3-reporting\EC\2016-10-02-refined-times.txt</v>
      </c>
      <c r="AI8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{"issue":{"subject":"","project_id":79,"tracker_id":40,"status_id":1,"priority_id":2,"assigned_to_id":23,"start_date":"2016-10-02","description":"","custom_fields":[{"id":1,"name":"Subdivision","value":"EC"},{"id":4,"name":"Milepost","value":"23.3311"},{"id":17,"name":"Train ID","value":"175-02"},{"id":16,"name":"Locomotive ID","value":"4053"},{"id":130,"name":"Impact","value":""},{"id":150,"name":"Time of Event (Mountain Time)","value":"13:36:56"},{"id":151,"name":"Denver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521</v>
      </c>
      <c r="B88" s="7">
        <v>4054</v>
      </c>
      <c r="C88" s="24" t="s">
        <v>106</v>
      </c>
      <c r="D88" s="24" t="s">
        <v>272</v>
      </c>
      <c r="E88" s="15">
        <v>42645.568981481483</v>
      </c>
      <c r="F88" s="15">
        <v>42645.580763888887</v>
      </c>
      <c r="G88" s="7">
        <v>0</v>
      </c>
      <c r="H88" s="15" t="s">
        <v>202</v>
      </c>
      <c r="I88" s="15">
        <v>42645.608425925922</v>
      </c>
      <c r="J88" s="7">
        <v>0</v>
      </c>
      <c r="K88" s="117" t="str">
        <f t="shared" si="34"/>
        <v>4053/4054</v>
      </c>
      <c r="L88" s="24" t="str">
        <f>VLOOKUP(A88,'Trips&amp;Operators'!$C$1:$E$10000,3,FALSE)</f>
        <v>BARTLETT</v>
      </c>
      <c r="M88" s="6">
        <f t="shared" si="35"/>
        <v>2.7662037035042886E-2</v>
      </c>
      <c r="N88" s="7">
        <f t="shared" si="36"/>
        <v>39.833333330461755</v>
      </c>
      <c r="O88" s="7"/>
      <c r="P88" s="7"/>
      <c r="Q88" s="25"/>
      <c r="R88" s="25"/>
      <c r="S88" s="37">
        <f t="shared" si="37"/>
        <v>1</v>
      </c>
      <c r="T88" s="52" t="str">
        <f t="shared" si="38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12:39:20-0600',mode:absolute,to:'2016-10-02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8" s="54" t="str">
        <f t="shared" si="40"/>
        <v>N</v>
      </c>
      <c r="X88" s="164">
        <f t="shared" si="41"/>
        <v>1</v>
      </c>
      <c r="Y88" s="69">
        <f t="shared" si="42"/>
        <v>23.2986</v>
      </c>
      <c r="Z88" s="69">
        <f t="shared" si="43"/>
        <v>1.5800000000000002E-2</v>
      </c>
      <c r="AA88" s="69">
        <f t="shared" si="44"/>
        <v>23.282800000000002</v>
      </c>
      <c r="AB88" s="66" t="str">
        <f>VLOOKUP(A88,Enforcements!$C$7:$K$21,8,0)</f>
        <v>Bulletin (2)</v>
      </c>
      <c r="AC88" s="62" t="str">
        <f>VLOOKUP(A88,Enforcements!$C$7:$E$21,3,0)</f>
        <v>GRADE CROSSING</v>
      </c>
      <c r="AD88" s="63" t="str">
        <f t="shared" si="45"/>
        <v>0176-02</v>
      </c>
      <c r="AE88" s="95" t="str">
        <f t="shared" si="46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88" s="92" t="str">
        <f t="shared" si="47"/>
        <v>"C:\Program Files (x86)\AstroGrep\AstroGrep.exe" /spath="%USERPROFILE%\AppData\Local\Temp\OnboardLogs" /stypes="app*4054*20161002*" /stext=" 20:.+((SYSTEM_STATE.+slice.+state.+changed )|(ment ac)|(system.+state.+changed )|(\[timeout)|(PRM\|1\|D)|(kpr)|(kdp)|(\|lc)|(penalty))" /e /r /s</v>
      </c>
      <c r="AG88" s="1" t="str">
        <f t="shared" si="48"/>
        <v>EC</v>
      </c>
      <c r="AH88" s="96" t="str">
        <f t="shared" si="49"/>
        <v>"%USERPROFILE%\Documents\GitHub\eaglep3\Utilities\RefineRTDCRunTimes.py" --tripid 176-02 --locoid 4054 --swversion DE.1.0.7.0 --startMP 204:232986 --initTime 2016-10-02T13:39:20 --startdatetime 2016-10-02T13:56:18 --delay 0 --endMP 204:158 --enddatetime 2016-10-02T14:36:08 --enforcementcount 0 &gt;&gt;C:\Users\stu\Documents\GitHub\eaglep3-reporting\EC\2016-10-02-refined-times.txt</v>
      </c>
      <c r="AI8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{"issue":{"subject":"","project_id":79,"tracker_id":40,"status_id":1,"priority_id":2,"assigned_to_id":23,"start_date":"2016-10-02","description":"","custom_fields":[{"id":1,"name":"Subdivision","value":"EC"},{"id":4,"name":"Milepost","value":"0.0158"},{"id":17,"name":"Train ID","value":"176-02"},{"id":16,"name":"Locomotive ID","value":"4054"},{"id":130,"name":"Impact","value":""},{"id":150,"name":"Time of Event (Mountain Time)","value":"14:36:08"},{"id":151,"name":"Denver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522</v>
      </c>
      <c r="B89" s="7">
        <v>4014</v>
      </c>
      <c r="C89" s="24" t="s">
        <v>106</v>
      </c>
      <c r="D89" s="24" t="s">
        <v>211</v>
      </c>
      <c r="E89" s="15">
        <v>42645.54960648148</v>
      </c>
      <c r="F89" s="15">
        <v>42645.552476851852</v>
      </c>
      <c r="G89" s="7">
        <v>1</v>
      </c>
      <c r="H89" s="15" t="s">
        <v>354</v>
      </c>
      <c r="I89" s="15">
        <v>42645.578252314815</v>
      </c>
      <c r="J89" s="7">
        <v>0</v>
      </c>
      <c r="K89" s="117" t="str">
        <f t="shared" si="34"/>
        <v>4013/4014</v>
      </c>
      <c r="L89" s="24" t="str">
        <f>VLOOKUP(A89,'Trips&amp;Operators'!$C$1:$E$10000,3,FALSE)</f>
        <v>HAITHCOX</v>
      </c>
      <c r="M89" s="6">
        <f t="shared" si="35"/>
        <v>2.5775462963792961E-2</v>
      </c>
      <c r="N89" s="7">
        <f t="shared" si="36"/>
        <v>37.116666667861864</v>
      </c>
      <c r="O89" s="7"/>
      <c r="P89" s="7"/>
      <c r="Q89" s="25"/>
      <c r="R89" s="25"/>
      <c r="S89" s="37">
        <f t="shared" si="37"/>
        <v>1</v>
      </c>
      <c r="T89" s="52" t="str">
        <f t="shared" si="38"/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12:11:26-0600',mode:absolute,to:'2016-10-02 14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9" s="54" t="str">
        <f t="shared" si="40"/>
        <v>N</v>
      </c>
      <c r="X89" s="164">
        <f t="shared" si="41"/>
        <v>1</v>
      </c>
      <c r="Y89" s="69">
        <f t="shared" si="42"/>
        <v>4.5499999999999999E-2</v>
      </c>
      <c r="Z89" s="69">
        <f t="shared" si="43"/>
        <v>23.3308</v>
      </c>
      <c r="AA89" s="69">
        <f t="shared" si="44"/>
        <v>23.285299999999999</v>
      </c>
      <c r="AB89" s="66" t="str">
        <f>VLOOKUP(A89,Enforcements!$C$7:$K$21,8,0)</f>
        <v>Speed (6)</v>
      </c>
      <c r="AC89" s="62" t="str">
        <f>VLOOKUP(A89,Enforcements!$C$7:$E$21,3,0)</f>
        <v>PERMANENT SPEED RESTRICTION</v>
      </c>
      <c r="AD89" s="63" t="str">
        <f t="shared" si="45"/>
        <v>0177-02</v>
      </c>
      <c r="AE89" s="95" t="str">
        <f t="shared" si="46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89" s="92" t="str">
        <f t="shared" si="47"/>
        <v>"C:\Program Files (x86)\AstroGrep\AstroGrep.exe" /spath="%USERPROFILE%\AppData\Local\Temp\OnboardLogs" /stypes="app*4014*20161002*" /stext=" 19:.+((SYSTEM_STATE.+slice.+state.+changed )|(ment ac)|(system.+state.+changed )|(\[timeout)|(PRM\|1\|D)|(kpr)|(kdp)|(\|lc)|(penalty))" /e /r /s</v>
      </c>
      <c r="AG89" s="1" t="str">
        <f t="shared" si="48"/>
        <v>EC</v>
      </c>
      <c r="AH89" s="96" t="str">
        <f t="shared" si="49"/>
        <v>"%USERPROFILE%\Documents\GitHub\eaglep3\Utilities\RefineRTDCRunTimes.py" --tripid 177-02 --locoid 4014 --swversion DE.1.0.7.0 --startMP 204:455 --initTime 2016-10-02T13:11:26 --startdatetime 2016-10-02T13:15:34 --delay 1 --endMP 204:233308 --enddatetime 2016-10-02T13:52:41 --enforcementcount 0 &gt;&gt;C:\Users\stu\Documents\GitHub\eaglep3-reporting\EC\2016-10-02-refined-times.txt</v>
      </c>
      <c r="AI8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{"issue":{"subject":"","project_id":79,"tracker_id":40,"status_id":1,"priority_id":2,"assigned_to_id":23,"start_date":"2016-10-02","description":"","custom_fields":[{"id":1,"name":"Subdivision","value":"EC"},{"id":4,"name":"Milepost","value":"23.3308"},{"id":17,"name":"Train ID","value":"177-02"},{"id":16,"name":"Locomotive ID","value":"4014"},{"id":130,"name":"Impact","value":""},{"id":150,"name":"Time of Event (Mountain Time)","value":"13:52:41"},{"id":151,"name":"Denver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523</v>
      </c>
      <c r="B90" s="7">
        <v>4013</v>
      </c>
      <c r="C90" s="24" t="s">
        <v>106</v>
      </c>
      <c r="D90" s="24" t="s">
        <v>256</v>
      </c>
      <c r="E90" s="15">
        <v>42645.583634259259</v>
      </c>
      <c r="F90" s="15">
        <v>42645.591203703705</v>
      </c>
      <c r="G90" s="7">
        <v>1</v>
      </c>
      <c r="H90" s="15" t="s">
        <v>524</v>
      </c>
      <c r="I90" s="15">
        <v>42645.619571759256</v>
      </c>
      <c r="J90" s="7">
        <v>0</v>
      </c>
      <c r="K90" s="117" t="str">
        <f t="shared" si="34"/>
        <v>4013/4014</v>
      </c>
      <c r="L90" s="24" t="str">
        <f>VLOOKUP(A90,'Trips&amp;Operators'!$C$1:$E$10000,3,FALSE)</f>
        <v>HAITHCOX</v>
      </c>
      <c r="M90" s="6">
        <f t="shared" si="35"/>
        <v>2.8368055551254656E-2</v>
      </c>
      <c r="N90" s="7">
        <f t="shared" si="36"/>
        <v>40.849999993806705</v>
      </c>
      <c r="O90" s="7"/>
      <c r="P90" s="7"/>
      <c r="Q90" s="25"/>
      <c r="R90" s="25"/>
      <c r="S90" s="37">
        <f t="shared" si="37"/>
        <v>1</v>
      </c>
      <c r="T90" s="52" t="str">
        <f t="shared" si="38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13:00:26-0600',mode:absolute,to:'2016-10-02 15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0" s="54" t="str">
        <f t="shared" si="40"/>
        <v>N</v>
      </c>
      <c r="X90" s="164">
        <f t="shared" si="41"/>
        <v>1</v>
      </c>
      <c r="Y90" s="69">
        <f t="shared" si="42"/>
        <v>23.299099999999999</v>
      </c>
      <c r="Z90" s="69">
        <f t="shared" si="43"/>
        <v>1.21E-2</v>
      </c>
      <c r="AA90" s="69">
        <f t="shared" si="44"/>
        <v>23.286999999999999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5"/>
        <v>0178-02</v>
      </c>
      <c r="AE90" s="95" t="str">
        <f t="shared" si="46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90" s="92" t="str">
        <f t="shared" si="47"/>
        <v>"C:\Program Files (x86)\AstroGrep\AstroGrep.exe" /spath="%USERPROFILE%\AppData\Local\Temp\OnboardLogs" /stypes="app*4013*20161002*" /stext=" 20:.+((SYSTEM_STATE.+slice.+state.+changed )|(ment ac)|(system.+state.+changed )|(\[timeout)|(PRM\|1\|D)|(kpr)|(kdp)|(\|lc)|(penalty))" /e /r /s</v>
      </c>
      <c r="AG90" s="1" t="str">
        <f t="shared" si="48"/>
        <v>EC</v>
      </c>
      <c r="AH90" s="96" t="str">
        <f t="shared" si="49"/>
        <v>"%USERPROFILE%\Documents\GitHub\eaglep3\Utilities\RefineRTDCRunTimes.py" --tripid 178-02 --locoid 4013 --swversion DE.1.0.7.0 --startMP 204:232991 --initTime 2016-10-02T14:00:26 --startdatetime 2016-10-02T14:11:20 --delay 1 --endMP 204:121 --enddatetime 2016-10-02T14:52:11 --enforcementcount 0 &gt;&gt;C:\Users\stu\Documents\GitHub\eaglep3-reporting\EC\2016-10-02-refined-times.txt</v>
      </c>
      <c r="AI9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{"issue":{"subject":"","project_id":79,"tracker_id":40,"status_id":1,"priority_id":2,"assigned_to_id":23,"start_date":"2016-10-02","description":"","custom_fields":[{"id":1,"name":"Subdivision","value":"EC"},{"id":4,"name":"Milepost","value":"0.0121"},{"id":17,"name":"Train ID","value":"178-02"},{"id":16,"name":"Locomotive ID","value":"4013"},{"id":130,"name":"Impact","value":""},{"id":150,"name":"Time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525</v>
      </c>
      <c r="B91" s="7">
        <v>4025</v>
      </c>
      <c r="C91" s="24" t="s">
        <v>106</v>
      </c>
      <c r="D91" s="24" t="s">
        <v>212</v>
      </c>
      <c r="E91" s="15">
        <v>42645.558125000003</v>
      </c>
      <c r="F91" s="15">
        <v>42645.562696759262</v>
      </c>
      <c r="G91" s="7">
        <v>1</v>
      </c>
      <c r="H91" s="15" t="s">
        <v>362</v>
      </c>
      <c r="I91" s="15">
        <v>42645.588506944441</v>
      </c>
      <c r="J91" s="7">
        <v>0</v>
      </c>
      <c r="K91" s="117" t="str">
        <f t="shared" si="34"/>
        <v>4025/4026</v>
      </c>
      <c r="L91" s="24" t="str">
        <f>VLOOKUP(A91,'Trips&amp;Operators'!$C$1:$E$10000,3,FALSE)</f>
        <v>MOSES</v>
      </c>
      <c r="M91" s="6">
        <f t="shared" si="35"/>
        <v>2.5810185179580003E-2</v>
      </c>
      <c r="N91" s="7">
        <f t="shared" si="36"/>
        <v>37.166666658595204</v>
      </c>
      <c r="O91" s="7"/>
      <c r="P91" s="7"/>
      <c r="Q91" s="25"/>
      <c r="R91" s="25"/>
      <c r="S91" s="37">
        <f t="shared" si="37"/>
        <v>1</v>
      </c>
      <c r="T91" s="52" t="str">
        <f t="shared" si="38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12:23:42-0600',mode:absolute,to:'2016-10-02 15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1" s="54" t="str">
        <f t="shared" si="40"/>
        <v>N</v>
      </c>
      <c r="X91" s="164">
        <f t="shared" si="41"/>
        <v>1</v>
      </c>
      <c r="Y91" s="69">
        <f t="shared" si="42"/>
        <v>4.58E-2</v>
      </c>
      <c r="Z91" s="69">
        <f t="shared" si="43"/>
        <v>23.328900000000001</v>
      </c>
      <c r="AA91" s="69">
        <f t="shared" si="44"/>
        <v>23.283100000000001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45"/>
        <v>0179-02</v>
      </c>
      <c r="AE91" s="95" t="str">
        <f t="shared" si="46"/>
        <v>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 &amp; 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</v>
      </c>
      <c r="AF91" s="92" t="str">
        <f t="shared" si="47"/>
        <v>"C:\Program Files (x86)\AstroGrep\AstroGrep.exe" /spath="%USERPROFILE%\AppData\Local\Temp\OnboardLogs" /stypes="app*4025*20161002*" /stext=" 20:.+((SYSTEM_STATE.+slice.+state.+changed )|(ment ac)|(system.+state.+changed )|(\[timeout)|(PRM\|1\|D)|(kpr)|(kdp)|(\|lc)|(penalty))" /e /r /s</v>
      </c>
      <c r="AG91" s="1" t="str">
        <f t="shared" si="48"/>
        <v>EC</v>
      </c>
      <c r="AH91" s="96" t="str">
        <f t="shared" si="49"/>
        <v>"%USERPROFILE%\Documents\GitHub\eaglep3\Utilities\RefineRTDCRunTimes.py" --tripid 179-02 --locoid 4025 --swversion DE.1.0.7.0 --startMP 204:458 --initTime 2016-10-02T13:23:42 --startdatetime 2016-10-02T13:30:17 --delay 1 --endMP 204:233289 --enddatetime 2016-10-02T14:07:27 --enforcementcount 0 &gt;&gt;C:\Users\stu\Documents\GitHub\eaglep3-reporting\EC\2016-10-02-refined-times.txt</v>
      </c>
      <c r="AI9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ID","value":"179-02"},{"id":16,"name":"Locomotive ID","value":"4025"},{"id":130,"name":"Impact","value":""},{"id":150,"name":"Time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526</v>
      </c>
      <c r="B92" s="7">
        <v>4026</v>
      </c>
      <c r="C92" s="24" t="s">
        <v>106</v>
      </c>
      <c r="D92" s="24" t="s">
        <v>272</v>
      </c>
      <c r="E92" s="15">
        <v>42645.598668981482</v>
      </c>
      <c r="F92" s="15">
        <v>42645.601643518516</v>
      </c>
      <c r="G92" s="7">
        <v>1</v>
      </c>
      <c r="H92" s="15" t="s">
        <v>205</v>
      </c>
      <c r="I92" s="15">
        <v>42645.628634259258</v>
      </c>
      <c r="J92" s="7">
        <v>0</v>
      </c>
      <c r="K92" s="117" t="str">
        <f t="shared" si="34"/>
        <v>4025/4026</v>
      </c>
      <c r="L92" s="24" t="str">
        <f>VLOOKUP(A92,'Trips&amp;Operators'!$C$1:$E$10000,3,FALSE)</f>
        <v>MOSES</v>
      </c>
      <c r="M92" s="6">
        <f t="shared" si="35"/>
        <v>2.6990740741894115E-2</v>
      </c>
      <c r="N92" s="7">
        <f t="shared" si="36"/>
        <v>38.866666668327525</v>
      </c>
      <c r="O92" s="7"/>
      <c r="P92" s="7"/>
      <c r="Q92" s="25"/>
      <c r="R92" s="25"/>
      <c r="S92" s="37">
        <f t="shared" si="37"/>
        <v>1</v>
      </c>
      <c r="T92" s="52" t="str">
        <f t="shared" si="38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13:22:05-0600',mode:absolute,to:'2016-10-02 16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2" s="54" t="str">
        <f t="shared" si="40"/>
        <v>N</v>
      </c>
      <c r="X92" s="164">
        <f t="shared" si="41"/>
        <v>1</v>
      </c>
      <c r="Y92" s="69">
        <f t="shared" si="42"/>
        <v>23.2986</v>
      </c>
      <c r="Z92" s="69">
        <f t="shared" si="43"/>
        <v>1.4999999999999999E-2</v>
      </c>
      <c r="AA92" s="69">
        <f t="shared" si="44"/>
        <v>23.2836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5"/>
        <v>0180-02</v>
      </c>
      <c r="AE92" s="95" t="str">
        <f t="shared" si="46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92" s="92" t="str">
        <f t="shared" si="47"/>
        <v>"C:\Program Files (x86)\AstroGrep\AstroGrep.exe" /spath="%USERPROFILE%\AppData\Local\Temp\OnboardLogs" /stypes="app*4026*20161002*" /stext=" 21:.+((SYSTEM_STATE.+slice.+state.+changed )|(ment ac)|(system.+state.+changed )|(\[timeout)|(PRM\|1\|D)|(kpr)|(kdp)|(\|lc)|(penalty))" /e /r /s</v>
      </c>
      <c r="AG92" s="1" t="str">
        <f t="shared" si="48"/>
        <v>EC</v>
      </c>
      <c r="AH92" s="96" t="str">
        <f t="shared" si="49"/>
        <v>"%USERPROFILE%\Documents\GitHub\eaglep3\Utilities\RefineRTDCRunTimes.py" --tripid 180-02 --locoid 4026 --swversion DE.1.0.7.0 --startMP 204:232986 --initTime 2016-10-02T14:22:05 --startdatetime 2016-10-02T14:26:22 --delay 1 --endMP 204:150 --enddatetime 2016-10-02T15:05:14 --enforcementcount 0 &gt;&gt;C:\Users\stu\Documents\GitHub\eaglep3-reporting\EC\2016-10-02-refined-times.txt</v>
      </c>
      <c r="AI9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{"issue":{"subject":"","project_id":79,"tracker_id":40,"status_id":1,"priority_id":2,"assigned_to_id":23,"start_date":"2016-10-02","description":"","custom_fields":[{"id":1,"name":"Subdivision","value":"EC"},{"id":4,"name":"Milepost","value":"0.015"},{"id":17,"name":"Train ID","value":"180-02"},{"id":16,"name":"Locomotive ID","value":"4026"},{"id":130,"name":"Impact","value":""},{"id":150,"name":"Time of Event (Mountain Time)","value":"15:05:14"},{"id":151,"name":"Denver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550</v>
      </c>
      <c r="B93" s="7">
        <v>4007</v>
      </c>
      <c r="C93" s="24" t="s">
        <v>106</v>
      </c>
      <c r="D93" s="24" t="s">
        <v>551</v>
      </c>
      <c r="E93" s="15">
        <v>42645.569189814814</v>
      </c>
      <c r="F93" s="15">
        <v>42645.573252314818</v>
      </c>
      <c r="G93" s="7">
        <v>1</v>
      </c>
      <c r="H93" s="15" t="s">
        <v>303</v>
      </c>
      <c r="I93" s="15">
        <v>42645.599988425929</v>
      </c>
      <c r="J93" s="7">
        <v>0</v>
      </c>
      <c r="K93" s="117" t="str">
        <f t="shared" si="34"/>
        <v>4007/4008</v>
      </c>
      <c r="L93" s="24" t="str">
        <f>VLOOKUP(A93,'Trips&amp;Operators'!$C$1:$E$10000,3,FALSE)</f>
        <v>YOUNG</v>
      </c>
      <c r="M93" s="6">
        <f t="shared" si="35"/>
        <v>2.6736111110949423E-2</v>
      </c>
      <c r="N93" s="7">
        <f t="shared" si="36"/>
        <v>38.499999999767169</v>
      </c>
      <c r="O93" s="7"/>
      <c r="P93" s="7"/>
      <c r="Q93" s="25"/>
      <c r="R93" s="25"/>
      <c r="S93" s="37">
        <f t="shared" si="37"/>
        <v>1</v>
      </c>
      <c r="T93" s="52" t="str">
        <f t="shared" si="38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12:39:38-0600',mode:absolute,to:'2016-10-02 15:23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93" s="54" t="str">
        <f t="shared" si="40"/>
        <v>N</v>
      </c>
      <c r="X93" s="164">
        <f t="shared" si="41"/>
        <v>1</v>
      </c>
      <c r="Y93" s="69">
        <f t="shared" si="42"/>
        <v>4.9700000000000001E-2</v>
      </c>
      <c r="Z93" s="69">
        <f t="shared" si="43"/>
        <v>23.3306</v>
      </c>
      <c r="AA93" s="69">
        <f t="shared" si="44"/>
        <v>23.280899999999999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5"/>
        <v>0181-02</v>
      </c>
      <c r="AE93" s="95" t="str">
        <f t="shared" si="46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93" s="92" t="str">
        <f t="shared" si="47"/>
        <v>"C:\Program Files (x86)\AstroGrep\AstroGrep.exe" /spath="%USERPROFILE%\AppData\Local\Temp\OnboardLogs" /stypes="app*4007*20161002*" /stext=" 20:.+((SYSTEM_STATE.+slice.+state.+changed )|(ment ac)|(system.+state.+changed )|(\[timeout)|(PRM\|1\|D)|(kpr)|(kdp)|(\|lc)|(penalty))" /e /r /s</v>
      </c>
      <c r="AG93" s="1" t="str">
        <f t="shared" si="48"/>
        <v>EC</v>
      </c>
      <c r="AH93" s="96" t="str">
        <f t="shared" si="49"/>
        <v>"%USERPROFILE%\Documents\GitHub\eaglep3\Utilities\RefineRTDCRunTimes.py" --tripid 181-02 --locoid 4007 --swversion DE.1.0.7.0 --startMP 204:497 --initTime 2016-10-02T13:39:38 --startdatetime 2016-10-02T13:45:29 --delay 1 --endMP 204:233306 --enddatetime 2016-10-02T14:23:59 --enforcementcount 0 &gt;&gt;C:\Users\stu\Documents\GitHub\eaglep3-reporting\EC\2016-10-02-refined-times.txt</v>
      </c>
      <c r="AI9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{"issue":{"subject":"","project_id":79,"tracker_id":40,"status_id":1,"priority_id":2,"assigned_to_id":23,"start_date":"2016-10-02","description":"","custom_fields":[{"id":1,"name":"Subdivision","value":"EC"},{"id":4,"name":"Milepost","value":"23.3306"},{"id":17,"name":"Train ID","value":"181-02"},{"id":16,"name":"Locomotive ID","value":"4007"},{"id":130,"name":"Impact","value":""},{"id":150,"name":"Time of Event (Mountain Time)","value":"14:23:59"},{"id":151,"name":"Denver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567</v>
      </c>
      <c r="B94" s="7">
        <v>4008</v>
      </c>
      <c r="C94" s="24" t="s">
        <v>106</v>
      </c>
      <c r="D94" s="24" t="s">
        <v>293</v>
      </c>
      <c r="E94" s="15">
        <v>42645.60659722222</v>
      </c>
      <c r="F94" s="15">
        <v>42645.612268518518</v>
      </c>
      <c r="G94" s="7">
        <v>1</v>
      </c>
      <c r="H94" s="15" t="s">
        <v>359</v>
      </c>
      <c r="I94" s="15">
        <v>42645.640405092592</v>
      </c>
      <c r="J94" s="7">
        <v>0</v>
      </c>
      <c r="K94" s="117" t="str">
        <f t="shared" si="34"/>
        <v>4007/4008</v>
      </c>
      <c r="L94" s="24" t="str">
        <f>VLOOKUP(A94,'Trips&amp;Operators'!$C$1:$E$10000,3,FALSE)</f>
        <v>YOUNG</v>
      </c>
      <c r="M94" s="6">
        <f t="shared" si="35"/>
        <v>2.8136574073869269E-2</v>
      </c>
      <c r="N94" s="7">
        <f t="shared" si="36"/>
        <v>40.516666666371748</v>
      </c>
      <c r="O94" s="7"/>
      <c r="P94" s="7"/>
      <c r="Q94" s="25"/>
      <c r="R94" s="25"/>
      <c r="S94" s="37">
        <f t="shared" si="37"/>
        <v>1</v>
      </c>
      <c r="T94" s="52" t="str">
        <f t="shared" si="38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13:33:30-0600',mode:absolute,to:'2016-10-02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94" s="54" t="str">
        <f t="shared" si="40"/>
        <v>N</v>
      </c>
      <c r="X94" s="164">
        <f t="shared" si="41"/>
        <v>1</v>
      </c>
      <c r="Y94" s="69">
        <f t="shared" si="42"/>
        <v>23.299600000000002</v>
      </c>
      <c r="Z94" s="69">
        <f t="shared" si="43"/>
        <v>1.72E-2</v>
      </c>
      <c r="AA94" s="69">
        <f t="shared" si="44"/>
        <v>23.282400000000003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5"/>
        <v>0182-02</v>
      </c>
      <c r="AE94" s="95" t="str">
        <f t="shared" si="46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94" s="92" t="str">
        <f t="shared" si="47"/>
        <v>"C:\Program Files (x86)\AstroGrep\AstroGrep.exe" /spath="%USERPROFILE%\AppData\Local\Temp\OnboardLogs" /stypes="app*4008*20161002*" /stext=" 21:.+((SYSTEM_STATE.+slice.+state.+changed )|(ment ac)|(system.+state.+changed )|(\[timeout)|(PRM\|1\|D)|(kpr)|(kdp)|(\|lc)|(penalty))" /e /r /s</v>
      </c>
      <c r="AG94" s="1" t="str">
        <f t="shared" si="48"/>
        <v>EC</v>
      </c>
      <c r="AH94" s="96" t="str">
        <f t="shared" si="49"/>
        <v>"%USERPROFILE%\Documents\GitHub\eaglep3\Utilities\RefineRTDCRunTimes.py" --tripid 182-02 --locoid 4008 --swversion DE.1.0.7.0 --startMP 204:232996 --initTime 2016-10-02T14:33:30 --startdatetime 2016-10-02T14:41:40 --delay 1 --endMP 204:172 --enddatetime 2016-10-02T15:22:11 --enforcementcount 0 &gt;&gt;C:\Users\stu\Documents\GitHub\eaglep3-reporting\EC\2016-10-02-refined-times.txt</v>
      </c>
      <c r="AI9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{"issue":{"subject":"","project_id":79,"tracker_id":40,"status_id":1,"priority_id":2,"assigned_to_id":23,"start_date":"2016-10-02","description":"","custom_fields":[{"id":1,"name":"Subdivision","value":"EC"},{"id":4,"name":"Milepost","value":"0.0172"},{"id":17,"name":"Train ID","value":"182-02"},{"id":16,"name":"Locomotive ID","value":"4008"},{"id":130,"name":"Impact","value":""},{"id":150,"name":"Time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593</v>
      </c>
      <c r="B95" s="7">
        <v>4020</v>
      </c>
      <c r="C95" s="24" t="s">
        <v>106</v>
      </c>
      <c r="D95" s="24" t="s">
        <v>387</v>
      </c>
      <c r="E95" s="15">
        <v>42645.581550925926</v>
      </c>
      <c r="F95" s="15">
        <v>42645.583518518521</v>
      </c>
      <c r="G95" s="7">
        <v>1</v>
      </c>
      <c r="H95" s="15" t="s">
        <v>206</v>
      </c>
      <c r="I95" s="15">
        <v>42645.609097222223</v>
      </c>
      <c r="J95" s="7">
        <v>0</v>
      </c>
      <c r="K95" s="117" t="str">
        <f t="shared" si="34"/>
        <v>4019/4020</v>
      </c>
      <c r="L95" s="24" t="str">
        <f>VLOOKUP(A95,'Trips&amp;Operators'!$C$1:$E$10000,3,FALSE)</f>
        <v>CLARK</v>
      </c>
      <c r="M95" s="6">
        <f t="shared" si="35"/>
        <v>2.5578703702194616E-2</v>
      </c>
      <c r="N95" s="7">
        <f t="shared" si="36"/>
        <v>36.833333331160247</v>
      </c>
      <c r="O95" s="7"/>
      <c r="P95" s="7"/>
      <c r="Q95" s="25"/>
      <c r="R95" s="25"/>
      <c r="S95" s="37">
        <f t="shared" si="37"/>
        <v>1</v>
      </c>
      <c r="T95" s="52" t="str">
        <f t="shared" si="38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12:57:26-0600',mode:absolute,to:'2016-10-02 15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5" s="54" t="str">
        <f t="shared" si="40"/>
        <v>N</v>
      </c>
      <c r="X95" s="164">
        <f t="shared" si="41"/>
        <v>1</v>
      </c>
      <c r="Y95" s="69">
        <f t="shared" si="42"/>
        <v>4.8800000000000003E-2</v>
      </c>
      <c r="Z95" s="69">
        <f t="shared" si="43"/>
        <v>23.3291</v>
      </c>
      <c r="AA95" s="69">
        <f t="shared" si="44"/>
        <v>23.2803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45"/>
        <v>0183-02</v>
      </c>
      <c r="AE95" s="95" t="str">
        <f t="shared" si="46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95" s="92" t="str">
        <f t="shared" si="47"/>
        <v>"C:\Program Files (x86)\AstroGrep\AstroGrep.exe" /spath="%USERPROFILE%\AppData\Local\Temp\OnboardLogs" /stypes="app*4020*20161002*" /stext=" 20:.+((SYSTEM_STATE.+slice.+state.+changed )|(ment ac)|(system.+state.+changed )|(\[timeout)|(PRM\|1\|D)|(kpr)|(kdp)|(\|lc)|(penalty))" /e /r /s</v>
      </c>
      <c r="AG95" s="1" t="str">
        <f t="shared" si="48"/>
        <v>EC</v>
      </c>
      <c r="AH95" s="96" t="str">
        <f t="shared" si="49"/>
        <v>"%USERPROFILE%\Documents\GitHub\eaglep3\Utilities\RefineRTDCRunTimes.py" --tripid 183-02 --locoid 4020 --swversion DE.1.0.7.0 --startMP 204:488 --initTime 2016-10-02T13:57:26 --startdatetime 2016-10-02T14:00:16 --delay 1 --endMP 204:233291 --enddatetime 2016-10-02T14:37:06 --enforcementcount 0 &gt;&gt;C:\Users\stu\Documents\GitHub\eaglep3-reporting\EC\2016-10-02-refined-times.txt</v>
      </c>
      <c r="AI9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{"issue":{"subject":"","project_id":79,"tracker_id":40,"status_id":1,"priority_id":2,"assigned_to_id":23,"start_date":"2016-10-02","description":"","custom_fields":[{"id":1,"name":"Subdivision","value":"EC"},{"id":4,"name":"Milepost","value":"23.3291"},{"id":17,"name":"Train ID","value":"183-02"},{"id":16,"name":"Locomotive ID","value":"4020"},{"id":130,"name":"Impact","value":""},{"id":150,"name":"Time of Event (Mountain Time)","value":"14:37:06"},{"id":151,"name":"Denver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601</v>
      </c>
      <c r="B96" s="7">
        <v>4019</v>
      </c>
      <c r="C96" s="24" t="s">
        <v>106</v>
      </c>
      <c r="D96" s="24" t="s">
        <v>602</v>
      </c>
      <c r="E96" s="15">
        <v>42645.619467592594</v>
      </c>
      <c r="F96" s="15">
        <v>42645.622407407405</v>
      </c>
      <c r="G96" s="7">
        <v>1</v>
      </c>
      <c r="H96" s="15" t="s">
        <v>203</v>
      </c>
      <c r="I96" s="15">
        <v>42645.650891203702</v>
      </c>
      <c r="J96" s="7">
        <v>0</v>
      </c>
      <c r="K96" s="117" t="str">
        <f t="shared" si="34"/>
        <v>4019/4020</v>
      </c>
      <c r="L96" s="24" t="str">
        <f>VLOOKUP(A96,'Trips&amp;Operators'!$C$1:$E$10000,3,FALSE)</f>
        <v>CLARK</v>
      </c>
      <c r="M96" s="6">
        <f t="shared" si="35"/>
        <v>2.8483796297223307E-2</v>
      </c>
      <c r="N96" s="7">
        <f t="shared" si="36"/>
        <v>41.016666668001562</v>
      </c>
      <c r="O96" s="7"/>
      <c r="P96" s="7"/>
      <c r="Q96" s="25"/>
      <c r="R96" s="25"/>
      <c r="S96" s="37">
        <f t="shared" si="37"/>
        <v>1</v>
      </c>
      <c r="T96" s="52" t="str">
        <f t="shared" si="38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13:52:02-0600',mode:absolute,to:'2016-10-02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6" s="54" t="str">
        <f t="shared" si="40"/>
        <v>N</v>
      </c>
      <c r="X96" s="164">
        <f t="shared" si="41"/>
        <v>1</v>
      </c>
      <c r="Y96" s="69">
        <f t="shared" si="42"/>
        <v>23.295500000000001</v>
      </c>
      <c r="Z96" s="69">
        <f t="shared" si="43"/>
        <v>1.47E-2</v>
      </c>
      <c r="AA96" s="69">
        <f t="shared" si="44"/>
        <v>23.280799999999999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5"/>
        <v>0184-02</v>
      </c>
      <c r="AE96" s="95" t="str">
        <f t="shared" si="46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96" s="92" t="str">
        <f t="shared" si="47"/>
        <v>"C:\Program Files (x86)\AstroGrep\AstroGrep.exe" /spath="%USERPROFILE%\AppData\Local\Temp\OnboardLogs" /stypes="app*4019*20161002*" /stext=" 21:.+((SYSTEM_STATE.+slice.+state.+changed )|(ment ac)|(system.+state.+changed )|(\[timeout)|(PRM\|1\|D)|(kpr)|(kdp)|(\|lc)|(penalty))" /e /r /s</v>
      </c>
      <c r="AG96" s="1" t="str">
        <f t="shared" si="48"/>
        <v>EC</v>
      </c>
      <c r="AH96" s="96" t="str">
        <f t="shared" si="49"/>
        <v>"%USERPROFILE%\Documents\GitHub\eaglep3\Utilities\RefineRTDCRunTimes.py" --tripid 184-02 --locoid 4019 --swversion DE.1.0.7.0 --startMP 204:232955 --initTime 2016-10-02T14:52:02 --startdatetime 2016-10-02T14:56:16 --delay 1 --endMP 204:147 --enddatetime 2016-10-02T15:37:17 --enforcementcount 0 &gt;&gt;C:\Users\stu\Documents\GitHub\eaglep3-reporting\EC\2016-10-02-refined-times.txt</v>
      </c>
      <c r="AI9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{"issue":{"subject":"","project_id":79,"tracker_id":40,"status_id":1,"priority_id":2,"assigned_to_id":23,"start_date":"2016-10-02","description":"","custom_fields":[{"id":1,"name":"Subdivision","value":"EC"},{"id":4,"name":"Milepost","value":"0.0147"},{"id":17,"name":"Train ID","value":"184-02"},{"id":16,"name":"Locomotive ID","value":"4019"},{"id":130,"name":"Impact","value":""},{"id":150,"name":"Time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603</v>
      </c>
      <c r="B97" s="7">
        <v>4042</v>
      </c>
      <c r="C97" s="24" t="s">
        <v>106</v>
      </c>
      <c r="D97" s="24" t="s">
        <v>201</v>
      </c>
      <c r="E97" s="15">
        <v>42645.588229166664</v>
      </c>
      <c r="F97" s="15">
        <v>42645.593981481485</v>
      </c>
      <c r="G97" s="7">
        <v>1</v>
      </c>
      <c r="H97" s="15" t="s">
        <v>302</v>
      </c>
      <c r="I97" s="15">
        <v>42645.619317129633</v>
      </c>
      <c r="J97" s="7">
        <v>0</v>
      </c>
      <c r="K97" s="117" t="str">
        <f t="shared" si="34"/>
        <v>4041/4042</v>
      </c>
      <c r="L97" s="24" t="str">
        <f>VLOOKUP(A97,'Trips&amp;Operators'!$C$1:$E$10000,3,FALSE)</f>
        <v>SHOOK</v>
      </c>
      <c r="M97" s="6">
        <f t="shared" si="35"/>
        <v>2.5335648148029577E-2</v>
      </c>
      <c r="N97" s="7">
        <f t="shared" si="36"/>
        <v>36.483333333162591</v>
      </c>
      <c r="O97" s="7"/>
      <c r="P97" s="7"/>
      <c r="Q97" s="25"/>
      <c r="R97" s="25"/>
      <c r="S97" s="37">
        <f t="shared" si="37"/>
        <v>1</v>
      </c>
      <c r="T97" s="52" t="str">
        <f t="shared" si="38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13:07:03-0600',mode:absolute,to:'2016-10-02 15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7" s="54" t="str">
        <f t="shared" si="40"/>
        <v>N</v>
      </c>
      <c r="X97" s="164">
        <f t="shared" si="41"/>
        <v>1</v>
      </c>
      <c r="Y97" s="69">
        <f t="shared" si="42"/>
        <v>4.7100000000000003E-2</v>
      </c>
      <c r="Z97" s="69">
        <f t="shared" si="43"/>
        <v>23.333200000000001</v>
      </c>
      <c r="AA97" s="69">
        <f t="shared" si="44"/>
        <v>23.286100000000001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5"/>
        <v>0185-02</v>
      </c>
      <c r="AE97" s="95" t="str">
        <f t="shared" si="46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97" s="92" t="str">
        <f t="shared" si="47"/>
        <v>"C:\Program Files (x86)\AstroGrep\AstroGrep.exe" /spath="%USERPROFILE%\AppData\Local\Temp\OnboardLogs" /stypes="app*4042*20161002*" /stext=" 20:.+((SYSTEM_STATE.+slice.+state.+changed )|(ment ac)|(system.+state.+changed )|(\[timeout)|(PRM\|1\|D)|(kpr)|(kdp)|(\|lc)|(penalty))" /e /r /s</v>
      </c>
      <c r="AG97" s="1" t="str">
        <f t="shared" si="48"/>
        <v>EC</v>
      </c>
      <c r="AH97" s="96" t="str">
        <f t="shared" si="49"/>
        <v>"%USERPROFILE%\Documents\GitHub\eaglep3\Utilities\RefineRTDCRunTimes.py" --tripid 185-02 --locoid 4042 --swversion DE.1.0.7.0 --startMP 204:471 --initTime 2016-10-02T14:07:03 --startdatetime 2016-10-02T14:15:20 --delay 1 --endMP 204:233332 --enddatetime 2016-10-02T14:51:49 --enforcementcount 0 &gt;&gt;C:\Users\stu\Documents\GitHub\eaglep3-reporting\EC\2016-10-02-refined-times.txt</v>
      </c>
      <c r="AI9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{"issue":{"subject":"","project_id":79,"tracker_id":40,"status_id":1,"priority_id":2,"assigned_to_id":23,"start_date":"2016-10-02","description":"","custom_fields":[{"id":1,"name":"Subdivision","value":"EC"},{"id":4,"name":"Milepost","value":"23.3332"},{"id":17,"name":"Train ID","value":"185-02"},{"id":16,"name":"Locomotive ID","value":"4042"},{"id":130,"name":"Impact","value":""},{"id":150,"name":"Time of Event (Mountain Time)","value":"14:51:49"},{"id":151,"name":"Denver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604</v>
      </c>
      <c r="B98" s="7">
        <v>4041</v>
      </c>
      <c r="C98" s="24" t="s">
        <v>106</v>
      </c>
      <c r="D98" s="24" t="s">
        <v>605</v>
      </c>
      <c r="E98" s="15">
        <v>42645.62771990741</v>
      </c>
      <c r="F98" s="15">
        <v>42645.632905092592</v>
      </c>
      <c r="G98" s="7">
        <v>1</v>
      </c>
      <c r="H98" s="15" t="s">
        <v>363</v>
      </c>
      <c r="I98" s="15">
        <v>42645.659467592595</v>
      </c>
      <c r="J98" s="7">
        <v>0</v>
      </c>
      <c r="K98" s="117" t="str">
        <f t="shared" si="34"/>
        <v>4041/4042</v>
      </c>
      <c r="L98" s="24" t="str">
        <f>VLOOKUP(A98,'Trips&amp;Operators'!$C$1:$E$10000,3,FALSE)</f>
        <v>SHOOK</v>
      </c>
      <c r="M98" s="6">
        <f t="shared" si="35"/>
        <v>2.6562500002910383E-2</v>
      </c>
      <c r="N98" s="7">
        <f t="shared" si="36"/>
        <v>38.250000004190952</v>
      </c>
      <c r="O98" s="7"/>
      <c r="P98" s="7"/>
      <c r="Q98" s="25"/>
      <c r="R98" s="25"/>
      <c r="S98" s="37">
        <f t="shared" si="37"/>
        <v>1</v>
      </c>
      <c r="T98" s="52" t="str">
        <f t="shared" si="38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14:03:55-0600',mode:absolute,to:'2016-10-02 16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8" s="54" t="str">
        <f t="shared" si="40"/>
        <v>N</v>
      </c>
      <c r="X98" s="164">
        <f t="shared" si="41"/>
        <v>1</v>
      </c>
      <c r="Y98" s="69">
        <f t="shared" si="42"/>
        <v>23.3032</v>
      </c>
      <c r="Z98" s="69">
        <f t="shared" si="43"/>
        <v>1.2699999999999999E-2</v>
      </c>
      <c r="AA98" s="69">
        <f t="shared" si="44"/>
        <v>23.290500000000002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5"/>
        <v>0186-02</v>
      </c>
      <c r="AE98" s="95" t="str">
        <f t="shared" si="46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98" s="92" t="str">
        <f t="shared" si="47"/>
        <v>"C:\Program Files (x86)\AstroGrep\AstroGrep.exe" /spath="%USERPROFILE%\AppData\Local\Temp\OnboardLogs" /stypes="app*4041*20161002*" /stext=" 21:.+((SYSTEM_STATE.+slice.+state.+changed )|(ment ac)|(system.+state.+changed )|(\[timeout)|(PRM\|1\|D)|(kpr)|(kdp)|(\|lc)|(penalty))" /e /r /s</v>
      </c>
      <c r="AG98" s="1" t="str">
        <f t="shared" si="48"/>
        <v>EC</v>
      </c>
      <c r="AH98" s="96" t="str">
        <f t="shared" si="49"/>
        <v>"%USERPROFILE%\Documents\GitHub\eaglep3\Utilities\RefineRTDCRunTimes.py" --tripid 186-02 --locoid 4041 --swversion DE.1.0.7.0 --startMP 204:233032 --initTime 2016-10-02T15:03:55 --startdatetime 2016-10-02T15:11:23 --delay 1 --endMP 204:127 --enddatetime 2016-10-02T15:49:38 --enforcementcount 0 &gt;&gt;C:\Users\stu\Documents\GitHub\eaglep3-reporting\EC\2016-10-02-refined-times.txt</v>
      </c>
      <c r="AI9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{"issue":{"subject":"","project_id":79,"tracker_id":40,"status_id":1,"priority_id":2,"assigned_to_id":23,"start_date":"2016-10-02","description":"","custom_fields":[{"id":1,"name":"Subdivision","value":"EC"},{"id":4,"name":"Milepost","value":"0.0127"},{"id":17,"name":"Train ID","value":"186-02"},{"id":16,"name":"Locomotive ID","value":"4041"},{"id":130,"name":"Impact","value":""},{"id":150,"name":"Time of Event (Mountain Time)","value":"15:49:38"},{"id":151,"name":"Denver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606</v>
      </c>
      <c r="B99" s="7">
        <v>4016</v>
      </c>
      <c r="C99" s="24" t="s">
        <v>106</v>
      </c>
      <c r="D99" s="24" t="s">
        <v>360</v>
      </c>
      <c r="E99" s="15">
        <v>42645.599143518521</v>
      </c>
      <c r="F99" s="15">
        <v>42645.604456018518</v>
      </c>
      <c r="G99" s="7">
        <v>1</v>
      </c>
      <c r="H99" s="15" t="s">
        <v>607</v>
      </c>
      <c r="I99" s="15">
        <v>42645.629178240742</v>
      </c>
      <c r="J99" s="7">
        <v>0</v>
      </c>
      <c r="K99" s="117" t="str">
        <f t="shared" si="34"/>
        <v>4015/4016</v>
      </c>
      <c r="L99" s="24" t="str">
        <f>VLOOKUP(A99,'Trips&amp;Operators'!$C$1:$E$10000,3,FALSE)</f>
        <v>STEWART</v>
      </c>
      <c r="M99" s="6">
        <f t="shared" si="35"/>
        <v>2.4722222224227153E-2</v>
      </c>
      <c r="N99" s="7">
        <f t="shared" si="36"/>
        <v>35.6000000028871</v>
      </c>
      <c r="O99" s="7"/>
      <c r="P99" s="7"/>
      <c r="Q99" s="25"/>
      <c r="R99" s="25"/>
      <c r="S99" s="37">
        <f t="shared" si="37"/>
        <v>1</v>
      </c>
      <c r="T99" s="52" t="str">
        <f t="shared" si="38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13:22:46-0600',mode:absolute,to:'2016-10-02 16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9" s="54" t="str">
        <f t="shared" si="40"/>
        <v>N</v>
      </c>
      <c r="X99" s="164">
        <f t="shared" si="41"/>
        <v>1</v>
      </c>
      <c r="Y99" s="69">
        <f t="shared" si="42"/>
        <v>4.6699999999999998E-2</v>
      </c>
      <c r="Z99" s="69">
        <f t="shared" si="43"/>
        <v>23.330300000000001</v>
      </c>
      <c r="AA99" s="69">
        <f t="shared" si="44"/>
        <v>23.2836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5"/>
        <v>0187-02</v>
      </c>
      <c r="AE99" s="95" t="str">
        <f t="shared" si="46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99" s="92" t="str">
        <f t="shared" si="47"/>
        <v>"C:\Program Files (x86)\AstroGrep\AstroGrep.exe" /spath="%USERPROFILE%\AppData\Local\Temp\OnboardLogs" /stypes="app*4016*20161002*" /stext=" 21:.+((SYSTEM_STATE.+slice.+state.+changed )|(ment ac)|(system.+state.+changed )|(\[timeout)|(PRM\|1\|D)|(kpr)|(kdp)|(\|lc)|(penalty))" /e /r /s</v>
      </c>
      <c r="AG99" s="1" t="str">
        <f t="shared" si="48"/>
        <v>EC</v>
      </c>
      <c r="AH99" s="96" t="str">
        <f t="shared" si="49"/>
        <v>"%USERPROFILE%\Documents\GitHub\eaglep3\Utilities\RefineRTDCRunTimes.py" --tripid 187-02 --locoid 4016 --swversion DE.1.0.7.0 --startMP 204:467 --initTime 2016-10-02T14:22:46 --startdatetime 2016-10-02T14:30:25 --delay 1 --endMP 204:233303 --enddatetime 2016-10-02T15:06:01 --enforcementcount 0 &gt;&gt;C:\Users\stu\Documents\GitHub\eaglep3-reporting\EC\2016-10-02-refined-times.txt</v>
      </c>
      <c r="AI9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{"issue":{"subject":"","project_id":79,"tracker_id":40,"status_id":1,"priority_id":2,"assigned_to_id":23,"start_date":"2016-10-02","description":"","custom_fields":[{"id":1,"name":"Subdivision","value":"EC"},{"id":4,"name":"Milepost","value":"23.3303"},{"id":17,"name":"Train ID","value":"187-02"},{"id":16,"name":"Locomotive ID","value":"4016"},{"id":130,"name":"Impact","value":""},{"id":150,"name":"Time of Event (Mountain Time)","value":"15:06:01"},{"id":151,"name":"Denver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608</v>
      </c>
      <c r="B100" s="7">
        <v>4015</v>
      </c>
      <c r="C100" s="24" t="s">
        <v>106</v>
      </c>
      <c r="D100" s="24" t="s">
        <v>224</v>
      </c>
      <c r="E100" s="15">
        <v>42645.639722222222</v>
      </c>
      <c r="F100" s="15">
        <v>42645.64329861111</v>
      </c>
      <c r="G100" s="7">
        <v>2</v>
      </c>
      <c r="H100" s="15" t="s">
        <v>207</v>
      </c>
      <c r="I100" s="15">
        <v>42645.669745370367</v>
      </c>
      <c r="J100" s="7">
        <v>0</v>
      </c>
      <c r="K100" s="117" t="str">
        <f t="shared" si="34"/>
        <v>4015/4016</v>
      </c>
      <c r="L100" s="24" t="str">
        <f>VLOOKUP(A100,'Trips&amp;Operators'!$C$1:$E$10000,3,FALSE)</f>
        <v>STEWART</v>
      </c>
      <c r="M100" s="6">
        <f t="shared" si="35"/>
        <v>2.6446759256941732E-2</v>
      </c>
      <c r="N100" s="7">
        <f t="shared" si="36"/>
        <v>38.083333329996094</v>
      </c>
      <c r="O100" s="7"/>
      <c r="P100" s="7"/>
      <c r="Q100" s="25"/>
      <c r="R100" s="25"/>
      <c r="S100" s="37">
        <f t="shared" si="37"/>
        <v>1</v>
      </c>
      <c r="T100" s="52" t="str">
        <f t="shared" si="38"/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14:21:12-0600',mode:absolute,to:'2016-10-02 17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0" s="54" t="str">
        <f t="shared" si="40"/>
        <v>N</v>
      </c>
      <c r="X100" s="164">
        <f t="shared" si="41"/>
        <v>1</v>
      </c>
      <c r="Y100" s="69">
        <f t="shared" si="42"/>
        <v>23.3</v>
      </c>
      <c r="Z100" s="69">
        <f t="shared" si="43"/>
        <v>1.52E-2</v>
      </c>
      <c r="AA100" s="69">
        <f t="shared" si="44"/>
        <v>23.284800000000001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5"/>
        <v>0188-02</v>
      </c>
      <c r="AE100" s="95" t="str">
        <f t="shared" si="46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100" s="92" t="str">
        <f t="shared" si="47"/>
        <v>"C:\Program Files (x86)\AstroGrep\AstroGrep.exe" /spath="%USERPROFILE%\AppData\Local\Temp\OnboardLogs" /stypes="app*4015*20161002*" /stext=" 22:.+((SYSTEM_STATE.+slice.+state.+changed )|(ment ac)|(system.+state.+changed )|(\[timeout)|(PRM\|1\|D)|(kpr)|(kdp)|(\|lc)|(penalty))" /e /r /s</v>
      </c>
      <c r="AG100" s="1" t="str">
        <f t="shared" si="48"/>
        <v>EC</v>
      </c>
      <c r="AH100" s="96" t="str">
        <f t="shared" si="49"/>
        <v>"%USERPROFILE%\Documents\GitHub\eaglep3\Utilities\RefineRTDCRunTimes.py" --tripid 188-02 --locoid 4015 --swversion DE.1.0.7.0 --startMP 204:233000 --initTime 2016-10-02T15:21:12 --startdatetime 2016-10-02T15:26:21 --delay 2 --endMP 204:152 --enddatetime 2016-10-02T16:04:26 --enforcementcount 0 &gt;&gt;C:\Users\stu\Documents\GitHub\eaglep3-reporting\EC\2016-10-02-refined-times.txt</v>
      </c>
      <c r="AI10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ID","value":"188-02"},{"id":16,"name":"Locomotive ID","value":"4015"},{"id":130,"name":"Impact","value":""},{"id":150,"name":"Time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609</v>
      </c>
      <c r="B101" s="7">
        <v>4053</v>
      </c>
      <c r="C101" s="24" t="s">
        <v>106</v>
      </c>
      <c r="D101" s="24" t="s">
        <v>211</v>
      </c>
      <c r="E101" s="15">
        <v>42645.609942129631</v>
      </c>
      <c r="F101" s="15">
        <v>42645.614849537036</v>
      </c>
      <c r="G101" s="7">
        <v>1</v>
      </c>
      <c r="H101" s="15" t="s">
        <v>610</v>
      </c>
      <c r="I101" s="15">
        <v>42645.638993055552</v>
      </c>
      <c r="J101" s="7">
        <v>0</v>
      </c>
      <c r="K101" s="117" t="str">
        <f t="shared" si="34"/>
        <v>4053/4054</v>
      </c>
      <c r="L101" s="24" t="str">
        <f>VLOOKUP(A101,'Trips&amp;Operators'!$C$1:$E$10000,3,FALSE)</f>
        <v>BARTLETT</v>
      </c>
      <c r="M101" s="6">
        <f t="shared" si="35"/>
        <v>2.414351851621177E-2</v>
      </c>
      <c r="N101" s="7">
        <f t="shared" si="36"/>
        <v>34.766666663344949</v>
      </c>
      <c r="O101" s="7"/>
      <c r="P101" s="7"/>
      <c r="Q101" s="25"/>
      <c r="R101" s="25"/>
      <c r="S101" s="37">
        <f t="shared" si="37"/>
        <v>1</v>
      </c>
      <c r="T101" s="52" t="str">
        <f t="shared" si="38"/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13:38:19-0600',mode:absolute,to:'2016-10-02 16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1" s="54" t="str">
        <f t="shared" si="40"/>
        <v>N</v>
      </c>
      <c r="X101" s="164">
        <f t="shared" si="41"/>
        <v>1</v>
      </c>
      <c r="Y101" s="69">
        <f t="shared" si="42"/>
        <v>4.5499999999999999E-2</v>
      </c>
      <c r="Z101" s="69">
        <f t="shared" si="43"/>
        <v>23.110499999999998</v>
      </c>
      <c r="AA101" s="69">
        <f t="shared" si="44"/>
        <v>23.064999999999998</v>
      </c>
      <c r="AB101" s="66" t="str">
        <f>VLOOKUP(A101,Enforcements!$C$7:$K$21,8,0)</f>
        <v>Signal based authority (5)</v>
      </c>
      <c r="AC101" s="62" t="str">
        <f>VLOOKUP(A101,Enforcements!$C$7:$E$21,3,0)</f>
        <v>SIGNAL</v>
      </c>
      <c r="AD101" s="63" t="str">
        <f t="shared" si="45"/>
        <v>0189-02</v>
      </c>
      <c r="AE101" s="95" t="str">
        <f t="shared" si="46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01" s="92" t="str">
        <f t="shared" si="47"/>
        <v>"C:\Program Files (x86)\AstroGrep\AstroGrep.exe" /spath="%USERPROFILE%\AppData\Local\Temp\OnboardLogs" /stypes="app*4053*20161002*" /stext=" 21:.+((SYSTEM_STATE.+slice.+state.+changed )|(ment ac)|(system.+state.+changed )|(\[timeout)|(PRM\|1\|D)|(kpr)|(kdp)|(\|lc)|(penalty))" /e /r /s</v>
      </c>
      <c r="AG101" s="1" t="str">
        <f t="shared" si="48"/>
        <v>EC</v>
      </c>
      <c r="AH101" s="96" t="str">
        <f t="shared" si="49"/>
        <v>"%USERPROFILE%\Documents\GitHub\eaglep3\Utilities\RefineRTDCRunTimes.py" --tripid 189-02 --locoid 4053 --swversion DE.1.0.7.0 --startMP 204:455 --initTime 2016-10-02T14:38:19 --startdatetime 2016-10-02T14:45:23 --delay 1 --endMP 204:231105 --enddatetime 2016-10-02T15:20:09 --enforcementcount 0 &gt;&gt;C:\Users\stu\Documents\GitHub\eaglep3-reporting\EC\2016-10-02-refined-times.txt</v>
      </c>
      <c r="AI10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{"issue":{"subject":"","project_id":79,"tracker_id":40,"status_id":1,"priority_id":2,"assigned_to_id":23,"start_date":"2016-10-02","description":"","custom_fields":[{"id":1,"name":"Subdivision","value":"EC"},{"id":4,"name":"Milepost","value":"23.1105"},{"id":17,"name":"Train ID","value":"189-02"},{"id":16,"name":"Locomotive ID","value":"4053"},{"id":130,"name":"Impact","value":""},{"id":150,"name":"Time of Event (Mountain Time)","value":"15:20:09"},{"id":151,"name":"Denver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611</v>
      </c>
      <c r="B102" s="7">
        <v>4054</v>
      </c>
      <c r="C102" s="24" t="s">
        <v>106</v>
      </c>
      <c r="D102" s="24" t="s">
        <v>256</v>
      </c>
      <c r="E102" s="15">
        <v>42645.643460648149</v>
      </c>
      <c r="F102" s="15">
        <v>42645.653680555559</v>
      </c>
      <c r="G102" s="7">
        <v>1</v>
      </c>
      <c r="H102" s="15" t="s">
        <v>200</v>
      </c>
      <c r="I102" s="15">
        <v>42645.680509259262</v>
      </c>
      <c r="J102" s="7">
        <v>0</v>
      </c>
      <c r="K102" s="117" t="str">
        <f t="shared" si="34"/>
        <v>4053/4054</v>
      </c>
      <c r="L102" s="24" t="str">
        <f>VLOOKUP(A102,'Trips&amp;Operators'!$C$1:$E$10000,3,FALSE)</f>
        <v>BARTLETT</v>
      </c>
      <c r="M102" s="6">
        <f t="shared" si="35"/>
        <v>2.6828703703358769E-2</v>
      </c>
      <c r="N102" s="7">
        <f t="shared" si="36"/>
        <v>38.633333332836628</v>
      </c>
      <c r="O102" s="7"/>
      <c r="P102" s="7"/>
      <c r="Q102" s="25"/>
      <c r="R102" s="25"/>
      <c r="S102" s="37">
        <f t="shared" si="37"/>
        <v>1</v>
      </c>
      <c r="T102" s="52" t="str">
        <f t="shared" si="38"/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14:26:35-0600',mode:absolute,to:'2016-10-02 17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2" s="54" t="str">
        <f t="shared" si="40"/>
        <v>N</v>
      </c>
      <c r="X102" s="164">
        <f t="shared" si="41"/>
        <v>1</v>
      </c>
      <c r="Y102" s="69">
        <f t="shared" si="42"/>
        <v>23.299099999999999</v>
      </c>
      <c r="Z102" s="69">
        <f t="shared" si="43"/>
        <v>1.6E-2</v>
      </c>
      <c r="AA102" s="69">
        <f t="shared" si="44"/>
        <v>23.283100000000001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5"/>
        <v>0190-02</v>
      </c>
      <c r="AE102" s="95" t="str">
        <f t="shared" si="46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102" s="92" t="str">
        <f t="shared" si="47"/>
        <v>"C:\Program Files (x86)\AstroGrep\AstroGrep.exe" /spath="%USERPROFILE%\AppData\Local\Temp\OnboardLogs" /stypes="app*4054*20161002*" /stext=" 22:.+((SYSTEM_STATE.+slice.+state.+changed )|(ment ac)|(system.+state.+changed )|(\[timeout)|(PRM\|1\|D)|(kpr)|(kdp)|(\|lc)|(penalty))" /e /r /s</v>
      </c>
      <c r="AG102" s="1" t="str">
        <f t="shared" si="48"/>
        <v>EC</v>
      </c>
      <c r="AH102" s="96" t="str">
        <f t="shared" si="49"/>
        <v>"%USERPROFILE%\Documents\GitHub\eaglep3\Utilities\RefineRTDCRunTimes.py" --tripid 190-02 --locoid 4054 --swversion DE.1.0.7.0 --startMP 204:232991 --initTime 2016-10-02T15:26:35 --startdatetime 2016-10-02T15:41:18 --delay 1 --endMP 204:160 --enddatetime 2016-10-02T16:19:56 --enforcementcount 0 &gt;&gt;C:\Users\stu\Documents\GitHub\eaglep3-reporting\EC\2016-10-02-refined-times.txt</v>
      </c>
      <c r="AI10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ID","value":"190-02"},{"id":16,"name":"Locomotive ID","value":"4054"},{"id":130,"name":"Impact","value":""},{"id":150,"name":"Time of Event (Mountain Time)","value":"16:19:56"},{"id":151,"name":"Denver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615</v>
      </c>
      <c r="B103" s="7">
        <v>4014</v>
      </c>
      <c r="C103" s="24" t="s">
        <v>106</v>
      </c>
      <c r="D103" s="24" t="s">
        <v>259</v>
      </c>
      <c r="E103" s="15">
        <v>42645.621238425927</v>
      </c>
      <c r="F103" s="15">
        <v>42645.6252662037</v>
      </c>
      <c r="G103" s="7">
        <v>1</v>
      </c>
      <c r="H103" s="15" t="s">
        <v>242</v>
      </c>
      <c r="I103" s="15">
        <v>42645.650509259256</v>
      </c>
      <c r="J103" s="7">
        <v>0</v>
      </c>
      <c r="K103" s="117" t="str">
        <f t="shared" si="34"/>
        <v>4013/4014</v>
      </c>
      <c r="L103" s="24" t="str">
        <f>VLOOKUP(A103,'Trips&amp;Operators'!$C$1:$E$10000,3,FALSE)</f>
        <v>HAITHCOX</v>
      </c>
      <c r="M103" s="6">
        <f t="shared" si="35"/>
        <v>2.5243055555620231E-2</v>
      </c>
      <c r="N103" s="7">
        <f t="shared" si="36"/>
        <v>36.350000000093132</v>
      </c>
      <c r="O103" s="7"/>
      <c r="P103" s="7"/>
      <c r="Q103" s="25"/>
      <c r="R103" s="25"/>
      <c r="S103" s="37">
        <f t="shared" si="37"/>
        <v>1</v>
      </c>
      <c r="T103" s="52" t="str">
        <f t="shared" si="38"/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13:54:35-0600',mode:absolute,to:'2016-10-02 16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3" s="54" t="str">
        <f t="shared" si="40"/>
        <v>N</v>
      </c>
      <c r="X103" s="164">
        <f t="shared" si="41"/>
        <v>1</v>
      </c>
      <c r="Y103" s="69">
        <f t="shared" si="42"/>
        <v>4.3999999999999997E-2</v>
      </c>
      <c r="Z103" s="69">
        <f t="shared" si="43"/>
        <v>23.330500000000001</v>
      </c>
      <c r="AA103" s="69">
        <f t="shared" si="44"/>
        <v>23.2865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5"/>
        <v>0191-02</v>
      </c>
      <c r="AE103" s="95" t="str">
        <f t="shared" si="46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03" s="92" t="str">
        <f t="shared" si="47"/>
        <v>"C:\Program Files (x86)\AstroGrep\AstroGrep.exe" /spath="%USERPROFILE%\AppData\Local\Temp\OnboardLogs" /stypes="app*4014*20161002*" /stext=" 21:.+((SYSTEM_STATE.+slice.+state.+changed )|(ment ac)|(system.+state.+changed )|(\[timeout)|(PRM\|1\|D)|(kpr)|(kdp)|(\|lc)|(penalty))" /e /r /s</v>
      </c>
      <c r="AG103" s="1" t="str">
        <f t="shared" si="48"/>
        <v>EC</v>
      </c>
      <c r="AH103" s="96" t="str">
        <f t="shared" si="49"/>
        <v>"%USERPROFILE%\Documents\GitHub\eaglep3\Utilities\RefineRTDCRunTimes.py" --tripid 191-02 --locoid 4014 --swversion DE.1.0.7.0 --startMP 204:440 --initTime 2016-10-02T14:54:35 --startdatetime 2016-10-02T15:00:23 --delay 1 --endMP 204:233305 --enddatetime 2016-10-02T15:36:44 --enforcementcount 0 &gt;&gt;C:\Users\stu\Documents\GitHub\eaglep3-reporting\EC\2016-10-02-refined-times.txt</v>
      </c>
      <c r="AI10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{"issue":{"subject":"","project_id":79,"tracker_id":40,"status_id":1,"priority_id":2,"assigned_to_id":23,"start_date":"2016-10-02","description":"","custom_fields":[{"id":1,"name":"Subdivision","value":"EC"},{"id":4,"name":"Milepost","value":"23.3305"},{"id":17,"name":"Train ID","value":"191-02"},{"id":16,"name":"Locomotive ID","value":"4014"},{"id":130,"name":"Impact","value":""},{"id":150,"name":"Time of Event (Mountain Time)","value":"15:36:44"},{"id":151,"name":"Denver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616</v>
      </c>
      <c r="B104" s="7">
        <v>4013</v>
      </c>
      <c r="C104" s="24" t="s">
        <v>106</v>
      </c>
      <c r="D104" s="24" t="s">
        <v>291</v>
      </c>
      <c r="E104" s="15">
        <v>42645.657800925925</v>
      </c>
      <c r="F104" s="15">
        <v>42645.664421296293</v>
      </c>
      <c r="G104" s="7">
        <v>6</v>
      </c>
      <c r="H104" s="15" t="s">
        <v>225</v>
      </c>
      <c r="I104" s="15">
        <v>42645.69226851852</v>
      </c>
      <c r="J104" s="7">
        <v>0</v>
      </c>
      <c r="K104" s="117" t="str">
        <f t="shared" si="34"/>
        <v>4013/4014</v>
      </c>
      <c r="L104" s="24" t="str">
        <f>VLOOKUP(A104,'Trips&amp;Operators'!$C$1:$E$10000,3,FALSE)</f>
        <v>HAITHCOX</v>
      </c>
      <c r="M104" s="6">
        <f t="shared" si="35"/>
        <v>2.7847222227137536E-2</v>
      </c>
      <c r="N104" s="7">
        <f t="shared" si="36"/>
        <v>40.100000007078052</v>
      </c>
      <c r="O104" s="7"/>
      <c r="P104" s="7"/>
      <c r="Q104" s="25"/>
      <c r="R104" s="25"/>
      <c r="S104" s="37">
        <f t="shared" si="37"/>
        <v>1</v>
      </c>
      <c r="T104" s="52" t="str">
        <f t="shared" si="38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14:47:14-0600',mode:absolute,to:'2016-10-02 17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4" s="54" t="str">
        <f t="shared" si="40"/>
        <v>N</v>
      </c>
      <c r="X104" s="164">
        <f t="shared" si="41"/>
        <v>1</v>
      </c>
      <c r="Y104" s="69">
        <f t="shared" si="42"/>
        <v>23.297999999999998</v>
      </c>
      <c r="Z104" s="69">
        <f t="shared" si="43"/>
        <v>1.41E-2</v>
      </c>
      <c r="AA104" s="69">
        <f t="shared" si="44"/>
        <v>23.283899999999999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5"/>
        <v>0192-02</v>
      </c>
      <c r="AE104" s="95" t="str">
        <f t="shared" si="46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104" s="92" t="str">
        <f t="shared" si="47"/>
        <v>"C:\Program Files (x86)\AstroGrep\AstroGrep.exe" /spath="%USERPROFILE%\AppData\Local\Temp\OnboardLogs" /stypes="app*4013*20161002*" /stext=" 22:.+((SYSTEM_STATE.+slice.+state.+changed )|(ment ac)|(system.+state.+changed )|(\[timeout)|(PRM\|1\|D)|(kpr)|(kdp)|(\|lc)|(penalty))" /e /r /s</v>
      </c>
      <c r="AG104" s="1" t="str">
        <f t="shared" si="48"/>
        <v>EC</v>
      </c>
      <c r="AH104" s="96" t="str">
        <f t="shared" si="49"/>
        <v>"%USERPROFILE%\Documents\GitHub\eaglep3\Utilities\RefineRTDCRunTimes.py" --tripid 192-02 --locoid 4013 --swversion DE.1.0.7.0 --startMP 204:232980 --initTime 2016-10-02T15:47:14 --startdatetime 2016-10-02T15:56:46 --delay 6 --endMP 204:141 --enddatetime 2016-10-02T16:36:52 --enforcementcount 0 &gt;&gt;C:\Users\stu\Documents\GitHub\eaglep3-reporting\EC\2016-10-02-refined-times.txt</v>
      </c>
      <c r="AI10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{"issue":{"subject":"","project_id":79,"tracker_id":40,"status_id":1,"priority_id":2,"assigned_to_id":23,"start_date":"2016-10-02","description":"","custom_fields":[{"id":1,"name":"Subdivision","value":"EC"},{"id":4,"name":"Milepost","value":"0.0141"},{"id":17,"name":"Train ID","value":"192-02"},{"id":16,"name":"Locomotive ID","value":"4013"},{"id":130,"name":"Impact","value":""},{"id":150,"name":"Time of Event (Mountain Time)","value":"16:36:52"},{"id":151,"name":"Denver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617</v>
      </c>
      <c r="B105" s="7">
        <v>4025</v>
      </c>
      <c r="C105" s="24" t="s">
        <v>106</v>
      </c>
      <c r="D105" s="24" t="s">
        <v>290</v>
      </c>
      <c r="E105" s="15">
        <v>42645.632395833331</v>
      </c>
      <c r="F105" s="15">
        <v>42645.635613425926</v>
      </c>
      <c r="G105" s="7">
        <v>1</v>
      </c>
      <c r="H105" s="15" t="s">
        <v>226</v>
      </c>
      <c r="I105" s="15">
        <v>42645.661157407405</v>
      </c>
      <c r="J105" s="7">
        <v>0</v>
      </c>
      <c r="K105" s="117" t="str">
        <f t="shared" si="34"/>
        <v>4025/4026</v>
      </c>
      <c r="L105" s="24" t="str">
        <f>VLOOKUP(A105,'Trips&amp;Operators'!$C$1:$E$10000,3,FALSE)</f>
        <v>MOSES</v>
      </c>
      <c r="M105" s="6">
        <f t="shared" si="35"/>
        <v>2.5543981479131617E-2</v>
      </c>
      <c r="N105" s="7">
        <f t="shared" si="36"/>
        <v>36.783333329949528</v>
      </c>
      <c r="O105" s="7"/>
      <c r="P105" s="7"/>
      <c r="Q105" s="25"/>
      <c r="R105" s="25"/>
      <c r="S105" s="37">
        <f t="shared" si="37"/>
        <v>1</v>
      </c>
      <c r="T105" s="52" t="str">
        <f t="shared" si="38"/>
        <v>NorthBound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14:10:39-0600',mode:absolute,to:'2016-10-02 16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5" s="54" t="str">
        <f t="shared" si="40"/>
        <v>N</v>
      </c>
      <c r="X105" s="164">
        <f t="shared" si="41"/>
        <v>1</v>
      </c>
      <c r="Y105" s="69">
        <f t="shared" si="42"/>
        <v>4.4900000000000002E-2</v>
      </c>
      <c r="Z105" s="69">
        <f t="shared" si="43"/>
        <v>23.331199999999999</v>
      </c>
      <c r="AA105" s="69">
        <f t="shared" si="44"/>
        <v>23.286300000000001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45"/>
        <v>0193-02</v>
      </c>
      <c r="AE105" s="95" t="str">
        <f t="shared" si="46"/>
        <v>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 &amp; 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</v>
      </c>
      <c r="AF105" s="92" t="str">
        <f t="shared" si="47"/>
        <v>"C:\Program Files (x86)\AstroGrep\AstroGrep.exe" /spath="%USERPROFILE%\AppData\Local\Temp\OnboardLogs" /stypes="app*4025*20161002*" /stext=" 21:.+((SYSTEM_STATE.+slice.+state.+changed )|(ment ac)|(system.+state.+changed )|(\[timeout)|(PRM\|1\|D)|(kpr)|(kdp)|(\|lc)|(penalty))" /e /r /s</v>
      </c>
      <c r="AG105" s="1" t="str">
        <f t="shared" si="48"/>
        <v>EC</v>
      </c>
      <c r="AH105" s="96" t="str">
        <f t="shared" si="49"/>
        <v>"%USERPROFILE%\Documents\GitHub\eaglep3\Utilities\RefineRTDCRunTimes.py" --tripid 193-02 --locoid 4025 --swversion DE.1.0.7.0 --startMP 204:449 --initTime 2016-10-02T15:10:39 --startdatetime 2016-10-02T15:15:17 --delay 1 --endMP 204:233312 --enddatetime 2016-10-02T15:52:04 --enforcementcount 0 &gt;&gt;C:\Users\stu\Documents\GitHub\eaglep3-reporting\EC\2016-10-02-refined-times.txt</v>
      </c>
      <c r="AI10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{"issue":{"subject":"","project_id":79,"tracker_id":40,"status_id":1,"priority_id":2,"assigned_to_id":23,"start_date":"2016-10-02","description":"","custom_fields":[{"id":1,"name":"Subdivision","value":"EC"},{"id":4,"name":"Milepost","value":"23.3312"},{"id":17,"name":"Train ID","value":"193-02"},{"id":16,"name":"Locomotive ID","value":"4025"},{"id":130,"name":"Impact","value":""},{"id":150,"name":"Time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618</v>
      </c>
      <c r="B106" s="7">
        <v>4026</v>
      </c>
      <c r="C106" s="24" t="s">
        <v>106</v>
      </c>
      <c r="D106" s="24" t="s">
        <v>300</v>
      </c>
      <c r="E106" s="15">
        <v>42645.67114583333</v>
      </c>
      <c r="F106" s="15">
        <v>42645.674571759257</v>
      </c>
      <c r="G106" s="7">
        <v>1</v>
      </c>
      <c r="H106" s="15" t="s">
        <v>205</v>
      </c>
      <c r="I106" s="15">
        <v>42645.701851851853</v>
      </c>
      <c r="J106" s="7">
        <v>0</v>
      </c>
      <c r="K106" s="117" t="str">
        <f t="shared" si="34"/>
        <v>4025/4026</v>
      </c>
      <c r="L106" s="24" t="str">
        <f>VLOOKUP(A106,'Trips&amp;Operators'!$C$1:$E$10000,3,FALSE)</f>
        <v>MOSES</v>
      </c>
      <c r="M106" s="6">
        <f t="shared" si="35"/>
        <v>2.7280092595901806E-2</v>
      </c>
      <c r="N106" s="7">
        <f t="shared" si="36"/>
        <v>39.283333338098601</v>
      </c>
      <c r="O106" s="7"/>
      <c r="P106" s="7"/>
      <c r="Q106" s="25"/>
      <c r="R106" s="25"/>
      <c r="S106" s="37">
        <f t="shared" si="37"/>
        <v>1</v>
      </c>
      <c r="T106" s="52" t="str">
        <f t="shared" si="38"/>
        <v>Southbound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15:06:27-0600',mode:absolute,to:'2016-10-02 17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6" s="54" t="str">
        <f t="shared" si="40"/>
        <v>N</v>
      </c>
      <c r="X106" s="164">
        <f t="shared" si="41"/>
        <v>1</v>
      </c>
      <c r="Y106" s="69">
        <f t="shared" si="42"/>
        <v>23.3004</v>
      </c>
      <c r="Z106" s="69">
        <f t="shared" si="43"/>
        <v>1.4999999999999999E-2</v>
      </c>
      <c r="AA106" s="69">
        <f t="shared" si="44"/>
        <v>23.285399999999999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5"/>
        <v>0194-02</v>
      </c>
      <c r="AE106" s="95" t="str">
        <f t="shared" si="46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106" s="92" t="str">
        <f t="shared" si="47"/>
        <v>"C:\Program Files (x86)\AstroGrep\AstroGrep.exe" /spath="%USERPROFILE%\AppData\Local\Temp\OnboardLogs" /stypes="app*4026*20161002*" /stext=" 22:.+((SYSTEM_STATE.+slice.+state.+changed )|(ment ac)|(system.+state.+changed )|(\[timeout)|(PRM\|1\|D)|(kpr)|(kdp)|(\|lc)|(penalty))" /e /r /s</v>
      </c>
      <c r="AG106" s="1" t="str">
        <f t="shared" si="48"/>
        <v>EC</v>
      </c>
      <c r="AH106" s="96" t="str">
        <f t="shared" si="49"/>
        <v>"%USERPROFILE%\Documents\GitHub\eaglep3\Utilities\RefineRTDCRunTimes.py" --tripid 194-02 --locoid 4026 --swversion DE.1.0.7.0 --startMP 204:233004 --initTime 2016-10-02T16:06:27 --startdatetime 2016-10-02T16:11:23 --delay 1 --endMP 204:150 --enddatetime 2016-10-02T16:50:40 --enforcementcount 0 &gt;&gt;C:\Users\stu\Documents\GitHub\eaglep3-reporting\EC\2016-10-02-refined-times.txt</v>
      </c>
      <c r="AI10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{"issue":{"subject":"","project_id":79,"tracker_id":40,"status_id":1,"priority_id":2,"assigned_to_id":23,"start_date":"2016-10-02","description":"","custom_fields":[{"id":1,"name":"Subdivision","value":"EC"},{"id":4,"name":"Milepost","value":"0.015"},{"id":17,"name":"Train ID","value":"194-02"},{"id":16,"name":"Locomotive ID","value":"4026"},{"id":130,"name":"Impact","value":""},{"id":150,"name":"Time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619</v>
      </c>
      <c r="B107" s="7">
        <v>4007</v>
      </c>
      <c r="C107" s="24" t="s">
        <v>106</v>
      </c>
      <c r="D107" s="24" t="s">
        <v>241</v>
      </c>
      <c r="E107" s="15">
        <v>42645.641932870371</v>
      </c>
      <c r="F107" s="15">
        <v>42645.64607638889</v>
      </c>
      <c r="G107" s="7">
        <v>1</v>
      </c>
      <c r="H107" s="15" t="s">
        <v>362</v>
      </c>
      <c r="I107" s="15">
        <v>42645.672476851854</v>
      </c>
      <c r="J107" s="7">
        <v>0</v>
      </c>
      <c r="K107" s="117" t="str">
        <f t="shared" si="34"/>
        <v>4007/4008</v>
      </c>
      <c r="L107" s="24" t="str">
        <f>VLOOKUP(A107,'Trips&amp;Operators'!$C$1:$E$10000,3,FALSE)</f>
        <v>YOUNG</v>
      </c>
      <c r="M107" s="6">
        <f t="shared" si="35"/>
        <v>2.6400462964375038E-2</v>
      </c>
      <c r="N107" s="7">
        <f t="shared" si="36"/>
        <v>38.016666668700054</v>
      </c>
      <c r="O107" s="7"/>
      <c r="P107" s="7"/>
      <c r="Q107" s="25"/>
      <c r="R107" s="25"/>
      <c r="S107" s="37">
        <f t="shared" si="37"/>
        <v>1</v>
      </c>
      <c r="T107" s="52" t="str">
        <f t="shared" si="38"/>
        <v>NorthBound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14:24:23-0600',mode:absolute,to:'2016-10-02 17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07" s="54" t="str">
        <f t="shared" si="40"/>
        <v>N</v>
      </c>
      <c r="X107" s="164">
        <f t="shared" si="41"/>
        <v>1</v>
      </c>
      <c r="Y107" s="69">
        <f t="shared" si="42"/>
        <v>4.7300000000000002E-2</v>
      </c>
      <c r="Z107" s="69">
        <f t="shared" si="43"/>
        <v>23.328900000000001</v>
      </c>
      <c r="AA107" s="69">
        <f t="shared" si="44"/>
        <v>23.281600000000001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5"/>
        <v>0195-02</v>
      </c>
      <c r="AE107" s="95" t="str">
        <f t="shared" si="46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107" s="92" t="str">
        <f t="shared" si="47"/>
        <v>"C:\Program Files (x86)\AstroGrep\AstroGrep.exe" /spath="%USERPROFILE%\AppData\Local\Temp\OnboardLogs" /stypes="app*4007*20161002*" /stext=" 22:.+((SYSTEM_STATE.+slice.+state.+changed )|(ment ac)|(system.+state.+changed )|(\[timeout)|(PRM\|1\|D)|(kpr)|(kdp)|(\|lc)|(penalty))" /e /r /s</v>
      </c>
      <c r="AG107" s="1" t="str">
        <f t="shared" si="48"/>
        <v>EC</v>
      </c>
      <c r="AH107" s="96" t="str">
        <f t="shared" si="49"/>
        <v>"%USERPROFILE%\Documents\GitHub\eaglep3\Utilities\RefineRTDCRunTimes.py" --tripid 195-02 --locoid 4007 --swversion DE.1.0.7.0 --startMP 204:473 --initTime 2016-10-02T15:24:23 --startdatetime 2016-10-02T15:30:21 --delay 1 --endMP 204:233289 --enddatetime 2016-10-02T16:08:22 --enforcementcount 0 &gt;&gt;C:\Users\stu\Documents\GitHub\eaglep3-reporting\EC\2016-10-02-refined-times.txt</v>
      </c>
      <c r="AI10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ID","value":"195-02"},{"id":16,"name":"Locomotive ID","value":"4007"},{"id":130,"name":"Impact","value":""},{"id":150,"name":"Time of Event (Mountain Time)","value":"16:08:22"},{"id":151,"name":"Denver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620</v>
      </c>
      <c r="B108" s="7">
        <v>4008</v>
      </c>
      <c r="C108" s="24" t="s">
        <v>106</v>
      </c>
      <c r="D108" s="24" t="s">
        <v>268</v>
      </c>
      <c r="E108" s="15">
        <v>42645.674976851849</v>
      </c>
      <c r="F108" s="15">
        <v>42645.685243055559</v>
      </c>
      <c r="G108" s="7">
        <v>1</v>
      </c>
      <c r="H108" s="15" t="s">
        <v>621</v>
      </c>
      <c r="I108" s="15">
        <v>42645.713136574072</v>
      </c>
      <c r="J108" s="7">
        <v>0</v>
      </c>
      <c r="K108" s="117" t="str">
        <f t="shared" si="34"/>
        <v>4007/4008</v>
      </c>
      <c r="L108" s="24" t="str">
        <f>VLOOKUP(A108,'Trips&amp;Operators'!$C$1:$E$10000,3,FALSE)</f>
        <v>YOUNG</v>
      </c>
      <c r="M108" s="6">
        <f t="shared" si="35"/>
        <v>2.7893518512428273E-2</v>
      </c>
      <c r="N108" s="7">
        <f t="shared" si="36"/>
        <v>40.166666657896712</v>
      </c>
      <c r="O108" s="7"/>
      <c r="P108" s="7"/>
      <c r="Q108" s="25"/>
      <c r="R108" s="25"/>
      <c r="S108" s="37">
        <f t="shared" si="37"/>
        <v>1</v>
      </c>
      <c r="T108" s="52" t="str">
        <f t="shared" si="38"/>
        <v>Southbound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39"/>
        <v>https://search-rtdc-monitor-bjffxe2xuh6vdkpspy63sjmuny.us-east-1.es.amazonaws.com/_plugin/kibana/#/discover/Steve-Slow-Train-Analysis-(2080s-and-2083s)?_g=(refreshInterval:(display:Off,section:0,value:0),time:(from:'2016-10-02 15:11:58-0600',mode:absolute,to:'2016-10-02 18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08" s="54" t="str">
        <f t="shared" si="40"/>
        <v>N</v>
      </c>
      <c r="X108" s="164">
        <f t="shared" si="41"/>
        <v>1</v>
      </c>
      <c r="Y108" s="69">
        <f t="shared" si="42"/>
        <v>23.298400000000001</v>
      </c>
      <c r="Z108" s="69">
        <f t="shared" si="43"/>
        <v>2.07E-2</v>
      </c>
      <c r="AA108" s="69">
        <f t="shared" si="44"/>
        <v>23.277699999999999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45"/>
        <v>0196-02</v>
      </c>
      <c r="AE108" s="95" t="str">
        <f t="shared" si="46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108" s="92" t="str">
        <f t="shared" si="47"/>
        <v>"C:\Program Files (x86)\AstroGrep\AstroGrep.exe" /spath="%USERPROFILE%\AppData\Local\Temp\OnboardLogs" /stypes="app*4008*20161002*" /stext=" 23:.+((SYSTEM_STATE.+slice.+state.+changed )|(ment ac)|(system.+state.+changed )|(\[timeout)|(PRM\|1\|D)|(kpr)|(kdp)|(\|lc)|(penalty))" /e /r /s</v>
      </c>
      <c r="AG108" s="1" t="str">
        <f t="shared" si="48"/>
        <v>EC</v>
      </c>
      <c r="AH108" s="96" t="str">
        <f t="shared" si="49"/>
        <v>"%USERPROFILE%\Documents\GitHub\eaglep3\Utilities\RefineRTDCRunTimes.py" --tripid 196-02 --locoid 4008 --swversion DE.1.0.7.0 --startMP 204:232984 --initTime 2016-10-02T16:11:58 --startdatetime 2016-10-02T16:26:45 --delay 1 --endMP 204:207 --enddatetime 2016-10-02T17:06:55 --enforcementcount 0 &gt;&gt;C:\Users\stu\Documents\GitHub\eaglep3-reporting\EC\2016-10-02-refined-times.txt</v>
      </c>
      <c r="AI10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{"issue":{"subject":"","project_id":79,"tracker_id":40,"status_id":1,"priority_id":2,"assigned_to_id":23,"start_date":"2016-10-02","description":"","custom_fields":[{"id":1,"name":"Subdivision","value":"EC"},{"id":4,"name":"Milepost","value":"0.0207"},{"id":17,"name":"Train ID","value":"196-02"},{"id":16,"name":"Locomotive ID","value":"4008"},{"id":130,"name":"Impact","value":""},{"id":150,"name":"Time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622</v>
      </c>
      <c r="B109" s="7">
        <v>4020</v>
      </c>
      <c r="C109" s="24" t="s">
        <v>106</v>
      </c>
      <c r="D109" s="24" t="s">
        <v>216</v>
      </c>
      <c r="E109" s="15">
        <v>42645.654108796298</v>
      </c>
      <c r="F109" s="15">
        <v>42645.65662037037</v>
      </c>
      <c r="G109" s="7">
        <v>1</v>
      </c>
      <c r="H109" s="15" t="s">
        <v>623</v>
      </c>
      <c r="I109" s="15">
        <v>42645.68273148148</v>
      </c>
      <c r="J109" s="7">
        <v>0</v>
      </c>
      <c r="K109" s="117" t="str">
        <f t="shared" ref="K109:K140" si="51">IF(ISEVEN(B109),(B109-1)&amp;"/"&amp;B109,B109&amp;"/"&amp;(B109+1))</f>
        <v>4019/4020</v>
      </c>
      <c r="L109" s="24" t="str">
        <f>VLOOKUP(A109,'Trips&amp;Operators'!$C$1:$E$10000,3,FALSE)</f>
        <v>HOMIK</v>
      </c>
      <c r="M109" s="6">
        <f t="shared" ref="M109:M140" si="52">I109-F109</f>
        <v>2.6111111110367347E-2</v>
      </c>
      <c r="N109" s="7">
        <f t="shared" ref="N109:P140" si="53">24*60*SUM($M109:$M109)</f>
        <v>37.599999998928979</v>
      </c>
      <c r="O109" s="7"/>
      <c r="P109" s="7"/>
      <c r="Q109" s="25"/>
      <c r="R109" s="25"/>
      <c r="S109" s="37">
        <f t="shared" ref="S109:S140" si="54">SUM(U109:U109)/IF(AG109="EC",12,1)</f>
        <v>1</v>
      </c>
      <c r="T109" s="52" t="str">
        <f t="shared" ref="T109:T140" si="55">IF(ISEVEN(LEFT(AD109,4)),"Southbound","NorthBound")</f>
        <v>NorthBound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ref="V109:V140" si="56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https://search-rtdc-monitor-bjffxe2xuh6vdkpspy63sjmuny.us-east-1.es.amazonaws.com/_plugin/kibana/#/discover/Steve-Slow-Train-Analysis-(2080s-and-2083s)?_g=(refreshInterval:(display:Off,section:0,value:0),time:(from:'2016-10-02 14:41:55-0600',mode:absolute,to:'2016-10-02 17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9" s="54" t="str">
        <f t="shared" ref="W109:W140" si="57">IF(AA109&lt;IF(AG109="EC",23,5.65),"Y","N")</f>
        <v>N</v>
      </c>
      <c r="X109" s="164">
        <f t="shared" ref="X109:X140" si="58">VALUE(LEFT(AD109,4))-VALUE(LEFT(AD108,4))</f>
        <v>1</v>
      </c>
      <c r="Y109" s="69">
        <f t="shared" ref="Y109:Y140" si="59">RIGHT(D109,LEN(D109)-4)/10000</f>
        <v>4.6199999999999998E-2</v>
      </c>
      <c r="Z109" s="69">
        <f t="shared" ref="Z109:Z140" si="60">RIGHT(H109,LEN(H109)-4)/10000</f>
        <v>23.328499999999998</v>
      </c>
      <c r="AA109" s="69">
        <f t="shared" ref="AA109:AA140" si="61">ABS(Z109-Y109)</f>
        <v>23.282299999999999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ref="AD109:AD140" si="62">IF(LEN(A109)=6,"0"&amp;A109,A109)</f>
        <v>0197-02</v>
      </c>
      <c r="AE109" s="95" t="str">
        <f t="shared" ref="AE109:AE140" si="63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109" s="92" t="str">
        <f t="shared" ref="AF109:AF140" si="64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/stypes="app*4020*20161002*" /stext=" 22:.+((SYSTEM_STATE.+slice.+state.+changed )|(ment ac)|(system.+state.+changed )|(\[timeout)|(PRM\|1\|D)|(kpr)|(kdp)|(\|lc)|(penalty))" /e /r /s</v>
      </c>
      <c r="AG109" s="1" t="str">
        <f t="shared" ref="AG109:AG140" si="65">IFERROR(IF(VALUE(LEFT(AD109,2))&lt;=2,"EC",IF(OR(VALUE(LEFT(AD109,2))=8,VALUE(LEFT(AD109,2))=18),"NW","Other")),"Other")</f>
        <v>EC</v>
      </c>
      <c r="AH109" s="96" t="str">
        <f t="shared" si="49"/>
        <v>"%USERPROFILE%\Documents\GitHub\eaglep3\Utilities\RefineRTDCRunTimes.py" --tripid 197-02 --locoid 4020 --swversion DE.1.0.7.0 --startMP 204:462 --initTime 2016-10-02T15:41:55 --startdatetime 2016-10-02T15:45:32 --delay 1 --endMP 204:233285 --enddatetime 2016-10-02T16:23:08 --enforcementcount 0 &gt;&gt;C:\Users\stu\Documents\GitHub\eaglep3-reporting\EC\2016-10-02-refined-times.txt</v>
      </c>
      <c r="AI10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{"issue":{"subject":"","project_id":79,"tracker_id":40,"status_id":1,"priority_id":2,"assigned_to_id":23,"start_date":"2016-10-02","description":"","custom_fields":[{"id":1,"name":"Subdivision","value":"EC"},{"id":4,"name":"Milepost","value":"23.3285"},{"id":17,"name":"Train ID","value":"197-02"},{"id":16,"name":"Locomotive ID","value":"4020"},{"id":130,"name":"Impact","value":""},{"id":150,"name":"Time of Event (Mountain Time)","value":"16:23:08"},{"id":151,"name":"Denver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624</v>
      </c>
      <c r="B110" s="7">
        <v>4019</v>
      </c>
      <c r="C110" s="24" t="s">
        <v>106</v>
      </c>
      <c r="D110" s="24" t="s">
        <v>366</v>
      </c>
      <c r="E110" s="15">
        <v>42645.685300925928</v>
      </c>
      <c r="F110" s="15">
        <v>42645.695451388892</v>
      </c>
      <c r="G110" s="7">
        <v>1</v>
      </c>
      <c r="H110" s="15" t="s">
        <v>219</v>
      </c>
      <c r="I110" s="15">
        <v>42645.722673611112</v>
      </c>
      <c r="J110" s="7">
        <v>0</v>
      </c>
      <c r="K110" s="117" t="str">
        <f t="shared" si="51"/>
        <v>4019/4020</v>
      </c>
      <c r="L110" s="24" t="str">
        <f>VLOOKUP(A110,'Trips&amp;Operators'!$C$1:$E$10000,3,FALSE)</f>
        <v>HOMIK</v>
      </c>
      <c r="M110" s="6">
        <f t="shared" si="52"/>
        <v>2.7222222219279502E-2</v>
      </c>
      <c r="N110" s="7">
        <f t="shared" si="53"/>
        <v>39.199999995762482</v>
      </c>
      <c r="O110" s="7"/>
      <c r="P110" s="7"/>
      <c r="Q110" s="25"/>
      <c r="R110" s="25"/>
      <c r="S110" s="37">
        <f t="shared" si="54"/>
        <v>1</v>
      </c>
      <c r="T110" s="52" t="str">
        <f t="shared" si="55"/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15:26:50-0600',mode:absolute,to:'2016-10-02 18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0" s="54" t="str">
        <f t="shared" si="57"/>
        <v>N</v>
      </c>
      <c r="X110" s="164">
        <f t="shared" si="58"/>
        <v>1</v>
      </c>
      <c r="Y110" s="69">
        <f t="shared" si="59"/>
        <v>23.2972</v>
      </c>
      <c r="Z110" s="69">
        <f t="shared" si="60"/>
        <v>1.5599999999999999E-2</v>
      </c>
      <c r="AA110" s="69">
        <f t="shared" si="61"/>
        <v>23.281600000000001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62"/>
        <v>0198-02</v>
      </c>
      <c r="AE110" s="95" t="str">
        <f t="shared" si="63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110" s="92" t="str">
        <f t="shared" si="64"/>
        <v>"C:\Program Files (x86)\AstroGrep\AstroGrep.exe" /spath="%USERPROFILE%\AppData\Local\Temp\OnboardLogs" /stypes="app*4019*20161002*" /stext=" 23:.+((SYSTEM_STATE.+slice.+state.+changed )|(ment ac)|(system.+state.+changed )|(\[timeout)|(PRM\|1\|D)|(kpr)|(kdp)|(\|lc)|(penalty))" /e /r /s</v>
      </c>
      <c r="AG110" s="1" t="str">
        <f t="shared" si="65"/>
        <v>EC</v>
      </c>
      <c r="AH110" s="96" t="str">
        <f t="shared" si="49"/>
        <v>"%USERPROFILE%\Documents\GitHub\eaglep3\Utilities\RefineRTDCRunTimes.py" --tripid 198-02 --locoid 4019 --swversion DE.1.0.7.0 --startMP 204:232972 --initTime 2016-10-02T16:26:50 --startdatetime 2016-10-02T16:41:27 --delay 1 --endMP 204:156 --enddatetime 2016-10-02T17:20:39 --enforcementcount 0 &gt;&gt;C:\Users\stu\Documents\GitHub\eaglep3-reporting\EC\2016-10-02-refined-times.txt</v>
      </c>
      <c r="AI11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{"issue":{"subject":"","project_id":79,"tracker_id":40,"status_id":1,"priority_id":2,"assigned_to_id":23,"start_date":"2016-10-02","description":"","custom_fields":[{"id":1,"name":"Subdivision","value":"EC"},{"id":4,"name":"Milepost","value":"0.0156"},{"id":17,"name":"Train ID","value":"198-02"},{"id":16,"name":"Locomotive ID","value":"4019"},{"id":130,"name":"Impact","value":""},{"id":150,"name":"Time of Event (Mountain Time)","value":"17:20:39"},{"id":151,"name":"Denver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625</v>
      </c>
      <c r="B111" s="7">
        <v>4042</v>
      </c>
      <c r="C111" s="24" t="s">
        <v>106</v>
      </c>
      <c r="D111" s="24" t="s">
        <v>468</v>
      </c>
      <c r="E111" s="15">
        <v>42645.661099537036</v>
      </c>
      <c r="F111" s="15">
        <v>42645.667129629626</v>
      </c>
      <c r="G111" s="7">
        <v>1</v>
      </c>
      <c r="H111" s="15" t="s">
        <v>626</v>
      </c>
      <c r="I111" s="15">
        <v>42645.692453703705</v>
      </c>
      <c r="J111" s="7">
        <v>0</v>
      </c>
      <c r="K111" s="117" t="str">
        <f t="shared" si="51"/>
        <v>4041/4042</v>
      </c>
      <c r="L111" s="24" t="str">
        <f>VLOOKUP(A111,'Trips&amp;Operators'!$C$1:$E$10000,3,FALSE)</f>
        <v>SHOOK</v>
      </c>
      <c r="M111" s="6">
        <f t="shared" si="52"/>
        <v>2.5324074078525882E-2</v>
      </c>
      <c r="N111" s="7">
        <f t="shared" si="53"/>
        <v>36.46666667307727</v>
      </c>
      <c r="O111" s="7"/>
      <c r="P111" s="7"/>
      <c r="Q111" s="25"/>
      <c r="R111" s="25"/>
      <c r="S111" s="37">
        <f t="shared" si="54"/>
        <v>1</v>
      </c>
      <c r="T111" s="52" t="str">
        <f t="shared" si="55"/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14:51:59-0600',mode:absolute,to:'2016-10-02 17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1" s="54" t="str">
        <f t="shared" si="57"/>
        <v>N</v>
      </c>
      <c r="X111" s="164">
        <f t="shared" si="58"/>
        <v>1</v>
      </c>
      <c r="Y111" s="69">
        <f t="shared" si="59"/>
        <v>4.6899999999999997E-2</v>
      </c>
      <c r="Z111" s="69">
        <f t="shared" si="60"/>
        <v>23.335699999999999</v>
      </c>
      <c r="AA111" s="69">
        <f t="shared" si="61"/>
        <v>23.288799999999998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62"/>
        <v>0199-02</v>
      </c>
      <c r="AE111" s="95" t="str">
        <f t="shared" si="63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11" s="92" t="str">
        <f t="shared" si="64"/>
        <v>"C:\Program Files (x86)\AstroGrep\AstroGrep.exe" /spath="%USERPROFILE%\AppData\Local\Temp\OnboardLogs" /stypes="app*4042*20161002*" /stext=" 22:.+((SYSTEM_STATE.+slice.+state.+changed )|(ment ac)|(system.+state.+changed )|(\[timeout)|(PRM\|1\|D)|(kpr)|(kdp)|(\|lc)|(penalty))" /e /r /s</v>
      </c>
      <c r="AG111" s="1" t="str">
        <f t="shared" si="65"/>
        <v>EC</v>
      </c>
      <c r="AH111" s="96" t="str">
        <f t="shared" si="49"/>
        <v>"%USERPROFILE%\Documents\GitHub\eaglep3\Utilities\RefineRTDCRunTimes.py" --tripid 199-02 --locoid 4042 --swversion DE.1.0.7.0 --startMP 204:469 --initTime 2016-10-02T15:51:59 --startdatetime 2016-10-02T16:00:40 --delay 1 --endMP 204:233357 --enddatetime 2016-10-02T16:37:08 --enforcementcount 0 &gt;&gt;C:\Users\stu\Documents\GitHub\eaglep3-reporting\EC\2016-10-02-refined-times.txt</v>
      </c>
      <c r="AI11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{"issue":{"subject":"","project_id":79,"tracker_id":40,"status_id":1,"priority_id":2,"assigned_to_id":23,"start_date":"2016-10-02","description":"","custom_fields":[{"id":1,"name":"Subdivision","value":"EC"},{"id":4,"name":"Milepost","value":"23.3357"},{"id":17,"name":"Train ID","value":"199-02"},{"id":16,"name":"Locomotive ID","value":"4042"},{"id":130,"name":"Impact","value":""},{"id":150,"name":"Time of Event (Mountain Time)","value":"16:37:08"},{"id":151,"name":"Denver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627</v>
      </c>
      <c r="B112" s="7">
        <v>4041</v>
      </c>
      <c r="C112" s="24" t="s">
        <v>106</v>
      </c>
      <c r="D112" s="24" t="s">
        <v>628</v>
      </c>
      <c r="E112" s="15">
        <v>42645.702025462961</v>
      </c>
      <c r="F112" s="15">
        <v>42645.705787037034</v>
      </c>
      <c r="G112" s="7">
        <v>1</v>
      </c>
      <c r="H112" s="15" t="s">
        <v>269</v>
      </c>
      <c r="I112" s="15">
        <v>42645.732499999998</v>
      </c>
      <c r="J112" s="7">
        <v>0</v>
      </c>
      <c r="K112" s="117" t="str">
        <f t="shared" si="51"/>
        <v>4041/4042</v>
      </c>
      <c r="L112" s="24" t="str">
        <f>VLOOKUP(A112,'Trips&amp;Operators'!$C$1:$E$10000,3,FALSE)</f>
        <v>SHOOK</v>
      </c>
      <c r="M112" s="6">
        <f t="shared" si="52"/>
        <v>2.6712962964666076E-2</v>
      </c>
      <c r="N112" s="7">
        <f t="shared" si="53"/>
        <v>38.466666669119149</v>
      </c>
      <c r="O112" s="7"/>
      <c r="P112" s="7"/>
      <c r="Q112" s="25"/>
      <c r="R112" s="25"/>
      <c r="S112" s="37">
        <f t="shared" si="54"/>
        <v>1</v>
      </c>
      <c r="T112" s="52" t="str">
        <f t="shared" si="55"/>
        <v>Southbound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15:50:55-0600',mode:absolute,to:'2016-10-02 18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2" s="54" t="str">
        <f t="shared" si="57"/>
        <v>N</v>
      </c>
      <c r="X112" s="164">
        <f t="shared" si="58"/>
        <v>1</v>
      </c>
      <c r="Y112" s="69">
        <f t="shared" si="59"/>
        <v>23.302800000000001</v>
      </c>
      <c r="Z112" s="69">
        <f t="shared" si="60"/>
        <v>1.3899999999999999E-2</v>
      </c>
      <c r="AA112" s="69">
        <f t="shared" si="61"/>
        <v>23.288900000000002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62"/>
        <v>0200-02</v>
      </c>
      <c r="AE112" s="95" t="str">
        <f t="shared" si="63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112" s="92" t="str">
        <f t="shared" si="64"/>
        <v>"C:\Program Files (x86)\AstroGrep\AstroGrep.exe" /spath="%USERPROFILE%\AppData\Local\Temp\OnboardLogs" /stypes="app*4041*20161002*" /stext=" 23:.+((SYSTEM_STATE.+slice.+state.+changed )|(ment ac)|(system.+state.+changed )|(\[timeout)|(PRM\|1\|D)|(kpr)|(kdp)|(\|lc)|(penalty))" /e /r /s</v>
      </c>
      <c r="AG112" s="1" t="str">
        <f t="shared" si="65"/>
        <v>EC</v>
      </c>
      <c r="AH112" s="96" t="str">
        <f t="shared" si="49"/>
        <v>"%USERPROFILE%\Documents\GitHub\eaglep3\Utilities\RefineRTDCRunTimes.py" --tripid 200-02 --locoid 4041 --swversion DE.1.0.7.0 --startMP 204:233028 --initTime 2016-10-02T16:50:55 --startdatetime 2016-10-02T16:56:20 --delay 1 --endMP 204:139 --enddatetime 2016-10-02T17:34:48 --enforcementcount 0 &gt;&gt;C:\Users\stu\Documents\GitHub\eaglep3-reporting\EC\2016-10-02-refined-times.txt</v>
      </c>
      <c r="AI11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{"issue":{"subject":"","project_id":79,"tracker_id":40,"status_id":1,"priority_id":2,"assigned_to_id":23,"start_date":"2016-10-02","description":"","custom_fields":[{"id":1,"name":"Subdivision","value":"EC"},{"id":4,"name":"Milepost","value":"0.0139"},{"id":17,"name":"Train ID","value":"200-02"},{"id":16,"name":"Locomotive ID","value":"4041"},{"id":130,"name":"Impact","value":""},{"id":150,"name":"Time of Event (Mountain Time)","value":"17:34:48"},{"id":151,"name":"Denver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629</v>
      </c>
      <c r="B113" s="7">
        <v>4016</v>
      </c>
      <c r="C113" s="24" t="s">
        <v>106</v>
      </c>
      <c r="D113" s="24" t="s">
        <v>211</v>
      </c>
      <c r="E113" s="15">
        <v>42645.671863425923</v>
      </c>
      <c r="F113" s="15">
        <v>42645.677303240744</v>
      </c>
      <c r="G113" s="7">
        <v>1</v>
      </c>
      <c r="H113" s="15" t="s">
        <v>368</v>
      </c>
      <c r="I113" s="15">
        <v>42645.702384259261</v>
      </c>
      <c r="J113" s="7">
        <v>0</v>
      </c>
      <c r="K113" s="117" t="str">
        <f t="shared" si="51"/>
        <v>4015/4016</v>
      </c>
      <c r="L113" s="24" t="str">
        <f>VLOOKUP(A113,'Trips&amp;Operators'!$C$1:$E$10000,3,FALSE)</f>
        <v>STEWART</v>
      </c>
      <c r="M113" s="6">
        <f t="shared" si="52"/>
        <v>2.5081018517084885E-2</v>
      </c>
      <c r="N113" s="7">
        <f t="shared" si="53"/>
        <v>36.116666664602235</v>
      </c>
      <c r="O113" s="7"/>
      <c r="P113" s="7"/>
      <c r="Q113" s="25"/>
      <c r="R113" s="25"/>
      <c r="S113" s="37">
        <f t="shared" si="54"/>
        <v>1</v>
      </c>
      <c r="T113" s="52" t="str">
        <f t="shared" si="55"/>
        <v>NorthBound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15:07:29-0600',mode:absolute,to:'2016-10-02 17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3" s="54" t="str">
        <f t="shared" si="57"/>
        <v>N</v>
      </c>
      <c r="X113" s="164">
        <f t="shared" si="58"/>
        <v>1</v>
      </c>
      <c r="Y113" s="69">
        <f t="shared" si="59"/>
        <v>4.5499999999999999E-2</v>
      </c>
      <c r="Z113" s="69">
        <f t="shared" si="60"/>
        <v>23.332899999999999</v>
      </c>
      <c r="AA113" s="69">
        <f t="shared" si="61"/>
        <v>23.287399999999998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62"/>
        <v>0201-02</v>
      </c>
      <c r="AE113" s="95" t="str">
        <f t="shared" si="63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113" s="92" t="str">
        <f t="shared" si="64"/>
        <v>"C:\Program Files (x86)\AstroGrep\AstroGrep.exe" /spath="%USERPROFILE%\AppData\Local\Temp\OnboardLogs" /stypes="app*4016*20161002*" /stext=" 22:.+((SYSTEM_STATE.+slice.+state.+changed )|(ment ac)|(system.+state.+changed )|(\[timeout)|(PRM\|1\|D)|(kpr)|(kdp)|(\|lc)|(penalty))" /e /r /s</v>
      </c>
      <c r="AG113" s="1" t="str">
        <f t="shared" si="65"/>
        <v>EC</v>
      </c>
      <c r="AH113" s="96" t="str">
        <f t="shared" si="49"/>
        <v>"%USERPROFILE%\Documents\GitHub\eaglep3\Utilities\RefineRTDCRunTimes.py" --tripid 201-02 --locoid 4016 --swversion DE.1.0.7.0 --startMP 204:455 --initTime 2016-10-02T16:07:29 --startdatetime 2016-10-02T16:15:19 --delay 1 --endMP 204:233329 --enddatetime 2016-10-02T16:51:26 --enforcementcount 0 &gt;&gt;C:\Users\stu\Documents\GitHub\eaglep3-reporting\EC\2016-10-02-refined-times.txt</v>
      </c>
      <c r="AI11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{"issue":{"subject":"","project_id":79,"tracker_id":40,"status_id":1,"priority_id":2,"assigned_to_id":23,"start_date":"2016-10-02","description":"","custom_fields":[{"id":1,"name":"Subdivision","value":"EC"},{"id":4,"name":"Milepost","value":"23.3329"},{"id":17,"name":"Train ID","value":"201-02"},{"id":16,"name":"Locomotive ID","value":"4016"},{"id":130,"name":"Impact","value":""},{"id":150,"name":"Time of Event (Mountain Time)","value":"16:51:26"},{"id":151,"name":"Denver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630</v>
      </c>
      <c r="B114" s="7">
        <v>4015</v>
      </c>
      <c r="C114" s="24" t="s">
        <v>106</v>
      </c>
      <c r="D114" s="24" t="s">
        <v>631</v>
      </c>
      <c r="E114" s="15">
        <v>42645.713900462964</v>
      </c>
      <c r="F114" s="15">
        <v>42645.716307870367</v>
      </c>
      <c r="G114" s="7">
        <v>1</v>
      </c>
      <c r="H114" s="15" t="s">
        <v>369</v>
      </c>
      <c r="I114" s="15">
        <v>42645.742731481485</v>
      </c>
      <c r="J114" s="7">
        <v>0</v>
      </c>
      <c r="K114" s="117" t="str">
        <f t="shared" si="51"/>
        <v>4015/4016</v>
      </c>
      <c r="L114" s="24" t="str">
        <f>VLOOKUP(A114,'Trips&amp;Operators'!$C$1:$E$10000,3,FALSE)</f>
        <v>STEWART</v>
      </c>
      <c r="M114" s="6">
        <f t="shared" si="52"/>
        <v>2.6423611117934342E-2</v>
      </c>
      <c r="N114" s="7">
        <f t="shared" si="53"/>
        <v>38.050000009825453</v>
      </c>
      <c r="O114" s="7"/>
      <c r="P114" s="7"/>
      <c r="Q114" s="25"/>
      <c r="R114" s="25"/>
      <c r="S114" s="37">
        <f t="shared" si="54"/>
        <v>1</v>
      </c>
      <c r="T114" s="52" t="str">
        <f t="shared" si="55"/>
        <v>Southbound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16:08:01-0600',mode:absolute,to:'2016-10-02 18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4" s="54" t="str">
        <f t="shared" si="57"/>
        <v>N</v>
      </c>
      <c r="X114" s="164">
        <f t="shared" si="58"/>
        <v>1</v>
      </c>
      <c r="Y114" s="69">
        <f t="shared" si="59"/>
        <v>23.301300000000001</v>
      </c>
      <c r="Z114" s="69">
        <f t="shared" si="60"/>
        <v>1.6299999999999999E-2</v>
      </c>
      <c r="AA114" s="69">
        <f t="shared" si="61"/>
        <v>23.285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62"/>
        <v>0202-02</v>
      </c>
      <c r="AE114" s="95" t="str">
        <f t="shared" si="63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114" s="92" t="str">
        <f t="shared" si="64"/>
        <v>"C:\Program Files (x86)\AstroGrep\AstroGrep.exe" /spath="%USERPROFILE%\AppData\Local\Temp\OnboardLogs" /stypes="app*4015*20161002*" /stext=" 23:.+((SYSTEM_STATE.+slice.+state.+changed )|(ment ac)|(system.+state.+changed )|(\[timeout)|(PRM\|1\|D)|(kpr)|(kdp)|(\|lc)|(penalty))" /e /r /s</v>
      </c>
      <c r="AG114" s="1" t="str">
        <f t="shared" si="65"/>
        <v>EC</v>
      </c>
      <c r="AH114" s="96" t="str">
        <f t="shared" si="49"/>
        <v>"%USERPROFILE%\Documents\GitHub\eaglep3\Utilities\RefineRTDCRunTimes.py" --tripid 202-02 --locoid 4015 --swversion DE.1.0.7.0 --startMP 204:233013 --initTime 2016-10-02T17:08:01 --startdatetime 2016-10-02T17:11:29 --delay 1 --endMP 204:163 --enddatetime 2016-10-02T17:49:32 --enforcementcount 0 &gt;&gt;C:\Users\stu\Documents\GitHub\eaglep3-reporting\EC\2016-10-02-refined-times.txt</v>
      </c>
      <c r="AI11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{"issue":{"subject":"","project_id":79,"tracker_id":40,"status_id":1,"priority_id":2,"assigned_to_id":23,"start_date":"2016-10-02","description":"","custom_fields":[{"id":1,"name":"Subdivision","value":"EC"},{"id":4,"name":"Milepost","value":"0.0163"},{"id":17,"name":"Train ID","value":"202-02"},{"id":16,"name":"Locomotive ID","value":"4015"},{"id":130,"name":"Impact","value":""},{"id":150,"name":"Time of Event (Mountain Time)","value":"17:49:32"},{"id":151,"name":"Denver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632</v>
      </c>
      <c r="B115" s="7">
        <v>4053</v>
      </c>
      <c r="C115" s="24" t="s">
        <v>106</v>
      </c>
      <c r="D115" s="24" t="s">
        <v>208</v>
      </c>
      <c r="E115" s="15">
        <v>42645.685277777775</v>
      </c>
      <c r="F115" s="15">
        <v>42645.687708333331</v>
      </c>
      <c r="G115" s="7">
        <v>1</v>
      </c>
      <c r="H115" s="15" t="s">
        <v>221</v>
      </c>
      <c r="I115" s="15">
        <v>42645.713194444441</v>
      </c>
      <c r="J115" s="7">
        <v>0</v>
      </c>
      <c r="K115" s="117" t="str">
        <f t="shared" si="51"/>
        <v>4053/4054</v>
      </c>
      <c r="L115" s="24" t="str">
        <f>VLOOKUP(A115,'Trips&amp;Operators'!$C$1:$E$10000,3,FALSE)</f>
        <v>BARTLETT</v>
      </c>
      <c r="M115" s="6">
        <f t="shared" si="52"/>
        <v>2.548611110978527E-2</v>
      </c>
      <c r="N115" s="7">
        <f t="shared" si="53"/>
        <v>36.699999998090789</v>
      </c>
      <c r="O115" s="7"/>
      <c r="P115" s="7"/>
      <c r="Q115" s="25"/>
      <c r="R115" s="25"/>
      <c r="S115" s="37">
        <f t="shared" si="54"/>
        <v>1</v>
      </c>
      <c r="T115" s="52" t="str">
        <f t="shared" si="55"/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15:26:48-0600',mode:absolute,to:'2016-10-02 18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5" s="54" t="str">
        <f t="shared" si="57"/>
        <v>N</v>
      </c>
      <c r="X115" s="164">
        <f t="shared" si="58"/>
        <v>1</v>
      </c>
      <c r="Y115" s="69">
        <f t="shared" si="59"/>
        <v>4.5699999999999998E-2</v>
      </c>
      <c r="Z115" s="69">
        <f t="shared" si="60"/>
        <v>23.331399999999999</v>
      </c>
      <c r="AA115" s="69">
        <f t="shared" si="61"/>
        <v>23.285699999999999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62"/>
        <v>0203-02</v>
      </c>
      <c r="AE115" s="95" t="str">
        <f t="shared" si="63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15" s="92" t="str">
        <f t="shared" si="64"/>
        <v>"C:\Program Files (x86)\AstroGrep\AstroGrep.exe" /spath="%USERPROFILE%\AppData\Local\Temp\OnboardLogs" /stypes="app*4053*20161002*" /stext=" 23:.+((SYSTEM_STATE.+slice.+state.+changed )|(ment ac)|(system.+state.+changed )|(\[timeout)|(PRM\|1\|D)|(kpr)|(kdp)|(\|lc)|(penalty))" /e /r /s</v>
      </c>
      <c r="AG115" s="1" t="str">
        <f t="shared" si="65"/>
        <v>EC</v>
      </c>
      <c r="AH115" s="96" t="str">
        <f t="shared" si="49"/>
        <v>"%USERPROFILE%\Documents\GitHub\eaglep3\Utilities\RefineRTDCRunTimes.py" --tripid 203-02 --locoid 4053 --swversion DE.1.0.7.0 --startMP 204:457 --initTime 2016-10-02T16:26:48 --startdatetime 2016-10-02T16:30:18 --delay 1 --endMP 204:233314 --enddatetime 2016-10-02T17:07:00 --enforcementcount 0 &gt;&gt;C:\Users\stu\Documents\GitHub\eaglep3-reporting\EC\2016-10-02-refined-times.txt</v>
      </c>
      <c r="AI11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{"issue":{"subject":"","project_id":79,"tracker_id":40,"status_id":1,"priority_id":2,"assigned_to_id":23,"start_date":"2016-10-02","description":"","custom_fields":[{"id":1,"name":"Subdivision","value":"EC"},{"id":4,"name":"Milepost","value":"23.3314"},{"id":17,"name":"Train ID","value":"203-02"},{"id":16,"name":"Locomotive ID","value":"4053"},{"id":130,"name":"Impact","value":""},{"id":150,"name":"Time of Event (Mountain Time)","value":"17:07:00"},{"id":151,"name":"Denver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633</v>
      </c>
      <c r="B116" s="7">
        <v>4054</v>
      </c>
      <c r="C116" s="24" t="s">
        <v>106</v>
      </c>
      <c r="D116" s="24" t="s">
        <v>224</v>
      </c>
      <c r="E116" s="15">
        <v>42645.715208333335</v>
      </c>
      <c r="F116" s="15">
        <v>42645.726840277777</v>
      </c>
      <c r="G116" s="7">
        <v>1</v>
      </c>
      <c r="H116" s="15" t="s">
        <v>127</v>
      </c>
      <c r="I116" s="15">
        <v>42645.754305555558</v>
      </c>
      <c r="J116" s="7">
        <v>0</v>
      </c>
      <c r="K116" s="117" t="str">
        <f t="shared" si="51"/>
        <v>4053/4054</v>
      </c>
      <c r="L116" s="24" t="str">
        <f>VLOOKUP(A116,'Trips&amp;Operators'!$C$1:$E$10000,3,FALSE)</f>
        <v>BARTLETT</v>
      </c>
      <c r="M116" s="6">
        <f t="shared" si="52"/>
        <v>2.7465277780720498E-2</v>
      </c>
      <c r="N116" s="7">
        <f t="shared" si="53"/>
        <v>39.550000004237518</v>
      </c>
      <c r="O116" s="7"/>
      <c r="P116" s="7"/>
      <c r="Q116" s="25"/>
      <c r="R116" s="25"/>
      <c r="S116" s="37">
        <f t="shared" si="54"/>
        <v>1</v>
      </c>
      <c r="T116" s="52" t="str">
        <f t="shared" si="55"/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16:09:54-0600',mode:absolute,to:'2016-10-02 19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6" s="54" t="str">
        <f t="shared" si="57"/>
        <v>N</v>
      </c>
      <c r="X116" s="164">
        <f t="shared" si="58"/>
        <v>1</v>
      </c>
      <c r="Y116" s="69">
        <f t="shared" si="59"/>
        <v>23.3</v>
      </c>
      <c r="Z116" s="69">
        <f t="shared" si="60"/>
        <v>1.54E-2</v>
      </c>
      <c r="AA116" s="69">
        <f t="shared" si="61"/>
        <v>23.284600000000001</v>
      </c>
      <c r="AB116" s="66" t="str">
        <f>VLOOKUP(A116,Enforcements!$C$7:$K$21,8,0)</f>
        <v>Bulletin (2)</v>
      </c>
      <c r="AC116" s="62" t="str">
        <f>VLOOKUP(A116,Enforcements!$C$7:$E$21,3,0)</f>
        <v>GRADE CROSSING</v>
      </c>
      <c r="AD116" s="63" t="str">
        <f t="shared" si="62"/>
        <v>0204-02</v>
      </c>
      <c r="AE116" s="95" t="str">
        <f t="shared" si="63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116" s="92" t="str">
        <f t="shared" si="64"/>
        <v>"C:\Program Files (x86)\AstroGrep\AstroGrep.exe" /spath="%USERPROFILE%\AppData\Local\Temp\OnboardLogs" /stypes="app*4054*20161003*" /stext=" 00:.+((SYSTEM_STATE.+slice.+state.+changed )|(ment ac)|(system.+state.+changed )|(\[timeout)|(PRM\|1\|D)|(kpr)|(kdp)|(\|lc)|(penalty))" /e /r /s</v>
      </c>
      <c r="AG116" s="1" t="str">
        <f t="shared" si="65"/>
        <v>EC</v>
      </c>
      <c r="AH116" s="96" t="str">
        <f t="shared" si="49"/>
        <v>"%USERPROFILE%\Documents\GitHub\eaglep3\Utilities\RefineRTDCRunTimes.py" --tripid 204-02 --locoid 4054 --swversion DE.1.0.7.0 --startMP 204:233000 --initTime 2016-10-02T17:09:54 --startdatetime 2016-10-02T17:26:39 --delay 1 --endMP 204:154 --enddatetime 2016-10-02T18:06:12 --enforcementcount 0 &gt;&gt;C:\Users\stu\Documents\GitHub\eaglep3-reporting\EC\2016-10-02-refined-times.txt</v>
      </c>
      <c r="AI11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{"issue":{"subject":"","project_id":79,"tracker_id":40,"status_id":1,"priority_id":2,"assigned_to_id":23,"start_date":"2016-10-02","description":"","custom_fields":[{"id":1,"name":"Subdivision","value":"EC"},{"id":4,"name":"Milepost","value":"0.0154"},{"id":17,"name":"Train ID","value":"204-02"},{"id":16,"name":"Locomotive ID","value":"4054"},{"id":130,"name":"Impact","value":""},{"id":150,"name":"Time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634</v>
      </c>
      <c r="B117" s="7">
        <v>4014</v>
      </c>
      <c r="C117" s="24" t="s">
        <v>106</v>
      </c>
      <c r="D117" s="24" t="s">
        <v>635</v>
      </c>
      <c r="E117" s="15">
        <v>42645.694085648145</v>
      </c>
      <c r="F117" s="15">
        <v>42645.698159722226</v>
      </c>
      <c r="G117" s="7">
        <v>1</v>
      </c>
      <c r="H117" s="15" t="s">
        <v>258</v>
      </c>
      <c r="I117" s="15">
        <v>42645.723402777781</v>
      </c>
      <c r="J117" s="7">
        <v>0</v>
      </c>
      <c r="K117" s="117" t="str">
        <f t="shared" si="51"/>
        <v>4013/4014</v>
      </c>
      <c r="L117" s="24" t="str">
        <f>VLOOKUP(A117,'Trips&amp;Operators'!$C$1:$E$10000,3,FALSE)</f>
        <v>HAITHCOX</v>
      </c>
      <c r="M117" s="6">
        <f t="shared" si="52"/>
        <v>2.5243055555620231E-2</v>
      </c>
      <c r="N117" s="7">
        <f t="shared" si="53"/>
        <v>36.350000000093132</v>
      </c>
      <c r="O117" s="7"/>
      <c r="P117" s="7"/>
      <c r="Q117" s="25"/>
      <c r="R117" s="25"/>
      <c r="S117" s="37">
        <f t="shared" si="54"/>
        <v>1</v>
      </c>
      <c r="T117" s="52" t="str">
        <f t="shared" si="55"/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15:39:29-0600',mode:absolute,to:'2016-10-02 18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7" s="54" t="str">
        <f t="shared" si="57"/>
        <v>N</v>
      </c>
      <c r="X117" s="164">
        <f t="shared" si="58"/>
        <v>1</v>
      </c>
      <c r="Y117" s="69">
        <f t="shared" si="59"/>
        <v>4.3099999999999999E-2</v>
      </c>
      <c r="Z117" s="69">
        <f t="shared" si="60"/>
        <v>23.331700000000001</v>
      </c>
      <c r="AA117" s="69">
        <f t="shared" si="61"/>
        <v>23.288600000000002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62"/>
        <v>0205-02</v>
      </c>
      <c r="AE117" s="95" t="str">
        <f t="shared" si="63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17" s="92" t="str">
        <f t="shared" si="64"/>
        <v>"C:\Program Files (x86)\AstroGrep\AstroGrep.exe" /spath="%USERPROFILE%\AppData\Local\Temp\OnboardLogs" /stypes="app*4014*20161002*" /stext=" 23:.+((SYSTEM_STATE.+slice.+state.+changed )|(ment ac)|(system.+state.+changed )|(\[timeout)|(PRM\|1\|D)|(kpr)|(kdp)|(\|lc)|(penalty))" /e /r /s</v>
      </c>
      <c r="AG117" s="1" t="str">
        <f t="shared" si="65"/>
        <v>EC</v>
      </c>
      <c r="AH117" s="96" t="str">
        <f t="shared" si="49"/>
        <v>"%USERPROFILE%\Documents\GitHub\eaglep3\Utilities\RefineRTDCRunTimes.py" --tripid 205-02 --locoid 4014 --swversion DE.1.0.7.0 --startMP 204:431 --initTime 2016-10-02T16:39:29 --startdatetime 2016-10-02T16:45:21 --delay 1 --endMP 204:233317 --enddatetime 2016-10-02T17:21:42 --enforcementcount 0 &gt;&gt;C:\Users\stu\Documents\GitHub\eaglep3-reporting\EC\2016-10-02-refined-times.txt</v>
      </c>
      <c r="AI11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{"issue":{"subject":"","project_id":79,"tracker_id":40,"status_id":1,"priority_id":2,"assigned_to_id":23,"start_date":"2016-10-02","description":"","custom_fields":[{"id":1,"name":"Subdivision","value":"EC"},{"id":4,"name":"Milepost","value":"23.3317"},{"id":17,"name":"Train ID","value":"205-02"},{"id":16,"name":"Locomotive ID","value":"4014"},{"id":130,"name":"Impact","value":""},{"id":150,"name":"Time of Event (Mountain Time)","value":"17:21:42"},{"id":151,"name":"Denver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636</v>
      </c>
      <c r="B118" s="7">
        <v>4013</v>
      </c>
      <c r="C118" s="24" t="s">
        <v>106</v>
      </c>
      <c r="D118" s="24" t="s">
        <v>364</v>
      </c>
      <c r="E118" s="15">
        <v>42645.72859953704</v>
      </c>
      <c r="F118" s="15">
        <v>42645.737083333333</v>
      </c>
      <c r="G118" s="7">
        <v>0</v>
      </c>
      <c r="H118" s="15" t="s">
        <v>205</v>
      </c>
      <c r="I118" s="15">
        <v>42645.765300925923</v>
      </c>
      <c r="J118" s="7">
        <v>0</v>
      </c>
      <c r="K118" s="117" t="str">
        <f t="shared" si="51"/>
        <v>4013/4014</v>
      </c>
      <c r="L118" s="24" t="str">
        <f>VLOOKUP(A118,'Trips&amp;Operators'!$C$1:$E$10000,3,FALSE)</f>
        <v>HAITHCOX</v>
      </c>
      <c r="M118" s="6">
        <f t="shared" si="52"/>
        <v>2.8217592589498963E-2</v>
      </c>
      <c r="N118" s="7">
        <f t="shared" si="53"/>
        <v>40.633333328878507</v>
      </c>
      <c r="O118" s="7"/>
      <c r="P118" s="7"/>
      <c r="Q118" s="25"/>
      <c r="R118" s="25"/>
      <c r="S118" s="37">
        <f t="shared" si="54"/>
        <v>1</v>
      </c>
      <c r="T118" s="52" t="str">
        <f t="shared" si="55"/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16:29:11-0600',mode:absolute,to:'2016-10-02 19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8" s="54" t="str">
        <f t="shared" si="57"/>
        <v>N</v>
      </c>
      <c r="X118" s="164">
        <f t="shared" si="58"/>
        <v>1</v>
      </c>
      <c r="Y118" s="69">
        <f t="shared" si="59"/>
        <v>23.300599999999999</v>
      </c>
      <c r="Z118" s="69">
        <f t="shared" si="60"/>
        <v>1.4999999999999999E-2</v>
      </c>
      <c r="AA118" s="69">
        <f t="shared" si="61"/>
        <v>23.285599999999999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62"/>
        <v>0206-02</v>
      </c>
      <c r="AE118" s="95" t="str">
        <f t="shared" si="63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118" s="92" t="str">
        <f t="shared" si="64"/>
        <v>"C:\Program Files (x86)\AstroGrep\AstroGrep.exe" /spath="%USERPROFILE%\AppData\Local\Temp\OnboardLogs" /stypes="app*4013*20161003*" /stext=" 00:.+((SYSTEM_STATE.+slice.+state.+changed )|(ment ac)|(system.+state.+changed )|(\[timeout)|(PRM\|1\|D)|(kpr)|(kdp)|(\|lc)|(penalty))" /e /r /s</v>
      </c>
      <c r="AG118" s="1" t="str">
        <f t="shared" si="65"/>
        <v>EC</v>
      </c>
      <c r="AH118" s="96" t="str">
        <f t="shared" si="49"/>
        <v>"%USERPROFILE%\Documents\GitHub\eaglep3\Utilities\RefineRTDCRunTimes.py" --tripid 206-02 --locoid 4013 --swversion DE.1.0.7.0 --startMP 204:233006 --initTime 2016-10-02T17:29:11 --startdatetime 2016-10-02T17:41:24 --delay 0 --endMP 204:150 --enddatetime 2016-10-02T18:22:02 --enforcementcount 0 &gt;&gt;C:\Users\stu\Documents\GitHub\eaglep3-reporting\EC\2016-10-02-refined-times.txt</v>
      </c>
      <c r="AI11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{"issue":{"subject":"","project_id":79,"tracker_id":40,"status_id":1,"priority_id":2,"assigned_to_id":23,"start_date":"2016-10-02","description":"","custom_fields":[{"id":1,"name":"Subdivision","value":"EC"},{"id":4,"name":"Milepost","value":"0.015"},{"id":17,"name":"Train ID","value":"206-02"},{"id":16,"name":"Locomotive ID","value":"4013"},{"id":130,"name":"Impact","value":""},{"id":150,"name":"Time of Event (Mountain Time)","value":"18:22:02"},{"id":151,"name":"Denver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637</v>
      </c>
      <c r="B119" s="7">
        <v>4025</v>
      </c>
      <c r="C119" s="24" t="s">
        <v>106</v>
      </c>
      <c r="D119" s="24" t="s">
        <v>216</v>
      </c>
      <c r="E119" s="15">
        <v>42645.705011574071</v>
      </c>
      <c r="F119" s="15">
        <v>42645.708553240744</v>
      </c>
      <c r="G119" s="7">
        <v>1</v>
      </c>
      <c r="H119" s="15" t="s">
        <v>432</v>
      </c>
      <c r="I119" s="15">
        <v>42645.7344212963</v>
      </c>
      <c r="J119" s="7">
        <v>0</v>
      </c>
      <c r="K119" s="117" t="str">
        <f t="shared" si="51"/>
        <v>4025/4026</v>
      </c>
      <c r="L119" s="24" t="str">
        <f>VLOOKUP(A119,'Trips&amp;Operators'!$C$1:$E$10000,3,FALSE)</f>
        <v>MOSES</v>
      </c>
      <c r="M119" s="6">
        <f t="shared" si="52"/>
        <v>2.5868055556202307E-2</v>
      </c>
      <c r="N119" s="7">
        <f t="shared" si="53"/>
        <v>37.250000000931323</v>
      </c>
      <c r="O119" s="7"/>
      <c r="P119" s="7"/>
      <c r="Q119" s="25"/>
      <c r="R119" s="25"/>
      <c r="S119" s="37">
        <f t="shared" si="54"/>
        <v>1</v>
      </c>
      <c r="T119" s="52" t="str">
        <f t="shared" si="55"/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15:55:13-0600',mode:absolute,to:'2016-10-02 18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9" s="54" t="str">
        <f t="shared" si="57"/>
        <v>N</v>
      </c>
      <c r="X119" s="164">
        <f t="shared" si="58"/>
        <v>1</v>
      </c>
      <c r="Y119" s="69">
        <f t="shared" si="59"/>
        <v>4.6199999999999998E-2</v>
      </c>
      <c r="Z119" s="69">
        <f t="shared" si="60"/>
        <v>23.329699999999999</v>
      </c>
      <c r="AA119" s="69">
        <f t="shared" si="61"/>
        <v>23.2835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62"/>
        <v>0207-02</v>
      </c>
      <c r="AE119" s="95" t="str">
        <f t="shared" si="63"/>
        <v>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 &amp; aws s3 cp s3://rtdc.mdm.uploadarchive.raw/RTDC4025/ "%USERPROFILE%\AppData\Local\Temp\OnboardLogs"\RTDC4025\2016-10-03 --exclude "*" --recursive --include "*20161003*" &amp; "%USERPROFILE%\Documents\GitHub\mrs-test-scripts\Headless Mode &amp; Sideloading\WalkAndUnGZ.bat" "%USERPROFILE%\AppData\Local\Temp\OnboardLogs"\RTDC4025\2016-10-03</v>
      </c>
      <c r="AF119" s="92" t="str">
        <f t="shared" si="64"/>
        <v>"C:\Program Files (x86)\AstroGrep\AstroGrep.exe" /spath="%USERPROFILE%\AppData\Local\Temp\OnboardLogs" /stypes="app*4025*20161002*" /stext=" 23:.+((SYSTEM_STATE.+slice.+state.+changed )|(ment ac)|(system.+state.+changed )|(\[timeout)|(PRM\|1\|D)|(kpr)|(kdp)|(\|lc)|(penalty))" /e /r /s</v>
      </c>
      <c r="AG119" s="1" t="str">
        <f t="shared" si="65"/>
        <v>EC</v>
      </c>
      <c r="AH119" s="96" t="str">
        <f t="shared" si="49"/>
        <v>"%USERPROFILE%\Documents\GitHub\eaglep3\Utilities\RefineRTDCRunTimes.py" --tripid 207-02 --locoid 4025 --swversion DE.1.0.7.0 --startMP 204:462 --initTime 2016-10-02T16:55:13 --startdatetime 2016-10-02T17:00:19 --delay 1 --endMP 204:233297 --enddatetime 2016-10-02T17:37:34 --enforcementcount 0 &gt;&gt;C:\Users\stu\Documents\GitHub\eaglep3-reporting\EC\2016-10-02-refined-times.txt</v>
      </c>
      <c r="AI11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{"issue":{"subject":"","project_id":79,"tracker_id":40,"status_id":1,"priority_id":2,"assigned_to_id":23,"start_date":"2016-10-02","description":"","custom_fields":[{"id":1,"name":"Subdivision","value":"EC"},{"id":4,"name":"Milepost","value":"23.3297"},{"id":17,"name":"Train ID","value":"207-02"},{"id":16,"name":"Locomotive ID","value":"4025"},{"id":130,"name":"Impact","value":""},{"id":150,"name":"Time of Event (Mountain Time)","value":"17:37:34"},{"id":151,"name":"Denver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638</v>
      </c>
      <c r="B120" s="7">
        <v>4026</v>
      </c>
      <c r="C120" s="24" t="s">
        <v>106</v>
      </c>
      <c r="D120" s="24" t="s">
        <v>270</v>
      </c>
      <c r="E120" s="15">
        <v>42645.743414351855</v>
      </c>
      <c r="F120" s="15">
        <v>42645.747465277775</v>
      </c>
      <c r="G120" s="7">
        <v>1</v>
      </c>
      <c r="H120" s="15" t="s">
        <v>639</v>
      </c>
      <c r="I120" s="15">
        <v>42645.768877314818</v>
      </c>
      <c r="J120" s="7">
        <v>0</v>
      </c>
      <c r="K120" s="117" t="str">
        <f t="shared" si="51"/>
        <v>4025/4026</v>
      </c>
      <c r="L120" s="24" t="str">
        <f>VLOOKUP(A120,'Trips&amp;Operators'!$C$1:$E$10000,3,FALSE)</f>
        <v>MOSES</v>
      </c>
      <c r="M120" s="6">
        <f t="shared" si="52"/>
        <v>2.1412037043774035E-2</v>
      </c>
      <c r="N120" s="7"/>
      <c r="O120" s="7"/>
      <c r="P120" s="7">
        <f t="shared" si="53"/>
        <v>30.83333334303461</v>
      </c>
      <c r="Q120" s="25"/>
      <c r="R120" s="25" t="s">
        <v>726</v>
      </c>
      <c r="S120" s="37">
        <f t="shared" si="54"/>
        <v>0.75</v>
      </c>
      <c r="T120" s="52" t="str">
        <f t="shared" si="55"/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9</v>
      </c>
      <c r="V12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16:50:31-0600',mode:absolute,to:'2016-10-02 19:27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0" s="54" t="str">
        <f t="shared" si="57"/>
        <v>Y</v>
      </c>
      <c r="X120" s="164">
        <f t="shared" si="58"/>
        <v>1</v>
      </c>
      <c r="Y120" s="69">
        <f t="shared" si="59"/>
        <v>23.297799999999999</v>
      </c>
      <c r="Z120" s="69">
        <f t="shared" si="60"/>
        <v>3.673</v>
      </c>
      <c r="AA120" s="69">
        <f t="shared" si="61"/>
        <v>19.6248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62"/>
        <v>0208-02</v>
      </c>
      <c r="AE120" s="95" t="str">
        <f t="shared" si="63"/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AF120" s="92" t="str">
        <f t="shared" si="64"/>
        <v>"C:\Program Files (x86)\AstroGrep\AstroGrep.exe" /spath="%USERPROFILE%\AppData\Local\Temp\OnboardLogs" /stypes="app*4026*20161003*" /stext=" 00:.+((SYSTEM_STATE.+slice.+state.+changed )|(ment ac)|(system.+state.+changed )|(\[timeout)|(PRM\|1\|D)|(kpr)|(kdp)|(\|lc)|(penalty))" /e /r /s</v>
      </c>
      <c r="AG120" s="1" t="str">
        <f t="shared" si="65"/>
        <v>EC</v>
      </c>
      <c r="AH120" s="96" t="str">
        <f t="shared" si="49"/>
        <v>"%USERPROFILE%\Documents\GitHub\eaglep3\Utilities\RefineRTDCRunTimes.py" --tripid 208-02 --locoid 4026 --swversion DE.1.0.7.0 --startMP 204:232978 --initTime 2016-10-02T17:50:31 --startdatetime 2016-10-02T17:56:21 --delay 1 --endMP 204:36730 --enddatetime 2016-10-02T18:27:11 --enforcementcount 0 &gt;&gt;C:\Users\stu\Documents\GitHub\eaglep3-reporting\EC\2016-10-02-refined-times.txt</v>
      </c>
      <c r="AI120" s="130" t="str">
        <f t="shared" si="50"/>
        <v>echo {"issue":{"subject":"Onboard in-route failure","project_id":79,"tracker_id":40,"status_id":1,"priority_id":2,"assigned_to_id":23,"start_date":"2016-10-02","description":"Multiple CPU faults at 18:27:23","custom_fields":[{"id":1,"name":"Subdivision","value":"EC"},{"id":4,"name":"Milepost","value":"3.673"},{"id":17,"name":"Train ID","value":"208-02"},{"id":16,"name":"Locomotive ID","value":"4026"},{"id":130,"name":"Impact","value":"Failed State"},{"id":150,"name":"Time of Event (Mountain Time)","value":"18:27:11"},{"id":151,"name":"Denver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0" s="55" t="s">
        <v>727</v>
      </c>
      <c r="AK120" s="55" t="s">
        <v>138</v>
      </c>
      <c r="AL120" s="55" t="s">
        <v>217</v>
      </c>
    </row>
    <row r="121" spans="1:38" s="23" customFormat="1" x14ac:dyDescent="0.25">
      <c r="A121" s="39" t="s">
        <v>640</v>
      </c>
      <c r="B121" s="7">
        <v>4007</v>
      </c>
      <c r="C121" s="24" t="s">
        <v>106</v>
      </c>
      <c r="D121" s="24" t="s">
        <v>390</v>
      </c>
      <c r="E121" s="15">
        <v>42645.716192129628</v>
      </c>
      <c r="F121" s="15">
        <v>42645.719004629631</v>
      </c>
      <c r="G121" s="7">
        <v>1</v>
      </c>
      <c r="H121" s="15" t="s">
        <v>221</v>
      </c>
      <c r="I121" s="15">
        <v>42645.743807870371</v>
      </c>
      <c r="J121" s="7">
        <v>0</v>
      </c>
      <c r="K121" s="117" t="str">
        <f t="shared" si="51"/>
        <v>4007/4008</v>
      </c>
      <c r="L121" s="24" t="str">
        <f>VLOOKUP(A121,'Trips&amp;Operators'!$C$1:$E$10000,3,FALSE)</f>
        <v>LEVERE</v>
      </c>
      <c r="M121" s="6">
        <f t="shared" si="52"/>
        <v>2.4803240739856847E-2</v>
      </c>
      <c r="N121" s="7">
        <f t="shared" si="53"/>
        <v>35.716666665393859</v>
      </c>
      <c r="O121" s="7"/>
      <c r="P121" s="7"/>
      <c r="Q121" s="25"/>
      <c r="R121" s="25"/>
      <c r="S121" s="37">
        <f t="shared" si="54"/>
        <v>1</v>
      </c>
      <c r="T121" s="52" t="str">
        <f t="shared" si="55"/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16:11:19-0600',mode:absolute,to:'2016-10-02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21" s="54" t="str">
        <f t="shared" si="57"/>
        <v>N</v>
      </c>
      <c r="X121" s="164">
        <f t="shared" si="58"/>
        <v>1</v>
      </c>
      <c r="Y121" s="69">
        <f t="shared" si="59"/>
        <v>5.0900000000000001E-2</v>
      </c>
      <c r="Z121" s="69">
        <f t="shared" si="60"/>
        <v>23.331399999999999</v>
      </c>
      <c r="AA121" s="69">
        <f t="shared" si="61"/>
        <v>23.2805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62"/>
        <v>0209-02</v>
      </c>
      <c r="AE121" s="95" t="str">
        <f t="shared" si="63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121" s="92" t="str">
        <f t="shared" si="64"/>
        <v>"C:\Program Files (x86)\AstroGrep\AstroGrep.exe" /spath="%USERPROFILE%\AppData\Local\Temp\OnboardLogs" /stypes="app*4007*20161002*" /stext=" 23:.+((SYSTEM_STATE.+slice.+state.+changed )|(ment ac)|(system.+state.+changed )|(\[timeout)|(PRM\|1\|D)|(kpr)|(kdp)|(\|lc)|(penalty))" /e /r /s</v>
      </c>
      <c r="AG121" s="1" t="str">
        <f t="shared" si="65"/>
        <v>EC</v>
      </c>
      <c r="AH121" s="96" t="str">
        <f t="shared" si="49"/>
        <v>"%USERPROFILE%\Documents\GitHub\eaglep3\Utilities\RefineRTDCRunTimes.py" --tripid 209-02 --locoid 4007 --swversion DE.1.0.7.0 --startMP 204:509 --initTime 2016-10-02T17:11:19 --startdatetime 2016-10-02T17:15:22 --delay 1 --endMP 204:233314 --enddatetime 2016-10-02T17:51:05 --enforcementcount 0 &gt;&gt;C:\Users\stu\Documents\GitHub\eaglep3-reporting\EC\2016-10-02-refined-times.txt</v>
      </c>
      <c r="AI12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{"issue":{"subject":"","project_id":79,"tracker_id":40,"status_id":1,"priority_id":2,"assigned_to_id":23,"start_date":"2016-10-02","description":"","custom_fields":[{"id":1,"name":"Subdivision","value":"EC"},{"id":4,"name":"Milepost","value":"23.3314"},{"id":17,"name":"Train ID","value":"209-02"},{"id":16,"name":"Locomotive ID","value":"4007"},{"id":130,"name":"Impact","value":""},{"id":150,"name":"Time of Event (Mountain Time)","value":"17:51:05"},{"id":151,"name":"Denver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641</v>
      </c>
      <c r="B122" s="7">
        <v>4008</v>
      </c>
      <c r="C122" s="24" t="s">
        <v>106</v>
      </c>
      <c r="D122" s="24" t="s">
        <v>419</v>
      </c>
      <c r="E122" s="15">
        <v>42645.754467592589</v>
      </c>
      <c r="F122" s="15">
        <v>42645.757974537039</v>
      </c>
      <c r="G122" s="7">
        <v>1</v>
      </c>
      <c r="H122" s="15" t="s">
        <v>200</v>
      </c>
      <c r="I122" s="15">
        <v>42645.784687500003</v>
      </c>
      <c r="J122" s="7">
        <v>0</v>
      </c>
      <c r="K122" s="117" t="str">
        <f t="shared" si="51"/>
        <v>4007/4008</v>
      </c>
      <c r="L122" s="24" t="str">
        <f>VLOOKUP(A122,'Trips&amp;Operators'!$C$1:$E$10000,3,FALSE)</f>
        <v>LEVERE</v>
      </c>
      <c r="M122" s="6">
        <f t="shared" si="52"/>
        <v>2.6712962964666076E-2</v>
      </c>
      <c r="N122" s="7">
        <f t="shared" si="53"/>
        <v>38.466666669119149</v>
      </c>
      <c r="O122" s="7"/>
      <c r="P122" s="7"/>
      <c r="Q122" s="25"/>
      <c r="R122" s="25"/>
      <c r="S122" s="37">
        <f t="shared" si="54"/>
        <v>1</v>
      </c>
      <c r="T122" s="52" t="str">
        <f t="shared" si="55"/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17:06:26-0600',mode:absolute,to:'2016-10-02 19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22" s="54" t="str">
        <f t="shared" si="57"/>
        <v>N</v>
      </c>
      <c r="X122" s="164">
        <f t="shared" si="58"/>
        <v>1</v>
      </c>
      <c r="Y122" s="69">
        <f t="shared" si="59"/>
        <v>23.299800000000001</v>
      </c>
      <c r="Z122" s="69">
        <f t="shared" si="60"/>
        <v>1.6E-2</v>
      </c>
      <c r="AA122" s="69">
        <f t="shared" si="61"/>
        <v>23.283800000000003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62"/>
        <v>0210-02</v>
      </c>
      <c r="AE122" s="95" t="str">
        <f t="shared" si="63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122" s="92" t="str">
        <f t="shared" si="64"/>
        <v>"C:\Program Files (x86)\AstroGrep\AstroGrep.exe" /spath="%USERPROFILE%\AppData\Local\Temp\OnboardLogs" /stypes="app*4008*20161003*" /stext=" 00:.+((SYSTEM_STATE.+slice.+state.+changed )|(ment ac)|(system.+state.+changed )|(\[timeout)|(PRM\|1\|D)|(kpr)|(kdp)|(\|lc)|(penalty))" /e /r /s</v>
      </c>
      <c r="AG122" s="1" t="str">
        <f t="shared" si="65"/>
        <v>EC</v>
      </c>
      <c r="AH122" s="96" t="str">
        <f t="shared" si="49"/>
        <v>"%USERPROFILE%\Documents\GitHub\eaglep3\Utilities\RefineRTDCRunTimes.py" --tripid 210-02 --locoid 4008 --swversion DE.1.0.7.0 --startMP 204:232998 --initTime 2016-10-02T18:06:26 --startdatetime 2016-10-02T18:11:29 --delay 1 --endMP 204:160 --enddatetime 2016-10-02T18:49:57 --enforcementcount 0 &gt;&gt;C:\Users\stu\Documents\GitHub\eaglep3-reporting\EC\2016-10-02-refined-times.txt</v>
      </c>
      <c r="AI12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{"issue":{"subject":"","project_id":79,"tracker_id":40,"status_id":1,"priority_id":2,"assigned_to_id":23,"start_date":"2016-10-02","description":"","custom_fields":[{"id":1,"name":"Subdivision","value":"EC"},{"id":4,"name":"Milepost","value":"0.016"},{"id":17,"name":"Train ID","value":"210-02"},{"id":16,"name":"Locomotive ID","value":"4008"},{"id":130,"name":"Impact","value":""},{"id":150,"name":"Time of Event (Mountain Time)","value":"18:49:57"},{"id":151,"name":"Denver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642</v>
      </c>
      <c r="B123" s="7">
        <v>4020</v>
      </c>
      <c r="C123" s="24" t="s">
        <v>106</v>
      </c>
      <c r="D123" s="24" t="s">
        <v>209</v>
      </c>
      <c r="E123" s="15">
        <v>42645.724641203706</v>
      </c>
      <c r="F123" s="15">
        <v>42645.729745370372</v>
      </c>
      <c r="G123" s="7">
        <v>1</v>
      </c>
      <c r="H123" s="15" t="s">
        <v>242</v>
      </c>
      <c r="I123" s="15">
        <v>42645.756076388891</v>
      </c>
      <c r="J123" s="7">
        <v>0</v>
      </c>
      <c r="K123" s="117" t="str">
        <f t="shared" si="51"/>
        <v>4019/4020</v>
      </c>
      <c r="L123" s="24" t="str">
        <f>VLOOKUP(A123,'Trips&amp;Operators'!$C$1:$E$10000,3,FALSE)</f>
        <v>YOUNG</v>
      </c>
      <c r="M123" s="6">
        <f t="shared" si="52"/>
        <v>2.6331018518249039E-2</v>
      </c>
      <c r="N123" s="7">
        <f t="shared" si="53"/>
        <v>37.916666666278616</v>
      </c>
      <c r="O123" s="7"/>
      <c r="P123" s="7"/>
      <c r="Q123" s="25"/>
      <c r="R123" s="25"/>
      <c r="S123" s="37">
        <f t="shared" si="54"/>
        <v>1</v>
      </c>
      <c r="T123" s="52" t="str">
        <f t="shared" si="55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16:23:29-0600',mode:absolute,to:'2016-10-02 19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3" s="54" t="str">
        <f t="shared" si="57"/>
        <v>N</v>
      </c>
      <c r="X123" s="164">
        <f t="shared" si="58"/>
        <v>1</v>
      </c>
      <c r="Y123" s="69">
        <f t="shared" si="59"/>
        <v>4.6600000000000003E-2</v>
      </c>
      <c r="Z123" s="69">
        <f t="shared" si="60"/>
        <v>23.330500000000001</v>
      </c>
      <c r="AA123" s="69">
        <f t="shared" si="61"/>
        <v>23.283899999999999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62"/>
        <v>0211-02</v>
      </c>
      <c r="AE123" s="95" t="str">
        <f t="shared" si="63"/>
        <v>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 &amp; aws s3 cp s3://rtdc.mdm.uploadarchive.raw/RTDC4020/ "%USERPROFILE%\AppData\Local\Temp\OnboardLogs"\RTDC4020\2016-10-03 --exclude "*" --recursive --include "*20161003*" &amp; "%USERPROFILE%\Documents\GitHub\mrs-test-scripts\Headless Mode &amp; Sideloading\WalkAndUnGZ.bat" "%USERPROFILE%\AppData\Local\Temp\OnboardLogs"\RTDC4020\2016-10-03</v>
      </c>
      <c r="AF123" s="92" t="str">
        <f t="shared" si="64"/>
        <v>"C:\Program Files (x86)\AstroGrep\AstroGrep.exe" /spath="%USERPROFILE%\AppData\Local\Temp\OnboardLogs" /stypes="app*4020*20161003*" /stext=" 00:.+((SYSTEM_STATE.+slice.+state.+changed )|(ment ac)|(system.+state.+changed )|(\[timeout)|(PRM\|1\|D)|(kpr)|(kdp)|(\|lc)|(penalty))" /e /r /s</v>
      </c>
      <c r="AG123" s="1" t="str">
        <f t="shared" si="65"/>
        <v>EC</v>
      </c>
      <c r="AH123" s="96" t="str">
        <f t="shared" si="49"/>
        <v>"%USERPROFILE%\Documents\GitHub\eaglep3\Utilities\RefineRTDCRunTimes.py" --tripid 211-02 --locoid 4020 --swversion DE.1.0.7.0 --startMP 204:466 --initTime 2016-10-02T17:23:29 --startdatetime 2016-10-02T17:30:50 --delay 1 --endMP 204:233305 --enddatetime 2016-10-02T18:08:45 --enforcementcount 0 &gt;&gt;C:\Users\stu\Documents\GitHub\eaglep3-reporting\EC\2016-10-02-refined-times.txt</v>
      </c>
      <c r="AI12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{"issue":{"subject":"","project_id":79,"tracker_id":40,"status_id":1,"priority_id":2,"assigned_to_id":23,"start_date":"2016-10-02","description":"","custom_fields":[{"id":1,"name":"Subdivision","value":"EC"},{"id":4,"name":"Milepost","value":"23.3305"},{"id":17,"name":"Train ID","value":"211-02"},{"id":16,"name":"Locomotive ID","value":"4020"},{"id":130,"name":"Impact","value":""},{"id":150,"name":"Time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643</v>
      </c>
      <c r="B124" s="7">
        <v>4019</v>
      </c>
      <c r="C124" s="24" t="s">
        <v>106</v>
      </c>
      <c r="D124" s="24" t="s">
        <v>439</v>
      </c>
      <c r="E124" s="15">
        <v>42645.759074074071</v>
      </c>
      <c r="F124" s="15">
        <v>42645.769085648149</v>
      </c>
      <c r="G124" s="7">
        <v>1</v>
      </c>
      <c r="H124" s="15" t="s">
        <v>644</v>
      </c>
      <c r="I124" s="15">
        <v>42645.799050925925</v>
      </c>
      <c r="J124" s="7">
        <v>0</v>
      </c>
      <c r="K124" s="117" t="str">
        <f t="shared" si="51"/>
        <v>4019/4020</v>
      </c>
      <c r="L124" s="24" t="str">
        <f>VLOOKUP(A124,'Trips&amp;Operators'!$C$1:$E$10000,3,FALSE)</f>
        <v>YOUNG</v>
      </c>
      <c r="M124" s="6">
        <f t="shared" si="52"/>
        <v>2.9965277775772847E-2</v>
      </c>
      <c r="N124" s="7">
        <f t="shared" si="53"/>
        <v>43.1499999971129</v>
      </c>
      <c r="O124" s="7"/>
      <c r="P124" s="7"/>
      <c r="Q124" s="25"/>
      <c r="R124" s="25"/>
      <c r="S124" s="37">
        <f t="shared" si="54"/>
        <v>1</v>
      </c>
      <c r="T124" s="52" t="str">
        <f t="shared" si="55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17:13:04-0600',mode:absolute,to:'2016-10-02 20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4" s="54" t="str">
        <f t="shared" si="57"/>
        <v>N</v>
      </c>
      <c r="X124" s="164">
        <f t="shared" si="58"/>
        <v>1</v>
      </c>
      <c r="Y124" s="69">
        <f t="shared" si="59"/>
        <v>23.299199999999999</v>
      </c>
      <c r="Z124" s="69">
        <f t="shared" si="60"/>
        <v>2.0199999999999999E-2</v>
      </c>
      <c r="AA124" s="69">
        <f t="shared" si="61"/>
        <v>23.279</v>
      </c>
      <c r="AB124" s="66" t="str">
        <f>VLOOKUP(A124,Enforcements!$C$7:$K$21,8,0)</f>
        <v>Form based authority (4)</v>
      </c>
      <c r="AC124" s="62" t="str">
        <f>VLOOKUP(A124,Enforcements!$C$7:$E$21,3,0)</f>
        <v>TRACK WARRANT AUTHORITY</v>
      </c>
      <c r="AD124" s="63" t="str">
        <f t="shared" si="62"/>
        <v>0212-02</v>
      </c>
      <c r="AE124" s="95" t="str">
        <f t="shared" si="63"/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AF124" s="92" t="str">
        <f t="shared" si="64"/>
        <v>"C:\Program Files (x86)\AstroGrep\AstroGrep.exe" /spath="%USERPROFILE%\AppData\Local\Temp\OnboardLogs" /stypes="app*4019*20161003*" /stext=" 01:.+((SYSTEM_STATE.+slice.+state.+changed )|(ment ac)|(system.+state.+changed )|(\[timeout)|(PRM\|1\|D)|(kpr)|(kdp)|(\|lc)|(penalty))" /e /r /s</v>
      </c>
      <c r="AG124" s="1" t="str">
        <f t="shared" si="65"/>
        <v>EC</v>
      </c>
      <c r="AH124" s="96" t="str">
        <f t="shared" si="49"/>
        <v>"%USERPROFILE%\Documents\GitHub\eaglep3\Utilities\RefineRTDCRunTimes.py" --tripid 212-02 --locoid 4019 --swversion DE.1.0.7.0 --startMP 204:232992 --initTime 2016-10-02T18:13:04 --startdatetime 2016-10-02T18:27:29 --delay 1 --endMP 204:202 --enddatetime 2016-10-02T19:10:38 --enforcementcount 0 &gt;&gt;C:\Users\stu\Documents\GitHub\eaglep3-reporting\EC\2016-10-02-refined-times.txt</v>
      </c>
      <c r="AI12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{"issue":{"subject":"","project_id":79,"tracker_id":40,"status_id":1,"priority_id":2,"assigned_to_id":23,"start_date":"2016-10-02","description":"","custom_fields":[{"id":1,"name":"Subdivision","value":"EC"},{"id":4,"name":"Milepost","value":"0.0202"},{"id":17,"name":"Train ID","value":"212-02"},{"id":16,"name":"Locomotive ID","value":"4019"},{"id":130,"name":"Impact","value":""},{"id":150,"name":"Time of Event (Mountain Time)","value":"19:10:38"},{"id":151,"name":"Denver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645</v>
      </c>
      <c r="B125" s="7">
        <v>4042</v>
      </c>
      <c r="C125" s="24" t="s">
        <v>106</v>
      </c>
      <c r="D125" s="24" t="s">
        <v>204</v>
      </c>
      <c r="E125" s="15">
        <v>42645.735625000001</v>
      </c>
      <c r="F125" s="15">
        <v>42645.73978009259</v>
      </c>
      <c r="G125" s="7">
        <v>1</v>
      </c>
      <c r="H125" s="15" t="s">
        <v>303</v>
      </c>
      <c r="I125" s="15">
        <v>42645.764363425929</v>
      </c>
      <c r="J125" s="7">
        <v>0</v>
      </c>
      <c r="K125" s="117" t="str">
        <f t="shared" si="51"/>
        <v>4041/4042</v>
      </c>
      <c r="L125" s="24" t="str">
        <f>VLOOKUP(A125,'Trips&amp;Operators'!$C$1:$E$10000,3,FALSE)</f>
        <v>COOLAHAN</v>
      </c>
      <c r="M125" s="6">
        <f t="shared" si="52"/>
        <v>2.4583333339251112E-2</v>
      </c>
      <c r="N125" s="7">
        <f t="shared" si="53"/>
        <v>35.400000008521602</v>
      </c>
      <c r="O125" s="7"/>
      <c r="P125" s="7"/>
      <c r="Q125" s="25"/>
      <c r="R125" s="25"/>
      <c r="S125" s="37">
        <f t="shared" si="54"/>
        <v>1</v>
      </c>
      <c r="T125" s="52" t="str">
        <f t="shared" si="55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16:39:18-0600',mode:absolute,to:'2016-10-02 19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5" s="54" t="str">
        <f t="shared" si="57"/>
        <v>N</v>
      </c>
      <c r="X125" s="164">
        <f t="shared" si="58"/>
        <v>1</v>
      </c>
      <c r="Y125" s="69">
        <f t="shared" si="59"/>
        <v>4.53E-2</v>
      </c>
      <c r="Z125" s="69">
        <f t="shared" si="60"/>
        <v>23.3306</v>
      </c>
      <c r="AA125" s="69">
        <f t="shared" si="61"/>
        <v>23.285299999999999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62"/>
        <v>0213-02</v>
      </c>
      <c r="AE125" s="95" t="str">
        <f t="shared" si="63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25" s="92" t="str">
        <f t="shared" si="64"/>
        <v>"C:\Program Files (x86)\AstroGrep\AstroGrep.exe" /spath="%USERPROFILE%\AppData\Local\Temp\OnboardLogs" /stypes="app*4042*20161003*" /stext=" 00:.+((SYSTEM_STATE.+slice.+state.+changed )|(ment ac)|(system.+state.+changed )|(\[timeout)|(PRM\|1\|D)|(kpr)|(kdp)|(\|lc)|(penalty))" /e /r /s</v>
      </c>
      <c r="AG125" s="1" t="str">
        <f t="shared" si="65"/>
        <v>EC</v>
      </c>
      <c r="AH125" s="96" t="str">
        <f t="shared" si="49"/>
        <v>"%USERPROFILE%\Documents\GitHub\eaglep3\Utilities\RefineRTDCRunTimes.py" --tripid 213-02 --locoid 4042 --swversion DE.1.0.7.0 --startMP 204:453 --initTime 2016-10-02T17:39:18 --startdatetime 2016-10-02T17:45:17 --delay 1 --endMP 204:233306 --enddatetime 2016-10-02T18:20:41 --enforcementcount 0 &gt;&gt;C:\Users\stu\Documents\GitHub\eaglep3-reporting\EC\2016-10-02-refined-times.txt</v>
      </c>
      <c r="AI12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{"issue":{"subject":"","project_id":79,"tracker_id":40,"status_id":1,"priority_id":2,"assigned_to_id":23,"start_date":"2016-10-02","description":"","custom_fields":[{"id":1,"name":"Subdivision","value":"EC"},{"id":4,"name":"Milepost","value":"23.3306"},{"id":17,"name":"Train ID","value":"213-02"},{"id":16,"name":"Locomotive ID","value":"4042"},{"id":130,"name":"Impact","value":""},{"id":150,"name":"Time of Event (Mountain Time)","value":"18:20:41"},{"id":151,"name":"Denver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646</v>
      </c>
      <c r="B126" s="7">
        <v>4041</v>
      </c>
      <c r="C126" s="24" t="s">
        <v>106</v>
      </c>
      <c r="D126" s="24" t="s">
        <v>503</v>
      </c>
      <c r="E126" s="15">
        <v>42645.772476851853</v>
      </c>
      <c r="F126" s="15">
        <v>42645.778877314813</v>
      </c>
      <c r="G126" s="7">
        <v>2</v>
      </c>
      <c r="H126" s="15" t="s">
        <v>294</v>
      </c>
      <c r="I126" s="15">
        <v>42645.805254629631</v>
      </c>
      <c r="J126" s="7">
        <v>0</v>
      </c>
      <c r="K126" s="117" t="str">
        <f t="shared" si="51"/>
        <v>4041/4042</v>
      </c>
      <c r="L126" s="24" t="str">
        <f>VLOOKUP(A126,'Trips&amp;Operators'!$C$1:$E$10000,3,FALSE)</f>
        <v>COOLAHAN</v>
      </c>
      <c r="M126" s="6">
        <f t="shared" si="52"/>
        <v>2.6377314818091691E-2</v>
      </c>
      <c r="N126" s="7">
        <f t="shared" si="53"/>
        <v>37.983333338052034</v>
      </c>
      <c r="O126" s="7"/>
      <c r="P126" s="7"/>
      <c r="Q126" s="25"/>
      <c r="R126" s="25"/>
      <c r="S126" s="37">
        <f t="shared" si="54"/>
        <v>1</v>
      </c>
      <c r="T126" s="52" t="str">
        <f t="shared" si="55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17:32:22-0600',mode:absolute,to:'2016-10-02 20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6" s="54" t="str">
        <f t="shared" si="57"/>
        <v>N</v>
      </c>
      <c r="X126" s="164">
        <f t="shared" si="58"/>
        <v>1</v>
      </c>
      <c r="Y126" s="69">
        <f t="shared" si="59"/>
        <v>23.299299999999999</v>
      </c>
      <c r="Z126" s="69">
        <f t="shared" si="60"/>
        <v>1.6500000000000001E-2</v>
      </c>
      <c r="AA126" s="69">
        <f t="shared" si="61"/>
        <v>23.282799999999998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62"/>
        <v>0214-02</v>
      </c>
      <c r="AE126" s="95" t="str">
        <f t="shared" si="63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126" s="92" t="str">
        <f t="shared" si="64"/>
        <v>"C:\Program Files (x86)\AstroGrep\AstroGrep.exe" /spath="%USERPROFILE%\AppData\Local\Temp\OnboardLogs" /stypes="app*4041*20161003*" /stext=" 01:.+((SYSTEM_STATE.+slice.+state.+changed )|(ment ac)|(system.+state.+changed )|(\[timeout)|(PRM\|1\|D)|(kpr)|(kdp)|(\|lc)|(penalty))" /e /r /s</v>
      </c>
      <c r="AG126" s="1" t="str">
        <f t="shared" si="65"/>
        <v>EC</v>
      </c>
      <c r="AH126" s="96" t="str">
        <f t="shared" si="49"/>
        <v>"%USERPROFILE%\Documents\GitHub\eaglep3\Utilities\RefineRTDCRunTimes.py" --tripid 214-02 --locoid 4041 --swversion DE.1.0.7.0 --startMP 204:232993 --initTime 2016-10-02T18:32:22 --startdatetime 2016-10-02T18:41:35 --delay 2 --endMP 204:165 --enddatetime 2016-10-02T19:19:34 --enforcementcount 0 &gt;&gt;C:\Users\stu\Documents\GitHub\eaglep3-reporting\EC\2016-10-02-refined-times.txt</v>
      </c>
      <c r="AI12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{"issue":{"subject":"","project_id":79,"tracker_id":40,"status_id":1,"priority_id":2,"assigned_to_id":23,"start_date":"2016-10-02","description":"","custom_fields":[{"id":1,"name":"Subdivision","value":"EC"},{"id":4,"name":"Milepost","value":"0.0165"},{"id":17,"name":"Train ID","value":"214-02"},{"id":16,"name":"Locomotive ID","value":"4041"},{"id":130,"name":"Impact","value":""},{"id":150,"name":"Time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647</v>
      </c>
      <c r="B127" s="7">
        <v>4016</v>
      </c>
      <c r="C127" s="24" t="s">
        <v>106</v>
      </c>
      <c r="D127" s="24" t="s">
        <v>233</v>
      </c>
      <c r="E127" s="15">
        <v>42645.744467592594</v>
      </c>
      <c r="F127" s="15">
        <v>42645.750300925924</v>
      </c>
      <c r="G127" s="7">
        <v>1</v>
      </c>
      <c r="H127" s="15" t="s">
        <v>370</v>
      </c>
      <c r="I127" s="15">
        <v>42645.775891203702</v>
      </c>
      <c r="J127" s="7">
        <v>0</v>
      </c>
      <c r="K127" s="117" t="str">
        <f t="shared" si="51"/>
        <v>4015/4016</v>
      </c>
      <c r="L127" s="24" t="str">
        <f>VLOOKUP(A127,'Trips&amp;Operators'!$C$1:$E$10000,3,FALSE)</f>
        <v>SHOOK</v>
      </c>
      <c r="M127" s="6">
        <f t="shared" si="52"/>
        <v>2.5590277778974269E-2</v>
      </c>
      <c r="N127" s="7">
        <f t="shared" si="53"/>
        <v>36.850000001722947</v>
      </c>
      <c r="O127" s="7"/>
      <c r="P127" s="7"/>
      <c r="Q127" s="25"/>
      <c r="R127" s="25"/>
      <c r="S127" s="37">
        <f t="shared" si="54"/>
        <v>1</v>
      </c>
      <c r="T127" s="52" t="str">
        <f t="shared" si="55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16:52:02-0600',mode:absolute,to:'2016-10-02 19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7" s="54" t="str">
        <f t="shared" si="57"/>
        <v>N</v>
      </c>
      <c r="X127" s="164">
        <f t="shared" si="58"/>
        <v>1</v>
      </c>
      <c r="Y127" s="69">
        <f t="shared" si="59"/>
        <v>4.6399999999999997E-2</v>
      </c>
      <c r="Z127" s="69">
        <f t="shared" si="60"/>
        <v>23.332599999999999</v>
      </c>
      <c r="AA127" s="69">
        <f t="shared" si="61"/>
        <v>23.286200000000001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62"/>
        <v>0215-02</v>
      </c>
      <c r="AE127" s="95" t="str">
        <f t="shared" si="63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127" s="92" t="str">
        <f t="shared" si="64"/>
        <v>"C:\Program Files (x86)\AstroGrep\AstroGrep.exe" /spath="%USERPROFILE%\AppData\Local\Temp\OnboardLogs" /stypes="app*4016*20161003*" /stext=" 00:.+((SYSTEM_STATE.+slice.+state.+changed )|(ment ac)|(system.+state.+changed )|(\[timeout)|(PRM\|1\|D)|(kpr)|(kdp)|(\|lc)|(penalty))" /e /r /s</v>
      </c>
      <c r="AG127" s="1" t="str">
        <f t="shared" si="65"/>
        <v>EC</v>
      </c>
      <c r="AH127" s="96" t="str">
        <f t="shared" si="49"/>
        <v>"%USERPROFILE%\Documents\GitHub\eaglep3\Utilities\RefineRTDCRunTimes.py" --tripid 215-02 --locoid 4016 --swversion DE.1.0.7.0 --startMP 204:464 --initTime 2016-10-02T17:52:02 --startdatetime 2016-10-02T18:00:26 --delay 1 --endMP 204:233326 --enddatetime 2016-10-02T18:37:17 --enforcementcount 0 &gt;&gt;C:\Users\stu\Documents\GitHub\eaglep3-reporting\EC\2016-10-02-refined-times.txt</v>
      </c>
      <c r="AI12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{"issue":{"subject":"","project_id":79,"tracker_id":40,"status_id":1,"priority_id":2,"assigned_to_id":23,"start_date":"2016-10-02","description":"","custom_fields":[{"id":1,"name":"Subdivision","value":"EC"},{"id":4,"name":"Milepost","value":"23.3326"},{"id":17,"name":"Train ID","value":"215-02"},{"id":16,"name":"Locomotive ID","value":"4016"},{"id":130,"name":"Impact","value":""},{"id":150,"name":"Time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648</v>
      </c>
      <c r="B128" s="7">
        <v>4015</v>
      </c>
      <c r="C128" s="24" t="s">
        <v>106</v>
      </c>
      <c r="D128" s="24" t="s">
        <v>649</v>
      </c>
      <c r="E128" s="15">
        <v>42645.785138888888</v>
      </c>
      <c r="F128" s="15">
        <v>42645.789166666669</v>
      </c>
      <c r="G128" s="7">
        <v>1</v>
      </c>
      <c r="H128" s="15" t="s">
        <v>650</v>
      </c>
      <c r="I128" s="15">
        <v>42645.816168981481</v>
      </c>
      <c r="J128" s="7">
        <v>0</v>
      </c>
      <c r="K128" s="117" t="str">
        <f t="shared" si="51"/>
        <v>4015/4016</v>
      </c>
      <c r="L128" s="24" t="str">
        <f>VLOOKUP(A128,'Trips&amp;Operators'!$C$1:$E$10000,3,FALSE)</f>
        <v>SHOOK</v>
      </c>
      <c r="M128" s="6">
        <f t="shared" si="52"/>
        <v>2.700231481139781E-2</v>
      </c>
      <c r="N128" s="7">
        <f t="shared" si="53"/>
        <v>38.883333328412846</v>
      </c>
      <c r="O128" s="7"/>
      <c r="P128" s="7"/>
      <c r="Q128" s="25"/>
      <c r="R128" s="25"/>
      <c r="S128" s="37">
        <f t="shared" si="54"/>
        <v>1</v>
      </c>
      <c r="T128" s="52" t="str">
        <f t="shared" si="55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17:50:36-0600',mode:absolute,to:'2016-10-02 20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8" s="54" t="str">
        <f t="shared" si="57"/>
        <v>N</v>
      </c>
      <c r="X128" s="164">
        <f t="shared" si="58"/>
        <v>1</v>
      </c>
      <c r="Y128" s="69">
        <f t="shared" si="59"/>
        <v>23.302099999999999</v>
      </c>
      <c r="Z128" s="69">
        <f t="shared" si="60"/>
        <v>1.4200000000000001E-2</v>
      </c>
      <c r="AA128" s="69">
        <f t="shared" si="61"/>
        <v>23.2879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62"/>
        <v>0216-02</v>
      </c>
      <c r="AE128" s="95" t="str">
        <f t="shared" si="63"/>
        <v>aws s3 cp s3://rtdc.mdm.uploadarchive.raw/RTDC4015/ "%USERPROFILE%\AppData\Local\Temp\OnboardLogs"\RTDC4015\2016-10-02 --exclude "*" --recursive --include "*20161002*" &amp; "%USERPROFILE%\Documents\GitHub\mrs-test-scripts\Headless Mode &amp; Sideloading\WalkAndUnGZ.bat" "%USERPROFILE%\AppData\Local\Temp\OnboardLogs"\RTDC4015\2016-10-02 &amp; aws s3 cp s3://rtdc.mdm.uploadarchive.raw/RTDC4015/ "%USERPROFILE%\AppData\Local\Temp\OnboardLogs"\RTDC4015\2016-10-03 --exclude "*" --recursive --include "*20161003*" &amp; "%USERPROFILE%\Documents\GitHub\mrs-test-scripts\Headless Mode &amp; Sideloading\WalkAndUnGZ.bat" "%USERPROFILE%\AppData\Local\Temp\OnboardLogs"\RTDC4015\2016-10-03</v>
      </c>
      <c r="AF128" s="92" t="str">
        <f t="shared" si="64"/>
        <v>"C:\Program Files (x86)\AstroGrep\AstroGrep.exe" /spath="%USERPROFILE%\AppData\Local\Temp\OnboardLogs" /stypes="app*4015*20161003*" /stext=" 01:.+((SYSTEM_STATE.+slice.+state.+changed )|(ment ac)|(system.+state.+changed )|(\[timeout)|(PRM\|1\|D)|(kpr)|(kdp)|(\|lc)|(penalty))" /e /r /s</v>
      </c>
      <c r="AG128" s="1" t="str">
        <f t="shared" si="65"/>
        <v>EC</v>
      </c>
      <c r="AH128" s="96" t="str">
        <f t="shared" si="49"/>
        <v>"%USERPROFILE%\Documents\GitHub\eaglep3\Utilities\RefineRTDCRunTimes.py" --tripid 216-02 --locoid 4015 --swversion DE.1.0.7.0 --startMP 204:233021 --initTime 2016-10-02T18:50:36 --startdatetime 2016-10-02T18:56:24 --delay 1 --endMP 204:142 --enddatetime 2016-10-02T19:35:17 --enforcementcount 0 &gt;&gt;C:\Users\stu\Documents\GitHub\eaglep3-reporting\EC\2016-10-02-refined-times.txt</v>
      </c>
      <c r="AI12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{"issue":{"subject":"","project_id":79,"tracker_id":40,"status_id":1,"priority_id":2,"assigned_to_id":23,"start_date":"2016-10-02","description":"","custom_fields":[{"id":1,"name":"Subdivision","value":"EC"},{"id":4,"name":"Milepost","value":"0.0142"},{"id":17,"name":"Train ID","value":"216-02"},{"id":16,"name":"Locomotive ID","value":"4015"},{"id":130,"name":"Impact","value":""},{"id":150,"name":"Time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651</v>
      </c>
      <c r="B129" s="7">
        <v>4053</v>
      </c>
      <c r="C129" s="24" t="s">
        <v>106</v>
      </c>
      <c r="D129" s="24" t="s">
        <v>360</v>
      </c>
      <c r="E129" s="15">
        <v>42645.76090277778</v>
      </c>
      <c r="F129" s="15">
        <v>42645.762349537035</v>
      </c>
      <c r="G129" s="7">
        <v>1</v>
      </c>
      <c r="H129" s="15" t="s">
        <v>376</v>
      </c>
      <c r="I129" s="15">
        <v>42645.786435185182</v>
      </c>
      <c r="J129" s="7">
        <v>0</v>
      </c>
      <c r="K129" s="117" t="str">
        <f t="shared" si="51"/>
        <v>4053/4054</v>
      </c>
      <c r="L129" s="24" t="str">
        <f>VLOOKUP(A129,'Trips&amp;Operators'!$C$1:$E$10000,3,FALSE)</f>
        <v>NEWELL</v>
      </c>
      <c r="M129" s="6">
        <f t="shared" si="52"/>
        <v>2.4085648146865424E-2</v>
      </c>
      <c r="N129" s="7">
        <f t="shared" si="53"/>
        <v>34.68333333148621</v>
      </c>
      <c r="O129" s="7"/>
      <c r="P129" s="7"/>
      <c r="Q129" s="25"/>
      <c r="R129" s="25"/>
      <c r="S129" s="37">
        <f t="shared" si="54"/>
        <v>1</v>
      </c>
      <c r="T129" s="52" t="str">
        <f t="shared" si="55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17:15:42-0600',mode:absolute,to:'2016-10-02 19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9" s="54" t="str">
        <f t="shared" si="57"/>
        <v>N</v>
      </c>
      <c r="X129" s="164">
        <f t="shared" si="58"/>
        <v>1</v>
      </c>
      <c r="Y129" s="69">
        <f t="shared" si="59"/>
        <v>4.6699999999999998E-2</v>
      </c>
      <c r="Z129" s="69">
        <f t="shared" si="60"/>
        <v>23.332100000000001</v>
      </c>
      <c r="AA129" s="69">
        <f t="shared" si="61"/>
        <v>23.285399999999999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62"/>
        <v>0217-02</v>
      </c>
      <c r="AE129" s="95" t="str">
        <f t="shared" si="63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29" s="92" t="str">
        <f t="shared" si="64"/>
        <v>"C:\Program Files (x86)\AstroGrep\AstroGrep.exe" /spath="%USERPROFILE%\AppData\Local\Temp\OnboardLogs" /stypes="app*4053*20161003*" /stext=" 00:.+((SYSTEM_STATE.+slice.+state.+changed )|(ment ac)|(system.+state.+changed )|(\[timeout)|(PRM\|1\|D)|(kpr)|(kdp)|(\|lc)|(penalty))" /e /r /s</v>
      </c>
      <c r="AG129" s="1" t="str">
        <f t="shared" si="65"/>
        <v>EC</v>
      </c>
      <c r="AH129" s="96" t="str">
        <f t="shared" si="49"/>
        <v>"%USERPROFILE%\Documents\GitHub\eaglep3\Utilities\RefineRTDCRunTimes.py" --tripid 217-02 --locoid 4053 --swversion DE.1.0.7.0 --startMP 204:467 --initTime 2016-10-02T18:15:42 --startdatetime 2016-10-02T18:17:47 --delay 1 --endMP 204:233321 --enddatetime 2016-10-02T18:52:28 --enforcementcount 0 &gt;&gt;C:\Users\stu\Documents\GitHub\eaglep3-reporting\EC\2016-10-02-refined-times.txt</v>
      </c>
      <c r="AI12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{"issue":{"subject":"","project_id":79,"tracker_id":40,"status_id":1,"priority_id":2,"assigned_to_id":23,"start_date":"2016-10-02","description":"","custom_fields":[{"id":1,"name":"Subdivision","value":"EC"},{"id":4,"name":"Milepost","value":"23.3321"},{"id":17,"name":"Train ID","value":"217-02"},{"id":16,"name":"Locomotive ID","value":"4053"},{"id":130,"name":"Impact","value":""},{"id":150,"name":"Time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652</v>
      </c>
      <c r="B130" s="7">
        <v>4054</v>
      </c>
      <c r="C130" s="24" t="s">
        <v>106</v>
      </c>
      <c r="D130" s="24" t="s">
        <v>419</v>
      </c>
      <c r="E130" s="15">
        <v>42645.788194444445</v>
      </c>
      <c r="F130" s="15">
        <v>42645.799525462964</v>
      </c>
      <c r="G130" s="7">
        <v>1</v>
      </c>
      <c r="H130" s="15" t="s">
        <v>215</v>
      </c>
      <c r="I130" s="15">
        <v>42645.826006944444</v>
      </c>
      <c r="J130" s="7">
        <v>0</v>
      </c>
      <c r="K130" s="117" t="str">
        <f t="shared" si="51"/>
        <v>4053/4054</v>
      </c>
      <c r="L130" s="24" t="str">
        <f>VLOOKUP(A130,'Trips&amp;Operators'!$C$1:$E$10000,3,FALSE)</f>
        <v>NEWELL</v>
      </c>
      <c r="M130" s="6">
        <f t="shared" si="52"/>
        <v>2.6481481480004732E-2</v>
      </c>
      <c r="N130" s="7">
        <f t="shared" si="53"/>
        <v>38.133333331206813</v>
      </c>
      <c r="O130" s="7"/>
      <c r="P130" s="7"/>
      <c r="Q130" s="25"/>
      <c r="R130" s="25"/>
      <c r="S130" s="37">
        <f t="shared" si="54"/>
        <v>1</v>
      </c>
      <c r="T130" s="52" t="str">
        <f t="shared" si="55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17:55:00-0600',mode:absolute,to:'2016-10-02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0" s="54" t="str">
        <f t="shared" si="57"/>
        <v>N</v>
      </c>
      <c r="X130" s="164">
        <f t="shared" si="58"/>
        <v>1</v>
      </c>
      <c r="Y130" s="69">
        <f t="shared" si="59"/>
        <v>23.299800000000001</v>
      </c>
      <c r="Z130" s="69">
        <f t="shared" si="60"/>
        <v>1.38E-2</v>
      </c>
      <c r="AA130" s="69">
        <f t="shared" si="61"/>
        <v>23.286000000000001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62"/>
        <v>0218-02</v>
      </c>
      <c r="AE130" s="95" t="str">
        <f t="shared" si="63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130" s="92" t="str">
        <f t="shared" si="64"/>
        <v>"C:\Program Files (x86)\AstroGrep\AstroGrep.exe" /spath="%USERPROFILE%\AppData\Local\Temp\OnboardLogs" /stypes="app*4054*20161003*" /stext=" 01:.+((SYSTEM_STATE.+slice.+state.+changed )|(ment ac)|(system.+state.+changed )|(\[timeout)|(PRM\|1\|D)|(kpr)|(kdp)|(\|lc)|(penalty))" /e /r /s</v>
      </c>
      <c r="AG130" s="1" t="str">
        <f t="shared" si="65"/>
        <v>EC</v>
      </c>
      <c r="AH130" s="96" t="str">
        <f t="shared" si="49"/>
        <v>"%USERPROFILE%\Documents\GitHub\eaglep3\Utilities\RefineRTDCRunTimes.py" --tripid 218-02 --locoid 4054 --swversion DE.1.0.7.0 --startMP 204:232998 --initTime 2016-10-02T18:55:00 --startdatetime 2016-10-02T19:11:19 --delay 1 --endMP 204:138 --enddatetime 2016-10-02T19:49:27 --enforcementcount 0 &gt;&gt;C:\Users\stu\Documents\GitHub\eaglep3-reporting\EC\2016-10-02-refined-times.txt</v>
      </c>
      <c r="AI13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{"issue":{"subject":"","project_id":79,"tracker_id":40,"status_id":1,"priority_id":2,"assigned_to_id":23,"start_date":"2016-10-02","description":"","custom_fields":[{"id":1,"name":"Subdivision","value":"EC"},{"id":4,"name":"Milepost","value":"0.0138"},{"id":17,"name":"Train ID","value":"218-02"},{"id":16,"name":"Locomotive ID","value":"4054"},{"id":130,"name":"Impact","value":""},{"id":150,"name":"Time of Event (Mountain Time)","value":"19:49:27"},{"id":151,"name":"Denver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653</v>
      </c>
      <c r="B131" s="7">
        <v>4014</v>
      </c>
      <c r="C131" s="24" t="s">
        <v>106</v>
      </c>
      <c r="D131" s="24" t="s">
        <v>213</v>
      </c>
      <c r="E131" s="15">
        <v>42645.769988425927</v>
      </c>
      <c r="F131" s="15">
        <v>42645.771203703705</v>
      </c>
      <c r="G131" s="7">
        <v>1</v>
      </c>
      <c r="H131" s="15" t="s">
        <v>362</v>
      </c>
      <c r="I131" s="15">
        <v>42645.796377314815</v>
      </c>
      <c r="J131" s="7">
        <v>0</v>
      </c>
      <c r="K131" s="117" t="str">
        <f t="shared" si="51"/>
        <v>4013/4014</v>
      </c>
      <c r="L131" s="24" t="str">
        <f>VLOOKUP(A131,'Trips&amp;Operators'!$C$1:$E$10000,3,FALSE)</f>
        <v>CHANDLER</v>
      </c>
      <c r="M131" s="6">
        <f t="shared" si="52"/>
        <v>2.5173611109494232E-2</v>
      </c>
      <c r="N131" s="7">
        <f t="shared" si="53"/>
        <v>36.249999997671694</v>
      </c>
      <c r="O131" s="7"/>
      <c r="P131" s="7"/>
      <c r="Q131" s="25"/>
      <c r="R131" s="25"/>
      <c r="S131" s="37">
        <f t="shared" si="54"/>
        <v>1</v>
      </c>
      <c r="T131" s="52" t="str">
        <f t="shared" si="55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17:28:47-0600',mode:absolute,to:'2016-10-02 20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1" s="54" t="str">
        <f t="shared" si="57"/>
        <v>N</v>
      </c>
      <c r="X131" s="164">
        <f t="shared" si="58"/>
        <v>1</v>
      </c>
      <c r="Y131" s="69">
        <f t="shared" si="59"/>
        <v>4.5999999999999999E-2</v>
      </c>
      <c r="Z131" s="69">
        <f t="shared" si="60"/>
        <v>23.328900000000001</v>
      </c>
      <c r="AA131" s="69">
        <f t="shared" si="61"/>
        <v>23.282900000000001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62"/>
        <v>0219-02</v>
      </c>
      <c r="AE131" s="95" t="str">
        <f t="shared" si="63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31" s="92" t="str">
        <f t="shared" si="64"/>
        <v>"C:\Program Files (x86)\AstroGrep\AstroGrep.exe" /spath="%USERPROFILE%\AppData\Local\Temp\OnboardLogs" /stypes="app*4014*20161003*" /stext=" 01:.+((SYSTEM_STATE.+slice.+state.+changed )|(ment ac)|(system.+state.+changed )|(\[timeout)|(PRM\|1\|D)|(kpr)|(kdp)|(\|lc)|(penalty))" /e /r /s</v>
      </c>
      <c r="AG131" s="1" t="str">
        <f t="shared" si="65"/>
        <v>EC</v>
      </c>
      <c r="AH131" s="96" t="str">
        <f t="shared" si="49"/>
        <v>"%USERPROFILE%\Documents\GitHub\eaglep3\Utilities\RefineRTDCRunTimes.py" --tripid 219-02 --locoid 4014 --swversion DE.1.0.7.0 --startMP 204:460 --initTime 2016-10-02T18:28:47 --startdatetime 2016-10-02T18:30:32 --delay 1 --endMP 204:233289 --enddatetime 2016-10-02T19:06:47 --enforcementcount 0 &gt;&gt;C:\Users\stu\Documents\GitHub\eaglep3-reporting\EC\2016-10-02-refined-times.txt</v>
      </c>
      <c r="AI13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ID","value":"219-02"},{"id":16,"name":"Locomotive ID","value":"4014"},{"id":130,"name":"Impact","value":""},{"id":150,"name":"Time of Event (Mountain Time)","value":"19:06:47"},{"id":151,"name":"Denver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654</v>
      </c>
      <c r="B132" s="7">
        <v>4013</v>
      </c>
      <c r="C132" s="24" t="s">
        <v>106</v>
      </c>
      <c r="D132" s="24" t="s">
        <v>655</v>
      </c>
      <c r="E132" s="15">
        <v>42645.808865740742</v>
      </c>
      <c r="F132" s="15">
        <v>42645.81009259259</v>
      </c>
      <c r="G132" s="7">
        <v>1</v>
      </c>
      <c r="H132" s="15" t="s">
        <v>489</v>
      </c>
      <c r="I132" s="15">
        <v>42645.837129629632</v>
      </c>
      <c r="J132" s="7">
        <v>0</v>
      </c>
      <c r="K132" s="117" t="str">
        <f t="shared" si="51"/>
        <v>4013/4014</v>
      </c>
      <c r="L132" s="24" t="str">
        <f>VLOOKUP(A132,'Trips&amp;Operators'!$C$1:$E$10000,3,FALSE)</f>
        <v>CHANDLER</v>
      </c>
      <c r="M132" s="6">
        <f t="shared" si="52"/>
        <v>2.7037037041736767E-2</v>
      </c>
      <c r="N132" s="7">
        <f t="shared" si="53"/>
        <v>38.933333340100944</v>
      </c>
      <c r="O132" s="7"/>
      <c r="P132" s="7"/>
      <c r="Q132" s="25"/>
      <c r="R132" s="25"/>
      <c r="S132" s="37">
        <f t="shared" si="54"/>
        <v>1</v>
      </c>
      <c r="T132" s="52" t="str">
        <f t="shared" si="55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18:24:46-0600',mode:absolute,to:'2016-10-02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2" s="54" t="str">
        <f t="shared" si="57"/>
        <v>N</v>
      </c>
      <c r="X132" s="164">
        <f t="shared" si="58"/>
        <v>1</v>
      </c>
      <c r="Y132" s="69">
        <f t="shared" si="59"/>
        <v>23.297499999999999</v>
      </c>
      <c r="Z132" s="69">
        <f t="shared" si="60"/>
        <v>1.78E-2</v>
      </c>
      <c r="AA132" s="69">
        <f t="shared" si="61"/>
        <v>23.279699999999998</v>
      </c>
      <c r="AB132" s="66" t="str">
        <f>VLOOKUP(A132,Enforcements!$C$7:$K$21,8,0)</f>
        <v>Form based authority (4)</v>
      </c>
      <c r="AC132" s="62" t="str">
        <f>VLOOKUP(A132,Enforcements!$C$7:$E$21,3,0)</f>
        <v>TRACK WARRANT AUTHORITY</v>
      </c>
      <c r="AD132" s="63" t="str">
        <f t="shared" si="62"/>
        <v>0220-02</v>
      </c>
      <c r="AE132" s="95" t="str">
        <f t="shared" si="63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132" s="92" t="str">
        <f t="shared" si="64"/>
        <v>"C:\Program Files (x86)\AstroGrep\AstroGrep.exe" /spath="%USERPROFILE%\AppData\Local\Temp\OnboardLogs" /stypes="app*4013*20161003*" /stext=" 02:.+((SYSTEM_STATE.+slice.+state.+changed )|(ment ac)|(system.+state.+changed )|(\[timeout)|(PRM\|1\|D)|(kpr)|(kdp)|(\|lc)|(penalty))" /e /r /s</v>
      </c>
      <c r="AG132" s="1" t="str">
        <f t="shared" si="65"/>
        <v>EC</v>
      </c>
      <c r="AH132" s="96" t="str">
        <f t="shared" si="49"/>
        <v>"%USERPROFILE%\Documents\GitHub\eaglep3\Utilities\RefineRTDCRunTimes.py" --tripid 220-02 --locoid 4013 --swversion DE.1.0.7.0 --startMP 204:232975 --initTime 2016-10-02T19:24:46 --startdatetime 2016-10-02T19:26:32 --delay 1 --endMP 204:178 --enddatetime 2016-10-02T20:05:28 --enforcementcount 0 &gt;&gt;C:\Users\stu\Documents\GitHub\eaglep3-reporting\EC\2016-10-02-refined-times.txt</v>
      </c>
      <c r="AI132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{"issue":{"subject":"","project_id":79,"tracker_id":40,"status_id":1,"priority_id":2,"assigned_to_id":23,"start_date":"2016-10-02","description":"","custom_fields":[{"id":1,"name":"Subdivision","value":"EC"},{"id":4,"name":"Milepost","value":"0.0178"},{"id":17,"name":"Train ID","value":"220-02"},{"id":16,"name":"Locomotive ID","value":"4013"},{"id":130,"name":"Impact","value":""},{"id":150,"name":"Time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656</v>
      </c>
      <c r="B133" s="7">
        <v>4007</v>
      </c>
      <c r="C133" s="24" t="s">
        <v>106</v>
      </c>
      <c r="D133" s="24" t="s">
        <v>275</v>
      </c>
      <c r="E133" s="15">
        <v>42645.786481481482</v>
      </c>
      <c r="F133" s="15">
        <v>42645.79184027778</v>
      </c>
      <c r="G133" s="7">
        <v>1</v>
      </c>
      <c r="H133" s="15" t="s">
        <v>303</v>
      </c>
      <c r="I133" s="15">
        <v>42645.817002314812</v>
      </c>
      <c r="J133" s="7">
        <v>0</v>
      </c>
      <c r="K133" s="117" t="str">
        <f t="shared" si="51"/>
        <v>4007/4008</v>
      </c>
      <c r="L133" s="24" t="str">
        <f>VLOOKUP(A133,'Trips&amp;Operators'!$C$1:$E$10000,3,FALSE)</f>
        <v>LEVERE</v>
      </c>
      <c r="M133" s="6">
        <f t="shared" si="52"/>
        <v>2.5162037032714579E-2</v>
      </c>
      <c r="N133" s="7">
        <f t="shared" si="53"/>
        <v>36.233333327108994</v>
      </c>
      <c r="O133" s="7"/>
      <c r="P133" s="7"/>
      <c r="Q133" s="25"/>
      <c r="R133" s="25"/>
      <c r="S133" s="37">
        <f t="shared" si="54"/>
        <v>1</v>
      </c>
      <c r="T133" s="52" t="str">
        <f t="shared" si="55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17:52:32-0600',mode:absolute,to:'2016-10-02 20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33" s="54" t="str">
        <f t="shared" si="57"/>
        <v>N</v>
      </c>
      <c r="X133" s="164">
        <f t="shared" si="58"/>
        <v>1</v>
      </c>
      <c r="Y133" s="69">
        <f t="shared" si="59"/>
        <v>4.7699999999999999E-2</v>
      </c>
      <c r="Z133" s="69">
        <f t="shared" si="60"/>
        <v>23.3306</v>
      </c>
      <c r="AA133" s="69">
        <f t="shared" si="61"/>
        <v>23.282900000000001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62"/>
        <v>0221-02</v>
      </c>
      <c r="AE133" s="95" t="str">
        <f t="shared" si="63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133" s="92" t="str">
        <f t="shared" si="64"/>
        <v>"C:\Program Files (x86)\AstroGrep\AstroGrep.exe" /spath="%USERPROFILE%\AppData\Local\Temp\OnboardLogs" /stypes="app*4007*20161003*" /stext=" 01:.+((SYSTEM_STATE.+slice.+state.+changed )|(ment ac)|(system.+state.+changed )|(\[timeout)|(PRM\|1\|D)|(kpr)|(kdp)|(\|lc)|(penalty))" /e /r /s</v>
      </c>
      <c r="AG133" s="1" t="str">
        <f t="shared" si="65"/>
        <v>EC</v>
      </c>
      <c r="AH133" s="96" t="str">
        <f t="shared" si="49"/>
        <v>"%USERPROFILE%\Documents\GitHub\eaglep3\Utilities\RefineRTDCRunTimes.py" --tripid 221-02 --locoid 4007 --swversion DE.1.0.7.0 --startMP 204:477 --initTime 2016-10-02T18:52:32 --startdatetime 2016-10-02T19:00:15 --delay 1 --endMP 204:233306 --enddatetime 2016-10-02T19:36:29 --enforcementcount 0 &gt;&gt;C:\Users\stu\Documents\GitHub\eaglep3-reporting\EC\2016-10-02-refined-times.txt</v>
      </c>
      <c r="AI133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{"issue":{"subject":"","project_id":79,"tracker_id":40,"status_id":1,"priority_id":2,"assigned_to_id":23,"start_date":"2016-10-02","description":"","custom_fields":[{"id":1,"name":"Subdivision","value":"EC"},{"id":4,"name":"Milepost","value":"23.3306"},{"id":17,"name":"Train ID","value":"221-02"},{"id":16,"name":"Locomotive ID","value":"4007"},{"id":130,"name":"Impact","value":""},{"id":150,"name":"Time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657</v>
      </c>
      <c r="B134" s="7">
        <v>4008</v>
      </c>
      <c r="C134" s="24" t="s">
        <v>106</v>
      </c>
      <c r="D134" s="24" t="s">
        <v>293</v>
      </c>
      <c r="E134" s="15">
        <v>42645.821597222224</v>
      </c>
      <c r="F134" s="15">
        <v>42645.830833333333</v>
      </c>
      <c r="G134" s="7">
        <v>1</v>
      </c>
      <c r="H134" s="15" t="s">
        <v>235</v>
      </c>
      <c r="I134" s="15">
        <v>42645.857858796298</v>
      </c>
      <c r="J134" s="7">
        <v>0</v>
      </c>
      <c r="K134" s="117" t="str">
        <f t="shared" si="51"/>
        <v>4007/4008</v>
      </c>
      <c r="L134" s="24" t="str">
        <f>VLOOKUP(A134,'Trips&amp;Operators'!$C$1:$E$10000,3,FALSE)</f>
        <v>LEVERE</v>
      </c>
      <c r="M134" s="6">
        <f t="shared" si="52"/>
        <v>2.7025462964957114E-2</v>
      </c>
      <c r="N134" s="7">
        <f t="shared" si="53"/>
        <v>38.916666669538245</v>
      </c>
      <c r="O134" s="7"/>
      <c r="P134" s="7"/>
      <c r="Q134" s="25"/>
      <c r="R134" s="25"/>
      <c r="S134" s="37">
        <f t="shared" si="54"/>
        <v>1</v>
      </c>
      <c r="T134" s="52" t="str">
        <f t="shared" si="55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18:43:06-0600',mode:absolute,to:'2016-10-02 21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34" s="54" t="str">
        <f t="shared" si="57"/>
        <v>N</v>
      </c>
      <c r="X134" s="164">
        <f t="shared" si="58"/>
        <v>1</v>
      </c>
      <c r="Y134" s="69">
        <f t="shared" si="59"/>
        <v>23.299600000000002</v>
      </c>
      <c r="Z134" s="69">
        <f t="shared" si="60"/>
        <v>1.43E-2</v>
      </c>
      <c r="AA134" s="69">
        <f t="shared" si="61"/>
        <v>23.285300000000003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62"/>
        <v>0222-02</v>
      </c>
      <c r="AE134" s="95" t="str">
        <f t="shared" si="63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134" s="92" t="str">
        <f t="shared" si="64"/>
        <v>"C:\Program Files (x86)\AstroGrep\AstroGrep.exe" /spath="%USERPROFILE%\AppData\Local\Temp\OnboardLogs" /stypes="app*4008*20161003*" /stext=" 02:.+((SYSTEM_STATE.+slice.+state.+changed )|(ment ac)|(system.+state.+changed )|(\[timeout)|(PRM\|1\|D)|(kpr)|(kdp)|(\|lc)|(penalty))" /e /r /s</v>
      </c>
      <c r="AG134" s="1" t="str">
        <f t="shared" si="65"/>
        <v>EC</v>
      </c>
      <c r="AH134" s="96" t="str">
        <f t="shared" si="49"/>
        <v>"%USERPROFILE%\Documents\GitHub\eaglep3\Utilities\RefineRTDCRunTimes.py" --tripid 222-02 --locoid 4008 --swversion DE.1.0.7.0 --startMP 204:232996 --initTime 2016-10-02T19:43:06 --startdatetime 2016-10-02T19:56:24 --delay 1 --endMP 204:143 --enddatetime 2016-10-02T20:35:19 --enforcementcount 0 &gt;&gt;C:\Users\stu\Documents\GitHub\eaglep3-reporting\EC\2016-10-02-refined-times.txt</v>
      </c>
      <c r="AI134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{"issue":{"subject":"","project_id":79,"tracker_id":40,"status_id":1,"priority_id":2,"assigned_to_id":23,"start_date":"2016-10-02","description":"","custom_fields":[{"id":1,"name":"Subdivision","value":"EC"},{"id":4,"name":"Milepost","value":"0.0143"},{"id":17,"name":"Train ID","value":"222-02"},{"id":16,"name":"Locomotive ID","value":"4008"},{"id":130,"name":"Impact","value":""},{"id":150,"name":"Time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658</v>
      </c>
      <c r="B135" s="7">
        <v>4042</v>
      </c>
      <c r="C135" s="24" t="s">
        <v>106</v>
      </c>
      <c r="D135" s="24" t="s">
        <v>208</v>
      </c>
      <c r="E135" s="15">
        <v>42645.807337962964</v>
      </c>
      <c r="F135" s="15">
        <v>42645.812743055554</v>
      </c>
      <c r="G135" s="7">
        <v>1</v>
      </c>
      <c r="H135" s="15" t="s">
        <v>452</v>
      </c>
      <c r="I135" s="15">
        <v>42645.837280092594</v>
      </c>
      <c r="J135" s="7">
        <v>0</v>
      </c>
      <c r="K135" s="117" t="str">
        <f t="shared" si="51"/>
        <v>4041/4042</v>
      </c>
      <c r="L135" s="24" t="str">
        <f>VLOOKUP(A135,'Trips&amp;Operators'!$C$1:$E$10000,3,FALSE)</f>
        <v>COOLAHAN</v>
      </c>
      <c r="M135" s="6">
        <f t="shared" si="52"/>
        <v>2.453703703940846E-2</v>
      </c>
      <c r="N135" s="7">
        <f t="shared" si="53"/>
        <v>35.333333336748183</v>
      </c>
      <c r="O135" s="7"/>
      <c r="P135" s="7"/>
      <c r="Q135" s="25"/>
      <c r="R135" s="25"/>
      <c r="S135" s="37">
        <f t="shared" si="54"/>
        <v>1</v>
      </c>
      <c r="T135" s="52" t="str">
        <f t="shared" si="55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18:22:34-0600',mode:absolute,to:'2016-10-02 21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5" s="54" t="str">
        <f t="shared" si="57"/>
        <v>N</v>
      </c>
      <c r="X135" s="164">
        <f t="shared" si="58"/>
        <v>1</v>
      </c>
      <c r="Y135" s="69">
        <f t="shared" si="59"/>
        <v>4.5699999999999998E-2</v>
      </c>
      <c r="Z135" s="69">
        <f t="shared" si="60"/>
        <v>23.328299999999999</v>
      </c>
      <c r="AA135" s="69">
        <f t="shared" si="61"/>
        <v>23.282599999999999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62"/>
        <v>0223-02</v>
      </c>
      <c r="AE135" s="95" t="str">
        <f t="shared" si="63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35" s="92" t="str">
        <f t="shared" si="64"/>
        <v>"C:\Program Files (x86)\AstroGrep\AstroGrep.exe" /spath="%USERPROFILE%\AppData\Local\Temp\OnboardLogs" /stypes="app*4042*20161003*" /stext=" 02:.+((SYSTEM_STATE.+slice.+state.+changed )|(ment ac)|(system.+state.+changed )|(\[timeout)|(PRM\|1\|D)|(kpr)|(kdp)|(\|lc)|(penalty))" /e /r /s</v>
      </c>
      <c r="AG135" s="1" t="str">
        <f t="shared" si="65"/>
        <v>EC</v>
      </c>
      <c r="AH135" s="96" t="str">
        <f t="shared" si="49"/>
        <v>"%USERPROFILE%\Documents\GitHub\eaglep3\Utilities\RefineRTDCRunTimes.py" --tripid 223-02 --locoid 4042 --swversion DE.1.0.7.0 --startMP 204:457 --initTime 2016-10-02T19:22:34 --startdatetime 2016-10-02T19:30:21 --delay 1 --endMP 204:233283 --enddatetime 2016-10-02T20:05:41 --enforcementcount 0 &gt;&gt;C:\Users\stu\Documents\GitHub\eaglep3-reporting\EC\2016-10-02-refined-times.txt</v>
      </c>
      <c r="AI135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{"issue":{"subject":"","project_id":79,"tracker_id":40,"status_id":1,"priority_id":2,"assigned_to_id":23,"start_date":"2016-10-02","description":"","custom_fields":[{"id":1,"name":"Subdivision","value":"EC"},{"id":4,"name":"Milepost","value":"23.3283"},{"id":17,"name":"Train ID","value":"223-02"},{"id":16,"name":"Locomotive ID","value":"4042"},{"id":130,"name":"Impact","value":""},{"id":150,"name":"Time of Event (Mountain Time)","value":"20:05:41"},{"id":151,"name":"Denver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659</v>
      </c>
      <c r="B136" s="7">
        <v>4041</v>
      </c>
      <c r="C136" s="24" t="s">
        <v>106</v>
      </c>
      <c r="D136" s="24" t="s">
        <v>301</v>
      </c>
      <c r="E136" s="15">
        <v>42645.845648148148</v>
      </c>
      <c r="F136" s="15">
        <v>42645.851678240739</v>
      </c>
      <c r="G136" s="7">
        <v>1</v>
      </c>
      <c r="H136" s="15" t="s">
        <v>298</v>
      </c>
      <c r="I136" s="15">
        <v>42645.877164351848</v>
      </c>
      <c r="J136" s="7">
        <v>0</v>
      </c>
      <c r="K136" s="117" t="str">
        <f t="shared" si="51"/>
        <v>4041/4042</v>
      </c>
      <c r="L136" s="24" t="str">
        <f>VLOOKUP(A136,'Trips&amp;Operators'!$C$1:$E$10000,3,FALSE)</f>
        <v>COOLAHAN</v>
      </c>
      <c r="M136" s="6">
        <f t="shared" si="52"/>
        <v>2.548611110978527E-2</v>
      </c>
      <c r="N136" s="7">
        <f t="shared" si="53"/>
        <v>36.699999998090789</v>
      </c>
      <c r="O136" s="7"/>
      <c r="P136" s="7"/>
      <c r="Q136" s="25"/>
      <c r="R136" s="25"/>
      <c r="S136" s="37">
        <f t="shared" si="54"/>
        <v>1</v>
      </c>
      <c r="T136" s="52" t="str">
        <f t="shared" si="55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19:17:44-0600',mode:absolute,to:'2016-10-02 22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6" s="54" t="str">
        <f t="shared" si="57"/>
        <v>N</v>
      </c>
      <c r="X136" s="164">
        <f t="shared" si="58"/>
        <v>1</v>
      </c>
      <c r="Y136" s="69">
        <f t="shared" si="59"/>
        <v>23.301100000000002</v>
      </c>
      <c r="Z136" s="69">
        <f t="shared" si="60"/>
        <v>1.3599999999999999E-2</v>
      </c>
      <c r="AA136" s="69">
        <f t="shared" si="61"/>
        <v>23.287500000000001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62"/>
        <v>0224-02</v>
      </c>
      <c r="AE136" s="95" t="str">
        <f t="shared" si="63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136" s="92" t="str">
        <f t="shared" si="64"/>
        <v>"C:\Program Files (x86)\AstroGrep\AstroGrep.exe" /spath="%USERPROFILE%\AppData\Local\Temp\OnboardLogs" /stypes="app*4041*20161003*" /stext=" 03:.+((SYSTEM_STATE.+slice.+state.+changed )|(ment ac)|(system.+state.+changed )|(\[timeout)|(PRM\|1\|D)|(kpr)|(kdp)|(\|lc)|(penalty))" /e /r /s</v>
      </c>
      <c r="AG136" s="1" t="str">
        <f t="shared" si="65"/>
        <v>EC</v>
      </c>
      <c r="AH136" s="96" t="str">
        <f t="shared" si="49"/>
        <v>"%USERPROFILE%\Documents\GitHub\eaglep3\Utilities\RefineRTDCRunTimes.py" --tripid 224-02 --locoid 4041 --swversion DE.1.0.7.0 --startMP 204:233011 --initTime 2016-10-02T20:17:44 --startdatetime 2016-10-02T20:26:25 --delay 1 --endMP 204:136 --enddatetime 2016-10-02T21:03:07 --enforcementcount 0 &gt;&gt;C:\Users\stu\Documents\GitHub\eaglep3-reporting\EC\2016-10-02-refined-times.txt</v>
      </c>
      <c r="AI136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{"issue":{"subject":"","project_id":79,"tracker_id":40,"status_id":1,"priority_id":2,"assigned_to_id":23,"start_date":"2016-10-02","description":"","custom_fields":[{"id":1,"name":"Subdivision","value":"EC"},{"id":4,"name":"Milepost","value":"0.0136"},{"id":17,"name":"Train ID","value":"224-02"},{"id":16,"name":"Locomotive ID","value":"4041"},{"id":130,"name":"Impact","value":""},{"id":150,"name":"Time of Event (Mountain Time)","value":"21:03:07"},{"id":151,"name":"Denver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660</v>
      </c>
      <c r="B137" s="7">
        <v>4053</v>
      </c>
      <c r="C137" s="24" t="s">
        <v>106</v>
      </c>
      <c r="D137" s="24" t="s">
        <v>367</v>
      </c>
      <c r="E137" s="15">
        <v>42645.829571759263</v>
      </c>
      <c r="F137" s="15">
        <v>42645.833483796298</v>
      </c>
      <c r="G137" s="7">
        <v>1</v>
      </c>
      <c r="H137" s="15" t="s">
        <v>446</v>
      </c>
      <c r="I137" s="15">
        <v>42645.857800925929</v>
      </c>
      <c r="J137" s="7">
        <v>0</v>
      </c>
      <c r="K137" s="117" t="str">
        <f t="shared" si="51"/>
        <v>4053/4054</v>
      </c>
      <c r="L137" s="24" t="str">
        <f>VLOOKUP(A137,'Trips&amp;Operators'!$C$1:$E$10000,3,FALSE)</f>
        <v>NEWELL</v>
      </c>
      <c r="M137" s="6">
        <f t="shared" si="52"/>
        <v>2.4317129631526768E-2</v>
      </c>
      <c r="N137" s="7">
        <f t="shared" si="53"/>
        <v>35.016666669398546</v>
      </c>
      <c r="O137" s="7"/>
      <c r="P137" s="7"/>
      <c r="Q137" s="25"/>
      <c r="R137" s="25"/>
      <c r="S137" s="37">
        <f t="shared" si="54"/>
        <v>1</v>
      </c>
      <c r="T137" s="52" t="str">
        <f t="shared" si="55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18:54:35-0600',mode:absolute,to:'2016-10-02 21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7" s="54" t="str">
        <f t="shared" si="57"/>
        <v>N</v>
      </c>
      <c r="X137" s="164">
        <f t="shared" si="58"/>
        <v>1</v>
      </c>
      <c r="Y137" s="69">
        <f t="shared" si="59"/>
        <v>4.4699999999999997E-2</v>
      </c>
      <c r="Z137" s="69">
        <f t="shared" si="60"/>
        <v>23.330400000000001</v>
      </c>
      <c r="AA137" s="69">
        <f t="shared" si="61"/>
        <v>23.285700000000002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62"/>
        <v>0225-02</v>
      </c>
      <c r="AE137" s="95" t="str">
        <f t="shared" si="63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37" s="92" t="str">
        <f t="shared" si="64"/>
        <v>"C:\Program Files (x86)\AstroGrep\AstroGrep.exe" /spath="%USERPROFILE%\AppData\Local\Temp\OnboardLogs" /stypes="app*4053*20161003*" /stext=" 02:.+((SYSTEM_STATE.+slice.+state.+changed )|(ment ac)|(system.+state.+changed )|(\[timeout)|(PRM\|1\|D)|(kpr)|(kdp)|(\|lc)|(penalty))" /e /r /s</v>
      </c>
      <c r="AG137" s="1" t="str">
        <f t="shared" si="65"/>
        <v>EC</v>
      </c>
      <c r="AH137" s="96" t="str">
        <f t="shared" si="49"/>
        <v>"%USERPROFILE%\Documents\GitHub\eaglep3\Utilities\RefineRTDCRunTimes.py" --tripid 225-02 --locoid 4053 --swversion DE.1.0.7.0 --startMP 204:447 --initTime 2016-10-02T19:54:35 --startdatetime 2016-10-02T20:00:13 --delay 1 --endMP 204:233304 --enddatetime 2016-10-02T20:35:14 --enforcementcount 0 &gt;&gt;C:\Users\stu\Documents\GitHub\eaglep3-reporting\EC\2016-10-02-refined-times.txt</v>
      </c>
      <c r="AI137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{"issue":{"subject":"","project_id":79,"tracker_id":40,"status_id":1,"priority_id":2,"assigned_to_id":23,"start_date":"2016-10-02","description":"","custom_fields":[{"id":1,"name":"Subdivision","value":"EC"},{"id":4,"name":"Milepost","value":"23.3304"},{"id":17,"name":"Train ID","value":"225-02"},{"id":16,"name":"Locomotive ID","value":"4053"},{"id":130,"name":"Impact","value":""},{"id":150,"name":"Time of Event (Mountain Time)","value":"20:35:14"},{"id":151,"name":"Denver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661</v>
      </c>
      <c r="B138" s="7">
        <v>4054</v>
      </c>
      <c r="C138" s="24" t="s">
        <v>106</v>
      </c>
      <c r="D138" s="24" t="s">
        <v>300</v>
      </c>
      <c r="E138" s="15">
        <v>42645.859826388885</v>
      </c>
      <c r="F138" s="15">
        <v>42645.872650462959</v>
      </c>
      <c r="G138" s="7">
        <v>1</v>
      </c>
      <c r="H138" s="15" t="s">
        <v>223</v>
      </c>
      <c r="I138" s="15">
        <v>42645.900995370372</v>
      </c>
      <c r="J138" s="7">
        <v>0</v>
      </c>
      <c r="K138" s="117" t="str">
        <f t="shared" si="51"/>
        <v>4053/4054</v>
      </c>
      <c r="L138" s="24" t="str">
        <f>VLOOKUP(A138,'Trips&amp;Operators'!$C$1:$E$10000,3,FALSE)</f>
        <v>NEWELL</v>
      </c>
      <c r="M138" s="6">
        <f t="shared" si="52"/>
        <v>2.8344907412247267E-2</v>
      </c>
      <c r="N138" s="7">
        <f t="shared" si="53"/>
        <v>40.816666673636064</v>
      </c>
      <c r="O138" s="7"/>
      <c r="P138" s="7"/>
      <c r="Q138" s="25"/>
      <c r="R138" s="25"/>
      <c r="S138" s="37">
        <f t="shared" si="54"/>
        <v>1</v>
      </c>
      <c r="T138" s="52" t="str">
        <f t="shared" si="55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19:38:09-0600',mode:absolute,to:'2016-10-02 22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8" s="54" t="str">
        <f t="shared" si="57"/>
        <v>N</v>
      </c>
      <c r="X138" s="164">
        <f t="shared" si="58"/>
        <v>1</v>
      </c>
      <c r="Y138" s="69">
        <f t="shared" si="59"/>
        <v>23.3004</v>
      </c>
      <c r="Z138" s="69">
        <f t="shared" si="60"/>
        <v>1.4500000000000001E-2</v>
      </c>
      <c r="AA138" s="69">
        <f t="shared" si="61"/>
        <v>23.285899999999998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62"/>
        <v>0226-02</v>
      </c>
      <c r="AE138" s="95" t="str">
        <f t="shared" si="63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138" s="92" t="str">
        <f t="shared" si="64"/>
        <v>"C:\Program Files (x86)\AstroGrep\AstroGrep.exe" /spath="%USERPROFILE%\AppData\Local\Temp\OnboardLogs" /stypes="app*4054*20161003*" /stext=" 03:.+((SYSTEM_STATE.+slice.+state.+changed )|(ment ac)|(system.+state.+changed )|(\[timeout)|(PRM\|1\|D)|(kpr)|(kdp)|(\|lc)|(penalty))" /e /r /s</v>
      </c>
      <c r="AG138" s="1" t="str">
        <f t="shared" si="65"/>
        <v>EC</v>
      </c>
      <c r="AH138" s="96" t="str">
        <f t="shared" si="49"/>
        <v>"%USERPROFILE%\Documents\GitHub\eaglep3\Utilities\RefineRTDCRunTimes.py" --tripid 226-02 --locoid 4054 --swversion DE.1.0.7.0 --startMP 204:233004 --initTime 2016-10-02T20:38:09 --startdatetime 2016-10-02T20:56:37 --delay 1 --endMP 204:145 --enddatetime 2016-10-02T21:37:26 --enforcementcount 0 &gt;&gt;C:\Users\stu\Documents\GitHub\eaglep3-reporting\EC\2016-10-02-refined-times.txt</v>
      </c>
      <c r="AI138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{"issue":{"subject":"","project_id":79,"tracker_id":40,"status_id":1,"priority_id":2,"assigned_to_id":23,"start_date":"2016-10-02","description":"","custom_fields":[{"id":1,"name":"Subdivision","value":"EC"},{"id":4,"name":"Milepost","value":"0.0145"},{"id":17,"name":"Train ID","value":"226-02"},{"id":16,"name":"Locomotive ID","value":"4054"},{"id":130,"name":"Impact","value":""},{"id":150,"name":"Time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662</v>
      </c>
      <c r="B139" s="7">
        <v>4014</v>
      </c>
      <c r="C139" s="24" t="s">
        <v>106</v>
      </c>
      <c r="D139" s="24" t="s">
        <v>663</v>
      </c>
      <c r="E139" s="15">
        <v>42645.853402777779</v>
      </c>
      <c r="F139" s="15">
        <v>42645.854618055557</v>
      </c>
      <c r="G139" s="7">
        <v>1</v>
      </c>
      <c r="H139" s="15" t="s">
        <v>377</v>
      </c>
      <c r="I139" s="15">
        <v>42645.880532407406</v>
      </c>
      <c r="J139" s="7">
        <v>0</v>
      </c>
      <c r="K139" s="117" t="str">
        <f t="shared" si="51"/>
        <v>4013/4014</v>
      </c>
      <c r="L139" s="24" t="str">
        <f>VLOOKUP(A139,'Trips&amp;Operators'!$C$1:$E$10000,3,FALSE)</f>
        <v>CHANDLER</v>
      </c>
      <c r="M139" s="6">
        <f t="shared" si="52"/>
        <v>2.5914351848769002E-2</v>
      </c>
      <c r="N139" s="7">
        <f t="shared" si="53"/>
        <v>37.316666662227362</v>
      </c>
      <c r="O139" s="7"/>
      <c r="P139" s="7"/>
      <c r="Q139" s="25"/>
      <c r="R139" s="25"/>
      <c r="S139" s="37">
        <f t="shared" si="54"/>
        <v>1</v>
      </c>
      <c r="T139" s="52" t="str">
        <f t="shared" si="55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19:28:54-0600',mode:absolute,to:'2016-10-02 22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57"/>
        <v>N</v>
      </c>
      <c r="X139" s="164">
        <f t="shared" si="58"/>
        <v>1</v>
      </c>
      <c r="Y139" s="69">
        <f t="shared" si="59"/>
        <v>5.04E-2</v>
      </c>
      <c r="Z139" s="69">
        <f t="shared" si="60"/>
        <v>23.328700000000001</v>
      </c>
      <c r="AA139" s="69">
        <f t="shared" si="61"/>
        <v>23.278300000000002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62"/>
        <v>0227-02</v>
      </c>
      <c r="AE139" s="95" t="str">
        <f t="shared" si="63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39" s="92" t="str">
        <f t="shared" si="64"/>
        <v>"C:\Program Files (x86)\AstroGrep\AstroGrep.exe" /spath="%USERPROFILE%\AppData\Local\Temp\OnboardLogs" /stypes="app*4014*20161003*" /stext=" 03:.+((SYSTEM_STATE.+slice.+state.+changed )|(ment ac)|(system.+state.+changed )|(\[timeout)|(PRM\|1\|D)|(kpr)|(kdp)|(\|lc)|(penalty))" /e /r /s</v>
      </c>
      <c r="AG139" s="1" t="str">
        <f t="shared" si="65"/>
        <v>EC</v>
      </c>
      <c r="AH139" s="96" t="str">
        <f t="shared" si="49"/>
        <v>"%USERPROFILE%\Documents\GitHub\eaglep3\Utilities\RefineRTDCRunTimes.py" --tripid 227-02 --locoid 4014 --swversion DE.1.0.7.0 --startMP 204:504 --initTime 2016-10-02T20:28:54 --startdatetime 2016-10-02T20:30:39 --delay 1 --endMP 204:233287 --enddatetime 2016-10-02T21:07:58 --enforcementcount 0 &gt;&gt;C:\Users\stu\Documents\GitHub\eaglep3-reporting\EC\2016-10-02-refined-times.txt</v>
      </c>
      <c r="AI139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{"issue":{"subject":"","project_id":79,"tracker_id":40,"status_id":1,"priority_id":2,"assigned_to_id":23,"start_date":"2016-10-02","description":"","custom_fields":[{"id":1,"name":"Subdivision","value":"EC"},{"id":4,"name":"Milepost","value":"23.3287"},{"id":17,"name":"Train ID","value":"227-02"},{"id":16,"name":"Locomotive ID","value":"4014"},{"id":130,"name":"Impact","value":""},{"id":150,"name":"Time of Event (Mountain Time)","value":"21:07:58"},{"id":151,"name":"Denver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664</v>
      </c>
      <c r="B140" s="7">
        <v>4013</v>
      </c>
      <c r="C140" s="24" t="s">
        <v>106</v>
      </c>
      <c r="D140" s="24" t="s">
        <v>248</v>
      </c>
      <c r="E140" s="15">
        <v>42645.891481481478</v>
      </c>
      <c r="F140" s="15">
        <v>42645.893680555557</v>
      </c>
      <c r="G140" s="7">
        <v>1</v>
      </c>
      <c r="H140" s="15" t="s">
        <v>359</v>
      </c>
      <c r="I140" s="15">
        <v>42645.922372685185</v>
      </c>
      <c r="J140" s="7">
        <v>0</v>
      </c>
      <c r="K140" s="117" t="str">
        <f t="shared" si="51"/>
        <v>4013/4014</v>
      </c>
      <c r="L140" s="24" t="str">
        <f>VLOOKUP(A140,'Trips&amp;Operators'!$C$1:$E$10000,3,FALSE)</f>
        <v>CHANDLER</v>
      </c>
      <c r="M140" s="6">
        <f t="shared" si="52"/>
        <v>2.8692129628325347E-2</v>
      </c>
      <c r="N140" s="7">
        <f t="shared" si="53"/>
        <v>41.316666664788499</v>
      </c>
      <c r="O140" s="7"/>
      <c r="P140" s="7"/>
      <c r="Q140" s="25"/>
      <c r="R140" s="25"/>
      <c r="S140" s="37">
        <f t="shared" si="54"/>
        <v>1</v>
      </c>
      <c r="T140" s="52" t="str">
        <f t="shared" si="55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https://search-rtdc-monitor-bjffxe2xuh6vdkpspy63sjmuny.us-east-1.es.amazonaws.com/_plugin/kibana/#/discover/Steve-Slow-Train-Analysis-(2080s-and-2083s)?_g=(refreshInterval:(display:Off,section:0,value:0),time:(from:'2016-10-02 20:23:44-0600',mode:absolute,to:'2016-10-02 23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57"/>
        <v>N</v>
      </c>
      <c r="X140" s="164">
        <f t="shared" si="58"/>
        <v>1</v>
      </c>
      <c r="Y140" s="69">
        <f t="shared" si="59"/>
        <v>23.298100000000002</v>
      </c>
      <c r="Z140" s="69">
        <f t="shared" si="60"/>
        <v>1.72E-2</v>
      </c>
      <c r="AA140" s="69">
        <f t="shared" si="61"/>
        <v>23.280900000000003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62"/>
        <v>0228-02</v>
      </c>
      <c r="AE140" s="95" t="str">
        <f t="shared" si="63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140" s="92" t="str">
        <f t="shared" si="64"/>
        <v>"C:\Program Files (x86)\AstroGrep\AstroGrep.exe" /spath="%USERPROFILE%\AppData\Local\Temp\OnboardLogs" /stypes="app*4013*20161003*" /stext=" 04:.+((SYSTEM_STATE.+slice.+state.+changed )|(ment ac)|(system.+state.+changed )|(\[timeout)|(PRM\|1\|D)|(kpr)|(kdp)|(\|lc)|(penalty))" /e /r /s</v>
      </c>
      <c r="AG140" s="1" t="str">
        <f t="shared" si="65"/>
        <v>EC</v>
      </c>
      <c r="AH140" s="96" t="str">
        <f t="shared" si="49"/>
        <v>"%USERPROFILE%\Documents\GitHub\eaglep3\Utilities\RefineRTDCRunTimes.py" --tripid 228-02 --locoid 4013 --swversion DE.1.0.7.0 --startMP 204:232981 --initTime 2016-10-02T21:23:44 --startdatetime 2016-10-02T21:26:54 --delay 1 --endMP 204:172 --enddatetime 2016-10-02T22:08:13 --enforcementcount 0 &gt;&gt;C:\Users\stu\Documents\GitHub\eaglep3-reporting\EC\2016-10-02-refined-times.txt</v>
      </c>
      <c r="AI140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{"issue":{"subject":"","project_id":79,"tracker_id":40,"status_id":1,"priority_id":2,"assigned_to_id":23,"start_date":"2016-10-02","description":"","custom_fields":[{"id":1,"name":"Subdivision","value":"EC"},{"id":4,"name":"Milepost","value":"0.0172"},{"id":17,"name":"Train ID","value":"228-02"},{"id":16,"name":"Locomotive ID","value":"4013"},{"id":130,"name":"Impact","value":""},{"id":150,"name":"Time of Event (Mountain Time)","value":"22:08:13"},{"id":151,"name":"Denver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665</v>
      </c>
      <c r="B141" s="7">
        <v>4007</v>
      </c>
      <c r="C141" s="24" t="s">
        <v>106</v>
      </c>
      <c r="D141" s="24" t="s">
        <v>209</v>
      </c>
      <c r="E141" s="15">
        <v>42645.872650462959</v>
      </c>
      <c r="F141" s="15">
        <v>42645.875196759262</v>
      </c>
      <c r="G141" s="7">
        <v>1</v>
      </c>
      <c r="H141" s="15" t="s">
        <v>228</v>
      </c>
      <c r="I141" s="15">
        <v>42645.900590277779</v>
      </c>
      <c r="J141" s="7">
        <v>0</v>
      </c>
      <c r="K141" s="117" t="str">
        <f t="shared" ref="K141:K171" si="66">IF(ISEVEN(B141),(B141-1)&amp;"/"&amp;B141,B141&amp;"/"&amp;(B141+1))</f>
        <v>4007/4008</v>
      </c>
      <c r="L141" s="24" t="str">
        <f>VLOOKUP(A141,'Trips&amp;Operators'!$C$1:$E$10000,3,FALSE)</f>
        <v>LEVERE</v>
      </c>
      <c r="M141" s="6">
        <f t="shared" ref="M141:M171" si="67">I141-F141</f>
        <v>2.5393518517375924E-2</v>
      </c>
      <c r="N141" s="7">
        <f t="shared" ref="N141:P171" si="68">24*60*SUM($M141:$M141)</f>
        <v>36.56666666502133</v>
      </c>
      <c r="O141" s="7"/>
      <c r="P141" s="7"/>
      <c r="Q141" s="25"/>
      <c r="R141" s="25"/>
      <c r="S141" s="37">
        <f t="shared" ref="S141:S171" si="69">SUM(U141:U141)/IF(AG141="EC",12,1)</f>
        <v>1</v>
      </c>
      <c r="T141" s="52" t="str">
        <f t="shared" ref="T141:T171" si="70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171" si="7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https://search-rtdc-monitor-bjffxe2xuh6vdkpspy63sjmuny.us-east-1.es.amazonaws.com/_plugin/kibana/#/discover/Steve-Slow-Train-Analysis-(2080s-and-2083s)?_g=(refreshInterval:(display:Off,section:0,value:0),time:(from:'2016-10-02 19:56:37-0600',mode:absolute,to:'2016-10-02 22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1" s="54" t="str">
        <f t="shared" ref="W141:W171" si="72">IF(AA141&lt;IF(AG141="EC",23,5.65),"Y","N")</f>
        <v>N</v>
      </c>
      <c r="X141" s="164">
        <f t="shared" ref="X141:X171" si="73">VALUE(LEFT(AD141,4))-VALUE(LEFT(AD140,4))</f>
        <v>1</v>
      </c>
      <c r="Y141" s="69">
        <f t="shared" ref="Y141:Y171" si="74">RIGHT(D141,LEN(D141)-4)/10000</f>
        <v>4.6600000000000003E-2</v>
      </c>
      <c r="Z141" s="69">
        <f t="shared" ref="Z141:Z171" si="75">RIGHT(H141,LEN(H141)-4)/10000</f>
        <v>23.33</v>
      </c>
      <c r="AA141" s="69">
        <f t="shared" ref="AA141:AA171" si="76">ABS(Z141-Y141)</f>
        <v>23.283399999999997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171" si="77">IF(LEN(A141)=6,"0"&amp;A141,A141)</f>
        <v>0229-02</v>
      </c>
      <c r="AE141" s="95" t="str">
        <f t="shared" ref="AE141:AE171" si="7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141" s="92" t="str">
        <f t="shared" ref="AF141:AF171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/stypes="app*4007*20161003*" /stext=" 03:.+((SYSTEM_STATE.+slice.+state.+changed )|(ment ac)|(system.+state.+changed )|(\[timeout)|(PRM\|1\|D)|(kpr)|(kdp)|(\|lc)|(penalty))" /e /r /s</v>
      </c>
      <c r="AG141" s="1" t="str">
        <f t="shared" ref="AG141:AG171" si="80">IFERROR(IF(VALUE(LEFT(AD141,2))&lt;=2,"EC",IF(OR(VALUE(LEFT(AD141,2))=8,VALUE(LEFT(AD141,2))=18),"NW","Other")),"Other")</f>
        <v>EC</v>
      </c>
      <c r="AH141" s="96" t="str">
        <f t="shared" si="49"/>
        <v>"%USERPROFILE%\Documents\GitHub\eaglep3\Utilities\RefineRTDCRunTimes.py" --tripid 229-02 --locoid 4007 --swversion DE.1.0.7.0 --startMP 204:466 --initTime 2016-10-02T20:56:37 --startdatetime 2016-10-02T21:00:17 --delay 1 --endMP 204:233300 --enddatetime 2016-10-02T21:36:51 --enforcementcount 0 &gt;&gt;C:\Users\stu\Documents\GitHub\eaglep3-reporting\EC\2016-10-02-refined-times.txt</v>
      </c>
      <c r="AI141" s="130" t="str">
        <f t="shared" si="50"/>
        <v>echo {"issue":{"subject":"","project_id":79,"tracker_id":40,"status_id":1,"priority_id":2,"assigned_to_id":23,"start_date":"2016-10-02","description":"","custom_fields":[{"id":1,"name":"Subdivision","value":"EC"},{"id":4,"name":"Milepost","value":"23.33"},{"id":17,"name":"Train ID","value":"229-02"},{"id":16,"name":"Locomotive ID","value":"4007"},{"id":130,"name":"Impact","value":""},{"id":150,"name":"Time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666</v>
      </c>
      <c r="B142" s="7">
        <v>4008</v>
      </c>
      <c r="C142" s="24" t="s">
        <v>106</v>
      </c>
      <c r="D142" s="24" t="s">
        <v>249</v>
      </c>
      <c r="E142" s="15">
        <v>42645.9062962963</v>
      </c>
      <c r="F142" s="15">
        <v>42645.914178240739</v>
      </c>
      <c r="G142" s="7">
        <v>1</v>
      </c>
      <c r="H142" s="15" t="s">
        <v>202</v>
      </c>
      <c r="I142" s="15">
        <v>42645.942847222221</v>
      </c>
      <c r="J142" s="7">
        <v>0</v>
      </c>
      <c r="K142" s="117" t="str">
        <f t="shared" si="66"/>
        <v>4007/4008</v>
      </c>
      <c r="L142" s="24" t="str">
        <f>VLOOKUP(A142,'Trips&amp;Operators'!$C$1:$E$10000,3,FALSE)</f>
        <v>LEVERE</v>
      </c>
      <c r="M142" s="6">
        <f t="shared" si="67"/>
        <v>2.8668981482042E-2</v>
      </c>
      <c r="N142" s="7">
        <f t="shared" si="68"/>
        <v>41.28333333414048</v>
      </c>
      <c r="O142" s="7"/>
      <c r="P142" s="7"/>
      <c r="Q142" s="25"/>
      <c r="R142" s="25"/>
      <c r="S142" s="37">
        <f t="shared" si="69"/>
        <v>1</v>
      </c>
      <c r="T142" s="52" t="str">
        <f t="shared" si="70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20:45:04-0600',mode:absolute,to:'2016-10-02 23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42" s="54" t="str">
        <f t="shared" si="72"/>
        <v>N</v>
      </c>
      <c r="X142" s="164">
        <f t="shared" si="73"/>
        <v>1</v>
      </c>
      <c r="Y142" s="69">
        <f t="shared" si="74"/>
        <v>23.298300000000001</v>
      </c>
      <c r="Z142" s="69">
        <f t="shared" si="75"/>
        <v>1.5800000000000002E-2</v>
      </c>
      <c r="AA142" s="69">
        <f t="shared" si="76"/>
        <v>23.282500000000002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7"/>
        <v>0230-02</v>
      </c>
      <c r="AE142" s="95" t="str">
        <f t="shared" si="78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142" s="92" t="str">
        <f t="shared" si="79"/>
        <v>"C:\Program Files (x86)\AstroGrep\AstroGrep.exe" /spath="%USERPROFILE%\AppData\Local\Temp\OnboardLogs" /stypes="app*4008*20161003*" /stext=" 04:.+((SYSTEM_STATE.+slice.+state.+changed )|(ment ac)|(system.+state.+changed )|(\[timeout)|(PRM\|1\|D)|(kpr)|(kdp)|(\|lc)|(penalty))" /e /r /s</v>
      </c>
      <c r="AG142" s="1" t="str">
        <f t="shared" si="80"/>
        <v>EC</v>
      </c>
      <c r="AH142" s="96" t="str">
        <f t="shared" ref="AH142:AH203" si="8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230-02 --locoid 4008 --swversion DE.1.0.7.0 --startMP 204:232983 --initTime 2016-10-02T21:45:04 --startdatetime 2016-10-02T21:56:25 --delay 1 --endMP 204:158 --enddatetime 2016-10-02T22:37:42 --enforcementcount 0 &gt;&gt;C:\Users\stu\Documents\GitHub\eaglep3-reporting\EC\2016-10-02-refined-times.txt</v>
      </c>
      <c r="AI142" s="130" t="str">
        <f t="shared" ref="AI142:AI203" si="8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{"issue":{"subject":"","project_id":79,"tracker_id":40,"status_id":1,"priority_id":2,"assigned_to_id":23,"start_date":"2016-10-02","description":"","custom_fields":[{"id":1,"name":"Subdivision","value":"EC"},{"id":4,"name":"Milepost","value":"0.0158"},{"id":17,"name":"Train ID","value":"230-02"},{"id":16,"name":"Locomotive ID","value":"4008"},{"id":130,"name":"Impact","value":""},{"id":150,"name":"Time of Event (Mountain Time)","value":"22:37:42"},{"id":151,"name":"Denver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667</v>
      </c>
      <c r="B143" s="7">
        <v>4042</v>
      </c>
      <c r="C143" s="24" t="s">
        <v>106</v>
      </c>
      <c r="D143" s="24" t="s">
        <v>204</v>
      </c>
      <c r="E143" s="15">
        <v>42645.890011574076</v>
      </c>
      <c r="F143" s="15">
        <v>42645.896168981482</v>
      </c>
      <c r="G143" s="7">
        <v>2</v>
      </c>
      <c r="H143" s="15" t="s">
        <v>376</v>
      </c>
      <c r="I143" s="15">
        <v>42645.921041666668</v>
      </c>
      <c r="J143" s="7">
        <v>0</v>
      </c>
      <c r="K143" s="117" t="str">
        <f t="shared" si="66"/>
        <v>4041/4042</v>
      </c>
      <c r="L143" s="24" t="str">
        <f>VLOOKUP(A143,'Trips&amp;Operators'!$C$1:$E$10000,3,FALSE)</f>
        <v>COOLAHAN</v>
      </c>
      <c r="M143" s="6">
        <f t="shared" si="67"/>
        <v>2.4872685185982846E-2</v>
      </c>
      <c r="N143" s="7">
        <f t="shared" si="68"/>
        <v>35.816666667815298</v>
      </c>
      <c r="O143" s="7"/>
      <c r="P143" s="7"/>
      <c r="Q143" s="25"/>
      <c r="R143" s="25"/>
      <c r="S143" s="37">
        <f t="shared" si="69"/>
        <v>1</v>
      </c>
      <c r="T143" s="52" t="str">
        <f t="shared" si="70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20:21:37-0600',mode:absolute,to:'2016-10-02 23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3" s="54" t="str">
        <f t="shared" si="72"/>
        <v>N</v>
      </c>
      <c r="X143" s="164">
        <f t="shared" si="73"/>
        <v>1</v>
      </c>
      <c r="Y143" s="69">
        <f t="shared" si="74"/>
        <v>4.53E-2</v>
      </c>
      <c r="Z143" s="69">
        <f t="shared" si="75"/>
        <v>23.332100000000001</v>
      </c>
      <c r="AA143" s="69">
        <f t="shared" si="76"/>
        <v>23.286799999999999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7"/>
        <v>0231-02</v>
      </c>
      <c r="AE143" s="95" t="str">
        <f t="shared" si="78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43" s="92" t="str">
        <f t="shared" si="79"/>
        <v>"C:\Program Files (x86)\AstroGrep\AstroGrep.exe" /spath="%USERPROFILE%\AppData\Local\Temp\OnboardLogs" /stypes="app*4042*20161003*" /stext=" 04:.+((SYSTEM_STATE.+slice.+state.+changed )|(ment ac)|(system.+state.+changed )|(\[timeout)|(PRM\|1\|D)|(kpr)|(kdp)|(\|lc)|(penalty))" /e /r /s</v>
      </c>
      <c r="AG143" s="1" t="str">
        <f t="shared" si="80"/>
        <v>EC</v>
      </c>
      <c r="AH143" s="96" t="str">
        <f t="shared" si="81"/>
        <v>"%USERPROFILE%\Documents\GitHub\eaglep3\Utilities\RefineRTDCRunTimes.py" --tripid 231-02 --locoid 4042 --swversion DE.1.0.7.0 --startMP 204:453 --initTime 2016-10-02T21:21:37 --startdatetime 2016-10-02T21:30:29 --delay 2 --endMP 204:233321 --enddatetime 2016-10-02T22:06:18 --enforcementcount 0 &gt;&gt;C:\Users\stu\Documents\GitHub\eaglep3-reporting\EC\2016-10-02-refined-times.txt</v>
      </c>
      <c r="AI143" s="130" t="str">
        <f t="shared" si="82"/>
        <v>echo {"issue":{"subject":"","project_id":79,"tracker_id":40,"status_id":1,"priority_id":2,"assigned_to_id":23,"start_date":"2016-10-02","description":"","custom_fields":[{"id":1,"name":"Subdivision","value":"EC"},{"id":4,"name":"Milepost","value":"23.3321"},{"id":17,"name":"Train ID","value":"231-02"},{"id":16,"name":"Locomotive ID","value":"4042"},{"id":130,"name":"Impact","value":""},{"id":150,"name":"Time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668</v>
      </c>
      <c r="B144" s="7">
        <v>4041</v>
      </c>
      <c r="C144" s="24" t="s">
        <v>106</v>
      </c>
      <c r="D144" s="24" t="s">
        <v>379</v>
      </c>
      <c r="E144" s="15">
        <v>42645.929444444446</v>
      </c>
      <c r="F144" s="15">
        <v>42645.935023148151</v>
      </c>
      <c r="G144" s="7">
        <v>2</v>
      </c>
      <c r="H144" s="15" t="s">
        <v>215</v>
      </c>
      <c r="I144" s="15">
        <v>42645.961631944447</v>
      </c>
      <c r="J144" s="7">
        <v>0</v>
      </c>
      <c r="K144" s="117" t="str">
        <f t="shared" si="66"/>
        <v>4041/4042</v>
      </c>
      <c r="L144" s="24" t="str">
        <f>VLOOKUP(A144,'Trips&amp;Operators'!$C$1:$E$10000,3,FALSE)</f>
        <v>COOLAHAN</v>
      </c>
      <c r="M144" s="6">
        <f t="shared" si="67"/>
        <v>2.6608796295477077E-2</v>
      </c>
      <c r="N144" s="7">
        <f t="shared" si="68"/>
        <v>38.316666665486991</v>
      </c>
      <c r="O144" s="7"/>
      <c r="P144" s="7"/>
      <c r="Q144" s="25"/>
      <c r="R144" s="25"/>
      <c r="S144" s="37">
        <f t="shared" si="69"/>
        <v>1</v>
      </c>
      <c r="T144" s="52" t="str">
        <f t="shared" si="70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21:18:24-0600',mode:absolute,to:'2016-10-03 00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4" s="54" t="str">
        <f t="shared" si="72"/>
        <v>N</v>
      </c>
      <c r="X144" s="164">
        <f t="shared" si="73"/>
        <v>1</v>
      </c>
      <c r="Y144" s="69">
        <f t="shared" si="74"/>
        <v>23.300999999999998</v>
      </c>
      <c r="Z144" s="69">
        <f t="shared" si="75"/>
        <v>1.38E-2</v>
      </c>
      <c r="AA144" s="69">
        <f t="shared" si="76"/>
        <v>23.287199999999999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7"/>
        <v>0232-02</v>
      </c>
      <c r="AE144" s="95" t="str">
        <f t="shared" si="78"/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AF144" s="92" t="str">
        <f t="shared" si="79"/>
        <v>"C:\Program Files (x86)\AstroGrep\AstroGrep.exe" /spath="%USERPROFILE%\AppData\Local\Temp\OnboardLogs" /stypes="app*4041*20161003*" /stext=" 05:.+((SYSTEM_STATE.+slice.+state.+changed )|(ment ac)|(system.+state.+changed )|(\[timeout)|(PRM\|1\|D)|(kpr)|(kdp)|(\|lc)|(penalty))" /e /r /s</v>
      </c>
      <c r="AG144" s="1" t="str">
        <f t="shared" si="80"/>
        <v>EC</v>
      </c>
      <c r="AH144" s="96" t="str">
        <f t="shared" si="81"/>
        <v>"%USERPROFILE%\Documents\GitHub\eaglep3\Utilities\RefineRTDCRunTimes.py" --tripid 232-02 --locoid 4041 --swversion DE.1.0.7.0 --startMP 204:233010 --initTime 2016-10-02T22:18:24 --startdatetime 2016-10-02T22:26:26 --delay 2 --endMP 204:138 --enddatetime 2016-10-02T23:04:45 --enforcementcount 0 &gt;&gt;C:\Users\stu\Documents\GitHub\eaglep3-reporting\EC\2016-10-02-refined-times.txt</v>
      </c>
      <c r="AI144" s="130" t="str">
        <f t="shared" si="82"/>
        <v>echo {"issue":{"subject":"","project_id":79,"tracker_id":40,"status_id":1,"priority_id":2,"assigned_to_id":23,"start_date":"2016-10-02","description":"","custom_fields":[{"id":1,"name":"Subdivision","value":"EC"},{"id":4,"name":"Milepost","value":"0.0138"},{"id":17,"name":"Train ID","value":"232-02"},{"id":16,"name":"Locomotive ID","value":"4041"},{"id":130,"name":"Impact","value":""},{"id":150,"name":"Time of Event (Mountain Time)","value":"23:04:45"},{"id":151,"name":"Denver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669</v>
      </c>
      <c r="B145" s="7">
        <v>4053</v>
      </c>
      <c r="C145" s="24" t="s">
        <v>106</v>
      </c>
      <c r="D145" s="24" t="s">
        <v>670</v>
      </c>
      <c r="E145" s="15">
        <v>42645.91978009259</v>
      </c>
      <c r="F145" s="15">
        <v>42645.920949074076</v>
      </c>
      <c r="G145" s="7">
        <v>0</v>
      </c>
      <c r="H145" s="15" t="s">
        <v>257</v>
      </c>
      <c r="I145" s="15">
        <v>42645.947708333333</v>
      </c>
      <c r="J145" s="7">
        <v>0</v>
      </c>
      <c r="K145" s="117" t="str">
        <f t="shared" si="66"/>
        <v>4053/4054</v>
      </c>
      <c r="L145" s="24" t="str">
        <f>VLOOKUP(A145,'Trips&amp;Operators'!$C$1:$E$10000,3,FALSE)</f>
        <v>NEWELL</v>
      </c>
      <c r="M145" s="6">
        <f t="shared" si="67"/>
        <v>2.675925925723277E-2</v>
      </c>
      <c r="N145" s="7"/>
      <c r="O145" s="7"/>
      <c r="P145" s="7">
        <f t="shared" si="68"/>
        <v>38.533333330415189</v>
      </c>
      <c r="Q145" s="25"/>
      <c r="R145" s="25" t="s">
        <v>726</v>
      </c>
      <c r="S145" s="37">
        <f t="shared" si="69"/>
        <v>1</v>
      </c>
      <c r="T145" s="52" t="str">
        <f t="shared" si="70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21:04:29-0600',mode:absolute,to:'2016-10-02 23:44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5" s="54" t="str">
        <f t="shared" si="72"/>
        <v>Y</v>
      </c>
      <c r="X145" s="164">
        <f t="shared" si="73"/>
        <v>1</v>
      </c>
      <c r="Y145" s="69">
        <f t="shared" si="74"/>
        <v>1.0765</v>
      </c>
      <c r="Z145" s="69">
        <f t="shared" si="75"/>
        <v>23.3309</v>
      </c>
      <c r="AA145" s="69">
        <f t="shared" si="76"/>
        <v>22.2544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7"/>
        <v>0233-02</v>
      </c>
      <c r="AE145" s="95" t="str">
        <f t="shared" si="78"/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AF145" s="92" t="str">
        <f t="shared" si="79"/>
        <v>"C:\Program Files (x86)\AstroGrep\AstroGrep.exe" /spath="%USERPROFILE%\AppData\Local\Temp\OnboardLogs" /stypes="app*4053*20161003*" /stext=" 04:.+((SYSTEM_STATE.+slice.+state.+changed )|(ment ac)|(system.+state.+changed )|(\[timeout)|(PRM\|1\|D)|(kpr)|(kdp)|(\|lc)|(penalty))" /e /r /s</v>
      </c>
      <c r="AG145" s="1" t="str">
        <f t="shared" si="80"/>
        <v>EC</v>
      </c>
      <c r="AH145" s="96" t="str">
        <f t="shared" si="81"/>
        <v>"%USERPROFILE%\Documents\GitHub\eaglep3\Utilities\RefineRTDCRunTimes.py" --tripid 233-02 --locoid 4053 --swversion DE.1.0.7.0 --startMP 204:10765 --initTime 2016-10-02T22:04:29 --startdatetime 2016-10-02T22:06:10 --delay 0 --endMP 204:233309 --enddatetime 2016-10-02T22:44:42 --enforcementcount 0 &gt;&gt;C:\Users\stu\Documents\GitHub\eaglep3-reporting\EC\2016-10-02-refined-times.txt</v>
      </c>
      <c r="AI145" s="130" t="str">
        <f t="shared" si="82"/>
        <v>echo {"issue":{"subject":"Onboard in-route failure","project_id":79,"tracker_id":40,"status_id":1,"priority_id":2,"assigned_to_id":23,"start_date":"2016-10-02","description":"SYS :2016/10/03 03:41:44.296:SYSTEM_STATE:slice state changed [SECONDARY]-&gt;[PRIMARY]. Slice state change caused system to not go active when train started moving. Operator had to re-init","custom_fields":[{"id":1,"name":"Subdivision","value":"EC"},{"id":4,"name":"Milepost","value":"23.3309"},{"id":17,"name":"Train ID","value":"233-02"},{"id":16,"name":"Locomotive ID","value":"4053"},{"id":130,"name":"Impact","value":"Unexpected Cut-Out or Disengaged"},{"id":150,"name":"Time of Event (Mountain Time)","value":"22:44:42"},{"id":151,"name":"Denver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5" s="55" t="s">
        <v>728</v>
      </c>
      <c r="AK145" s="55" t="s">
        <v>141</v>
      </c>
      <c r="AL145" s="55" t="s">
        <v>217</v>
      </c>
    </row>
    <row r="146" spans="1:38" x14ac:dyDescent="0.25">
      <c r="A146" s="39" t="s">
        <v>671</v>
      </c>
      <c r="B146" s="7">
        <v>4054</v>
      </c>
      <c r="C146" s="24" t="s">
        <v>106</v>
      </c>
      <c r="D146" s="24" t="s">
        <v>291</v>
      </c>
      <c r="E146" s="15">
        <v>42645.950335648151</v>
      </c>
      <c r="F146" s="15">
        <v>42645.955810185187</v>
      </c>
      <c r="G146" s="7">
        <v>1</v>
      </c>
      <c r="H146" s="15" t="s">
        <v>369</v>
      </c>
      <c r="I146" s="15">
        <v>42645.983668981484</v>
      </c>
      <c r="J146" s="7">
        <v>0</v>
      </c>
      <c r="K146" s="117" t="str">
        <f t="shared" si="66"/>
        <v>4053/4054</v>
      </c>
      <c r="L146" s="24" t="str">
        <f>VLOOKUP(A146,'Trips&amp;Operators'!$C$1:$E$10000,3,FALSE)</f>
        <v>NEWELL</v>
      </c>
      <c r="M146" s="6">
        <f t="shared" si="67"/>
        <v>2.7858796296641231E-2</v>
      </c>
      <c r="N146" s="7">
        <f t="shared" si="68"/>
        <v>40.116666667163372</v>
      </c>
      <c r="O146" s="7"/>
      <c r="P146" s="7"/>
      <c r="Q146" s="25"/>
      <c r="R146" s="25"/>
      <c r="S146" s="37">
        <f t="shared" si="69"/>
        <v>1</v>
      </c>
      <c r="T146" s="52" t="str">
        <f t="shared" si="70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21:48:29-0600',mode:absolute,to:'2016-10-03 00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6" s="54" t="str">
        <f t="shared" si="72"/>
        <v>N</v>
      </c>
      <c r="X146" s="164">
        <f t="shared" si="73"/>
        <v>1</v>
      </c>
      <c r="Y146" s="69">
        <f t="shared" si="74"/>
        <v>23.297999999999998</v>
      </c>
      <c r="Z146" s="69">
        <f t="shared" si="75"/>
        <v>1.6299999999999999E-2</v>
      </c>
      <c r="AA146" s="69">
        <f t="shared" si="76"/>
        <v>23.281699999999997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7"/>
        <v>0234-02</v>
      </c>
      <c r="AE146" s="95" t="str">
        <f t="shared" si="78"/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AF146" s="92" t="str">
        <f t="shared" si="79"/>
        <v>"C:\Program Files (x86)\AstroGrep\AstroGrep.exe" /spath="%USERPROFILE%\AppData\Local\Temp\OnboardLogs" /stypes="app*4054*20161003*" /stext=" 05:.+((SYSTEM_STATE.+slice.+state.+changed )|(ment ac)|(system.+state.+changed )|(\[timeout)|(PRM\|1\|D)|(kpr)|(kdp)|(\|lc)|(penalty))" /e /r /s</v>
      </c>
      <c r="AG146" s="1" t="str">
        <f t="shared" si="80"/>
        <v>EC</v>
      </c>
      <c r="AH146" s="96" t="str">
        <f t="shared" si="81"/>
        <v>"%USERPROFILE%\Documents\GitHub\eaglep3\Utilities\RefineRTDCRunTimes.py" --tripid 234-02 --locoid 4054 --swversion DE.1.0.7.0 --startMP 204:232980 --initTime 2016-10-02T22:48:29 --startdatetime 2016-10-02T22:56:22 --delay 1 --endMP 204:163 --enddatetime 2016-10-02T23:36:29 --enforcementcount 0 &gt;&gt;C:\Users\stu\Documents\GitHub\eaglep3-reporting\EC\2016-10-02-refined-times.txt</v>
      </c>
      <c r="AI146" s="130" t="str">
        <f t="shared" si="82"/>
        <v>echo {"issue":{"subject":"","project_id":79,"tracker_id":40,"status_id":1,"priority_id":2,"assigned_to_id":23,"start_date":"2016-10-02","description":"","custom_fields":[{"id":1,"name":"Subdivision","value":"EC"},{"id":4,"name":"Milepost","value":"0.0163"},{"id":17,"name":"Train ID","value":"234-02"},{"id":16,"name":"Locomotive ID","value":"4054"},{"id":130,"name":"Impact","value":""},{"id":150,"name":"Time of Event (Mountain Time)","value":"23:36:29"},{"id":151,"name":"Denver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672</v>
      </c>
      <c r="B147" s="7">
        <v>4014</v>
      </c>
      <c r="C147" s="24" t="s">
        <v>106</v>
      </c>
      <c r="D147" s="24" t="s">
        <v>211</v>
      </c>
      <c r="E147" s="15">
        <v>42645.936585648145</v>
      </c>
      <c r="F147" s="15">
        <v>42645.937719907408</v>
      </c>
      <c r="G147" s="7">
        <v>1</v>
      </c>
      <c r="H147" s="15" t="s">
        <v>362</v>
      </c>
      <c r="I147" s="15">
        <v>42645.964687500003</v>
      </c>
      <c r="J147" s="7">
        <v>0</v>
      </c>
      <c r="K147" s="117" t="str">
        <f t="shared" si="66"/>
        <v>4013/4014</v>
      </c>
      <c r="L147" s="24" t="str">
        <f>VLOOKUP(A147,'Trips&amp;Operators'!$C$1:$E$10000,3,FALSE)</f>
        <v>CHANDLER</v>
      </c>
      <c r="M147" s="6">
        <f t="shared" si="67"/>
        <v>2.6967592595610768E-2</v>
      </c>
      <c r="N147" s="7">
        <f t="shared" si="68"/>
        <v>38.833333337679505</v>
      </c>
      <c r="O147" s="7"/>
      <c r="P147" s="7"/>
      <c r="Q147" s="25"/>
      <c r="R147" s="25"/>
      <c r="S147" s="37">
        <f t="shared" si="69"/>
        <v>1</v>
      </c>
      <c r="T147" s="52" t="str">
        <f t="shared" si="70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21:28:41-0600',mode:absolute,to:'2016-10-03 00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72"/>
        <v>N</v>
      </c>
      <c r="X147" s="164">
        <f t="shared" si="73"/>
        <v>1</v>
      </c>
      <c r="Y147" s="69">
        <f t="shared" si="74"/>
        <v>4.5499999999999999E-2</v>
      </c>
      <c r="Z147" s="69">
        <f t="shared" si="75"/>
        <v>23.328900000000001</v>
      </c>
      <c r="AA147" s="69">
        <f t="shared" si="76"/>
        <v>23.2834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7"/>
        <v>0235-02</v>
      </c>
      <c r="AE147" s="95" t="str">
        <f t="shared" si="78"/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AF147" s="92" t="str">
        <f t="shared" si="79"/>
        <v>"C:\Program Files (x86)\AstroGrep\AstroGrep.exe" /spath="%USERPROFILE%\AppData\Local\Temp\OnboardLogs" /stypes="app*4014*20161003*" /stext=" 05:.+((SYSTEM_STATE.+slice.+state.+changed )|(ment ac)|(system.+state.+changed )|(\[timeout)|(PRM\|1\|D)|(kpr)|(kdp)|(\|lc)|(penalty))" /e /r /s</v>
      </c>
      <c r="AG147" s="1" t="str">
        <f t="shared" si="80"/>
        <v>EC</v>
      </c>
      <c r="AH147" s="96" t="str">
        <f t="shared" si="81"/>
        <v>"%USERPROFILE%\Documents\GitHub\eaglep3\Utilities\RefineRTDCRunTimes.py" --tripid 235-02 --locoid 4014 --swversion DE.1.0.7.0 --startMP 204:455 --initTime 2016-10-02T22:28:41 --startdatetime 2016-10-02T22:30:19 --delay 1 --endMP 204:233289 --enddatetime 2016-10-02T23:09:09 --enforcementcount 0 &gt;&gt;C:\Users\stu\Documents\GitHub\eaglep3-reporting\EC\2016-10-02-refined-times.txt</v>
      </c>
      <c r="AI147" s="130" t="str">
        <f t="shared" si="82"/>
        <v>echo {"issue":{"subject":"","project_id":79,"tracker_id":40,"status_id":1,"priority_id":2,"assigned_to_id":23,"start_date":"2016-10-02","description":"","custom_fields":[{"id":1,"name":"Subdivision","value":"EC"},{"id":4,"name":"Milepost","value":"23.3289"},{"id":17,"name":"Train ID","value":"235-02"},{"id":16,"name":"Locomotive ID","value":"4014"},{"id":130,"name":"Impact","value":""},{"id":150,"name":"Time of Event (Mountain Time)","value":"23:09:09"},{"id":151,"name":"Denver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673</v>
      </c>
      <c r="B148" s="7">
        <v>4013</v>
      </c>
      <c r="C148" s="24" t="s">
        <v>106</v>
      </c>
      <c r="D148" s="24" t="s">
        <v>313</v>
      </c>
      <c r="E148" s="15">
        <v>42645.972581018519</v>
      </c>
      <c r="F148" s="15">
        <v>42645.976678240739</v>
      </c>
      <c r="G148" s="7">
        <v>0</v>
      </c>
      <c r="H148" s="15" t="s">
        <v>207</v>
      </c>
      <c r="I148" s="15">
        <v>42646.00503472222</v>
      </c>
      <c r="J148" s="7">
        <v>0</v>
      </c>
      <c r="K148" s="117" t="str">
        <f t="shared" si="66"/>
        <v>4013/4014</v>
      </c>
      <c r="L148" s="24" t="str">
        <f>VLOOKUP(A148,'Trips&amp;Operators'!$C$1:$E$10000,3,FALSE)</f>
        <v>CHANDLER</v>
      </c>
      <c r="M148" s="6">
        <f t="shared" si="67"/>
        <v>2.8356481481750961E-2</v>
      </c>
      <c r="N148" s="7">
        <f t="shared" si="68"/>
        <v>40.833333333721384</v>
      </c>
      <c r="O148" s="7"/>
      <c r="P148" s="7"/>
      <c r="Q148" s="25"/>
      <c r="R148" s="25"/>
      <c r="S148" s="37">
        <f t="shared" si="69"/>
        <v>1</v>
      </c>
      <c r="T148" s="52" t="str">
        <f t="shared" si="70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22:20:31-0600',mode:absolute,to:'2016-10-03 01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8" s="54" t="str">
        <f t="shared" si="72"/>
        <v>N</v>
      </c>
      <c r="X148" s="164">
        <f t="shared" si="73"/>
        <v>1</v>
      </c>
      <c r="Y148" s="69">
        <f t="shared" si="74"/>
        <v>23.296099999999999</v>
      </c>
      <c r="Z148" s="69">
        <f t="shared" si="75"/>
        <v>1.52E-2</v>
      </c>
      <c r="AA148" s="69">
        <f t="shared" si="76"/>
        <v>23.280899999999999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7"/>
        <v>0236-02</v>
      </c>
      <c r="AE148" s="95" t="str">
        <f t="shared" si="78"/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AF148" s="92" t="str">
        <f t="shared" si="79"/>
        <v>"C:\Program Files (x86)\AstroGrep\AstroGrep.exe" /spath="%USERPROFILE%\AppData\Local\Temp\OnboardLogs" /stypes="app*4013*20161003*" /stext=" 06:.+((SYSTEM_STATE.+slice.+state.+changed )|(ment ac)|(system.+state.+changed )|(\[timeout)|(PRM\|1\|D)|(kpr)|(kdp)|(\|lc)|(penalty))" /e /r /s</v>
      </c>
      <c r="AG148" s="1" t="str">
        <f t="shared" si="80"/>
        <v>EC</v>
      </c>
      <c r="AH148" s="96" t="str">
        <f t="shared" si="81"/>
        <v>"%USERPROFILE%\Documents\GitHub\eaglep3\Utilities\RefineRTDCRunTimes.py" --tripid 236-02 --locoid 4013 --swversion DE.1.0.7.0 --startMP 204:232961 --initTime 2016-10-02T23:20:31 --startdatetime 2016-10-02T23:26:25 --delay 0 --endMP 204:152 --enddatetime 2016-10-03T00:07:15 --enforcementcount 0 &gt;&gt;C:\Users\stu\Documents\GitHub\eaglep3-reporting\EC\2016-10-02-refined-times.txt</v>
      </c>
      <c r="AI148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{"issue":{"subject":"","project_id":79,"tracker_id":40,"status_id":1,"priority_id":2,"assigned_to_id":23,"start_date":"2016-10-03","description":"","custom_fields":[{"id":1,"name":"Subdivision","value":"EC"},{"id":4,"name":"Milepost","value":"0.0152"},{"id":17,"name":"Train ID","value":"236-02"},{"id":16,"name":"Locomotive ID","value":"4013"},{"id":130,"name":"Impact","value":""},{"id":150,"name":"Time of Event (Mountain Time)","value":"00:07:15"},{"id":151,"name":"Denver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674</v>
      </c>
      <c r="B149" s="7">
        <v>4007</v>
      </c>
      <c r="C149" s="24" t="s">
        <v>106</v>
      </c>
      <c r="D149" s="24" t="s">
        <v>233</v>
      </c>
      <c r="E149" s="15">
        <v>42645.952974537038</v>
      </c>
      <c r="F149" s="15">
        <v>42645.95853009259</v>
      </c>
      <c r="G149" s="7">
        <v>1</v>
      </c>
      <c r="H149" s="15" t="s">
        <v>675</v>
      </c>
      <c r="I149" s="15">
        <v>42645.9840625</v>
      </c>
      <c r="J149" s="7">
        <v>0</v>
      </c>
      <c r="K149" s="117" t="str">
        <f t="shared" si="66"/>
        <v>4007/4008</v>
      </c>
      <c r="L149" s="24" t="str">
        <f>VLOOKUP(A149,'Trips&amp;Operators'!$C$1:$E$10000,3,FALSE)</f>
        <v>LEVERE</v>
      </c>
      <c r="M149" s="6">
        <f t="shared" si="67"/>
        <v>2.5532407409627922E-2</v>
      </c>
      <c r="N149" s="7">
        <f t="shared" si="68"/>
        <v>36.766666669864208</v>
      </c>
      <c r="O149" s="7"/>
      <c r="P149" s="7"/>
      <c r="Q149" s="25"/>
      <c r="R149" s="25"/>
      <c r="S149" s="37">
        <f t="shared" si="69"/>
        <v>1</v>
      </c>
      <c r="T149" s="52" t="str">
        <f t="shared" si="70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21:52:17-0600',mode:absolute,to:'2016-10-03 00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9" s="54" t="str">
        <f t="shared" si="72"/>
        <v>N</v>
      </c>
      <c r="X149" s="164">
        <f t="shared" si="73"/>
        <v>1</v>
      </c>
      <c r="Y149" s="69">
        <f t="shared" si="74"/>
        <v>4.6399999999999997E-2</v>
      </c>
      <c r="Z149" s="69">
        <f t="shared" si="75"/>
        <v>23.330100000000002</v>
      </c>
      <c r="AA149" s="69">
        <f t="shared" si="76"/>
        <v>23.283700000000003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77"/>
        <v>0237-02</v>
      </c>
      <c r="AE149" s="95" t="str">
        <f t="shared" si="78"/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AF149" s="92" t="str">
        <f t="shared" si="79"/>
        <v>"C:\Program Files (x86)\AstroGrep\AstroGrep.exe" /spath="%USERPROFILE%\AppData\Local\Temp\OnboardLogs" /stypes="app*4007*20161003*" /stext=" 05:.+((SYSTEM_STATE.+slice.+state.+changed )|(ment ac)|(system.+state.+changed )|(\[timeout)|(PRM\|1\|D)|(kpr)|(kdp)|(\|lc)|(penalty))" /e /r /s</v>
      </c>
      <c r="AG149" s="1" t="str">
        <f t="shared" si="80"/>
        <v>EC</v>
      </c>
      <c r="AH149" s="96" t="str">
        <f t="shared" si="81"/>
        <v>"%USERPROFILE%\Documents\GitHub\eaglep3\Utilities\RefineRTDCRunTimes.py" --tripid 237-02 --locoid 4007 --swversion DE.1.0.7.0 --startMP 204:464 --initTime 2016-10-02T22:52:17 --startdatetime 2016-10-02T23:00:17 --delay 1 --endMP 204:233301 --enddatetime 2016-10-02T23:37:03 --enforcementcount 0 &gt;&gt;C:\Users\stu\Documents\GitHub\eaglep3-reporting\EC\2016-10-02-refined-times.txt</v>
      </c>
      <c r="AI149" s="130" t="str">
        <f t="shared" si="82"/>
        <v>echo {"issue":{"subject":"","project_id":79,"tracker_id":40,"status_id":1,"priority_id":2,"assigned_to_id":23,"start_date":"2016-10-02","description":"","custom_fields":[{"id":1,"name":"Subdivision","value":"EC"},{"id":4,"name":"Milepost","value":"23.3301"},{"id":17,"name":"Train ID","value":"237-02"},{"id":16,"name":"Locomotive ID","value":"4007"},{"id":130,"name":"Impact","value":""},{"id":150,"name":"Time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676</v>
      </c>
      <c r="B150" s="7">
        <v>4008</v>
      </c>
      <c r="C150" s="24" t="s">
        <v>106</v>
      </c>
      <c r="D150" s="24" t="s">
        <v>272</v>
      </c>
      <c r="E150" s="15">
        <v>42645.993310185186</v>
      </c>
      <c r="F150" s="15">
        <v>42645.997395833336</v>
      </c>
      <c r="G150" s="7">
        <v>1</v>
      </c>
      <c r="H150" s="15" t="s">
        <v>127</v>
      </c>
      <c r="I150" s="15">
        <v>42646.024537037039</v>
      </c>
      <c r="J150" s="7">
        <v>0</v>
      </c>
      <c r="K150" s="117" t="str">
        <f t="shared" si="66"/>
        <v>4007/4008</v>
      </c>
      <c r="L150" s="24" t="str">
        <f>VLOOKUP(A150,'Trips&amp;Operators'!$C$1:$E$10000,3,FALSE)</f>
        <v>LEVERE</v>
      </c>
      <c r="M150" s="6">
        <f t="shared" si="67"/>
        <v>2.7141203703649808E-2</v>
      </c>
      <c r="N150" s="7">
        <f t="shared" si="68"/>
        <v>39.083333333255723</v>
      </c>
      <c r="O150" s="7"/>
      <c r="P150" s="7"/>
      <c r="Q150" s="25"/>
      <c r="R150" s="25"/>
      <c r="S150" s="37">
        <f t="shared" si="69"/>
        <v>1</v>
      </c>
      <c r="T150" s="52" t="str">
        <f t="shared" si="70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22:50:22-0600',mode:absolute,to:'2016-10-03 01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50" s="54" t="str">
        <f t="shared" si="72"/>
        <v>N</v>
      </c>
      <c r="X150" s="164">
        <f t="shared" si="73"/>
        <v>1</v>
      </c>
      <c r="Y150" s="69">
        <f t="shared" si="74"/>
        <v>23.2986</v>
      </c>
      <c r="Z150" s="69">
        <f t="shared" si="75"/>
        <v>1.54E-2</v>
      </c>
      <c r="AA150" s="69">
        <f t="shared" si="76"/>
        <v>23.283200000000001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7"/>
        <v>0238-02</v>
      </c>
      <c r="AE150" s="95" t="str">
        <f t="shared" si="78"/>
        <v>aws s3 cp s3://rtdc.mdm.uploadarchive.raw/RTDC4008/ "%USERPROFILE%\AppData\Local\Temp\OnboardLogs"\RTDC4008\2016-10-02 --exclude "*" --recursive --include "*20161002*" &amp; "%USERPROFILE%\Documents\GitHub\mrs-test-scripts\Headless Mode &amp; Sideloading\WalkAndUnGZ.bat" "%USERPROFILE%\AppData\Local\Temp\OnboardLogs"\RTDC4008\2016-10-02 &amp; aws s3 cp s3://rtdc.mdm.uploadarchive.raw/RTDC4008/ "%USERPROFILE%\AppData\Local\Temp\OnboardLogs"\RTDC4008\2016-10-03 --exclude "*" --recursive --include "*20161003*" &amp; "%USERPROFILE%\Documents\GitHub\mrs-test-scripts\Headless Mode &amp; Sideloading\WalkAndUnGZ.bat" "%USERPROFILE%\AppData\Local\Temp\OnboardLogs"\RTDC4008\2016-10-03</v>
      </c>
      <c r="AF150" s="92" t="str">
        <f t="shared" si="79"/>
        <v>"C:\Program Files (x86)\AstroGrep\AstroGrep.exe" /spath="%USERPROFILE%\AppData\Local\Temp\OnboardLogs" /stypes="app*4008*20161003*" /stext=" 06:.+((SYSTEM_STATE.+slice.+state.+changed )|(ment ac)|(system.+state.+changed )|(\[timeout)|(PRM\|1\|D)|(kpr)|(kdp)|(\|lc)|(penalty))" /e /r /s</v>
      </c>
      <c r="AG150" s="1" t="str">
        <f t="shared" si="80"/>
        <v>EC</v>
      </c>
      <c r="AH150" s="96" t="str">
        <f t="shared" si="81"/>
        <v>"%USERPROFILE%\Documents\GitHub\eaglep3\Utilities\RefineRTDCRunTimes.py" --tripid 238-02 --locoid 4008 --swversion DE.1.0.7.0 --startMP 204:232986 --initTime 2016-10-02T23:50:22 --startdatetime 2016-10-02T23:56:15 --delay 1 --endMP 204:154 --enddatetime 2016-10-03T00:35:20 --enforcementcount 0 &gt;&gt;C:\Users\stu\Documents\GitHub\eaglep3-reporting\EC\2016-10-02-refined-times.txt</v>
      </c>
      <c r="AI150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{"issue":{"subject":"","project_id":79,"tracker_id":40,"status_id":1,"priority_id":2,"assigned_to_id":23,"start_date":"2016-10-03","description":"","custom_fields":[{"id":1,"name":"Subdivision","value":"EC"},{"id":4,"name":"Milepost","value":"0.0154"},{"id":17,"name":"Train ID","value":"238-02"},{"id":16,"name":"Locomotive ID","value":"4008"},{"id":130,"name":"Impact","value":""},{"id":150,"name":"Time of Event (Mountain Time)","value":"00:35:20"},{"id":151,"name":"Denver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677</v>
      </c>
      <c r="B151" s="7">
        <v>4042</v>
      </c>
      <c r="C151" s="24" t="s">
        <v>106</v>
      </c>
      <c r="D151" s="24" t="s">
        <v>208</v>
      </c>
      <c r="E151" s="15">
        <v>42645.972245370373</v>
      </c>
      <c r="F151" s="15">
        <v>42645.979421296295</v>
      </c>
      <c r="G151" s="7">
        <v>1</v>
      </c>
      <c r="H151" s="15" t="s">
        <v>370</v>
      </c>
      <c r="I151" s="15">
        <v>42646.003923611112</v>
      </c>
      <c r="J151" s="7">
        <v>0</v>
      </c>
      <c r="K151" s="117" t="str">
        <f t="shared" si="66"/>
        <v>4041/4042</v>
      </c>
      <c r="L151" s="24" t="str">
        <f>VLOOKUP(A151,'Trips&amp;Operators'!$C$1:$E$10000,3,FALSE)</f>
        <v>COOLAHAN</v>
      </c>
      <c r="M151" s="6">
        <f t="shared" si="67"/>
        <v>2.4502314816345461E-2</v>
      </c>
      <c r="N151" s="7">
        <f t="shared" si="68"/>
        <v>35.283333335537463</v>
      </c>
      <c r="O151" s="7"/>
      <c r="P151" s="7"/>
      <c r="Q151" s="25"/>
      <c r="R151" s="25"/>
      <c r="S151" s="37">
        <f t="shared" si="69"/>
        <v>1</v>
      </c>
      <c r="T151" s="52" t="str">
        <f t="shared" si="70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22:20:02-0600',mode:absolute,to:'2016-10-03 01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1" s="54" t="str">
        <f t="shared" si="72"/>
        <v>N</v>
      </c>
      <c r="X151" s="164">
        <f t="shared" si="73"/>
        <v>1</v>
      </c>
      <c r="Y151" s="69">
        <f t="shared" si="74"/>
        <v>4.5699999999999998E-2</v>
      </c>
      <c r="Z151" s="69">
        <f t="shared" si="75"/>
        <v>23.332599999999999</v>
      </c>
      <c r="AA151" s="69">
        <f t="shared" si="76"/>
        <v>23.286899999999999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7"/>
        <v>0239-02</v>
      </c>
      <c r="AE151" s="95" t="str">
        <f t="shared" si="78"/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AF151" s="92" t="str">
        <f t="shared" si="79"/>
        <v>"C:\Program Files (x86)\AstroGrep\AstroGrep.exe" /spath="%USERPROFILE%\AppData\Local\Temp\OnboardLogs" /stypes="app*4042*20161003*" /stext=" 06:.+((SYSTEM_STATE.+slice.+state.+changed )|(ment ac)|(system.+state.+changed )|(\[timeout)|(PRM\|1\|D)|(kpr)|(kdp)|(\|lc)|(penalty))" /e /r /s</v>
      </c>
      <c r="AG151" s="1" t="str">
        <f t="shared" si="80"/>
        <v>EC</v>
      </c>
      <c r="AH151" s="96" t="str">
        <f t="shared" si="81"/>
        <v>"%USERPROFILE%\Documents\GitHub\eaglep3\Utilities\RefineRTDCRunTimes.py" --tripid 239-02 --locoid 4042 --swversion DE.1.0.7.0 --startMP 204:457 --initTime 2016-10-02T23:20:02 --startdatetime 2016-10-02T23:30:22 --delay 1 --endMP 204:233326 --enddatetime 2016-10-03T00:05:39 --enforcementcount 0 &gt;&gt;C:\Users\stu\Documents\GitHub\eaglep3-reporting\EC\2016-10-02-refined-times.txt</v>
      </c>
      <c r="AI151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{"issue":{"subject":"","project_id":79,"tracker_id":40,"status_id":1,"priority_id":2,"assigned_to_id":23,"start_date":"2016-10-03","description":"","custom_fields":[{"id":1,"name":"Subdivision","value":"EC"},{"id":4,"name":"Milepost","value":"23.3326"},{"id":17,"name":"Train ID","value":"239-02"},{"id":16,"name":"Locomotive ID","value":"4042"},{"id":130,"name":"Impact","value":""},{"id":150,"name":"Time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678</v>
      </c>
      <c r="B152" s="7">
        <v>4041</v>
      </c>
      <c r="C152" s="24" t="s">
        <v>106</v>
      </c>
      <c r="D152" s="24" t="s">
        <v>679</v>
      </c>
      <c r="E152" s="15">
        <v>42646.013078703705</v>
      </c>
      <c r="F152" s="15">
        <v>42646.018252314818</v>
      </c>
      <c r="G152" s="7">
        <v>1</v>
      </c>
      <c r="H152" s="15" t="s">
        <v>199</v>
      </c>
      <c r="I152" s="15">
        <v>42646.044131944444</v>
      </c>
      <c r="J152" s="7">
        <v>0</v>
      </c>
      <c r="K152" s="117" t="str">
        <f t="shared" si="66"/>
        <v>4041/4042</v>
      </c>
      <c r="L152" s="24" t="str">
        <f>VLOOKUP(A152,'Trips&amp;Operators'!$C$1:$E$10000,3,FALSE)</f>
        <v>COOLAHAN</v>
      </c>
      <c r="M152" s="6">
        <f t="shared" si="67"/>
        <v>2.5879629625706002E-2</v>
      </c>
      <c r="N152" s="7">
        <f t="shared" si="68"/>
        <v>37.266666661016643</v>
      </c>
      <c r="O152" s="7"/>
      <c r="P152" s="7"/>
      <c r="Q152" s="25"/>
      <c r="R152" s="25"/>
      <c r="S152" s="37">
        <f t="shared" si="69"/>
        <v>1</v>
      </c>
      <c r="T152" s="52" t="str">
        <f t="shared" si="70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23:18:50-0600',mode:absolute,to:'2016-10-03 02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2" s="54" t="str">
        <f t="shared" si="72"/>
        <v>N</v>
      </c>
      <c r="X152" s="164">
        <f t="shared" si="73"/>
        <v>1</v>
      </c>
      <c r="Y152" s="69">
        <f t="shared" si="74"/>
        <v>23.3017</v>
      </c>
      <c r="Z152" s="69">
        <f t="shared" si="75"/>
        <v>1.49E-2</v>
      </c>
      <c r="AA152" s="69">
        <f t="shared" si="76"/>
        <v>23.286799999999999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7"/>
        <v>0240-02</v>
      </c>
      <c r="AE152" s="95" t="str">
        <f t="shared" si="78"/>
        <v>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 &amp; 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</v>
      </c>
      <c r="AF152" s="92" t="str">
        <f t="shared" si="79"/>
        <v>"C:\Program Files (x86)\AstroGrep\AstroGrep.exe" /spath="%USERPROFILE%\AppData\Local\Temp\OnboardLogs" /stypes="app*4041*20161003*" /stext=" 07:.+((SYSTEM_STATE.+slice.+state.+changed )|(ment ac)|(system.+state.+changed )|(\[timeout)|(PRM\|1\|D)|(kpr)|(kdp)|(\|lc)|(penalty))" /e /r /s</v>
      </c>
      <c r="AG152" s="1" t="str">
        <f t="shared" si="80"/>
        <v>EC</v>
      </c>
      <c r="AH152" s="96" t="str">
        <f t="shared" si="81"/>
        <v>"%USERPROFILE%\Documents\GitHub\eaglep3\Utilities\RefineRTDCRunTimes.py" --tripid 240-02 --locoid 4041 --swversion DE.1.0.7.0 --startMP 204:233017 --initTime 2016-10-03T00:18:50 --startdatetime 2016-10-03T00:26:17 --delay 1 --endMP 204:149 --enddatetime 2016-10-03T01:03:33 --enforcementcount 0 &gt;&gt;C:\Users\stu\Documents\GitHub\eaglep3-reporting\EC\2016-10-02-refined-times.txt</v>
      </c>
      <c r="AI152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{"issue":{"subject":"","project_id":79,"tracker_id":40,"status_id":1,"priority_id":2,"assigned_to_id":23,"start_date":"2016-10-03","description":"","custom_fields":[{"id":1,"name":"Subdivision","value":"EC"},{"id":4,"name":"Milepost","value":"0.0149"},{"id":17,"name":"Train ID","value":"240-02"},{"id":16,"name":"Locomotive ID","value":"4041"},{"id":130,"name":"Impact","value":""},{"id":150,"name":"Time of Event (Mountain Time)","value":"01:03:33"},{"id":151,"name":"Denver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680</v>
      </c>
      <c r="B153" s="7">
        <v>4053</v>
      </c>
      <c r="C153" s="24" t="s">
        <v>106</v>
      </c>
      <c r="D153" s="24" t="s">
        <v>367</v>
      </c>
      <c r="E153" s="15">
        <v>42645.994953703703</v>
      </c>
      <c r="F153" s="15">
        <v>42646.000138888892</v>
      </c>
      <c r="G153" s="7">
        <v>1</v>
      </c>
      <c r="H153" s="15" t="s">
        <v>246</v>
      </c>
      <c r="I153" s="15">
        <v>42646.024375000001</v>
      </c>
      <c r="J153" s="7">
        <v>0</v>
      </c>
      <c r="K153" s="117" t="str">
        <f t="shared" si="66"/>
        <v>4053/4054</v>
      </c>
      <c r="L153" s="24" t="str">
        <f>VLOOKUP(A153,'Trips&amp;Operators'!$C$1:$E$10000,3,FALSE)</f>
        <v>NEWELL</v>
      </c>
      <c r="M153" s="6">
        <f t="shared" si="67"/>
        <v>2.4236111108621117E-2</v>
      </c>
      <c r="N153" s="7">
        <f t="shared" si="68"/>
        <v>34.899999996414408</v>
      </c>
      <c r="O153" s="7"/>
      <c r="P153" s="7"/>
      <c r="Q153" s="25"/>
      <c r="R153" s="25"/>
      <c r="S153" s="37">
        <f t="shared" si="69"/>
        <v>1</v>
      </c>
      <c r="T153" s="52" t="str">
        <f t="shared" si="70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22:52:44-0600',mode:absolute,to:'2016-10-03 01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3" s="54" t="str">
        <f t="shared" si="72"/>
        <v>N</v>
      </c>
      <c r="X153" s="164">
        <f t="shared" si="73"/>
        <v>1</v>
      </c>
      <c r="Y153" s="69">
        <f t="shared" si="74"/>
        <v>4.4699999999999997E-2</v>
      </c>
      <c r="Z153" s="69">
        <f t="shared" si="75"/>
        <v>23.3293</v>
      </c>
      <c r="AA153" s="69">
        <f t="shared" si="76"/>
        <v>23.284600000000001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7"/>
        <v>0241-02</v>
      </c>
      <c r="AE153" s="95" t="str">
        <f t="shared" si="78"/>
        <v>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 &amp; 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</v>
      </c>
      <c r="AF153" s="92" t="str">
        <f t="shared" si="79"/>
        <v>"C:\Program Files (x86)\AstroGrep\AstroGrep.exe" /spath="%USERPROFILE%\AppData\Local\Temp\OnboardLogs" /stypes="app*4053*20161003*" /stext=" 06:.+((SYSTEM_STATE.+slice.+state.+changed )|(ment ac)|(system.+state.+changed )|(\[timeout)|(PRM\|1\|D)|(kpr)|(kdp)|(\|lc)|(penalty))" /e /r /s</v>
      </c>
      <c r="AG153" s="1" t="str">
        <f t="shared" si="80"/>
        <v>EC</v>
      </c>
      <c r="AH153" s="96" t="str">
        <f t="shared" si="81"/>
        <v>"%USERPROFILE%\Documents\GitHub\eaglep3\Utilities\RefineRTDCRunTimes.py" --tripid 241-02 --locoid 4053 --swversion DE.1.0.7.0 --startMP 204:447 --initTime 2016-10-02T23:52:44 --startdatetime 2016-10-03T00:00:12 --delay 1 --endMP 204:233293 --enddatetime 2016-10-03T00:35:06 --enforcementcount 0 &gt;&gt;C:\Users\stu\Documents\GitHub\eaglep3-reporting\EC\2016-10-02-refined-times.txt</v>
      </c>
      <c r="AI153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{"issue":{"subject":"","project_id":79,"tracker_id":40,"status_id":1,"priority_id":2,"assigned_to_id":23,"start_date":"2016-10-03","description":"","custom_fields":[{"id":1,"name":"Subdivision","value":"EC"},{"id":4,"name":"Milepost","value":"23.3293"},{"id":17,"name":"Train ID","value":"241-02"},{"id":16,"name":"Locomotive ID","value":"4053"},{"id":130,"name":"Impact","value":""},{"id":150,"name":"Time of Event (Mountain Time)","value":"00:35:06"},{"id":151,"name":"Denver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681</v>
      </c>
      <c r="B154" s="7">
        <v>4054</v>
      </c>
      <c r="C154" s="24" t="s">
        <v>106</v>
      </c>
      <c r="D154" s="24" t="s">
        <v>274</v>
      </c>
      <c r="E154" s="15">
        <v>42646.036273148151</v>
      </c>
      <c r="F154" s="15">
        <v>42646.039039351854</v>
      </c>
      <c r="G154" s="7">
        <v>1</v>
      </c>
      <c r="H154" s="15" t="s">
        <v>682</v>
      </c>
      <c r="I154" s="15">
        <v>42646.064976851849</v>
      </c>
      <c r="J154" s="7">
        <v>0</v>
      </c>
      <c r="K154" s="117" t="str">
        <f t="shared" si="66"/>
        <v>4053/4054</v>
      </c>
      <c r="L154" s="24" t="str">
        <f>VLOOKUP(A154,'Trips&amp;Operators'!$C$1:$E$10000,3,FALSE)</f>
        <v>NEWELL</v>
      </c>
      <c r="M154" s="6">
        <f t="shared" si="67"/>
        <v>2.5937499995052349E-2</v>
      </c>
      <c r="N154" s="7">
        <f t="shared" si="68"/>
        <v>37.349999992875382</v>
      </c>
      <c r="O154" s="7"/>
      <c r="P154" s="7"/>
      <c r="Q154" s="25"/>
      <c r="R154" s="25"/>
      <c r="S154" s="37">
        <f t="shared" si="69"/>
        <v>1</v>
      </c>
      <c r="T154" s="52" t="str">
        <f t="shared" si="70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23:52:14-0600',mode:absolute,to:'2016-10-03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4" s="54" t="str">
        <f t="shared" si="72"/>
        <v>N</v>
      </c>
      <c r="X154" s="164">
        <f t="shared" si="73"/>
        <v>1</v>
      </c>
      <c r="Y154" s="69">
        <f t="shared" si="74"/>
        <v>23.298999999999999</v>
      </c>
      <c r="Z154" s="69">
        <f t="shared" si="75"/>
        <v>1.67E-2</v>
      </c>
      <c r="AA154" s="69">
        <f t="shared" si="76"/>
        <v>23.282299999999999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7"/>
        <v>0242-02</v>
      </c>
      <c r="AE154" s="95" t="str">
        <f t="shared" si="78"/>
        <v>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 &amp; 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</v>
      </c>
      <c r="AF154" s="92" t="str">
        <f t="shared" si="79"/>
        <v>"C:\Program Files (x86)\AstroGrep\AstroGrep.exe" /spath="%USERPROFILE%\AppData\Local\Temp\OnboardLogs" /stypes="app*4054*20161003*" /stext=" 07:.+((SYSTEM_STATE.+slice.+state.+changed )|(ment ac)|(system.+state.+changed )|(\[timeout)|(PRM\|1\|D)|(kpr)|(kdp)|(\|lc)|(penalty))" /e /r /s</v>
      </c>
      <c r="AG154" s="1" t="str">
        <f t="shared" si="80"/>
        <v>EC</v>
      </c>
      <c r="AH154" s="96" t="str">
        <f t="shared" si="81"/>
        <v>"%USERPROFILE%\Documents\GitHub\eaglep3\Utilities\RefineRTDCRunTimes.py" --tripid 242-02 --locoid 4054 --swversion DE.1.0.7.0 --startMP 204:232990 --initTime 2016-10-03T00:52:14 --startdatetime 2016-10-03T00:56:13 --delay 1 --endMP 204:167 --enddatetime 2016-10-03T01:33:34 --enforcementcount 0 &gt;&gt;C:\Users\stu\Documents\GitHub\eaglep3-reporting\EC\2016-10-02-refined-times.txt</v>
      </c>
      <c r="AI154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{"issue":{"subject":"","project_id":79,"tracker_id":40,"status_id":1,"priority_id":2,"assigned_to_id":23,"start_date":"2016-10-03","description":"","custom_fields":[{"id":1,"name":"Subdivision","value":"EC"},{"id":4,"name":"Milepost","value":"0.0167"},{"id":17,"name":"Train ID","value":"242-02"},{"id":16,"name":"Locomotive ID","value":"4054"},{"id":130,"name":"Impact","value":""},{"id":150,"name":"Time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683</v>
      </c>
      <c r="B155" s="7">
        <v>4014</v>
      </c>
      <c r="C155" s="24" t="s">
        <v>106</v>
      </c>
      <c r="D155" s="24" t="s">
        <v>213</v>
      </c>
      <c r="E155" s="15">
        <v>42646.020231481481</v>
      </c>
      <c r="F155" s="15">
        <v>42646.021261574075</v>
      </c>
      <c r="G155" s="7">
        <v>1</v>
      </c>
      <c r="H155" s="15" t="s">
        <v>254</v>
      </c>
      <c r="I155" s="15">
        <v>42646.046932870369</v>
      </c>
      <c r="J155" s="7">
        <v>0</v>
      </c>
      <c r="K155" s="117" t="str">
        <f t="shared" si="66"/>
        <v>4013/4014</v>
      </c>
      <c r="L155" s="24" t="str">
        <f>VLOOKUP(A155,'Trips&amp;Operators'!$C$1:$E$10000,3,FALSE)</f>
        <v>CHANDLER</v>
      </c>
      <c r="M155" s="6">
        <f t="shared" si="67"/>
        <v>2.5671296294603962E-2</v>
      </c>
      <c r="N155" s="7">
        <f t="shared" si="68"/>
        <v>36.966666664229706</v>
      </c>
      <c r="O155" s="7"/>
      <c r="P155" s="7"/>
      <c r="Q155" s="25"/>
      <c r="R155" s="25"/>
      <c r="S155" s="37">
        <f t="shared" si="69"/>
        <v>1</v>
      </c>
      <c r="T155" s="52" t="str">
        <f t="shared" si="70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23:29:08-0600',mode:absolute,to:'2016-10-03 02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si="72"/>
        <v>N</v>
      </c>
      <c r="X155" s="164">
        <f t="shared" si="73"/>
        <v>1</v>
      </c>
      <c r="Y155" s="69">
        <f t="shared" si="74"/>
        <v>4.5999999999999999E-2</v>
      </c>
      <c r="Z155" s="69">
        <f t="shared" si="75"/>
        <v>23.328800000000001</v>
      </c>
      <c r="AA155" s="69">
        <f t="shared" si="76"/>
        <v>23.282800000000002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77"/>
        <v>0243-02</v>
      </c>
      <c r="AE155" s="95" t="str">
        <f t="shared" si="78"/>
        <v>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 &amp; aws s3 cp s3://rtdc.mdm.uploadarchive.raw/RTDC4014/ "%USERPROFILE%\AppData\Local\Temp\OnboardLogs"\RTDC4014\2016-10-04 --exclude "*" --recursive --include "*20161004*" &amp; "%USERPROFILE%\Documents\GitHub\mrs-test-scripts\Headless Mode &amp; Sideloading\WalkAndUnGZ.bat" "%USERPROFILE%\AppData\Local\Temp\OnboardLogs"\RTDC4014\2016-10-04</v>
      </c>
      <c r="AF155" s="92" t="str">
        <f t="shared" si="79"/>
        <v>"C:\Program Files (x86)\AstroGrep\AstroGrep.exe" /spath="%USERPROFILE%\AppData\Local\Temp\OnboardLogs" /stypes="app*4014*20161003*" /stext=" 07:.+((SYSTEM_STATE.+slice.+state.+changed )|(ment ac)|(system.+state.+changed )|(\[timeout)|(PRM\|1\|D)|(kpr)|(kdp)|(\|lc)|(penalty))" /e /r /s</v>
      </c>
      <c r="AG155" s="1" t="str">
        <f t="shared" si="80"/>
        <v>EC</v>
      </c>
      <c r="AH155" s="96" t="str">
        <f t="shared" si="81"/>
        <v>"%USERPROFILE%\Documents\GitHub\eaglep3\Utilities\RefineRTDCRunTimes.py" --tripid 243-02 --locoid 4014 --swversion DE.1.0.7.0 --startMP 204:460 --initTime 2016-10-03T00:29:08 --startdatetime 2016-10-03T00:30:37 --delay 1 --endMP 204:233288 --enddatetime 2016-10-03T01:07:35 --enforcementcount 0 &gt;&gt;C:\Users\stu\Documents\GitHub\eaglep3-reporting\EC\2016-10-02-refined-times.txt</v>
      </c>
      <c r="AI155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{"issue":{"subject":"","project_id":79,"tracker_id":40,"status_id":1,"priority_id":2,"assigned_to_id":23,"start_date":"2016-10-03","description":"","custom_fields":[{"id":1,"name":"Subdivision","value":"EC"},{"id":4,"name":"Milepost","value":"23.3288"},{"id":17,"name":"Train ID","value":"243-02"},{"id":16,"name":"Locomotive ID","value":"4014"},{"id":130,"name":"Impact","value":""},{"id":150,"name":"Time of Event (Mountain Time)","value":"01:07:35"},{"id":151,"name":"Denver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684</v>
      </c>
      <c r="B156" s="7">
        <v>4013</v>
      </c>
      <c r="C156" s="24" t="s">
        <v>106</v>
      </c>
      <c r="D156" s="24" t="s">
        <v>685</v>
      </c>
      <c r="E156" s="15">
        <v>42646.057071759256</v>
      </c>
      <c r="F156" s="15">
        <v>42646.060162037036</v>
      </c>
      <c r="G156" s="7">
        <v>1</v>
      </c>
      <c r="H156" s="15" t="s">
        <v>298</v>
      </c>
      <c r="I156" s="15">
        <v>42646.086655092593</v>
      </c>
      <c r="J156" s="7">
        <v>0</v>
      </c>
      <c r="K156" s="117" t="str">
        <f t="shared" si="66"/>
        <v>4013/4014</v>
      </c>
      <c r="L156" s="24" t="str">
        <f>VLOOKUP(A156,'Trips&amp;Operators'!$C$1:$E$10000,3,FALSE)</f>
        <v>CHANDLER</v>
      </c>
      <c r="M156" s="6">
        <f t="shared" si="67"/>
        <v>2.6493055556784384E-2</v>
      </c>
      <c r="N156" s="7">
        <f t="shared" si="68"/>
        <v>38.150000001769513</v>
      </c>
      <c r="O156" s="7"/>
      <c r="P156" s="7"/>
      <c r="Q156" s="25"/>
      <c r="R156" s="25"/>
      <c r="S156" s="37">
        <f t="shared" si="69"/>
        <v>1</v>
      </c>
      <c r="T156" s="52" t="str">
        <f t="shared" si="70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https://search-rtdc-monitor-bjffxe2xuh6vdkpspy63sjmuny.us-east-1.es.amazonaws.com/_plugin/kibana/#/discover/Steve-Slow-Train-Analysis-(2080s-and-2083s)?_g=(refreshInterval:(display:Off,section:0,value:0),time:(from:'2016-10-03 00:22:11-0600',mode:absolute,to:'2016-10-03 03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6" s="54" t="str">
        <f t="shared" si="72"/>
        <v>N</v>
      </c>
      <c r="X156" s="164">
        <f t="shared" si="73"/>
        <v>1</v>
      </c>
      <c r="Y156" s="69">
        <f t="shared" si="74"/>
        <v>23.2959</v>
      </c>
      <c r="Z156" s="69">
        <f t="shared" si="75"/>
        <v>1.3599999999999999E-2</v>
      </c>
      <c r="AA156" s="69">
        <f t="shared" si="76"/>
        <v>23.282299999999999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77"/>
        <v>0244-02</v>
      </c>
      <c r="AE156" s="95" t="str">
        <f t="shared" si="78"/>
        <v>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 &amp; aws s3 cp s3://rtdc.mdm.uploadarchive.raw/RTDC4013/ "%USERPROFILE%\AppData\Local\Temp\OnboardLogs"\RTDC4013\2016-10-04 --exclude "*" --recursive --include "*20161004*" &amp; "%USERPROFILE%\Documents\GitHub\mrs-test-scripts\Headless Mode &amp; Sideloading\WalkAndUnGZ.bat" "%USERPROFILE%\AppData\Local\Temp\OnboardLogs"\RTDC4013\2016-10-04</v>
      </c>
      <c r="AF156" s="92" t="str">
        <f t="shared" si="79"/>
        <v>"C:\Program Files (x86)\AstroGrep\AstroGrep.exe" /spath="%USERPROFILE%\AppData\Local\Temp\OnboardLogs" /stypes="app*4013*20161003*" /stext=" 08:.+((SYSTEM_STATE.+slice.+state.+changed )|(ment ac)|(system.+state.+changed )|(\[timeout)|(PRM\|1\|D)|(kpr)|(kdp)|(\|lc)|(penalty))" /e /r /s</v>
      </c>
      <c r="AG156" s="1" t="str">
        <f t="shared" si="80"/>
        <v>EC</v>
      </c>
      <c r="AH156" s="96" t="str">
        <f t="shared" si="81"/>
        <v>"%USERPROFILE%\Documents\GitHub\eaglep3\Utilities\RefineRTDCRunTimes.py" --tripid 244-02 --locoid 4013 --swversion DE.1.0.7.0 --startMP 204:232959 --initTime 2016-10-03T01:22:11 --startdatetime 2016-10-03T01:26:38 --delay 1 --endMP 204:136 --enddatetime 2016-10-03T02:04:47 --enforcementcount 0 &gt;&gt;C:\Users\stu\Documents\GitHub\eaglep3-reporting\EC\2016-10-02-refined-times.txt</v>
      </c>
      <c r="AI156" s="130" t="str">
        <f t="shared" si="82"/>
        <v>echo {"issue":{"subject":"","project_id":79,"tracker_id":40,"status_id":1,"priority_id":2,"assigned_to_id":23,"start_date":"2016-10-03","description":"","custom_fields":[{"id":1,"name":"Subdivision","value":"EC"},{"id":4,"name":"Milepost","value":"0.0136"},{"id":17,"name":"Train ID","value":"244-02"},{"id":16,"name":"Locomotive ID","value":"4013"},{"id":130,"name":"Impact","value":""},{"id":150,"name":"Time of Event (Mountain Time)","value":"02:04:47"},{"id":151,"name":"Denver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527</v>
      </c>
      <c r="B157" s="7">
        <v>4004</v>
      </c>
      <c r="C157" s="24" t="s">
        <v>106</v>
      </c>
      <c r="D157" s="24" t="s">
        <v>528</v>
      </c>
      <c r="E157" s="15">
        <v>42645.237280092595</v>
      </c>
      <c r="F157" s="15">
        <v>42645.238344907404</v>
      </c>
      <c r="G157" s="7">
        <v>1</v>
      </c>
      <c r="H157" s="15" t="s">
        <v>529</v>
      </c>
      <c r="I157" s="15">
        <v>42645.247789351852</v>
      </c>
      <c r="J157" s="7">
        <v>0</v>
      </c>
      <c r="K157" s="117" t="str">
        <f t="shared" si="66"/>
        <v>4003/4004</v>
      </c>
      <c r="L157" s="24" t="str">
        <f>VLOOKUP(A157,'Trips&amp;Operators'!$C$1:$E$10000,3,FALSE)</f>
        <v>STARKS</v>
      </c>
      <c r="M157" s="6">
        <f t="shared" si="67"/>
        <v>9.4444444475811906E-3</v>
      </c>
      <c r="N157" s="7">
        <f t="shared" si="68"/>
        <v>13.600000004516914</v>
      </c>
      <c r="O157" s="7"/>
      <c r="P157" s="7"/>
      <c r="Q157" s="25"/>
      <c r="R157" s="25"/>
      <c r="S157" s="37">
        <f t="shared" si="69"/>
        <v>1</v>
      </c>
      <c r="T157" s="52" t="str">
        <f t="shared" si="70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04:41:41-0600',mode:absolute,to:'2016-10-02 06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7" s="54" t="str">
        <f t="shared" si="72"/>
        <v>N</v>
      </c>
      <c r="X157" s="164">
        <f t="shared" si="73"/>
        <v>1556</v>
      </c>
      <c r="Y157" s="69">
        <f t="shared" si="74"/>
        <v>5.8613</v>
      </c>
      <c r="Z157" s="69">
        <f t="shared" si="75"/>
        <v>7.2400000000000006E-2</v>
      </c>
      <c r="AA157" s="69">
        <f t="shared" si="76"/>
        <v>5.7888999999999999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77"/>
        <v>1800-02</v>
      </c>
      <c r="AE157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57" s="92" t="str">
        <f t="shared" si="79"/>
        <v>"C:\Program Files (x86)\AstroGrep\AstroGrep.exe" /spath="%USERPROFILE%\AppData\Local\Temp\OnboardLogs" /stypes="app*4004*20161002*" /stext=" 11:.+((SYSTEM_STATE.+slice.+state.+changed )|(ment ac)|(system.+state.+changed )|(\[timeout)|(PRM\|1\|D)|(kpr)|(kdp)|(\|lc)|(penalty))" /e /r /s</v>
      </c>
      <c r="AG157" s="1" t="str">
        <f t="shared" si="80"/>
        <v>NW</v>
      </c>
      <c r="AH157" s="96" t="str">
        <f t="shared" si="81"/>
        <v>"%USERPROFILE%\Documents\GitHub\eaglep3\Utilities\RefineRTDCRunTimes.py" --tripid 1800-02 --locoid 4004 --swversion DE.1.0.7.0 --startMP 300:58613 --initTime 2016-10-02T05:41:41 --startdatetime 2016-10-02T05:43:13 --delay 1 --endMP 204:724 --enddatetime 2016-10-02T05:56:49 --enforcementcount 0 &gt;&gt;C:\Users\stu\Documents\GitHub\eaglep3-reporting\EC\2016-10-02-refined-times.txt</v>
      </c>
      <c r="AI157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{"issue":{"subject":"","project_id":79,"tracker_id":40,"status_id":1,"priority_id":2,"assigned_to_id":23,"start_date":"2016-10-02","description":"","custom_fields":[{"id":1,"name":"Subdivision","value":"NW"},{"id":4,"name":"Milepost","value":"0.0724"},{"id":17,"name":"Train ID","value":"1800-02"},{"id":16,"name":"Locomotive ID","value":"4004"},{"id":130,"name":"Impact","value":""},{"id":150,"name":"Time of Event (Mountain Time)","value":"05:56:49"},{"id":151,"name":"Denver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530</v>
      </c>
      <c r="B158" s="7">
        <v>4003</v>
      </c>
      <c r="C158" s="24" t="s">
        <v>106</v>
      </c>
      <c r="D158" s="24" t="s">
        <v>531</v>
      </c>
      <c r="E158" s="15">
        <v>42645.26090277778</v>
      </c>
      <c r="F158" s="15">
        <v>42645.264780092592</v>
      </c>
      <c r="G158" s="7">
        <v>1</v>
      </c>
      <c r="H158" s="15" t="s">
        <v>532</v>
      </c>
      <c r="I158" s="15">
        <v>42645.274861111109</v>
      </c>
      <c r="J158" s="7">
        <v>0</v>
      </c>
      <c r="K158" s="117" t="str">
        <f t="shared" si="66"/>
        <v>4003/4004</v>
      </c>
      <c r="L158" s="24" t="str">
        <f>VLOOKUP(A158,'Trips&amp;Operators'!$C$1:$E$10000,3,FALSE)</f>
        <v>STARKS</v>
      </c>
      <c r="M158" s="6">
        <f t="shared" si="67"/>
        <v>1.0081018517666962E-2</v>
      </c>
      <c r="N158" s="7">
        <f t="shared" si="68"/>
        <v>14.516666665440425</v>
      </c>
      <c r="O158" s="7"/>
      <c r="P158" s="7"/>
      <c r="Q158" s="25"/>
      <c r="R158" s="25"/>
      <c r="S158" s="37">
        <f t="shared" si="69"/>
        <v>1</v>
      </c>
      <c r="T158" s="52" t="str">
        <f t="shared" si="70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05:15:42-0600',mode:absolute,to:'2016-10-02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8" s="54" t="str">
        <f t="shared" si="72"/>
        <v>N</v>
      </c>
      <c r="X158" s="164">
        <f t="shared" si="73"/>
        <v>1</v>
      </c>
      <c r="Y158" s="69">
        <f t="shared" si="74"/>
        <v>0.1014</v>
      </c>
      <c r="Z158" s="69">
        <f t="shared" si="75"/>
        <v>5.8944000000000001</v>
      </c>
      <c r="AA158" s="69">
        <f t="shared" si="76"/>
        <v>5.7930000000000001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77"/>
        <v>1801-02</v>
      </c>
      <c r="AE158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58" s="92" t="str">
        <f t="shared" si="79"/>
        <v>"C:\Program Files (x86)\AstroGrep\AstroGrep.exe" /spath="%USERPROFILE%\AppData\Local\Temp\OnboardLogs" /stypes="app*4003*20161002*" /stext=" 12:.+((SYSTEM_STATE.+slice.+state.+changed )|(ment ac)|(system.+state.+changed )|(\[timeout)|(PRM\|1\|D)|(kpr)|(kdp)|(\|lc)|(penalty))" /e /r /s</v>
      </c>
      <c r="AG158" s="1" t="str">
        <f t="shared" si="80"/>
        <v>NW</v>
      </c>
      <c r="AH158" s="96" t="str">
        <f t="shared" si="81"/>
        <v>"%USERPROFILE%\Documents\GitHub\eaglep3\Utilities\RefineRTDCRunTimes.py" --tripid 1801-02 --locoid 4003 --swversion DE.1.0.7.0 --startMP 204:1014 --initTime 2016-10-02T06:15:42 --startdatetime 2016-10-02T06:21:17 --delay 1 --endMP 300:58944 --enddatetime 2016-10-02T06:35:48 --enforcementcount 0 &gt;&gt;C:\Users\stu\Documents\GitHub\eaglep3-reporting\EC\2016-10-02-refined-times.txt</v>
      </c>
      <c r="AI158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{"issue":{"subject":"","project_id":79,"tracker_id":40,"status_id":1,"priority_id":2,"assigned_to_id":23,"start_date":"2016-10-02","description":"","custom_fields":[{"id":1,"name":"Subdivision","value":"NW"},{"id":4,"name":"Milepost","value":"5.8944"},{"id":17,"name":"Train ID","value":"1801-02"},{"id":16,"name":"Locomotive ID","value":"4003"},{"id":130,"name":"Impact","value":""},{"id":150,"name":"Time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533</v>
      </c>
      <c r="B159" s="7">
        <v>4004</v>
      </c>
      <c r="C159" s="24" t="s">
        <v>106</v>
      </c>
      <c r="D159" s="24" t="s">
        <v>296</v>
      </c>
      <c r="E159" s="15">
        <v>42645.275659722225</v>
      </c>
      <c r="F159" s="15">
        <v>42645.277037037034</v>
      </c>
      <c r="G159" s="7">
        <v>0</v>
      </c>
      <c r="H159" s="15" t="s">
        <v>534</v>
      </c>
      <c r="I159" s="15">
        <v>42645.288564814815</v>
      </c>
      <c r="J159" s="7">
        <v>0</v>
      </c>
      <c r="K159" s="117" t="str">
        <f t="shared" si="66"/>
        <v>4003/4004</v>
      </c>
      <c r="L159" s="24" t="str">
        <f>VLOOKUP(A159,'Trips&amp;Operators'!$C$1:$E$10000,3,FALSE)</f>
        <v>STARKS</v>
      </c>
      <c r="M159" s="6">
        <f t="shared" si="67"/>
        <v>1.152777778042946E-2</v>
      </c>
      <c r="N159" s="7">
        <f t="shared" si="68"/>
        <v>16.600000003818423</v>
      </c>
      <c r="O159" s="7"/>
      <c r="P159" s="7"/>
      <c r="Q159" s="25"/>
      <c r="R159" s="25"/>
      <c r="S159" s="37">
        <f t="shared" si="69"/>
        <v>1</v>
      </c>
      <c r="T159" s="52" t="str">
        <f t="shared" si="70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05:36:57-0600',mode:absolute,to:'2016-10-02 07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9" s="54" t="str">
        <f t="shared" si="72"/>
        <v>N</v>
      </c>
      <c r="X159" s="164">
        <f t="shared" si="73"/>
        <v>1</v>
      </c>
      <c r="Y159" s="69">
        <f t="shared" si="74"/>
        <v>5.8624000000000001</v>
      </c>
      <c r="Z159" s="69">
        <f t="shared" si="75"/>
        <v>7.3599999999999999E-2</v>
      </c>
      <c r="AA159" s="69">
        <f t="shared" si="76"/>
        <v>5.7888000000000002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77"/>
        <v>1802-02</v>
      </c>
      <c r="AE159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59" s="92" t="str">
        <f t="shared" si="79"/>
        <v>"C:\Program Files (x86)\AstroGrep\AstroGrep.exe" /spath="%USERPROFILE%\AppData\Local\Temp\OnboardLogs" /stypes="app*4004*20161002*" /stext=" 12:.+((SYSTEM_STATE.+slice.+state.+changed )|(ment ac)|(system.+state.+changed )|(\[timeout)|(PRM\|1\|D)|(kpr)|(kdp)|(\|lc)|(penalty))" /e /r /s</v>
      </c>
      <c r="AG159" s="1" t="str">
        <f t="shared" si="80"/>
        <v>NW</v>
      </c>
      <c r="AH159" s="96" t="str">
        <f t="shared" si="81"/>
        <v>"%USERPROFILE%\Documents\GitHub\eaglep3\Utilities\RefineRTDCRunTimes.py" --tripid 1802-02 --locoid 4004 --swversion DE.1.0.7.0 --startMP 300:58624 --initTime 2016-10-02T06:36:57 --startdatetime 2016-10-02T06:38:56 --delay 0 --endMP 204:736 --enddatetime 2016-10-02T06:55:32 --enforcementcount 0 &gt;&gt;C:\Users\stu\Documents\GitHub\eaglep3-reporting\EC\2016-10-02-refined-times.txt</v>
      </c>
      <c r="AI159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{"issue":{"subject":"","project_id":79,"tracker_id":40,"status_id":1,"priority_id":2,"assigned_to_id":23,"start_date":"2016-10-02","description":"","custom_fields":[{"id":1,"name":"Subdivision","value":"NW"},{"id":4,"name":"Milepost","value":"0.0736"},{"id":17,"name":"Train ID","value":"1802-02"},{"id":16,"name":"Locomotive ID","value":"4004"},{"id":130,"name":"Impact","value":""},{"id":150,"name":"Time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535</v>
      </c>
      <c r="B160" s="7">
        <v>4003</v>
      </c>
      <c r="C160" s="24" t="s">
        <v>106</v>
      </c>
      <c r="D160" s="24" t="s">
        <v>536</v>
      </c>
      <c r="E160" s="15">
        <v>42645.301701388889</v>
      </c>
      <c r="F160" s="15">
        <v>42645.306574074071</v>
      </c>
      <c r="G160" s="7">
        <v>1</v>
      </c>
      <c r="H160" s="15" t="s">
        <v>537</v>
      </c>
      <c r="I160" s="15">
        <v>42645.31590277778</v>
      </c>
      <c r="J160" s="7">
        <v>0</v>
      </c>
      <c r="K160" s="117" t="str">
        <f t="shared" si="66"/>
        <v>4003/4004</v>
      </c>
      <c r="L160" s="24" t="str">
        <f>VLOOKUP(A160,'Trips&amp;Operators'!$C$1:$E$10000,3,FALSE)</f>
        <v>STARKS</v>
      </c>
      <c r="M160" s="6">
        <f t="shared" si="67"/>
        <v>9.3287037088884972E-3</v>
      </c>
      <c r="N160" s="7">
        <f t="shared" si="68"/>
        <v>13.433333340799436</v>
      </c>
      <c r="O160" s="7"/>
      <c r="P160" s="7"/>
      <c r="Q160" s="25"/>
      <c r="R160" s="25"/>
      <c r="S160" s="37">
        <f t="shared" si="69"/>
        <v>1</v>
      </c>
      <c r="T160" s="52" t="str">
        <f t="shared" si="70"/>
        <v>NorthBound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06:14:27-0600',mode:absolute,to:'2016-10-02 08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0" s="54" t="str">
        <f t="shared" si="72"/>
        <v>N</v>
      </c>
      <c r="X160" s="164">
        <f t="shared" si="73"/>
        <v>1</v>
      </c>
      <c r="Y160" s="69">
        <f t="shared" si="74"/>
        <v>0.1013</v>
      </c>
      <c r="Z160" s="69">
        <f t="shared" si="75"/>
        <v>5.8928000000000003</v>
      </c>
      <c r="AA160" s="69">
        <f t="shared" si="76"/>
        <v>5.7915000000000001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77"/>
        <v>1803-02</v>
      </c>
      <c r="AE160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60" s="92" t="str">
        <f t="shared" si="79"/>
        <v>"C:\Program Files (x86)\AstroGrep\AstroGrep.exe" /spath="%USERPROFILE%\AppData\Local\Temp\OnboardLogs" /stypes="app*4003*20161002*" /stext=" 13:.+((SYSTEM_STATE.+slice.+state.+changed )|(ment ac)|(system.+state.+changed )|(\[timeout)|(PRM\|1\|D)|(kpr)|(kdp)|(\|lc)|(penalty))" /e /r /s</v>
      </c>
      <c r="AG160" s="1" t="str">
        <f t="shared" si="80"/>
        <v>NW</v>
      </c>
      <c r="AH160" s="96" t="str">
        <f t="shared" si="81"/>
        <v>"%USERPROFILE%\Documents\GitHub\eaglep3\Utilities\RefineRTDCRunTimes.py" --tripid 1803-02 --locoid 4003 --swversion DE.1.0.7.0 --startMP 204:1013 --initTime 2016-10-02T07:14:27 --startdatetime 2016-10-02T07:21:28 --delay 1 --endMP 300:58928 --enddatetime 2016-10-02T07:34:54 --enforcementcount 0 &gt;&gt;C:\Users\stu\Documents\GitHub\eaglep3-reporting\EC\2016-10-02-refined-times.txt</v>
      </c>
      <c r="AI160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{"issue":{"subject":"","project_id":79,"tracker_id":40,"status_id":1,"priority_id":2,"assigned_to_id":23,"start_date":"2016-10-02","description":"","custom_fields":[{"id":1,"name":"Subdivision","value":"NW"},{"id":4,"name":"Milepost","value":"5.8928"},{"id":17,"name":"Train ID","value":"1803-02"},{"id":16,"name":"Locomotive ID","value":"4003"},{"id":130,"name":"Impact","value":""},{"id":150,"name":"Time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538</v>
      </c>
      <c r="B161" s="7">
        <v>4004</v>
      </c>
      <c r="C161" s="24" t="s">
        <v>106</v>
      </c>
      <c r="D161" s="24" t="s">
        <v>333</v>
      </c>
      <c r="E161" s="15">
        <v>42645.317187499997</v>
      </c>
      <c r="F161" s="15">
        <v>42645.31832175926</v>
      </c>
      <c r="G161" s="7">
        <v>1</v>
      </c>
      <c r="H161" s="15" t="s">
        <v>539</v>
      </c>
      <c r="I161" s="15">
        <v>42645.329502314817</v>
      </c>
      <c r="J161" s="7">
        <v>0</v>
      </c>
      <c r="K161" s="117" t="str">
        <f t="shared" si="66"/>
        <v>4003/4004</v>
      </c>
      <c r="L161" s="24" t="str">
        <f>VLOOKUP(A161,'Trips&amp;Operators'!$C$1:$E$10000,3,FALSE)</f>
        <v>STARKS</v>
      </c>
      <c r="M161" s="6">
        <f t="shared" si="67"/>
        <v>1.1180555557075422E-2</v>
      </c>
      <c r="N161" s="7">
        <f t="shared" si="68"/>
        <v>16.100000002188608</v>
      </c>
      <c r="O161" s="7"/>
      <c r="P161" s="7"/>
      <c r="Q161" s="25"/>
      <c r="R161" s="25"/>
      <c r="S161" s="37">
        <f t="shared" si="69"/>
        <v>1</v>
      </c>
      <c r="T161" s="52" t="str">
        <f t="shared" si="70"/>
        <v>Southbound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06:36:45-0600',mode:absolute,to:'2016-10-02 08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1" s="54" t="str">
        <f t="shared" si="72"/>
        <v>N</v>
      </c>
      <c r="X161" s="164">
        <f t="shared" si="73"/>
        <v>1</v>
      </c>
      <c r="Y161" s="69">
        <f t="shared" si="74"/>
        <v>5.8615000000000004</v>
      </c>
      <c r="Z161" s="69">
        <f t="shared" si="75"/>
        <v>7.7600000000000002E-2</v>
      </c>
      <c r="AA161" s="69">
        <f t="shared" si="76"/>
        <v>5.7839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77"/>
        <v>1804-02</v>
      </c>
      <c r="AE161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61" s="92" t="str">
        <f t="shared" si="79"/>
        <v>"C:\Program Files (x86)\AstroGrep\AstroGrep.exe" /spath="%USERPROFILE%\AppData\Local\Temp\OnboardLogs" /stypes="app*4004*20161002*" /stext=" 13:.+((SYSTEM_STATE.+slice.+state.+changed )|(ment ac)|(system.+state.+changed )|(\[timeout)|(PRM\|1\|D)|(kpr)|(kdp)|(\|lc)|(penalty))" /e /r /s</v>
      </c>
      <c r="AG161" s="1" t="str">
        <f t="shared" si="80"/>
        <v>NW</v>
      </c>
      <c r="AH161" s="96" t="str">
        <f t="shared" si="81"/>
        <v>"%USERPROFILE%\Documents\GitHub\eaglep3\Utilities\RefineRTDCRunTimes.py" --tripid 1804-02 --locoid 4004 --swversion DE.1.0.7.0 --startMP 300:58615 --initTime 2016-10-02T07:36:45 --startdatetime 2016-10-02T07:38:23 --delay 1 --endMP 204:776 --enddatetime 2016-10-02T07:54:29 --enforcementcount 0 &gt;&gt;C:\Users\stu\Documents\GitHub\eaglep3-reporting\EC\2016-10-02-refined-times.txt</v>
      </c>
      <c r="AI161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{"issue":{"subject":"","project_id":79,"tracker_id":40,"status_id":1,"priority_id":2,"assigned_to_id":23,"start_date":"2016-10-02","description":"","custom_fields":[{"id":1,"name":"Subdivision","value":"NW"},{"id":4,"name":"Milepost","value":"0.0776"},{"id":17,"name":"Train ID","value":"1804-02"},{"id":16,"name":"Locomotive ID","value":"4004"},{"id":130,"name":"Impact","value":""},{"id":150,"name":"Time of Event (Mountain Time)","value":"07:54:29"},{"id":151,"name":"Denver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540</v>
      </c>
      <c r="B162" s="7">
        <v>4003</v>
      </c>
      <c r="C162" s="24" t="s">
        <v>106</v>
      </c>
      <c r="D162" s="24" t="s">
        <v>541</v>
      </c>
      <c r="E162" s="15">
        <v>42645.344965277778</v>
      </c>
      <c r="F162" s="15">
        <v>42645.348067129627</v>
      </c>
      <c r="G162" s="7">
        <v>1</v>
      </c>
      <c r="H162" s="15" t="s">
        <v>334</v>
      </c>
      <c r="I162" s="15">
        <v>42645.35733796296</v>
      </c>
      <c r="J162" s="7">
        <v>0</v>
      </c>
      <c r="K162" s="117" t="str">
        <f t="shared" si="66"/>
        <v>4003/4004</v>
      </c>
      <c r="L162" s="24" t="str">
        <f>VLOOKUP(A162,'Trips&amp;Operators'!$C$1:$E$10000,3,FALSE)</f>
        <v>STARKS</v>
      </c>
      <c r="M162" s="6">
        <f t="shared" si="67"/>
        <v>9.2708333322661929E-3</v>
      </c>
      <c r="N162" s="7">
        <f t="shared" si="68"/>
        <v>13.349999998463318</v>
      </c>
      <c r="O162" s="7"/>
      <c r="P162" s="7"/>
      <c r="Q162" s="25"/>
      <c r="R162" s="25"/>
      <c r="S162" s="37">
        <f t="shared" si="69"/>
        <v>1</v>
      </c>
      <c r="T162" s="52" t="str">
        <f t="shared" si="70"/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07:16:45-0600',mode:absolute,to:'2016-10-02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2" s="54" t="str">
        <f t="shared" si="72"/>
        <v>N</v>
      </c>
      <c r="X162" s="164">
        <f t="shared" si="73"/>
        <v>1</v>
      </c>
      <c r="Y162" s="69">
        <f t="shared" si="74"/>
        <v>0.1055</v>
      </c>
      <c r="Z162" s="69">
        <f t="shared" si="75"/>
        <v>5.8930999999999996</v>
      </c>
      <c r="AA162" s="69">
        <f t="shared" si="76"/>
        <v>5.7875999999999994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77"/>
        <v>1805-02</v>
      </c>
      <c r="AE162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62" s="92" t="str">
        <f t="shared" si="79"/>
        <v>"C:\Program Files (x86)\AstroGrep\AstroGrep.exe" /spath="%USERPROFILE%\AppData\Local\Temp\OnboardLogs" /stypes="app*4003*20161002*" /stext=" 14:.+((SYSTEM_STATE.+slice.+state.+changed )|(ment ac)|(system.+state.+changed )|(\[timeout)|(PRM\|1\|D)|(kpr)|(kdp)|(\|lc)|(penalty))" /e /r /s</v>
      </c>
      <c r="AG162" s="1" t="str">
        <f t="shared" si="80"/>
        <v>NW</v>
      </c>
      <c r="AH162" s="96" t="str">
        <f t="shared" si="81"/>
        <v>"%USERPROFILE%\Documents\GitHub\eaglep3\Utilities\RefineRTDCRunTimes.py" --tripid 1805-02 --locoid 4003 --swversion DE.1.0.7.0 --startMP 204:1055 --initTime 2016-10-02T08:16:45 --startdatetime 2016-10-02T08:21:13 --delay 1 --endMP 300:58931 --enddatetime 2016-10-02T08:34:34 --enforcementcount 0 &gt;&gt;C:\Users\stu\Documents\GitHub\eaglep3-reporting\EC\2016-10-02-refined-times.txt</v>
      </c>
      <c r="AI162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{"issue":{"subject":"","project_id":79,"tracker_id":40,"status_id":1,"priority_id":2,"assigned_to_id":23,"start_date":"2016-10-02","description":"","custom_fields":[{"id":1,"name":"Subdivision","value":"NW"},{"id":4,"name":"Milepost","value":"5.8931"},{"id":17,"name":"Train ID","value":"1805-02"},{"id":16,"name":"Locomotive ID","value":"4003"},{"id":130,"name":"Impact","value":""},{"id":150,"name":"Time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542</v>
      </c>
      <c r="B163" s="7">
        <v>4004</v>
      </c>
      <c r="C163" s="24" t="s">
        <v>106</v>
      </c>
      <c r="D163" s="24" t="s">
        <v>331</v>
      </c>
      <c r="E163" s="15">
        <v>42645.35837962963</v>
      </c>
      <c r="F163" s="15">
        <v>42645.360034722224</v>
      </c>
      <c r="G163" s="7">
        <v>1</v>
      </c>
      <c r="H163" s="15" t="s">
        <v>371</v>
      </c>
      <c r="I163" s="15">
        <v>42645.371493055558</v>
      </c>
      <c r="J163" s="7">
        <v>0</v>
      </c>
      <c r="K163" s="117" t="str">
        <f t="shared" si="66"/>
        <v>4003/4004</v>
      </c>
      <c r="L163" s="24" t="str">
        <f>VLOOKUP(A163,'Trips&amp;Operators'!$C$1:$E$10000,3,FALSE)</f>
        <v>STARKS</v>
      </c>
      <c r="M163" s="6">
        <f t="shared" si="67"/>
        <v>1.1458333334303461E-2</v>
      </c>
      <c r="N163" s="7">
        <f t="shared" si="68"/>
        <v>16.500000001396984</v>
      </c>
      <c r="O163" s="7"/>
      <c r="P163" s="7"/>
      <c r="Q163" s="25"/>
      <c r="R163" s="25"/>
      <c r="S163" s="37">
        <f t="shared" si="69"/>
        <v>1</v>
      </c>
      <c r="T163" s="52" t="str">
        <f t="shared" si="70"/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07:36:04-0600',mode:absolute,to:'2016-10-02 09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3" s="54" t="str">
        <f t="shared" si="72"/>
        <v>N</v>
      </c>
      <c r="X163" s="164">
        <f t="shared" si="73"/>
        <v>1</v>
      </c>
      <c r="Y163" s="69">
        <f t="shared" si="74"/>
        <v>5.8620999999999999</v>
      </c>
      <c r="Z163" s="69">
        <f t="shared" si="75"/>
        <v>7.4700000000000003E-2</v>
      </c>
      <c r="AA163" s="69">
        <f t="shared" si="76"/>
        <v>5.7873999999999999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77"/>
        <v>1806-02</v>
      </c>
      <c r="AE163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63" s="92" t="str">
        <f t="shared" si="79"/>
        <v>"C:\Program Files (x86)\AstroGrep\AstroGrep.exe" /spath="%USERPROFILE%\AppData\Local\Temp\OnboardLogs" /stypes="app*4004*20161002*" /stext=" 14:.+((SYSTEM_STATE.+slice.+state.+changed )|(ment ac)|(system.+state.+changed )|(\[timeout)|(PRM\|1\|D)|(kpr)|(kdp)|(\|lc)|(penalty))" /e /r /s</v>
      </c>
      <c r="AG163" s="1" t="str">
        <f t="shared" si="80"/>
        <v>NW</v>
      </c>
      <c r="AH163" s="96" t="str">
        <f t="shared" si="81"/>
        <v>"%USERPROFILE%\Documents\GitHub\eaglep3\Utilities\RefineRTDCRunTimes.py" --tripid 1806-02 --locoid 4004 --swversion DE.1.0.7.0 --startMP 300:58621 --initTime 2016-10-02T08:36:04 --startdatetime 2016-10-02T08:38:27 --delay 1 --endMP 204:747 --enddatetime 2016-10-02T08:54:57 --enforcementcount 0 &gt;&gt;C:\Users\stu\Documents\GitHub\eaglep3-reporting\EC\2016-10-02-refined-times.txt</v>
      </c>
      <c r="AI163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{"issue":{"subject":"","project_id":79,"tracker_id":40,"status_id":1,"priority_id":2,"assigned_to_id":23,"start_date":"2016-10-02","description":"","custom_fields":[{"id":1,"name":"Subdivision","value":"NW"},{"id":4,"name":"Milepost","value":"0.0747"},{"id":17,"name":"Train ID","value":"1806-02"},{"id":16,"name":"Locomotive ID","value":"4004"},{"id":130,"name":"Impact","value":""},{"id":150,"name":"Time of Event (Mountain Time)","value":"08:54:57"},{"id":151,"name":"Denver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543</v>
      </c>
      <c r="B164" s="7">
        <v>4003</v>
      </c>
      <c r="C164" s="24" t="s">
        <v>106</v>
      </c>
      <c r="D164" s="24" t="s">
        <v>544</v>
      </c>
      <c r="E164" s="15">
        <v>42645.382314814815</v>
      </c>
      <c r="F164" s="15">
        <v>42645.389745370368</v>
      </c>
      <c r="G164" s="7">
        <v>1</v>
      </c>
      <c r="H164" s="15" t="s">
        <v>537</v>
      </c>
      <c r="I164" s="15">
        <v>42645.39880787037</v>
      </c>
      <c r="J164" s="7">
        <v>0</v>
      </c>
      <c r="K164" s="117" t="str">
        <f t="shared" si="66"/>
        <v>4003/4004</v>
      </c>
      <c r="L164" s="24" t="str">
        <f>VLOOKUP(A164,'Trips&amp;Operators'!$C$1:$E$10000,3,FALSE)</f>
        <v>STARKS</v>
      </c>
      <c r="M164" s="6">
        <f t="shared" si="67"/>
        <v>9.0625000011641532E-3</v>
      </c>
      <c r="N164" s="7">
        <f t="shared" si="68"/>
        <v>13.050000001676381</v>
      </c>
      <c r="O164" s="7"/>
      <c r="P164" s="7"/>
      <c r="Q164" s="25"/>
      <c r="R164" s="25"/>
      <c r="S164" s="37">
        <f t="shared" si="69"/>
        <v>1</v>
      </c>
      <c r="T164" s="52" t="str">
        <f t="shared" si="70"/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08:10:32-0600',mode:absolute,to:'2016-10-02 10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4" s="54" t="str">
        <f t="shared" si="72"/>
        <v>N</v>
      </c>
      <c r="X164" s="164">
        <f t="shared" si="73"/>
        <v>1</v>
      </c>
      <c r="Y164" s="69">
        <f t="shared" si="74"/>
        <v>0.1028</v>
      </c>
      <c r="Z164" s="69">
        <f t="shared" si="75"/>
        <v>5.8928000000000003</v>
      </c>
      <c r="AA164" s="69">
        <f t="shared" si="76"/>
        <v>5.79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77"/>
        <v>1807-02</v>
      </c>
      <c r="AE164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64" s="92" t="str">
        <f t="shared" si="79"/>
        <v>"C:\Program Files (x86)\AstroGrep\AstroGrep.exe" /spath="%USERPROFILE%\AppData\Local\Temp\OnboardLogs" /stypes="app*4003*20161002*" /stext=" 15:.+((SYSTEM_STATE.+slice.+state.+changed )|(ment ac)|(system.+state.+changed )|(\[timeout)|(PRM\|1\|D)|(kpr)|(kdp)|(\|lc)|(penalty))" /e /r /s</v>
      </c>
      <c r="AG164" s="1" t="str">
        <f t="shared" si="80"/>
        <v>NW</v>
      </c>
      <c r="AH164" s="96" t="str">
        <f t="shared" si="81"/>
        <v>"%USERPROFILE%\Documents\GitHub\eaglep3\Utilities\RefineRTDCRunTimes.py" --tripid 1807-02 --locoid 4003 --swversion DE.1.0.7.0 --startMP 204:1028 --initTime 2016-10-02T09:10:32 --startdatetime 2016-10-02T09:21:14 --delay 1 --endMP 300:58928 --enddatetime 2016-10-02T09:34:17 --enforcementcount 0 &gt;&gt;C:\Users\stu\Documents\GitHub\eaglep3-reporting\EC\2016-10-02-refined-times.txt</v>
      </c>
      <c r="AI164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{"issue":{"subject":"","project_id":79,"tracker_id":40,"status_id":1,"priority_id":2,"assigned_to_id":23,"start_date":"2016-10-02","description":"","custom_fields":[{"id":1,"name":"Subdivision","value":"NW"},{"id":4,"name":"Milepost","value":"5.8928"},{"id":17,"name":"Train ID","value":"1807-02"},{"id":16,"name":"Locomotive ID","value":"4003"},{"id":130,"name":"Impact","value":""},{"id":150,"name":"Time of Event (Mountain Time)","value":"09:34:17"},{"id":151,"name":"Denver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545</v>
      </c>
      <c r="B165" s="7">
        <v>4004</v>
      </c>
      <c r="C165" s="24" t="s">
        <v>106</v>
      </c>
      <c r="D165" s="24" t="s">
        <v>528</v>
      </c>
      <c r="E165" s="15">
        <v>42645.399861111109</v>
      </c>
      <c r="F165" s="15">
        <v>42645.401192129626</v>
      </c>
      <c r="G165" s="7">
        <v>1</v>
      </c>
      <c r="H165" s="15" t="s">
        <v>546</v>
      </c>
      <c r="I165" s="15">
        <v>42645.413136574076</v>
      </c>
      <c r="J165" s="7">
        <v>0</v>
      </c>
      <c r="K165" s="117" t="str">
        <f t="shared" si="66"/>
        <v>4003/4004</v>
      </c>
      <c r="L165" s="24" t="str">
        <f>VLOOKUP(A165,'Trips&amp;Operators'!$C$1:$E$10000,3,FALSE)</f>
        <v>STARKS</v>
      </c>
      <c r="M165" s="6">
        <f t="shared" si="67"/>
        <v>1.1944444449909497E-2</v>
      </c>
      <c r="N165" s="7">
        <f t="shared" si="68"/>
        <v>17.200000007869676</v>
      </c>
      <c r="O165" s="7"/>
      <c r="P165" s="7"/>
      <c r="Q165" s="25"/>
      <c r="R165" s="25"/>
      <c r="S165" s="37">
        <f t="shared" si="69"/>
        <v>1</v>
      </c>
      <c r="T165" s="52" t="str">
        <f t="shared" si="70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08:35:48-0600',mode:absolute,to:'2016-10-02 10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5" s="54" t="str">
        <f t="shared" si="72"/>
        <v>N</v>
      </c>
      <c r="X165" s="164">
        <f t="shared" si="73"/>
        <v>1</v>
      </c>
      <c r="Y165" s="69">
        <f t="shared" si="74"/>
        <v>5.8613</v>
      </c>
      <c r="Z165" s="69">
        <f t="shared" si="75"/>
        <v>7.3999999999999996E-2</v>
      </c>
      <c r="AA165" s="69">
        <f t="shared" si="76"/>
        <v>5.7873000000000001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77"/>
        <v>1808-02</v>
      </c>
      <c r="AE165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65" s="92" t="str">
        <f t="shared" si="79"/>
        <v>"C:\Program Files (x86)\AstroGrep\AstroGrep.exe" /spath="%USERPROFILE%\AppData\Local\Temp\OnboardLogs" /stypes="app*4004*20161002*" /stext=" 15:.+((SYSTEM_STATE.+slice.+state.+changed )|(ment ac)|(system.+state.+changed )|(\[timeout)|(PRM\|1\|D)|(kpr)|(kdp)|(\|lc)|(penalty))" /e /r /s</v>
      </c>
      <c r="AG165" s="1" t="str">
        <f t="shared" si="80"/>
        <v>NW</v>
      </c>
      <c r="AH165" s="96" t="str">
        <f t="shared" si="81"/>
        <v>"%USERPROFILE%\Documents\GitHub\eaglep3\Utilities\RefineRTDCRunTimes.py" --tripid 1808-02 --locoid 4004 --swversion DE.1.0.7.0 --startMP 300:58613 --initTime 2016-10-02T09:35:48 --startdatetime 2016-10-02T09:37:43 --delay 1 --endMP 204:740 --enddatetime 2016-10-02T09:54:55 --enforcementcount 0 &gt;&gt;C:\Users\stu\Documents\GitHub\eaglep3-reporting\EC\2016-10-02-refined-times.txt</v>
      </c>
      <c r="AI165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{"issue":{"subject":"","project_id":79,"tracker_id":40,"status_id":1,"priority_id":2,"assigned_to_id":23,"start_date":"2016-10-02","description":"","custom_fields":[{"id":1,"name":"Subdivision","value":"NW"},{"id":4,"name":"Milepost","value":"0.074"},{"id":17,"name":"Train ID","value":"1808-02"},{"id":16,"name":"Locomotive ID","value":"4004"},{"id":130,"name":"Impact","value":""},{"id":150,"name":"Time of Event (Mountain Time)","value":"09:54:55"},{"id":151,"name":"Denver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547</v>
      </c>
      <c r="B166" s="7">
        <v>4003</v>
      </c>
      <c r="C166" s="24" t="s">
        <v>106</v>
      </c>
      <c r="D166" s="24" t="s">
        <v>548</v>
      </c>
      <c r="E166" s="15">
        <v>42645.429432870369</v>
      </c>
      <c r="F166" s="15">
        <v>42645.431423611109</v>
      </c>
      <c r="G166" s="7">
        <v>1</v>
      </c>
      <c r="H166" s="15" t="s">
        <v>549</v>
      </c>
      <c r="I166" s="15">
        <v>42645.440682870372</v>
      </c>
      <c r="J166" s="7">
        <v>0</v>
      </c>
      <c r="K166" s="117" t="str">
        <f t="shared" si="66"/>
        <v>4003/4004</v>
      </c>
      <c r="L166" s="24" t="str">
        <f>VLOOKUP(A166,'Trips&amp;Operators'!$C$1:$E$10000,3,FALSE)</f>
        <v>STARKS</v>
      </c>
      <c r="M166" s="6">
        <f t="shared" si="67"/>
        <v>9.2592592627624981E-3</v>
      </c>
      <c r="N166" s="7">
        <f t="shared" si="68"/>
        <v>13.333333338377997</v>
      </c>
      <c r="O166" s="7"/>
      <c r="P166" s="7"/>
      <c r="Q166" s="25"/>
      <c r="R166" s="25"/>
      <c r="S166" s="37">
        <f t="shared" si="69"/>
        <v>1</v>
      </c>
      <c r="T166" s="52" t="str">
        <f t="shared" si="70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09:18:23-0600',mode:absolute,to:'2016-10-02 11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6" s="54" t="str">
        <f t="shared" si="72"/>
        <v>N</v>
      </c>
      <c r="X166" s="164">
        <f t="shared" si="73"/>
        <v>1</v>
      </c>
      <c r="Y166" s="69">
        <f t="shared" si="74"/>
        <v>0.1032</v>
      </c>
      <c r="Z166" s="69">
        <f t="shared" si="75"/>
        <v>5.8939000000000004</v>
      </c>
      <c r="AA166" s="69">
        <f t="shared" si="76"/>
        <v>5.7907000000000002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77"/>
        <v>1809-02</v>
      </c>
      <c r="AE166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66" s="92" t="str">
        <f t="shared" si="79"/>
        <v>"C:\Program Files (x86)\AstroGrep\AstroGrep.exe" /spath="%USERPROFILE%\AppData\Local\Temp\OnboardLogs" /stypes="app*4003*20161002*" /stext=" 16:.+((SYSTEM_STATE.+slice.+state.+changed )|(ment ac)|(system.+state.+changed )|(\[timeout)|(PRM\|1\|D)|(kpr)|(kdp)|(\|lc)|(penalty))" /e /r /s</v>
      </c>
      <c r="AG166" s="1" t="str">
        <f t="shared" si="80"/>
        <v>NW</v>
      </c>
      <c r="AH166" s="96" t="str">
        <f t="shared" si="81"/>
        <v>"%USERPROFILE%\Documents\GitHub\eaglep3\Utilities\RefineRTDCRunTimes.py" --tripid 1809-02 --locoid 4003 --swversion DE.1.0.7.0 --startMP 204:1032 --initTime 2016-10-02T10:18:23 --startdatetime 2016-10-02T10:21:15 --delay 1 --endMP 300:58939 --enddatetime 2016-10-02T10:34:35 --enforcementcount 0 &gt;&gt;C:\Users\stu\Documents\GitHub\eaglep3-reporting\EC\2016-10-02-refined-times.txt</v>
      </c>
      <c r="AI166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{"issue":{"subject":"","project_id":79,"tracker_id":40,"status_id":1,"priority_id":2,"assigned_to_id":23,"start_date":"2016-10-02","description":"","custom_fields":[{"id":1,"name":"Subdivision","value":"NW"},{"id":4,"name":"Milepost","value":"5.8939"},{"id":17,"name":"Train ID","value":"1809-02"},{"id":16,"name":"Locomotive ID","value":"4003"},{"id":130,"name":"Impact","value":""},{"id":150,"name":"Time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552</v>
      </c>
      <c r="B167" s="7">
        <v>4004</v>
      </c>
      <c r="C167" s="24" t="s">
        <v>106</v>
      </c>
      <c r="D167" s="24" t="s">
        <v>296</v>
      </c>
      <c r="E167" s="15">
        <v>42645.441921296297</v>
      </c>
      <c r="F167" s="15">
        <v>42645.443009259259</v>
      </c>
      <c r="G167" s="7">
        <v>1</v>
      </c>
      <c r="H167" s="15" t="s">
        <v>355</v>
      </c>
      <c r="I167" s="15">
        <v>42645.455706018518</v>
      </c>
      <c r="J167" s="7">
        <v>0</v>
      </c>
      <c r="K167" s="117" t="str">
        <f t="shared" si="66"/>
        <v>4003/4004</v>
      </c>
      <c r="L167" s="24" t="str">
        <f>VLOOKUP(A167,'Trips&amp;Operators'!$C$1:$E$10000,3,FALSE)</f>
        <v>STARKS</v>
      </c>
      <c r="M167" s="6">
        <f t="shared" si="67"/>
        <v>1.2696759258687962E-2</v>
      </c>
      <c r="N167" s="7">
        <f t="shared" si="68"/>
        <v>18.283333332510665</v>
      </c>
      <c r="O167" s="7"/>
      <c r="P167" s="7"/>
      <c r="Q167" s="25"/>
      <c r="R167" s="25"/>
      <c r="S167" s="37">
        <f t="shared" si="69"/>
        <v>1</v>
      </c>
      <c r="T167" s="52" t="str">
        <f t="shared" si="70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09:36:22-0600',mode:absolute,to:'2016-10-02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7" s="54" t="str">
        <f t="shared" si="72"/>
        <v>N</v>
      </c>
      <c r="X167" s="164">
        <f t="shared" si="73"/>
        <v>1</v>
      </c>
      <c r="Y167" s="69">
        <f t="shared" si="74"/>
        <v>5.8624000000000001</v>
      </c>
      <c r="Z167" s="69">
        <f t="shared" si="75"/>
        <v>7.1900000000000006E-2</v>
      </c>
      <c r="AA167" s="69">
        <f t="shared" si="76"/>
        <v>5.7904999999999998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77"/>
        <v>1810-02</v>
      </c>
      <c r="AE167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67" s="92" t="str">
        <f t="shared" si="79"/>
        <v>"C:\Program Files (x86)\AstroGrep\AstroGrep.exe" /spath="%USERPROFILE%\AppData\Local\Temp\OnboardLogs" /stypes="app*4004*20161002*" /stext=" 16:.+((SYSTEM_STATE.+slice.+state.+changed )|(ment ac)|(system.+state.+changed )|(\[timeout)|(PRM\|1\|D)|(kpr)|(kdp)|(\|lc)|(penalty))" /e /r /s</v>
      </c>
      <c r="AG167" s="1" t="str">
        <f t="shared" si="80"/>
        <v>NW</v>
      </c>
      <c r="AH167" s="96" t="str">
        <f t="shared" si="81"/>
        <v>"%USERPROFILE%\Documents\GitHub\eaglep3\Utilities\RefineRTDCRunTimes.py" --tripid 1810-02 --locoid 4004 --swversion DE.1.0.7.0 --startMP 300:58624 --initTime 2016-10-02T10:36:22 --startdatetime 2016-10-02T10:37:56 --delay 1 --endMP 204:719 --enddatetime 2016-10-02T10:56:13 --enforcementcount 0 &gt;&gt;C:\Users\stu\Documents\GitHub\eaglep3-reporting\EC\2016-10-02-refined-times.txt</v>
      </c>
      <c r="AI167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{"issue":{"subject":"","project_id":79,"tracker_id":40,"status_id":1,"priority_id":2,"assigned_to_id":23,"start_date":"2016-10-02","description":"","custom_fields":[{"id":1,"name":"Subdivision","value":"NW"},{"id":4,"name":"Milepost","value":"0.0719"},{"id":17,"name":"Train ID","value":"1810-02"},{"id":16,"name":"Locomotive ID","value":"4004"},{"id":130,"name":"Impact","value":""},{"id":150,"name":"Time of Event (Mountain Time)","value":"10:56:13"},{"id":151,"name":"Denver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553</v>
      </c>
      <c r="B168" s="7">
        <v>4003</v>
      </c>
      <c r="C168" s="24" t="s">
        <v>106</v>
      </c>
      <c r="D168" s="24" t="s">
        <v>374</v>
      </c>
      <c r="E168" s="15">
        <v>42645.469270833331</v>
      </c>
      <c r="F168" s="15">
        <v>42645.473067129627</v>
      </c>
      <c r="G168" s="7">
        <v>1</v>
      </c>
      <c r="H168" s="15" t="s">
        <v>260</v>
      </c>
      <c r="I168" s="15">
        <v>42645.482604166667</v>
      </c>
      <c r="J168" s="7">
        <v>0</v>
      </c>
      <c r="K168" s="117" t="str">
        <f t="shared" si="66"/>
        <v>4003/4004</v>
      </c>
      <c r="L168" s="24" t="str">
        <f>VLOOKUP(A168,'Trips&amp;Operators'!$C$1:$E$10000,3,FALSE)</f>
        <v>STARKS</v>
      </c>
      <c r="M168" s="6">
        <f t="shared" si="67"/>
        <v>9.5370370399905369E-3</v>
      </c>
      <c r="N168" s="7">
        <f t="shared" si="68"/>
        <v>13.733333337586373</v>
      </c>
      <c r="O168" s="7"/>
      <c r="P168" s="7"/>
      <c r="Q168" s="25"/>
      <c r="R168" s="25"/>
      <c r="S168" s="37">
        <f t="shared" si="69"/>
        <v>1</v>
      </c>
      <c r="T168" s="52" t="str">
        <f t="shared" si="70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10:15:45-0600',mode:absolute,to:'2016-10-02 12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8" s="54" t="str">
        <f t="shared" si="72"/>
        <v>N</v>
      </c>
      <c r="X168" s="164">
        <f t="shared" si="73"/>
        <v>1</v>
      </c>
      <c r="Y168" s="69">
        <f t="shared" si="74"/>
        <v>0.1018</v>
      </c>
      <c r="Z168" s="69">
        <f t="shared" si="75"/>
        <v>5.8933</v>
      </c>
      <c r="AA168" s="69">
        <f t="shared" si="76"/>
        <v>5.7915000000000001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77"/>
        <v>1811-02</v>
      </c>
      <c r="AE168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68" s="92" t="str">
        <f t="shared" si="79"/>
        <v>"C:\Program Files (x86)\AstroGrep\AstroGrep.exe" /spath="%USERPROFILE%\AppData\Local\Temp\OnboardLogs" /stypes="app*4003*20161002*" /stext=" 17:.+((SYSTEM_STATE.+slice.+state.+changed )|(ment ac)|(system.+state.+changed )|(\[timeout)|(PRM\|1\|D)|(kpr)|(kdp)|(\|lc)|(penalty))" /e /r /s</v>
      </c>
      <c r="AG168" s="1" t="str">
        <f t="shared" si="80"/>
        <v>NW</v>
      </c>
      <c r="AH168" s="96" t="str">
        <f t="shared" si="81"/>
        <v>"%USERPROFILE%\Documents\GitHub\eaglep3\Utilities\RefineRTDCRunTimes.py" --tripid 1811-02 --locoid 4003 --swversion DE.1.0.7.0 --startMP 204:1018 --initTime 2016-10-02T11:15:45 --startdatetime 2016-10-02T11:21:13 --delay 1 --endMP 300:58933 --enddatetime 2016-10-02T11:34:57 --enforcementcount 0 &gt;&gt;C:\Users\stu\Documents\GitHub\eaglep3-reporting\EC\2016-10-02-refined-times.txt</v>
      </c>
      <c r="AI168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{"issue":{"subject":"","project_id":79,"tracker_id":40,"status_id":1,"priority_id":2,"assigned_to_id":23,"start_date":"2016-10-02","description":"","custom_fields":[{"id":1,"name":"Subdivision","value":"NW"},{"id":4,"name":"Milepost","value":"5.8933"},{"id":17,"name":"Train ID","value":"1811-02"},{"id":16,"name":"Locomotive ID","value":"4003"},{"id":130,"name":"Impact","value":""},{"id":150,"name":"Time of Event (Mountain Time)","value":"11:34:57"},{"id":151,"name":"Denver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554</v>
      </c>
      <c r="B169" s="7">
        <v>4004</v>
      </c>
      <c r="C169" s="24" t="s">
        <v>106</v>
      </c>
      <c r="D169" s="24" t="s">
        <v>333</v>
      </c>
      <c r="E169" s="15">
        <v>42645.48337962963</v>
      </c>
      <c r="F169" s="15">
        <v>42645.484699074077</v>
      </c>
      <c r="G169" s="7">
        <v>1</v>
      </c>
      <c r="H169" s="15" t="s">
        <v>555</v>
      </c>
      <c r="I169" s="15">
        <v>42645.496504629627</v>
      </c>
      <c r="J169" s="7">
        <v>0</v>
      </c>
      <c r="K169" s="117" t="str">
        <f t="shared" si="66"/>
        <v>4003/4004</v>
      </c>
      <c r="L169" s="24" t="str">
        <f>VLOOKUP(A169,'Trips&amp;Operators'!$C$1:$E$10000,3,FALSE)</f>
        <v>STARKS</v>
      </c>
      <c r="M169" s="6">
        <f t="shared" si="67"/>
        <v>1.1805555550381541E-2</v>
      </c>
      <c r="N169" s="7">
        <f t="shared" si="68"/>
        <v>16.999999992549419</v>
      </c>
      <c r="O169" s="7"/>
      <c r="P169" s="7"/>
      <c r="Q169" s="25"/>
      <c r="R169" s="25"/>
      <c r="S169" s="37">
        <f t="shared" si="69"/>
        <v>1</v>
      </c>
      <c r="T169" s="52" t="str">
        <f t="shared" si="70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10:36:04-0600',mode:absolute,to:'2016-10-02 12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9" s="54" t="str">
        <f t="shared" si="72"/>
        <v>N</v>
      </c>
      <c r="X169" s="164">
        <f t="shared" si="73"/>
        <v>1</v>
      </c>
      <c r="Y169" s="69">
        <f t="shared" si="74"/>
        <v>5.8615000000000004</v>
      </c>
      <c r="Z169" s="69">
        <f t="shared" si="75"/>
        <v>7.0999999999999994E-2</v>
      </c>
      <c r="AA169" s="69">
        <f t="shared" si="76"/>
        <v>5.7905000000000006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77"/>
        <v>1812-02</v>
      </c>
      <c r="AE169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69" s="92" t="str">
        <f t="shared" si="79"/>
        <v>"C:\Program Files (x86)\AstroGrep\AstroGrep.exe" /spath="%USERPROFILE%\AppData\Local\Temp\OnboardLogs" /stypes="app*4004*20161002*" /stext=" 17:.+((SYSTEM_STATE.+slice.+state.+changed )|(ment ac)|(system.+state.+changed )|(\[timeout)|(PRM\|1\|D)|(kpr)|(kdp)|(\|lc)|(penalty))" /e /r /s</v>
      </c>
      <c r="AG169" s="1" t="str">
        <f t="shared" si="80"/>
        <v>NW</v>
      </c>
      <c r="AH169" s="96" t="str">
        <f t="shared" si="81"/>
        <v>"%USERPROFILE%\Documents\GitHub\eaglep3\Utilities\RefineRTDCRunTimes.py" --tripid 1812-02 --locoid 4004 --swversion DE.1.0.7.0 --startMP 300:58615 --initTime 2016-10-02T11:36:04 --startdatetime 2016-10-02T11:37:58 --delay 1 --endMP 204:710 --enddatetime 2016-10-02T11:54:58 --enforcementcount 0 &gt;&gt;C:\Users\stu\Documents\GitHub\eaglep3-reporting\EC\2016-10-02-refined-times.txt</v>
      </c>
      <c r="AI169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{"issue":{"subject":"","project_id":79,"tracker_id":40,"status_id":1,"priority_id":2,"assigned_to_id":23,"start_date":"2016-10-02","description":"","custom_fields":[{"id":1,"name":"Subdivision","value":"NW"},{"id":4,"name":"Milepost","value":"0.071"},{"id":17,"name":"Train ID","value":"1812-02"},{"id":16,"name":"Locomotive ID","value":"4004"},{"id":130,"name":"Impact","value":""},{"id":150,"name":"Time of Event (Mountain Time)","value":"11:54:58"},{"id":151,"name":"Denver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556</v>
      </c>
      <c r="B170" s="7">
        <v>4003</v>
      </c>
      <c r="C170" s="24" t="s">
        <v>106</v>
      </c>
      <c r="D170" s="24" t="s">
        <v>374</v>
      </c>
      <c r="E170" s="15">
        <v>42645.511342592596</v>
      </c>
      <c r="F170" s="15">
        <v>42645.514907407407</v>
      </c>
      <c r="G170" s="7">
        <v>1</v>
      </c>
      <c r="H170" s="15" t="s">
        <v>557</v>
      </c>
      <c r="I170" s="15">
        <v>42645.524236111109</v>
      </c>
      <c r="J170" s="7">
        <v>0</v>
      </c>
      <c r="K170" s="117" t="str">
        <f t="shared" si="66"/>
        <v>4003/4004</v>
      </c>
      <c r="L170" s="24" t="str">
        <f>VLOOKUP(A170,'Trips&amp;Operators'!$C$1:$E$10000,3,FALSE)</f>
        <v>STARKS</v>
      </c>
      <c r="M170" s="6">
        <f t="shared" si="67"/>
        <v>9.3287037016125396E-3</v>
      </c>
      <c r="N170" s="7">
        <f t="shared" si="68"/>
        <v>13.433333330322057</v>
      </c>
      <c r="O170" s="7"/>
      <c r="P170" s="7"/>
      <c r="Q170" s="25"/>
      <c r="R170" s="25"/>
      <c r="S170" s="37">
        <f t="shared" si="69"/>
        <v>1</v>
      </c>
      <c r="T170" s="52" t="str">
        <f t="shared" si="70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11:16:20-0600',mode:absolute,to:'2016-10-02 13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0" s="54" t="str">
        <f t="shared" si="72"/>
        <v>N</v>
      </c>
      <c r="X170" s="164">
        <f t="shared" si="73"/>
        <v>1</v>
      </c>
      <c r="Y170" s="69">
        <f t="shared" si="74"/>
        <v>0.1018</v>
      </c>
      <c r="Z170" s="69">
        <f t="shared" si="75"/>
        <v>5.8917999999999999</v>
      </c>
      <c r="AA170" s="69">
        <f t="shared" si="76"/>
        <v>5.79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77"/>
        <v>1813-02</v>
      </c>
      <c r="AE170" s="95" t="str">
        <f t="shared" si="78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70" s="92" t="str">
        <f t="shared" si="79"/>
        <v>"C:\Program Files (x86)\AstroGrep\AstroGrep.exe" /spath="%USERPROFILE%\AppData\Local\Temp\OnboardLogs" /stypes="app*4003*20161002*" /stext=" 18:.+((SYSTEM_STATE.+slice.+state.+changed )|(ment ac)|(system.+state.+changed )|(\[timeout)|(PRM\|1\|D)|(kpr)|(kdp)|(\|lc)|(penalty))" /e /r /s</v>
      </c>
      <c r="AG170" s="1" t="str">
        <f t="shared" si="80"/>
        <v>NW</v>
      </c>
      <c r="AH170" s="96" t="str">
        <f t="shared" si="81"/>
        <v>"%USERPROFILE%\Documents\GitHub\eaglep3\Utilities\RefineRTDCRunTimes.py" --tripid 1813-02 --locoid 4003 --swversion DE.1.0.7.0 --startMP 204:1018 --initTime 2016-10-02T12:16:20 --startdatetime 2016-10-02T12:21:28 --delay 1 --endMP 300:58918 --enddatetime 2016-10-02T12:34:54 --enforcementcount 0 &gt;&gt;C:\Users\stu\Documents\GitHub\eaglep3-reporting\EC\2016-10-02-refined-times.txt</v>
      </c>
      <c r="AI170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{"issue":{"subject":"","project_id":79,"tracker_id":40,"status_id":1,"priority_id":2,"assigned_to_id":23,"start_date":"2016-10-02","description":"","custom_fields":[{"id":1,"name":"Subdivision","value":"NW"},{"id":4,"name":"Milepost","value":"5.8918"},{"id":17,"name":"Train ID","value":"1813-02"},{"id":16,"name":"Locomotive ID","value":"4003"},{"id":130,"name":"Impact","value":""},{"id":150,"name":"Time of Event (Mountain Time)","value":"12:34:54"},{"id":151,"name":"Denver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558</v>
      </c>
      <c r="B171" s="7">
        <v>4004</v>
      </c>
      <c r="C171" s="24" t="s">
        <v>106</v>
      </c>
      <c r="D171" s="24" t="s">
        <v>330</v>
      </c>
      <c r="E171" s="15">
        <v>42645.525185185186</v>
      </c>
      <c r="F171" s="15">
        <v>42645.526354166665</v>
      </c>
      <c r="G171" s="7">
        <v>1</v>
      </c>
      <c r="H171" s="15" t="s">
        <v>405</v>
      </c>
      <c r="I171" s="15">
        <v>42645.539120370369</v>
      </c>
      <c r="J171" s="7">
        <v>0</v>
      </c>
      <c r="K171" s="117" t="str">
        <f t="shared" si="66"/>
        <v>4003/4004</v>
      </c>
      <c r="L171" s="24" t="str">
        <f>VLOOKUP(A171,'Trips&amp;Operators'!$C$1:$E$10000,3,FALSE)</f>
        <v>STARKS</v>
      </c>
      <c r="M171" s="6">
        <f t="shared" si="67"/>
        <v>1.2766203704813961E-2</v>
      </c>
      <c r="N171" s="7">
        <f t="shared" si="68"/>
        <v>18.383333334932104</v>
      </c>
      <c r="O171" s="7"/>
      <c r="P171" s="7"/>
      <c r="Q171" s="25"/>
      <c r="R171" s="25"/>
      <c r="S171" s="37">
        <f t="shared" si="69"/>
        <v>1</v>
      </c>
      <c r="T171" s="52" t="str">
        <f t="shared" si="70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11:36:16-0600',mode:absolute,to:'2016-10-02 13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71" s="54" t="str">
        <f t="shared" si="72"/>
        <v>N</v>
      </c>
      <c r="X171" s="164">
        <f t="shared" si="73"/>
        <v>1</v>
      </c>
      <c r="Y171" s="69">
        <f t="shared" si="74"/>
        <v>5.8616999999999999</v>
      </c>
      <c r="Z171" s="69">
        <f t="shared" si="75"/>
        <v>7.3400000000000007E-2</v>
      </c>
      <c r="AA171" s="69">
        <f t="shared" si="76"/>
        <v>5.7882999999999996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77"/>
        <v>1814-02</v>
      </c>
      <c r="AE171" s="95" t="str">
        <f t="shared" si="78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71" s="92" t="str">
        <f t="shared" si="79"/>
        <v>"C:\Program Files (x86)\AstroGrep\AstroGrep.exe" /spath="%USERPROFILE%\AppData\Local\Temp\OnboardLogs" /stypes="app*4004*20161002*" /stext=" 18:.+((SYSTEM_STATE.+slice.+state.+changed )|(ment ac)|(system.+state.+changed )|(\[timeout)|(PRM\|1\|D)|(kpr)|(kdp)|(\|lc)|(penalty))" /e /r /s</v>
      </c>
      <c r="AG171" s="1" t="str">
        <f t="shared" si="80"/>
        <v>NW</v>
      </c>
      <c r="AH171" s="96" t="str">
        <f t="shared" si="81"/>
        <v>"%USERPROFILE%\Documents\GitHub\eaglep3\Utilities\RefineRTDCRunTimes.py" --tripid 1814-02 --locoid 4004 --swversion DE.1.0.7.0 --startMP 300:58617 --initTime 2016-10-02T12:36:16 --startdatetime 2016-10-02T12:37:57 --delay 1 --endMP 204:734 --enddatetime 2016-10-02T12:56:20 --enforcementcount 0 &gt;&gt;C:\Users\stu\Documents\GitHub\eaglep3-reporting\EC\2016-10-02-refined-times.txt</v>
      </c>
      <c r="AI171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{"issue":{"subject":"","project_id":79,"tracker_id":40,"status_id":1,"priority_id":2,"assigned_to_id":23,"start_date":"2016-10-02","description":"","custom_fields":[{"id":1,"name":"Subdivision","value":"NW"},{"id":4,"name":"Milepost","value":"0.0734"},{"id":17,"name":"Train ID","value":"1814-02"},{"id":16,"name":"Locomotive ID","value":"4004"},{"id":130,"name":"Impact","value":""},{"id":150,"name":"Time of Event (Mountain Time)","value":"12:56:20"},{"id":151,"name":"Denver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559</v>
      </c>
      <c r="B172" s="7">
        <v>4003</v>
      </c>
      <c r="C172" s="24" t="s">
        <v>106</v>
      </c>
      <c r="D172" s="24" t="s">
        <v>531</v>
      </c>
      <c r="E172" s="15">
        <v>42645.553657407407</v>
      </c>
      <c r="F172" s="15">
        <v>42645.556400462963</v>
      </c>
      <c r="G172" s="7">
        <v>1</v>
      </c>
      <c r="H172" s="15" t="s">
        <v>260</v>
      </c>
      <c r="I172" s="15">
        <v>42645.56559027778</v>
      </c>
      <c r="J172" s="7">
        <v>0</v>
      </c>
      <c r="K172" s="117" t="str">
        <f t="shared" ref="K172:K203" si="83">IF(ISEVEN(B172),(B172-1)&amp;"/"&amp;B172,B172&amp;"/"&amp;(B172+1))</f>
        <v>4003/4004</v>
      </c>
      <c r="L172" s="24" t="str">
        <f>VLOOKUP(A172,'Trips&amp;Operators'!$C$1:$E$10000,3,FALSE)</f>
        <v>STARKS</v>
      </c>
      <c r="M172" s="6">
        <f t="shared" ref="M172:M203" si="84">I172-F172</f>
        <v>9.189814816636499E-3</v>
      </c>
      <c r="N172" s="7">
        <f t="shared" ref="N172:N203" si="85">24*60*SUM($M172:$M172)</f>
        <v>13.233333335956559</v>
      </c>
      <c r="O172" s="7"/>
      <c r="P172" s="7"/>
      <c r="Q172" s="25"/>
      <c r="R172" s="25"/>
      <c r="S172" s="37">
        <f t="shared" ref="S172:S203" si="86">SUM(U172:U172)/IF(AG172="EC",12,1)</f>
        <v>1</v>
      </c>
      <c r="T172" s="52" t="str">
        <f t="shared" ref="T172:T203" si="87">IF(ISEVEN(LEFT(AD172,4)),"Southbound","NorthBound")</f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ref="V172:V203" si="88"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https://search-rtdc-monitor-bjffxe2xuh6vdkpspy63sjmuny.us-east-1.es.amazonaws.com/_plugin/kibana/#/discover/Steve-Slow-Train-Analysis-(2080s-and-2083s)?_g=(refreshInterval:(display:Off,section:0,value:0),time:(from:'2016-10-02 12:17:16-0600',mode:absolute,to:'2016-10-02 14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2" s="54" t="str">
        <f t="shared" ref="W172:W203" si="89">IF(AA172&lt;IF(AG172="EC",23,5.65),"Y","N")</f>
        <v>N</v>
      </c>
      <c r="X172" s="164">
        <f t="shared" ref="X172:X203" si="90">VALUE(LEFT(AD172,4))-VALUE(LEFT(AD171,4))</f>
        <v>1</v>
      </c>
      <c r="Y172" s="69">
        <f t="shared" ref="Y172:Y203" si="91">RIGHT(D172,LEN(D172)-4)/10000</f>
        <v>0.1014</v>
      </c>
      <c r="Z172" s="69">
        <f t="shared" ref="Z172:Z203" si="92">RIGHT(H172,LEN(H172)-4)/10000</f>
        <v>5.8933</v>
      </c>
      <c r="AA172" s="69">
        <f t="shared" ref="AA172:AA203" si="93">ABS(Z172-Y172)</f>
        <v>5.7919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ref="AD172:AD203" si="94">IF(LEN(A172)=6,"0"&amp;A172,A172)</f>
        <v>1815-02</v>
      </c>
      <c r="AE172" s="95" t="str">
        <f t="shared" ref="AE172:AE203" si="95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72" s="92" t="str">
        <f t="shared" ref="AF172:AF203" si="96"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/stypes="app*4003*20161002*" /stext=" 19:.+((SYSTEM_STATE.+slice.+state.+changed )|(ment ac)|(system.+state.+changed )|(\[timeout)|(PRM\|1\|D)|(kpr)|(kdp)|(\|lc)|(penalty))" /e /r /s</v>
      </c>
      <c r="AG172" s="1" t="str">
        <f t="shared" ref="AG172:AG203" si="97">IFERROR(IF(VALUE(LEFT(AD172,2))&lt;=2,"EC",IF(OR(VALUE(LEFT(AD172,2))=8,VALUE(LEFT(AD172,2))=18),"NW","Other")),"Other")</f>
        <v>NW</v>
      </c>
      <c r="AH172" s="96" t="str">
        <f t="shared" si="81"/>
        <v>"%USERPROFILE%\Documents\GitHub\eaglep3\Utilities\RefineRTDCRunTimes.py" --tripid 1815-02 --locoid 4003 --swversion DE.1.0.7.0 --startMP 204:1014 --initTime 2016-10-02T13:17:16 --startdatetime 2016-10-02T13:21:13 --delay 1 --endMP 300:58933 --enddatetime 2016-10-02T13:34:27 --enforcementcount 0 &gt;&gt;C:\Users\stu\Documents\GitHub\eaglep3-reporting\EC\2016-10-02-refined-times.txt</v>
      </c>
      <c r="AI172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{"issue":{"subject":"","project_id":79,"tracker_id":40,"status_id":1,"priority_id":2,"assigned_to_id":23,"start_date":"2016-10-02","description":"","custom_fields":[{"id":1,"name":"Subdivision","value":"NW"},{"id":4,"name":"Milepost","value":"5.8933"},{"id":17,"name":"Train ID","value":"1815-02"},{"id":16,"name":"Locomotive ID","value":"4003"},{"id":130,"name":"Impact","value":""},{"id":150,"name":"Time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560</v>
      </c>
      <c r="B173" s="7">
        <v>4004</v>
      </c>
      <c r="C173" s="24" t="s">
        <v>106</v>
      </c>
      <c r="D173" s="24" t="s">
        <v>528</v>
      </c>
      <c r="E173" s="15">
        <v>42645.567187499997</v>
      </c>
      <c r="F173" s="15">
        <v>42645.568738425929</v>
      </c>
      <c r="G173" s="7">
        <v>1</v>
      </c>
      <c r="H173" s="15" t="s">
        <v>561</v>
      </c>
      <c r="I173" s="15">
        <v>42645.579884259256</v>
      </c>
      <c r="J173" s="7">
        <v>0</v>
      </c>
      <c r="K173" s="117" t="str">
        <f t="shared" si="83"/>
        <v>4003/4004</v>
      </c>
      <c r="L173" s="24" t="str">
        <f>VLOOKUP(A173,'Trips&amp;Operators'!$C$1:$E$10000,3,FALSE)</f>
        <v>STARKS</v>
      </c>
      <c r="M173" s="6">
        <f t="shared" si="84"/>
        <v>1.1145833326736465E-2</v>
      </c>
      <c r="N173" s="7">
        <f t="shared" si="85"/>
        <v>16.04999999050051</v>
      </c>
      <c r="O173" s="7"/>
      <c r="P173" s="7"/>
      <c r="Q173" s="25"/>
      <c r="R173" s="25"/>
      <c r="S173" s="37">
        <f t="shared" si="86"/>
        <v>1</v>
      </c>
      <c r="T173" s="52" t="str">
        <f t="shared" si="87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12:36:45-0600',mode:absolute,to:'2016-10-02 14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73" s="54" t="str">
        <f t="shared" si="89"/>
        <v>N</v>
      </c>
      <c r="X173" s="164">
        <f t="shared" si="90"/>
        <v>1</v>
      </c>
      <c r="Y173" s="69">
        <f t="shared" si="91"/>
        <v>5.8613</v>
      </c>
      <c r="Z173" s="69">
        <f t="shared" si="92"/>
        <v>7.22E-2</v>
      </c>
      <c r="AA173" s="69">
        <f t="shared" si="93"/>
        <v>5.7891000000000004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94"/>
        <v>1816-02</v>
      </c>
      <c r="AE173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73" s="92" t="str">
        <f t="shared" si="96"/>
        <v>"C:\Program Files (x86)\AstroGrep\AstroGrep.exe" /spath="%USERPROFILE%\AppData\Local\Temp\OnboardLogs" /stypes="app*4004*20161002*" /stext=" 19:.+((SYSTEM_STATE.+slice.+state.+changed )|(ment ac)|(system.+state.+changed )|(\[timeout)|(PRM\|1\|D)|(kpr)|(kdp)|(\|lc)|(penalty))" /e /r /s</v>
      </c>
      <c r="AG173" s="1" t="str">
        <f t="shared" si="97"/>
        <v>NW</v>
      </c>
      <c r="AH173" s="96" t="str">
        <f t="shared" si="81"/>
        <v>"%USERPROFILE%\Documents\GitHub\eaglep3\Utilities\RefineRTDCRunTimes.py" --tripid 1816-02 --locoid 4004 --swversion DE.1.0.7.0 --startMP 300:58613 --initTime 2016-10-02T13:36:45 --startdatetime 2016-10-02T13:38:59 --delay 1 --endMP 204:722 --enddatetime 2016-10-02T13:55:02 --enforcementcount 0 &gt;&gt;C:\Users\stu\Documents\GitHub\eaglep3-reporting\EC\2016-10-02-refined-times.txt</v>
      </c>
      <c r="AI173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{"issue":{"subject":"","project_id":79,"tracker_id":40,"status_id":1,"priority_id":2,"assigned_to_id":23,"start_date":"2016-10-02","description":"","custom_fields":[{"id":1,"name":"Subdivision","value":"NW"},{"id":4,"name":"Milepost","value":"0.0722"},{"id":17,"name":"Train ID","value":"1816-02"},{"id":16,"name":"Locomotive ID","value":"4004"},{"id":130,"name":"Impact","value":""},{"id":150,"name":"Time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562</v>
      </c>
      <c r="B174" s="7">
        <v>4003</v>
      </c>
      <c r="C174" s="24" t="s">
        <v>106</v>
      </c>
      <c r="D174" s="24" t="s">
        <v>374</v>
      </c>
      <c r="E174" s="15">
        <v>42645.584733796299</v>
      </c>
      <c r="F174" s="15">
        <v>42645.598599537036</v>
      </c>
      <c r="G174" s="7">
        <v>1</v>
      </c>
      <c r="H174" s="15" t="s">
        <v>373</v>
      </c>
      <c r="I174" s="15">
        <v>42645.607997685183</v>
      </c>
      <c r="J174" s="7">
        <v>0</v>
      </c>
      <c r="K174" s="117" t="str">
        <f t="shared" si="83"/>
        <v>4003/4004</v>
      </c>
      <c r="L174" s="24" t="str">
        <f>VLOOKUP(A174,'Trips&amp;Operators'!$C$1:$E$10000,3,FALSE)</f>
        <v>BROWN</v>
      </c>
      <c r="M174" s="6">
        <f t="shared" si="84"/>
        <v>9.3981481477385387E-3</v>
      </c>
      <c r="N174" s="7">
        <f t="shared" si="85"/>
        <v>13.533333332743496</v>
      </c>
      <c r="O174" s="7"/>
      <c r="P174" s="7"/>
      <c r="Q174" s="25"/>
      <c r="R174" s="25"/>
      <c r="S174" s="37">
        <f t="shared" si="86"/>
        <v>1</v>
      </c>
      <c r="T174" s="52" t="str">
        <f t="shared" si="87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13:02:01-0600',mode:absolute,to:'2016-10-02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4" s="54" t="str">
        <f t="shared" si="89"/>
        <v>N</v>
      </c>
      <c r="X174" s="164">
        <f t="shared" si="90"/>
        <v>1</v>
      </c>
      <c r="Y174" s="69">
        <f t="shared" si="91"/>
        <v>0.1018</v>
      </c>
      <c r="Z174" s="69">
        <f t="shared" si="92"/>
        <v>5.8986000000000001</v>
      </c>
      <c r="AA174" s="69">
        <f t="shared" si="93"/>
        <v>5.7968000000000002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94"/>
        <v>1817-02</v>
      </c>
      <c r="AE174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74" s="92" t="str">
        <f t="shared" si="96"/>
        <v>"C:\Program Files (x86)\AstroGrep\AstroGrep.exe" /spath="%USERPROFILE%\AppData\Local\Temp\OnboardLogs" /stypes="app*4003*20161002*" /stext=" 20:.+((SYSTEM_STATE.+slice.+state.+changed )|(ment ac)|(system.+state.+changed )|(\[timeout)|(PRM\|1\|D)|(kpr)|(kdp)|(\|lc)|(penalty))" /e /r /s</v>
      </c>
      <c r="AG174" s="1" t="str">
        <f t="shared" si="97"/>
        <v>NW</v>
      </c>
      <c r="AH174" s="96" t="str">
        <f t="shared" si="81"/>
        <v>"%USERPROFILE%\Documents\GitHub\eaglep3\Utilities\RefineRTDCRunTimes.py" --tripid 1817-02 --locoid 4003 --swversion DE.1.0.7.0 --startMP 204:1018 --initTime 2016-10-02T14:02:01 --startdatetime 2016-10-02T14:21:59 --delay 1 --endMP 300:58986 --enddatetime 2016-10-02T14:35:31 --enforcementcount 0 &gt;&gt;C:\Users\stu\Documents\GitHub\eaglep3-reporting\EC\2016-10-02-refined-times.txt</v>
      </c>
      <c r="AI174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{"issue":{"subject":"","project_id":79,"tracker_id":40,"status_id":1,"priority_id":2,"assigned_to_id":23,"start_date":"2016-10-02","description":"","custom_fields":[{"id":1,"name":"Subdivision","value":"NW"},{"id":4,"name":"Milepost","value":"5.8986"},{"id":17,"name":"Train ID","value":"1817-02"},{"id":16,"name":"Locomotive ID","value":"4003"},{"id":130,"name":"Impact","value":""},{"id":150,"name":"Time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563</v>
      </c>
      <c r="B175" s="7">
        <v>4004</v>
      </c>
      <c r="C175" s="24" t="s">
        <v>106</v>
      </c>
      <c r="D175" s="24" t="s">
        <v>564</v>
      </c>
      <c r="E175" s="15">
        <v>42645.608993055554</v>
      </c>
      <c r="F175" s="15">
        <v>42645.610636574071</v>
      </c>
      <c r="G175" s="7">
        <v>1</v>
      </c>
      <c r="H175" s="15" t="s">
        <v>565</v>
      </c>
      <c r="I175" s="15">
        <v>42645.621203703704</v>
      </c>
      <c r="J175" s="7">
        <v>0</v>
      </c>
      <c r="K175" s="117" t="str">
        <f t="shared" si="83"/>
        <v>4003/4004</v>
      </c>
      <c r="L175" s="24" t="str">
        <f>VLOOKUP(A175,'Trips&amp;Operators'!$C$1:$E$10000,3,FALSE)</f>
        <v>BROWN</v>
      </c>
      <c r="M175" s="6">
        <f t="shared" si="84"/>
        <v>1.0567129633272998E-2</v>
      </c>
      <c r="N175" s="7">
        <f t="shared" si="85"/>
        <v>15.216666671913117</v>
      </c>
      <c r="O175" s="7"/>
      <c r="P175" s="7"/>
      <c r="Q175" s="25"/>
      <c r="R175" s="25"/>
      <c r="S175" s="37">
        <f t="shared" si="86"/>
        <v>1</v>
      </c>
      <c r="T175" s="52" t="str">
        <f t="shared" si="87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13:36:57-0600',mode:absolute,to:'2016-10-02 15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75" s="54" t="str">
        <f t="shared" si="89"/>
        <v>N</v>
      </c>
      <c r="X175" s="164">
        <f t="shared" si="90"/>
        <v>1</v>
      </c>
      <c r="Y175" s="69">
        <f t="shared" si="91"/>
        <v>5.8653000000000004</v>
      </c>
      <c r="Z175" s="69">
        <f t="shared" si="92"/>
        <v>7.2900000000000006E-2</v>
      </c>
      <c r="AA175" s="69">
        <f t="shared" si="93"/>
        <v>5.7924000000000007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94"/>
        <v>1818-02</v>
      </c>
      <c r="AE175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75" s="92" t="str">
        <f t="shared" si="96"/>
        <v>"C:\Program Files (x86)\AstroGrep\AstroGrep.exe" /spath="%USERPROFILE%\AppData\Local\Temp\OnboardLogs" /stypes="app*4004*20161002*" /stext=" 20:.+((SYSTEM_STATE.+slice.+state.+changed )|(ment ac)|(system.+state.+changed )|(\[timeout)|(PRM\|1\|D)|(kpr)|(kdp)|(\|lc)|(penalty))" /e /r /s</v>
      </c>
      <c r="AG175" s="1" t="str">
        <f t="shared" si="97"/>
        <v>NW</v>
      </c>
      <c r="AH175" s="96" t="str">
        <f t="shared" si="81"/>
        <v>"%USERPROFILE%\Documents\GitHub\eaglep3\Utilities\RefineRTDCRunTimes.py" --tripid 1818-02 --locoid 4004 --swversion DE.1.0.7.0 --startMP 300:58653 --initTime 2016-10-02T14:36:57 --startdatetime 2016-10-02T14:39:19 --delay 1 --endMP 204:729 --enddatetime 2016-10-02T14:54:32 --enforcementcount 0 &gt;&gt;C:\Users\stu\Documents\GitHub\eaglep3-reporting\EC\2016-10-02-refined-times.txt</v>
      </c>
      <c r="AI175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{"issue":{"subject":"","project_id":79,"tracker_id":40,"status_id":1,"priority_id":2,"assigned_to_id":23,"start_date":"2016-10-02","description":"","custom_fields":[{"id":1,"name":"Subdivision","value":"NW"},{"id":4,"name":"Milepost","value":"0.0729"},{"id":17,"name":"Train ID","value":"1818-02"},{"id":16,"name":"Locomotive ID","value":"4004"},{"id":130,"name":"Impact","value":""},{"id":150,"name":"Time of Event (Mountain Time)","value":"14:54:32"},{"id":151,"name":"Denver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566</v>
      </c>
      <c r="B176" s="7">
        <v>4003</v>
      </c>
      <c r="C176" s="24" t="s">
        <v>106</v>
      </c>
      <c r="D176" s="24" t="s">
        <v>531</v>
      </c>
      <c r="E176" s="15">
        <v>42645.629965277774</v>
      </c>
      <c r="F176" s="15">
        <v>42645.639733796299</v>
      </c>
      <c r="G176" s="7">
        <v>1</v>
      </c>
      <c r="H176" s="15" t="s">
        <v>375</v>
      </c>
      <c r="I176" s="15">
        <v>42645.648888888885</v>
      </c>
      <c r="J176" s="7">
        <v>0</v>
      </c>
      <c r="K176" s="117" t="str">
        <f t="shared" si="83"/>
        <v>4003/4004</v>
      </c>
      <c r="L176" s="24" t="str">
        <f>VLOOKUP(A176,'Trips&amp;Operators'!$C$1:$E$10000,3,FALSE)</f>
        <v>BROWN</v>
      </c>
      <c r="M176" s="6">
        <f t="shared" si="84"/>
        <v>9.1550925862975419E-3</v>
      </c>
      <c r="N176" s="7">
        <f t="shared" si="85"/>
        <v>13.18333332426846</v>
      </c>
      <c r="O176" s="7"/>
      <c r="P176" s="7"/>
      <c r="Q176" s="25"/>
      <c r="R176" s="25"/>
      <c r="S176" s="37">
        <f t="shared" si="86"/>
        <v>1</v>
      </c>
      <c r="T176" s="52" t="str">
        <f t="shared" si="87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14:07:09-0600',mode:absolute,to:'2016-10-02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6" s="54" t="str">
        <f t="shared" si="89"/>
        <v>N</v>
      </c>
      <c r="X176" s="164">
        <f t="shared" si="90"/>
        <v>1</v>
      </c>
      <c r="Y176" s="69">
        <f t="shared" si="91"/>
        <v>0.1014</v>
      </c>
      <c r="Z176" s="69">
        <f t="shared" si="92"/>
        <v>5.8967000000000001</v>
      </c>
      <c r="AA176" s="69">
        <f t="shared" si="93"/>
        <v>5.7953000000000001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94"/>
        <v>1819-02</v>
      </c>
      <c r="AE176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76" s="92" t="str">
        <f t="shared" si="96"/>
        <v>"C:\Program Files (x86)\AstroGrep\AstroGrep.exe" /spath="%USERPROFILE%\AppData\Local\Temp\OnboardLogs" /stypes="app*4003*20161002*" /stext=" 21:.+((SYSTEM_STATE.+slice.+state.+changed )|(ment ac)|(system.+state.+changed )|(\[timeout)|(PRM\|1\|D)|(kpr)|(kdp)|(\|lc)|(penalty))" /e /r /s</v>
      </c>
      <c r="AG176" s="1" t="str">
        <f t="shared" si="97"/>
        <v>NW</v>
      </c>
      <c r="AH176" s="96" t="str">
        <f t="shared" si="81"/>
        <v>"%USERPROFILE%\Documents\GitHub\eaglep3\Utilities\RefineRTDCRunTimes.py" --tripid 1819-02 --locoid 4003 --swversion DE.1.0.7.0 --startMP 204:1014 --initTime 2016-10-02T15:07:09 --startdatetime 2016-10-02T15:21:13 --delay 1 --endMP 300:58967 --enddatetime 2016-10-02T15:34:24 --enforcementcount 0 &gt;&gt;C:\Users\stu\Documents\GitHub\eaglep3-reporting\EC\2016-10-02-refined-times.txt</v>
      </c>
      <c r="AI176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{"issue":{"subject":"","project_id":79,"tracker_id":40,"status_id":1,"priority_id":2,"assigned_to_id":23,"start_date":"2016-10-02","description":"","custom_fields":[{"id":1,"name":"Subdivision","value":"NW"},{"id":4,"name":"Milepost","value":"5.8967"},{"id":17,"name":"Train ID","value":"1819-02"},{"id":16,"name":"Locomotive ID","value":"4003"},{"id":130,"name":"Impact","value":""},{"id":150,"name":"Time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568</v>
      </c>
      <c r="B177" s="7">
        <v>4004</v>
      </c>
      <c r="C177" s="24" t="s">
        <v>106</v>
      </c>
      <c r="D177" s="24" t="s">
        <v>569</v>
      </c>
      <c r="E177" s="15">
        <v>42645.650682870371</v>
      </c>
      <c r="F177" s="15">
        <v>42645.65347222222</v>
      </c>
      <c r="G177" s="7">
        <v>1</v>
      </c>
      <c r="H177" s="15" t="s">
        <v>534</v>
      </c>
      <c r="I177" s="15">
        <v>42645.664282407408</v>
      </c>
      <c r="J177" s="7">
        <v>0</v>
      </c>
      <c r="K177" s="117" t="str">
        <f t="shared" si="83"/>
        <v>4003/4004</v>
      </c>
      <c r="L177" s="24" t="str">
        <f>VLOOKUP(A177,'Trips&amp;Operators'!$C$1:$E$10000,3,FALSE)</f>
        <v>BROWN</v>
      </c>
      <c r="M177" s="6">
        <f t="shared" si="84"/>
        <v>1.0810185187438037E-2</v>
      </c>
      <c r="N177" s="7">
        <f t="shared" si="85"/>
        <v>15.566666669910774</v>
      </c>
      <c r="O177" s="7"/>
      <c r="P177" s="7"/>
      <c r="Q177" s="25"/>
      <c r="R177" s="25"/>
      <c r="S177" s="37">
        <f t="shared" si="86"/>
        <v>1</v>
      </c>
      <c r="T177" s="52" t="str">
        <f t="shared" si="87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14:36:59-0600',mode:absolute,to:'2016-10-02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77" s="54" t="str">
        <f t="shared" si="89"/>
        <v>N</v>
      </c>
      <c r="X177" s="164">
        <f t="shared" si="90"/>
        <v>1</v>
      </c>
      <c r="Y177" s="69">
        <f t="shared" si="91"/>
        <v>5.8651</v>
      </c>
      <c r="Z177" s="69">
        <f t="shared" si="92"/>
        <v>7.3599999999999999E-2</v>
      </c>
      <c r="AA177" s="69">
        <f t="shared" si="93"/>
        <v>5.7915000000000001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94"/>
        <v>1820-02</v>
      </c>
      <c r="AE177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77" s="92" t="str">
        <f t="shared" si="96"/>
        <v>"C:\Program Files (x86)\AstroGrep\AstroGrep.exe" /spath="%USERPROFILE%\AppData\Local\Temp\OnboardLogs" /stypes="app*4004*20161002*" /stext=" 21:.+((SYSTEM_STATE.+slice.+state.+changed )|(ment ac)|(system.+state.+changed )|(\[timeout)|(PRM\|1\|D)|(kpr)|(kdp)|(\|lc)|(penalty))" /e /r /s</v>
      </c>
      <c r="AG177" s="1" t="str">
        <f t="shared" si="97"/>
        <v>NW</v>
      </c>
      <c r="AH177" s="96" t="str">
        <f t="shared" si="81"/>
        <v>"%USERPROFILE%\Documents\GitHub\eaglep3\Utilities\RefineRTDCRunTimes.py" --tripid 1820-02 --locoid 4004 --swversion DE.1.0.7.0 --startMP 300:58651 --initTime 2016-10-02T15:36:59 --startdatetime 2016-10-02T15:41:00 --delay 1 --endMP 204:736 --enddatetime 2016-10-02T15:56:34 --enforcementcount 0 &gt;&gt;C:\Users\stu\Documents\GitHub\eaglep3-reporting\EC\2016-10-02-refined-times.txt</v>
      </c>
      <c r="AI177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{"issue":{"subject":"","project_id":79,"tracker_id":40,"status_id":1,"priority_id":2,"assigned_to_id":23,"start_date":"2016-10-02","description":"","custom_fields":[{"id":1,"name":"Subdivision","value":"NW"},{"id":4,"name":"Milepost","value":"0.0736"},{"id":17,"name":"Train ID","value":"1820-02"},{"id":16,"name":"Locomotive ID","value":"4004"},{"id":130,"name":"Impact","value":""},{"id":150,"name":"Time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570</v>
      </c>
      <c r="B178" s="7">
        <v>4003</v>
      </c>
      <c r="C178" s="24" t="s">
        <v>106</v>
      </c>
      <c r="D178" s="24" t="s">
        <v>372</v>
      </c>
      <c r="E178" s="15">
        <v>42645.671620370369</v>
      </c>
      <c r="F178" s="15">
        <v>42645.68141203704</v>
      </c>
      <c r="G178" s="7">
        <v>1</v>
      </c>
      <c r="H178" s="15" t="s">
        <v>571</v>
      </c>
      <c r="I178" s="15">
        <v>42645.691192129627</v>
      </c>
      <c r="J178" s="7">
        <v>0</v>
      </c>
      <c r="K178" s="117" t="str">
        <f t="shared" si="83"/>
        <v>4003/4004</v>
      </c>
      <c r="L178" s="24" t="str">
        <f>VLOOKUP(A178,'Trips&amp;Operators'!$C$1:$E$10000,3,FALSE)</f>
        <v>BROWN</v>
      </c>
      <c r="M178" s="6">
        <f t="shared" si="84"/>
        <v>9.7800925868796185E-3</v>
      </c>
      <c r="N178" s="7">
        <f t="shared" si="85"/>
        <v>14.083333325106651</v>
      </c>
      <c r="O178" s="7"/>
      <c r="P178" s="7"/>
      <c r="Q178" s="25"/>
      <c r="R178" s="25"/>
      <c r="S178" s="37">
        <f t="shared" si="86"/>
        <v>1</v>
      </c>
      <c r="T178" s="52" t="str">
        <f t="shared" si="87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15:07:08-0600',mode:absolute,to:'2016-10-02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78" s="54" t="str">
        <f t="shared" si="89"/>
        <v>N</v>
      </c>
      <c r="X178" s="164">
        <f t="shared" si="90"/>
        <v>1</v>
      </c>
      <c r="Y178" s="69">
        <f t="shared" si="91"/>
        <v>0.10249999999999999</v>
      </c>
      <c r="Z178" s="69">
        <f t="shared" si="92"/>
        <v>5.8945999999999996</v>
      </c>
      <c r="AA178" s="69">
        <f t="shared" si="93"/>
        <v>5.7920999999999996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94"/>
        <v>1821-02</v>
      </c>
      <c r="AE178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78" s="92" t="str">
        <f t="shared" si="96"/>
        <v>"C:\Program Files (x86)\AstroGrep\AstroGrep.exe" /spath="%USERPROFILE%\AppData\Local\Temp\OnboardLogs" /stypes="app*4003*20161002*" /stext=" 22:.+((SYSTEM_STATE.+slice.+state.+changed )|(ment ac)|(system.+state.+changed )|(\[timeout)|(PRM\|1\|D)|(kpr)|(kdp)|(\|lc)|(penalty))" /e /r /s</v>
      </c>
      <c r="AG178" s="1" t="str">
        <f t="shared" si="97"/>
        <v>NW</v>
      </c>
      <c r="AH178" s="96" t="str">
        <f t="shared" si="81"/>
        <v>"%USERPROFILE%\Documents\GitHub\eaglep3\Utilities\RefineRTDCRunTimes.py" --tripid 1821-02 --locoid 4003 --swversion DE.1.0.7.0 --startMP 204:1025 --initTime 2016-10-02T16:07:08 --startdatetime 2016-10-02T16:21:14 --delay 1 --endMP 300:58946 --enddatetime 2016-10-02T16:35:19 --enforcementcount 0 &gt;&gt;C:\Users\stu\Documents\GitHub\eaglep3-reporting\EC\2016-10-02-refined-times.txt</v>
      </c>
      <c r="AI178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{"issue":{"subject":"","project_id":79,"tracker_id":40,"status_id":1,"priority_id":2,"assigned_to_id":23,"start_date":"2016-10-02","description":"","custom_fields":[{"id":1,"name":"Subdivision","value":"NW"},{"id":4,"name":"Milepost","value":"5.8946"},{"id":17,"name":"Train ID","value":"1821-02"},{"id":16,"name":"Locomotive ID","value":"4003"},{"id":130,"name":"Impact","value":""},{"id":150,"name":"Time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572</v>
      </c>
      <c r="B179" s="7">
        <v>4004</v>
      </c>
      <c r="C179" s="24" t="s">
        <v>106</v>
      </c>
      <c r="D179" s="24" t="s">
        <v>573</v>
      </c>
      <c r="E179" s="15">
        <v>42645.692395833335</v>
      </c>
      <c r="F179" s="15">
        <v>42645.693854166668</v>
      </c>
      <c r="G179" s="7">
        <v>1</v>
      </c>
      <c r="H179" s="15" t="s">
        <v>574</v>
      </c>
      <c r="I179" s="15">
        <v>42645.704641203702</v>
      </c>
      <c r="J179" s="7">
        <v>0</v>
      </c>
      <c r="K179" s="117" t="str">
        <f t="shared" si="83"/>
        <v>4003/4004</v>
      </c>
      <c r="L179" s="24" t="str">
        <f>VLOOKUP(A179,'Trips&amp;Operators'!$C$1:$E$10000,3,FALSE)</f>
        <v>BROWN</v>
      </c>
      <c r="M179" s="6">
        <f t="shared" si="84"/>
        <v>1.0787037033878732E-2</v>
      </c>
      <c r="N179" s="7">
        <f t="shared" si="85"/>
        <v>15.533333328785375</v>
      </c>
      <c r="O179" s="7"/>
      <c r="P179" s="7"/>
      <c r="Q179" s="25"/>
      <c r="R179" s="25"/>
      <c r="S179" s="37">
        <f t="shared" si="86"/>
        <v>1</v>
      </c>
      <c r="T179" s="52" t="str">
        <f t="shared" si="87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15:37:03-0600',mode:absolute,to:'2016-10-02 17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79" s="54" t="str">
        <f t="shared" si="89"/>
        <v>N</v>
      </c>
      <c r="X179" s="164">
        <f t="shared" si="90"/>
        <v>1</v>
      </c>
      <c r="Y179" s="69">
        <f t="shared" si="91"/>
        <v>5.8625999999999996</v>
      </c>
      <c r="Z179" s="69">
        <f t="shared" si="92"/>
        <v>7.4499999999999997E-2</v>
      </c>
      <c r="AA179" s="69">
        <f t="shared" si="93"/>
        <v>5.7881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94"/>
        <v>1822-02</v>
      </c>
      <c r="AE179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79" s="92" t="str">
        <f t="shared" si="96"/>
        <v>"C:\Program Files (x86)\AstroGrep\AstroGrep.exe" /spath="%USERPROFILE%\AppData\Local\Temp\OnboardLogs" /stypes="app*4004*20161002*" /stext=" 22:.+((SYSTEM_STATE.+slice.+state.+changed )|(ment ac)|(system.+state.+changed )|(\[timeout)|(PRM\|1\|D)|(kpr)|(kdp)|(\|lc)|(penalty))" /e /r /s</v>
      </c>
      <c r="AG179" s="1" t="str">
        <f t="shared" si="97"/>
        <v>NW</v>
      </c>
      <c r="AH179" s="96" t="str">
        <f t="shared" si="81"/>
        <v>"%USERPROFILE%\Documents\GitHub\eaglep3\Utilities\RefineRTDCRunTimes.py" --tripid 1822-02 --locoid 4004 --swversion DE.1.0.7.0 --startMP 300:58626 --initTime 2016-10-02T16:37:03 --startdatetime 2016-10-02T16:39:09 --delay 1 --endMP 204:745 --enddatetime 2016-10-02T16:54:41 --enforcementcount 0 &gt;&gt;C:\Users\stu\Documents\GitHub\eaglep3-reporting\EC\2016-10-02-refined-times.txt</v>
      </c>
      <c r="AI179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{"issue":{"subject":"","project_id":79,"tracker_id":40,"status_id":1,"priority_id":2,"assigned_to_id":23,"start_date":"2016-10-02","description":"","custom_fields":[{"id":1,"name":"Subdivision","value":"NW"},{"id":4,"name":"Milepost","value":"0.0745"},{"id":17,"name":"Train ID","value":"1822-02"},{"id":16,"name":"Locomotive ID","value":"4004"},{"id":130,"name":"Impact","value":""},{"id":150,"name":"Time of Event (Mountain Time)","value":"16:54:41"},{"id":151,"name":"Denver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575</v>
      </c>
      <c r="B180" s="7">
        <v>4003</v>
      </c>
      <c r="C180" s="24" t="s">
        <v>106</v>
      </c>
      <c r="D180" s="24" t="s">
        <v>576</v>
      </c>
      <c r="E180" s="15">
        <v>42645.713622685187</v>
      </c>
      <c r="F180" s="15">
        <v>42645.723124999997</v>
      </c>
      <c r="G180" s="7">
        <v>1</v>
      </c>
      <c r="H180" s="15" t="s">
        <v>577</v>
      </c>
      <c r="I180" s="15">
        <v>42645.733460648145</v>
      </c>
      <c r="J180" s="7">
        <v>0</v>
      </c>
      <c r="K180" s="117" t="str">
        <f t="shared" si="83"/>
        <v>4003/4004</v>
      </c>
      <c r="L180" s="24" t="str">
        <f>VLOOKUP(A180,'Trips&amp;Operators'!$C$1:$E$10000,3,FALSE)</f>
        <v>BROWN</v>
      </c>
      <c r="M180" s="6">
        <f t="shared" si="84"/>
        <v>1.0335648148611654E-2</v>
      </c>
      <c r="N180" s="7">
        <f t="shared" si="85"/>
        <v>14.883333334000781</v>
      </c>
      <c r="O180" s="7"/>
      <c r="P180" s="7"/>
      <c r="Q180" s="25"/>
      <c r="R180" s="25"/>
      <c r="S180" s="37">
        <f t="shared" si="86"/>
        <v>1</v>
      </c>
      <c r="T180" s="52" t="str">
        <f t="shared" si="87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16:07:37-0600',mode:absolute,to:'2016-10-02 18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0" s="54" t="str">
        <f t="shared" si="89"/>
        <v>N</v>
      </c>
      <c r="X180" s="164">
        <f t="shared" si="90"/>
        <v>1</v>
      </c>
      <c r="Y180" s="69">
        <f t="shared" si="91"/>
        <v>0.1041</v>
      </c>
      <c r="Z180" s="69">
        <f t="shared" si="92"/>
        <v>5.8964999999999996</v>
      </c>
      <c r="AA180" s="69">
        <f t="shared" si="93"/>
        <v>5.7923999999999998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94"/>
        <v>1823-02</v>
      </c>
      <c r="AE180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80" s="92" t="str">
        <f t="shared" si="96"/>
        <v>"C:\Program Files (x86)\AstroGrep\AstroGrep.exe" /spath="%USERPROFILE%\AppData\Local\Temp\OnboardLogs" /stypes="app*4003*20161002*" /stext=" 23:.+((SYSTEM_STATE.+slice.+state.+changed )|(ment ac)|(system.+state.+changed )|(\[timeout)|(PRM\|1\|D)|(kpr)|(kdp)|(\|lc)|(penalty))" /e /r /s</v>
      </c>
      <c r="AG180" s="1" t="str">
        <f t="shared" si="97"/>
        <v>NW</v>
      </c>
      <c r="AH180" s="96" t="str">
        <f t="shared" si="81"/>
        <v>"%USERPROFILE%\Documents\GitHub\eaglep3\Utilities\RefineRTDCRunTimes.py" --tripid 1823-02 --locoid 4003 --swversion DE.1.0.7.0 --startMP 204:1041 --initTime 2016-10-02T17:07:37 --startdatetime 2016-10-02T17:21:18 --delay 1 --endMP 300:58965 --enddatetime 2016-10-02T17:36:11 --enforcementcount 0 &gt;&gt;C:\Users\stu\Documents\GitHub\eaglep3-reporting\EC\2016-10-02-refined-times.txt</v>
      </c>
      <c r="AI180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{"issue":{"subject":"","project_id":79,"tracker_id":40,"status_id":1,"priority_id":2,"assigned_to_id":23,"start_date":"2016-10-02","description":"","custom_fields":[{"id":1,"name":"Subdivision","value":"NW"},{"id":4,"name":"Milepost","value":"5.8965"},{"id":17,"name":"Train ID","value":"1823-02"},{"id":16,"name":"Locomotive ID","value":"4003"},{"id":130,"name":"Impact","value":""},{"id":150,"name":"Time of Event (Mountain Time)","value":"17:36:11"},{"id":151,"name":"Denver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578</v>
      </c>
      <c r="B181" s="7">
        <v>4004</v>
      </c>
      <c r="C181" s="24" t="s">
        <v>106</v>
      </c>
      <c r="D181" s="24" t="s">
        <v>579</v>
      </c>
      <c r="E181" s="15">
        <v>42645.734583333331</v>
      </c>
      <c r="F181" s="15">
        <v>42645.735902777778</v>
      </c>
      <c r="G181" s="7">
        <v>1</v>
      </c>
      <c r="H181" s="15" t="s">
        <v>580</v>
      </c>
      <c r="I181" s="15">
        <v>42645.74690972222</v>
      </c>
      <c r="J181" s="7">
        <v>0</v>
      </c>
      <c r="K181" s="117" t="str">
        <f t="shared" si="83"/>
        <v>4003/4004</v>
      </c>
      <c r="L181" s="24" t="str">
        <f>VLOOKUP(A181,'Trips&amp;Operators'!$C$1:$E$10000,3,FALSE)</f>
        <v>BROWN</v>
      </c>
      <c r="M181" s="6">
        <f t="shared" si="84"/>
        <v>1.1006944441760425E-2</v>
      </c>
      <c r="N181" s="7">
        <f t="shared" si="85"/>
        <v>15.849999996135011</v>
      </c>
      <c r="O181" s="7"/>
      <c r="P181" s="7"/>
      <c r="Q181" s="25"/>
      <c r="R181" s="25"/>
      <c r="S181" s="37">
        <f t="shared" si="86"/>
        <v>1</v>
      </c>
      <c r="T181" s="52" t="str">
        <f t="shared" si="87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16:37:48-0600',mode:absolute,to:'2016-10-02 18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1" s="54" t="str">
        <f t="shared" si="89"/>
        <v>N</v>
      </c>
      <c r="X181" s="164">
        <f t="shared" si="90"/>
        <v>1</v>
      </c>
      <c r="Y181" s="69">
        <f t="shared" si="91"/>
        <v>5.8643000000000001</v>
      </c>
      <c r="Z181" s="69">
        <f t="shared" si="92"/>
        <v>7.4099999999999999E-2</v>
      </c>
      <c r="AA181" s="69">
        <f t="shared" si="93"/>
        <v>5.7902000000000005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94"/>
        <v>1824-02</v>
      </c>
      <c r="AE181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81" s="92" t="str">
        <f t="shared" si="96"/>
        <v>"C:\Program Files (x86)\AstroGrep\AstroGrep.exe" /spath="%USERPROFILE%\AppData\Local\Temp\OnboardLogs" /stypes="app*4004*20161002*" /stext=" 23:.+((SYSTEM_STATE.+slice.+state.+changed )|(ment ac)|(system.+state.+changed )|(\[timeout)|(PRM\|1\|D)|(kpr)|(kdp)|(\|lc)|(penalty))" /e /r /s</v>
      </c>
      <c r="AG181" s="1" t="str">
        <f t="shared" si="97"/>
        <v>NW</v>
      </c>
      <c r="AH181" s="96" t="str">
        <f t="shared" si="81"/>
        <v>"%USERPROFILE%\Documents\GitHub\eaglep3\Utilities\RefineRTDCRunTimes.py" --tripid 1824-02 --locoid 4004 --swversion DE.1.0.7.0 --startMP 300:58643 --initTime 2016-10-02T17:37:48 --startdatetime 2016-10-02T17:39:42 --delay 1 --endMP 204:741 --enddatetime 2016-10-02T17:55:33 --enforcementcount 0 &gt;&gt;C:\Users\stu\Documents\GitHub\eaglep3-reporting\EC\2016-10-02-refined-times.txt</v>
      </c>
      <c r="AI181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{"issue":{"subject":"","project_id":79,"tracker_id":40,"status_id":1,"priority_id":2,"assigned_to_id":23,"start_date":"2016-10-02","description":"","custom_fields":[{"id":1,"name":"Subdivision","value":"NW"},{"id":4,"name":"Milepost","value":"0.0741"},{"id":17,"name":"Train ID","value":"1824-02"},{"id":16,"name":"Locomotive ID","value":"4004"},{"id":130,"name":"Impact","value":""},{"id":150,"name":"Time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581</v>
      </c>
      <c r="B182" s="7">
        <v>4003</v>
      </c>
      <c r="C182" s="24" t="s">
        <v>106</v>
      </c>
      <c r="D182" s="24" t="s">
        <v>582</v>
      </c>
      <c r="E182" s="15">
        <v>42645.76158564815</v>
      </c>
      <c r="F182" s="15">
        <v>42645.764768518522</v>
      </c>
      <c r="G182" s="7">
        <v>1</v>
      </c>
      <c r="H182" s="15" t="s">
        <v>583</v>
      </c>
      <c r="I182" s="15">
        <v>42645.774872685186</v>
      </c>
      <c r="J182" s="7">
        <v>0</v>
      </c>
      <c r="K182" s="117" t="str">
        <f t="shared" si="83"/>
        <v>4003/4004</v>
      </c>
      <c r="L182" s="24" t="str">
        <f>VLOOKUP(A182,'Trips&amp;Operators'!$C$1:$E$10000,3,FALSE)</f>
        <v>BROWN</v>
      </c>
      <c r="M182" s="6">
        <f t="shared" si="84"/>
        <v>1.0104166663950309E-2</v>
      </c>
      <c r="N182" s="7">
        <f t="shared" si="85"/>
        <v>14.549999996088445</v>
      </c>
      <c r="O182" s="7"/>
      <c r="P182" s="7"/>
      <c r="Q182" s="25"/>
      <c r="R182" s="25"/>
      <c r="S182" s="37">
        <f t="shared" si="86"/>
        <v>1</v>
      </c>
      <c r="T182" s="52" t="str">
        <f t="shared" si="87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17:16:41-0600',mode:absolute,to:'2016-10-02 19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2" s="54" t="str">
        <f t="shared" si="89"/>
        <v>N</v>
      </c>
      <c r="X182" s="164">
        <f t="shared" si="90"/>
        <v>1</v>
      </c>
      <c r="Y182" s="69">
        <f t="shared" si="91"/>
        <v>0.10199999999999999</v>
      </c>
      <c r="Z182" s="69">
        <f t="shared" si="92"/>
        <v>5.8959999999999999</v>
      </c>
      <c r="AA182" s="69">
        <f t="shared" si="93"/>
        <v>5.7939999999999996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94"/>
        <v>1825-02</v>
      </c>
      <c r="AE182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82" s="92" t="str">
        <f t="shared" si="96"/>
        <v>"C:\Program Files (x86)\AstroGrep\AstroGrep.exe" /spath="%USERPROFILE%\AppData\Local\Temp\OnboardLogs" /stypes="app*4003*20161003*" /stext=" 00:.+((SYSTEM_STATE.+slice.+state.+changed )|(ment ac)|(system.+state.+changed )|(\[timeout)|(PRM\|1\|D)|(kpr)|(kdp)|(\|lc)|(penalty))" /e /r /s</v>
      </c>
      <c r="AG182" s="1" t="str">
        <f t="shared" si="97"/>
        <v>NW</v>
      </c>
      <c r="AH182" s="96" t="str">
        <f t="shared" si="81"/>
        <v>"%USERPROFILE%\Documents\GitHub\eaglep3\Utilities\RefineRTDCRunTimes.py" --tripid 1825-02 --locoid 4003 --swversion DE.1.0.7.0 --startMP 204:1020 --initTime 2016-10-02T18:16:41 --startdatetime 2016-10-02T18:21:16 --delay 1 --endMP 300:58960 --enddatetime 2016-10-02T18:35:49 --enforcementcount 0 &gt;&gt;C:\Users\stu\Documents\GitHub\eaglep3-reporting\EC\2016-10-02-refined-times.txt</v>
      </c>
      <c r="AI182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{"issue":{"subject":"","project_id":79,"tracker_id":40,"status_id":1,"priority_id":2,"assigned_to_id":23,"start_date":"2016-10-02","description":"","custom_fields":[{"id":1,"name":"Subdivision","value":"NW"},{"id":4,"name":"Milepost","value":"5.896"},{"id":17,"name":"Train ID","value":"1825-02"},{"id":16,"name":"Locomotive ID","value":"4003"},{"id":130,"name":"Impact","value":""},{"id":150,"name":"Time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584</v>
      </c>
      <c r="B183" s="7">
        <v>4004</v>
      </c>
      <c r="C183" s="24" t="s">
        <v>106</v>
      </c>
      <c r="D183" s="24" t="s">
        <v>585</v>
      </c>
      <c r="E183" s="15">
        <v>42645.775810185187</v>
      </c>
      <c r="F183" s="15">
        <v>42645.77716435185</v>
      </c>
      <c r="G183" s="7">
        <v>1</v>
      </c>
      <c r="H183" s="15" t="s">
        <v>586</v>
      </c>
      <c r="I183" s="15">
        <v>42645.788032407407</v>
      </c>
      <c r="J183" s="7">
        <v>0</v>
      </c>
      <c r="K183" s="117" t="str">
        <f t="shared" si="83"/>
        <v>4003/4004</v>
      </c>
      <c r="L183" s="24" t="str">
        <f>VLOOKUP(A183,'Trips&amp;Operators'!$C$1:$E$10000,3,FALSE)</f>
        <v>BROWN</v>
      </c>
      <c r="M183" s="6">
        <f t="shared" si="84"/>
        <v>1.0868055556784384E-2</v>
      </c>
      <c r="N183" s="7">
        <f t="shared" si="85"/>
        <v>15.650000001769513</v>
      </c>
      <c r="O183" s="7"/>
      <c r="P183" s="7"/>
      <c r="Q183" s="25"/>
      <c r="R183" s="25"/>
      <c r="S183" s="37">
        <f t="shared" si="86"/>
        <v>1</v>
      </c>
      <c r="T183" s="52" t="str">
        <f t="shared" si="87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17:37:10-0600',mode:absolute,to:'2016-10-02 19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3" s="54" t="str">
        <f t="shared" si="89"/>
        <v>N</v>
      </c>
      <c r="X183" s="164">
        <f t="shared" si="90"/>
        <v>1</v>
      </c>
      <c r="Y183" s="69">
        <f t="shared" si="91"/>
        <v>5.8638000000000003</v>
      </c>
      <c r="Z183" s="69">
        <f t="shared" si="92"/>
        <v>7.4999999999999997E-2</v>
      </c>
      <c r="AA183" s="69">
        <f t="shared" si="93"/>
        <v>5.7888000000000002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94"/>
        <v>1826-02</v>
      </c>
      <c r="AE183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83" s="92" t="str">
        <f t="shared" si="96"/>
        <v>"C:\Program Files (x86)\AstroGrep\AstroGrep.exe" /spath="%USERPROFILE%\AppData\Local\Temp\OnboardLogs" /stypes="app*4004*20161003*" /stext=" 00:.+((SYSTEM_STATE.+slice.+state.+changed )|(ment ac)|(system.+state.+changed )|(\[timeout)|(PRM\|1\|D)|(kpr)|(kdp)|(\|lc)|(penalty))" /e /r /s</v>
      </c>
      <c r="AG183" s="1" t="str">
        <f t="shared" si="97"/>
        <v>NW</v>
      </c>
      <c r="AH183" s="96" t="str">
        <f t="shared" si="81"/>
        <v>"%USERPROFILE%\Documents\GitHub\eaglep3\Utilities\RefineRTDCRunTimes.py" --tripid 1826-02 --locoid 4004 --swversion DE.1.0.7.0 --startMP 300:58638 --initTime 2016-10-02T18:37:10 --startdatetime 2016-10-02T18:39:07 --delay 1 --endMP 204:750 --enddatetime 2016-10-02T18:54:46 --enforcementcount 0 &gt;&gt;C:\Users\stu\Documents\GitHub\eaglep3-reporting\EC\2016-10-02-refined-times.txt</v>
      </c>
      <c r="AI183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{"issue":{"subject":"","project_id":79,"tracker_id":40,"status_id":1,"priority_id":2,"assigned_to_id":23,"start_date":"2016-10-02","description":"","custom_fields":[{"id":1,"name":"Subdivision","value":"NW"},{"id":4,"name":"Milepost","value":"0.075"},{"id":17,"name":"Train ID","value":"1826-02"},{"id":16,"name":"Locomotive ID","value":"4004"},{"id":130,"name":"Impact","value":""},{"id":150,"name":"Time of Event (Mountain Time)","value":"18:54:46"},{"id":151,"name":"Denver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587</v>
      </c>
      <c r="B184" s="7">
        <v>4003</v>
      </c>
      <c r="C184" s="24" t="s">
        <v>106</v>
      </c>
      <c r="D184" s="24" t="s">
        <v>332</v>
      </c>
      <c r="E184" s="15">
        <v>42645.796354166669</v>
      </c>
      <c r="F184" s="15">
        <v>42645.806423611109</v>
      </c>
      <c r="G184" s="7">
        <v>1</v>
      </c>
      <c r="H184" s="15" t="s">
        <v>588</v>
      </c>
      <c r="I184" s="15">
        <v>42645.816527777781</v>
      </c>
      <c r="J184" s="7">
        <v>0</v>
      </c>
      <c r="K184" s="117" t="str">
        <f t="shared" si="83"/>
        <v>4003/4004</v>
      </c>
      <c r="L184" s="24" t="str">
        <f>VLOOKUP(A184,'Trips&amp;Operators'!$C$1:$E$10000,3,FALSE)</f>
        <v>BROWN</v>
      </c>
      <c r="M184" s="6">
        <f t="shared" si="84"/>
        <v>1.0104166671226267E-2</v>
      </c>
      <c r="N184" s="7">
        <f t="shared" si="85"/>
        <v>14.550000006565824</v>
      </c>
      <c r="O184" s="7"/>
      <c r="P184" s="7"/>
      <c r="Q184" s="25"/>
      <c r="R184" s="25"/>
      <c r="S184" s="37">
        <f t="shared" si="86"/>
        <v>1</v>
      </c>
      <c r="T184" s="52" t="str">
        <f t="shared" si="87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18:06:45-0600',mode:absolute,to:'2016-10-02 20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4" s="54" t="str">
        <f t="shared" si="89"/>
        <v>N</v>
      </c>
      <c r="X184" s="164">
        <f t="shared" si="90"/>
        <v>1</v>
      </c>
      <c r="Y184" s="69">
        <f t="shared" si="91"/>
        <v>0.10340000000000001</v>
      </c>
      <c r="Z184" s="69">
        <f t="shared" si="92"/>
        <v>5.8952</v>
      </c>
      <c r="AA184" s="69">
        <f t="shared" si="93"/>
        <v>5.7918000000000003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94"/>
        <v>1827-02</v>
      </c>
      <c r="AE184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84" s="92" t="str">
        <f t="shared" si="96"/>
        <v>"C:\Program Files (x86)\AstroGrep\AstroGrep.exe" /spath="%USERPROFILE%\AppData\Local\Temp\OnboardLogs" /stypes="app*4003*20161003*" /stext=" 01:.+((SYSTEM_STATE.+slice.+state.+changed )|(ment ac)|(system.+state.+changed )|(\[timeout)|(PRM\|1\|D)|(kpr)|(kdp)|(\|lc)|(penalty))" /e /r /s</v>
      </c>
      <c r="AG184" s="1" t="str">
        <f t="shared" si="97"/>
        <v>NW</v>
      </c>
      <c r="AH184" s="96" t="str">
        <f t="shared" si="81"/>
        <v>"%USERPROFILE%\Documents\GitHub\eaglep3\Utilities\RefineRTDCRunTimes.py" --tripid 1827-02 --locoid 4003 --swversion DE.1.0.7.0 --startMP 204:1034 --initTime 2016-10-02T19:06:45 --startdatetime 2016-10-02T19:21:15 --delay 1 --endMP 300:58952 --enddatetime 2016-10-02T19:35:48 --enforcementcount 0 &gt;&gt;C:\Users\stu\Documents\GitHub\eaglep3-reporting\EC\2016-10-02-refined-times.txt</v>
      </c>
      <c r="AI184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{"issue":{"subject":"","project_id":79,"tracker_id":40,"status_id":1,"priority_id":2,"assigned_to_id":23,"start_date":"2016-10-02","description":"","custom_fields":[{"id":1,"name":"Subdivision","value":"NW"},{"id":4,"name":"Milepost","value":"5.8952"},{"id":17,"name":"Train ID","value":"1827-02"},{"id":16,"name":"Locomotive ID","value":"4003"},{"id":130,"name":"Impact","value":""},{"id":150,"name":"Time of Event (Mountain Time)","value":"19:35:48"},{"id":151,"name":"Denver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589</v>
      </c>
      <c r="B185" s="7">
        <v>4004</v>
      </c>
      <c r="C185" s="24" t="s">
        <v>106</v>
      </c>
      <c r="D185" s="24" t="s">
        <v>590</v>
      </c>
      <c r="E185" s="15">
        <v>42645.817418981482</v>
      </c>
      <c r="F185" s="15">
        <v>42645.818761574075</v>
      </c>
      <c r="G185" s="7">
        <v>1</v>
      </c>
      <c r="H185" s="15" t="s">
        <v>586</v>
      </c>
      <c r="I185" s="15">
        <v>42645.831134259257</v>
      </c>
      <c r="J185" s="7">
        <v>0</v>
      </c>
      <c r="K185" s="117" t="str">
        <f t="shared" si="83"/>
        <v>4003/4004</v>
      </c>
      <c r="L185" s="24" t="str">
        <f>VLOOKUP(A185,'Trips&amp;Operators'!$C$1:$E$10000,3,FALSE)</f>
        <v>BROWN</v>
      </c>
      <c r="M185" s="6">
        <f t="shared" si="84"/>
        <v>1.2372685181617271E-2</v>
      </c>
      <c r="N185" s="7">
        <f t="shared" si="85"/>
        <v>17.81666666152887</v>
      </c>
      <c r="O185" s="7"/>
      <c r="P185" s="7"/>
      <c r="Q185" s="25"/>
      <c r="R185" s="25"/>
      <c r="S185" s="37">
        <f t="shared" si="86"/>
        <v>1</v>
      </c>
      <c r="T185" s="52" t="str">
        <f t="shared" si="87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18:37:05-0600',mode:absolute,to:'2016-10-02 20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5" s="54" t="str">
        <f t="shared" si="89"/>
        <v>N</v>
      </c>
      <c r="X185" s="164">
        <f t="shared" si="90"/>
        <v>1</v>
      </c>
      <c r="Y185" s="69">
        <f t="shared" si="91"/>
        <v>5.8635999999999999</v>
      </c>
      <c r="Z185" s="69">
        <f t="shared" si="92"/>
        <v>7.4999999999999997E-2</v>
      </c>
      <c r="AA185" s="69">
        <f t="shared" si="93"/>
        <v>5.7885999999999997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94"/>
        <v>1828-02</v>
      </c>
      <c r="AE185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85" s="92" t="str">
        <f t="shared" si="96"/>
        <v>"C:\Program Files (x86)\AstroGrep\AstroGrep.exe" /spath="%USERPROFILE%\AppData\Local\Temp\OnboardLogs" /stypes="app*4004*20161003*" /stext=" 01:.+((SYSTEM_STATE.+slice.+state.+changed )|(ment ac)|(system.+state.+changed )|(\[timeout)|(PRM\|1\|D)|(kpr)|(kdp)|(\|lc)|(penalty))" /e /r /s</v>
      </c>
      <c r="AG185" s="1" t="str">
        <f t="shared" si="97"/>
        <v>NW</v>
      </c>
      <c r="AH185" s="96" t="str">
        <f t="shared" si="81"/>
        <v>"%USERPROFILE%\Documents\GitHub\eaglep3\Utilities\RefineRTDCRunTimes.py" --tripid 1828-02 --locoid 4004 --swversion DE.1.0.7.0 --startMP 300:58636 --initTime 2016-10-02T19:37:05 --startdatetime 2016-10-02T19:39:01 --delay 1 --endMP 204:750 --enddatetime 2016-10-02T19:56:50 --enforcementcount 0 &gt;&gt;C:\Users\stu\Documents\GitHub\eaglep3-reporting\EC\2016-10-02-refined-times.txt</v>
      </c>
      <c r="AI185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{"issue":{"subject":"","project_id":79,"tracker_id":40,"status_id":1,"priority_id":2,"assigned_to_id":23,"start_date":"2016-10-02","description":"","custom_fields":[{"id":1,"name":"Subdivision","value":"NW"},{"id":4,"name":"Milepost","value":"0.075"},{"id":17,"name":"Train ID","value":"1828-02"},{"id":16,"name":"Locomotive ID","value":"4004"},{"id":130,"name":"Impact","value":""},{"id":150,"name":"Time of Event (Mountain Time)","value":"19:56:50"},{"id":151,"name":"Denver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591</v>
      </c>
      <c r="B186" s="7">
        <v>4003</v>
      </c>
      <c r="C186" s="24" t="s">
        <v>106</v>
      </c>
      <c r="D186" s="24" t="s">
        <v>592</v>
      </c>
      <c r="E186" s="15">
        <v>42645.837326388886</v>
      </c>
      <c r="F186" s="15">
        <v>42645.848067129627</v>
      </c>
      <c r="G186" s="7">
        <v>1</v>
      </c>
      <c r="H186" s="15" t="s">
        <v>375</v>
      </c>
      <c r="I186" s="15">
        <v>42645.857395833336</v>
      </c>
      <c r="J186" s="7">
        <v>0</v>
      </c>
      <c r="K186" s="117" t="str">
        <f t="shared" si="83"/>
        <v>4003/4004</v>
      </c>
      <c r="L186" s="24" t="str">
        <f>VLOOKUP(A186,'Trips&amp;Operators'!$C$1:$E$10000,3,FALSE)</f>
        <v>BROWN</v>
      </c>
      <c r="M186" s="6">
        <f t="shared" si="84"/>
        <v>9.3287037088884972E-3</v>
      </c>
      <c r="N186" s="7">
        <f t="shared" si="85"/>
        <v>13.433333340799436</v>
      </c>
      <c r="O186" s="7"/>
      <c r="P186" s="7"/>
      <c r="Q186" s="25"/>
      <c r="R186" s="25"/>
      <c r="S186" s="37">
        <f t="shared" si="86"/>
        <v>1</v>
      </c>
      <c r="T186" s="52" t="str">
        <f t="shared" si="87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19:05:45-0600',mode:absolute,to:'2016-10-02 21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6" s="54" t="str">
        <f t="shared" si="89"/>
        <v>N</v>
      </c>
      <c r="X186" s="164">
        <f t="shared" si="90"/>
        <v>1</v>
      </c>
      <c r="Y186" s="69">
        <f t="shared" si="91"/>
        <v>0.10299999999999999</v>
      </c>
      <c r="Z186" s="69">
        <f t="shared" si="92"/>
        <v>5.8967000000000001</v>
      </c>
      <c r="AA186" s="69">
        <f t="shared" si="93"/>
        <v>5.7937000000000003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94"/>
        <v>1829-02</v>
      </c>
      <c r="AE186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86" s="92" t="str">
        <f t="shared" si="96"/>
        <v>"C:\Program Files (x86)\AstroGrep\AstroGrep.exe" /spath="%USERPROFILE%\AppData\Local\Temp\OnboardLogs" /stypes="app*4003*20161003*" /stext=" 02:.+((SYSTEM_STATE.+slice.+state.+changed )|(ment ac)|(system.+state.+changed )|(\[timeout)|(PRM\|1\|D)|(kpr)|(kdp)|(\|lc)|(penalty))" /e /r /s</v>
      </c>
      <c r="AG186" s="1" t="str">
        <f t="shared" si="97"/>
        <v>NW</v>
      </c>
      <c r="AH186" s="96" t="str">
        <f t="shared" si="81"/>
        <v>"%USERPROFILE%\Documents\GitHub\eaglep3\Utilities\RefineRTDCRunTimes.py" --tripid 1829-02 --locoid 4003 --swversion DE.1.0.7.0 --startMP 204:1030 --initTime 2016-10-02T20:05:45 --startdatetime 2016-10-02T20:21:13 --delay 1 --endMP 300:58967 --enddatetime 2016-10-02T20:34:39 --enforcementcount 0 &gt;&gt;C:\Users\stu\Documents\GitHub\eaglep3-reporting\EC\2016-10-02-refined-times.txt</v>
      </c>
      <c r="AI186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{"issue":{"subject":"","project_id":79,"tracker_id":40,"status_id":1,"priority_id":2,"assigned_to_id":23,"start_date":"2016-10-02","description":"","custom_fields":[{"id":1,"name":"Subdivision","value":"NW"},{"id":4,"name":"Milepost","value":"5.8967"},{"id":17,"name":"Train ID","value":"1829-02"},{"id":16,"name":"Locomotive ID","value":"4003"},{"id":130,"name":"Impact","value":""},{"id":150,"name":"Time of Event (Mountain Time)","value":"20:34:39"},{"id":151,"name":"Denver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594</v>
      </c>
      <c r="B187" s="7">
        <v>4004</v>
      </c>
      <c r="C187" s="24" t="s">
        <v>106</v>
      </c>
      <c r="D187" s="24" t="s">
        <v>564</v>
      </c>
      <c r="E187" s="15">
        <v>42645.858252314814</v>
      </c>
      <c r="F187" s="15">
        <v>42645.859652777777</v>
      </c>
      <c r="G187" s="7">
        <v>1</v>
      </c>
      <c r="H187" s="15" t="s">
        <v>586</v>
      </c>
      <c r="I187" s="15">
        <v>42645.871516203704</v>
      </c>
      <c r="J187" s="7">
        <v>0</v>
      </c>
      <c r="K187" s="117" t="str">
        <f t="shared" si="83"/>
        <v>4003/4004</v>
      </c>
      <c r="L187" s="24" t="str">
        <f>VLOOKUP(A187,'Trips&amp;Operators'!$C$1:$E$10000,3,FALSE)</f>
        <v>BROWN</v>
      </c>
      <c r="M187" s="6">
        <f t="shared" si="84"/>
        <v>1.1863425927003846E-2</v>
      </c>
      <c r="N187" s="7">
        <f t="shared" si="85"/>
        <v>17.083333334885538</v>
      </c>
      <c r="O187" s="7"/>
      <c r="P187" s="7"/>
      <c r="Q187" s="25"/>
      <c r="R187" s="25"/>
      <c r="S187" s="37">
        <f t="shared" si="86"/>
        <v>1</v>
      </c>
      <c r="T187" s="52" t="str">
        <f t="shared" si="87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19:35:53-0600',mode:absolute,to:'2016-10-02 21:54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7" s="54" t="str">
        <f t="shared" si="89"/>
        <v>N</v>
      </c>
      <c r="X187" s="164">
        <f t="shared" si="90"/>
        <v>1</v>
      </c>
      <c r="Y187" s="69">
        <f t="shared" si="91"/>
        <v>5.8653000000000004</v>
      </c>
      <c r="Z187" s="69">
        <f t="shared" si="92"/>
        <v>7.4999999999999997E-2</v>
      </c>
      <c r="AA187" s="69">
        <f t="shared" si="93"/>
        <v>5.7903000000000002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94"/>
        <v>1830-02</v>
      </c>
      <c r="AE187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87" s="92" t="str">
        <f t="shared" si="96"/>
        <v>"C:\Program Files (x86)\AstroGrep\AstroGrep.exe" /spath="%USERPROFILE%\AppData\Local\Temp\OnboardLogs" /stypes="app*4004*20161003*" /stext=" 02:.+((SYSTEM_STATE.+slice.+state.+changed )|(ment ac)|(system.+state.+changed )|(\[timeout)|(PRM\|1\|D)|(kpr)|(kdp)|(\|lc)|(penalty))" /e /r /s</v>
      </c>
      <c r="AG187" s="1" t="str">
        <f t="shared" si="97"/>
        <v>NW</v>
      </c>
      <c r="AH187" s="96" t="str">
        <f t="shared" si="81"/>
        <v>"%USERPROFILE%\Documents\GitHub\eaglep3\Utilities\RefineRTDCRunTimes.py" --tripid 1830-02 --locoid 4004 --swversion DE.1.0.7.0 --startMP 300:58653 --initTime 2016-10-02T20:35:53 --startdatetime 2016-10-02T20:37:54 --delay 1 --endMP 204:750 --enddatetime 2016-10-02T20:54:59 --enforcementcount 0 &gt;&gt;C:\Users\stu\Documents\GitHub\eaglep3-reporting\EC\2016-10-02-refined-times.txt</v>
      </c>
      <c r="AI187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{"issue":{"subject":"","project_id":79,"tracker_id":40,"status_id":1,"priority_id":2,"assigned_to_id":23,"start_date":"2016-10-02","description":"","custom_fields":[{"id":1,"name":"Subdivision","value":"NW"},{"id":4,"name":"Milepost","value":"0.075"},{"id":17,"name":"Train ID","value":"1830-02"},{"id":16,"name":"Locomotive ID","value":"4004"},{"id":130,"name":"Impact","value":""},{"id":150,"name":"Time of Event (Mountain Time)","value":"20:54:59"},{"id":151,"name":"Denver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595</v>
      </c>
      <c r="B188" s="7">
        <v>4003</v>
      </c>
      <c r="C188" s="24" t="s">
        <v>106</v>
      </c>
      <c r="D188" s="24" t="s">
        <v>544</v>
      </c>
      <c r="E188" s="15">
        <v>42645.896574074075</v>
      </c>
      <c r="F188" s="15">
        <v>42645.899201388886</v>
      </c>
      <c r="G188" s="7">
        <v>1</v>
      </c>
      <c r="H188" s="15" t="s">
        <v>596</v>
      </c>
      <c r="I188" s="15">
        <v>42645.910416666666</v>
      </c>
      <c r="J188" s="7">
        <v>0</v>
      </c>
      <c r="K188" s="117" t="str">
        <f t="shared" si="83"/>
        <v>4003/4004</v>
      </c>
      <c r="L188" s="24" t="str">
        <f>VLOOKUP(A188,'Trips&amp;Operators'!$C$1:$E$10000,3,FALSE)</f>
        <v>ARVIDSON</v>
      </c>
      <c r="M188" s="6">
        <f t="shared" si="84"/>
        <v>1.1215277780138422E-2</v>
      </c>
      <c r="N188" s="7">
        <f t="shared" si="85"/>
        <v>16.150000003399327</v>
      </c>
      <c r="O188" s="7"/>
      <c r="P188" s="7"/>
      <c r="Q188" s="25"/>
      <c r="R188" s="25"/>
      <c r="S188" s="37">
        <f t="shared" si="86"/>
        <v>1</v>
      </c>
      <c r="T188" s="52" t="str">
        <f t="shared" si="87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20:31:04-0600',mode:absolute,to:'2016-10-02 22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8" s="54" t="str">
        <f t="shared" si="89"/>
        <v>N</v>
      </c>
      <c r="X188" s="164">
        <f t="shared" si="90"/>
        <v>1</v>
      </c>
      <c r="Y188" s="69">
        <f t="shared" si="91"/>
        <v>0.1028</v>
      </c>
      <c r="Z188" s="69">
        <f t="shared" si="92"/>
        <v>5.891</v>
      </c>
      <c r="AA188" s="69">
        <f t="shared" si="93"/>
        <v>5.7881999999999998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94"/>
        <v>1831-02</v>
      </c>
      <c r="AE188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88" s="92" t="str">
        <f t="shared" si="96"/>
        <v>"C:\Program Files (x86)\AstroGrep\AstroGrep.exe" /spath="%USERPROFILE%\AppData\Local\Temp\OnboardLogs" /stypes="app*4003*20161003*" /stext=" 03:.+((SYSTEM_STATE.+slice.+state.+changed )|(ment ac)|(system.+state.+changed )|(\[timeout)|(PRM\|1\|D)|(kpr)|(kdp)|(\|lc)|(penalty))" /e /r /s</v>
      </c>
      <c r="AG188" s="1" t="str">
        <f t="shared" si="97"/>
        <v>NW</v>
      </c>
      <c r="AH188" s="96" t="str">
        <f t="shared" si="81"/>
        <v>"%USERPROFILE%\Documents\GitHub\eaglep3\Utilities\RefineRTDCRunTimes.py" --tripid 1831-02 --locoid 4003 --swversion DE.1.0.7.0 --startMP 204:1028 --initTime 2016-10-02T21:31:04 --startdatetime 2016-10-02T21:34:51 --delay 1 --endMP 300:58910 --enddatetime 2016-10-02T21:51:00 --enforcementcount 0 &gt;&gt;C:\Users\stu\Documents\GitHub\eaglep3-reporting\EC\2016-10-02-refined-times.txt</v>
      </c>
      <c r="AI188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{"issue":{"subject":"","project_id":79,"tracker_id":40,"status_id":1,"priority_id":2,"assigned_to_id":23,"start_date":"2016-10-02","description":"","custom_fields":[{"id":1,"name":"Subdivision","value":"NW"},{"id":4,"name":"Milepost","value":"5.891"},{"id":17,"name":"Train ID","value":"1831-02"},{"id":16,"name":"Locomotive ID","value":"4003"},{"id":130,"name":"Impact","value":""},{"id":150,"name":"Time of Event (Mountain Time)","value":"21:51:00"},{"id":151,"name":"Denver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597</v>
      </c>
      <c r="B189" s="7">
        <v>4004</v>
      </c>
      <c r="C189" s="24" t="s">
        <v>106</v>
      </c>
      <c r="D189" s="24" t="s">
        <v>598</v>
      </c>
      <c r="E189" s="15">
        <v>42645.912037037036</v>
      </c>
      <c r="F189" s="15">
        <v>42645.914525462962</v>
      </c>
      <c r="G189" s="7">
        <v>1</v>
      </c>
      <c r="H189" s="15" t="s">
        <v>565</v>
      </c>
      <c r="I189" s="15">
        <v>42645.925034722219</v>
      </c>
      <c r="J189" s="7">
        <v>0</v>
      </c>
      <c r="K189" s="117" t="str">
        <f t="shared" si="83"/>
        <v>4003/4004</v>
      </c>
      <c r="L189" s="24" t="str">
        <f>VLOOKUP(A189,'Trips&amp;Operators'!$C$1:$E$10000,3,FALSE)</f>
        <v>ARVIDSON</v>
      </c>
      <c r="M189" s="6">
        <f t="shared" si="84"/>
        <v>1.0509259256650694E-2</v>
      </c>
      <c r="N189" s="7">
        <f t="shared" si="85"/>
        <v>15.133333329576999</v>
      </c>
      <c r="O189" s="7"/>
      <c r="P189" s="7"/>
      <c r="Q189" s="25"/>
      <c r="R189" s="25"/>
      <c r="S189" s="37">
        <f t="shared" si="86"/>
        <v>1</v>
      </c>
      <c r="T189" s="52" t="str">
        <f t="shared" si="87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20:53:20-0600',mode:absolute,to:'2016-10-02 23:12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9" s="54" t="str">
        <f t="shared" si="89"/>
        <v>N</v>
      </c>
      <c r="X189" s="164">
        <f t="shared" si="90"/>
        <v>1</v>
      </c>
      <c r="Y189" s="69">
        <f t="shared" si="91"/>
        <v>5.8593999999999999</v>
      </c>
      <c r="Z189" s="69">
        <f t="shared" si="92"/>
        <v>7.2900000000000006E-2</v>
      </c>
      <c r="AA189" s="69">
        <f t="shared" si="93"/>
        <v>5.7865000000000002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94"/>
        <v>1832-02</v>
      </c>
      <c r="AE189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89" s="92" t="str">
        <f t="shared" si="96"/>
        <v>"C:\Program Files (x86)\AstroGrep\AstroGrep.exe" /spath="%USERPROFILE%\AppData\Local\Temp\OnboardLogs" /stypes="app*4004*20161003*" /stext=" 04:.+((SYSTEM_STATE.+slice.+state.+changed )|(ment ac)|(system.+state.+changed )|(\[timeout)|(PRM\|1\|D)|(kpr)|(kdp)|(\|lc)|(penalty))" /e /r /s</v>
      </c>
      <c r="AG189" s="1" t="str">
        <f t="shared" si="97"/>
        <v>NW</v>
      </c>
      <c r="AH189" s="96" t="str">
        <f t="shared" si="81"/>
        <v>"%USERPROFILE%\Documents\GitHub\eaglep3\Utilities\RefineRTDCRunTimes.py" --tripid 1832-02 --locoid 4004 --swversion DE.1.0.7.0 --startMP 300:58594 --initTime 2016-10-02T21:53:20 --startdatetime 2016-10-02T21:56:55 --delay 1 --endMP 204:729 --enddatetime 2016-10-02T22:12:03 --enforcementcount 0 &gt;&gt;C:\Users\stu\Documents\GitHub\eaglep3-reporting\EC\2016-10-02-refined-times.txt</v>
      </c>
      <c r="AI189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{"issue":{"subject":"","project_id":79,"tracker_id":40,"status_id":1,"priority_id":2,"assigned_to_id":23,"start_date":"2016-10-02","description":"","custom_fields":[{"id":1,"name":"Subdivision","value":"NW"},{"id":4,"name":"Milepost","value":"0.0729"},{"id":17,"name":"Train ID","value":"1832-02"},{"id":16,"name":"Locomotive ID","value":"4004"},{"id":130,"name":"Impact","value":""},{"id":150,"name":"Time of Event (Mountain Time)","value":"22:12:03"},{"id":151,"name":"Denver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599</v>
      </c>
      <c r="B190" s="7">
        <v>4003</v>
      </c>
      <c r="C190" s="24" t="s">
        <v>106</v>
      </c>
      <c r="D190" s="24" t="s">
        <v>536</v>
      </c>
      <c r="E190" s="15">
        <v>42645.929328703707</v>
      </c>
      <c r="F190" s="15">
        <v>42645.931608796294</v>
      </c>
      <c r="G190" s="7">
        <v>1</v>
      </c>
      <c r="H190" s="15" t="s">
        <v>600</v>
      </c>
      <c r="I190" s="15">
        <v>42645.942870370367</v>
      </c>
      <c r="J190" s="7">
        <v>0</v>
      </c>
      <c r="K190" s="117" t="str">
        <f t="shared" si="83"/>
        <v>4003/4004</v>
      </c>
      <c r="L190" s="24" t="str">
        <f>VLOOKUP(A190,'Trips&amp;Operators'!$C$1:$E$10000,3,FALSE)</f>
        <v>ARVIDSON</v>
      </c>
      <c r="M190" s="6">
        <f t="shared" si="84"/>
        <v>1.1261574072705116E-2</v>
      </c>
      <c r="N190" s="7">
        <f t="shared" si="85"/>
        <v>16.216666664695367</v>
      </c>
      <c r="O190" s="7"/>
      <c r="P190" s="7"/>
      <c r="Q190" s="25"/>
      <c r="R190" s="25"/>
      <c r="S190" s="37">
        <f t="shared" si="86"/>
        <v>1</v>
      </c>
      <c r="T190" s="52" t="str">
        <f t="shared" si="87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21:18:14-0600',mode:absolute,to:'2016-10-02 23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90" s="54" t="str">
        <f t="shared" si="89"/>
        <v>N</v>
      </c>
      <c r="X190" s="164">
        <f t="shared" si="90"/>
        <v>1</v>
      </c>
      <c r="Y190" s="69">
        <f t="shared" si="91"/>
        <v>0.1013</v>
      </c>
      <c r="Z190" s="69">
        <f t="shared" si="92"/>
        <v>5.8912000000000004</v>
      </c>
      <c r="AA190" s="69">
        <f t="shared" si="93"/>
        <v>5.7899000000000003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94"/>
        <v>1833-02</v>
      </c>
      <c r="AE190" s="95" t="str">
        <f t="shared" si="95"/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AF190" s="92" t="str">
        <f t="shared" si="96"/>
        <v>"C:\Program Files (x86)\AstroGrep\AstroGrep.exe" /spath="%USERPROFILE%\AppData\Local\Temp\OnboardLogs" /stypes="app*4003*20161003*" /stext=" 04:.+((SYSTEM_STATE.+slice.+state.+changed )|(ment ac)|(system.+state.+changed )|(\[timeout)|(PRM\|1\|D)|(kpr)|(kdp)|(\|lc)|(penalty))" /e /r /s</v>
      </c>
      <c r="AG190" s="1" t="str">
        <f t="shared" si="97"/>
        <v>NW</v>
      </c>
      <c r="AH190" s="96" t="str">
        <f t="shared" si="81"/>
        <v>"%USERPROFILE%\Documents\GitHub\eaglep3\Utilities\RefineRTDCRunTimes.py" --tripid 1833-02 --locoid 4003 --swversion DE.1.0.7.0 --startMP 204:1013 --initTime 2016-10-02T22:18:14 --startdatetime 2016-10-02T22:21:31 --delay 1 --endMP 300:58912 --enddatetime 2016-10-02T22:37:44 --enforcementcount 0 &gt;&gt;C:\Users\stu\Documents\GitHub\eaglep3-reporting\EC\2016-10-02-refined-times.txt</v>
      </c>
      <c r="AI190" s="130" t="str">
        <f t="shared" si="82"/>
        <v>echo {"issue":{"subject":"","project_id":79,"tracker_id":40,"status_id":1,"priority_id":2,"assigned_to_id":23,"start_date":"2016-10-02","description":"","custom_fields":[{"id":1,"name":"Subdivision","value":"NW"},{"id":4,"name":"Milepost","value":"5.8912"},{"id":17,"name":"Train ID","value":"1833-02"},{"id":16,"name":"Locomotive ID","value":"4003"},{"id":130,"name":"Impact","value":""},{"id":150,"name":"Time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686</v>
      </c>
      <c r="B191" s="7">
        <v>4025</v>
      </c>
      <c r="C191" s="24" t="s">
        <v>106</v>
      </c>
      <c r="D191" s="24" t="s">
        <v>687</v>
      </c>
      <c r="E191" s="15">
        <v>42645.783587962964</v>
      </c>
      <c r="F191" s="15">
        <v>25568.708333333332</v>
      </c>
      <c r="G191" s="7">
        <v>1</v>
      </c>
      <c r="H191" s="15" t="s">
        <v>688</v>
      </c>
      <c r="I191" s="15">
        <v>25568.708333333332</v>
      </c>
      <c r="J191" s="7">
        <v>0</v>
      </c>
      <c r="K191" s="117" t="str">
        <f t="shared" si="83"/>
        <v>4025/4026</v>
      </c>
      <c r="L191" s="24" t="str">
        <f>VLOOKUP(A191,'Trips&amp;Operators'!$C$1:$E$10000,3,FALSE)</f>
        <v>MOSES</v>
      </c>
      <c r="M191" s="6">
        <f t="shared" si="84"/>
        <v>0</v>
      </c>
      <c r="N191" s="7">
        <f t="shared" si="85"/>
        <v>0</v>
      </c>
      <c r="O191" s="7"/>
      <c r="P191" s="7"/>
      <c r="Q191" s="25"/>
      <c r="R191" s="25"/>
      <c r="S191" s="37">
        <f t="shared" si="86"/>
        <v>1</v>
      </c>
      <c r="T191" s="52" t="str">
        <f t="shared" si="87"/>
        <v>NorthBound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17:48:22-0600',mode:absolute,to:'1969-12-31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1" s="54" t="str">
        <f t="shared" si="89"/>
        <v>Y</v>
      </c>
      <c r="X191" s="164">
        <f t="shared" si="90"/>
        <v>-1530</v>
      </c>
      <c r="Y191" s="69">
        <f t="shared" si="91"/>
        <v>4.1500000000000002E-2</v>
      </c>
      <c r="Z191" s="69">
        <f t="shared" si="92"/>
        <v>2.3338000000000001</v>
      </c>
      <c r="AA191" s="69">
        <f t="shared" si="93"/>
        <v>2.2923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94"/>
        <v>0303-02</v>
      </c>
      <c r="AE191" s="95" t="str">
        <f t="shared" si="9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1" s="92" t="str">
        <f t="shared" si="96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191" s="1" t="str">
        <f t="shared" si="97"/>
        <v>Other</v>
      </c>
      <c r="AH191" s="96" t="str">
        <f t="shared" si="81"/>
        <v>"%USERPROFILE%\Documents\GitHub\eaglep3\Utilities\RefineRTDCRunTimes.py" --tripid 303-02 --locoid 4025 --swversion DE.1.0.7.0 --startMP 204:415 --initTime 2016-10-02T18:48:22 --startdatetime 1969-12-31T17:00:00 --delay 1 --endMP 300:23338 --enddatetime 1969-12-31T17:00:00 --enforcementcount 0 &gt;&gt;C:\Users\stu\Documents\GitHub\eaglep3-reporting\EC\2016-10-02-refined-times.txt</v>
      </c>
      <c r="AI191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{"issue":{"subject":"","project_id":79,"tracker_id":40,"status_id":1,"priority_id":2,"assigned_to_id":23,"start_date":"1969-12-31","description":"","custom_fields":[{"id":1,"name":"Subdivision","value":"Other"},{"id":4,"name":"Milepost","value":"2.3338"},{"id":17,"name":"Train ID","value":"303-02"},{"id":16,"name":"Locomotive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689</v>
      </c>
      <c r="B192" s="7">
        <v>4016</v>
      </c>
      <c r="C192" s="24" t="s">
        <v>106</v>
      </c>
      <c r="D192" s="24" t="s">
        <v>211</v>
      </c>
      <c r="E192" s="15">
        <v>42645.817835648151</v>
      </c>
      <c r="F192" s="15">
        <v>42645.820694444446</v>
      </c>
      <c r="G192" s="7">
        <v>1</v>
      </c>
      <c r="H192" s="15" t="s">
        <v>690</v>
      </c>
      <c r="I192" s="15">
        <v>42645.827280092592</v>
      </c>
      <c r="J192" s="7">
        <v>0</v>
      </c>
      <c r="K192" s="117" t="str">
        <f t="shared" si="83"/>
        <v>4015/4016</v>
      </c>
      <c r="L192" s="24" t="str">
        <f>VLOOKUP(A192,'Trips&amp;Operators'!$C$1:$E$10000,3,FALSE)</f>
        <v>SHOOK</v>
      </c>
      <c r="M192" s="6">
        <f t="shared" si="84"/>
        <v>6.5856481451191939E-3</v>
      </c>
      <c r="N192" s="7">
        <f t="shared" si="85"/>
        <v>9.4833333289716393</v>
      </c>
      <c r="O192" s="7"/>
      <c r="P192" s="7"/>
      <c r="Q192" s="25"/>
      <c r="R192" s="25"/>
      <c r="S192" s="37">
        <f t="shared" si="86"/>
        <v>1</v>
      </c>
      <c r="T192" s="52" t="str">
        <f t="shared" si="87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18:37:41-0600',mode:absolute,to:'2016-10-02 20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2" s="54" t="str">
        <f t="shared" si="89"/>
        <v>Y</v>
      </c>
      <c r="X192" s="164">
        <f t="shared" si="90"/>
        <v>4</v>
      </c>
      <c r="Y192" s="69">
        <f t="shared" si="91"/>
        <v>4.5499999999999999E-2</v>
      </c>
      <c r="Z192" s="69">
        <f t="shared" si="92"/>
        <v>2.331</v>
      </c>
      <c r="AA192" s="69">
        <f t="shared" si="93"/>
        <v>2.2854999999999999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94"/>
        <v>0307-02</v>
      </c>
      <c r="AE192" s="95" t="str">
        <f t="shared" si="95"/>
        <v>aws s3 cp s3://rtdc.mdm.uploadarchive.raw/RTDC4016/ "%USERPROFILE%\AppData\Local\Temp\OnboardLogs"\RTDC4016\2016-10-02 --exclude "*" --recursive --include "*20161002*" &amp; "%USERPROFILE%\Documents\GitHub\mrs-test-scripts\Headless Mode &amp; Sideloading\WalkAndUnGZ.bat" "%USERPROFILE%\AppData\Local\Temp\OnboardLogs"\RTDC4016\2016-10-02 &amp; aws s3 cp s3://rtdc.mdm.uploadarchive.raw/RTDC4016/ "%USERPROFILE%\AppData\Local\Temp\OnboardLogs"\RTDC4016\2016-10-03 --exclude "*" --recursive --include "*20161003*" &amp; "%USERPROFILE%\Documents\GitHub\mrs-test-scripts\Headless Mode &amp; Sideloading\WalkAndUnGZ.bat" "%USERPROFILE%\AppData\Local\Temp\OnboardLogs"\RTDC4016\2016-10-03</v>
      </c>
      <c r="AF192" s="92" t="str">
        <f t="shared" si="96"/>
        <v>"C:\Program Files (x86)\AstroGrep\AstroGrep.exe" /spath="%USERPROFILE%\AppData\Local\Temp\OnboardLogs" /stypes="app*4016*20161003*" /stext=" 01:.+((SYSTEM_STATE.+slice.+state.+changed )|(ment ac)|(system.+state.+changed )|(\[timeout)|(PRM\|1\|D)|(kpr)|(kdp)|(\|lc)|(penalty))" /e /r /s</v>
      </c>
      <c r="AG192" s="1" t="str">
        <f t="shared" si="97"/>
        <v>Other</v>
      </c>
      <c r="AH192" s="96" t="str">
        <f t="shared" si="81"/>
        <v>"%USERPROFILE%\Documents\GitHub\eaglep3\Utilities\RefineRTDCRunTimes.py" --tripid 307-02 --locoid 4016 --swversion DE.1.0.7.0 --startMP 204:455 --initTime 2016-10-02T19:37:41 --startdatetime 2016-10-02T19:41:48 --delay 1 --endMP 300:23310 --enddatetime 2016-10-02T19:51:17 --enforcementcount 0 &gt;&gt;C:\Users\stu\Documents\GitHub\eaglep3-reporting\EC\2016-10-02-refined-times.txt</v>
      </c>
      <c r="AI192" s="130" t="str">
        <f t="shared" si="82"/>
        <v>echo {"issue":{"subject":"","project_id":79,"tracker_id":40,"status_id":1,"priority_id":2,"assigned_to_id":23,"start_date":"2016-10-02","description":"","custom_fields":[{"id":1,"name":"Subdivision","value":"Other"},{"id":4,"name":"Milepost","value":"2.331"},{"id":17,"name":"Train ID","value":"307-02"},{"id":16,"name":"Locomotive ID","value":"4016"},{"id":130,"name":"Impact","value":""},{"id":150,"name":"Time of Event (Mountain Time)","value":"19:51:17"},{"id":151,"name":"Denver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691</v>
      </c>
      <c r="B193" s="7">
        <v>4007</v>
      </c>
      <c r="C193" s="24" t="s">
        <v>106</v>
      </c>
      <c r="D193" s="24" t="s">
        <v>208</v>
      </c>
      <c r="E193" s="15">
        <v>42646.027222222219</v>
      </c>
      <c r="F193" s="15">
        <v>42646.028877314813</v>
      </c>
      <c r="G193" s="7">
        <v>1</v>
      </c>
      <c r="H193" s="15" t="s">
        <v>692</v>
      </c>
      <c r="I193" s="15">
        <v>42646.034675925926</v>
      </c>
      <c r="J193" s="7">
        <v>0</v>
      </c>
      <c r="K193" s="117" t="str">
        <f t="shared" si="83"/>
        <v>4007/4008</v>
      </c>
      <c r="L193" s="24" t="str">
        <f>VLOOKUP(A193,'Trips&amp;Operators'!$C$1:$E$10000,3,FALSE)</f>
        <v>LEVERE</v>
      </c>
      <c r="M193" s="6">
        <f t="shared" si="84"/>
        <v>5.7986111132777296E-3</v>
      </c>
      <c r="N193" s="7">
        <f t="shared" si="85"/>
        <v>8.3500000031199306</v>
      </c>
      <c r="O193" s="7"/>
      <c r="P193" s="7"/>
      <c r="Q193" s="25"/>
      <c r="R193" s="25"/>
      <c r="S193" s="37">
        <f t="shared" si="86"/>
        <v>1</v>
      </c>
      <c r="T193" s="52" t="str">
        <f t="shared" si="87"/>
        <v>NorthBound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23:39:12-0600',mode:absolute,to:'2016-10-03 01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93" s="54" t="str">
        <f t="shared" si="89"/>
        <v>Y</v>
      </c>
      <c r="X193" s="164">
        <f t="shared" si="90"/>
        <v>2</v>
      </c>
      <c r="Y193" s="69">
        <f t="shared" si="91"/>
        <v>4.5699999999999998E-2</v>
      </c>
      <c r="Z193" s="69">
        <f t="shared" si="92"/>
        <v>2.2827999999999999</v>
      </c>
      <c r="AA193" s="69">
        <f t="shared" si="93"/>
        <v>2.2370999999999999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94"/>
        <v>0309-02</v>
      </c>
      <c r="AE193" s="95" t="str">
        <f t="shared" si="95"/>
        <v>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 &amp; 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</v>
      </c>
      <c r="AF193" s="92" t="str">
        <f t="shared" si="96"/>
        <v>"C:\Program Files (x86)\AstroGrep\AstroGrep.exe" /spath="%USERPROFILE%\AppData\Local\Temp\OnboardLogs" /stypes="app*4007*20161003*" /stext=" 06:.+((SYSTEM_STATE.+slice.+state.+changed )|(ment ac)|(system.+state.+changed )|(\[timeout)|(PRM\|1\|D)|(kpr)|(kdp)|(\|lc)|(penalty))" /e /r /s</v>
      </c>
      <c r="AG193" s="1" t="str">
        <f t="shared" si="97"/>
        <v>Other</v>
      </c>
      <c r="AH193" s="96" t="str">
        <f t="shared" si="81"/>
        <v>"%USERPROFILE%\Documents\GitHub\eaglep3\Utilities\RefineRTDCRunTimes.py" --tripid 309-02 --locoid 4007 --swversion DE.1.0.7.0 --startMP 204:457 --initTime 2016-10-03T00:39:12 --startdatetime 2016-10-03T00:41:35 --delay 1 --endMP 300:22828 --enddatetime 2016-10-03T00:49:56 --enforcementcount 0 &gt;&gt;C:\Users\stu\Documents\GitHub\eaglep3-reporting\EC\2016-10-02-refined-times.txt</v>
      </c>
      <c r="AI193" s="130" t="str">
        <f t="shared" si="82"/>
        <v>echo {"issue":{"subject":"","project_id":79,"tracker_id":40,"status_id":1,"priority_id":2,"assigned_to_id":23,"start_date":"2016-10-03","description":"","custom_fields":[{"id":1,"name":"Subdivision","value":"Other"},{"id":4,"name":"Milepost","value":"2.2828"},{"id":17,"name":"Train ID","value":"309-02"},{"id":16,"name":"Locomotive ID","value":"4007"},{"id":130,"name":"Impact","value":""},{"id":150,"name":"Time of Event (Mountain Time)","value":"00:49:56"},{"id":151,"name":"Denver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693</v>
      </c>
      <c r="B194" s="7">
        <v>4042</v>
      </c>
      <c r="C194" s="24" t="s">
        <v>106</v>
      </c>
      <c r="D194" s="24" t="s">
        <v>213</v>
      </c>
      <c r="E194" s="15">
        <v>42646.045740740738</v>
      </c>
      <c r="F194" s="15">
        <v>25568.708333333332</v>
      </c>
      <c r="G194" s="7">
        <v>1</v>
      </c>
      <c r="H194" s="15" t="s">
        <v>389</v>
      </c>
      <c r="I194" s="15">
        <v>25568.708333333332</v>
      </c>
      <c r="J194" s="7">
        <v>0</v>
      </c>
      <c r="K194" s="117" t="str">
        <f t="shared" si="83"/>
        <v>4041/4042</v>
      </c>
      <c r="L194" s="24" t="str">
        <f>VLOOKUP(A194,'Trips&amp;Operators'!$C$1:$E$10000,3,FALSE)</f>
        <v>COOLAHAN</v>
      </c>
      <c r="M194" s="6">
        <f t="shared" si="84"/>
        <v>0</v>
      </c>
      <c r="N194" s="7">
        <f t="shared" si="85"/>
        <v>0</v>
      </c>
      <c r="O194" s="7"/>
      <c r="P194" s="7"/>
      <c r="Q194" s="25"/>
      <c r="R194" s="25"/>
      <c r="S194" s="37">
        <f t="shared" si="86"/>
        <v>1</v>
      </c>
      <c r="T194" s="52" t="str">
        <f t="shared" si="87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https://search-rtdc-monitor-bjffxe2xuh6vdkpspy63sjmuny.us-east-1.es.amazonaws.com/_plugin/kibana/#/discover/Steve-Slow-Train-Analysis-(2080s-and-2083s)?_g=(refreshInterval:(display:Off,section:0,value:0),time:(from:'2016-10-03 00:05:52-0600',mode:absolute,to:'1969-12-31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4" s="54" t="str">
        <f t="shared" si="89"/>
        <v>Y</v>
      </c>
      <c r="X194" s="164">
        <f t="shared" si="90"/>
        <v>2</v>
      </c>
      <c r="Y194" s="69">
        <f t="shared" si="91"/>
        <v>4.5999999999999999E-2</v>
      </c>
      <c r="Z194" s="69">
        <f t="shared" si="92"/>
        <v>2.3298999999999999</v>
      </c>
      <c r="AA194" s="69">
        <f t="shared" si="93"/>
        <v>2.2839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94"/>
        <v>0311-02</v>
      </c>
      <c r="AE194" s="95" t="str">
        <f t="shared" si="9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4" s="92" t="str">
        <f t="shared" si="9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194" s="1" t="str">
        <f t="shared" si="97"/>
        <v>Other</v>
      </c>
      <c r="AH194" s="96" t="str">
        <f t="shared" si="81"/>
        <v>"%USERPROFILE%\Documents\GitHub\eaglep3\Utilities\RefineRTDCRunTimes.py" --tripid 311-02 --locoid 4042 --swversion DE.1.0.7.0 --startMP 204:460 --initTime 2016-10-03T01:05:52 --startdatetime 1969-12-31T17:00:00 --delay 1 --endMP 300:23299 --enddatetime 1969-12-31T17:00:00 --enforcementcount 0 &gt;&gt;C:\Users\stu\Documents\GitHub\eaglep3-reporting\EC\2016-10-02-refined-times.txt</v>
      </c>
      <c r="AI194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ID","value":"311-02"},{"id":16,"name":"Locomotive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394</v>
      </c>
      <c r="B195" s="7">
        <v>4009</v>
      </c>
      <c r="C195" s="24" t="s">
        <v>106</v>
      </c>
      <c r="D195" s="24" t="s">
        <v>204</v>
      </c>
      <c r="E195" s="15">
        <v>42645.089513888888</v>
      </c>
      <c r="F195" s="15">
        <v>25568.708333333332</v>
      </c>
      <c r="G195" s="7">
        <v>1</v>
      </c>
      <c r="H195" s="15" t="s">
        <v>395</v>
      </c>
      <c r="I195" s="15">
        <v>25568.708333333332</v>
      </c>
      <c r="J195" s="7">
        <v>0</v>
      </c>
      <c r="K195" s="117" t="str">
        <f t="shared" si="83"/>
        <v>4009/4010</v>
      </c>
      <c r="L195" s="24" t="str">
        <f>VLOOKUP(A195,'Trips&amp;Operators'!$C$1:$E$10000,3,FALSE)</f>
        <v>STURGEON</v>
      </c>
      <c r="M195" s="6">
        <f t="shared" si="84"/>
        <v>0</v>
      </c>
      <c r="N195" s="7">
        <f t="shared" si="85"/>
        <v>0</v>
      </c>
      <c r="O195" s="7"/>
      <c r="P195" s="7"/>
      <c r="Q195" s="25"/>
      <c r="R195" s="25"/>
      <c r="S195" s="37">
        <f t="shared" si="86"/>
        <v>1</v>
      </c>
      <c r="T195" s="52" t="str">
        <f t="shared" si="87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01:08:54-0600',mode:absolute,to:'1969-12-31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5" s="54" t="str">
        <f t="shared" si="89"/>
        <v>Y</v>
      </c>
      <c r="X195" s="164">
        <f t="shared" si="90"/>
        <v>2</v>
      </c>
      <c r="Y195" s="69">
        <f t="shared" si="91"/>
        <v>4.53E-2</v>
      </c>
      <c r="Z195" s="69">
        <f t="shared" si="92"/>
        <v>2.3315999999999999</v>
      </c>
      <c r="AA195" s="69">
        <f t="shared" si="93"/>
        <v>2.2862999999999998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94"/>
        <v>0313-01</v>
      </c>
      <c r="AE195" s="95" t="str">
        <f t="shared" si="9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195" s="92" t="str">
        <f t="shared" si="96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195" s="1" t="str">
        <f t="shared" si="97"/>
        <v>Other</v>
      </c>
      <c r="AH195" s="96" t="str">
        <f t="shared" si="81"/>
        <v>"%USERPROFILE%\Documents\GitHub\eaglep3\Utilities\RefineRTDCRunTimes.py" --tripid 313-01 --locoid 4009 --swversion DE.1.0.7.0 --startMP 204:453 --initTime 2016-10-02T02:08:54 --startdatetime 1969-12-31T17:00:00 --delay 1 --endMP 300:23316 --enddatetime 1969-12-31T17:00:00 --enforcementcount 0 &gt;&gt;C:\Users\stu\Documents\GitHub\eaglep3-reporting\EC\2016-10-02-refined-times.txt</v>
      </c>
      <c r="AI195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ID","value":"313-01"},{"id":16,"name":"Locomotive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694</v>
      </c>
      <c r="B196" s="7">
        <v>4053</v>
      </c>
      <c r="C196" s="24" t="s">
        <v>106</v>
      </c>
      <c r="D196" s="24" t="s">
        <v>233</v>
      </c>
      <c r="E196" s="15">
        <v>42646.067881944444</v>
      </c>
      <c r="F196" s="15">
        <v>25568.708333333332</v>
      </c>
      <c r="G196" s="7">
        <v>2</v>
      </c>
      <c r="H196" s="15" t="s">
        <v>695</v>
      </c>
      <c r="I196" s="15">
        <v>25568.708333333332</v>
      </c>
      <c r="J196" s="7">
        <v>0</v>
      </c>
      <c r="K196" s="117" t="str">
        <f t="shared" si="83"/>
        <v>4053/4054</v>
      </c>
      <c r="L196" s="24" t="str">
        <f>VLOOKUP(A196,'Trips&amp;Operators'!$C$1:$E$10000,3,FALSE)</f>
        <v>NEWELL</v>
      </c>
      <c r="M196" s="6">
        <f t="shared" si="84"/>
        <v>0</v>
      </c>
      <c r="N196" s="7">
        <f t="shared" si="85"/>
        <v>0</v>
      </c>
      <c r="O196" s="7"/>
      <c r="P196" s="7"/>
      <c r="Q196" s="25"/>
      <c r="R196" s="25"/>
      <c r="S196" s="37">
        <f t="shared" si="86"/>
        <v>1</v>
      </c>
      <c r="T196" s="52" t="str">
        <f t="shared" si="87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https://search-rtdc-monitor-bjffxe2xuh6vdkpspy63sjmuny.us-east-1.es.amazonaws.com/_plugin/kibana/#/discover/Steve-Slow-Train-Analysis-(2080s-and-2083s)?_g=(refreshInterval:(display:Off,section:0,value:0),time:(from:'2016-10-03 00:37:45-0600',mode:absolute,to:'1969-12-31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96" s="54" t="str">
        <f t="shared" si="89"/>
        <v>Y</v>
      </c>
      <c r="X196" s="164">
        <f t="shared" si="90"/>
        <v>0</v>
      </c>
      <c r="Y196" s="69">
        <f t="shared" si="91"/>
        <v>4.6399999999999997E-2</v>
      </c>
      <c r="Z196" s="69">
        <f t="shared" si="92"/>
        <v>2.3304</v>
      </c>
      <c r="AA196" s="69">
        <f t="shared" si="93"/>
        <v>2.2839999999999998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94"/>
        <v>0313-02</v>
      </c>
      <c r="AE196" s="95" t="str">
        <f t="shared" si="9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6" s="92" t="str">
        <f t="shared" si="96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196" s="1" t="str">
        <f t="shared" si="97"/>
        <v>Other</v>
      </c>
      <c r="AH196" s="96" t="str">
        <f t="shared" si="81"/>
        <v>"%USERPROFILE%\Documents\GitHub\eaglep3\Utilities\RefineRTDCRunTimes.py" --tripid 313-02 --locoid 4053 --swversion DE.1.0.7.0 --startMP 204:464 --initTime 2016-10-03T01:37:45 --startdatetime 1969-12-31T17:00:00 --delay 2 --endMP 300:23304 --enddatetime 1969-12-31T17:00:00 --enforcementcount 0 &gt;&gt;C:\Users\stu\Documents\GitHub\eaglep3-reporting\EC\2016-10-02-refined-times.txt</v>
      </c>
      <c r="AI196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396</v>
      </c>
      <c r="B197" s="7">
        <v>4029</v>
      </c>
      <c r="C197" s="24" t="s">
        <v>106</v>
      </c>
      <c r="D197" s="24" t="s">
        <v>210</v>
      </c>
      <c r="E197" s="15">
        <v>42645.108356481483</v>
      </c>
      <c r="F197" s="15">
        <v>25568.708333333332</v>
      </c>
      <c r="G197" s="7">
        <v>2</v>
      </c>
      <c r="H197" s="15" t="s">
        <v>295</v>
      </c>
      <c r="I197" s="15">
        <v>25568.708333333332</v>
      </c>
      <c r="J197" s="7">
        <v>0</v>
      </c>
      <c r="K197" s="117" t="str">
        <f t="shared" si="83"/>
        <v>4029/4030</v>
      </c>
      <c r="L197" s="24" t="str">
        <f>VLOOKUP(A197,'Trips&amp;Operators'!$C$1:$E$10000,3,FALSE)</f>
        <v>LEVIN</v>
      </c>
      <c r="M197" s="6">
        <f t="shared" si="84"/>
        <v>0</v>
      </c>
      <c r="N197" s="7">
        <f t="shared" si="85"/>
        <v>0</v>
      </c>
      <c r="O197" s="7"/>
      <c r="P197" s="7"/>
      <c r="Q197" s="25"/>
      <c r="R197" s="25"/>
      <c r="S197" s="37">
        <f t="shared" si="86"/>
        <v>1</v>
      </c>
      <c r="T197" s="52" t="str">
        <f t="shared" si="87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01:36:02-0600',mode:absolute,to:'1969-12-31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7" s="54" t="str">
        <f t="shared" si="89"/>
        <v>Y</v>
      </c>
      <c r="X197" s="164">
        <f t="shared" si="90"/>
        <v>2</v>
      </c>
      <c r="Y197" s="69">
        <f t="shared" si="91"/>
        <v>4.5100000000000001E-2</v>
      </c>
      <c r="Z197" s="69">
        <f t="shared" si="92"/>
        <v>2.3308</v>
      </c>
      <c r="AA197" s="69">
        <f t="shared" si="93"/>
        <v>2.2856999999999998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94"/>
        <v>0315-01</v>
      </c>
      <c r="AE197" s="95" t="str">
        <f t="shared" si="9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7" s="92" t="str">
        <f t="shared" si="96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197" s="1" t="str">
        <f t="shared" si="97"/>
        <v>Other</v>
      </c>
      <c r="AH197" s="96" t="str">
        <f t="shared" si="81"/>
        <v>"%USERPROFILE%\Documents\GitHub\eaglep3\Utilities\RefineRTDCRunTimes.py" --tripid 315-01 --locoid 4029 --swversion DE.1.0.7.0 --startMP 204:451 --initTime 2016-10-02T02:36:02 --startdatetime 1969-12-31T17:00:00 --delay 2 --endMP 300:23308 --enddatetime 1969-12-31T17:00:00 --enforcementcount 0 &gt;&gt;C:\Users\stu\Documents\GitHub\eaglep3-reporting\EC\2016-10-02-refined-times.txt</v>
      </c>
      <c r="AI197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696</v>
      </c>
      <c r="B198" s="7">
        <v>4014</v>
      </c>
      <c r="C198" s="24" t="s">
        <v>106</v>
      </c>
      <c r="D198" s="24" t="s">
        <v>697</v>
      </c>
      <c r="E198" s="15">
        <v>42646.088946759257</v>
      </c>
      <c r="F198" s="15">
        <v>42646.090520833335</v>
      </c>
      <c r="G198" s="7">
        <v>1</v>
      </c>
      <c r="H198" s="15" t="s">
        <v>698</v>
      </c>
      <c r="I198" s="15">
        <v>42646.096550925926</v>
      </c>
      <c r="J198" s="7">
        <v>0</v>
      </c>
      <c r="K198" s="117" t="str">
        <f t="shared" si="83"/>
        <v>4013/4014</v>
      </c>
      <c r="L198" s="24" t="str">
        <f>VLOOKUP(A198,'Trips&amp;Operators'!$C$1:$E$10000,3,FALSE)</f>
        <v>CHANDLER</v>
      </c>
      <c r="M198" s="6">
        <f t="shared" si="84"/>
        <v>6.0300925906631164E-3</v>
      </c>
      <c r="N198" s="7">
        <f t="shared" si="85"/>
        <v>8.6833333305548877</v>
      </c>
      <c r="O198" s="7"/>
      <c r="P198" s="7"/>
      <c r="Q198" s="25"/>
      <c r="R198" s="25"/>
      <c r="S198" s="37">
        <f t="shared" si="86"/>
        <v>1</v>
      </c>
      <c r="T198" s="52" t="str">
        <f t="shared" si="87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https://search-rtdc-monitor-bjffxe2xuh6vdkpspy63sjmuny.us-east-1.es.amazonaws.com/_plugin/kibana/#/discover/Steve-Slow-Train-Analysis-(2080s-and-2083s)?_g=(refreshInterval:(display:Off,section:0,value:0),time:(from:'2016-10-03 01:08:05-0600',mode:absolute,to:'2016-10-03 03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8" s="54" t="str">
        <f t="shared" si="89"/>
        <v>Y</v>
      </c>
      <c r="X198" s="164">
        <f t="shared" si="90"/>
        <v>0</v>
      </c>
      <c r="Y198" s="69">
        <f t="shared" si="91"/>
        <v>4.3700000000000003E-2</v>
      </c>
      <c r="Z198" s="69">
        <f t="shared" si="92"/>
        <v>2.3296999999999999</v>
      </c>
      <c r="AA198" s="69">
        <f t="shared" si="93"/>
        <v>2.286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94"/>
        <v>0315-02</v>
      </c>
      <c r="AE198" s="95" t="str">
        <f t="shared" si="95"/>
        <v>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 &amp; aws s3 cp s3://rtdc.mdm.uploadarchive.raw/RTDC4014/ "%USERPROFILE%\AppData\Local\Temp\OnboardLogs"\RTDC4014\2016-10-04 --exclude "*" --recursive --include "*20161004*" &amp; "%USERPROFILE%\Documents\GitHub\mrs-test-scripts\Headless Mode &amp; Sideloading\WalkAndUnGZ.bat" "%USERPROFILE%\AppData\Local\Temp\OnboardLogs"\RTDC4014\2016-10-04</v>
      </c>
      <c r="AF198" s="92" t="str">
        <f t="shared" si="96"/>
        <v>"C:\Program Files (x86)\AstroGrep\AstroGrep.exe" /spath="%USERPROFILE%\AppData\Local\Temp\OnboardLogs" /stypes="app*4014*20161003*" /stext=" 08:.+((SYSTEM_STATE.+slice.+state.+changed )|(ment ac)|(system.+state.+changed )|(\[timeout)|(PRM\|1\|D)|(kpr)|(kdp)|(\|lc)|(penalty))" /e /r /s</v>
      </c>
      <c r="AG198" s="1" t="str">
        <f t="shared" si="97"/>
        <v>Other</v>
      </c>
      <c r="AH198" s="96" t="str">
        <f t="shared" si="81"/>
        <v>"%USERPROFILE%\Documents\GitHub\eaglep3\Utilities\RefineRTDCRunTimes.py" --tripid 315-02 --locoid 4014 --swversion DE.1.0.7.0 --startMP 204:437 --initTime 2016-10-03T02:08:05 --startdatetime 2016-10-03T02:10:21 --delay 1 --endMP 300:23297 --enddatetime 2016-10-03T02:19:02 --enforcementcount 0 &gt;&gt;C:\Users\stu\Documents\GitHub\eaglep3-reporting\EC\2016-10-02-refined-times.txt</v>
      </c>
      <c r="AI198" s="130" t="str">
        <f t="shared" si="82"/>
        <v>echo {"issue":{"subject":"","project_id":79,"tracker_id":40,"status_id":1,"priority_id":2,"assigned_to_id":23,"start_date":"2016-10-03","description":"","custom_fields":[{"id":1,"name":"Subdivision","value":"Other"},{"id":4,"name":"Milepost","value":"2.3297"},{"id":17,"name":"Train ID","value":"315-02"},{"id":16,"name":"Locomotive ID","value":"4014"},{"id":130,"name":"Impact","value":""},{"id":150,"name":"Time of Event (Mountain Time)","value":"02:19:02"},{"id":151,"name":"Denver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612</v>
      </c>
      <c r="B199" s="7">
        <v>4004</v>
      </c>
      <c r="C199" s="24" t="s">
        <v>106</v>
      </c>
      <c r="D199" s="24" t="s">
        <v>613</v>
      </c>
      <c r="E199" s="15">
        <v>42645.944456018522</v>
      </c>
      <c r="F199" s="15">
        <v>42645.947685185187</v>
      </c>
      <c r="G199" s="7">
        <v>1</v>
      </c>
      <c r="H199" s="15" t="s">
        <v>614</v>
      </c>
      <c r="I199" s="15">
        <v>42645.953819444447</v>
      </c>
      <c r="J199" s="7">
        <v>0</v>
      </c>
      <c r="K199" s="117" t="str">
        <f t="shared" si="83"/>
        <v>4003/4004</v>
      </c>
      <c r="L199" s="24" t="str">
        <f>VLOOKUP(A199,'Trips&amp;Operators'!$C$1:$E$10000,3,FALSE)</f>
        <v>ARVIDSON</v>
      </c>
      <c r="M199" s="6">
        <f t="shared" si="84"/>
        <v>6.1342592598521151E-3</v>
      </c>
      <c r="N199" s="7">
        <f t="shared" si="85"/>
        <v>8.8333333341870457</v>
      </c>
      <c r="O199" s="7"/>
      <c r="P199" s="7"/>
      <c r="Q199" s="25"/>
      <c r="R199" s="25"/>
      <c r="S199" s="37">
        <f t="shared" si="86"/>
        <v>0</v>
      </c>
      <c r="T199" s="52" t="str">
        <f t="shared" si="87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21:40:01-0600',mode:absolute,to:'2016-10-02 23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99" s="54" t="str">
        <f t="shared" si="89"/>
        <v>Y</v>
      </c>
      <c r="X199" s="164">
        <f t="shared" si="90"/>
        <v>1587</v>
      </c>
      <c r="Y199" s="69">
        <f t="shared" si="91"/>
        <v>5.8601999999999999</v>
      </c>
      <c r="Z199" s="69">
        <f t="shared" si="92"/>
        <v>2.1932999999999998</v>
      </c>
      <c r="AA199" s="69">
        <f t="shared" si="93"/>
        <v>3.6669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94"/>
        <v>1902-02</v>
      </c>
      <c r="AE199" s="95" t="str">
        <f t="shared" si="95"/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AF199" s="92" t="str">
        <f t="shared" si="96"/>
        <v>"C:\Program Files (x86)\AstroGrep\AstroGrep.exe" /spath="%USERPROFILE%\AppData\Local\Temp\OnboardLogs" /stypes="app*4004*20161003*" /stext=" 04:.+((SYSTEM_STATE.+slice.+state.+changed )|(ment ac)|(system.+state.+changed )|(\[timeout)|(PRM\|1\|D)|(kpr)|(kdp)|(\|lc)|(penalty))" /e /r /s</v>
      </c>
      <c r="AG199" s="1" t="str">
        <f t="shared" si="97"/>
        <v>Other</v>
      </c>
      <c r="AH199" s="96" t="str">
        <f t="shared" si="81"/>
        <v>"%USERPROFILE%\Documents\GitHub\eaglep3\Utilities\RefineRTDCRunTimes.py" --tripid 1902-02 --locoid 4004 --swversion DE.1.0.7.0 --startMP 300:58602 --initTime 2016-10-02T22:40:01 --startdatetime 2016-10-02T22:44:40 --delay 1 --endMP 300:21933 --enddatetime 2016-10-02T22:53:30 --enforcementcount 0 &gt;&gt;C:\Users\stu\Documents\GitHub\eaglep3-reporting\EC\2016-10-02-refined-times.txt</v>
      </c>
      <c r="AI199" s="130" t="str">
        <f t="shared" si="82"/>
        <v>echo {"issue":{"subject":"","project_id":79,"tracker_id":40,"status_id":1,"priority_id":2,"assigned_to_id":23,"start_date":"2016-10-02","description":"","custom_fields":[{"id":1,"name":"Subdivision","value":"Other"},{"id":4,"name":"Milepost","value":"2.1933"},{"id":17,"name":"Train ID","value":"1902-02"},{"id":16,"name":"Locomotive ID","value":"4004"},{"id":130,"name":"Impact","value":""},{"id":150,"name":"Time of Event (Mountain Time)","value":"22:53:30"},{"id":151,"name":"Denver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699</v>
      </c>
      <c r="B200" s="7">
        <v>4005</v>
      </c>
      <c r="C200" s="24" t="s">
        <v>106</v>
      </c>
      <c r="D200" s="24" t="s">
        <v>700</v>
      </c>
      <c r="E200" s="15">
        <v>42645.457569444443</v>
      </c>
      <c r="F200" s="15">
        <v>42645.460370370369</v>
      </c>
      <c r="G200" s="7">
        <v>3</v>
      </c>
      <c r="H200" s="15" t="s">
        <v>701</v>
      </c>
      <c r="I200" s="15">
        <v>42645.46665509259</v>
      </c>
      <c r="J200" s="7">
        <v>0</v>
      </c>
      <c r="K200" s="117" t="str">
        <f t="shared" si="83"/>
        <v>4005/4006</v>
      </c>
      <c r="L200" s="24" t="str">
        <f>VLOOKUP(A200,'Trips&amp;Operators'!$C$1:$E$10000,3,FALSE)</f>
        <v>MOSES</v>
      </c>
      <c r="M200" s="6">
        <f t="shared" si="84"/>
        <v>6.284722221607808E-3</v>
      </c>
      <c r="N200" s="7">
        <f t="shared" si="85"/>
        <v>9.0499999991152436</v>
      </c>
      <c r="O200" s="7"/>
      <c r="P200" s="7"/>
      <c r="Q200" s="25"/>
      <c r="R200" s="25"/>
      <c r="S200" s="37">
        <f t="shared" si="86"/>
        <v>0</v>
      </c>
      <c r="T200" s="52" t="e">
        <f t="shared" si="87"/>
        <v>#VALUE!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09:58:54-0600',mode:absolute,to:'2016-10-02 12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0" s="54" t="str">
        <f t="shared" si="89"/>
        <v>Y</v>
      </c>
      <c r="X200" s="164" t="e">
        <f t="shared" si="90"/>
        <v>#VALUE!</v>
      </c>
      <c r="Y200" s="69">
        <f t="shared" si="91"/>
        <v>2.3489</v>
      </c>
      <c r="Z200" s="69">
        <f t="shared" si="92"/>
        <v>8.7800000000000003E-2</v>
      </c>
      <c r="AA200" s="69">
        <f t="shared" si="93"/>
        <v>2.2610999999999999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94"/>
        <v>50-02</v>
      </c>
      <c r="AE200" s="95" t="str">
        <f t="shared" si="95"/>
        <v>aws s3 cp s3://rtdc.mdm.uploadarchive.raw/RTDC4005/ "%USERPROFILE%\AppData\Local\Temp\OnboardLogs"\RTDC4005\2016-10-02 --exclude "*" --recursive --include "*20161002*" &amp; "%USERPROFILE%\Documents\GitHub\mrs-test-scripts\Headless Mode &amp; Sideloading\WalkAndUnGZ.bat" "%USERPROFILE%\AppData\Local\Temp\OnboardLogs"\RTDC4005\2016-10-02 &amp; aws s3 cp s3://rtdc.mdm.uploadarchive.raw/RTDC4005/ "%USERPROFILE%\AppData\Local\Temp\OnboardLogs"\RTDC4005\2016-10-03 --exclude "*" --recursive --include "*20161003*" &amp; "%USERPROFILE%\Documents\GitHub\mrs-test-scripts\Headless Mode &amp; Sideloading\WalkAndUnGZ.bat" "%USERPROFILE%\AppData\Local\Temp\OnboardLogs"\RTDC4005\2016-10-03</v>
      </c>
      <c r="AF200" s="92" t="str">
        <f t="shared" si="96"/>
        <v>"C:\Program Files (x86)\AstroGrep\AstroGrep.exe" /spath="%USERPROFILE%\AppData\Local\Temp\OnboardLogs" /stypes="app*4005*20161002*" /stext=" 17:.+((SYSTEM_STATE.+slice.+state.+changed )|(ment ac)|(system.+state.+changed )|(\[timeout)|(PRM\|1\|D)|(kpr)|(kdp)|(\|lc)|(penalty))" /e /r /s</v>
      </c>
      <c r="AG200" s="1" t="str">
        <f t="shared" si="97"/>
        <v>Other</v>
      </c>
      <c r="AH200" s="96" t="str">
        <f t="shared" si="81"/>
        <v>"%USERPROFILE%\Documents\GitHub\eaglep3\Utilities\RefineRTDCRunTimes.py" --tripid 50-02 --locoid 4005 --swversion DE.1.0.7.0 --startMP 300:23489 --initTime 2016-10-02T10:58:54 --startdatetime 2016-10-02T11:02:56 --delay 3 --endMP 204:878 --enddatetime 2016-10-02T11:11:59 --enforcementcount 0 &gt;&gt;C:\Users\stu\Documents\GitHub\eaglep3-reporting\EC\2016-10-02-refined-times.txt</v>
      </c>
      <c r="AI200" s="130" t="str">
        <f t="shared" si="82"/>
        <v>echo {"issue":{"subject":"","project_id":79,"tracker_id":40,"status_id":1,"priority_id":2,"assigned_to_id":23,"start_date":"2016-10-02","description":"","custom_fields":[{"id":1,"name":"Subdivision","value":"Other"},{"id":4,"name":"Milepost","value":"0.0878"},{"id":17,"name":"Train ID","value":"50-02"},{"id":16,"name":"Locomotive ID","value":"4005"},{"id":130,"name":"Impact","value":""},{"id":150,"name":"Time of Event (Mountain Time)","value":"11:11:59"},{"id":151,"name":"Denver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702</v>
      </c>
      <c r="B201" s="7">
        <v>4006</v>
      </c>
      <c r="C201" s="24" t="s">
        <v>106</v>
      </c>
      <c r="D201" s="24" t="s">
        <v>703</v>
      </c>
      <c r="E201" s="15">
        <v>42645.500914351855</v>
      </c>
      <c r="F201" s="15">
        <v>42645.502256944441</v>
      </c>
      <c r="G201" s="7">
        <v>1</v>
      </c>
      <c r="H201" s="15" t="s">
        <v>704</v>
      </c>
      <c r="I201" s="15">
        <v>42645.508599537039</v>
      </c>
      <c r="J201" s="7">
        <v>0</v>
      </c>
      <c r="K201" s="117" t="str">
        <f t="shared" si="83"/>
        <v>4005/4006</v>
      </c>
      <c r="L201" s="24" t="str">
        <f>VLOOKUP(A201,'Trips&amp;Operators'!$C$1:$E$10000,3,FALSE)</f>
        <v>ROBINSON</v>
      </c>
      <c r="M201" s="6">
        <f t="shared" si="84"/>
        <v>6.3425925982301123E-3</v>
      </c>
      <c r="N201" s="7">
        <f t="shared" si="85"/>
        <v>9.1333333414513618</v>
      </c>
      <c r="O201" s="7"/>
      <c r="P201" s="7"/>
      <c r="Q201" s="25"/>
      <c r="R201" s="25"/>
      <c r="S201" s="37">
        <f t="shared" si="86"/>
        <v>0</v>
      </c>
      <c r="T201" s="52" t="e">
        <f t="shared" si="87"/>
        <v>#VALUE!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11:01:19-0600',mode:absolute,to:'2016-10-02 13:12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1" s="54" t="str">
        <f t="shared" si="89"/>
        <v>Y</v>
      </c>
      <c r="X201" s="164" t="e">
        <f t="shared" si="90"/>
        <v>#VALUE!</v>
      </c>
      <c r="Y201" s="69">
        <f t="shared" si="91"/>
        <v>0.1197</v>
      </c>
      <c r="Z201" s="69">
        <f t="shared" si="92"/>
        <v>2.4710999999999999</v>
      </c>
      <c r="AA201" s="69">
        <f t="shared" si="93"/>
        <v>2.3513999999999999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94"/>
        <v>55-02</v>
      </c>
      <c r="AE201" s="95" t="str">
        <f t="shared" si="95"/>
        <v>aws s3 cp s3://rtdc.mdm.uploadarchive.raw/RTDC4006/ "%USERPROFILE%\AppData\Local\Temp\OnboardLogs"\RTDC4006\2016-10-02 --exclude "*" --recursive --include "*20161002*" &amp; "%USERPROFILE%\Documents\GitHub\mrs-test-scripts\Headless Mode &amp; Sideloading\WalkAndUnGZ.bat" "%USERPROFILE%\AppData\Local\Temp\OnboardLogs"\RTDC4006\2016-10-02 &amp; aws s3 cp s3://rtdc.mdm.uploadarchive.raw/RTDC4006/ "%USERPROFILE%\AppData\Local\Temp\OnboardLogs"\RTDC4006\2016-10-03 --exclude "*" --recursive --include "*20161003*" &amp; "%USERPROFILE%\Documents\GitHub\mrs-test-scripts\Headless Mode &amp; Sideloading\WalkAndUnGZ.bat" "%USERPROFILE%\AppData\Local\Temp\OnboardLogs"\RTDC4006\2016-10-03</v>
      </c>
      <c r="AF201" s="92" t="str">
        <f t="shared" si="96"/>
        <v>"C:\Program Files (x86)\AstroGrep\AstroGrep.exe" /spath="%USERPROFILE%\AppData\Local\Temp\OnboardLogs" /stypes="app*4006*20161002*" /stext=" 18:.+((SYSTEM_STATE.+slice.+state.+changed )|(ment ac)|(system.+state.+changed )|(\[timeout)|(PRM\|1\|D)|(kpr)|(kdp)|(\|lc)|(penalty))" /e /r /s</v>
      </c>
      <c r="AG201" s="1" t="str">
        <f t="shared" si="97"/>
        <v>Other</v>
      </c>
      <c r="AH201" s="96" t="str">
        <f t="shared" si="81"/>
        <v>"%USERPROFILE%\Documents\GitHub\eaglep3\Utilities\RefineRTDCRunTimes.py" --tripid 55-02 --locoid 4006 --swversion DE.1.0.7.0 --startMP 204:1197 --initTime 2016-10-02T12:01:19 --startdatetime 2016-10-02T12:03:15 --delay 1 --endMP 300:24711 --enddatetime 2016-10-02T12:12:23 --enforcementcount 0 &gt;&gt;C:\Users\stu\Documents\GitHub\eaglep3-reporting\EC\2016-10-02-refined-times.txt</v>
      </c>
      <c r="AI201" s="130" t="str">
        <f t="shared" si="82"/>
        <v>echo {"issue":{"subject":"","project_id":79,"tracker_id":40,"status_id":1,"priority_id":2,"assigned_to_id":23,"start_date":"2016-10-02","description":"","custom_fields":[{"id":1,"name":"Subdivision","value":"Other"},{"id":4,"name":"Milepost","value":"2.4711"},{"id":17,"name":"Train ID","value":"55-02"},{"id":16,"name":"Locomotive ID","value":"4006"},{"id":130,"name":"Impact","value":""},{"id":150,"name":"Time of Event (Mountain Time)","value":"12:12:23"},{"id":151,"name":"Denver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705</v>
      </c>
      <c r="B202" s="7">
        <v>4031</v>
      </c>
      <c r="C202" s="24" t="s">
        <v>106</v>
      </c>
      <c r="D202" s="24" t="s">
        <v>706</v>
      </c>
      <c r="E202" s="15">
        <v>42645.73228009259</v>
      </c>
      <c r="F202" s="15">
        <v>25568.708333333332</v>
      </c>
      <c r="G202" s="7">
        <v>1</v>
      </c>
      <c r="H202" s="15" t="s">
        <v>391</v>
      </c>
      <c r="I202" s="15">
        <v>25568.708333333332</v>
      </c>
      <c r="J202" s="7">
        <v>0</v>
      </c>
      <c r="K202" s="117" t="str">
        <f t="shared" si="83"/>
        <v>4031/4032</v>
      </c>
      <c r="L202" s="24" t="str">
        <f>VLOOKUP(A202,'Trips&amp;Operators'!$C$1:$E$10000,3,FALSE)</f>
        <v>SWANSON</v>
      </c>
      <c r="M202" s="6">
        <f t="shared" si="84"/>
        <v>0</v>
      </c>
      <c r="N202" s="7">
        <f t="shared" si="85"/>
        <v>0</v>
      </c>
      <c r="O202" s="7"/>
      <c r="P202" s="7"/>
      <c r="Q202" s="25"/>
      <c r="R202" s="25"/>
      <c r="S202" s="37">
        <f t="shared" si="86"/>
        <v>0</v>
      </c>
      <c r="T202" s="52" t="e">
        <f t="shared" si="87"/>
        <v>#VALUE!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16:34:29-0600',mode:absolute,to:'1969-12-31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2" s="54" t="str">
        <f t="shared" si="89"/>
        <v>Y</v>
      </c>
      <c r="X202" s="164" t="e">
        <f t="shared" si="90"/>
        <v>#VALUE!</v>
      </c>
      <c r="Y202" s="69">
        <f t="shared" si="91"/>
        <v>0.15110000000000001</v>
      </c>
      <c r="Z202" s="69">
        <f t="shared" si="92"/>
        <v>2.3302</v>
      </c>
      <c r="AA202" s="69">
        <f t="shared" si="93"/>
        <v>2.1791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94"/>
        <v>63-02</v>
      </c>
      <c r="AE202" s="95" t="str">
        <f t="shared" si="9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2" s="92" t="str">
        <f t="shared" si="96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02" s="1" t="str">
        <f t="shared" si="97"/>
        <v>Other</v>
      </c>
      <c r="AH202" s="96" t="str">
        <f t="shared" si="81"/>
        <v>"%USERPROFILE%\Documents\GitHub\eaglep3\Utilities\RefineRTDCRunTimes.py" --tripid 63-02 --locoid 4031 --swversion DE.1.0.7.0 --startMP 204:1511 --initTime 2016-10-02T17:34:29 --startdatetime 1969-12-31T17:00:00 --delay 1 --endMP 300:23302 --enddatetime 1969-12-31T17:00:00 --enforcementcount 0 &gt;&gt;C:\Users\stu\Documents\GitHub\eaglep3-reporting\EC\2016-10-02-refined-times.txt</v>
      </c>
      <c r="AI202" s="13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ID","value":"63-02"},{"id":16,"name":"Locomotive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707</v>
      </c>
      <c r="B203" s="7">
        <v>4045</v>
      </c>
      <c r="C203" s="24" t="s">
        <v>106</v>
      </c>
      <c r="D203" s="24" t="s">
        <v>708</v>
      </c>
      <c r="E203" s="15">
        <v>42645.73646990741</v>
      </c>
      <c r="F203" s="15">
        <v>42645.745949074073</v>
      </c>
      <c r="G203" s="7">
        <v>13</v>
      </c>
      <c r="H203" s="15" t="s">
        <v>709</v>
      </c>
      <c r="I203" s="15">
        <v>42645.757557870369</v>
      </c>
      <c r="J203" s="7">
        <v>0</v>
      </c>
      <c r="K203" s="117" t="str">
        <f t="shared" si="83"/>
        <v>4045/4046</v>
      </c>
      <c r="L203" s="24" t="str">
        <f>VLOOKUP(A203,'Trips&amp;Operators'!$C$1:$E$10000,3,FALSE)</f>
        <v>ARVIDSON</v>
      </c>
      <c r="M203" s="6">
        <f t="shared" si="84"/>
        <v>1.1608796296059154E-2</v>
      </c>
      <c r="N203" s="7">
        <f t="shared" si="85"/>
        <v>16.716666666325182</v>
      </c>
      <c r="O203" s="7"/>
      <c r="P203" s="7"/>
      <c r="Q203" s="25"/>
      <c r="R203" s="25"/>
      <c r="S203" s="37">
        <f t="shared" si="86"/>
        <v>0</v>
      </c>
      <c r="T203" s="52" t="e">
        <f t="shared" si="87"/>
        <v>#VALUE!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https://search-rtdc-monitor-bjffxe2xuh6vdkpspy63sjmuny.us-east-1.es.amazonaws.com/_plugin/kibana/#/discover/Steve-Slow-Train-Analysis-(2080s-and-2083s)?_g=(refreshInterval:(display:Off,section:0,value:0),time:(from:'2016-10-02 16:40:31-0600',mode:absolute,to:'2016-10-02 19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3" s="54" t="str">
        <f t="shared" si="89"/>
        <v>Y</v>
      </c>
      <c r="X203" s="164" t="e">
        <f t="shared" si="90"/>
        <v>#VALUE!</v>
      </c>
      <c r="Y203" s="69">
        <f t="shared" si="91"/>
        <v>2.2010999999999998</v>
      </c>
      <c r="Z203" s="69">
        <f t="shared" si="92"/>
        <v>0.16389999999999999</v>
      </c>
      <c r="AA203" s="69">
        <f t="shared" si="93"/>
        <v>2.0371999999999999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94"/>
        <v>66-02</v>
      </c>
      <c r="AE203" s="95" t="str">
        <f t="shared" si="95"/>
        <v>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 &amp; 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</v>
      </c>
      <c r="AF203" s="92" t="str">
        <f t="shared" si="96"/>
        <v>"C:\Program Files (x86)\AstroGrep\AstroGrep.exe" /spath="%USERPROFILE%\AppData\Local\Temp\OnboardLogs" /stypes="app*4045*20161003*" /stext=" 00:.+((SYSTEM_STATE.+slice.+state.+changed )|(ment ac)|(system.+state.+changed )|(\[timeout)|(PRM\|1\|D)|(kpr)|(kdp)|(\|lc)|(penalty))" /e /r /s</v>
      </c>
      <c r="AG203" s="1" t="str">
        <f t="shared" si="97"/>
        <v>Other</v>
      </c>
      <c r="AH203" s="96" t="str">
        <f t="shared" si="81"/>
        <v>"%USERPROFILE%\Documents\GitHub\eaglep3\Utilities\RefineRTDCRunTimes.py" --tripid 66-02 --locoid 4045 --swversion DE.1.0.7.0 --startMP 300:22011 --initTime 2016-10-02T17:40:31 --startdatetime 2016-10-02T17:54:10 --delay 13 --endMP 204:1639 --enddatetime 2016-10-02T18:10:53 --enforcementcount 0 &gt;&gt;C:\Users\stu\Documents\GitHub\eaglep3-reporting\EC\2016-10-02-refined-times.txt</v>
      </c>
      <c r="AI203" s="130" t="str">
        <f t="shared" si="82"/>
        <v>echo {"issue":{"subject":"","project_id":79,"tracker_id":40,"status_id":1,"priority_id":2,"assigned_to_id":23,"start_date":"2016-10-02","description":"","custom_fields":[{"id":1,"name":"Subdivision","value":"Other"},{"id":4,"name":"Milepost","value":"0.1639"},{"id":17,"name":"Train ID","value":"66-02"},{"id":16,"name":"Locomotive ID","value":"4045"},{"id":130,"name":"Impact","value":""},{"id":150,"name":"Time of Event (Mountain Time)","value":"18:10:53"},{"id":151,"name":"Denver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17"/>
      <c r="L204" s="24"/>
      <c r="M204" s="6"/>
      <c r="N204" s="7"/>
      <c r="O204" s="7"/>
      <c r="P204" s="7"/>
      <c r="Q204" s="25"/>
      <c r="R204" s="25"/>
      <c r="S204" s="37"/>
      <c r="T204" s="52"/>
      <c r="U204" s="159"/>
      <c r="V204" s="102"/>
      <c r="W204" s="54"/>
      <c r="X204" s="164"/>
      <c r="Y204" s="69"/>
      <c r="Z204" s="69"/>
      <c r="AA204" s="69"/>
      <c r="AB204" s="66"/>
      <c r="AC204" s="62"/>
      <c r="AD204" s="63"/>
      <c r="AE204" s="95"/>
      <c r="AF204" s="92"/>
      <c r="AG204" s="1"/>
      <c r="AI204" s="130"/>
      <c r="AJ204" s="55"/>
      <c r="AK204" s="55"/>
      <c r="AL204" s="55"/>
    </row>
    <row r="205" spans="1:38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17"/>
      <c r="L205" s="24"/>
      <c r="M205" s="6"/>
      <c r="N205" s="7"/>
      <c r="O205" s="7"/>
      <c r="P205" s="7"/>
      <c r="Q205" s="25"/>
      <c r="R205" s="25"/>
      <c r="S205" s="37"/>
      <c r="T205" s="52"/>
      <c r="U205" s="159"/>
      <c r="V205" s="102"/>
      <c r="W205" s="54"/>
      <c r="X205" s="164"/>
      <c r="Y205" s="69"/>
      <c r="Z205" s="69"/>
      <c r="AA205" s="69"/>
      <c r="AB205" s="66"/>
      <c r="AC205" s="62"/>
      <c r="AD205" s="63"/>
      <c r="AE205" s="95"/>
      <c r="AF205" s="92"/>
      <c r="AG205" s="1"/>
      <c r="AI205" s="130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17"/>
      <c r="L206" s="24"/>
      <c r="M206" s="6"/>
      <c r="N206" s="7"/>
      <c r="O206" s="7"/>
      <c r="P206" s="7"/>
      <c r="Q206" s="25"/>
      <c r="R206" s="25"/>
      <c r="S206" s="37"/>
      <c r="T206" s="52"/>
      <c r="U206" s="159"/>
      <c r="V206" s="102"/>
      <c r="W206" s="54"/>
      <c r="X206" s="164"/>
      <c r="Y206" s="69"/>
      <c r="Z206" s="69"/>
      <c r="AA206" s="69"/>
      <c r="AB206" s="66"/>
      <c r="AC206" s="62"/>
      <c r="AD206" s="63"/>
      <c r="AE206" s="95"/>
      <c r="AF206" s="92"/>
      <c r="AG206" s="1"/>
      <c r="AI206" s="130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17"/>
      <c r="L207" s="24"/>
      <c r="M207" s="6"/>
      <c r="N207" s="7"/>
      <c r="O207" s="7"/>
      <c r="P207" s="7"/>
      <c r="Q207" s="25"/>
      <c r="R207" s="25"/>
      <c r="S207" s="37"/>
      <c r="T207" s="52"/>
      <c r="U207" s="159"/>
      <c r="V207" s="102"/>
      <c r="W207" s="54"/>
      <c r="X207" s="164"/>
      <c r="Y207" s="69"/>
      <c r="Z207" s="69"/>
      <c r="AA207" s="69"/>
      <c r="AB207" s="66"/>
      <c r="AC207" s="62"/>
      <c r="AD207" s="63"/>
      <c r="AE207" s="95"/>
      <c r="AF207" s="92"/>
      <c r="AG207" s="1"/>
      <c r="AI207" s="130"/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17"/>
      <c r="L208" s="24"/>
      <c r="M208" s="6"/>
      <c r="N208" s="7"/>
      <c r="O208" s="7"/>
      <c r="P208" s="7"/>
      <c r="Q208" s="25"/>
      <c r="R208" s="25"/>
      <c r="S208" s="37"/>
      <c r="T208" s="52"/>
      <c r="U208" s="159"/>
      <c r="V208" s="102"/>
      <c r="W208" s="54"/>
      <c r="X208" s="164"/>
      <c r="Y208" s="69"/>
      <c r="Z208" s="69"/>
      <c r="AA208" s="69"/>
      <c r="AB208" s="66"/>
      <c r="AC208" s="62"/>
      <c r="AD208" s="63"/>
      <c r="AE208" s="95"/>
      <c r="AF208" s="92"/>
      <c r="AG208" s="1"/>
      <c r="AI208" s="130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17"/>
      <c r="L209" s="24"/>
      <c r="M209" s="6"/>
      <c r="N209" s="7"/>
      <c r="O209" s="7"/>
      <c r="P209" s="7"/>
      <c r="Q209" s="25"/>
      <c r="R209" s="25"/>
      <c r="S209" s="37"/>
      <c r="T209" s="52"/>
      <c r="U209" s="159"/>
      <c r="V209" s="102"/>
      <c r="W209" s="54"/>
      <c r="X209" s="164"/>
      <c r="Y209" s="69"/>
      <c r="Z209" s="69"/>
      <c r="AA209" s="69"/>
      <c r="AB209" s="66"/>
      <c r="AC209" s="62"/>
      <c r="AD209" s="63"/>
      <c r="AE209" s="95"/>
      <c r="AF209" s="92"/>
      <c r="AG209" s="1"/>
      <c r="AI209" s="130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17"/>
      <c r="L210" s="24"/>
      <c r="M210" s="6"/>
      <c r="N210" s="7"/>
      <c r="O210" s="7"/>
      <c r="P210" s="7"/>
      <c r="Q210" s="25"/>
      <c r="R210" s="25"/>
      <c r="S210" s="37"/>
      <c r="T210" s="52"/>
      <c r="U210" s="159"/>
      <c r="V210" s="102"/>
      <c r="W210" s="54"/>
      <c r="X210" s="164"/>
      <c r="Y210" s="69"/>
      <c r="Z210" s="69"/>
      <c r="AA210" s="69"/>
      <c r="AB210" s="66"/>
      <c r="AC210" s="62"/>
      <c r="AD210" s="63"/>
      <c r="AE210" s="95"/>
      <c r="AF210" s="92"/>
      <c r="AG210" s="1"/>
      <c r="AI210" s="130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17"/>
      <c r="L211" s="24"/>
      <c r="M211" s="6"/>
      <c r="N211" s="7"/>
      <c r="O211" s="7"/>
      <c r="P211" s="7"/>
      <c r="Q211" s="25"/>
      <c r="R211" s="25"/>
      <c r="S211" s="37"/>
      <c r="T211" s="52"/>
      <c r="U211" s="159"/>
      <c r="V211" s="102"/>
      <c r="W211" s="54"/>
      <c r="X211" s="164"/>
      <c r="Y211" s="69"/>
      <c r="Z211" s="69"/>
      <c r="AA211" s="69"/>
      <c r="AB211" s="66"/>
      <c r="AC211" s="62"/>
      <c r="AD211" s="63"/>
      <c r="AE211" s="95"/>
      <c r="AF211" s="92"/>
      <c r="AG211" s="1"/>
      <c r="AI211" s="130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17"/>
      <c r="L212" s="24"/>
      <c r="M212" s="6"/>
      <c r="N212" s="7"/>
      <c r="O212" s="7"/>
      <c r="P212" s="7"/>
      <c r="Q212" s="25"/>
      <c r="R212" s="25"/>
      <c r="S212" s="37"/>
      <c r="T212" s="52"/>
      <c r="U212" s="159"/>
      <c r="V212" s="102"/>
      <c r="W212" s="54"/>
      <c r="X212" s="164"/>
      <c r="Y212" s="69"/>
      <c r="Z212" s="69"/>
      <c r="AA212" s="69"/>
      <c r="AB212" s="66"/>
      <c r="AC212" s="62"/>
      <c r="AD212" s="63"/>
      <c r="AE212" s="95"/>
      <c r="AF212" s="92"/>
      <c r="AG212" s="1"/>
      <c r="AI212" s="130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17"/>
      <c r="L213" s="24"/>
      <c r="M213" s="6"/>
      <c r="N213" s="7"/>
      <c r="O213" s="7"/>
      <c r="P213" s="7"/>
      <c r="Q213" s="25"/>
      <c r="R213" s="25"/>
      <c r="S213" s="37"/>
      <c r="T213" s="52"/>
      <c r="U213" s="159"/>
      <c r="V213" s="102"/>
      <c r="W213" s="54"/>
      <c r="X213" s="164"/>
      <c r="Y213" s="69"/>
      <c r="Z213" s="69"/>
      <c r="AA213" s="69"/>
      <c r="AB213" s="66"/>
      <c r="AC213" s="62"/>
      <c r="AD213" s="63"/>
      <c r="AE213" s="95"/>
      <c r="AF213" s="92"/>
      <c r="AG213" s="1"/>
      <c r="AI213" s="130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17"/>
      <c r="L214" s="24"/>
      <c r="M214" s="6"/>
      <c r="N214" s="7"/>
      <c r="O214" s="7"/>
      <c r="P214" s="7"/>
      <c r="Q214" s="25"/>
      <c r="R214" s="25"/>
      <c r="S214" s="37"/>
      <c r="T214" s="52"/>
      <c r="U214" s="159"/>
      <c r="V214" s="102"/>
      <c r="W214" s="54"/>
      <c r="X214" s="164"/>
      <c r="Y214" s="69"/>
      <c r="Z214" s="69"/>
      <c r="AA214" s="69"/>
      <c r="AB214" s="66"/>
      <c r="AC214" s="62"/>
      <c r="AD214" s="63"/>
      <c r="AE214" s="95"/>
      <c r="AF214" s="92"/>
      <c r="AG214" s="1"/>
      <c r="AI214" s="130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17"/>
      <c r="L215" s="24"/>
      <c r="M215" s="6"/>
      <c r="N215" s="7"/>
      <c r="O215" s="7"/>
      <c r="P215" s="7"/>
      <c r="Q215" s="25"/>
      <c r="R215" s="25"/>
      <c r="S215" s="37"/>
      <c r="T215" s="52"/>
      <c r="U215" s="159"/>
      <c r="V215" s="102"/>
      <c r="W215" s="54"/>
      <c r="X215" s="164"/>
      <c r="Y215" s="69"/>
      <c r="Z215" s="69"/>
      <c r="AA215" s="69"/>
      <c r="AB215" s="66"/>
      <c r="AC215" s="62"/>
      <c r="AD215" s="63"/>
      <c r="AE215" s="95"/>
      <c r="AF215" s="92"/>
      <c r="AG215" s="1"/>
      <c r="AI215" s="130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17"/>
      <c r="L216" s="24"/>
      <c r="M216" s="6"/>
      <c r="N216" s="7"/>
      <c r="O216" s="7"/>
      <c r="P216" s="7"/>
      <c r="Q216" s="25"/>
      <c r="R216" s="25"/>
      <c r="S216" s="37"/>
      <c r="T216" s="52"/>
      <c r="U216" s="159"/>
      <c r="V216" s="102"/>
      <c r="W216" s="54"/>
      <c r="X216" s="164"/>
      <c r="Y216" s="69"/>
      <c r="Z216" s="69"/>
      <c r="AA216" s="69"/>
      <c r="AB216" s="66"/>
      <c r="AC216" s="62"/>
      <c r="AD216" s="63"/>
      <c r="AE216" s="95"/>
      <c r="AF216" s="92"/>
      <c r="AG216" s="1"/>
      <c r="AI216" s="130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17"/>
      <c r="L217" s="24"/>
      <c r="M217" s="6"/>
      <c r="N217" s="7"/>
      <c r="O217" s="7"/>
      <c r="P217" s="7"/>
      <c r="Q217" s="25"/>
      <c r="R217" s="25"/>
      <c r="S217" s="37"/>
      <c r="T217" s="52"/>
      <c r="U217" s="159"/>
      <c r="V217" s="102"/>
      <c r="W217" s="54"/>
      <c r="X217" s="164"/>
      <c r="Y217" s="69"/>
      <c r="Z217" s="69"/>
      <c r="AA217" s="69"/>
      <c r="AB217" s="66"/>
      <c r="AC217" s="62"/>
      <c r="AD217" s="63"/>
      <c r="AE217" s="95"/>
      <c r="AF217" s="92"/>
      <c r="AG217" s="1"/>
      <c r="AI217" s="130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17"/>
      <c r="L218" s="24"/>
      <c r="M218" s="6"/>
      <c r="N218" s="7"/>
      <c r="O218" s="7"/>
      <c r="P218" s="7"/>
      <c r="Q218" s="25"/>
      <c r="R218" s="25"/>
      <c r="S218" s="37"/>
      <c r="T218" s="52"/>
      <c r="U218" s="159"/>
      <c r="V218" s="102"/>
      <c r="W218" s="54"/>
      <c r="X218" s="164"/>
      <c r="Y218" s="69"/>
      <c r="Z218" s="69"/>
      <c r="AA218" s="69"/>
      <c r="AB218" s="66"/>
      <c r="AC218" s="62"/>
      <c r="AD218" s="63"/>
      <c r="AE218" s="95"/>
      <c r="AF218" s="92"/>
      <c r="AG218" s="1"/>
      <c r="AI218" s="130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17"/>
      <c r="L219" s="24"/>
      <c r="M219" s="6"/>
      <c r="N219" s="7"/>
      <c r="O219" s="7"/>
      <c r="P219" s="7"/>
      <c r="Q219" s="25"/>
      <c r="R219" s="25"/>
      <c r="S219" s="37"/>
      <c r="T219" s="52"/>
      <c r="U219" s="159"/>
      <c r="V219" s="102"/>
      <c r="W219" s="54"/>
      <c r="X219" s="164"/>
      <c r="Y219" s="69"/>
      <c r="Z219" s="69"/>
      <c r="AA219" s="69"/>
      <c r="AB219" s="66"/>
      <c r="AC219" s="62"/>
      <c r="AD219" s="63"/>
      <c r="AE219" s="95"/>
      <c r="AF219" s="92"/>
      <c r="AG219" s="1"/>
      <c r="AI219" s="130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17"/>
      <c r="L220" s="24"/>
      <c r="M220" s="6"/>
      <c r="N220" s="7"/>
      <c r="O220" s="7"/>
      <c r="P220" s="7"/>
      <c r="Q220" s="25"/>
      <c r="R220" s="25"/>
      <c r="S220" s="37"/>
      <c r="T220" s="52"/>
      <c r="U220" s="159"/>
      <c r="V220" s="102"/>
      <c r="W220" s="54"/>
      <c r="X220" s="164"/>
      <c r="Y220" s="69"/>
      <c r="Z220" s="69"/>
      <c r="AA220" s="69"/>
      <c r="AB220" s="66"/>
      <c r="AC220" s="62"/>
      <c r="AD220" s="63"/>
      <c r="AE220" s="95"/>
      <c r="AF220" s="92"/>
      <c r="AG220" s="1"/>
      <c r="AI220" s="130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7"/>
      <c r="L221" s="24"/>
      <c r="M221" s="6"/>
      <c r="N221" s="7"/>
      <c r="O221" s="7"/>
      <c r="P221" s="7"/>
      <c r="Q221" s="25"/>
      <c r="R221" s="25"/>
      <c r="S221" s="37"/>
      <c r="T221" s="52"/>
      <c r="U221" s="159"/>
      <c r="V221" s="102"/>
      <c r="W221" s="54"/>
      <c r="X221" s="164"/>
      <c r="Y221" s="69"/>
      <c r="Z221" s="69"/>
      <c r="AA221" s="69"/>
      <c r="AB221" s="66"/>
      <c r="AC221" s="62"/>
      <c r="AD221" s="63"/>
      <c r="AE221" s="95"/>
      <c r="AF221" s="92"/>
      <c r="AG221" s="1"/>
      <c r="AI221" s="130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7"/>
      <c r="L222" s="24"/>
      <c r="M222" s="6"/>
      <c r="N222" s="7"/>
      <c r="O222" s="7"/>
      <c r="P222" s="7"/>
      <c r="Q222" s="25"/>
      <c r="R222" s="25"/>
      <c r="S222" s="37"/>
      <c r="T222" s="52"/>
      <c r="U222" s="159"/>
      <c r="V222" s="102"/>
      <c r="W222" s="54"/>
      <c r="X222" s="164"/>
      <c r="Y222" s="69"/>
      <c r="Z222" s="69"/>
      <c r="AA222" s="69"/>
      <c r="AB222" s="66"/>
      <c r="AC222" s="62"/>
      <c r="AD222" s="63"/>
      <c r="AE222" s="95"/>
      <c r="AF222" s="92"/>
      <c r="AG222" s="1"/>
      <c r="AI222" s="130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7"/>
      <c r="L223" s="24"/>
      <c r="M223" s="6"/>
      <c r="N223" s="7"/>
      <c r="O223" s="7"/>
      <c r="P223" s="7"/>
      <c r="Q223" s="25"/>
      <c r="R223" s="25"/>
      <c r="S223" s="37"/>
      <c r="T223" s="52"/>
      <c r="U223" s="159"/>
      <c r="V223" s="102"/>
      <c r="W223" s="54"/>
      <c r="X223" s="164"/>
      <c r="Y223" s="69"/>
      <c r="Z223" s="69"/>
      <c r="AA223" s="69"/>
      <c r="AB223" s="66"/>
      <c r="AC223" s="62"/>
      <c r="AD223" s="63"/>
      <c r="AE223" s="95"/>
      <c r="AF223" s="92"/>
      <c r="AG223" s="1"/>
      <c r="AI223" s="130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7"/>
      <c r="L224" s="24"/>
      <c r="M224" s="6"/>
      <c r="N224" s="7"/>
      <c r="O224" s="7"/>
      <c r="P224" s="7"/>
      <c r="Q224" s="25"/>
      <c r="R224" s="25"/>
      <c r="S224" s="37"/>
      <c r="T224" s="52"/>
      <c r="U224" s="159"/>
      <c r="V224" s="102"/>
      <c r="W224" s="54"/>
      <c r="X224" s="164"/>
      <c r="Y224" s="69"/>
      <c r="Z224" s="69"/>
      <c r="AA224" s="69"/>
      <c r="AB224" s="66"/>
      <c r="AC224" s="62"/>
      <c r="AD224" s="63"/>
      <c r="AE224" s="95"/>
      <c r="AF224" s="92"/>
      <c r="AG224" s="1"/>
      <c r="AI224" s="130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</sheetData>
  <autoFilter ref="A12:AG24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27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Values'!$C$2:$C$20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4"/>
  <sheetViews>
    <sheetView topLeftCell="A5" workbookViewId="0">
      <selection activeCell="K19" sqref="K1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COUNTIF($O$7:$O$398,"=Y")</f>
        <v>2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COUNTA($O$7:$O$398)-O2</f>
        <v>30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0" t="str">
        <f>"Eagle P3 Braking Events - "&amp;TEXT(Variables!$A$2,"YYYY-mm-dd")</f>
        <v>Eagle P3 Braking Events - 2016-10-02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175</v>
      </c>
      <c r="J6" s="132" t="s">
        <v>30</v>
      </c>
      <c r="K6" s="133" t="s">
        <v>29</v>
      </c>
      <c r="L6" s="145" t="s">
        <v>28</v>
      </c>
      <c r="M6" s="133" t="s">
        <v>176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158</v>
      </c>
      <c r="Z6" s="141" t="s">
        <v>159</v>
      </c>
      <c r="AA6" s="141" t="s">
        <v>132</v>
      </c>
      <c r="AB6" s="141" t="s">
        <v>160</v>
      </c>
      <c r="AC6" s="174" t="s">
        <v>222</v>
      </c>
    </row>
    <row r="7" spans="1:29" s="1" customFormat="1" x14ac:dyDescent="0.25">
      <c r="A7" s="38">
        <v>42645.349212962959</v>
      </c>
      <c r="B7" s="33" t="s">
        <v>710</v>
      </c>
      <c r="C7" s="33" t="s">
        <v>463</v>
      </c>
      <c r="D7" s="33" t="s">
        <v>243</v>
      </c>
      <c r="E7" s="33" t="s">
        <v>166</v>
      </c>
      <c r="F7" s="49">
        <v>0</v>
      </c>
      <c r="G7" s="49">
        <v>143</v>
      </c>
      <c r="H7" s="49">
        <v>30873</v>
      </c>
      <c r="I7" s="49">
        <v>30913</v>
      </c>
      <c r="J7" s="33" t="s">
        <v>165</v>
      </c>
      <c r="K7" s="49">
        <v>30830</v>
      </c>
      <c r="L7" s="146" t="s">
        <v>52</v>
      </c>
      <c r="M7" s="149">
        <f t="shared" ref="M7:M38" si="0">CONVERT((I7-K7)/10000,"mi","ft")*IF(L7="Increasing Mileposts (1)",-1,1)</f>
        <v>-43.823999999999998</v>
      </c>
      <c r="N7" s="88" t="str">
        <f>VLOOKUP(C7,'Trips&amp;Operators'!$C$1:$E$99999,3,FALSE)</f>
        <v>MALAVE</v>
      </c>
      <c r="O7" s="170" t="s">
        <v>86</v>
      </c>
      <c r="P7" s="10" t="s">
        <v>729</v>
      </c>
      <c r="Q7" s="33"/>
      <c r="R7" s="104" t="str">
        <f>VLOOKUP(C7,'Train Runs'!$A$13:$AE$10003,31,0)</f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S7" s="107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https://search-rtdc-monitor-bjffxe2xuh6vdkpspy63sjmuny.us-east-1.es.amazonaws.com/_plugin/kibana/#/discover/Steve-Slow-Train-Analysis-(2080s-and-2083s)?_g=(refreshInterval:(display:Off,section:0,value:0),time:(from:'2016-10-02 07:13:03-0600',mode:absolute,to:'2016-10-02 09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7" s="109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/stypes="*4007*201610021*" /stext=" 14:.+((SYSTEM_STATE.+slice.+state.+changed )|(ment ac)|(system.+state.+changed )|(\[timeout)|(PRM\|1\|D)|(kpr)|(kdp)|(\|lc)|(penalty))" /e /r /s</v>
      </c>
      <c r="U7" s="9" t="str">
        <f t="shared" ref="U7:U38" si="2">MID(B7,13,4)</f>
        <v>4007</v>
      </c>
      <c r="V7" s="38">
        <f t="shared" ref="V7:V38" si="3">A7+6/24</f>
        <v>42645.599212962959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arrival","project_id":79,"tracker_id":40,"status_id":1,"priority_id":2,"assigned_to_id":23,"start_date":"2016-10-02","description":"","custom_fields":[{"id":1,"name":"Subdivision","value":"EC"},{"id":4,"name":"Milepost","value":"3.083"},{"id":17,"name":"Train ID","value":"137-02"},{"id":16,"name":"Locomotive ID","value":"4007"},{"id":130,"name":"Impact","value":""},{"id":150,"name":"Time of Event (Mountain Time)","value":"08:22:52"},{"id":151,"name":"Denver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"%USERPROFILE%\AppData\Local\Temp\OnboardLogs"\RTDC4007\*4007*201610021* | grep -SE "((Enforcement Ac)|(PRM))" -</v>
      </c>
    </row>
    <row r="8" spans="1:29" s="1" customFormat="1" x14ac:dyDescent="0.25">
      <c r="A8" s="38">
        <v>42645.43472222222</v>
      </c>
      <c r="B8" s="33" t="s">
        <v>710</v>
      </c>
      <c r="C8" s="33" t="s">
        <v>490</v>
      </c>
      <c r="D8" s="33" t="s">
        <v>49</v>
      </c>
      <c r="E8" s="33" t="s">
        <v>166</v>
      </c>
      <c r="F8" s="49">
        <v>280</v>
      </c>
      <c r="G8" s="49">
        <v>337</v>
      </c>
      <c r="H8" s="49">
        <v>41879</v>
      </c>
      <c r="I8" s="49">
        <v>42671</v>
      </c>
      <c r="J8" s="33" t="s">
        <v>165</v>
      </c>
      <c r="K8" s="49">
        <v>42779</v>
      </c>
      <c r="L8" s="146" t="s">
        <v>52</v>
      </c>
      <c r="M8" s="149">
        <f t="shared" si="0"/>
        <v>57.024000000000001</v>
      </c>
      <c r="N8" s="88" t="str">
        <f>VLOOKUP(C8,'Trips&amp;Operators'!$C$1:$E$99999,3,FALSE)</f>
        <v>MALAVE</v>
      </c>
      <c r="O8" s="170" t="s">
        <v>86</v>
      </c>
      <c r="P8" s="10" t="s">
        <v>729</v>
      </c>
      <c r="Q8" s="33"/>
      <c r="R8" s="104" t="str">
        <f>VLOOKUP(C8,'Train Runs'!$A$13:$AE$10003,31,0)</f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S8" s="107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https://search-rtdc-monitor-bjffxe2xuh6vdkpspy63sjmuny.us-east-1.es.amazonaws.com/_plugin/kibana/#/discover/Steve-Slow-Train-Analysis-(2080s-and-2083s)?_g=(refreshInterval:(display:Off,section:0,value:0),time:(from:'2016-10-02 09:12:27-0600',mode:absolute,to:'2016-10-02 11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8" s="109" t="str">
        <f t="shared" si="1"/>
        <v>"C:\Program Files (x86)\AstroGrep\AstroGrep.exe" /spath="%USERPROFILE%\AppData\Local\Temp\OnboardLogs" /stypes="*4007*201610021*" /stext=" 16:.+((SYSTEM_STATE.+slice.+state.+changed )|(ment ac)|(system.+state.+changed )|(\[timeout)|(PRM\|1\|D)|(kpr)|(kdp)|(\|lc)|(penalty))" /e /r /s</v>
      </c>
      <c r="U8" s="9" t="str">
        <f t="shared" si="2"/>
        <v>4007</v>
      </c>
      <c r="V8" s="38">
        <f t="shared" si="3"/>
        <v>42645.68472222222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arrival","project_id":79,"tracker_id":40,"status_id":1,"priority_id":2,"assigned_to_id":23,"start_date":"2016-10-02","description":"","custom_fields":[{"id":1,"name":"Subdivision","value":"EC"},{"id":4,"name":"Milepost","value":"4.2779"},{"id":17,"name":"Train ID","value":"153-02"},{"id":16,"name":"Locomotive ID","value":"4007"},{"id":130,"name":"Impact","value":""},{"id":150,"name":"Time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"%USERPROFILE%\AppData\Local\Temp\OnboardLogs"\RTDC4007\*4007*201610021* | grep -SE "((Enforcement Ac)|(PRM))" -</v>
      </c>
    </row>
    <row r="9" spans="1:29" s="1" customFormat="1" x14ac:dyDescent="0.25">
      <c r="A9" s="38">
        <v>42645.599143518521</v>
      </c>
      <c r="B9" s="33" t="s">
        <v>342</v>
      </c>
      <c r="C9" s="33" t="s">
        <v>521</v>
      </c>
      <c r="D9" s="33" t="s">
        <v>243</v>
      </c>
      <c r="E9" s="33" t="s">
        <v>166</v>
      </c>
      <c r="F9" s="49">
        <v>340</v>
      </c>
      <c r="G9" s="49">
        <v>396</v>
      </c>
      <c r="H9" s="49">
        <v>58016</v>
      </c>
      <c r="I9" s="49">
        <v>57071</v>
      </c>
      <c r="J9" s="33" t="s">
        <v>165</v>
      </c>
      <c r="K9" s="49">
        <v>58301</v>
      </c>
      <c r="L9" s="146" t="s">
        <v>53</v>
      </c>
      <c r="M9" s="149">
        <f t="shared" si="0"/>
        <v>-649.44000000000005</v>
      </c>
      <c r="N9" s="88" t="str">
        <f>VLOOKUP(C9,'Trips&amp;Operators'!$C$1:$E$99999,3,FALSE)</f>
        <v>BARTLETT</v>
      </c>
      <c r="O9" s="170" t="s">
        <v>86</v>
      </c>
      <c r="P9" s="10" t="s">
        <v>729</v>
      </c>
      <c r="Q9" s="33"/>
      <c r="R9" s="104" t="str">
        <f>VLOOKUP(C9,'Train Runs'!$A$13:$AE$10003,31,0)</f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S9" s="107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https://search-rtdc-monitor-bjffxe2xuh6vdkpspy63sjmuny.us-east-1.es.amazonaws.com/_plugin/kibana/#/discover/Steve-Slow-Train-Analysis-(2080s-and-2083s)?_g=(refreshInterval:(display:Off,section:0,value:0),time:(from:'2016-10-02 12:39:20-0600',mode:absolute,to:'2016-10-02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9" s="109" t="str">
        <f t="shared" si="1"/>
        <v>"C:\Program Files (x86)\AstroGrep\AstroGrep.exe" /spath="%USERPROFILE%\AppData\Local\Temp\OnboardLogs" /stypes="*4054*201610022*" /stext=" 20:.+((SYSTEM_STATE.+slice.+state.+changed )|(ment ac)|(system.+state.+changed )|(\[timeout)|(PRM\|1\|D)|(kpr)|(kdp)|(\|lc)|(penalty))" /e /r /s</v>
      </c>
      <c r="U9" s="9" t="str">
        <f t="shared" si="2"/>
        <v>4054</v>
      </c>
      <c r="V9" s="38">
        <f t="shared" si="3"/>
        <v>42645.849143518521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arrival","project_id":79,"tracker_id":40,"status_id":1,"priority_id":2,"assigned_to_id":23,"start_date":"2016-10-02","description":"","custom_fields":[{"id":1,"name":"Subdivision","value":"EC"},{"id":4,"name":"Milepost","value":"5.8301"},{"id":17,"name":"Train ID","value":"176-02"},{"id":16,"name":"Locomotive ID","value":"4054"},{"id":130,"name":"Impact","value":""},{"id":150,"name":"Time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"%USERPROFILE%\AppData\Local\Temp\OnboardLogs"\RTDC4054\*4054*201610022* | grep -SE "((Enforcement Ac)|(PRM))" -</v>
      </c>
    </row>
    <row r="10" spans="1:29" s="1" customFormat="1" x14ac:dyDescent="0.25">
      <c r="A10" s="38">
        <v>42645.525868055556</v>
      </c>
      <c r="B10" s="33" t="s">
        <v>342</v>
      </c>
      <c r="C10" s="33" t="s">
        <v>502</v>
      </c>
      <c r="D10" s="33" t="s">
        <v>243</v>
      </c>
      <c r="E10" s="33" t="s">
        <v>166</v>
      </c>
      <c r="F10" s="49">
        <v>230</v>
      </c>
      <c r="G10" s="49">
        <v>282</v>
      </c>
      <c r="H10" s="49">
        <v>63080</v>
      </c>
      <c r="I10" s="49">
        <v>62611</v>
      </c>
      <c r="J10" s="33" t="s">
        <v>165</v>
      </c>
      <c r="K10" s="49">
        <v>63309</v>
      </c>
      <c r="L10" s="146" t="s">
        <v>53</v>
      </c>
      <c r="M10" s="149">
        <f t="shared" si="0"/>
        <v>-368.54399999999998</v>
      </c>
      <c r="N10" s="88" t="str">
        <f>VLOOKUP(C10,'Trips&amp;Operators'!$C$1:$E$99999,3,FALSE)</f>
        <v>BARTLETT</v>
      </c>
      <c r="O10" s="170" t="s">
        <v>86</v>
      </c>
      <c r="P10" s="10" t="s">
        <v>729</v>
      </c>
      <c r="Q10" s="33"/>
      <c r="R10" s="104" t="str">
        <f>VLOOKUP(C10,'Train Runs'!$A$13:$AE$10003,31,0)</f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S10" s="107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https://search-rtdc-monitor-bjffxe2xuh6vdkpspy63sjmuny.us-east-1.es.amazonaws.com/_plugin/kibana/#/discover/Steve-Slow-Train-Analysis-(2080s-and-2083s)?_g=(refreshInterval:(display:Off,section:0,value:0),time:(from:'2016-10-02 10:57:01-0600',mode:absolute,to:'2016-10-02 13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0" s="109" t="str">
        <f t="shared" si="1"/>
        <v>"C:\Program Files (x86)\AstroGrep\AstroGrep.exe" /spath="%USERPROFILE%\AppData\Local\Temp\OnboardLogs" /stypes="*4054*201610021*" /stext=" 18:.+((SYSTEM_STATE.+slice.+state.+changed )|(ment ac)|(system.+state.+changed )|(\[timeout)|(PRM\|1\|D)|(kpr)|(kdp)|(\|lc)|(penalty))" /e /r /s</v>
      </c>
      <c r="U10" s="9" t="str">
        <f t="shared" si="2"/>
        <v>4054</v>
      </c>
      <c r="V10" s="38">
        <f t="shared" si="3"/>
        <v>42645.775868055556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arrival","project_id":79,"tracker_id":40,"status_id":1,"priority_id":2,"assigned_to_id":23,"start_date":"2016-10-02","description":"","custom_fields":[{"id":1,"name":"Subdivision","value":"EC"},{"id":4,"name":"Milepost","value":"6.3309"},{"id":17,"name":"Train ID","value":"162-02"},{"id":16,"name":"Locomotive ID","value":"4054"},{"id":130,"name":"Impact","value":""},{"id":150,"name":"Time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"%USERPROFILE%\AppData\Local\Temp\OnboardLogs"\RTDC4054\*4054*201610021* | grep -SE "((Enforcement Ac)|(PRM))" -</v>
      </c>
    </row>
    <row r="11" spans="1:29" s="1" customFormat="1" x14ac:dyDescent="0.25">
      <c r="A11" s="38">
        <v>42645.526550925926</v>
      </c>
      <c r="B11" s="33" t="s">
        <v>342</v>
      </c>
      <c r="C11" s="33" t="s">
        <v>502</v>
      </c>
      <c r="D11" s="33" t="s">
        <v>243</v>
      </c>
      <c r="E11" s="33" t="s">
        <v>166</v>
      </c>
      <c r="F11" s="49">
        <v>230</v>
      </c>
      <c r="G11" s="49">
        <v>282</v>
      </c>
      <c r="H11" s="49">
        <v>63080</v>
      </c>
      <c r="I11" s="49">
        <v>59906</v>
      </c>
      <c r="J11" s="33" t="s">
        <v>165</v>
      </c>
      <c r="K11" s="49">
        <v>63309</v>
      </c>
      <c r="L11" s="146" t="s">
        <v>53</v>
      </c>
      <c r="M11" s="149">
        <f t="shared" si="0"/>
        <v>-1796.7840000000001</v>
      </c>
      <c r="N11" s="88" t="str">
        <f>VLOOKUP(C11,'Trips&amp;Operators'!$C$1:$E$99999,3,FALSE)</f>
        <v>BARTLETT</v>
      </c>
      <c r="O11" s="170" t="s">
        <v>86</v>
      </c>
      <c r="P11" s="10" t="s">
        <v>729</v>
      </c>
      <c r="Q11" s="33"/>
      <c r="R11" s="104" t="str">
        <f>VLOOKUP(C11,'Train Runs'!$A$13:$AE$10003,31,0)</f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S11" s="107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https://search-rtdc-monitor-bjffxe2xuh6vdkpspy63sjmuny.us-east-1.es.amazonaws.com/_plugin/kibana/#/discover/Steve-Slow-Train-Analysis-(2080s-and-2083s)?_g=(refreshInterval:(display:Off,section:0,value:0),time:(from:'2016-10-02 10:57:01-0600',mode:absolute,to:'2016-10-02 13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1" s="109" t="str">
        <f t="shared" si="1"/>
        <v>"C:\Program Files (x86)\AstroGrep\AstroGrep.exe" /spath="%USERPROFILE%\AppData\Local\Temp\OnboardLogs" /stypes="*4054*201610021*" /stext=" 18:.+((SYSTEM_STATE.+slice.+state.+changed )|(ment ac)|(system.+state.+changed )|(\[timeout)|(PRM\|1\|D)|(kpr)|(kdp)|(\|lc)|(penalty))" /e /r /s</v>
      </c>
      <c r="U11" s="9" t="str">
        <f t="shared" si="2"/>
        <v>4054</v>
      </c>
      <c r="V11" s="38">
        <f t="shared" si="3"/>
        <v>42645.776550925926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arrival","project_id":79,"tracker_id":40,"status_id":1,"priority_id":2,"assigned_to_id":23,"start_date":"2016-10-02","description":"","custom_fields":[{"id":1,"name":"Subdivision","value":"EC"},{"id":4,"name":"Milepost","value":"6.3309"},{"id":17,"name":"Train ID","value":"162-02"},{"id":16,"name":"Locomotive ID","value":"4054"},{"id":130,"name":"Impact","value":""},{"id":150,"name":"Time of Event (Mountain Time)","value":"12:38:14"},{"id":151,"name":"Denver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"%USERPROFILE%\AppData\Local\Temp\OnboardLogs"\RTDC4054\*4054*201610021* | grep -SE "((Enforcement Ac)|(PRM))" -</v>
      </c>
    </row>
    <row r="12" spans="1:29" s="1" customFormat="1" x14ac:dyDescent="0.25">
      <c r="A12" s="38">
        <v>42645.259976851848</v>
      </c>
      <c r="B12" s="33" t="s">
        <v>343</v>
      </c>
      <c r="C12" s="33" t="s">
        <v>425</v>
      </c>
      <c r="D12" s="33" t="s">
        <v>105</v>
      </c>
      <c r="E12" s="33" t="s">
        <v>166</v>
      </c>
      <c r="F12" s="49">
        <v>550</v>
      </c>
      <c r="G12" s="49">
        <v>604</v>
      </c>
      <c r="H12" s="49">
        <v>103761</v>
      </c>
      <c r="I12" s="49">
        <v>100907</v>
      </c>
      <c r="J12" s="33" t="s">
        <v>165</v>
      </c>
      <c r="K12" s="49">
        <v>103800</v>
      </c>
      <c r="L12" s="146" t="s">
        <v>53</v>
      </c>
      <c r="M12" s="149">
        <f t="shared" si="0"/>
        <v>-1527.5039999999999</v>
      </c>
      <c r="N12" s="88" t="str">
        <f>VLOOKUP(C12,'Trips&amp;Operators'!$C$1:$E$99999,3,FALSE)</f>
        <v>STRICKLAND</v>
      </c>
      <c r="O12" s="170" t="s">
        <v>86</v>
      </c>
      <c r="P12" s="10" t="s">
        <v>729</v>
      </c>
      <c r="Q12" s="33"/>
      <c r="R12" s="104" t="str">
        <f>VLOOKUP(C12,'Train Runs'!$A$13:$AE$10003,31,0)</f>
        <v>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 &amp; 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</v>
      </c>
      <c r="S12" s="107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https://search-rtdc-monitor-bjffxe2xuh6vdkpspy63sjmuny.us-east-1.es.amazonaws.com/_plugin/kibana/#/discover/Steve-Slow-Train-Analysis-(2080s-and-2083s)?_g=(refreshInterval:(display:Off,section:0,value:0),time:(from:'2016-10-02 04:48:13-0600',mode:absolute,to:'2016-10-02 07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2" s="109" t="str">
        <f t="shared" si="1"/>
        <v>"C:\Program Files (x86)\AstroGrep\AstroGrep.exe" /spath="%USERPROFILE%\AppData\Local\Temp\OnboardLogs" /stypes="*4032*201610021*" /stext=" 12:.+((SYSTEM_STATE.+slice.+state.+changed )|(ment ac)|(system.+state.+changed )|(\[timeout)|(PRM\|1\|D)|(kpr)|(kdp)|(\|lc)|(penalty))" /e /r /s</v>
      </c>
      <c r="U12" s="9" t="str">
        <f t="shared" si="2"/>
        <v>4032</v>
      </c>
      <c r="V12" s="38">
        <f t="shared" si="3"/>
        <v>42645.509976851848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arrival","project_id":79,"tracker_id":40,"status_id":1,"priority_id":2,"assigned_to_id":23,"start_date":"2016-10-02","description":"","custom_fields":[{"id":1,"name":"Subdivision","value":"EC"},{"id":4,"name":"Milepost","value":"10.38"},{"id":17,"name":"Train ID","value":"112-02"},{"id":16,"name":"Locomotive ID","value":"4032"},{"id":130,"name":"Impact","value":""},{"id":150,"name":"Time of Event (Mountain Time)","value":"06:14:22"},{"id":151,"name":"Denver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"%USERPROFILE%\AppData\Local\Temp\OnboardLogs"\RTDC4032\*4032*201610021* | grep -SE "((Enforcement Ac)|(PRM))" -</v>
      </c>
    </row>
    <row r="13" spans="1:29" s="1" customFormat="1" x14ac:dyDescent="0.25">
      <c r="A13" s="38">
        <v>42645.739039351851</v>
      </c>
      <c r="B13" s="33" t="s">
        <v>342</v>
      </c>
      <c r="C13" s="33" t="s">
        <v>633</v>
      </c>
      <c r="D13" s="33" t="s">
        <v>49</v>
      </c>
      <c r="E13" s="33" t="s">
        <v>166</v>
      </c>
      <c r="F13" s="49">
        <v>0</v>
      </c>
      <c r="G13" s="49">
        <v>347</v>
      </c>
      <c r="H13" s="49">
        <v>109194</v>
      </c>
      <c r="I13" s="49">
        <v>108782</v>
      </c>
      <c r="J13" s="33" t="s">
        <v>165</v>
      </c>
      <c r="K13" s="49">
        <v>109135</v>
      </c>
      <c r="L13" s="146" t="s">
        <v>53</v>
      </c>
      <c r="M13" s="149">
        <f t="shared" si="0"/>
        <v>-186.38399999999999</v>
      </c>
      <c r="N13" s="88" t="str">
        <f>VLOOKUP(C13,'Trips&amp;Operators'!$C$1:$E$99999,3,FALSE)</f>
        <v>BARTLETT</v>
      </c>
      <c r="O13" s="170" t="s">
        <v>86</v>
      </c>
      <c r="P13" s="10" t="s">
        <v>729</v>
      </c>
      <c r="Q13" s="33"/>
      <c r="R13" s="104" t="str">
        <f>VLOOKUP(C13,'Train Runs'!$A$13:$AE$10003,31,0)</f>
        <v>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 &amp; aws s3 cp s3://rtdc.mdm.uploadarchive.raw/RTDC4054/ "%USERPROFILE%\AppData\Local\Temp\OnboardLogs"\RTDC4054\2016-10-03 --exclude "*" --recursive --include "*20161003*" &amp; "%USERPROFILE%\Documents\GitHub\mrs-test-scripts\Headless Mode &amp; Sideloading\WalkAndUnGZ.bat" "%USERPROFILE%\AppData\Local\Temp\OnboardLogs"\RTDC4054\2016-10-03</v>
      </c>
      <c r="S13" s="107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https://search-rtdc-monitor-bjffxe2xuh6vdkpspy63sjmuny.us-east-1.es.amazonaws.com/_plugin/kibana/#/discover/Steve-Slow-Train-Analysis-(2080s-and-2083s)?_g=(refreshInterval:(display:Off,section:0,value:0),time:(from:'2016-10-02 16:09:54-0600',mode:absolute,to:'2016-10-02 19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3" s="109" t="str">
        <f t="shared" si="1"/>
        <v>"C:\Program Files (x86)\AstroGrep\AstroGrep.exe" /spath="%USERPROFILE%\AppData\Local\Temp\OnboardLogs" /stypes="*4054*201610022*" /stext=" 23:.+((SYSTEM_STATE.+slice.+state.+changed )|(ment ac)|(system.+state.+changed )|(\[timeout)|(PRM\|1\|D)|(kpr)|(kdp)|(\|lc)|(penalty))" /e /r /s</v>
      </c>
      <c r="U13" s="9" t="str">
        <f t="shared" si="2"/>
        <v>4054</v>
      </c>
      <c r="V13" s="38">
        <f t="shared" si="3"/>
        <v>42645.989039351851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arrival","project_id":79,"tracker_id":40,"status_id":1,"priority_id":2,"assigned_to_id":23,"start_date":"2016-10-02","description":"","custom_fields":[{"id":1,"name":"Subdivision","value":"EC"},{"id":4,"name":"Milepost","value":"10.9135"},{"id":17,"name":"Train ID","value":"204-02"},{"id":16,"name":"Locomotive ID","value":"4054"},{"id":130,"name":"Impact","value":""},{"id":150,"name":"Time of Event (Mountain Time)","value":"17:44:13"},{"id":151,"name":"Denver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"%USERPROFILE%\AppData\Local\Temp\OnboardLogs"\RTDC4054\*4054*201610022* | grep -SE "((Enforcement Ac)|(PRM))" -</v>
      </c>
    </row>
    <row r="14" spans="1:29" s="1" customFormat="1" x14ac:dyDescent="0.25">
      <c r="A14" s="38">
        <v>42645.270810185182</v>
      </c>
      <c r="B14" s="33" t="s">
        <v>343</v>
      </c>
      <c r="C14" s="33" t="s">
        <v>425</v>
      </c>
      <c r="D14" s="33" t="s">
        <v>49</v>
      </c>
      <c r="E14" s="33" t="s">
        <v>56</v>
      </c>
      <c r="F14" s="49">
        <v>300</v>
      </c>
      <c r="G14" s="49">
        <v>376</v>
      </c>
      <c r="H14" s="49">
        <v>23014</v>
      </c>
      <c r="I14" s="49">
        <v>21814</v>
      </c>
      <c r="J14" s="33" t="s">
        <v>57</v>
      </c>
      <c r="K14" s="49">
        <v>21848</v>
      </c>
      <c r="L14" s="146" t="s">
        <v>53</v>
      </c>
      <c r="M14" s="149">
        <f t="shared" si="0"/>
        <v>-17.952000000000002</v>
      </c>
      <c r="N14" s="88" t="str">
        <f>VLOOKUP(C14,'Trips&amp;Operators'!$C$1:$E$99999,3,FALSE)</f>
        <v>STRICKLAND</v>
      </c>
      <c r="O14" s="170" t="s">
        <v>86</v>
      </c>
      <c r="P14" s="10"/>
      <c r="Q14" s="33"/>
      <c r="R14" s="104" t="str">
        <f>VLOOKUP(C14,'Train Runs'!$A$13:$AE$10003,31,0)</f>
        <v>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 &amp; aws s3 cp s3://rtdc.mdm.uploadarchive.raw/RTDC4032/ "%USERPROFILE%\AppData\Local\Temp\OnboardLogs"\RTDC4032\2016-10-03 --exclude "*" --recursive --include "*20161003*" &amp; "%USERPROFILE%\Documents\GitHub\mrs-test-scripts\Headless Mode &amp; Sideloading\WalkAndUnGZ.bat" "%USERPROFILE%\AppData\Local\Temp\OnboardLogs"\RTDC4032\2016-10-03</v>
      </c>
      <c r="S14" s="107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https://search-rtdc-monitor-bjffxe2xuh6vdkpspy63sjmuny.us-east-1.es.amazonaws.com/_plugin/kibana/#/discover/Steve-Slow-Train-Analysis-(2080s-and-2083s)?_g=(refreshInterval:(display:Off,section:0,value:0),time:(from:'2016-10-02 04:48:13-0600',mode:absolute,to:'2016-10-02 07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4" s="109" t="str">
        <f t="shared" si="1"/>
        <v>"C:\Program Files (x86)\AstroGrep\AstroGrep.exe" /spath="%USERPROFILE%\AppData\Local\Temp\OnboardLogs" /stypes="*4032*201610021*" /stext=" 12:.+((SYSTEM_STATE.+slice.+state.+changed )|(ment ac)|(system.+state.+changed )|(\[timeout)|(PRM\|1\|D)|(kpr)|(kdp)|(\|lc)|(penalty))" /e /r /s</v>
      </c>
      <c r="U14" s="9" t="str">
        <f t="shared" si="2"/>
        <v>4032</v>
      </c>
      <c r="V14" s="38">
        <f t="shared" si="3"/>
        <v>42645.520810185182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{"issue":{"subject":"","project_id":79,"tracker_id":40,"status_id":1,"priority_id":2,"assigned_to_id":23,"start_date":"2016-10-02","description":"","custom_fields":[{"id":1,"name":"Subdivision","value":"EC"},{"id":4,"name":"Milepost","value":"2.1848"},{"id":17,"name":"Train ID","value":"112-02"},{"id":16,"name":"Locomotive ID","value":"4032"},{"id":130,"name":"Impact","value":""},{"id":150,"name":"Time of Event (Mountain Time)","value":"06:29:58"},{"id":151,"name":"Denver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"%USERPROFILE%\AppData\Local\Temp\OnboardLogs"\RTDC4032\*4032*201610021* | grep -SE "((Enforcement Ac)|(PRM))" -</v>
      </c>
    </row>
    <row r="15" spans="1:29" s="1" customFormat="1" x14ac:dyDescent="0.25">
      <c r="A15" s="38">
        <v>42645.287997685184</v>
      </c>
      <c r="B15" s="33" t="s">
        <v>710</v>
      </c>
      <c r="C15" s="33" t="s">
        <v>443</v>
      </c>
      <c r="D15" s="33" t="s">
        <v>49</v>
      </c>
      <c r="E15" s="33" t="s">
        <v>56</v>
      </c>
      <c r="F15" s="49">
        <v>400</v>
      </c>
      <c r="G15" s="49">
        <v>784</v>
      </c>
      <c r="H15" s="49">
        <v>112135</v>
      </c>
      <c r="I15" s="49">
        <v>115623</v>
      </c>
      <c r="J15" s="33" t="s">
        <v>57</v>
      </c>
      <c r="K15" s="49">
        <v>116838</v>
      </c>
      <c r="L15" s="146" t="s">
        <v>52</v>
      </c>
      <c r="M15" s="149">
        <f t="shared" si="0"/>
        <v>641.52</v>
      </c>
      <c r="N15" s="88" t="str">
        <f>VLOOKUP(C15,'Trips&amp;Operators'!$C$1:$E$99999,3,FALSE)</f>
        <v>MALAVE</v>
      </c>
      <c r="O15" s="170" t="s">
        <v>86</v>
      </c>
      <c r="P15" s="10"/>
      <c r="Q15" s="33"/>
      <c r="R15" s="104" t="str">
        <f>VLOOKUP(C15,'Train Runs'!$A$13:$AE$10003,31,0)</f>
        <v>aws s3 cp s3://rtdc.mdm.uploadarchive.raw/RTDC4007/ "%USERPROFILE%\AppData\Local\Temp\OnboardLogs"\RTDC4007\2016-10-02 --exclude "*" --recursive --include "*20161002*" &amp; "%USERPROFILE%\Documents\GitHub\mrs-test-scripts\Headless Mode &amp; Sideloading\WalkAndUnGZ.bat" "%USERPROFILE%\AppData\Local\Temp\OnboardLogs"\RTDC4007\2016-10-02 &amp; aws s3 cp s3://rtdc.mdm.uploadarchive.raw/RTDC4007/ "%USERPROFILE%\AppData\Local\Temp\OnboardLogs"\RTDC4007\2016-10-03 --exclude "*" --recursive --include "*20161003*" &amp; "%USERPROFILE%\Documents\GitHub\mrs-test-scripts\Headless Mode &amp; Sideloading\WalkAndUnGZ.bat" "%USERPROFILE%\AppData\Local\Temp\OnboardLogs"\RTDC4007\2016-10-03</v>
      </c>
      <c r="S15" s="107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https://search-rtdc-monitor-bjffxe2xuh6vdkpspy63sjmuny.us-east-1.es.amazonaws.com/_plugin/kibana/#/discover/Steve-Slow-Train-Analysis-(2080s-and-2083s)?_g=(refreshInterval:(display:Off,section:0,value:0),time:(from:'2016-10-02 05:27:02-0600',mode:absolute,to:'2016-10-02 08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15" s="109" t="str">
        <f t="shared" si="1"/>
        <v>"C:\Program Files (x86)\AstroGrep\AstroGrep.exe" /spath="%USERPROFILE%\AppData\Local\Temp\OnboardLogs" /stypes="*4007*201610021*" /stext=" 12:.+((SYSTEM_STATE.+slice.+state.+changed )|(ment ac)|(system.+state.+changed )|(\[timeout)|(PRM\|1\|D)|(kpr)|(kdp)|(\|lc)|(penalty))" /e /r /s</v>
      </c>
      <c r="U15" s="9" t="str">
        <f t="shared" si="2"/>
        <v>4007</v>
      </c>
      <c r="V15" s="38">
        <f t="shared" si="3"/>
        <v>42645.537997685184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{"issue":{"subject":"","project_id":79,"tracker_id":40,"status_id":1,"priority_id":2,"assigned_to_id":23,"start_date":"2016-10-02","description":"","custom_fields":[{"id":1,"name":"Subdivision","value":"EC"},{"id":4,"name":"Milepost","value":"11.6838"},{"id":17,"name":"Train ID","value":"123-02"},{"id":16,"name":"Locomotive ID","value":"4007"},{"id":130,"name":"Impact","value":""},{"id":150,"name":"Time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"%USERPROFILE%\AppData\Local\Temp\OnboardLogs"\RTDC4007\*4007*201610021* | grep -SE "((Enforcement Ac)|(PRM))" -</v>
      </c>
    </row>
    <row r="16" spans="1:29" s="1" customFormat="1" x14ac:dyDescent="0.25">
      <c r="A16" s="38">
        <v>42645.576747685183</v>
      </c>
      <c r="B16" s="33" t="s">
        <v>227</v>
      </c>
      <c r="C16" s="33" t="s">
        <v>522</v>
      </c>
      <c r="D16" s="33" t="s">
        <v>49</v>
      </c>
      <c r="E16" s="33" t="s">
        <v>56</v>
      </c>
      <c r="F16" s="49">
        <v>150</v>
      </c>
      <c r="G16" s="49">
        <v>388</v>
      </c>
      <c r="H16" s="49">
        <v>228576</v>
      </c>
      <c r="I16" s="49">
        <v>229596</v>
      </c>
      <c r="J16" s="33" t="s">
        <v>57</v>
      </c>
      <c r="K16" s="49">
        <v>230436</v>
      </c>
      <c r="L16" s="146" t="s">
        <v>52</v>
      </c>
      <c r="M16" s="149">
        <f t="shared" si="0"/>
        <v>443.52</v>
      </c>
      <c r="N16" s="88" t="str">
        <f>VLOOKUP(C16,'Trips&amp;Operators'!$C$1:$E$99999,3,FALSE)</f>
        <v>HAITHCOX</v>
      </c>
      <c r="O16" s="170" t="s">
        <v>86</v>
      </c>
      <c r="P16" s="10"/>
      <c r="Q16" s="33"/>
      <c r="R16" s="104" t="str">
        <f>VLOOKUP(C16,'Train Runs'!$A$13:$AE$10003,31,0)</f>
        <v>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 &amp; aws s3 cp s3://rtdc.mdm.uploadarchive.raw/RTDC4014/ "%USERPROFILE%\AppData\Local\Temp\OnboardLogs"\RTDC4014\2016-10-03 --exclude "*" --recursive --include "*20161003*" &amp; "%USERPROFILE%\Documents\GitHub\mrs-test-scripts\Headless Mode &amp; Sideloading\WalkAndUnGZ.bat" "%USERPROFILE%\AppData\Local\Temp\OnboardLogs"\RTDC4014\2016-10-03</v>
      </c>
      <c r="S16" s="107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https://search-rtdc-monitor-bjffxe2xuh6vdkpspy63sjmuny.us-east-1.es.amazonaws.com/_plugin/kibana/#/discover/Steve-Slow-Train-Analysis-(2080s-and-2083s)?_g=(refreshInterval:(display:Off,section:0,value:0),time:(from:'2016-10-02 12:11:26-0600',mode:absolute,to:'2016-10-02 14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6" s="109" t="str">
        <f t="shared" si="1"/>
        <v>"C:\Program Files (x86)\AstroGrep\AstroGrep.exe" /spath="%USERPROFILE%\AppData\Local\Temp\OnboardLogs" /stypes="*4014*201610021*" /stext=" 19:.+((SYSTEM_STATE.+slice.+state.+changed )|(ment ac)|(system.+state.+changed )|(\[timeout)|(PRM\|1\|D)|(kpr)|(kdp)|(\|lc)|(penalty))" /e /r /s</v>
      </c>
      <c r="U16" s="9" t="str">
        <f t="shared" si="2"/>
        <v>4014</v>
      </c>
      <c r="V16" s="38">
        <f t="shared" si="3"/>
        <v>42645.826747685183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{"issue":{"subject":"","project_id":79,"tracker_id":40,"status_id":1,"priority_id":2,"assigned_to_id":23,"start_date":"2016-10-02","description":"","custom_fields":[{"id":1,"name":"Subdivision","value":"EC"},{"id":4,"name":"Milepost","value":"23.0436"},{"id":17,"name":"Train ID","value":"177-02"},{"id":16,"name":"Locomotive ID","value":"4014"},{"id":130,"name":"Impact","value":""},{"id":150,"name":"Time of Event (Mountain Time)","value":"13:50:31"},{"id":151,"name":"Denver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"%USERPROFILE%\AppData\Local\Temp\OnboardLogs"\RTDC4014\*4014*201610021* | grep -SE "((Enforcement Ac)|(PRM))" -</v>
      </c>
    </row>
    <row r="17" spans="1:29" s="1" customFormat="1" x14ac:dyDescent="0.25">
      <c r="A17" s="38">
        <v>42645.638078703705</v>
      </c>
      <c r="B17" s="33" t="s">
        <v>345</v>
      </c>
      <c r="C17" s="33" t="s">
        <v>609</v>
      </c>
      <c r="D17" s="33" t="s">
        <v>49</v>
      </c>
      <c r="E17" s="33" t="s">
        <v>54</v>
      </c>
      <c r="F17" s="49">
        <v>0</v>
      </c>
      <c r="G17" s="49">
        <v>109</v>
      </c>
      <c r="H17" s="49">
        <v>227978</v>
      </c>
      <c r="I17" s="49">
        <v>231110</v>
      </c>
      <c r="J17" s="33" t="s">
        <v>55</v>
      </c>
      <c r="K17" s="49">
        <v>228572</v>
      </c>
      <c r="L17" s="146" t="s">
        <v>52</v>
      </c>
      <c r="M17" s="149">
        <f t="shared" si="0"/>
        <v>-1340.0640000000001</v>
      </c>
      <c r="N17" s="88" t="str">
        <f>VLOOKUP(C17,'Trips&amp;Operators'!$C$1:$E$99999,3,FALSE)</f>
        <v>BARTLETT</v>
      </c>
      <c r="O17" s="170" t="s">
        <v>277</v>
      </c>
      <c r="P17" s="10" t="s">
        <v>730</v>
      </c>
      <c r="Q17" s="33"/>
      <c r="R17" s="104" t="str">
        <f>VLOOKUP(C17,'Train Runs'!$A$13:$AE$10003,31,0)</f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S17" s="107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https://search-rtdc-monitor-bjffxe2xuh6vdkpspy63sjmuny.us-east-1.es.amazonaws.com/_plugin/kibana/#/discover/Steve-Slow-Train-Analysis-(2080s-and-2083s)?_g=(refreshInterval:(display:Off,section:0,value:0),time:(from:'2016-10-02 13:38:19-0600',mode:absolute,to:'2016-10-02 16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17" s="109" t="str">
        <f t="shared" si="1"/>
        <v>"C:\Program Files (x86)\AstroGrep\AstroGrep.exe" /spath="%USERPROFILE%\AppData\Local\Temp\OnboardLogs" /stypes="*4053*201610022*" /stext=" 21:.+((SYSTEM_STATE.+slice.+state.+changed )|(ment ac)|(system.+state.+changed )|(\[timeout)|(PRM\|1\|D)|(kpr)|(kdp)|(\|lc)|(penalty))" /e /r /s</v>
      </c>
      <c r="U17" s="9" t="str">
        <f t="shared" si="2"/>
        <v>4053</v>
      </c>
      <c r="V17" s="38">
        <f t="shared" si="3"/>
        <v>42645.888078703705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{"issue":{"subject":"Wi-MAX outage","project_id":79,"tracker_id":40,"status_id":1,"priority_id":2,"assigned_to_id":23,"start_date":"2016-10-02","description":"http://stevetu21.github.io/eaglep3/load_kml.html?kml=http://rtdc.gmaps-snips.s3.amazonaws.com/144735c0-2171-4889-9d2c-8da27109077d.kml","custom_fields":[{"id":1,"name":"Subdivision","value":"EC"},{"id":4,"name":"Milepost","value":"22.8572"},{"id":17,"name":"Train ID","value":"189-02"},{"id":16,"name":"Locomotive ID","value":"4053"},{"id":130,"name":"Impact","value":"Enforcement"},{"id":150,"name":"Time of Event (Mountain Time)","value":"15:18:50"},{"id":151,"name":"Denver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79" t="s">
        <v>731</v>
      </c>
      <c r="AA17" s="55" t="s">
        <v>135</v>
      </c>
      <c r="AB17" s="23" t="s">
        <v>148</v>
      </c>
      <c r="AC17" s="171" t="str">
        <f t="shared" si="7"/>
        <v>grep -hSE -A100 "Enforcement Action" "%USERPROFILE%\AppData\Local\Temp\OnboardLogs"\RTDC4053\*4053*201610022* | grep -SE "((Enforcement Ac)|(PRM))" -</v>
      </c>
    </row>
    <row r="18" spans="1:29" s="1" customFormat="1" x14ac:dyDescent="0.25">
      <c r="A18" s="38">
        <v>42645.638773148145</v>
      </c>
      <c r="B18" s="33" t="s">
        <v>345</v>
      </c>
      <c r="C18" s="33" t="s">
        <v>609</v>
      </c>
      <c r="D18" s="33" t="s">
        <v>49</v>
      </c>
      <c r="E18" s="33" t="s">
        <v>712</v>
      </c>
      <c r="F18" s="49">
        <v>0</v>
      </c>
      <c r="G18" s="49">
        <v>109</v>
      </c>
      <c r="H18" s="49">
        <v>0</v>
      </c>
      <c r="I18" s="49">
        <v>0</v>
      </c>
      <c r="J18" s="33" t="s">
        <v>713</v>
      </c>
      <c r="K18" s="49">
        <v>0</v>
      </c>
      <c r="L18" s="146" t="s">
        <v>52</v>
      </c>
      <c r="M18" s="149">
        <f t="shared" si="0"/>
        <v>0</v>
      </c>
      <c r="N18" s="88" t="str">
        <f>VLOOKUP(C18,'Trips&amp;Operators'!$C$1:$E$99999,3,FALSE)</f>
        <v>BARTLETT</v>
      </c>
      <c r="O18" s="170" t="s">
        <v>277</v>
      </c>
      <c r="P18" s="10" t="s">
        <v>730</v>
      </c>
      <c r="Q18" s="33"/>
      <c r="R18" s="104" t="str">
        <f>VLOOKUP(C18,'Train Runs'!$A$13:$AE$10003,31,0)</f>
        <v>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 &amp; aws s3 cp s3://rtdc.mdm.uploadarchive.raw/RTDC4053/ "%USERPROFILE%\AppData\Local\Temp\OnboardLogs"\RTDC4053\2016-10-03 --exclude "*" --recursive --include "*20161003*" &amp; "%USERPROFILE%\Documents\GitHub\mrs-test-scripts\Headless Mode &amp; Sideloading\WalkAndUnGZ.bat" "%USERPROFILE%\AppData\Local\Temp\OnboardLogs"\RTDC4053\2016-10-03</v>
      </c>
      <c r="S18" s="107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https://search-rtdc-monitor-bjffxe2xuh6vdkpspy63sjmuny.us-east-1.es.amazonaws.com/_plugin/kibana/#/discover/Steve-Slow-Train-Analysis-(2080s-and-2083s)?_g=(refreshInterval:(display:Off,section:0,value:0),time:(from:'2016-10-02 13:38:19-0600',mode:absolute,to:'2016-10-02 16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18" s="109" t="str">
        <f t="shared" si="1"/>
        <v>"C:\Program Files (x86)\AstroGrep\AstroGrep.exe" /spath="%USERPROFILE%\AppData\Local\Temp\OnboardLogs" /stypes="*4053*201610022*" /stext=" 21:.+((SYSTEM_STATE.+slice.+state.+changed )|(ment ac)|(system.+state.+changed )|(\[timeout)|(PRM\|1\|D)|(kpr)|(kdp)|(\|lc)|(penalty))" /e /r /s</v>
      </c>
      <c r="U18" s="9" t="str">
        <f t="shared" si="2"/>
        <v>4053</v>
      </c>
      <c r="V18" s="38">
        <f t="shared" si="3"/>
        <v>42645.888773148145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{"issue":{"subject":"Wi-MAX outage","project_id":79,"tracker_id":40,"status_id":1,"priority_id":2,"assigned_to_id":23,"start_date":"2016-10-02","description":"","custom_fields":[{"id":1,"name":"Subdivision","value":"EC"},{"id":4,"name":"Milepost","value":"0"},{"id":17,"name":"Train ID","value":"189-02"},{"id":16,"name":"Locomotive ID","value":"4053"},{"id":130,"name":"Impact","value":""},{"id":150,"name":"Time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"%USERPROFILE%\AppData\Local\Temp\OnboardLogs"\RTDC4053\*4053*201610022* | grep -SE "((Enforcement Ac)|(PRM))" -</v>
      </c>
    </row>
    <row r="19" spans="1:29" s="1" customFormat="1" x14ac:dyDescent="0.25">
      <c r="A19" s="38">
        <v>42645.555775462963</v>
      </c>
      <c r="B19" s="33" t="s">
        <v>169</v>
      </c>
      <c r="C19" s="33" t="s">
        <v>508</v>
      </c>
      <c r="D19" s="33" t="s">
        <v>49</v>
      </c>
      <c r="E19" s="33" t="s">
        <v>50</v>
      </c>
      <c r="F19" s="49">
        <v>0</v>
      </c>
      <c r="G19" s="49">
        <v>56</v>
      </c>
      <c r="H19" s="49">
        <v>163</v>
      </c>
      <c r="I19" s="49">
        <v>129</v>
      </c>
      <c r="J19" s="33" t="s">
        <v>51</v>
      </c>
      <c r="K19" s="49">
        <v>1</v>
      </c>
      <c r="L19" s="146" t="s">
        <v>53</v>
      </c>
      <c r="M19" s="149">
        <f t="shared" si="0"/>
        <v>67.584000000000003</v>
      </c>
      <c r="N19" s="88" t="str">
        <f>VLOOKUP(C19,'Trips&amp;Operators'!$C$1:$E$99999,3,FALSE)</f>
        <v>MOSES</v>
      </c>
      <c r="O19" s="170" t="s">
        <v>86</v>
      </c>
      <c r="P19" s="10"/>
      <c r="Q19" s="33"/>
      <c r="R19" s="104" t="str">
        <f>VLOOKUP(C19,'Train Runs'!$A$13:$AE$10003,31,0)</f>
        <v>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 &amp; aws s3 cp s3://rtdc.mdm.uploadarchive.raw/RTDC4026/ "%USERPROFILE%\AppData\Local\Temp\OnboardLogs"\RTDC4026\2016-10-03 --exclude "*" --recursive --include "*20161003*" &amp; "%USERPROFILE%\Documents\GitHub\mrs-test-scripts\Headless Mode &amp; Sideloading\WalkAndUnGZ.bat" "%USERPROFILE%\AppData\Local\Temp\OnboardLogs"\RTDC4026\2016-10-03</v>
      </c>
      <c r="S19" s="107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https://search-rtdc-monitor-bjffxe2xuh6vdkpspy63sjmuny.us-east-1.es.amazonaws.com/_plugin/kibana/#/discover/Steve-Slow-Train-Analysis-(2080s-and-2083s)?_g=(refreshInterval:(display:Off,section:0,value:0),time:(from:'2016-10-02 11:34:20-0600',mode:absolute,to:'2016-10-02 14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9" s="109" t="str">
        <f t="shared" si="1"/>
        <v>"C:\Program Files (x86)\AstroGrep\AstroGrep.exe" /spath="%USERPROFILE%\AppData\Local\Temp\OnboardLogs" /stypes="*4026*201610021*" /stext=" 19:.+((SYSTEM_STATE.+slice.+state.+changed )|(ment ac)|(system.+state.+changed )|(\[timeout)|(PRM\|1\|D)|(kpr)|(kdp)|(\|lc)|(penalty))" /e /r /s</v>
      </c>
      <c r="U19" s="9" t="str">
        <f t="shared" si="2"/>
        <v>4026</v>
      </c>
      <c r="V19" s="38">
        <f t="shared" si="3"/>
        <v>42645.805775462963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{"issue":{"subject":"","project_id":79,"tracker_id":40,"status_id":1,"priority_id":2,"assigned_to_id":23,"start_date":"2016-10-02","description":"","custom_fields":[{"id":1,"name":"Subdivision","value":"EC"},{"id":4,"name":"Milepost","value":"0.0001"},{"id":17,"name":"Train ID","value":"166-02"},{"id":16,"name":"Locomotive ID","value":"4026"},{"id":130,"name":"Impact","value":""},{"id":150,"name":"Time of Event (Mountain Time)","value":"13:20:19"},{"id":151,"name":"Denver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"%USERPROFILE%\AppData\Local\Temp\OnboardLogs"\RTDC4026\*4026*201610021* | grep -SE "((Enforcement Ac)|(PRM))" -</v>
      </c>
    </row>
    <row r="20" spans="1:29" x14ac:dyDescent="0.25">
      <c r="A20" s="38">
        <v>42645.799062500002</v>
      </c>
      <c r="B20" s="33" t="s">
        <v>161</v>
      </c>
      <c r="C20" s="33" t="s">
        <v>643</v>
      </c>
      <c r="D20" s="33" t="s">
        <v>49</v>
      </c>
      <c r="E20" s="33" t="s">
        <v>50</v>
      </c>
      <c r="F20" s="49">
        <v>0</v>
      </c>
      <c r="G20" s="49">
        <v>61</v>
      </c>
      <c r="H20" s="49">
        <v>204</v>
      </c>
      <c r="I20" s="49">
        <v>146</v>
      </c>
      <c r="J20" s="33" t="s">
        <v>51</v>
      </c>
      <c r="K20" s="49">
        <v>1</v>
      </c>
      <c r="L20" s="146" t="s">
        <v>53</v>
      </c>
      <c r="M20" s="149">
        <f t="shared" si="0"/>
        <v>76.56</v>
      </c>
      <c r="N20" s="88" t="str">
        <f>VLOOKUP(C20,'Trips&amp;Operators'!$C$1:$E$99999,3,FALSE)</f>
        <v>YOUNG</v>
      </c>
      <c r="O20" s="170" t="s">
        <v>86</v>
      </c>
      <c r="P20" s="10"/>
      <c r="Q20" s="33"/>
      <c r="R20" s="104" t="str">
        <f>VLOOKUP(C20,'Train Runs'!$A$13:$AE$10003,31,0)</f>
        <v>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 &amp; aws s3 cp s3://rtdc.mdm.uploadarchive.raw/RTDC4019/ "%USERPROFILE%\AppData\Local\Temp\OnboardLogs"\RTDC4019\2016-10-03 --exclude "*" --recursive --include "*20161003*" &amp; "%USERPROFILE%\Documents\GitHub\mrs-test-scripts\Headless Mode &amp; Sideloading\WalkAndUnGZ.bat" "%USERPROFILE%\AppData\Local\Temp\OnboardLogs"\RTDC4019\2016-10-03</v>
      </c>
      <c r="S20" s="107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https://search-rtdc-monitor-bjffxe2xuh6vdkpspy63sjmuny.us-east-1.es.amazonaws.com/_plugin/kibana/#/discover/Steve-Slow-Train-Analysis-(2080s-and-2083s)?_g=(refreshInterval:(display:Off,section:0,value:0),time:(from:'2016-10-02 17:13:04-0600',mode:absolute,to:'2016-10-02 20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0" s="109" t="str">
        <f t="shared" si="1"/>
        <v>"C:\Program Files (x86)\AstroGrep\AstroGrep.exe" /spath="%USERPROFILE%\AppData\Local\Temp\OnboardLogs" /stypes="*4019*201610030*" /stext=" 01:.+((SYSTEM_STATE.+slice.+state.+changed )|(ment ac)|(system.+state.+changed )|(\[timeout)|(PRM\|1\|D)|(kpr)|(kdp)|(\|lc)|(penalty))" /e /r /s</v>
      </c>
      <c r="U20" s="9" t="str">
        <f t="shared" si="2"/>
        <v>4019</v>
      </c>
      <c r="V20" s="38">
        <f t="shared" si="3"/>
        <v>42646.049062500002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{"issue":{"subject":"","project_id":79,"tracker_id":40,"status_id":1,"priority_id":2,"assigned_to_id":23,"start_date":"2016-10-02","description":"","custom_fields":[{"id":1,"name":"Subdivision","value":"EC"},{"id":4,"name":"Milepost","value":"0.0001"},{"id":17,"name":"Train ID","value":"212-02"},{"id":16,"name":"Locomotive ID","value":"4019"},{"id":130,"name":"Impact","value":""},{"id":150,"name":"Time of Event (Mountain Time)","value":"19:10:39"},{"id":151,"name":"Denver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"%USERPROFILE%\AppData\Local\Temp\OnboardLogs"\RTDC4019\*4019*201610030* | grep -SE "((Enforcement Ac)|(PRM))" -</v>
      </c>
    </row>
    <row r="21" spans="1:29" s="1" customFormat="1" x14ac:dyDescent="0.25">
      <c r="A21" s="38">
        <v>42645.837141203701</v>
      </c>
      <c r="B21" s="33" t="s">
        <v>251</v>
      </c>
      <c r="C21" s="33" t="s">
        <v>654</v>
      </c>
      <c r="D21" s="33" t="s">
        <v>49</v>
      </c>
      <c r="E21" s="33" t="s">
        <v>50</v>
      </c>
      <c r="F21" s="49">
        <v>0</v>
      </c>
      <c r="G21" s="49">
        <v>61</v>
      </c>
      <c r="H21" s="49">
        <v>225</v>
      </c>
      <c r="I21" s="49">
        <v>156</v>
      </c>
      <c r="J21" s="33" t="s">
        <v>51</v>
      </c>
      <c r="K21" s="49">
        <v>1</v>
      </c>
      <c r="L21" s="146" t="s">
        <v>53</v>
      </c>
      <c r="M21" s="149">
        <f t="shared" si="0"/>
        <v>81.84</v>
      </c>
      <c r="N21" s="88" t="str">
        <f>VLOOKUP(C21,'Trips&amp;Operators'!$C$1:$E$99999,3,FALSE)</f>
        <v>CHANDLER</v>
      </c>
      <c r="O21" s="170" t="s">
        <v>86</v>
      </c>
      <c r="P21" s="10"/>
      <c r="Q21" s="33"/>
      <c r="R21" s="104" t="str">
        <f>VLOOKUP(C21,'Train Runs'!$A$13:$AE$10003,31,0)</f>
        <v>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 &amp; aws s3 cp s3://rtdc.mdm.uploadarchive.raw/RTDC4013/ "%USERPROFILE%\AppData\Local\Temp\OnboardLogs"\RTDC4013\2016-10-03 --exclude "*" --recursive --include "*20161003*" &amp; "%USERPROFILE%\Documents\GitHub\mrs-test-scripts\Headless Mode &amp; Sideloading\WalkAndUnGZ.bat" "%USERPROFILE%\AppData\Local\Temp\OnboardLogs"\RTDC4013\2016-10-03</v>
      </c>
      <c r="S21" s="107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https://search-rtdc-monitor-bjffxe2xuh6vdkpspy63sjmuny.us-east-1.es.amazonaws.com/_plugin/kibana/#/discover/Steve-Slow-Train-Analysis-(2080s-and-2083s)?_g=(refreshInterval:(display:Off,section:0,value:0),time:(from:'2016-10-02 18:24:46-0600',mode:absolute,to:'2016-10-02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1" s="109" t="str">
        <f t="shared" si="1"/>
        <v>"C:\Program Files (x86)\AstroGrep\AstroGrep.exe" /spath="%USERPROFILE%\AppData\Local\Temp\OnboardLogs" /stypes="*4013*201610030*" /stext=" 02:.+((SYSTEM_STATE.+slice.+state.+changed )|(ment ac)|(system.+state.+changed )|(\[timeout)|(PRM\|1\|D)|(kpr)|(kdp)|(\|lc)|(penalty))" /e /r /s</v>
      </c>
      <c r="U21" s="9" t="str">
        <f t="shared" si="2"/>
        <v>4013</v>
      </c>
      <c r="V21" s="38">
        <f t="shared" si="3"/>
        <v>42646.087141203701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{"issue":{"subject":"","project_id":79,"tracker_id":40,"status_id":1,"priority_id":2,"assigned_to_id":23,"start_date":"2016-10-02","description":"","custom_fields":[{"id":1,"name":"Subdivision","value":"EC"},{"id":4,"name":"Milepost","value":"0.0001"},{"id":17,"name":"Train ID","value":"220-02"},{"id":16,"name":"Locomotive ID","value":"4013"},{"id":130,"name":"Impact","value":""},{"id":150,"name":"Time of Event (Mountain Time)","value":"20:05:29"},{"id":151,"name":"Denver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"%USERPROFILE%\AppData\Local\Temp\OnboardLogs"\RTDC4013\*4013*201610030* | grep -SE "((Enforcement Ac)|(PRM))" -</v>
      </c>
    </row>
    <row r="22" spans="1:29" x14ac:dyDescent="0.25">
      <c r="A22" s="38">
        <v>42645.877164351848</v>
      </c>
      <c r="B22" s="33" t="s">
        <v>173</v>
      </c>
      <c r="C22" s="33" t="s">
        <v>659</v>
      </c>
      <c r="D22" s="33" t="s">
        <v>49</v>
      </c>
      <c r="E22" s="33" t="s">
        <v>50</v>
      </c>
      <c r="F22" s="49">
        <v>0</v>
      </c>
      <c r="G22" s="49">
        <v>87</v>
      </c>
      <c r="H22" s="49">
        <v>278</v>
      </c>
      <c r="I22" s="49">
        <v>189</v>
      </c>
      <c r="J22" s="33" t="s">
        <v>51</v>
      </c>
      <c r="K22" s="49">
        <v>1</v>
      </c>
      <c r="L22" s="146" t="s">
        <v>53</v>
      </c>
      <c r="M22" s="149">
        <f t="shared" si="0"/>
        <v>99.263999999999996</v>
      </c>
      <c r="N22" s="88" t="str">
        <f>VLOOKUP(C22,'Trips&amp;Operators'!$C$1:$E$99999,3,FALSE)</f>
        <v>COOLAHAN</v>
      </c>
      <c r="O22" s="170" t="s">
        <v>86</v>
      </c>
      <c r="P22" s="10"/>
      <c r="Q22" s="33"/>
      <c r="R22" s="104" t="str">
        <f>VLOOKUP(C22,'Train Runs'!$A$13:$AE$10003,31,0)</f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S22" s="107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https://search-rtdc-monitor-bjffxe2xuh6vdkpspy63sjmuny.us-east-1.es.amazonaws.com/_plugin/kibana/#/discover/Steve-Slow-Train-Analysis-(2080s-and-2083s)?_g=(refreshInterval:(display:Off,section:0,value:0),time:(from:'2016-10-02 19:17:44-0600',mode:absolute,to:'2016-10-02 22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2" s="109" t="str">
        <f t="shared" si="1"/>
        <v>"C:\Program Files (x86)\AstroGrep\AstroGrep.exe" /spath="%USERPROFILE%\AppData\Local\Temp\OnboardLogs" /stypes="*4041*201610030*" /stext=" 03:.+((SYSTEM_STATE.+slice.+state.+changed )|(ment ac)|(system.+state.+changed )|(\[timeout)|(PRM\|1\|D)|(kpr)|(kdp)|(\|lc)|(penalty))" /e /r /s</v>
      </c>
      <c r="U22" s="9" t="str">
        <f t="shared" si="2"/>
        <v>4041</v>
      </c>
      <c r="V22" s="38">
        <f t="shared" si="3"/>
        <v>42646.127164351848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{"issue":{"subject":"","project_id":79,"tracker_id":40,"status_id":1,"priority_id":2,"assigned_to_id":23,"start_date":"2016-10-02","description":"","custom_fields":[{"id":1,"name":"Subdivision","value":"EC"},{"id":4,"name":"Milepost","value":"0.0001"},{"id":17,"name":"Train ID","value":"224-02"},{"id":16,"name":"Locomotive ID","value":"4041"},{"id":130,"name":"Impact","value":""},{"id":150,"name":"Time of Event (Mountain Time)","value":"21:03:07"},{"id":151,"name":"Denver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"%USERPROFILE%\AppData\Local\Temp\OnboardLogs"\RTDC4041\*4041*201610030* | grep -SE "((Enforcement Ac)|(PRM))" -</v>
      </c>
    </row>
    <row r="23" spans="1:29" x14ac:dyDescent="0.25">
      <c r="A23" s="38">
        <v>42645.878912037035</v>
      </c>
      <c r="B23" s="33" t="s">
        <v>173</v>
      </c>
      <c r="C23" s="33" t="s">
        <v>659</v>
      </c>
      <c r="D23" s="33" t="s">
        <v>49</v>
      </c>
      <c r="E23" s="33" t="s">
        <v>50</v>
      </c>
      <c r="F23" s="49">
        <v>0</v>
      </c>
      <c r="G23" s="49">
        <v>32</v>
      </c>
      <c r="H23" s="49">
        <v>139</v>
      </c>
      <c r="I23" s="49">
        <v>112</v>
      </c>
      <c r="J23" s="33" t="s">
        <v>51</v>
      </c>
      <c r="K23" s="49">
        <v>1</v>
      </c>
      <c r="L23" s="146" t="s">
        <v>53</v>
      </c>
      <c r="M23" s="149">
        <f t="shared" si="0"/>
        <v>58.607999999999997</v>
      </c>
      <c r="N23" s="88" t="str">
        <f>VLOOKUP(C23,'Trips&amp;Operators'!$C$1:$E$99999,3,FALSE)</f>
        <v>COOLAHAN</v>
      </c>
      <c r="O23" s="170" t="s">
        <v>86</v>
      </c>
      <c r="P23" s="10"/>
      <c r="Q23" s="33"/>
      <c r="R23" s="104" t="str">
        <f>VLOOKUP(C23,'Train Runs'!$A$13:$AE$10003,31,0)</f>
        <v>aws s3 cp s3://rtdc.mdm.uploadarchive.raw/RTDC4041/ "%USERPROFILE%\AppData\Local\Temp\OnboardLogs"\RTDC4041\2016-10-02 --exclude "*" --recursive --include "*20161002*" &amp; "%USERPROFILE%\Documents\GitHub\mrs-test-scripts\Headless Mode &amp; Sideloading\WalkAndUnGZ.bat" "%USERPROFILE%\AppData\Local\Temp\OnboardLogs"\RTDC4041\2016-10-02 &amp; aws s3 cp s3://rtdc.mdm.uploadarchive.raw/RTDC4041/ "%USERPROFILE%\AppData\Local\Temp\OnboardLogs"\RTDC4041\2016-10-03 --exclude "*" --recursive --include "*20161003*" &amp; "%USERPROFILE%\Documents\GitHub\mrs-test-scripts\Headless Mode &amp; Sideloading\WalkAndUnGZ.bat" "%USERPROFILE%\AppData\Local\Temp\OnboardLogs"\RTDC4041\2016-10-03</v>
      </c>
      <c r="S23" s="107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https://search-rtdc-monitor-bjffxe2xuh6vdkpspy63sjmuny.us-east-1.es.amazonaws.com/_plugin/kibana/#/discover/Steve-Slow-Train-Analysis-(2080s-and-2083s)?_g=(refreshInterval:(display:Off,section:0,value:0),time:(from:'2016-10-02 19:17:44-0600',mode:absolute,to:'2016-10-02 22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3" s="109" t="str">
        <f t="shared" si="1"/>
        <v>"C:\Program Files (x86)\AstroGrep\AstroGrep.exe" /spath="%USERPROFILE%\AppData\Local\Temp\OnboardLogs" /stypes="*4041*201610030*" /stext=" 03:.+((SYSTEM_STATE.+slice.+state.+changed )|(ment ac)|(system.+state.+changed )|(\[timeout)|(PRM\|1\|D)|(kpr)|(kdp)|(\|lc)|(penalty))" /e /r /s</v>
      </c>
      <c r="U23" s="9" t="str">
        <f t="shared" si="2"/>
        <v>4041</v>
      </c>
      <c r="V23" s="38">
        <f t="shared" si="3"/>
        <v>42646.128912037035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{"issue":{"subject":"","project_id":79,"tracker_id":40,"status_id":1,"priority_id":2,"assigned_to_id":23,"start_date":"2016-10-02","description":"","custom_fields":[{"id":1,"name":"Subdivision","value":"EC"},{"id":4,"name":"Milepost","value":"0.0001"},{"id":17,"name":"Train ID","value":"224-02"},{"id":16,"name":"Locomotive ID","value":"4041"},{"id":130,"name":"Impact","value":""},{"id":150,"name":"Time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"%USERPROFILE%\AppData\Local\Temp\OnboardLogs"\RTDC4041\*4041*201610030* | grep -SE "((Enforcement Ac)|(PRM))" -</v>
      </c>
    </row>
    <row r="24" spans="1:29" x14ac:dyDescent="0.25">
      <c r="A24" s="38">
        <v>42645.182187500002</v>
      </c>
      <c r="B24" s="33" t="s">
        <v>174</v>
      </c>
      <c r="C24" s="33" t="s">
        <v>408</v>
      </c>
      <c r="D24" s="33" t="s">
        <v>49</v>
      </c>
      <c r="E24" s="33" t="s">
        <v>50</v>
      </c>
      <c r="F24" s="49">
        <v>0</v>
      </c>
      <c r="G24" s="49">
        <v>53</v>
      </c>
      <c r="H24" s="49">
        <v>233291</v>
      </c>
      <c r="I24" s="49">
        <v>233347</v>
      </c>
      <c r="J24" s="33" t="s">
        <v>51</v>
      </c>
      <c r="K24" s="49">
        <v>233491</v>
      </c>
      <c r="L24" s="146" t="s">
        <v>52</v>
      </c>
      <c r="M24" s="149">
        <f t="shared" si="0"/>
        <v>76.031999999999996</v>
      </c>
      <c r="N24" s="88" t="str">
        <f>VLOOKUP(C24,'Trips&amp;Operators'!$C$1:$E$99999,3,FALSE)</f>
        <v>ACKERMAN</v>
      </c>
      <c r="O24" s="170" t="s">
        <v>86</v>
      </c>
      <c r="P24" s="10"/>
      <c r="Q24" s="33"/>
      <c r="R24" s="104" t="str">
        <f>VLOOKUP(C24,'Train Runs'!$A$13:$AE$10003,31,0)</f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S24" s="107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https://search-rtdc-monitor-bjffxe2xuh6vdkpspy63sjmuny.us-east-1.es.amazonaws.com/_plugin/kibana/#/discover/Steve-Slow-Train-Analysis-(2080s-and-2083s)?_g=(refreshInterval:(display:Off,section:0,value:0),time:(from:'2016-10-02 02:38:38-0600',mode:absolute,to:'2016-10-02 05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4" s="109" t="str">
        <f t="shared" si="1"/>
        <v>"C:\Program Files (x86)\AstroGrep\AstroGrep.exe" /spath="%USERPROFILE%\AppData\Local\Temp\OnboardLogs" /stypes="*4042*201610021*" /stext=" 10:.+((SYSTEM_STATE.+slice.+state.+changed )|(ment ac)|(system.+state.+changed )|(\[timeout)|(PRM\|1\|D)|(kpr)|(kdp)|(\|lc)|(penalty))" /e /r /s</v>
      </c>
      <c r="U24" s="9" t="str">
        <f t="shared" si="2"/>
        <v>4042</v>
      </c>
      <c r="V24" s="38">
        <f t="shared" si="3"/>
        <v>42645.432187500002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{"issue":{"subject":"","project_id":79,"tracker_id":40,"status_id":1,"priority_id":2,"assigned_to_id":23,"start_date":"2016-10-02","description":"","custom_fields":[{"id":1,"name":"Subdivision","value":"EC"},{"id":4,"name":"Milepost","value":"23.3491"},{"id":17,"name":"Train ID","value":"103-02"},{"id":16,"name":"Locomotive ID","value":"4042"},{"id":130,"name":"Impact","value":""},{"id":150,"name":"Time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"%USERPROFILE%\AppData\Local\Temp\OnboardLogs"\RTDC4042\*4042*201610021* | grep -SE "((Enforcement Ac)|(PRM))" -</v>
      </c>
    </row>
    <row r="25" spans="1:29" ht="15" customHeight="1" x14ac:dyDescent="0.25">
      <c r="A25" s="38">
        <v>42645.837268518517</v>
      </c>
      <c r="B25" s="33" t="s">
        <v>174</v>
      </c>
      <c r="C25" s="33" t="s">
        <v>658</v>
      </c>
      <c r="D25" s="33" t="s">
        <v>49</v>
      </c>
      <c r="E25" s="33" t="s">
        <v>50</v>
      </c>
      <c r="F25" s="49">
        <v>0</v>
      </c>
      <c r="G25" s="49">
        <v>52</v>
      </c>
      <c r="H25" s="49">
        <v>233300</v>
      </c>
      <c r="I25" s="49">
        <v>233359</v>
      </c>
      <c r="J25" s="33" t="s">
        <v>51</v>
      </c>
      <c r="K25" s="49">
        <v>233491</v>
      </c>
      <c r="L25" s="146" t="s">
        <v>52</v>
      </c>
      <c r="M25" s="149">
        <f t="shared" si="0"/>
        <v>69.695999999999998</v>
      </c>
      <c r="N25" s="88" t="str">
        <f>VLOOKUP(C25,'Trips&amp;Operators'!$C$1:$E$99999,3,FALSE)</f>
        <v>COOLAHAN</v>
      </c>
      <c r="O25" s="170" t="s">
        <v>86</v>
      </c>
      <c r="P25" s="10"/>
      <c r="Q25" s="33"/>
      <c r="R25" s="104" t="str">
        <f>VLOOKUP(C25,'Train Runs'!$A$13:$AE$10003,31,0)</f>
        <v>aws s3 cp s3://rtdc.mdm.uploadarchive.raw/RTDC4042/ "%USERPROFILE%\AppData\Local\Temp\OnboardLogs"\RTDC4042\2016-10-02 --exclude "*" --recursive --include "*20161002*" &amp; "%USERPROFILE%\Documents\GitHub\mrs-test-scripts\Headless Mode &amp; Sideloading\WalkAndUnGZ.bat" "%USERPROFILE%\AppData\Local\Temp\OnboardLogs"\RTDC4042\2016-10-02 &amp; aws s3 cp s3://rtdc.mdm.uploadarchive.raw/RTDC4042/ "%USERPROFILE%\AppData\Local\Temp\OnboardLogs"\RTDC4042\2016-10-03 --exclude "*" --recursive --include "*20161003*" &amp; "%USERPROFILE%\Documents\GitHub\mrs-test-scripts\Headless Mode &amp; Sideloading\WalkAndUnGZ.bat" "%USERPROFILE%\AppData\Local\Temp\OnboardLogs"\RTDC4042\2016-10-03</v>
      </c>
      <c r="S25" s="107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https://search-rtdc-monitor-bjffxe2xuh6vdkpspy63sjmuny.us-east-1.es.amazonaws.com/_plugin/kibana/#/discover/Steve-Slow-Train-Analysis-(2080s-and-2083s)?_g=(refreshInterval:(display:Off,section:0,value:0),time:(from:'2016-10-02 18:22:34-0600',mode:absolute,to:'2016-10-02 21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5" s="109" t="str">
        <f t="shared" si="1"/>
        <v>"C:\Program Files (x86)\AstroGrep\AstroGrep.exe" /spath="%USERPROFILE%\AppData\Local\Temp\OnboardLogs" /stypes="*4042*201610030*" /stext=" 02:.+((SYSTEM_STATE.+slice.+state.+changed )|(ment ac)|(system.+state.+changed )|(\[timeout)|(PRM\|1\|D)|(kpr)|(kdp)|(\|lc)|(penalty))" /e /r /s</v>
      </c>
      <c r="U25" s="9" t="str">
        <f t="shared" si="2"/>
        <v>4042</v>
      </c>
      <c r="V25" s="38">
        <f t="shared" si="3"/>
        <v>42646.087268518517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{"issue":{"subject":"","project_id":79,"tracker_id":40,"status_id":1,"priority_id":2,"assigned_to_id":23,"start_date":"2016-10-02","description":"","custom_fields":[{"id":1,"name":"Subdivision","value":"EC"},{"id":4,"name":"Milepost","value":"23.3491"},{"id":17,"name":"Train ID","value":"223-02"},{"id":16,"name":"Locomotive ID","value":"4042"},{"id":130,"name":"Impact","value":""},{"id":150,"name":"Time of Event (Mountain Time)","value":"20:05:40"},{"id":151,"name":"Denver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"%USERPROFILE%\AppData\Local\Temp\OnboardLogs"\RTDC4042\*4042*201610030* | grep -SE "((Enforcement Ac)|(PRM))" -</v>
      </c>
    </row>
    <row r="26" spans="1:29" x14ac:dyDescent="0.25">
      <c r="A26" s="38">
        <v>42645.660046296296</v>
      </c>
      <c r="B26" s="33" t="s">
        <v>398</v>
      </c>
      <c r="C26" s="33" t="s">
        <v>568</v>
      </c>
      <c r="D26" s="33" t="s">
        <v>105</v>
      </c>
      <c r="E26" s="33" t="s">
        <v>166</v>
      </c>
      <c r="F26" s="49">
        <v>0</v>
      </c>
      <c r="G26" s="49">
        <v>184</v>
      </c>
      <c r="H26" s="49">
        <v>15741</v>
      </c>
      <c r="I26" s="49">
        <v>15435</v>
      </c>
      <c r="J26" s="33" t="s">
        <v>165</v>
      </c>
      <c r="K26" s="49">
        <v>15777</v>
      </c>
      <c r="L26" s="146" t="s">
        <v>53</v>
      </c>
      <c r="M26" s="149">
        <f t="shared" si="0"/>
        <v>-180.57599999999999</v>
      </c>
      <c r="N26" s="88" t="str">
        <f>VLOOKUP(C26,'Trips&amp;Operators'!$C$1:$E$99999,3,FALSE)</f>
        <v>BROWN</v>
      </c>
      <c r="O26" s="170" t="s">
        <v>86</v>
      </c>
      <c r="P26" s="10" t="s">
        <v>729</v>
      </c>
      <c r="Q26" s="33"/>
      <c r="R26" s="104" t="str">
        <f>VLOOKUP(C26,'Train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26" s="107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https://search-rtdc-monitor-bjffxe2xuh6vdkpspy63sjmuny.us-east-1.es.amazonaws.com/_plugin/kibana/#/discover/Steve-Slow-Train-Analysis-(2080s-and-2083s)?_g=(refreshInterval:(display:Off,section:0,value:0),time:(from:'2016-10-02 14:36:59-0600',mode:absolute,to:'2016-10-02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6" s="109" t="str">
        <f t="shared" si="1"/>
        <v>"C:\Program Files (x86)\AstroGrep\AstroGrep.exe" /spath="%USERPROFILE%\AppData\Local\Temp\OnboardLogs" /stypes="*4004*201610022*" /stext=" 21:.+((SYSTEM_STATE.+slice.+state.+changed )|(ment ac)|(system.+state.+changed )|(\[timeout)|(PRM\|1\|D)|(kpr)|(kdp)|(\|lc)|(penalty))" /e /r /s</v>
      </c>
      <c r="U26" s="9" t="str">
        <f t="shared" si="2"/>
        <v>4004</v>
      </c>
      <c r="V26" s="38">
        <f t="shared" si="3"/>
        <v>42645.910046296296</v>
      </c>
      <c r="W26" s="52" t="str">
        <f t="shared" si="4"/>
        <v>NW</v>
      </c>
      <c r="X26" s="52" t="str">
        <f t="shared" si="5"/>
        <v>KEEP</v>
      </c>
      <c r="Y26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arrival","project_id":79,"tracker_id":40,"status_id":1,"priority_id":2,"assigned_to_id":23,"start_date":"2016-10-02","description":"","custom_fields":[{"id":1,"name":"Subdivision","value":"NW"},{"id":4,"name":"Milepost","value":"1.5777"},{"id":17,"name":"Train ID","value":"1820-02"},{"id":16,"name":"Locomotive ID","value":"4004"},{"id":130,"name":"Impact","value":""},{"id":150,"name":"Time of Event (Mountain Time)","value":"15:50:28"},{"id":151,"name":"Denver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"%USERPROFILE%\AppData\Local\Temp\OnboardLogs"\RTDC4004\*4004*201610022* | grep -SE "((Enforcement Ac)|(PRM))" -</v>
      </c>
    </row>
    <row r="27" spans="1:29" x14ac:dyDescent="0.25">
      <c r="A27" s="38">
        <v>42645.451481481483</v>
      </c>
      <c r="B27" s="33" t="s">
        <v>398</v>
      </c>
      <c r="C27" s="33" t="s">
        <v>552</v>
      </c>
      <c r="D27" s="33" t="s">
        <v>49</v>
      </c>
      <c r="E27" s="33" t="s">
        <v>166</v>
      </c>
      <c r="F27" s="49">
        <v>330</v>
      </c>
      <c r="G27" s="49">
        <v>439</v>
      </c>
      <c r="H27" s="49">
        <v>16813</v>
      </c>
      <c r="I27" s="49">
        <v>15448</v>
      </c>
      <c r="J27" s="33" t="s">
        <v>165</v>
      </c>
      <c r="K27" s="49">
        <v>15777</v>
      </c>
      <c r="L27" s="146" t="s">
        <v>53</v>
      </c>
      <c r="M27" s="149">
        <f t="shared" si="0"/>
        <v>-173.71199999999999</v>
      </c>
      <c r="N27" s="88" t="str">
        <f>VLOOKUP(C27,'Trips&amp;Operators'!$C$1:$E$99999,3,FALSE)</f>
        <v>STARKS</v>
      </c>
      <c r="O27" s="170" t="s">
        <v>86</v>
      </c>
      <c r="P27" s="10" t="s">
        <v>729</v>
      </c>
      <c r="Q27" s="33"/>
      <c r="R27" s="104" t="str">
        <f>VLOOKUP(C27,'Train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27" s="107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https://search-rtdc-monitor-bjffxe2xuh6vdkpspy63sjmuny.us-east-1.es.amazonaws.com/_plugin/kibana/#/discover/Steve-Slow-Train-Analysis-(2080s-and-2083s)?_g=(refreshInterval:(display:Off,section:0,value:0),time:(from:'2016-10-02 09:36:22-0600',mode:absolute,to:'2016-10-02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7" s="109" t="str">
        <f t="shared" si="1"/>
        <v>"C:\Program Files (x86)\AstroGrep\AstroGrep.exe" /spath="%USERPROFILE%\AppData\Local\Temp\OnboardLogs" /stypes="*4004*201610021*" /stext=" 16:.+((SYSTEM_STATE.+slice.+state.+changed )|(ment ac)|(system.+state.+changed )|(\[timeout)|(PRM\|1\|D)|(kpr)|(kdp)|(\|lc)|(penalty))" /e /r /s</v>
      </c>
      <c r="U27" s="9" t="str">
        <f t="shared" si="2"/>
        <v>4004</v>
      </c>
      <c r="V27" s="38">
        <f t="shared" si="3"/>
        <v>42645.701481481483</v>
      </c>
      <c r="W27" s="52" t="str">
        <f t="shared" si="4"/>
        <v>NW</v>
      </c>
      <c r="X27" s="52" t="str">
        <f t="shared" si="5"/>
        <v>KEEP</v>
      </c>
      <c r="Y27" s="130" t="str">
        <f t="shared" si="6"/>
        <v>echo {"issue":{"subject":"Early arrival","project_id":79,"tracker_id":40,"status_id":1,"priority_id":2,"assigned_to_id":23,"start_date":"2016-10-02","description":"","custom_fields":[{"id":1,"name":"Subdivision","value":"NW"},{"id":4,"name":"Milepost","value":"1.5777"},{"id":17,"name":"Train ID","value":"1810-02"},{"id":16,"name":"Locomotive ID","value":"4004"},{"id":130,"name":"Impact","value":""},{"id":150,"name":"Time of Event (Mountain Time)","value":"10:50:08"},{"id":151,"name":"Denver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"%USERPROFILE%\AppData\Local\Temp\OnboardLogs"\RTDC4004\*4004*201610021* | grep -SE "((Enforcement Ac)|(PRM))" -</v>
      </c>
    </row>
    <row r="28" spans="1:29" x14ac:dyDescent="0.25">
      <c r="A28" s="38">
        <v>42645.723379629628</v>
      </c>
      <c r="B28" s="33" t="s">
        <v>397</v>
      </c>
      <c r="C28" s="33" t="s">
        <v>575</v>
      </c>
      <c r="D28" s="33" t="s">
        <v>105</v>
      </c>
      <c r="E28" s="33" t="s">
        <v>56</v>
      </c>
      <c r="F28" s="49">
        <v>150</v>
      </c>
      <c r="G28" s="49">
        <v>204</v>
      </c>
      <c r="H28" s="49">
        <v>1546</v>
      </c>
      <c r="I28" s="49">
        <v>1907</v>
      </c>
      <c r="J28" s="33" t="s">
        <v>57</v>
      </c>
      <c r="K28" s="49">
        <v>574</v>
      </c>
      <c r="L28" s="146" t="s">
        <v>52</v>
      </c>
      <c r="M28" s="149">
        <f t="shared" si="0"/>
        <v>-703.82399999999996</v>
      </c>
      <c r="N28" s="88" t="str">
        <f>VLOOKUP(C28,'Trips&amp;Operators'!$C$1:$E$99999,3,FALSE)</f>
        <v>BROWN</v>
      </c>
      <c r="O28" s="170" t="s">
        <v>86</v>
      </c>
      <c r="P28" s="10"/>
      <c r="Q28" s="33"/>
      <c r="R28" s="104" t="str">
        <f>VLOOKUP(C28,'Train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28" s="107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https://search-rtdc-monitor-bjffxe2xuh6vdkpspy63sjmuny.us-east-1.es.amazonaws.com/_plugin/kibana/#/discover/Steve-Slow-Train-Analysis-(2080s-and-2083s)?_g=(refreshInterval:(display:Off,section:0,value:0),time:(from:'2016-10-02 16:07:37-0600',mode:absolute,to:'2016-10-02 18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8" s="109" t="str">
        <f t="shared" si="1"/>
        <v>"C:\Program Files (x86)\AstroGrep\AstroGrep.exe" /spath="%USERPROFILE%\AppData\Local\Temp\OnboardLogs" /stypes="*4003*201610022*" /stext=" 23:.+((SYSTEM_STATE.+slice.+state.+changed )|(ment ac)|(system.+state.+changed )|(\[timeout)|(PRM\|1\|D)|(kpr)|(kdp)|(\|lc)|(penalty))" /e /r /s</v>
      </c>
      <c r="U28" s="9" t="str">
        <f t="shared" si="2"/>
        <v>4003</v>
      </c>
      <c r="V28" s="38">
        <f t="shared" si="3"/>
        <v>42645.973379629628</v>
      </c>
      <c r="W28" s="52" t="str">
        <f t="shared" si="4"/>
        <v>NW</v>
      </c>
      <c r="X28" s="52" t="str">
        <f t="shared" si="5"/>
        <v>KEEP</v>
      </c>
      <c r="Y28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{"issue":{"subject":"","project_id":79,"tracker_id":40,"status_id":1,"priority_id":2,"assigned_to_id":23,"start_date":"2016-10-02","description":"","custom_fields":[{"id":1,"name":"Subdivision","value":"NW"},{"id":4,"name":"Milepost","value":"0.0574"},{"id":17,"name":"Train ID","value":"1823-02"},{"id":16,"name":"Locomotive ID","value":"4003"},{"id":130,"name":"Impact","value":""},{"id":150,"name":"Time of Event (Mountain Time)","value":"17:21:40"},{"id":151,"name":"Denver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"%USERPROFILE%\AppData\Local\Temp\OnboardLogs"\RTDC4003\*4003*201610022* | grep -SE "((Enforcement Ac)|(PRM))" -</v>
      </c>
    </row>
    <row r="29" spans="1:29" x14ac:dyDescent="0.25">
      <c r="A29" s="38">
        <v>42645.768159722225</v>
      </c>
      <c r="B29" s="33" t="s">
        <v>397</v>
      </c>
      <c r="C29" s="33" t="s">
        <v>581</v>
      </c>
      <c r="D29" s="33" t="s">
        <v>105</v>
      </c>
      <c r="E29" s="33" t="s">
        <v>56</v>
      </c>
      <c r="F29" s="49">
        <v>450</v>
      </c>
      <c r="G29" s="49">
        <v>504</v>
      </c>
      <c r="H29" s="49">
        <v>14696</v>
      </c>
      <c r="I29" s="49">
        <v>16580</v>
      </c>
      <c r="J29" s="33" t="s">
        <v>57</v>
      </c>
      <c r="K29" s="49">
        <v>13572</v>
      </c>
      <c r="L29" s="146" t="s">
        <v>52</v>
      </c>
      <c r="M29" s="149">
        <f t="shared" si="0"/>
        <v>-1588.2239999999999</v>
      </c>
      <c r="N29" s="88" t="str">
        <f>VLOOKUP(C29,'Trips&amp;Operators'!$C$1:$E$99999,3,FALSE)</f>
        <v>BROWN</v>
      </c>
      <c r="O29" s="170" t="s">
        <v>86</v>
      </c>
      <c r="P29" s="10"/>
      <c r="Q29" s="33"/>
      <c r="R29" s="104" t="str">
        <f>VLOOKUP(C29,'Train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29" s="107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https://search-rtdc-monitor-bjffxe2xuh6vdkpspy63sjmuny.us-east-1.es.amazonaws.com/_plugin/kibana/#/discover/Steve-Slow-Train-Analysis-(2080s-and-2083s)?_g=(refreshInterval:(display:Off,section:0,value:0),time:(from:'2016-10-02 17:16:41-0600',mode:absolute,to:'2016-10-02 19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9" s="109" t="str">
        <f t="shared" si="1"/>
        <v>"C:\Program Files (x86)\AstroGrep\AstroGrep.exe" /spath="%USERPROFILE%\AppData\Local\Temp\OnboardLogs" /stypes="*4003*201610030*" /stext=" 00:.+((SYSTEM_STATE.+slice.+state.+changed )|(ment ac)|(system.+state.+changed )|(\[timeout)|(PRM\|1\|D)|(kpr)|(kdp)|(\|lc)|(penalty))" /e /r /s</v>
      </c>
      <c r="U29" s="9" t="str">
        <f t="shared" si="2"/>
        <v>4003</v>
      </c>
      <c r="V29" s="38">
        <f t="shared" si="3"/>
        <v>42646.018159722225</v>
      </c>
      <c r="W29" s="52" t="str">
        <f t="shared" si="4"/>
        <v>NW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{"issue":{"subject":"","project_id":79,"tracker_id":40,"status_id":1,"priority_id":2,"assigned_to_id":23,"start_date":"2016-10-02","description":"","custom_fields":[{"id":1,"name":"Subdivision","value":"NW"},{"id":4,"name":"Milepost","value":"1.3572"},{"id":17,"name":"Train ID","value":"1825-02"},{"id":16,"name":"Locomotive ID","value":"4003"},{"id":130,"name":"Impact","value":""},{"id":150,"name":"Time of Event (Mountain Time)","value":"18:26:09"},{"id":151,"name":"Denver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"%USERPROFILE%\AppData\Local\Temp\OnboardLogs"\RTDC4003\*4003*201610030* | grep -SE "((Enforcement Ac)|(PRM))" -</v>
      </c>
    </row>
    <row r="30" spans="1:29" x14ac:dyDescent="0.25">
      <c r="A30" s="38">
        <v>42645.45003472222</v>
      </c>
      <c r="B30" s="33" t="s">
        <v>398</v>
      </c>
      <c r="C30" s="33" t="s">
        <v>552</v>
      </c>
      <c r="D30" s="33" t="s">
        <v>49</v>
      </c>
      <c r="E30" s="33" t="s">
        <v>56</v>
      </c>
      <c r="F30" s="49">
        <v>300</v>
      </c>
      <c r="G30" s="49">
        <v>477</v>
      </c>
      <c r="H30" s="49">
        <v>25668</v>
      </c>
      <c r="I30" s="49">
        <v>24184</v>
      </c>
      <c r="J30" s="33" t="s">
        <v>57</v>
      </c>
      <c r="K30" s="49">
        <v>23561</v>
      </c>
      <c r="L30" s="146" t="s">
        <v>53</v>
      </c>
      <c r="M30" s="149">
        <f t="shared" si="0"/>
        <v>328.94400000000002</v>
      </c>
      <c r="N30" s="88" t="str">
        <f>VLOOKUP(C30,'Trips&amp;Operators'!$C$1:$E$99999,3,FALSE)</f>
        <v>STARKS</v>
      </c>
      <c r="O30" s="170" t="s">
        <v>86</v>
      </c>
      <c r="P30" s="10"/>
      <c r="Q30" s="33"/>
      <c r="R30" s="104" t="str">
        <f>VLOOKUP(C30,'Train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30" s="107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https://search-rtdc-monitor-bjffxe2xuh6vdkpspy63sjmuny.us-east-1.es.amazonaws.com/_plugin/kibana/#/discover/Steve-Slow-Train-Analysis-(2080s-and-2083s)?_g=(refreshInterval:(display:Off,section:0,value:0),time:(from:'2016-10-02 09:36:22-0600',mode:absolute,to:'2016-10-02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0" s="109" t="str">
        <f t="shared" si="1"/>
        <v>"C:\Program Files (x86)\AstroGrep\AstroGrep.exe" /spath="%USERPROFILE%\AppData\Local\Temp\OnboardLogs" /stypes="*4004*201610021*" /stext=" 16:.+((SYSTEM_STATE.+slice.+state.+changed )|(ment ac)|(system.+state.+changed )|(\[timeout)|(PRM\|1\|D)|(kpr)|(kdp)|(\|lc)|(penalty))" /e /r /s</v>
      </c>
      <c r="U30" s="9" t="str">
        <f t="shared" si="2"/>
        <v>4004</v>
      </c>
      <c r="V30" s="38">
        <f t="shared" si="3"/>
        <v>42645.70003472222</v>
      </c>
      <c r="W30" s="52" t="str">
        <f t="shared" si="4"/>
        <v>NW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{"issue":{"subject":"","project_id":79,"tracker_id":40,"status_id":1,"priority_id":2,"assigned_to_id":23,"start_date":"2016-10-02","description":"","custom_fields":[{"id":1,"name":"Subdivision","value":"NW"},{"id":4,"name":"Milepost","value":"2.3561"},{"id":17,"name":"Train ID","value":"1810-02"},{"id":16,"name":"Locomotive ID","value":"4004"},{"id":130,"name":"Impact","value":""},{"id":150,"name":"Time of Event (Mountain Time)","value":"10:48:03"},{"id":151,"name":"Denver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"%USERPROFILE%\AppData\Local\Temp\OnboardLogs"\RTDC4004\*4004*201610021* | grep -SE "((Enforcement Ac)|(PRM))" -</v>
      </c>
    </row>
    <row r="31" spans="1:29" ht="15" customHeight="1" x14ac:dyDescent="0.25">
      <c r="A31" s="38">
        <v>42645.530914351853</v>
      </c>
      <c r="B31" s="33" t="s">
        <v>398</v>
      </c>
      <c r="C31" s="33" t="s">
        <v>558</v>
      </c>
      <c r="D31" s="33" t="s">
        <v>49</v>
      </c>
      <c r="E31" s="33" t="s">
        <v>56</v>
      </c>
      <c r="F31" s="49">
        <v>400</v>
      </c>
      <c r="G31" s="49">
        <v>541</v>
      </c>
      <c r="H31" s="49">
        <v>51923</v>
      </c>
      <c r="I31" s="49">
        <v>50161</v>
      </c>
      <c r="J31" s="33" t="s">
        <v>57</v>
      </c>
      <c r="K31" s="49">
        <v>49775</v>
      </c>
      <c r="L31" s="146" t="s">
        <v>53</v>
      </c>
      <c r="M31" s="149">
        <f t="shared" si="0"/>
        <v>203.80799999999999</v>
      </c>
      <c r="N31" s="88" t="str">
        <f>VLOOKUP(C31,'Trips&amp;Operators'!$C$1:$E$99999,3,FALSE)</f>
        <v>STARKS</v>
      </c>
      <c r="O31" s="170" t="s">
        <v>86</v>
      </c>
      <c r="P31" s="10"/>
      <c r="Q31" s="33"/>
      <c r="R31" s="104" t="str">
        <f>VLOOKUP(C31,'Train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31" s="107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https://search-rtdc-monitor-bjffxe2xuh6vdkpspy63sjmuny.us-east-1.es.amazonaws.com/_plugin/kibana/#/discover/Steve-Slow-Train-Analysis-(2080s-and-2083s)?_g=(refreshInterval:(display:Off,section:0,value:0),time:(from:'2016-10-02 11:36:16-0600',mode:absolute,to:'2016-10-02 13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1" s="109" t="str">
        <f t="shared" si="1"/>
        <v>"C:\Program Files (x86)\AstroGrep\AstroGrep.exe" /spath="%USERPROFILE%\AppData\Local\Temp\OnboardLogs" /stypes="*4004*201610021*" /stext=" 18:.+((SYSTEM_STATE.+slice.+state.+changed )|(ment ac)|(system.+state.+changed )|(\[timeout)|(PRM\|1\|D)|(kpr)|(kdp)|(\|lc)|(penalty))" /e /r /s</v>
      </c>
      <c r="U31" s="9" t="str">
        <f t="shared" si="2"/>
        <v>4004</v>
      </c>
      <c r="V31" s="38">
        <f t="shared" si="3"/>
        <v>42645.780914351853</v>
      </c>
      <c r="W31" s="52" t="str">
        <f t="shared" si="4"/>
        <v>NW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{"issue":{"subject":"","project_id":79,"tracker_id":40,"status_id":1,"priority_id":2,"assigned_to_id":23,"start_date":"2016-10-02","description":"","custom_fields":[{"id":1,"name":"Subdivision","value":"NW"},{"id":4,"name":"Milepost","value":"4.9775"},{"id":17,"name":"Train ID","value":"1814-02"},{"id":16,"name":"Locomotive ID","value":"4004"},{"id":130,"name":"Impact","value":""},{"id":150,"name":"Time of Event (Mountain Time)","value":"12:44:31"},{"id":151,"name":"Denver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"%USERPROFILE%\AppData\Local\Temp\OnboardLogs"\RTDC4004\*4004*201610021* | grep -SE "((Enforcement Ac)|(PRM))" -</v>
      </c>
    </row>
    <row r="32" spans="1:29" x14ac:dyDescent="0.25">
      <c r="A32" s="38">
        <v>42645.731053240743</v>
      </c>
      <c r="B32" s="33" t="s">
        <v>397</v>
      </c>
      <c r="C32" s="33" t="s">
        <v>575</v>
      </c>
      <c r="D32" s="33" t="s">
        <v>49</v>
      </c>
      <c r="E32" s="33" t="s">
        <v>56</v>
      </c>
      <c r="F32" s="49">
        <v>150</v>
      </c>
      <c r="G32" s="49">
        <v>271</v>
      </c>
      <c r="H32" s="49">
        <v>56145</v>
      </c>
      <c r="I32" s="49">
        <v>56595</v>
      </c>
      <c r="J32" s="33" t="s">
        <v>57</v>
      </c>
      <c r="K32" s="49">
        <v>57008</v>
      </c>
      <c r="L32" s="146" t="s">
        <v>52</v>
      </c>
      <c r="M32" s="149">
        <f t="shared" si="0"/>
        <v>218.06399999999999</v>
      </c>
      <c r="N32" s="88" t="str">
        <f>VLOOKUP(C32,'Trips&amp;Operators'!$C$1:$E$99999,3,FALSE)</f>
        <v>BROWN</v>
      </c>
      <c r="O32" s="170" t="s">
        <v>86</v>
      </c>
      <c r="P32" s="10"/>
      <c r="Q32" s="33"/>
      <c r="R32" s="104" t="str">
        <f>VLOOKUP(C32,'Train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32" s="107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https://search-rtdc-monitor-bjffxe2xuh6vdkpspy63sjmuny.us-east-1.es.amazonaws.com/_plugin/kibana/#/discover/Steve-Slow-Train-Analysis-(2080s-and-2083s)?_g=(refreshInterval:(display:Off,section:0,value:0),time:(from:'2016-10-02 16:07:37-0600',mode:absolute,to:'2016-10-02 18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32" s="109" t="str">
        <f t="shared" si="1"/>
        <v>"C:\Program Files (x86)\AstroGrep\AstroGrep.exe" /spath="%USERPROFILE%\AppData\Local\Temp\OnboardLogs" /stypes="*4003*201610022*" /stext=" 23:.+((SYSTEM_STATE.+slice.+state.+changed )|(ment ac)|(system.+state.+changed )|(\[timeout)|(PRM\|1\|D)|(kpr)|(kdp)|(\|lc)|(penalty))" /e /r /s</v>
      </c>
      <c r="U32" s="9" t="str">
        <f t="shared" si="2"/>
        <v>4003</v>
      </c>
      <c r="V32" s="38">
        <f t="shared" si="3"/>
        <v>42645.981053240743</v>
      </c>
      <c r="W32" s="52" t="str">
        <f t="shared" si="4"/>
        <v>NW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{"issue":{"subject":"","project_id":79,"tracker_id":40,"status_id":1,"priority_id":2,"assigned_to_id":23,"start_date":"2016-10-02","description":"","custom_fields":[{"id":1,"name":"Subdivision","value":"NW"},{"id":4,"name":"Milepost","value":"5.7008"},{"id":17,"name":"Train ID","value":"1823-02"},{"id":16,"name":"Locomotive ID","value":"4003"},{"id":130,"name":"Impact","value":""},{"id":150,"name":"Time of Event (Mountain Time)","value":"17:32:43"},{"id":151,"name":"Denver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"%USERPROFILE%\AppData\Local\Temp\OnboardLogs"\RTDC4003\*4003*201610022* | grep -SE "((Enforcement Ac)|(PRM))" -</v>
      </c>
    </row>
    <row r="33" spans="1:29" ht="15" customHeight="1" x14ac:dyDescent="0.25">
      <c r="A33" s="38">
        <v>42645.53628472222</v>
      </c>
      <c r="B33" s="33" t="s">
        <v>398</v>
      </c>
      <c r="C33" s="33" t="s">
        <v>558</v>
      </c>
      <c r="D33" s="33" t="s">
        <v>105</v>
      </c>
      <c r="E33" s="33" t="s">
        <v>711</v>
      </c>
      <c r="F33" s="49">
        <v>100</v>
      </c>
      <c r="G33" s="49">
        <v>151</v>
      </c>
      <c r="H33" s="49">
        <v>10596</v>
      </c>
      <c r="I33" s="49">
        <v>10318</v>
      </c>
      <c r="J33" s="33" t="s">
        <v>165</v>
      </c>
      <c r="K33" s="49">
        <v>11000</v>
      </c>
      <c r="L33" s="146" t="s">
        <v>53</v>
      </c>
      <c r="M33" s="149">
        <f t="shared" si="0"/>
        <v>-360.096</v>
      </c>
      <c r="N33" s="88" t="str">
        <f>VLOOKUP(C33,'Trips&amp;Operators'!$C$1:$E$99999,3,FALSE)</f>
        <v>STARKS</v>
      </c>
      <c r="O33" s="170" t="s">
        <v>86</v>
      </c>
      <c r="P33" s="10"/>
      <c r="Q33" s="33"/>
      <c r="R33" s="104" t="str">
        <f>VLOOKUP(C33,'Train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33" s="107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https://search-rtdc-monitor-bjffxe2xuh6vdkpspy63sjmuny.us-east-1.es.amazonaws.com/_plugin/kibana/#/discover/Steve-Slow-Train-Analysis-(2080s-and-2083s)?_g=(refreshInterval:(display:Off,section:0,value:0),time:(from:'2016-10-02 11:36:16-0600',mode:absolute,to:'2016-10-02 13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3" s="109" t="str">
        <f t="shared" si="1"/>
        <v>"C:\Program Files (x86)\AstroGrep\AstroGrep.exe" /spath="%USERPROFILE%\AppData\Local\Temp\OnboardLogs" /stypes="*4004*201610021*" /stext=" 18:.+((SYSTEM_STATE.+slice.+state.+changed )|(ment ac)|(system.+state.+changed )|(\[timeout)|(PRM\|1\|D)|(kpr)|(kdp)|(\|lc)|(penalty))" /e /r /s</v>
      </c>
      <c r="U33" s="9" t="str">
        <f t="shared" si="2"/>
        <v>4004</v>
      </c>
      <c r="V33" s="38">
        <f t="shared" si="3"/>
        <v>42645.78628472222</v>
      </c>
      <c r="W33" s="52" t="str">
        <f t="shared" si="4"/>
        <v>NW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{"issue":{"subject":"","project_id":79,"tracker_id":40,"status_id":1,"priority_id":2,"assigned_to_id":23,"start_date":"2016-10-02","description":"","custom_fields":[{"id":1,"name":"Subdivision","value":"NW"},{"id":4,"name":"Milepost","value":"1.1"},{"id":17,"name":"Train ID","value":"1814-02"},{"id":16,"name":"Locomotive ID","value":"4004"},{"id":130,"name":"Impact","value":""},{"id":150,"name":"Time of Event (Mountain Time)","value":"12:52:15"},{"id":151,"name":"Denver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"%USERPROFILE%\AppData\Local\Temp\OnboardLogs"\RTDC4004\*4004*201610021* | grep -SE "((Enforcement Ac)|(PRM))" -</v>
      </c>
    </row>
    <row r="34" spans="1:29" x14ac:dyDescent="0.25">
      <c r="A34" s="38">
        <v>42645.329502314817</v>
      </c>
      <c r="B34" s="33" t="s">
        <v>398</v>
      </c>
      <c r="C34" s="33" t="s">
        <v>538</v>
      </c>
      <c r="D34" s="33" t="s">
        <v>49</v>
      </c>
      <c r="E34" s="33" t="s">
        <v>50</v>
      </c>
      <c r="F34" s="49">
        <v>0</v>
      </c>
      <c r="G34" s="49">
        <v>72</v>
      </c>
      <c r="H34" s="49">
        <v>808</v>
      </c>
      <c r="I34" s="49">
        <v>743</v>
      </c>
      <c r="J34" s="33" t="s">
        <v>51</v>
      </c>
      <c r="K34" s="49">
        <v>575</v>
      </c>
      <c r="L34" s="146" t="s">
        <v>53</v>
      </c>
      <c r="M34" s="149">
        <f t="shared" si="0"/>
        <v>88.703999999999994</v>
      </c>
      <c r="N34" s="88" t="str">
        <f>VLOOKUP(C34,'Trips&amp;Operators'!$C$1:$E$99999,3,FALSE)</f>
        <v>STARKS</v>
      </c>
      <c r="O34" s="170" t="s">
        <v>86</v>
      </c>
      <c r="P34" s="10"/>
      <c r="Q34" s="33"/>
      <c r="R34" s="104" t="str">
        <f>VLOOKUP(C34,'Train Runs'!$A$13:$AE$10003,31,0)</f>
        <v>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 &amp; aws s3 cp s3://rtdc.mdm.uploadarchive.raw/RTDC4004/ "%USERPROFILE%\AppData\Local\Temp\OnboardLogs"\RTDC4004\2016-10-03 --exclude "*" --recursive --include "*20161003*" &amp; "%USERPROFILE%\Documents\GitHub\mrs-test-scripts\Headless Mode &amp; Sideloading\WalkAndUnGZ.bat" "%USERPROFILE%\AppData\Local\Temp\OnboardLogs"\RTDC4004\2016-10-03</v>
      </c>
      <c r="S34" s="107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https://search-rtdc-monitor-bjffxe2xuh6vdkpspy63sjmuny.us-east-1.es.amazonaws.com/_plugin/kibana/#/discover/Steve-Slow-Train-Analysis-(2080s-and-2083s)?_g=(refreshInterval:(display:Off,section:0,value:0),time:(from:'2016-10-02 06:36:45-0600',mode:absolute,to:'2016-10-02 08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4" s="109" t="str">
        <f t="shared" si="1"/>
        <v>"C:\Program Files (x86)\AstroGrep\AstroGrep.exe" /spath="%USERPROFILE%\AppData\Local\Temp\OnboardLogs" /stypes="*4004*201610021*" /stext=" 13:.+((SYSTEM_STATE.+slice.+state.+changed )|(ment ac)|(system.+state.+changed )|(\[timeout)|(PRM\|1\|D)|(kpr)|(kdp)|(\|lc)|(penalty))" /e /r /s</v>
      </c>
      <c r="U34" s="9" t="str">
        <f t="shared" si="2"/>
        <v>4004</v>
      </c>
      <c r="V34" s="38">
        <f t="shared" si="3"/>
        <v>42645.579502314817</v>
      </c>
      <c r="W34" s="52" t="str">
        <f t="shared" si="4"/>
        <v>NW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{"issue":{"subject":"","project_id":79,"tracker_id":40,"status_id":1,"priority_id":2,"assigned_to_id":23,"start_date":"2016-10-02","description":"","custom_fields":[{"id":1,"name":"Subdivision","value":"NW"},{"id":4,"name":"Milepost","value":"0.0575"},{"id":17,"name":"Train ID","value":"1804-02"},{"id":16,"name":"Locomotive ID","value":"4004"},{"id":130,"name":"Impact","value":""},{"id":150,"name":"Time of Event (Mountain Time)","value":"07:54:29"},{"id":151,"name":"Denver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"%USERPROFILE%\AppData\Local\Temp\OnboardLogs"\RTDC4004\*4004*201610021* | grep -SE "((Enforcement Ac)|(PRM))" -</v>
      </c>
    </row>
    <row r="35" spans="1:29" x14ac:dyDescent="0.25">
      <c r="A35" s="38">
        <v>42645.274004629631</v>
      </c>
      <c r="B35" s="33" t="s">
        <v>397</v>
      </c>
      <c r="C35" s="33" t="s">
        <v>530</v>
      </c>
      <c r="D35" s="33" t="s">
        <v>49</v>
      </c>
      <c r="E35" s="33" t="s">
        <v>50</v>
      </c>
      <c r="F35" s="49">
        <v>0</v>
      </c>
      <c r="G35" s="49">
        <v>84</v>
      </c>
      <c r="H35" s="49">
        <v>58722</v>
      </c>
      <c r="I35" s="49">
        <v>58818</v>
      </c>
      <c r="J35" s="33" t="s">
        <v>51</v>
      </c>
      <c r="K35" s="49">
        <v>59048</v>
      </c>
      <c r="L35" s="146" t="s">
        <v>52</v>
      </c>
      <c r="M35" s="149">
        <f t="shared" si="0"/>
        <v>121.44</v>
      </c>
      <c r="N35" s="88" t="str">
        <f>VLOOKUP(C35,'Trips&amp;Operators'!$C$1:$E$99999,3,FALSE)</f>
        <v>STARKS</v>
      </c>
      <c r="O35" s="170" t="s">
        <v>86</v>
      </c>
      <c r="P35" s="10"/>
      <c r="Q35" s="33"/>
      <c r="R35" s="104" t="str">
        <f>VLOOKUP(C35,'Train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35" s="107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https://search-rtdc-monitor-bjffxe2xuh6vdkpspy63sjmuny.us-east-1.es.amazonaws.com/_plugin/kibana/#/discover/Steve-Slow-Train-Analysis-(2080s-and-2083s)?_g=(refreshInterval:(display:Off,section:0,value:0),time:(from:'2016-10-02 05:15:42-0600',mode:absolute,to:'2016-10-02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35" s="109" t="str">
        <f t="shared" si="1"/>
        <v>"C:\Program Files (x86)\AstroGrep\AstroGrep.exe" /spath="%USERPROFILE%\AppData\Local\Temp\OnboardLogs" /stypes="*4003*201610021*" /stext=" 12:.+((SYSTEM_STATE.+slice.+state.+changed )|(ment ac)|(system.+state.+changed )|(\[timeout)|(PRM\|1\|D)|(kpr)|(kdp)|(\|lc)|(penalty))" /e /r /s</v>
      </c>
      <c r="U35" s="9" t="str">
        <f t="shared" si="2"/>
        <v>4003</v>
      </c>
      <c r="V35" s="38">
        <f t="shared" si="3"/>
        <v>42645.524004629631</v>
      </c>
      <c r="W35" s="52" t="str">
        <f t="shared" si="4"/>
        <v>NW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{"issue":{"subject":"","project_id":79,"tracker_id":40,"status_id":1,"priority_id":2,"assigned_to_id":23,"start_date":"2016-10-02","description":"","custom_fields":[{"id":1,"name":"Subdivision","value":"NW"},{"id":4,"name":"Milepost","value":"5.9048"},{"id":17,"name":"Train ID","value":"1801-02"},{"id":16,"name":"Locomotive ID","value":"4003"},{"id":130,"name":"Impact","value":""},{"id":150,"name":"Time of Event (Mountain Time)","value":"06:34:34"},{"id":151,"name":"Denver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"%USERPROFILE%\AppData\Local\Temp\OnboardLogs"\RTDC4003\*4003*201610021* | grep -SE "((Enforcement Ac)|(PRM))" -</v>
      </c>
    </row>
    <row r="36" spans="1:29" x14ac:dyDescent="0.25">
      <c r="A36" s="38">
        <v>42645.274421296293</v>
      </c>
      <c r="B36" s="33" t="s">
        <v>397</v>
      </c>
      <c r="C36" s="33" t="s">
        <v>530</v>
      </c>
      <c r="D36" s="33" t="s">
        <v>49</v>
      </c>
      <c r="E36" s="33" t="s">
        <v>50</v>
      </c>
      <c r="F36" s="49">
        <v>0</v>
      </c>
      <c r="G36" s="49">
        <v>34</v>
      </c>
      <c r="H36" s="49">
        <v>58841</v>
      </c>
      <c r="I36" s="49">
        <v>58880</v>
      </c>
      <c r="J36" s="33" t="s">
        <v>51</v>
      </c>
      <c r="K36" s="49">
        <v>59048</v>
      </c>
      <c r="L36" s="146" t="s">
        <v>52</v>
      </c>
      <c r="M36" s="149">
        <f t="shared" si="0"/>
        <v>88.703999999999994</v>
      </c>
      <c r="N36" s="88" t="str">
        <f>VLOOKUP(C36,'Trips&amp;Operators'!$C$1:$E$99999,3,FALSE)</f>
        <v>STARKS</v>
      </c>
      <c r="O36" s="170" t="s">
        <v>86</v>
      </c>
      <c r="P36" s="10"/>
      <c r="Q36" s="33"/>
      <c r="R36" s="104" t="str">
        <f>VLOOKUP(C36,'Train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36" s="107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https://search-rtdc-monitor-bjffxe2xuh6vdkpspy63sjmuny.us-east-1.es.amazonaws.com/_plugin/kibana/#/discover/Steve-Slow-Train-Analysis-(2080s-and-2083s)?_g=(refreshInterval:(display:Off,section:0,value:0),time:(from:'2016-10-02 05:15:42-0600',mode:absolute,to:'2016-10-02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36" s="109" t="str">
        <f t="shared" si="1"/>
        <v>"C:\Program Files (x86)\AstroGrep\AstroGrep.exe" /spath="%USERPROFILE%\AppData\Local\Temp\OnboardLogs" /stypes="*4003*201610021*" /stext=" 12:.+((SYSTEM_STATE.+slice.+state.+changed )|(ment ac)|(system.+state.+changed )|(\[timeout)|(PRM\|1\|D)|(kpr)|(kdp)|(\|lc)|(penalty))" /e /r /s</v>
      </c>
      <c r="U36" s="9" t="str">
        <f t="shared" si="2"/>
        <v>4003</v>
      </c>
      <c r="V36" s="38">
        <f t="shared" si="3"/>
        <v>42645.524421296293</v>
      </c>
      <c r="W36" s="52" t="str">
        <f t="shared" si="4"/>
        <v>NW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{"issue":{"subject":"","project_id":79,"tracker_id":40,"status_id":1,"priority_id":2,"assigned_to_id":23,"start_date":"2016-10-02","description":"","custom_fields":[{"id":1,"name":"Subdivision","value":"NW"},{"id":4,"name":"Milepost","value":"5.9048"},{"id":17,"name":"Train ID","value":"1801-02"},{"id":16,"name":"Locomotive ID","value":"4003"},{"id":130,"name":"Impact","value":""},{"id":150,"name":"Time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"%USERPROFILE%\AppData\Local\Temp\OnboardLogs"\RTDC4003\*4003*201610021* | grep -SE "((Enforcement Ac)|(PRM))" -</v>
      </c>
    </row>
    <row r="37" spans="1:29" ht="15" customHeight="1" x14ac:dyDescent="0.25">
      <c r="A37" s="38">
        <v>42645.608113425929</v>
      </c>
      <c r="B37" s="33" t="s">
        <v>397</v>
      </c>
      <c r="C37" s="33" t="s">
        <v>562</v>
      </c>
      <c r="D37" s="33" t="s">
        <v>49</v>
      </c>
      <c r="E37" s="33" t="s">
        <v>50</v>
      </c>
      <c r="F37" s="49">
        <v>0</v>
      </c>
      <c r="G37" s="49">
        <v>13</v>
      </c>
      <c r="H37" s="49">
        <v>59013</v>
      </c>
      <c r="I37" s="49">
        <v>59018</v>
      </c>
      <c r="J37" s="33" t="s">
        <v>51</v>
      </c>
      <c r="K37" s="49">
        <v>59058</v>
      </c>
      <c r="L37" s="146" t="s">
        <v>52</v>
      </c>
      <c r="M37" s="149">
        <f t="shared" si="0"/>
        <v>21.12</v>
      </c>
      <c r="N37" s="88" t="str">
        <f>VLOOKUP(C37,'Trips&amp;Operators'!$C$1:$E$99999,3,FALSE)</f>
        <v>BROWN</v>
      </c>
      <c r="O37" s="170" t="s">
        <v>86</v>
      </c>
      <c r="P37" s="10"/>
      <c r="Q37" s="33"/>
      <c r="R37" s="104" t="str">
        <f>VLOOKUP(C37,'Train Runs'!$A$13:$AE$10003,31,0)</f>
        <v>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 &amp; aws s3 cp s3://rtdc.mdm.uploadarchive.raw/RTDC4003/ "%USERPROFILE%\AppData\Local\Temp\OnboardLogs"\RTDC4003\2016-10-03 --exclude "*" --recursive --include "*20161003*" &amp; "%USERPROFILE%\Documents\GitHub\mrs-test-scripts\Headless Mode &amp; Sideloading\WalkAndUnGZ.bat" "%USERPROFILE%\AppData\Local\Temp\OnboardLogs"\RTDC4003\2016-10-03</v>
      </c>
      <c r="S37" s="107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https://search-rtdc-monitor-bjffxe2xuh6vdkpspy63sjmuny.us-east-1.es.amazonaws.com/_plugin/kibana/#/discover/Steve-Slow-Train-Analysis-(2080s-and-2083s)?_g=(refreshInterval:(display:Off,section:0,value:0),time:(from:'2016-10-02 13:02:01-0600',mode:absolute,to:'2016-10-02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37" s="109" t="str">
        <f t="shared" si="1"/>
        <v>"C:\Program Files (x86)\AstroGrep\AstroGrep.exe" /spath="%USERPROFILE%\AppData\Local\Temp\OnboardLogs" /stypes="*4003*201610022*" /stext=" 20:.+((SYSTEM_STATE.+slice.+state.+changed )|(ment ac)|(system.+state.+changed )|(\[timeout)|(PRM\|1\|D)|(kpr)|(kdp)|(\|lc)|(penalty))" /e /r /s</v>
      </c>
      <c r="U37" s="9" t="str">
        <f t="shared" si="2"/>
        <v>4003</v>
      </c>
      <c r="V37" s="38">
        <f t="shared" si="3"/>
        <v>42645.858113425929</v>
      </c>
      <c r="W37" s="52" t="str">
        <f t="shared" si="4"/>
        <v>NW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{"issue":{"subject":"","project_id":79,"tracker_id":40,"status_id":1,"priority_id":2,"assigned_to_id":23,"start_date":"2016-10-02","description":"","custom_fields":[{"id":1,"name":"Subdivision","value":"NW"},{"id":4,"name":"Milepost","value":"5.9058"},{"id":17,"name":"Train ID","value":"1817-02"},{"id":16,"name":"Locomotive ID","value":"4003"},{"id":130,"name":"Impact","value":""},{"id":150,"name":"Time of Event (Mountain Time)","value":"14:35:41"},{"id":151,"name":"Denver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"%USERPROFILE%\AppData\Local\Temp\OnboardLogs"\RTDC4003\*4003*201610022* | grep -SE "((Enforcement Ac)|(PRM))" -</v>
      </c>
    </row>
    <row r="38" spans="1:29" x14ac:dyDescent="0.25">
      <c r="A38" s="38">
        <v>42645.757557870369</v>
      </c>
      <c r="B38" s="33" t="s">
        <v>250</v>
      </c>
      <c r="C38" s="33" t="s">
        <v>707</v>
      </c>
      <c r="D38" s="33" t="s">
        <v>49</v>
      </c>
      <c r="E38" s="33" t="s">
        <v>50</v>
      </c>
      <c r="F38" s="49">
        <v>0</v>
      </c>
      <c r="G38" s="49">
        <v>11</v>
      </c>
      <c r="H38" s="49">
        <v>843</v>
      </c>
      <c r="I38" s="49">
        <v>0</v>
      </c>
      <c r="J38" s="33" t="s">
        <v>51</v>
      </c>
      <c r="K38" s="49">
        <v>839</v>
      </c>
      <c r="L38" s="146" t="s">
        <v>53</v>
      </c>
      <c r="M38" s="149">
        <f t="shared" si="0"/>
        <v>-442.99200000000002</v>
      </c>
      <c r="N38" s="88" t="str">
        <f>VLOOKUP(C38,'Trips&amp;Operators'!$C$1:$E$99999,3,FALSE)</f>
        <v>ARVIDSON</v>
      </c>
      <c r="O38" s="170" t="s">
        <v>86</v>
      </c>
      <c r="P38" s="10"/>
      <c r="Q38" s="33"/>
      <c r="R38" s="104" t="str">
        <f>VLOOKUP(C38,'Train Runs'!$A$13:$AE$10003,31,0)</f>
        <v>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 &amp; aws s3 cp s3://rtdc.mdm.uploadarchive.raw/RTDC4045/ "%USERPROFILE%\AppData\Local\Temp\OnboardLogs"\RTDC4045\2016-10-03 --exclude "*" --recursive --include "*20161003*" &amp; "%USERPROFILE%\Documents\GitHub\mrs-test-scripts\Headless Mode &amp; Sideloading\WalkAndUnGZ.bat" "%USERPROFILE%\AppData\Local\Temp\OnboardLogs"\RTDC4045\2016-10-03</v>
      </c>
      <c r="S38" s="107" t="str">
        <f>VLOOKUP(C38,'Train Runs'!$A$13:$AE$10003,22,0)</f>
        <v>https://search-rtdc-monitor-bjffxe2xuh6vdkpspy63sjmuny.us-east-1.es.amazonaws.com/_plugin/kibana/#/discover/Steve-Slow-Train-Analysis-(2080s-and-2083s)?_g=(refreshInterval:(display:Off,section:0,value:0),time:(from:'2016-10-02 16:40:31-0600',mode:absolute,to:'2016-10-02 19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09" t="str">
        <f t="shared" si="1"/>
        <v>"C:\Program Files (x86)\AstroGrep\AstroGrep.exe" /spath="%USERPROFILE%\AppData\Local\Temp\OnboardLogs" /stypes="*4045*201610030*" /stext=" 00:.+((SYSTEM_STATE.+slice.+state.+changed )|(ment ac)|(system.+state.+changed )|(\[timeout)|(PRM\|1\|D)|(kpr)|(kdp)|(\|lc)|(penalty))" /e /r /s</v>
      </c>
      <c r="U38" s="9" t="str">
        <f t="shared" si="2"/>
        <v>4045</v>
      </c>
      <c r="V38" s="38">
        <f t="shared" si="3"/>
        <v>42646.007557870369</v>
      </c>
      <c r="W38" s="52" t="str">
        <f t="shared" si="4"/>
        <v>Other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{"issue":{"subject":"","project_id":79,"tracker_id":40,"status_id":1,"priority_id":2,"assigned_to_id":23,"start_date":"2016-10-02","description":"","custom_fields":[{"id":1,"name":"Subdivision","value":"Other"},{"id":4,"name":"Milepost","value":"0.0839"},{"id":17,"name":"Train ID","value":"66-02"},{"id":16,"name":"Locomotive ID","value":"4045"},{"id":130,"name":"Impact","value":""},{"id":150,"name":"Time of Event (Mountain Time)","value":"18:10:53"},{"id":151,"name":"Denver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"%USERPROFILE%\AppData\Local\Temp\OnboardLogs"\RTDC4045\*4045*201610030* | grep -SE "((Enforcement Ac)|(PRM))" -</v>
      </c>
    </row>
    <row r="39" spans="1:29" x14ac:dyDescent="0.25">
      <c r="A39" s="38"/>
      <c r="B39" s="33"/>
      <c r="C39" s="33"/>
      <c r="D39" s="33"/>
      <c r="E39" s="33"/>
      <c r="F39" s="49"/>
      <c r="G39" s="49"/>
      <c r="H39" s="49"/>
      <c r="I39" s="49"/>
      <c r="J39" s="33"/>
      <c r="K39" s="49"/>
      <c r="L39" s="146"/>
      <c r="M39" s="149"/>
      <c r="N39" s="88"/>
      <c r="O39" s="170"/>
      <c r="P39" s="10"/>
      <c r="Q39" s="33"/>
      <c r="R39" s="104"/>
      <c r="S39" s="107"/>
      <c r="T39" s="109"/>
      <c r="U39" s="9"/>
      <c r="V39" s="38"/>
      <c r="W39" s="52"/>
      <c r="X39" s="52"/>
      <c r="Y39" s="130"/>
      <c r="Z39" s="55"/>
      <c r="AA39" s="55"/>
      <c r="AB39" s="23"/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46"/>
      <c r="M40" s="149"/>
      <c r="N40" s="88"/>
      <c r="O40" s="170"/>
      <c r="P40" s="10"/>
      <c r="Q40" s="33"/>
      <c r="R40" s="104"/>
      <c r="S40" s="107"/>
      <c r="T40" s="109"/>
      <c r="U40" s="9"/>
      <c r="V40" s="38"/>
      <c r="W40" s="52"/>
      <c r="X40" s="52"/>
      <c r="Y40" s="130"/>
      <c r="Z40" s="55"/>
      <c r="AA40" s="55"/>
      <c r="AB40" s="23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6"/>
      <c r="M41" s="149"/>
      <c r="N41" s="88"/>
      <c r="O41" s="170"/>
      <c r="P41" s="10"/>
      <c r="Q41" s="33"/>
      <c r="R41" s="104"/>
      <c r="S41" s="107"/>
      <c r="T41" s="109"/>
      <c r="U41" s="9"/>
      <c r="V41" s="38"/>
      <c r="W41" s="52"/>
      <c r="X41" s="52"/>
      <c r="Y41" s="130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6"/>
      <c r="M42" s="149"/>
      <c r="N42" s="88"/>
      <c r="O42" s="170"/>
      <c r="P42" s="10"/>
      <c r="Q42" s="33"/>
      <c r="R42" s="104"/>
      <c r="S42" s="107"/>
      <c r="T42" s="109"/>
      <c r="U42" s="9"/>
      <c r="V42" s="38"/>
      <c r="W42" s="52"/>
      <c r="X42" s="52"/>
      <c r="Y42" s="130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6"/>
      <c r="M43" s="149"/>
      <c r="N43" s="88"/>
      <c r="O43" s="170"/>
      <c r="P43" s="10"/>
      <c r="Q43" s="33"/>
      <c r="R43" s="104"/>
      <c r="S43" s="107"/>
      <c r="T43" s="109"/>
      <c r="U43" s="9"/>
      <c r="V43" s="38"/>
      <c r="W43" s="52"/>
      <c r="X43" s="52"/>
      <c r="Y43" s="130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6"/>
      <c r="M44" s="149"/>
      <c r="N44" s="88"/>
      <c r="O44" s="170"/>
      <c r="P44" s="10"/>
      <c r="Q44" s="33"/>
      <c r="R44" s="104"/>
      <c r="S44" s="107"/>
      <c r="T44" s="109"/>
      <c r="U44" s="9"/>
      <c r="V44" s="38"/>
      <c r="W44" s="52"/>
      <c r="X44" s="52"/>
      <c r="Y44" s="130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6"/>
      <c r="M45" s="149"/>
      <c r="N45" s="88"/>
      <c r="O45" s="170"/>
      <c r="P45" s="10"/>
      <c r="Q45" s="33"/>
      <c r="R45" s="104"/>
      <c r="S45" s="107"/>
      <c r="T45" s="109"/>
      <c r="U45" s="9"/>
      <c r="V45" s="38"/>
      <c r="W45" s="52"/>
      <c r="X45" s="52"/>
      <c r="Y45" s="130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6"/>
      <c r="M46" s="149"/>
      <c r="N46" s="88"/>
      <c r="O46" s="170"/>
      <c r="P46" s="10"/>
      <c r="Q46" s="33"/>
      <c r="R46" s="104"/>
      <c r="S46" s="107"/>
      <c r="T46" s="109"/>
      <c r="U46" s="9"/>
      <c r="V46" s="38"/>
      <c r="W46" s="52"/>
      <c r="X46" s="52"/>
      <c r="Y46" s="130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6"/>
      <c r="M47" s="149"/>
      <c r="N47" s="88"/>
      <c r="O47" s="170"/>
      <c r="P47" s="10"/>
      <c r="Q47" s="33"/>
      <c r="R47" s="104"/>
      <c r="S47" s="107"/>
      <c r="T47" s="109"/>
      <c r="U47" s="9"/>
      <c r="V47" s="38"/>
      <c r="W47" s="52"/>
      <c r="X47" s="52"/>
      <c r="Y47" s="130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B74" s="23"/>
      <c r="C74" s="23"/>
      <c r="D74" s="23"/>
      <c r="E74" s="23"/>
      <c r="J74" s="23"/>
    </row>
  </sheetData>
  <autoFilter ref="A6:AC6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hyperlinks>
    <hyperlink ref="Z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AB7:AB73</xm:sqref>
        </x14:dataValidation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zoomScale="85" zoomScaleNormal="85" workbookViewId="0">
      <selection activeCell="P13" sqref="P1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1" t="str">
        <f>"Trips that did not appear in PTC Data "&amp;TEXT(Variables!$A$2,"YYYY-mm-dd")</f>
        <v>Trips that did not appear in PTC Data 2016-10-02</v>
      </c>
      <c r="C1" s="181"/>
      <c r="D1" s="181"/>
      <c r="E1" s="181"/>
      <c r="F1" s="181"/>
    </row>
    <row r="2" spans="1:11" s="26" customFormat="1" ht="45" x14ac:dyDescent="0.25">
      <c r="A2" s="166" t="s">
        <v>167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-02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-02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-02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-02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-02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7" s="23"/>
      <c r="K7" s="23"/>
    </row>
    <row r="8" spans="1:11" x14ac:dyDescent="0.25">
      <c r="C8" s="110"/>
      <c r="D8" s="110"/>
      <c r="I8" s="23"/>
      <c r="J8" s="23"/>
      <c r="K8" s="23"/>
    </row>
    <row r="9" spans="1:11" x14ac:dyDescent="0.25">
      <c r="C9" s="110"/>
      <c r="D9" s="110"/>
      <c r="I9" s="23"/>
      <c r="J9" s="23"/>
      <c r="K9" s="23"/>
    </row>
    <row r="10" spans="1:11" x14ac:dyDescent="0.25">
      <c r="C10" s="110"/>
      <c r="D10" s="110"/>
      <c r="I10" s="23"/>
      <c r="J10" s="23"/>
      <c r="K10" s="23"/>
    </row>
    <row r="11" spans="1:11" x14ac:dyDescent="0.25">
      <c r="C11" s="110"/>
      <c r="D11" s="110"/>
      <c r="I11" s="23"/>
      <c r="J11" s="23"/>
      <c r="K11" s="23"/>
    </row>
    <row r="12" spans="1:11" x14ac:dyDescent="0.25">
      <c r="C12" s="110"/>
      <c r="D12" s="110"/>
      <c r="I12" s="23"/>
      <c r="J12" s="23"/>
      <c r="K12" s="23"/>
    </row>
    <row r="13" spans="1:11" x14ac:dyDescent="0.25">
      <c r="C13" s="110"/>
      <c r="D13" s="110"/>
      <c r="I13" s="23"/>
      <c r="J13" s="23"/>
      <c r="K13" s="23"/>
    </row>
    <row r="14" spans="1:11" x14ac:dyDescent="0.25">
      <c r="C14" s="110"/>
      <c r="D14" s="110"/>
      <c r="I14" s="23"/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I25" s="23"/>
      <c r="J25" s="23"/>
      <c r="K2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0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229</v>
      </c>
      <c r="B1" s="23" t="s">
        <v>230</v>
      </c>
      <c r="C1" s="23" t="s">
        <v>0</v>
      </c>
      <c r="D1" s="23" t="s">
        <v>231</v>
      </c>
      <c r="E1" s="23" t="s">
        <v>232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42645.034953703704</v>
      </c>
      <c r="B2" s="23" t="s">
        <v>234</v>
      </c>
      <c r="C2" s="23" t="s">
        <v>386</v>
      </c>
      <c r="D2" s="23">
        <v>1300000</v>
      </c>
      <c r="E2" s="23" t="s">
        <v>121</v>
      </c>
      <c r="F2" s="23" t="str">
        <f t="shared" ref="F2:F65" si="0">B2</f>
        <v>rtdc.l.rtdc.4029:itc</v>
      </c>
      <c r="G2" s="8">
        <f t="shared" ref="G2:G65" si="1">A2</f>
        <v>42645.034953703704</v>
      </c>
    </row>
    <row r="3" spans="1:7" x14ac:dyDescent="0.25">
      <c r="A3" s="8">
        <v>42645.037175925929</v>
      </c>
      <c r="B3" s="23" t="s">
        <v>239</v>
      </c>
      <c r="C3" s="23" t="s">
        <v>383</v>
      </c>
      <c r="D3" s="23">
        <v>1800000</v>
      </c>
      <c r="E3" s="23" t="s">
        <v>351</v>
      </c>
      <c r="F3" s="23" t="str">
        <f t="shared" si="0"/>
        <v>rtdc.l.rtdc.4017:itc</v>
      </c>
      <c r="G3" s="8">
        <f t="shared" si="1"/>
        <v>42645.037175925929</v>
      </c>
    </row>
    <row r="4" spans="1:7" x14ac:dyDescent="0.25">
      <c r="A4" s="8">
        <v>42645.047256944446</v>
      </c>
      <c r="B4" s="23" t="s">
        <v>280</v>
      </c>
      <c r="C4" s="23" t="s">
        <v>392</v>
      </c>
      <c r="D4" s="23">
        <v>1810000</v>
      </c>
      <c r="E4" s="23" t="s">
        <v>281</v>
      </c>
      <c r="F4" s="23" t="str">
        <f t="shared" si="0"/>
        <v>rtdc.l.rtdc.4011:itc</v>
      </c>
      <c r="G4" s="8">
        <f t="shared" si="1"/>
        <v>42645.047256944446</v>
      </c>
    </row>
    <row r="5" spans="1:7" x14ac:dyDescent="0.25">
      <c r="A5" s="8">
        <v>42645.04896990741</v>
      </c>
      <c r="B5" s="23" t="s">
        <v>280</v>
      </c>
      <c r="C5" s="23" t="s">
        <v>392</v>
      </c>
      <c r="D5" s="23">
        <v>1810000</v>
      </c>
      <c r="E5" s="23" t="s">
        <v>281</v>
      </c>
      <c r="F5" s="23" t="str">
        <f t="shared" si="0"/>
        <v>rtdc.l.rtdc.4011:itc</v>
      </c>
      <c r="G5" s="8">
        <f t="shared" si="1"/>
        <v>42645.04896990741</v>
      </c>
    </row>
    <row r="6" spans="1:7" x14ac:dyDescent="0.25">
      <c r="A6" s="8">
        <v>42645.053159722222</v>
      </c>
      <c r="B6" s="23" t="s">
        <v>339</v>
      </c>
      <c r="C6" s="23" t="s">
        <v>385</v>
      </c>
      <c r="D6" s="23">
        <v>1480000</v>
      </c>
      <c r="E6" s="23" t="s">
        <v>267</v>
      </c>
      <c r="F6" s="23" t="str">
        <f t="shared" si="0"/>
        <v>rtdc.l.rtdc.4010:itc</v>
      </c>
      <c r="G6" s="8">
        <f t="shared" si="1"/>
        <v>42645.053159722222</v>
      </c>
    </row>
    <row r="7" spans="1:7" x14ac:dyDescent="0.25">
      <c r="A7" s="8">
        <v>42645.072129629632</v>
      </c>
      <c r="B7" s="23" t="s">
        <v>240</v>
      </c>
      <c r="C7" s="23" t="s">
        <v>393</v>
      </c>
      <c r="D7" s="23">
        <v>1800000</v>
      </c>
      <c r="E7" s="23" t="s">
        <v>351</v>
      </c>
      <c r="F7" s="23" t="str">
        <f t="shared" si="0"/>
        <v>rtdc.l.rtdc.4018:itc</v>
      </c>
      <c r="G7" s="8">
        <f t="shared" si="1"/>
        <v>42645.072129629632</v>
      </c>
    </row>
    <row r="8" spans="1:7" x14ac:dyDescent="0.25">
      <c r="A8" s="8">
        <v>42645.078692129631</v>
      </c>
      <c r="B8" s="23" t="s">
        <v>399</v>
      </c>
      <c r="C8" s="23" t="s">
        <v>388</v>
      </c>
      <c r="D8" s="23">
        <v>1300000</v>
      </c>
      <c r="E8" s="23" t="s">
        <v>121</v>
      </c>
      <c r="F8" s="23" t="str">
        <f t="shared" si="0"/>
        <v>rtdc.l.rtdc.4030:itc</v>
      </c>
      <c r="G8" s="8">
        <f t="shared" si="1"/>
        <v>42645.078692129631</v>
      </c>
    </row>
    <row r="9" spans="1:7" ht="15.75" thickBot="1" x14ac:dyDescent="0.3">
      <c r="A9" s="27">
        <v>42645.090115740742</v>
      </c>
      <c r="B9" s="23" t="s">
        <v>349</v>
      </c>
      <c r="C9" s="23" t="s">
        <v>394</v>
      </c>
      <c r="D9" s="23">
        <v>1480000</v>
      </c>
      <c r="E9" s="23" t="s">
        <v>267</v>
      </c>
      <c r="F9" s="23" t="str">
        <f t="shared" si="0"/>
        <v>rtdc.l.rtdc.4009:itc</v>
      </c>
      <c r="G9" s="8">
        <f t="shared" si="1"/>
        <v>42645.090115740742</v>
      </c>
    </row>
    <row r="10" spans="1:7" x14ac:dyDescent="0.25">
      <c r="A10" s="8">
        <v>42645.109178240738</v>
      </c>
      <c r="B10" s="23" t="s">
        <v>234</v>
      </c>
      <c r="C10" s="23" t="s">
        <v>396</v>
      </c>
      <c r="D10" s="23">
        <v>1300000</v>
      </c>
      <c r="E10" s="23" t="s">
        <v>121</v>
      </c>
      <c r="F10" s="23" t="str">
        <f t="shared" si="0"/>
        <v>rtdc.l.rtdc.4029:itc</v>
      </c>
      <c r="G10" s="8">
        <f t="shared" si="1"/>
        <v>42645.109178240738</v>
      </c>
    </row>
    <row r="11" spans="1:7" x14ac:dyDescent="0.25">
      <c r="A11" s="8">
        <v>42645.130752314813</v>
      </c>
      <c r="B11" s="23" t="s">
        <v>344</v>
      </c>
      <c r="C11" s="23" t="s">
        <v>404</v>
      </c>
      <c r="D11" s="23">
        <v>2030000</v>
      </c>
      <c r="E11" s="23" t="s">
        <v>401</v>
      </c>
      <c r="F11" s="23" t="str">
        <f t="shared" si="0"/>
        <v>rtdc.l.rtdc.4031:itc</v>
      </c>
      <c r="G11" s="8">
        <f t="shared" si="1"/>
        <v>42645.130752314813</v>
      </c>
    </row>
    <row r="12" spans="1:7" x14ac:dyDescent="0.25">
      <c r="A12" s="8">
        <v>42645.152430555558</v>
      </c>
      <c r="B12" s="23" t="s">
        <v>174</v>
      </c>
      <c r="C12" s="23" t="s">
        <v>408</v>
      </c>
      <c r="D12" s="23">
        <v>1260000</v>
      </c>
      <c r="E12" s="23" t="s">
        <v>400</v>
      </c>
      <c r="F12" s="23" t="str">
        <f t="shared" si="0"/>
        <v>rtdc.l.rtdc.4042:itc</v>
      </c>
      <c r="G12" s="8">
        <f t="shared" si="1"/>
        <v>42645.152430555558</v>
      </c>
    </row>
    <row r="13" spans="1:7" x14ac:dyDescent="0.25">
      <c r="A13" s="8">
        <v>42645.168726851851</v>
      </c>
      <c r="B13" s="23" t="s">
        <v>161</v>
      </c>
      <c r="C13" s="23" t="s">
        <v>406</v>
      </c>
      <c r="D13" s="23">
        <v>2030000</v>
      </c>
      <c r="E13" s="23" t="s">
        <v>401</v>
      </c>
      <c r="F13" s="23" t="str">
        <f t="shared" si="0"/>
        <v>rtdc.l.rtdc.4019:itc</v>
      </c>
      <c r="G13" s="8">
        <f t="shared" si="1"/>
        <v>42645.168726851851</v>
      </c>
    </row>
    <row r="14" spans="1:7" x14ac:dyDescent="0.25">
      <c r="A14" s="8">
        <v>42645.173321759263</v>
      </c>
      <c r="B14" s="23" t="s">
        <v>345</v>
      </c>
      <c r="C14" s="23" t="s">
        <v>412</v>
      </c>
      <c r="D14" s="23">
        <v>2010000</v>
      </c>
      <c r="E14" s="23" t="s">
        <v>264</v>
      </c>
      <c r="F14" s="23" t="str">
        <f t="shared" si="0"/>
        <v>rtdc.l.rtdc.4053:itc</v>
      </c>
      <c r="G14" s="8">
        <f t="shared" si="1"/>
        <v>42645.173321759263</v>
      </c>
    </row>
    <row r="15" spans="1:7" x14ac:dyDescent="0.25">
      <c r="A15" s="8">
        <v>42645.174363425926</v>
      </c>
      <c r="B15" s="23" t="s">
        <v>345</v>
      </c>
      <c r="C15" s="23" t="s">
        <v>412</v>
      </c>
      <c r="D15" s="23">
        <v>2010000</v>
      </c>
      <c r="E15" s="23" t="s">
        <v>264</v>
      </c>
      <c r="F15" s="23" t="str">
        <f t="shared" si="0"/>
        <v>rtdc.l.rtdc.4053:itc</v>
      </c>
      <c r="G15" s="8">
        <f t="shared" si="1"/>
        <v>42645.174363425926</v>
      </c>
    </row>
    <row r="16" spans="1:7" x14ac:dyDescent="0.25">
      <c r="A16" s="8">
        <v>42645.184965277775</v>
      </c>
      <c r="B16" s="23" t="s">
        <v>227</v>
      </c>
      <c r="C16" s="23" t="s">
        <v>416</v>
      </c>
      <c r="D16" s="23">
        <v>1990000</v>
      </c>
      <c r="E16" s="23" t="s">
        <v>714</v>
      </c>
      <c r="F16" s="23" t="str">
        <f t="shared" si="0"/>
        <v>rtdc.l.rtdc.4014:itc</v>
      </c>
      <c r="G16" s="8">
        <f t="shared" si="1"/>
        <v>42645.184965277775</v>
      </c>
    </row>
    <row r="17" spans="1:7" x14ac:dyDescent="0.25">
      <c r="A17" s="8">
        <v>42645.191192129627</v>
      </c>
      <c r="B17" s="23" t="s">
        <v>340</v>
      </c>
      <c r="C17" s="23" t="s">
        <v>410</v>
      </c>
      <c r="D17" s="23">
        <v>1260000</v>
      </c>
      <c r="E17" s="23" t="s">
        <v>400</v>
      </c>
      <c r="F17" s="23" t="str">
        <f t="shared" si="0"/>
        <v>rtdc.l.rtdc.4015:itc</v>
      </c>
      <c r="G17" s="8">
        <f t="shared" si="1"/>
        <v>42645.191192129627</v>
      </c>
    </row>
    <row r="18" spans="1:7" x14ac:dyDescent="0.25">
      <c r="A18" s="8">
        <v>42645.196909722225</v>
      </c>
      <c r="B18" s="23" t="s">
        <v>710</v>
      </c>
      <c r="C18" s="23" t="s">
        <v>420</v>
      </c>
      <c r="D18" s="23">
        <v>1310000</v>
      </c>
      <c r="E18" s="23" t="s">
        <v>278</v>
      </c>
      <c r="F18" s="23" t="str">
        <f t="shared" si="0"/>
        <v>rtdc.l.rtdc.4007:itc</v>
      </c>
      <c r="G18" s="8">
        <f t="shared" si="1"/>
        <v>42645.196909722225</v>
      </c>
    </row>
    <row r="19" spans="1:7" x14ac:dyDescent="0.25">
      <c r="A19" s="8">
        <v>42645.204756944448</v>
      </c>
      <c r="B19" s="23" t="s">
        <v>344</v>
      </c>
      <c r="C19" s="23" t="s">
        <v>423</v>
      </c>
      <c r="D19" s="23">
        <v>1760000</v>
      </c>
      <c r="E19" s="23" t="s">
        <v>715</v>
      </c>
      <c r="F19" s="23" t="str">
        <f t="shared" si="0"/>
        <v>rtdc.l.rtdc.4031:itc</v>
      </c>
      <c r="G19" s="8">
        <f t="shared" si="1"/>
        <v>42645.204756944448</v>
      </c>
    </row>
    <row r="20" spans="1:7" x14ac:dyDescent="0.25">
      <c r="A20" s="8">
        <v>42645.206469907411</v>
      </c>
      <c r="B20" s="23" t="s">
        <v>162</v>
      </c>
      <c r="C20" s="23" t="s">
        <v>427</v>
      </c>
      <c r="D20" s="23">
        <v>2030000</v>
      </c>
      <c r="E20" s="23" t="s">
        <v>401</v>
      </c>
      <c r="F20" s="23" t="str">
        <f t="shared" si="0"/>
        <v>rtdc.l.rtdc.4020:itc</v>
      </c>
      <c r="G20" s="8">
        <f t="shared" si="1"/>
        <v>42645.206469907411</v>
      </c>
    </row>
    <row r="21" spans="1:7" x14ac:dyDescent="0.25">
      <c r="A21" s="8">
        <v>42645.208460648151</v>
      </c>
      <c r="B21" s="23" t="s">
        <v>169</v>
      </c>
      <c r="C21" s="23" t="s">
        <v>414</v>
      </c>
      <c r="D21" s="23">
        <v>2010000</v>
      </c>
      <c r="E21" s="23" t="s">
        <v>264</v>
      </c>
      <c r="F21" s="23" t="str">
        <f t="shared" si="0"/>
        <v>rtdc.l.rtdc.4026:itc</v>
      </c>
      <c r="G21" s="8">
        <f t="shared" si="1"/>
        <v>42645.208460648151</v>
      </c>
    </row>
    <row r="22" spans="1:7" x14ac:dyDescent="0.25">
      <c r="A22" s="29">
        <v>42645.225694444445</v>
      </c>
      <c r="B22" s="23" t="s">
        <v>174</v>
      </c>
      <c r="C22" s="23" t="s">
        <v>430</v>
      </c>
      <c r="D22" s="23">
        <v>1830000</v>
      </c>
      <c r="E22" s="23" t="s">
        <v>279</v>
      </c>
      <c r="F22" s="23" t="str">
        <f t="shared" si="0"/>
        <v>rtdc.l.rtdc.4042:itc</v>
      </c>
      <c r="G22" s="8">
        <f t="shared" si="1"/>
        <v>42645.225694444445</v>
      </c>
    </row>
    <row r="23" spans="1:7" x14ac:dyDescent="0.25">
      <c r="A23" s="8">
        <v>42645.226018518515</v>
      </c>
      <c r="B23" s="23" t="s">
        <v>251</v>
      </c>
      <c r="C23" s="23" t="s">
        <v>418</v>
      </c>
      <c r="D23" s="23">
        <v>1990000</v>
      </c>
      <c r="E23" s="23" t="s">
        <v>714</v>
      </c>
      <c r="F23" s="23" t="str">
        <f t="shared" si="0"/>
        <v>rtdc.l.rtdc.4013:itc</v>
      </c>
      <c r="G23" s="8">
        <f t="shared" si="1"/>
        <v>42645.226018518515</v>
      </c>
    </row>
    <row r="24" spans="1:7" x14ac:dyDescent="0.25">
      <c r="A24" s="8">
        <v>42645.226435185185</v>
      </c>
      <c r="B24" s="23" t="s">
        <v>174</v>
      </c>
      <c r="C24" s="23" t="s">
        <v>430</v>
      </c>
      <c r="D24" s="23">
        <v>1830000</v>
      </c>
      <c r="E24" s="23" t="s">
        <v>279</v>
      </c>
      <c r="F24" s="23" t="str">
        <f t="shared" si="0"/>
        <v>rtdc.l.rtdc.4042:itc</v>
      </c>
      <c r="G24" s="8">
        <f t="shared" si="1"/>
        <v>42645.226435185185</v>
      </c>
    </row>
    <row r="25" spans="1:7" x14ac:dyDescent="0.25">
      <c r="A25" s="8">
        <v>42645.234780092593</v>
      </c>
      <c r="B25" s="23" t="s">
        <v>341</v>
      </c>
      <c r="C25" s="23" t="s">
        <v>435</v>
      </c>
      <c r="D25" s="23">
        <v>1260000</v>
      </c>
      <c r="E25" s="23" t="s">
        <v>400</v>
      </c>
      <c r="F25" s="23" t="str">
        <f t="shared" si="0"/>
        <v>rtdc.l.rtdc.4016:itc</v>
      </c>
      <c r="G25" s="8">
        <f t="shared" si="1"/>
        <v>42645.234780092593</v>
      </c>
    </row>
    <row r="26" spans="1:7" x14ac:dyDescent="0.25">
      <c r="A26" s="8">
        <v>42645.235312500001</v>
      </c>
      <c r="B26" s="23" t="s">
        <v>716</v>
      </c>
      <c r="C26" s="23" t="s">
        <v>422</v>
      </c>
      <c r="D26" s="23">
        <v>1310000</v>
      </c>
      <c r="E26" s="23" t="s">
        <v>278</v>
      </c>
      <c r="F26" s="23" t="str">
        <f t="shared" si="0"/>
        <v>rtdc.l.rtdc.4008:itc</v>
      </c>
      <c r="G26" s="8">
        <f t="shared" si="1"/>
        <v>42645.235312500001</v>
      </c>
    </row>
    <row r="27" spans="1:7" x14ac:dyDescent="0.25">
      <c r="A27" s="8">
        <v>42645.236793981479</v>
      </c>
      <c r="B27" s="23" t="s">
        <v>398</v>
      </c>
      <c r="C27" s="23" t="s">
        <v>527</v>
      </c>
      <c r="D27" s="23">
        <v>1110000</v>
      </c>
      <c r="E27" s="23" t="s">
        <v>717</v>
      </c>
      <c r="F27" s="23" t="str">
        <f t="shared" si="0"/>
        <v>rtdc.l.rtdc.4004:itc</v>
      </c>
      <c r="G27" s="8">
        <f t="shared" si="1"/>
        <v>42645.236793981479</v>
      </c>
    </row>
    <row r="28" spans="1:7" x14ac:dyDescent="0.25">
      <c r="A28" s="8">
        <v>42645.237592592595</v>
      </c>
      <c r="B28" s="23" t="s">
        <v>398</v>
      </c>
      <c r="C28" s="23" t="s">
        <v>527</v>
      </c>
      <c r="D28" s="23">
        <v>1110000</v>
      </c>
      <c r="E28" s="23" t="s">
        <v>717</v>
      </c>
      <c r="F28" s="23" t="str">
        <f t="shared" si="0"/>
        <v>rtdc.l.rtdc.4004:itc</v>
      </c>
      <c r="G28" s="8">
        <f t="shared" si="1"/>
        <v>42645.237592592595</v>
      </c>
    </row>
    <row r="29" spans="1:7" x14ac:dyDescent="0.25">
      <c r="A29" s="8">
        <v>42645.242800925924</v>
      </c>
      <c r="B29" s="23" t="s">
        <v>343</v>
      </c>
      <c r="C29" s="23" t="s">
        <v>425</v>
      </c>
      <c r="D29" s="23">
        <v>1760000</v>
      </c>
      <c r="E29" s="23" t="s">
        <v>715</v>
      </c>
      <c r="F29" s="23" t="str">
        <f t="shared" si="0"/>
        <v>rtdc.l.rtdc.4032:itc</v>
      </c>
      <c r="G29" s="8">
        <f t="shared" si="1"/>
        <v>42645.242800925924</v>
      </c>
    </row>
    <row r="30" spans="1:7" x14ac:dyDescent="0.25">
      <c r="A30" s="8">
        <v>42645.247303240743</v>
      </c>
      <c r="B30" s="23" t="s">
        <v>345</v>
      </c>
      <c r="C30" s="23" t="s">
        <v>437</v>
      </c>
      <c r="D30" s="23">
        <v>2010000</v>
      </c>
      <c r="E30" s="23" t="s">
        <v>264</v>
      </c>
      <c r="F30" s="23" t="str">
        <f t="shared" si="0"/>
        <v>rtdc.l.rtdc.4053:itc</v>
      </c>
      <c r="G30" s="8">
        <f t="shared" si="1"/>
        <v>42645.247303240743</v>
      </c>
    </row>
    <row r="31" spans="1:7" x14ac:dyDescent="0.25">
      <c r="A31" s="8">
        <v>42645.250057870369</v>
      </c>
      <c r="B31" s="23" t="s">
        <v>161</v>
      </c>
      <c r="C31" s="23" t="s">
        <v>429</v>
      </c>
      <c r="D31" s="23">
        <v>2030000</v>
      </c>
      <c r="E31" s="23" t="s">
        <v>401</v>
      </c>
      <c r="F31" s="23" t="str">
        <f t="shared" si="0"/>
        <v>rtdc.l.rtdc.4019:itc</v>
      </c>
      <c r="G31" s="8">
        <f t="shared" si="1"/>
        <v>42645.250057870369</v>
      </c>
    </row>
    <row r="32" spans="1:7" x14ac:dyDescent="0.25">
      <c r="A32" s="8">
        <v>42645.254999999997</v>
      </c>
      <c r="B32" s="23" t="s">
        <v>173</v>
      </c>
      <c r="C32" s="23" t="s">
        <v>433</v>
      </c>
      <c r="D32" s="23">
        <v>1830000</v>
      </c>
      <c r="E32" s="23" t="s">
        <v>279</v>
      </c>
      <c r="F32" s="23" t="str">
        <f t="shared" si="0"/>
        <v>rtdc.l.rtdc.4041:itc</v>
      </c>
      <c r="G32" s="8">
        <f t="shared" si="1"/>
        <v>42645.254999999997</v>
      </c>
    </row>
    <row r="33" spans="1:7" x14ac:dyDescent="0.25">
      <c r="A33" s="8">
        <v>42645.256701388891</v>
      </c>
      <c r="B33" s="23" t="s">
        <v>227</v>
      </c>
      <c r="C33" s="23" t="s">
        <v>440</v>
      </c>
      <c r="D33" s="23">
        <v>1990000</v>
      </c>
      <c r="E33" s="23" t="s">
        <v>714</v>
      </c>
      <c r="F33" s="23" t="str">
        <f t="shared" si="0"/>
        <v>rtdc.l.rtdc.4014:itc</v>
      </c>
      <c r="G33" s="8">
        <f t="shared" si="1"/>
        <v>42645.256701388891</v>
      </c>
    </row>
    <row r="34" spans="1:7" x14ac:dyDescent="0.25">
      <c r="A34" s="8">
        <v>42645.261435185188</v>
      </c>
      <c r="B34" s="23" t="s">
        <v>397</v>
      </c>
      <c r="C34" s="23" t="s">
        <v>530</v>
      </c>
      <c r="D34" s="23">
        <v>1110000</v>
      </c>
      <c r="E34" s="23" t="s">
        <v>717</v>
      </c>
      <c r="F34" s="23" t="str">
        <f t="shared" si="0"/>
        <v>rtdc.l.rtdc.4003:itc</v>
      </c>
      <c r="G34" s="8">
        <f t="shared" si="1"/>
        <v>42645.261435185188</v>
      </c>
    </row>
    <row r="35" spans="1:7" x14ac:dyDescent="0.25">
      <c r="A35" s="8">
        <v>42645.269062500003</v>
      </c>
      <c r="B35" s="23" t="s">
        <v>710</v>
      </c>
      <c r="C35" s="23" t="s">
        <v>443</v>
      </c>
      <c r="D35" s="23">
        <v>1310000</v>
      </c>
      <c r="E35" s="23" t="s">
        <v>278</v>
      </c>
      <c r="F35" s="23" t="str">
        <f t="shared" si="0"/>
        <v>rtdc.l.rtdc.4007:itc</v>
      </c>
      <c r="G35" s="8">
        <f t="shared" si="1"/>
        <v>42645.269062500003</v>
      </c>
    </row>
    <row r="36" spans="1:7" x14ac:dyDescent="0.25">
      <c r="A36" s="8">
        <v>42645.273298611108</v>
      </c>
      <c r="B36" s="23" t="s">
        <v>340</v>
      </c>
      <c r="C36" s="23" t="s">
        <v>436</v>
      </c>
      <c r="D36" s="23">
        <v>1260000</v>
      </c>
      <c r="E36" s="23" t="s">
        <v>400</v>
      </c>
      <c r="F36" s="23" t="str">
        <f t="shared" si="0"/>
        <v>rtdc.l.rtdc.4015:itc</v>
      </c>
      <c r="G36" s="8">
        <f t="shared" si="1"/>
        <v>42645.273298611108</v>
      </c>
    </row>
    <row r="37" spans="1:7" x14ac:dyDescent="0.25">
      <c r="A37" s="8">
        <v>42645.275995370372</v>
      </c>
      <c r="B37" s="23" t="s">
        <v>398</v>
      </c>
      <c r="C37" s="23" t="s">
        <v>533</v>
      </c>
      <c r="D37" s="23">
        <v>1110000</v>
      </c>
      <c r="E37" s="23" t="s">
        <v>717</v>
      </c>
      <c r="F37" s="23" t="str">
        <f t="shared" si="0"/>
        <v>rtdc.l.rtdc.4004:itc</v>
      </c>
      <c r="G37" s="8">
        <f t="shared" si="1"/>
        <v>42645.275995370372</v>
      </c>
    </row>
    <row r="38" spans="1:7" x14ac:dyDescent="0.25">
      <c r="A38" s="8">
        <v>42645.277592592596</v>
      </c>
      <c r="B38" s="23" t="s">
        <v>344</v>
      </c>
      <c r="C38" s="23" t="s">
        <v>445</v>
      </c>
      <c r="D38" s="23">
        <v>1760000</v>
      </c>
      <c r="E38" s="23" t="s">
        <v>715</v>
      </c>
      <c r="F38" s="23" t="str">
        <f t="shared" si="0"/>
        <v>rtdc.l.rtdc.4031:itc</v>
      </c>
      <c r="G38" s="8">
        <f t="shared" si="1"/>
        <v>42645.277592592596</v>
      </c>
    </row>
    <row r="39" spans="1:7" x14ac:dyDescent="0.25">
      <c r="A39" s="8">
        <v>42645.284733796296</v>
      </c>
      <c r="B39" s="23" t="s">
        <v>342</v>
      </c>
      <c r="C39" s="23" t="s">
        <v>438</v>
      </c>
      <c r="D39" s="23">
        <v>2010000</v>
      </c>
      <c r="E39" s="23" t="s">
        <v>264</v>
      </c>
      <c r="F39" s="23" t="str">
        <f t="shared" si="0"/>
        <v>rtdc.l.rtdc.4054:itc</v>
      </c>
      <c r="G39" s="8">
        <f t="shared" si="1"/>
        <v>42645.284733796296</v>
      </c>
    </row>
    <row r="40" spans="1:7" x14ac:dyDescent="0.25">
      <c r="A40" s="8">
        <v>42645.286238425928</v>
      </c>
      <c r="B40" s="28" t="s">
        <v>162</v>
      </c>
      <c r="C40" s="23" t="s">
        <v>448</v>
      </c>
      <c r="D40" s="23">
        <v>2030000</v>
      </c>
      <c r="E40" s="23" t="s">
        <v>401</v>
      </c>
      <c r="F40" s="23" t="str">
        <f t="shared" si="0"/>
        <v>rtdc.l.rtdc.4020:itc</v>
      </c>
      <c r="G40" s="8">
        <f t="shared" si="1"/>
        <v>42645.286238425928</v>
      </c>
    </row>
    <row r="41" spans="1:7" x14ac:dyDescent="0.25">
      <c r="A41" s="8">
        <v>42645.295902777776</v>
      </c>
      <c r="B41" s="23" t="s">
        <v>251</v>
      </c>
      <c r="C41" s="23" t="s">
        <v>441</v>
      </c>
      <c r="D41" s="23">
        <v>1990000</v>
      </c>
      <c r="E41" s="23" t="s">
        <v>714</v>
      </c>
      <c r="F41" s="23" t="str">
        <f t="shared" si="0"/>
        <v>rtdc.l.rtdc.4013:itc</v>
      </c>
      <c r="G41" s="8">
        <f t="shared" si="1"/>
        <v>42645.295902777776</v>
      </c>
    </row>
    <row r="42" spans="1:7" x14ac:dyDescent="0.25">
      <c r="A42" s="8">
        <v>42645.29619212963</v>
      </c>
      <c r="B42" s="23" t="s">
        <v>174</v>
      </c>
      <c r="C42" s="23" t="s">
        <v>451</v>
      </c>
      <c r="D42" s="23">
        <v>1830000</v>
      </c>
      <c r="E42" s="23" t="s">
        <v>279</v>
      </c>
      <c r="F42" s="23" t="str">
        <f t="shared" si="0"/>
        <v>rtdc.l.rtdc.4042:itc</v>
      </c>
      <c r="G42" s="8">
        <f t="shared" si="1"/>
        <v>42645.29619212963</v>
      </c>
    </row>
    <row r="43" spans="1:7" x14ac:dyDescent="0.25">
      <c r="A43" s="8">
        <v>42645.302268518521</v>
      </c>
      <c r="B43" s="23" t="s">
        <v>397</v>
      </c>
      <c r="C43" s="23" t="s">
        <v>535</v>
      </c>
      <c r="D43" s="23">
        <v>1110000</v>
      </c>
      <c r="E43" s="23" t="s">
        <v>717</v>
      </c>
      <c r="F43" s="23" t="str">
        <f t="shared" si="0"/>
        <v>rtdc.l.rtdc.4003:itc</v>
      </c>
      <c r="G43" s="8">
        <f t="shared" si="1"/>
        <v>42645.302268518521</v>
      </c>
    </row>
    <row r="44" spans="1:7" x14ac:dyDescent="0.25">
      <c r="A44" s="8">
        <v>42645.308310185188</v>
      </c>
      <c r="B44" s="23" t="s">
        <v>716</v>
      </c>
      <c r="C44" s="23" t="s">
        <v>444</v>
      </c>
      <c r="D44" s="23">
        <v>1310000</v>
      </c>
      <c r="E44" s="23" t="s">
        <v>278</v>
      </c>
      <c r="F44" s="23" t="str">
        <f t="shared" si="0"/>
        <v>rtdc.l.rtdc.4008:itc</v>
      </c>
      <c r="G44" s="8">
        <f t="shared" si="1"/>
        <v>42645.308310185188</v>
      </c>
    </row>
    <row r="45" spans="1:7" x14ac:dyDescent="0.25">
      <c r="A45" s="8">
        <v>42645.309502314813</v>
      </c>
      <c r="B45" s="23" t="s">
        <v>341</v>
      </c>
      <c r="C45" s="23" t="s">
        <v>455</v>
      </c>
      <c r="D45" s="23">
        <v>1260000</v>
      </c>
      <c r="E45" s="23" t="s">
        <v>400</v>
      </c>
      <c r="F45" s="23" t="str">
        <f t="shared" si="0"/>
        <v>rtdc.l.rtdc.4016:itc</v>
      </c>
      <c r="G45" s="8">
        <f t="shared" si="1"/>
        <v>42645.309502314813</v>
      </c>
    </row>
    <row r="46" spans="1:7" x14ac:dyDescent="0.25">
      <c r="A46" s="8">
        <v>42645.31753472222</v>
      </c>
      <c r="B46" s="23" t="s">
        <v>398</v>
      </c>
      <c r="C46" s="23" t="s">
        <v>538</v>
      </c>
      <c r="D46" s="23">
        <v>1110000</v>
      </c>
      <c r="E46" s="23" t="s">
        <v>717</v>
      </c>
      <c r="F46" s="23" t="str">
        <f t="shared" si="0"/>
        <v>rtdc.l.rtdc.4004:itc</v>
      </c>
      <c r="G46" s="8">
        <f t="shared" si="1"/>
        <v>42645.31753472222</v>
      </c>
    </row>
    <row r="47" spans="1:7" x14ac:dyDescent="0.25">
      <c r="A47" s="8">
        <v>42645.318715277775</v>
      </c>
      <c r="B47" s="23" t="s">
        <v>343</v>
      </c>
      <c r="C47" s="23" t="s">
        <v>447</v>
      </c>
      <c r="D47" s="23">
        <v>1760000</v>
      </c>
      <c r="E47" s="23" t="s">
        <v>715</v>
      </c>
      <c r="F47" s="23" t="str">
        <f t="shared" si="0"/>
        <v>rtdc.l.rtdc.4032:itc</v>
      </c>
      <c r="G47" s="8">
        <f t="shared" si="1"/>
        <v>42645.318715277775</v>
      </c>
    </row>
    <row r="48" spans="1:7" x14ac:dyDescent="0.25">
      <c r="A48" s="8">
        <v>42645.319456018522</v>
      </c>
      <c r="B48" s="23" t="s">
        <v>345</v>
      </c>
      <c r="C48" s="23" t="s">
        <v>458</v>
      </c>
      <c r="D48" s="23">
        <v>2010000</v>
      </c>
      <c r="E48" s="23" t="s">
        <v>264</v>
      </c>
      <c r="F48" s="23" t="str">
        <f t="shared" si="0"/>
        <v>rtdc.l.rtdc.4053:itc</v>
      </c>
      <c r="G48" s="8">
        <f t="shared" si="1"/>
        <v>42645.319456018522</v>
      </c>
    </row>
    <row r="49" spans="1:7" x14ac:dyDescent="0.25">
      <c r="A49" s="8">
        <v>42645.32303240741</v>
      </c>
      <c r="B49" s="23" t="s">
        <v>161</v>
      </c>
      <c r="C49" s="23" t="s">
        <v>450</v>
      </c>
      <c r="D49" s="23">
        <v>2030000</v>
      </c>
      <c r="E49" s="23" t="s">
        <v>401</v>
      </c>
      <c r="F49" s="23" t="str">
        <f t="shared" si="0"/>
        <v>rtdc.l.rtdc.4019:itc</v>
      </c>
      <c r="G49" s="8">
        <f t="shared" si="1"/>
        <v>42645.32303240741</v>
      </c>
    </row>
    <row r="50" spans="1:7" x14ac:dyDescent="0.25">
      <c r="A50" s="8">
        <v>42645.327847222223</v>
      </c>
      <c r="B50" s="23" t="s">
        <v>173</v>
      </c>
      <c r="C50" s="23" t="s">
        <v>453</v>
      </c>
      <c r="D50" s="23">
        <v>1830000</v>
      </c>
      <c r="E50" s="23" t="s">
        <v>279</v>
      </c>
      <c r="F50" s="23" t="str">
        <f t="shared" si="0"/>
        <v>rtdc.l.rtdc.4041:itc</v>
      </c>
      <c r="G50" s="8">
        <f t="shared" si="1"/>
        <v>42645.327847222223</v>
      </c>
    </row>
    <row r="51" spans="1:7" x14ac:dyDescent="0.25">
      <c r="A51" s="8">
        <v>42645.329282407409</v>
      </c>
      <c r="B51" s="23" t="s">
        <v>227</v>
      </c>
      <c r="C51" s="23" t="s">
        <v>461</v>
      </c>
      <c r="D51" s="23">
        <v>1990000</v>
      </c>
      <c r="E51" s="23" t="s">
        <v>714</v>
      </c>
      <c r="F51" s="23" t="str">
        <f t="shared" si="0"/>
        <v>rtdc.l.rtdc.4014:itc</v>
      </c>
      <c r="G51" s="8">
        <f t="shared" si="1"/>
        <v>42645.329282407409</v>
      </c>
    </row>
    <row r="52" spans="1:7" x14ac:dyDescent="0.25">
      <c r="A52" s="8">
        <v>42645.342673611114</v>
      </c>
      <c r="B52" s="23" t="s">
        <v>710</v>
      </c>
      <c r="C52" s="23" t="s">
        <v>463</v>
      </c>
      <c r="D52" s="23">
        <v>1310000</v>
      </c>
      <c r="E52" s="23" t="s">
        <v>278</v>
      </c>
      <c r="F52" s="23" t="str">
        <f t="shared" si="0"/>
        <v>rtdc.l.rtdc.4007:itc</v>
      </c>
      <c r="G52" s="8">
        <f t="shared" si="1"/>
        <v>42645.342673611114</v>
      </c>
    </row>
    <row r="53" spans="1:7" x14ac:dyDescent="0.25">
      <c r="A53" s="8">
        <v>42645.345347222225</v>
      </c>
      <c r="B53" s="23" t="s">
        <v>397</v>
      </c>
      <c r="C53" s="23" t="s">
        <v>540</v>
      </c>
      <c r="D53" s="23">
        <v>1110000</v>
      </c>
      <c r="E53" s="23" t="s">
        <v>717</v>
      </c>
      <c r="F53" s="23" t="str">
        <f t="shared" si="0"/>
        <v>rtdc.l.rtdc.4003:itc</v>
      </c>
      <c r="G53" s="8">
        <f t="shared" si="1"/>
        <v>42645.345347222225</v>
      </c>
    </row>
    <row r="54" spans="1:7" x14ac:dyDescent="0.25">
      <c r="A54" s="8">
        <v>42645.347685185188</v>
      </c>
      <c r="B54" s="23" t="s">
        <v>340</v>
      </c>
      <c r="C54" s="23" t="s">
        <v>456</v>
      </c>
      <c r="D54" s="23">
        <v>1260000</v>
      </c>
      <c r="E54" s="23" t="s">
        <v>400</v>
      </c>
      <c r="F54" s="23" t="str">
        <f t="shared" si="0"/>
        <v>rtdc.l.rtdc.4015:itc</v>
      </c>
      <c r="G54" s="8">
        <f t="shared" si="1"/>
        <v>42645.347685185188</v>
      </c>
    </row>
    <row r="55" spans="1:7" x14ac:dyDescent="0.25">
      <c r="A55" s="8">
        <v>42645.349606481483</v>
      </c>
      <c r="B55" s="23" t="s">
        <v>344</v>
      </c>
      <c r="C55" s="23" t="s">
        <v>467</v>
      </c>
      <c r="D55" s="23">
        <v>1760000</v>
      </c>
      <c r="E55" s="23" t="s">
        <v>715</v>
      </c>
      <c r="F55" s="23" t="str">
        <f t="shared" si="0"/>
        <v>rtdc.l.rtdc.4031:itc</v>
      </c>
      <c r="G55" s="8">
        <f t="shared" si="1"/>
        <v>42645.349606481483</v>
      </c>
    </row>
    <row r="56" spans="1:7" x14ac:dyDescent="0.25">
      <c r="A56" s="8">
        <v>42645.358506944445</v>
      </c>
      <c r="B56" s="23" t="s">
        <v>342</v>
      </c>
      <c r="C56" s="23" t="s">
        <v>459</v>
      </c>
      <c r="D56" s="23">
        <v>2010000</v>
      </c>
      <c r="E56" s="23" t="s">
        <v>264</v>
      </c>
      <c r="F56" s="23" t="str">
        <f t="shared" si="0"/>
        <v>rtdc.l.rtdc.4054:itc</v>
      </c>
      <c r="G56" s="8">
        <f t="shared" si="1"/>
        <v>42645.358506944445</v>
      </c>
    </row>
    <row r="57" spans="1:7" x14ac:dyDescent="0.25">
      <c r="A57" s="8">
        <v>42645.358831018515</v>
      </c>
      <c r="B57" s="23" t="s">
        <v>398</v>
      </c>
      <c r="C57" s="23" t="s">
        <v>542</v>
      </c>
      <c r="D57" s="23">
        <v>1110000</v>
      </c>
      <c r="E57" s="23" t="s">
        <v>717</v>
      </c>
      <c r="F57" s="23" t="str">
        <f t="shared" si="0"/>
        <v>rtdc.l.rtdc.4004:itc</v>
      </c>
      <c r="G57" s="8">
        <f t="shared" si="1"/>
        <v>42645.358831018515</v>
      </c>
    </row>
    <row r="58" spans="1:7" x14ac:dyDescent="0.25">
      <c r="A58" s="8">
        <v>42645.362372685187</v>
      </c>
      <c r="B58" s="23" t="s">
        <v>162</v>
      </c>
      <c r="C58" s="23" t="s">
        <v>472</v>
      </c>
      <c r="D58" s="23">
        <v>2030000</v>
      </c>
      <c r="E58" s="23" t="s">
        <v>401</v>
      </c>
      <c r="F58" s="23" t="str">
        <f t="shared" si="0"/>
        <v>rtdc.l.rtdc.4020:itc</v>
      </c>
      <c r="G58" s="8">
        <f t="shared" si="1"/>
        <v>42645.362372685187</v>
      </c>
    </row>
    <row r="59" spans="1:7" x14ac:dyDescent="0.25">
      <c r="A59" s="8">
        <v>42645.368842592594</v>
      </c>
      <c r="B59" s="23" t="s">
        <v>251</v>
      </c>
      <c r="C59" s="23" t="s">
        <v>462</v>
      </c>
      <c r="D59" s="23">
        <v>1990000</v>
      </c>
      <c r="E59" s="23" t="s">
        <v>714</v>
      </c>
      <c r="F59" s="23" t="str">
        <f t="shared" si="0"/>
        <v>rtdc.l.rtdc.4013:itc</v>
      </c>
      <c r="G59" s="8">
        <f t="shared" si="1"/>
        <v>42645.368842592594</v>
      </c>
    </row>
    <row r="60" spans="1:7" x14ac:dyDescent="0.25">
      <c r="A60" s="8">
        <v>42645.37054398148</v>
      </c>
      <c r="B60" s="23" t="s">
        <v>174</v>
      </c>
      <c r="C60" s="23" t="s">
        <v>476</v>
      </c>
      <c r="D60" s="23">
        <v>1830000</v>
      </c>
      <c r="E60" s="23" t="s">
        <v>279</v>
      </c>
      <c r="F60" s="23" t="str">
        <f t="shared" si="0"/>
        <v>rtdc.l.rtdc.4042:itc</v>
      </c>
      <c r="G60" s="8">
        <f t="shared" si="1"/>
        <v>42645.37054398148</v>
      </c>
    </row>
    <row r="61" spans="1:7" x14ac:dyDescent="0.25">
      <c r="A61" s="8">
        <v>42645.381921296299</v>
      </c>
      <c r="B61" s="23" t="s">
        <v>341</v>
      </c>
      <c r="C61" s="23" t="s">
        <v>479</v>
      </c>
      <c r="D61" s="23">
        <v>1260000</v>
      </c>
      <c r="E61" s="23" t="s">
        <v>400</v>
      </c>
      <c r="F61" s="23" t="str">
        <f t="shared" si="0"/>
        <v>rtdc.l.rtdc.4016:itc</v>
      </c>
      <c r="G61" s="8">
        <f t="shared" si="1"/>
        <v>42645.381921296299</v>
      </c>
    </row>
    <row r="62" spans="1:7" x14ac:dyDescent="0.25">
      <c r="A62" s="8">
        <v>42645.382418981484</v>
      </c>
      <c r="B62" s="23" t="s">
        <v>716</v>
      </c>
      <c r="C62" s="23" t="s">
        <v>465</v>
      </c>
      <c r="D62" s="23">
        <v>1310000</v>
      </c>
      <c r="E62" s="23" t="s">
        <v>278</v>
      </c>
      <c r="F62" s="23" t="str">
        <f t="shared" si="0"/>
        <v>rtdc.l.rtdc.4008:itc</v>
      </c>
      <c r="G62" s="8">
        <f t="shared" si="1"/>
        <v>42645.382418981484</v>
      </c>
    </row>
    <row r="63" spans="1:7" x14ac:dyDescent="0.25">
      <c r="A63" s="8">
        <v>42645.383148148147</v>
      </c>
      <c r="B63" s="23" t="s">
        <v>397</v>
      </c>
      <c r="C63" s="23" t="s">
        <v>543</v>
      </c>
      <c r="D63" s="23">
        <v>1110000</v>
      </c>
      <c r="E63" s="23" t="s">
        <v>717</v>
      </c>
      <c r="F63" s="23" t="str">
        <f t="shared" si="0"/>
        <v>rtdc.l.rtdc.4003:itc</v>
      </c>
      <c r="G63" s="8">
        <f t="shared" si="1"/>
        <v>42645.383148148147</v>
      </c>
    </row>
    <row r="64" spans="1:7" x14ac:dyDescent="0.25">
      <c r="A64" s="29">
        <v>42645.390162037038</v>
      </c>
      <c r="B64" s="23" t="s">
        <v>343</v>
      </c>
      <c r="C64" s="23" t="s">
        <v>470</v>
      </c>
      <c r="D64" s="23">
        <v>1760000</v>
      </c>
      <c r="E64" s="23" t="s">
        <v>715</v>
      </c>
      <c r="F64" s="23" t="str">
        <f t="shared" si="0"/>
        <v>rtdc.l.rtdc.4032:itc</v>
      </c>
      <c r="G64" s="8">
        <f t="shared" si="1"/>
        <v>42645.390162037038</v>
      </c>
    </row>
    <row r="65" spans="1:7" x14ac:dyDescent="0.25">
      <c r="A65" s="8">
        <v>42645.393611111111</v>
      </c>
      <c r="B65" s="23" t="s">
        <v>345</v>
      </c>
      <c r="C65" s="23" t="s">
        <v>481</v>
      </c>
      <c r="D65" s="23">
        <v>2010000</v>
      </c>
      <c r="E65" s="23" t="s">
        <v>264</v>
      </c>
      <c r="F65" s="23" t="str">
        <f t="shared" si="0"/>
        <v>rtdc.l.rtdc.4053:itc</v>
      </c>
      <c r="G65" s="8">
        <f t="shared" si="1"/>
        <v>42645.393611111111</v>
      </c>
    </row>
    <row r="66" spans="1:7" x14ac:dyDescent="0.25">
      <c r="A66" s="8">
        <v>42645.400185185186</v>
      </c>
      <c r="B66" s="23" t="s">
        <v>398</v>
      </c>
      <c r="C66" s="23" t="s">
        <v>545</v>
      </c>
      <c r="D66" s="23">
        <v>1110000</v>
      </c>
      <c r="E66" s="23" t="s">
        <v>717</v>
      </c>
      <c r="F66" s="23" t="str">
        <f t="shared" ref="F66:F129" si="2">B66</f>
        <v>rtdc.l.rtdc.4004:itc</v>
      </c>
      <c r="G66" s="8">
        <f t="shared" ref="G66:G129" si="3">A66</f>
        <v>42645.400185185186</v>
      </c>
    </row>
    <row r="67" spans="1:7" x14ac:dyDescent="0.25">
      <c r="A67" s="8">
        <v>42645.402708333335</v>
      </c>
      <c r="B67" s="23" t="s">
        <v>227</v>
      </c>
      <c r="C67" s="23" t="s">
        <v>483</v>
      </c>
      <c r="D67" s="23">
        <v>1990000</v>
      </c>
      <c r="E67" s="23" t="s">
        <v>714</v>
      </c>
      <c r="F67" s="23" t="str">
        <f t="shared" si="2"/>
        <v>rtdc.l.rtdc.4014:itc</v>
      </c>
      <c r="G67" s="8">
        <f t="shared" si="3"/>
        <v>42645.402708333335</v>
      </c>
    </row>
    <row r="68" spans="1:7" x14ac:dyDescent="0.25">
      <c r="A68" s="8">
        <v>42645.405706018515</v>
      </c>
      <c r="B68" s="23" t="s">
        <v>161</v>
      </c>
      <c r="C68" s="23" t="s">
        <v>475</v>
      </c>
      <c r="D68" s="23">
        <v>2030000</v>
      </c>
      <c r="E68" s="23" t="s">
        <v>401</v>
      </c>
      <c r="F68" s="23" t="str">
        <f t="shared" si="2"/>
        <v>rtdc.l.rtdc.4019:itc</v>
      </c>
      <c r="G68" s="8">
        <f t="shared" si="3"/>
        <v>42645.405706018515</v>
      </c>
    </row>
    <row r="69" spans="1:7" x14ac:dyDescent="0.25">
      <c r="A69" s="8">
        <v>42645.410497685189</v>
      </c>
      <c r="B69" s="23" t="s">
        <v>173</v>
      </c>
      <c r="C69" s="23" t="s">
        <v>478</v>
      </c>
      <c r="D69" s="23">
        <v>1830000</v>
      </c>
      <c r="E69" s="23" t="s">
        <v>279</v>
      </c>
      <c r="F69" s="23" t="str">
        <f t="shared" si="2"/>
        <v>rtdc.l.rtdc.4041:itc</v>
      </c>
      <c r="G69" s="8">
        <f t="shared" si="3"/>
        <v>42645.410497685189</v>
      </c>
    </row>
    <row r="70" spans="1:7" x14ac:dyDescent="0.25">
      <c r="A70" s="8">
        <v>42645.412118055552</v>
      </c>
      <c r="B70" s="23" t="s">
        <v>168</v>
      </c>
      <c r="C70" s="23" t="s">
        <v>486</v>
      </c>
      <c r="D70" s="23">
        <v>2140000</v>
      </c>
      <c r="E70" s="23" t="s">
        <v>718</v>
      </c>
      <c r="F70" s="23" t="str">
        <f t="shared" si="2"/>
        <v>rtdc.l.rtdc.4025:itc</v>
      </c>
      <c r="G70" s="8">
        <f t="shared" si="3"/>
        <v>42645.412118055552</v>
      </c>
    </row>
    <row r="71" spans="1:7" x14ac:dyDescent="0.25">
      <c r="A71" s="8">
        <v>42645.420717592591</v>
      </c>
      <c r="B71" s="23" t="s">
        <v>340</v>
      </c>
      <c r="C71" s="23" t="s">
        <v>480</v>
      </c>
      <c r="D71" s="23">
        <v>1260000</v>
      </c>
      <c r="E71" s="23" t="s">
        <v>400</v>
      </c>
      <c r="F71" s="23" t="str">
        <f t="shared" si="2"/>
        <v>rtdc.l.rtdc.4015:itc</v>
      </c>
      <c r="G71" s="8">
        <f t="shared" si="3"/>
        <v>42645.420717592591</v>
      </c>
    </row>
    <row r="72" spans="1:7" x14ac:dyDescent="0.25">
      <c r="A72" s="8">
        <v>42645.42564814815</v>
      </c>
      <c r="B72" s="23" t="s">
        <v>710</v>
      </c>
      <c r="C72" s="23" t="s">
        <v>490</v>
      </c>
      <c r="D72" s="23">
        <v>1310000</v>
      </c>
      <c r="E72" s="23" t="s">
        <v>278</v>
      </c>
      <c r="F72" s="23" t="str">
        <f t="shared" si="2"/>
        <v>rtdc.l.rtdc.4007:itc</v>
      </c>
      <c r="G72" s="8">
        <f t="shared" si="3"/>
        <v>42645.42564814815</v>
      </c>
    </row>
    <row r="73" spans="1:7" x14ac:dyDescent="0.25">
      <c r="A73" s="8">
        <v>42645.4299537037</v>
      </c>
      <c r="B73" s="23" t="s">
        <v>397</v>
      </c>
      <c r="C73" s="23" t="s">
        <v>547</v>
      </c>
      <c r="D73" s="23">
        <v>1110000</v>
      </c>
      <c r="E73" s="23" t="s">
        <v>717</v>
      </c>
      <c r="F73" s="23" t="str">
        <f t="shared" si="2"/>
        <v>rtdc.l.rtdc.4003:itc</v>
      </c>
      <c r="G73" s="8">
        <f t="shared" si="3"/>
        <v>42645.4299537037</v>
      </c>
    </row>
    <row r="74" spans="1:7" x14ac:dyDescent="0.25">
      <c r="A74" s="8">
        <v>42645.429976851854</v>
      </c>
      <c r="B74" s="23" t="s">
        <v>342</v>
      </c>
      <c r="C74" s="23" t="s">
        <v>482</v>
      </c>
      <c r="D74" s="23">
        <v>2010000</v>
      </c>
      <c r="E74" s="23" t="s">
        <v>264</v>
      </c>
      <c r="F74" s="23" t="str">
        <f t="shared" si="2"/>
        <v>rtdc.l.rtdc.4054:itc</v>
      </c>
      <c r="G74" s="8">
        <f t="shared" si="3"/>
        <v>42645.429976851854</v>
      </c>
    </row>
    <row r="75" spans="1:7" x14ac:dyDescent="0.25">
      <c r="A75" s="8">
        <v>42645.437800925924</v>
      </c>
      <c r="B75" s="23" t="s">
        <v>162</v>
      </c>
      <c r="C75" s="23" t="s">
        <v>492</v>
      </c>
      <c r="D75" s="23">
        <v>930000</v>
      </c>
      <c r="E75" s="23" t="s">
        <v>347</v>
      </c>
      <c r="F75" s="23" t="str">
        <f t="shared" si="2"/>
        <v>rtdc.l.rtdc.4020:itc</v>
      </c>
      <c r="G75" s="8">
        <f t="shared" si="3"/>
        <v>42645.437800925924</v>
      </c>
    </row>
    <row r="76" spans="1:7" x14ac:dyDescent="0.25">
      <c r="A76" s="8">
        <v>42645.442256944443</v>
      </c>
      <c r="B76" s="23" t="s">
        <v>398</v>
      </c>
      <c r="C76" s="23" t="s">
        <v>552</v>
      </c>
      <c r="D76" s="23">
        <v>1110000</v>
      </c>
      <c r="E76" s="23" t="s">
        <v>717</v>
      </c>
      <c r="F76" s="23" t="str">
        <f t="shared" si="2"/>
        <v>rtdc.l.rtdc.4004:itc</v>
      </c>
      <c r="G76" s="8">
        <f t="shared" si="3"/>
        <v>42645.442256944443</v>
      </c>
    </row>
    <row r="77" spans="1:7" x14ac:dyDescent="0.25">
      <c r="A77" s="8">
        <v>42645.442650462966</v>
      </c>
      <c r="B77" s="23" t="s">
        <v>174</v>
      </c>
      <c r="C77" s="23" t="s">
        <v>497</v>
      </c>
      <c r="D77" s="23">
        <v>1830000</v>
      </c>
      <c r="E77" s="23" t="s">
        <v>279</v>
      </c>
      <c r="F77" s="23" t="str">
        <f t="shared" si="2"/>
        <v>rtdc.l.rtdc.4042:itc</v>
      </c>
      <c r="G77" s="8">
        <f t="shared" si="3"/>
        <v>42645.442650462966</v>
      </c>
    </row>
    <row r="78" spans="1:7" x14ac:dyDescent="0.25">
      <c r="A78" s="8">
        <v>42645.443807870368</v>
      </c>
      <c r="B78" s="23" t="s">
        <v>251</v>
      </c>
      <c r="C78" s="23" t="s">
        <v>485</v>
      </c>
      <c r="D78" s="23">
        <v>1990000</v>
      </c>
      <c r="E78" s="23" t="s">
        <v>714</v>
      </c>
      <c r="F78" s="23" t="str">
        <f t="shared" si="2"/>
        <v>rtdc.l.rtdc.4013:itc</v>
      </c>
      <c r="G78" s="8">
        <f t="shared" si="3"/>
        <v>42645.443807870368</v>
      </c>
    </row>
    <row r="79" spans="1:7" x14ac:dyDescent="0.25">
      <c r="A79" s="8">
        <v>42645.444398148145</v>
      </c>
      <c r="B79" s="23" t="s">
        <v>169</v>
      </c>
      <c r="C79" s="23" t="s">
        <v>488</v>
      </c>
      <c r="D79" s="23">
        <v>2140000</v>
      </c>
      <c r="E79" s="23" t="s">
        <v>718</v>
      </c>
      <c r="F79" s="23" t="str">
        <f t="shared" si="2"/>
        <v>rtdc.l.rtdc.4026:itc</v>
      </c>
      <c r="G79" s="8">
        <f t="shared" si="3"/>
        <v>42645.444398148145</v>
      </c>
    </row>
    <row r="80" spans="1:7" x14ac:dyDescent="0.25">
      <c r="A80" s="8">
        <v>42645.456643518519</v>
      </c>
      <c r="B80" s="23" t="s">
        <v>341</v>
      </c>
      <c r="C80" s="23" t="s">
        <v>499</v>
      </c>
      <c r="D80" s="23">
        <v>880000</v>
      </c>
      <c r="E80" s="23" t="s">
        <v>346</v>
      </c>
      <c r="F80" s="23" t="str">
        <f t="shared" si="2"/>
        <v>rtdc.l.rtdc.4016:itc</v>
      </c>
      <c r="G80" s="8">
        <f t="shared" si="3"/>
        <v>42645.456643518519</v>
      </c>
    </row>
    <row r="81" spans="1:7" x14ac:dyDescent="0.25">
      <c r="A81" s="8">
        <v>42645.459444444445</v>
      </c>
      <c r="B81" s="23" t="s">
        <v>252</v>
      </c>
      <c r="C81" s="23" t="s">
        <v>699</v>
      </c>
      <c r="D81" s="23">
        <v>2040000</v>
      </c>
      <c r="E81" s="23" t="s">
        <v>266</v>
      </c>
      <c r="F81" s="23" t="str">
        <f t="shared" si="2"/>
        <v>rtdc.l.rtdc.4005:itc</v>
      </c>
      <c r="G81" s="8">
        <f t="shared" si="3"/>
        <v>42645.459444444445</v>
      </c>
    </row>
    <row r="82" spans="1:7" x14ac:dyDescent="0.25">
      <c r="A82" s="8">
        <v>42645.464421296296</v>
      </c>
      <c r="B82" s="23" t="s">
        <v>345</v>
      </c>
      <c r="C82" s="23" t="s">
        <v>501</v>
      </c>
      <c r="D82" s="23">
        <v>1280000</v>
      </c>
      <c r="E82" s="23" t="s">
        <v>402</v>
      </c>
      <c r="F82" s="23" t="str">
        <f t="shared" si="2"/>
        <v>rtdc.l.rtdc.4053:itc</v>
      </c>
      <c r="G82" s="8">
        <f t="shared" si="3"/>
        <v>42645.464421296296</v>
      </c>
    </row>
    <row r="83" spans="1:7" x14ac:dyDescent="0.25">
      <c r="A83" s="8">
        <v>42645.464548611111</v>
      </c>
      <c r="B83" s="23" t="s">
        <v>716</v>
      </c>
      <c r="C83" s="23" t="s">
        <v>491</v>
      </c>
      <c r="D83" s="23">
        <v>1310000</v>
      </c>
      <c r="E83" s="23" t="s">
        <v>278</v>
      </c>
      <c r="F83" s="23" t="str">
        <f t="shared" si="2"/>
        <v>rtdc.l.rtdc.4008:itc</v>
      </c>
      <c r="G83" s="8">
        <f t="shared" si="3"/>
        <v>42645.464548611111</v>
      </c>
    </row>
    <row r="84" spans="1:7" x14ac:dyDescent="0.25">
      <c r="A84" s="8">
        <v>42645.469826388886</v>
      </c>
      <c r="B84" s="23" t="s">
        <v>397</v>
      </c>
      <c r="C84" s="23" t="s">
        <v>553</v>
      </c>
      <c r="D84" s="23">
        <v>1110000</v>
      </c>
      <c r="E84" s="23" t="s">
        <v>717</v>
      </c>
      <c r="F84" s="23" t="str">
        <f t="shared" si="2"/>
        <v>rtdc.l.rtdc.4003:itc</v>
      </c>
      <c r="G84" s="8">
        <f t="shared" si="3"/>
        <v>42645.469826388886</v>
      </c>
    </row>
    <row r="85" spans="1:7" x14ac:dyDescent="0.25">
      <c r="A85" s="8">
        <v>42645.475925925923</v>
      </c>
      <c r="B85" s="23" t="s">
        <v>161</v>
      </c>
      <c r="C85" s="23" t="s">
        <v>494</v>
      </c>
      <c r="D85" s="23">
        <v>930000</v>
      </c>
      <c r="E85" s="23" t="s">
        <v>347</v>
      </c>
      <c r="F85" s="23" t="str">
        <f t="shared" si="2"/>
        <v>rtdc.l.rtdc.4019:itc</v>
      </c>
      <c r="G85" s="8">
        <f t="shared" si="3"/>
        <v>42645.475925925923</v>
      </c>
    </row>
    <row r="86" spans="1:7" x14ac:dyDescent="0.25">
      <c r="A86" s="8">
        <v>42645.479641203703</v>
      </c>
      <c r="B86" s="23" t="s">
        <v>227</v>
      </c>
      <c r="C86" s="23" t="s">
        <v>504</v>
      </c>
      <c r="D86" s="23">
        <v>2090000</v>
      </c>
      <c r="E86" s="23" t="s">
        <v>719</v>
      </c>
      <c r="F86" s="23" t="str">
        <f t="shared" si="2"/>
        <v>rtdc.l.rtdc.4014:itc</v>
      </c>
      <c r="G86" s="8">
        <f t="shared" si="3"/>
        <v>42645.479641203703</v>
      </c>
    </row>
    <row r="87" spans="1:7" x14ac:dyDescent="0.25">
      <c r="A87" s="8">
        <v>42645.481782407405</v>
      </c>
      <c r="B87" s="23" t="s">
        <v>173</v>
      </c>
      <c r="C87" s="23" t="s">
        <v>498</v>
      </c>
      <c r="D87" s="23">
        <v>1830000</v>
      </c>
      <c r="E87" s="23" t="s">
        <v>279</v>
      </c>
      <c r="F87" s="23" t="str">
        <f t="shared" si="2"/>
        <v>rtdc.l.rtdc.4041:itc</v>
      </c>
      <c r="G87" s="8">
        <f t="shared" si="3"/>
        <v>42645.481782407405</v>
      </c>
    </row>
    <row r="88" spans="1:7" x14ac:dyDescent="0.25">
      <c r="A88" s="8">
        <v>42645.483935185184</v>
      </c>
      <c r="B88" s="23" t="s">
        <v>398</v>
      </c>
      <c r="C88" s="23" t="s">
        <v>554</v>
      </c>
      <c r="D88" s="23">
        <v>1110000</v>
      </c>
      <c r="E88" s="23" t="s">
        <v>717</v>
      </c>
      <c r="F88" s="23" t="str">
        <f t="shared" si="2"/>
        <v>rtdc.l.rtdc.4004:itc</v>
      </c>
      <c r="G88" s="8">
        <f t="shared" si="3"/>
        <v>42645.483935185184</v>
      </c>
    </row>
    <row r="89" spans="1:7" x14ac:dyDescent="0.25">
      <c r="A89" s="8">
        <v>42645.489259259259</v>
      </c>
      <c r="B89" s="23" t="s">
        <v>168</v>
      </c>
      <c r="C89" s="23" t="s">
        <v>507</v>
      </c>
      <c r="D89" s="23">
        <v>2040000</v>
      </c>
      <c r="E89" s="23" t="s">
        <v>266</v>
      </c>
      <c r="F89" s="23" t="str">
        <f t="shared" si="2"/>
        <v>rtdc.l.rtdc.4025:itc</v>
      </c>
      <c r="G89" s="8">
        <f t="shared" si="3"/>
        <v>42645.489259259259</v>
      </c>
    </row>
    <row r="90" spans="1:7" x14ac:dyDescent="0.25">
      <c r="A90" s="8">
        <v>42645.495763888888</v>
      </c>
      <c r="B90" s="23" t="s">
        <v>340</v>
      </c>
      <c r="C90" s="23" t="s">
        <v>500</v>
      </c>
      <c r="D90" s="23">
        <v>880000</v>
      </c>
      <c r="E90" s="23" t="s">
        <v>346</v>
      </c>
      <c r="F90" s="23" t="str">
        <f t="shared" si="2"/>
        <v>rtdc.l.rtdc.4015:itc</v>
      </c>
      <c r="G90" s="8">
        <f t="shared" si="3"/>
        <v>42645.495763888888</v>
      </c>
    </row>
    <row r="91" spans="1:7" x14ac:dyDescent="0.25">
      <c r="A91" s="8">
        <v>42645.49790509259</v>
      </c>
      <c r="B91" s="23" t="s">
        <v>710</v>
      </c>
      <c r="C91" s="23" t="s">
        <v>509</v>
      </c>
      <c r="D91" s="23">
        <v>1140000</v>
      </c>
      <c r="E91" s="23" t="s">
        <v>720</v>
      </c>
      <c r="F91" s="23" t="str">
        <f t="shared" si="2"/>
        <v>rtdc.l.rtdc.4007:itc</v>
      </c>
      <c r="G91" s="8">
        <f t="shared" si="3"/>
        <v>42645.49790509259</v>
      </c>
    </row>
    <row r="92" spans="1:7" x14ac:dyDescent="0.25">
      <c r="A92" s="8">
        <v>42645.498645833337</v>
      </c>
      <c r="B92" s="23" t="s">
        <v>342</v>
      </c>
      <c r="C92" s="23" t="s">
        <v>502</v>
      </c>
      <c r="D92" s="23">
        <v>1280000</v>
      </c>
      <c r="E92" s="23" t="s">
        <v>402</v>
      </c>
      <c r="F92" s="23" t="str">
        <f t="shared" si="2"/>
        <v>rtdc.l.rtdc.4054:itc</v>
      </c>
      <c r="G92" s="8">
        <f t="shared" si="3"/>
        <v>42645.498645833337</v>
      </c>
    </row>
    <row r="93" spans="1:7" x14ac:dyDescent="0.25">
      <c r="A93" s="8">
        <v>42645.501331018517</v>
      </c>
      <c r="B93" s="23" t="s">
        <v>253</v>
      </c>
      <c r="C93" s="23" t="s">
        <v>702</v>
      </c>
      <c r="D93" s="23">
        <v>2140000</v>
      </c>
      <c r="E93" s="23" t="s">
        <v>718</v>
      </c>
      <c r="F93" s="23" t="str">
        <f t="shared" si="2"/>
        <v>rtdc.l.rtdc.4006:itc</v>
      </c>
      <c r="G93" s="8">
        <f t="shared" si="3"/>
        <v>42645.501331018517</v>
      </c>
    </row>
    <row r="94" spans="1:7" x14ac:dyDescent="0.25">
      <c r="A94" s="8">
        <v>42645.508969907409</v>
      </c>
      <c r="B94" s="23" t="s">
        <v>162</v>
      </c>
      <c r="C94" s="23" t="s">
        <v>512</v>
      </c>
      <c r="D94" s="23">
        <v>930000</v>
      </c>
      <c r="E94" s="23" t="s">
        <v>347</v>
      </c>
      <c r="F94" s="23" t="str">
        <f t="shared" si="2"/>
        <v>rtdc.l.rtdc.4020:itc</v>
      </c>
      <c r="G94" s="8">
        <f t="shared" si="3"/>
        <v>42645.508969907409</v>
      </c>
    </row>
    <row r="95" spans="1:7" x14ac:dyDescent="0.25">
      <c r="A95" s="8">
        <v>42645.511701388888</v>
      </c>
      <c r="B95" s="23" t="s">
        <v>397</v>
      </c>
      <c r="C95" s="23" t="s">
        <v>556</v>
      </c>
      <c r="D95" s="23">
        <v>1110000</v>
      </c>
      <c r="E95" s="23" t="s">
        <v>717</v>
      </c>
      <c r="F95" s="23" t="str">
        <f t="shared" si="2"/>
        <v>rtdc.l.rtdc.4003:itc</v>
      </c>
      <c r="G95" s="8">
        <f t="shared" si="3"/>
        <v>42645.511701388888</v>
      </c>
    </row>
    <row r="96" spans="1:7" x14ac:dyDescent="0.25">
      <c r="A96" s="8">
        <v>42645.514189814814</v>
      </c>
      <c r="B96" s="23" t="s">
        <v>251</v>
      </c>
      <c r="C96" s="23" t="s">
        <v>505</v>
      </c>
      <c r="D96" s="23">
        <v>2090000</v>
      </c>
      <c r="E96" s="23" t="s">
        <v>719</v>
      </c>
      <c r="F96" s="23" t="str">
        <f t="shared" si="2"/>
        <v>rtdc.l.rtdc.4013:itc</v>
      </c>
      <c r="G96" s="8">
        <f t="shared" si="3"/>
        <v>42645.514189814814</v>
      </c>
    </row>
    <row r="97" spans="1:7" x14ac:dyDescent="0.25">
      <c r="A97" s="8">
        <v>42645.51662037037</v>
      </c>
      <c r="B97" s="23" t="s">
        <v>174</v>
      </c>
      <c r="C97" s="23" t="s">
        <v>515</v>
      </c>
      <c r="D97" s="23">
        <v>2020000</v>
      </c>
      <c r="E97" s="23" t="s">
        <v>282</v>
      </c>
      <c r="F97" s="23" t="str">
        <f t="shared" si="2"/>
        <v>rtdc.l.rtdc.4042:itc</v>
      </c>
      <c r="G97" s="8">
        <f t="shared" si="3"/>
        <v>42645.51662037037</v>
      </c>
    </row>
    <row r="98" spans="1:7" x14ac:dyDescent="0.25">
      <c r="A98" s="8">
        <v>42645.524837962963</v>
      </c>
      <c r="B98" s="23" t="s">
        <v>169</v>
      </c>
      <c r="C98" s="23" t="s">
        <v>508</v>
      </c>
      <c r="D98" s="23">
        <v>2040000</v>
      </c>
      <c r="E98" s="23" t="s">
        <v>266</v>
      </c>
      <c r="F98" s="23" t="str">
        <f t="shared" si="2"/>
        <v>rtdc.l.rtdc.4026:itc</v>
      </c>
      <c r="G98" s="8">
        <f t="shared" si="3"/>
        <v>42645.524837962963</v>
      </c>
    </row>
    <row r="99" spans="1:7" x14ac:dyDescent="0.25">
      <c r="A99" s="8">
        <v>42645.525694444441</v>
      </c>
      <c r="B99" s="23" t="s">
        <v>398</v>
      </c>
      <c r="C99" s="23" t="s">
        <v>558</v>
      </c>
      <c r="D99" s="23">
        <v>1110000</v>
      </c>
      <c r="E99" s="23" t="s">
        <v>717</v>
      </c>
      <c r="F99" s="23" t="str">
        <f t="shared" si="2"/>
        <v>rtdc.l.rtdc.4004:itc</v>
      </c>
      <c r="G99" s="8">
        <f t="shared" si="3"/>
        <v>42645.525694444441</v>
      </c>
    </row>
    <row r="100" spans="1:7" x14ac:dyDescent="0.25">
      <c r="A100" s="8">
        <v>42645.527962962966</v>
      </c>
      <c r="B100" s="23" t="s">
        <v>341</v>
      </c>
      <c r="C100" s="23" t="s">
        <v>518</v>
      </c>
      <c r="D100" s="23">
        <v>880000</v>
      </c>
      <c r="E100" s="23" t="s">
        <v>346</v>
      </c>
      <c r="F100" s="23" t="str">
        <f t="shared" si="2"/>
        <v>rtdc.l.rtdc.4016:itc</v>
      </c>
      <c r="G100" s="8">
        <f t="shared" si="3"/>
        <v>42645.527962962966</v>
      </c>
    </row>
    <row r="101" spans="1:7" x14ac:dyDescent="0.25">
      <c r="A101" s="8">
        <v>42645.532418981478</v>
      </c>
      <c r="B101" s="23" t="s">
        <v>716</v>
      </c>
      <c r="C101" s="23" t="s">
        <v>510</v>
      </c>
      <c r="D101" s="23">
        <v>1140000</v>
      </c>
      <c r="E101" s="23" t="s">
        <v>720</v>
      </c>
      <c r="F101" s="23" t="str">
        <f t="shared" si="2"/>
        <v>rtdc.l.rtdc.4008:itc</v>
      </c>
      <c r="G101" s="8">
        <f t="shared" si="3"/>
        <v>42645.532418981478</v>
      </c>
    </row>
    <row r="102" spans="1:7" x14ac:dyDescent="0.25">
      <c r="A102" s="8">
        <v>42645.537442129629</v>
      </c>
      <c r="B102" s="23" t="s">
        <v>345</v>
      </c>
      <c r="C102" s="23" t="s">
        <v>520</v>
      </c>
      <c r="D102" s="23">
        <v>1280000</v>
      </c>
      <c r="E102" s="23" t="s">
        <v>402</v>
      </c>
      <c r="F102" s="23" t="str">
        <f t="shared" si="2"/>
        <v>rtdc.l.rtdc.4053:itc</v>
      </c>
      <c r="G102" s="8">
        <f t="shared" si="3"/>
        <v>42645.537442129629</v>
      </c>
    </row>
    <row r="103" spans="1:7" x14ac:dyDescent="0.25">
      <c r="A103" s="8">
        <v>42645.545023148145</v>
      </c>
      <c r="B103" s="23" t="s">
        <v>161</v>
      </c>
      <c r="C103" s="23" t="s">
        <v>513</v>
      </c>
      <c r="D103" s="23">
        <v>930000</v>
      </c>
      <c r="E103" s="23" t="s">
        <v>347</v>
      </c>
      <c r="F103" s="23" t="str">
        <f t="shared" si="2"/>
        <v>rtdc.l.rtdc.4019:itc</v>
      </c>
      <c r="G103" s="8">
        <f t="shared" si="3"/>
        <v>42645.545023148145</v>
      </c>
    </row>
    <row r="104" spans="1:7" x14ac:dyDescent="0.25">
      <c r="A104" s="8">
        <v>42645.549930555557</v>
      </c>
      <c r="B104" s="23" t="s">
        <v>227</v>
      </c>
      <c r="C104" s="23" t="s">
        <v>522</v>
      </c>
      <c r="D104" s="23">
        <v>2090000</v>
      </c>
      <c r="E104" s="23" t="s">
        <v>719</v>
      </c>
      <c r="F104" s="23" t="str">
        <f t="shared" si="2"/>
        <v>rtdc.l.rtdc.4014:itc</v>
      </c>
      <c r="G104" s="8">
        <f t="shared" si="3"/>
        <v>42645.549930555557</v>
      </c>
    </row>
    <row r="105" spans="1:7" x14ac:dyDescent="0.25">
      <c r="A105" s="8">
        <v>42645.554120370369</v>
      </c>
      <c r="B105" s="23" t="s">
        <v>397</v>
      </c>
      <c r="C105" s="23" t="s">
        <v>559</v>
      </c>
      <c r="D105" s="23">
        <v>1110000</v>
      </c>
      <c r="E105" s="23" t="s">
        <v>717</v>
      </c>
      <c r="F105" s="23" t="str">
        <f t="shared" si="2"/>
        <v>rtdc.l.rtdc.4003:itc</v>
      </c>
      <c r="G105" s="8">
        <f t="shared" si="3"/>
        <v>42645.554120370369</v>
      </c>
    </row>
    <row r="106" spans="1:7" x14ac:dyDescent="0.25">
      <c r="A106" s="8">
        <v>42645.556122685186</v>
      </c>
      <c r="B106" s="23" t="s">
        <v>173</v>
      </c>
      <c r="C106" s="23" t="s">
        <v>517</v>
      </c>
      <c r="D106" s="23">
        <v>2020000</v>
      </c>
      <c r="E106" s="23" t="s">
        <v>282</v>
      </c>
      <c r="F106" s="23" t="str">
        <f t="shared" si="2"/>
        <v>rtdc.l.rtdc.4041:itc</v>
      </c>
      <c r="G106" s="8">
        <f t="shared" si="3"/>
        <v>42645.556122685186</v>
      </c>
    </row>
    <row r="107" spans="1:7" x14ac:dyDescent="0.25">
      <c r="A107" s="8">
        <v>42645.558668981481</v>
      </c>
      <c r="B107" s="23" t="s">
        <v>168</v>
      </c>
      <c r="C107" s="23" t="s">
        <v>525</v>
      </c>
      <c r="D107" s="23">
        <v>2040000</v>
      </c>
      <c r="E107" s="23" t="s">
        <v>266</v>
      </c>
      <c r="F107" s="23" t="str">
        <f t="shared" si="2"/>
        <v>rtdc.l.rtdc.4025:itc</v>
      </c>
      <c r="G107" s="8">
        <f t="shared" si="3"/>
        <v>42645.558668981481</v>
      </c>
    </row>
    <row r="108" spans="1:7" x14ac:dyDescent="0.25">
      <c r="A108" s="8">
        <v>42645.567557870374</v>
      </c>
      <c r="B108" s="23" t="s">
        <v>398</v>
      </c>
      <c r="C108" s="23" t="s">
        <v>560</v>
      </c>
      <c r="D108" s="23">
        <v>1110000</v>
      </c>
      <c r="E108" s="23" t="s">
        <v>717</v>
      </c>
      <c r="F108" s="23" t="str">
        <f t="shared" si="2"/>
        <v>rtdc.l.rtdc.4004:itc</v>
      </c>
      <c r="G108" s="8">
        <f t="shared" si="3"/>
        <v>42645.567557870374</v>
      </c>
    </row>
    <row r="109" spans="1:7" x14ac:dyDescent="0.25">
      <c r="A109" s="8">
        <v>42645.567847222221</v>
      </c>
      <c r="B109" s="23" t="s">
        <v>340</v>
      </c>
      <c r="C109" s="23" t="s">
        <v>519</v>
      </c>
      <c r="D109" s="23">
        <v>880000</v>
      </c>
      <c r="E109" s="23" t="s">
        <v>346</v>
      </c>
      <c r="F109" s="23" t="str">
        <f t="shared" si="2"/>
        <v>rtdc.l.rtdc.4015:itc</v>
      </c>
      <c r="G109" s="8">
        <f t="shared" si="3"/>
        <v>42645.567847222221</v>
      </c>
    </row>
    <row r="110" spans="1:7" x14ac:dyDescent="0.25">
      <c r="A110" s="8">
        <v>42645.56931712963</v>
      </c>
      <c r="B110" s="23" t="s">
        <v>342</v>
      </c>
      <c r="C110" s="23" t="s">
        <v>521</v>
      </c>
      <c r="D110" s="23">
        <v>1280000</v>
      </c>
      <c r="E110" s="23" t="s">
        <v>402</v>
      </c>
      <c r="F110" s="23" t="str">
        <f t="shared" si="2"/>
        <v>rtdc.l.rtdc.4054:itc</v>
      </c>
      <c r="G110" s="8">
        <f t="shared" si="3"/>
        <v>42645.56931712963</v>
      </c>
    </row>
    <row r="111" spans="1:7" x14ac:dyDescent="0.25">
      <c r="A111" s="8">
        <v>42645.569525462961</v>
      </c>
      <c r="B111" s="23" t="s">
        <v>710</v>
      </c>
      <c r="C111" s="23" t="s">
        <v>550</v>
      </c>
      <c r="D111" s="23">
        <v>1140000</v>
      </c>
      <c r="E111" s="23" t="s">
        <v>720</v>
      </c>
      <c r="F111" s="23" t="str">
        <f t="shared" si="2"/>
        <v>rtdc.l.rtdc.4007:itc</v>
      </c>
      <c r="G111" s="8">
        <f t="shared" si="3"/>
        <v>42645.569525462961</v>
      </c>
    </row>
    <row r="112" spans="1:7" x14ac:dyDescent="0.25">
      <c r="A112" s="8">
        <v>42645.58185185185</v>
      </c>
      <c r="B112" s="23" t="s">
        <v>162</v>
      </c>
      <c r="C112" s="23" t="s">
        <v>593</v>
      </c>
      <c r="D112" s="23">
        <v>930000</v>
      </c>
      <c r="E112" s="23" t="s">
        <v>347</v>
      </c>
      <c r="F112" s="23" t="str">
        <f t="shared" si="2"/>
        <v>rtdc.l.rtdc.4020:itc</v>
      </c>
      <c r="G112" s="8">
        <f t="shared" si="3"/>
        <v>42645.58185185185</v>
      </c>
    </row>
    <row r="113" spans="1:7" x14ac:dyDescent="0.25">
      <c r="A113" s="8">
        <v>42645.583993055552</v>
      </c>
      <c r="B113" s="23" t="s">
        <v>251</v>
      </c>
      <c r="C113" s="23" t="s">
        <v>523</v>
      </c>
      <c r="D113" s="23">
        <v>2090000</v>
      </c>
      <c r="E113" s="23" t="s">
        <v>719</v>
      </c>
      <c r="F113" s="23" t="str">
        <f t="shared" si="2"/>
        <v>rtdc.l.rtdc.4013:itc</v>
      </c>
      <c r="G113" s="8">
        <f t="shared" si="3"/>
        <v>42645.583993055552</v>
      </c>
    </row>
    <row r="114" spans="1:7" x14ac:dyDescent="0.25">
      <c r="A114" s="8">
        <v>42645.585289351853</v>
      </c>
      <c r="B114" s="23" t="s">
        <v>397</v>
      </c>
      <c r="C114" s="23" t="s">
        <v>562</v>
      </c>
      <c r="D114" s="23">
        <v>2270000</v>
      </c>
      <c r="E114" s="23" t="s">
        <v>721</v>
      </c>
      <c r="F114" s="23" t="str">
        <f t="shared" si="2"/>
        <v>rtdc.l.rtdc.4003:itc</v>
      </c>
      <c r="G114" s="8">
        <f t="shared" si="3"/>
        <v>42645.585289351853</v>
      </c>
    </row>
    <row r="115" spans="1:7" x14ac:dyDescent="0.25">
      <c r="A115" s="8">
        <v>42645.588622685187</v>
      </c>
      <c r="B115" s="23" t="s">
        <v>174</v>
      </c>
      <c r="C115" s="23" t="s">
        <v>603</v>
      </c>
      <c r="D115" s="23">
        <v>2020000</v>
      </c>
      <c r="E115" s="23" t="s">
        <v>282</v>
      </c>
      <c r="F115" s="23" t="str">
        <f t="shared" si="2"/>
        <v>rtdc.l.rtdc.4042:itc</v>
      </c>
      <c r="G115" s="8">
        <f t="shared" si="3"/>
        <v>42645.588622685187</v>
      </c>
    </row>
    <row r="116" spans="1:7" x14ac:dyDescent="0.25">
      <c r="A116" s="8">
        <v>42645.599259259259</v>
      </c>
      <c r="B116" s="23" t="s">
        <v>169</v>
      </c>
      <c r="C116" s="23" t="s">
        <v>526</v>
      </c>
      <c r="D116" s="23">
        <v>2040000</v>
      </c>
      <c r="E116" s="23" t="s">
        <v>266</v>
      </c>
      <c r="F116" s="23" t="str">
        <f t="shared" si="2"/>
        <v>rtdc.l.rtdc.4026:itc</v>
      </c>
      <c r="G116" s="8">
        <f t="shared" si="3"/>
        <v>42645.599259259259</v>
      </c>
    </row>
    <row r="117" spans="1:7" x14ac:dyDescent="0.25">
      <c r="A117" s="8">
        <v>42645.599803240744</v>
      </c>
      <c r="B117" s="23" t="s">
        <v>341</v>
      </c>
      <c r="C117" s="23" t="s">
        <v>606</v>
      </c>
      <c r="D117" s="23">
        <v>880000</v>
      </c>
      <c r="E117" s="23" t="s">
        <v>346</v>
      </c>
      <c r="F117" s="23" t="str">
        <f t="shared" si="2"/>
        <v>rtdc.l.rtdc.4016:itc</v>
      </c>
      <c r="G117" s="8">
        <f t="shared" si="3"/>
        <v>42645.599803240744</v>
      </c>
    </row>
    <row r="118" spans="1:7" x14ac:dyDescent="0.25">
      <c r="A118" s="8">
        <v>42645.606909722221</v>
      </c>
      <c r="B118" s="23" t="s">
        <v>716</v>
      </c>
      <c r="C118" s="23" t="s">
        <v>567</v>
      </c>
      <c r="D118" s="23">
        <v>1140000</v>
      </c>
      <c r="E118" s="23" t="s">
        <v>720</v>
      </c>
      <c r="F118" s="23" t="str">
        <f t="shared" si="2"/>
        <v>rtdc.l.rtdc.4008:itc</v>
      </c>
      <c r="G118" s="8">
        <f t="shared" si="3"/>
        <v>42645.606909722221</v>
      </c>
    </row>
    <row r="119" spans="1:7" x14ac:dyDescent="0.25">
      <c r="A119" s="8">
        <v>42645.609548611108</v>
      </c>
      <c r="B119" s="23" t="s">
        <v>398</v>
      </c>
      <c r="C119" s="23" t="s">
        <v>563</v>
      </c>
      <c r="D119" s="23">
        <v>2270000</v>
      </c>
      <c r="E119" s="23" t="s">
        <v>721</v>
      </c>
      <c r="F119" s="23" t="str">
        <f t="shared" si="2"/>
        <v>rtdc.l.rtdc.4004:itc</v>
      </c>
      <c r="G119" s="8">
        <f t="shared" si="3"/>
        <v>42645.609548611108</v>
      </c>
    </row>
    <row r="120" spans="1:7" x14ac:dyDescent="0.25">
      <c r="A120" s="8">
        <v>42645.610266203701</v>
      </c>
      <c r="B120" s="23" t="s">
        <v>345</v>
      </c>
      <c r="C120" s="23" t="s">
        <v>609</v>
      </c>
      <c r="D120" s="23">
        <v>1280000</v>
      </c>
      <c r="E120" s="23" t="s">
        <v>402</v>
      </c>
      <c r="F120" s="23" t="str">
        <f t="shared" si="2"/>
        <v>rtdc.l.rtdc.4053:itc</v>
      </c>
      <c r="G120" s="8">
        <f t="shared" si="3"/>
        <v>42645.610266203701</v>
      </c>
    </row>
    <row r="121" spans="1:7" x14ac:dyDescent="0.25">
      <c r="A121" s="8">
        <v>42645.62</v>
      </c>
      <c r="B121" s="23" t="s">
        <v>161</v>
      </c>
      <c r="C121" s="23" t="s">
        <v>601</v>
      </c>
      <c r="D121" s="23">
        <v>930000</v>
      </c>
      <c r="E121" s="23" t="s">
        <v>347</v>
      </c>
      <c r="F121" s="23" t="str">
        <f t="shared" si="2"/>
        <v>rtdc.l.rtdc.4019:itc</v>
      </c>
      <c r="G121" s="8">
        <f t="shared" si="3"/>
        <v>42645.62</v>
      </c>
    </row>
    <row r="122" spans="1:7" x14ac:dyDescent="0.25">
      <c r="A122" s="8">
        <v>42645.621736111112</v>
      </c>
      <c r="B122" s="28" t="s">
        <v>227</v>
      </c>
      <c r="C122" s="23" t="s">
        <v>615</v>
      </c>
      <c r="D122" s="23">
        <v>2090000</v>
      </c>
      <c r="E122" s="23" t="s">
        <v>719</v>
      </c>
      <c r="F122" s="23" t="str">
        <f t="shared" si="2"/>
        <v>rtdc.l.rtdc.4014:itc</v>
      </c>
      <c r="G122" s="8">
        <f t="shared" si="3"/>
        <v>42645.621736111112</v>
      </c>
    </row>
    <row r="123" spans="1:7" x14ac:dyDescent="0.25">
      <c r="A123" s="8">
        <v>42645.628078703703</v>
      </c>
      <c r="B123" s="23" t="s">
        <v>173</v>
      </c>
      <c r="C123" s="23" t="s">
        <v>604</v>
      </c>
      <c r="D123" s="23">
        <v>2020000</v>
      </c>
      <c r="E123" s="23" t="s">
        <v>282</v>
      </c>
      <c r="F123" s="23" t="str">
        <f t="shared" si="2"/>
        <v>rtdc.l.rtdc.4041:itc</v>
      </c>
      <c r="G123" s="8">
        <f t="shared" si="3"/>
        <v>42645.628078703703</v>
      </c>
    </row>
    <row r="124" spans="1:7" x14ac:dyDescent="0.25">
      <c r="A124" s="8">
        <v>42645.630335648151</v>
      </c>
      <c r="B124" s="23" t="s">
        <v>397</v>
      </c>
      <c r="C124" s="23" t="s">
        <v>566</v>
      </c>
      <c r="D124" s="23">
        <v>2270000</v>
      </c>
      <c r="E124" s="23" t="s">
        <v>721</v>
      </c>
      <c r="F124" s="23" t="str">
        <f t="shared" si="2"/>
        <v>rtdc.l.rtdc.4003:itc</v>
      </c>
      <c r="G124" s="8">
        <f t="shared" si="3"/>
        <v>42645.630335648151</v>
      </c>
    </row>
    <row r="125" spans="1:7" x14ac:dyDescent="0.25">
      <c r="A125" s="8">
        <v>42645.632824074077</v>
      </c>
      <c r="B125" s="23" t="s">
        <v>168</v>
      </c>
      <c r="C125" s="23" t="s">
        <v>617</v>
      </c>
      <c r="D125" s="23">
        <v>2040000</v>
      </c>
      <c r="E125" s="23" t="s">
        <v>266</v>
      </c>
      <c r="F125" s="23" t="str">
        <f t="shared" si="2"/>
        <v>rtdc.l.rtdc.4025:itc</v>
      </c>
      <c r="G125" s="8">
        <f t="shared" si="3"/>
        <v>42645.632824074077</v>
      </c>
    </row>
    <row r="126" spans="1:7" x14ac:dyDescent="0.25">
      <c r="A126" s="8">
        <v>42645.640729166669</v>
      </c>
      <c r="B126" s="23" t="s">
        <v>340</v>
      </c>
      <c r="C126" s="23" t="s">
        <v>608</v>
      </c>
      <c r="D126" s="23">
        <v>880000</v>
      </c>
      <c r="E126" s="23" t="s">
        <v>346</v>
      </c>
      <c r="F126" s="23" t="str">
        <f t="shared" si="2"/>
        <v>rtdc.l.rtdc.4015:itc</v>
      </c>
      <c r="G126" s="8">
        <f t="shared" si="3"/>
        <v>42645.640729166669</v>
      </c>
    </row>
    <row r="127" spans="1:7" x14ac:dyDescent="0.25">
      <c r="A127" s="8">
        <v>42645.642256944448</v>
      </c>
      <c r="B127" s="23" t="s">
        <v>710</v>
      </c>
      <c r="C127" s="23" t="s">
        <v>619</v>
      </c>
      <c r="D127" s="23">
        <v>1140000</v>
      </c>
      <c r="E127" s="23" t="s">
        <v>720</v>
      </c>
      <c r="F127" s="23" t="str">
        <f t="shared" si="2"/>
        <v>rtdc.l.rtdc.4007:itc</v>
      </c>
      <c r="G127" s="8">
        <f t="shared" si="3"/>
        <v>42645.642256944448</v>
      </c>
    </row>
    <row r="128" spans="1:7" x14ac:dyDescent="0.25">
      <c r="A128" s="8">
        <v>42645.643958333334</v>
      </c>
      <c r="B128" s="23" t="s">
        <v>342</v>
      </c>
      <c r="C128" s="23" t="s">
        <v>611</v>
      </c>
      <c r="D128" s="23">
        <v>1280000</v>
      </c>
      <c r="E128" s="23" t="s">
        <v>402</v>
      </c>
      <c r="F128" s="23" t="str">
        <f t="shared" si="2"/>
        <v>rtdc.l.rtdc.4054:itc</v>
      </c>
      <c r="G128" s="8">
        <f t="shared" si="3"/>
        <v>42645.643958333334</v>
      </c>
    </row>
    <row r="129" spans="1:7" x14ac:dyDescent="0.25">
      <c r="A129" s="8">
        <v>42645.651203703703</v>
      </c>
      <c r="B129" s="23" t="s">
        <v>398</v>
      </c>
      <c r="C129" s="23" t="s">
        <v>568</v>
      </c>
      <c r="D129" s="23">
        <v>2270000</v>
      </c>
      <c r="E129" s="23" t="s">
        <v>721</v>
      </c>
      <c r="F129" s="23" t="str">
        <f t="shared" si="2"/>
        <v>rtdc.l.rtdc.4004:itc</v>
      </c>
      <c r="G129" s="8">
        <f t="shared" si="3"/>
        <v>42645.651203703703</v>
      </c>
    </row>
    <row r="130" spans="1:7" x14ac:dyDescent="0.25">
      <c r="A130" s="8">
        <v>42645.654560185183</v>
      </c>
      <c r="B130" s="23" t="s">
        <v>162</v>
      </c>
      <c r="C130" s="23" t="s">
        <v>622</v>
      </c>
      <c r="D130" s="23">
        <v>730000</v>
      </c>
      <c r="E130" s="23" t="s">
        <v>722</v>
      </c>
      <c r="F130" s="23" t="str">
        <f t="shared" ref="F130:F193" si="4">B130</f>
        <v>rtdc.l.rtdc.4020:itc</v>
      </c>
      <c r="G130" s="8">
        <f t="shared" ref="G130:G193" si="5">A130</f>
        <v>42645.654560185183</v>
      </c>
    </row>
    <row r="131" spans="1:7" x14ac:dyDescent="0.25">
      <c r="A131" s="8">
        <v>42645.658263888887</v>
      </c>
      <c r="B131" s="23" t="s">
        <v>251</v>
      </c>
      <c r="C131" s="23" t="s">
        <v>616</v>
      </c>
      <c r="D131" s="23">
        <v>2090000</v>
      </c>
      <c r="E131" s="23" t="s">
        <v>719</v>
      </c>
      <c r="F131" s="23" t="str">
        <f t="shared" si="4"/>
        <v>rtdc.l.rtdc.4013:itc</v>
      </c>
      <c r="G131" s="8">
        <f t="shared" si="5"/>
        <v>42645.658263888887</v>
      </c>
    </row>
    <row r="132" spans="1:7" x14ac:dyDescent="0.25">
      <c r="A132" s="8">
        <v>42645.661516203705</v>
      </c>
      <c r="B132" s="23" t="s">
        <v>174</v>
      </c>
      <c r="C132" s="23" t="s">
        <v>625</v>
      </c>
      <c r="D132" s="23">
        <v>2020000</v>
      </c>
      <c r="E132" s="23" t="s">
        <v>282</v>
      </c>
      <c r="F132" s="23" t="str">
        <f t="shared" si="4"/>
        <v>rtdc.l.rtdc.4042:itc</v>
      </c>
      <c r="G132" s="8">
        <f t="shared" si="5"/>
        <v>42645.661516203705</v>
      </c>
    </row>
    <row r="133" spans="1:7" x14ac:dyDescent="0.25">
      <c r="A133" s="8">
        <v>42645.671550925923</v>
      </c>
      <c r="B133" s="23" t="s">
        <v>169</v>
      </c>
      <c r="C133" s="23" t="s">
        <v>618</v>
      </c>
      <c r="D133" s="23">
        <v>2040000</v>
      </c>
      <c r="E133" s="23" t="s">
        <v>266</v>
      </c>
      <c r="F133" s="23" t="str">
        <f t="shared" si="4"/>
        <v>rtdc.l.rtdc.4026:itc</v>
      </c>
      <c r="G133" s="8">
        <f t="shared" si="5"/>
        <v>42645.671550925923</v>
      </c>
    </row>
    <row r="134" spans="1:7" x14ac:dyDescent="0.25">
      <c r="A134" s="8">
        <v>42645.672048611108</v>
      </c>
      <c r="B134" s="23" t="s">
        <v>397</v>
      </c>
      <c r="C134" s="23" t="s">
        <v>570</v>
      </c>
      <c r="D134" s="23">
        <v>2270000</v>
      </c>
      <c r="E134" s="23" t="s">
        <v>721</v>
      </c>
      <c r="F134" s="23" t="str">
        <f t="shared" si="4"/>
        <v>rtdc.l.rtdc.4003:itc</v>
      </c>
      <c r="G134" s="8">
        <f t="shared" si="5"/>
        <v>42645.672048611108</v>
      </c>
    </row>
    <row r="135" spans="1:7" x14ac:dyDescent="0.25">
      <c r="A135" s="8">
        <v>42645.672500000001</v>
      </c>
      <c r="B135" s="23" t="s">
        <v>341</v>
      </c>
      <c r="C135" s="23" t="s">
        <v>629</v>
      </c>
      <c r="D135" s="23">
        <v>880000</v>
      </c>
      <c r="E135" s="23" t="s">
        <v>346</v>
      </c>
      <c r="F135" s="23" t="str">
        <f t="shared" si="4"/>
        <v>rtdc.l.rtdc.4016:itc</v>
      </c>
      <c r="G135" s="8">
        <f t="shared" si="5"/>
        <v>42645.672500000001</v>
      </c>
    </row>
    <row r="136" spans="1:7" x14ac:dyDescent="0.25">
      <c r="A136" s="8">
        <v>42645.675324074073</v>
      </c>
      <c r="B136" s="23" t="s">
        <v>716</v>
      </c>
      <c r="C136" s="23" t="s">
        <v>620</v>
      </c>
      <c r="D136" s="23">
        <v>1140000</v>
      </c>
      <c r="E136" s="23" t="s">
        <v>720</v>
      </c>
      <c r="F136" s="23" t="str">
        <f t="shared" si="4"/>
        <v>rtdc.l.rtdc.4008:itc</v>
      </c>
      <c r="G136" s="8">
        <f t="shared" si="5"/>
        <v>42645.675324074073</v>
      </c>
    </row>
    <row r="137" spans="1:7" x14ac:dyDescent="0.25">
      <c r="A137" s="8">
        <v>42645.685590277775</v>
      </c>
      <c r="B137" s="23" t="s">
        <v>345</v>
      </c>
      <c r="C137" s="23" t="s">
        <v>632</v>
      </c>
      <c r="D137" s="23">
        <v>1280000</v>
      </c>
      <c r="E137" s="23" t="s">
        <v>402</v>
      </c>
      <c r="F137" s="23" t="str">
        <f t="shared" si="4"/>
        <v>rtdc.l.rtdc.4053:itc</v>
      </c>
      <c r="G137" s="8">
        <f t="shared" si="5"/>
        <v>42645.685590277775</v>
      </c>
    </row>
    <row r="138" spans="1:7" x14ac:dyDescent="0.25">
      <c r="A138" s="8">
        <v>42645.685798611114</v>
      </c>
      <c r="B138" s="23" t="s">
        <v>161</v>
      </c>
      <c r="C138" s="23" t="s">
        <v>624</v>
      </c>
      <c r="D138" s="23">
        <v>730000</v>
      </c>
      <c r="E138" s="23" t="s">
        <v>722</v>
      </c>
      <c r="F138" s="23" t="str">
        <f t="shared" si="4"/>
        <v>rtdc.l.rtdc.4019:itc</v>
      </c>
      <c r="G138" s="8">
        <f t="shared" si="5"/>
        <v>42645.685798611114</v>
      </c>
    </row>
    <row r="139" spans="1:7" x14ac:dyDescent="0.25">
      <c r="A139" s="8">
        <v>42645.692870370367</v>
      </c>
      <c r="B139" s="23" t="s">
        <v>398</v>
      </c>
      <c r="C139" s="23" t="s">
        <v>572</v>
      </c>
      <c r="D139" s="23">
        <v>2270000</v>
      </c>
      <c r="E139" s="23" t="s">
        <v>721</v>
      </c>
      <c r="F139" s="23" t="str">
        <f t="shared" si="4"/>
        <v>rtdc.l.rtdc.4004:itc</v>
      </c>
      <c r="G139" s="8">
        <f t="shared" si="5"/>
        <v>42645.692870370367</v>
      </c>
    </row>
    <row r="140" spans="1:7" x14ac:dyDescent="0.25">
      <c r="A140" s="8">
        <v>42645.694502314815</v>
      </c>
      <c r="B140" s="23" t="s">
        <v>227</v>
      </c>
      <c r="C140" s="23" t="s">
        <v>634</v>
      </c>
      <c r="D140" s="23">
        <v>2090000</v>
      </c>
      <c r="E140" s="23" t="s">
        <v>719</v>
      </c>
      <c r="F140" s="23" t="str">
        <f t="shared" si="4"/>
        <v>rtdc.l.rtdc.4014:itc</v>
      </c>
      <c r="G140" s="8">
        <f t="shared" si="5"/>
        <v>42645.694502314815</v>
      </c>
    </row>
    <row r="141" spans="1:7" x14ac:dyDescent="0.25">
      <c r="A141" s="8">
        <v>42645.702465277776</v>
      </c>
      <c r="B141" s="23" t="s">
        <v>173</v>
      </c>
      <c r="C141" s="23" t="s">
        <v>627</v>
      </c>
      <c r="D141" s="23">
        <v>2020000</v>
      </c>
      <c r="E141" s="23" t="s">
        <v>282</v>
      </c>
      <c r="F141" s="23" t="str">
        <f t="shared" si="4"/>
        <v>rtdc.l.rtdc.4041:itc</v>
      </c>
      <c r="G141" s="8">
        <f t="shared" si="5"/>
        <v>42645.702465277776</v>
      </c>
    </row>
    <row r="142" spans="1:7" x14ac:dyDescent="0.25">
      <c r="A142" s="8">
        <v>42645.705451388887</v>
      </c>
      <c r="B142" s="23" t="s">
        <v>168</v>
      </c>
      <c r="C142" s="23" t="s">
        <v>637</v>
      </c>
      <c r="D142" s="23">
        <v>2040000</v>
      </c>
      <c r="E142" s="23" t="s">
        <v>266</v>
      </c>
      <c r="F142" s="23" t="str">
        <f t="shared" si="4"/>
        <v>rtdc.l.rtdc.4025:itc</v>
      </c>
      <c r="G142" s="8">
        <f t="shared" si="5"/>
        <v>42645.705451388887</v>
      </c>
    </row>
    <row r="143" spans="1:7" x14ac:dyDescent="0.25">
      <c r="A143" s="8">
        <v>42645.71398148148</v>
      </c>
      <c r="B143" s="23" t="s">
        <v>397</v>
      </c>
      <c r="C143" s="23" t="s">
        <v>575</v>
      </c>
      <c r="D143" s="23">
        <v>2270000</v>
      </c>
      <c r="E143" s="23" t="s">
        <v>721</v>
      </c>
      <c r="F143" s="23" t="str">
        <f t="shared" si="4"/>
        <v>rtdc.l.rtdc.4003:itc</v>
      </c>
      <c r="G143" s="8">
        <f t="shared" si="5"/>
        <v>42645.71398148148</v>
      </c>
    </row>
    <row r="144" spans="1:7" x14ac:dyDescent="0.25">
      <c r="A144" s="8">
        <v>42645.714409722219</v>
      </c>
      <c r="B144" s="23" t="s">
        <v>340</v>
      </c>
      <c r="C144" s="23" t="s">
        <v>630</v>
      </c>
      <c r="D144" s="23">
        <v>880000</v>
      </c>
      <c r="E144" s="23" t="s">
        <v>346</v>
      </c>
      <c r="F144" s="23" t="str">
        <f t="shared" si="4"/>
        <v>rtdc.l.rtdc.4015:itc</v>
      </c>
      <c r="G144" s="8">
        <f t="shared" si="5"/>
        <v>42645.714409722219</v>
      </c>
    </row>
    <row r="145" spans="1:7" x14ac:dyDescent="0.25">
      <c r="A145" s="8">
        <v>42645.715578703705</v>
      </c>
      <c r="B145" s="23" t="s">
        <v>342</v>
      </c>
      <c r="C145" s="23" t="s">
        <v>633</v>
      </c>
      <c r="D145" s="23">
        <v>1280000</v>
      </c>
      <c r="E145" s="23" t="s">
        <v>402</v>
      </c>
      <c r="F145" s="23" t="str">
        <f t="shared" si="4"/>
        <v>rtdc.l.rtdc.4054:itc</v>
      </c>
      <c r="G145" s="8">
        <f t="shared" si="5"/>
        <v>42645.715578703705</v>
      </c>
    </row>
    <row r="146" spans="1:7" x14ac:dyDescent="0.25">
      <c r="A146" s="8">
        <v>42645.716921296298</v>
      </c>
      <c r="B146" s="23" t="s">
        <v>710</v>
      </c>
      <c r="C146" s="23" t="s">
        <v>640</v>
      </c>
      <c r="D146" s="23">
        <v>1180000</v>
      </c>
      <c r="E146" s="23" t="s">
        <v>245</v>
      </c>
      <c r="F146" s="23" t="str">
        <f t="shared" si="4"/>
        <v>rtdc.l.rtdc.4007:itc</v>
      </c>
      <c r="G146" s="8">
        <f t="shared" si="5"/>
        <v>42645.716921296298</v>
      </c>
    </row>
    <row r="147" spans="1:7" x14ac:dyDescent="0.25">
      <c r="A147" s="8">
        <v>42645.725254629629</v>
      </c>
      <c r="B147" s="23" t="s">
        <v>162</v>
      </c>
      <c r="C147" s="23" t="s">
        <v>642</v>
      </c>
      <c r="D147" s="23">
        <v>1140000</v>
      </c>
      <c r="E147" s="23" t="s">
        <v>720</v>
      </c>
      <c r="F147" s="23" t="str">
        <f t="shared" si="4"/>
        <v>rtdc.l.rtdc.4020:itc</v>
      </c>
      <c r="G147" s="8">
        <f t="shared" si="5"/>
        <v>42645.725254629629</v>
      </c>
    </row>
    <row r="148" spans="1:7" x14ac:dyDescent="0.25">
      <c r="A148" s="8">
        <v>42645.728912037041</v>
      </c>
      <c r="B148" s="23" t="s">
        <v>251</v>
      </c>
      <c r="C148" s="23" t="s">
        <v>636</v>
      </c>
      <c r="D148" s="23">
        <v>2090000</v>
      </c>
      <c r="E148" s="23" t="s">
        <v>719</v>
      </c>
      <c r="F148" s="23" t="str">
        <f t="shared" si="4"/>
        <v>rtdc.l.rtdc.4013:itc</v>
      </c>
      <c r="G148" s="8">
        <f t="shared" si="5"/>
        <v>42645.728912037041</v>
      </c>
    </row>
    <row r="149" spans="1:7" x14ac:dyDescent="0.25">
      <c r="A149" s="8">
        <v>42645.732916666668</v>
      </c>
      <c r="B149" s="23" t="s">
        <v>344</v>
      </c>
      <c r="C149" s="23" t="s">
        <v>705</v>
      </c>
      <c r="D149" s="23">
        <v>2150000</v>
      </c>
      <c r="E149" s="23" t="s">
        <v>348</v>
      </c>
      <c r="F149" s="23" t="str">
        <f t="shared" si="4"/>
        <v>rtdc.l.rtdc.4031:itc</v>
      </c>
      <c r="G149" s="8">
        <f t="shared" si="5"/>
        <v>42645.732916666668</v>
      </c>
    </row>
    <row r="150" spans="1:7" x14ac:dyDescent="0.25">
      <c r="A150" s="8">
        <v>42645.734942129631</v>
      </c>
      <c r="B150" s="23" t="s">
        <v>398</v>
      </c>
      <c r="C150" s="23" t="s">
        <v>578</v>
      </c>
      <c r="D150" s="23">
        <v>2270000</v>
      </c>
      <c r="E150" s="23" t="s">
        <v>721</v>
      </c>
      <c r="F150" s="23" t="str">
        <f t="shared" si="4"/>
        <v>rtdc.l.rtdc.4004:itc</v>
      </c>
      <c r="G150" s="8">
        <f t="shared" si="5"/>
        <v>42645.734942129631</v>
      </c>
    </row>
    <row r="151" spans="1:7" x14ac:dyDescent="0.25">
      <c r="A151" s="8">
        <v>42645.736516203702</v>
      </c>
      <c r="B151" s="23" t="s">
        <v>174</v>
      </c>
      <c r="C151" s="23" t="s">
        <v>645</v>
      </c>
      <c r="D151" s="23">
        <v>1290000</v>
      </c>
      <c r="E151" s="23" t="s">
        <v>170</v>
      </c>
      <c r="F151" s="23" t="str">
        <f t="shared" si="4"/>
        <v>rtdc.l.rtdc.4042:itc</v>
      </c>
      <c r="G151" s="8">
        <f t="shared" si="5"/>
        <v>42645.736516203702</v>
      </c>
    </row>
    <row r="152" spans="1:7" x14ac:dyDescent="0.25">
      <c r="A152" s="8">
        <v>42645.737002314818</v>
      </c>
      <c r="B152" s="23" t="s">
        <v>250</v>
      </c>
      <c r="C152" s="23" t="s">
        <v>707</v>
      </c>
      <c r="D152" s="23">
        <v>2260000</v>
      </c>
      <c r="E152" s="23" t="s">
        <v>350</v>
      </c>
      <c r="F152" s="23" t="str">
        <f t="shared" si="4"/>
        <v>rtdc.l.rtdc.4045:itc</v>
      </c>
      <c r="G152" s="8">
        <f t="shared" si="5"/>
        <v>42645.737002314818</v>
      </c>
    </row>
    <row r="153" spans="1:7" x14ac:dyDescent="0.25">
      <c r="A153" s="8">
        <v>42645.743935185186</v>
      </c>
      <c r="B153" s="23" t="s">
        <v>169</v>
      </c>
      <c r="C153" s="23" t="s">
        <v>638</v>
      </c>
      <c r="D153" s="23">
        <v>2040000</v>
      </c>
      <c r="E153" s="23" t="s">
        <v>266</v>
      </c>
      <c r="F153" s="23" t="str">
        <f t="shared" si="4"/>
        <v>rtdc.l.rtdc.4026:itc</v>
      </c>
      <c r="G153" s="8">
        <f t="shared" si="5"/>
        <v>42645.743935185186</v>
      </c>
    </row>
    <row r="154" spans="1:7" x14ac:dyDescent="0.25">
      <c r="A154" s="8">
        <v>42645.745127314818</v>
      </c>
      <c r="B154" s="23" t="s">
        <v>341</v>
      </c>
      <c r="C154" s="23" t="s">
        <v>647</v>
      </c>
      <c r="D154" s="23">
        <v>2020000</v>
      </c>
      <c r="E154" s="23" t="s">
        <v>282</v>
      </c>
      <c r="F154" s="23" t="str">
        <f t="shared" si="4"/>
        <v>rtdc.l.rtdc.4016:itc</v>
      </c>
      <c r="G154" s="8">
        <f t="shared" si="5"/>
        <v>42645.745127314818</v>
      </c>
    </row>
    <row r="155" spans="1:7" x14ac:dyDescent="0.25">
      <c r="A155" s="8">
        <v>42645.754988425928</v>
      </c>
      <c r="B155" s="23" t="s">
        <v>716</v>
      </c>
      <c r="C155" s="23" t="s">
        <v>641</v>
      </c>
      <c r="D155" s="23">
        <v>1180000</v>
      </c>
      <c r="E155" s="23" t="s">
        <v>245</v>
      </c>
      <c r="F155" s="23" t="str">
        <f t="shared" si="4"/>
        <v>rtdc.l.rtdc.4008:itc</v>
      </c>
      <c r="G155" s="8">
        <f t="shared" si="5"/>
        <v>42645.754988425928</v>
      </c>
    </row>
    <row r="156" spans="1:7" x14ac:dyDescent="0.25">
      <c r="A156" s="8">
        <v>42645.759733796294</v>
      </c>
      <c r="B156" s="23" t="s">
        <v>161</v>
      </c>
      <c r="C156" s="23" t="s">
        <v>643</v>
      </c>
      <c r="D156" s="23">
        <v>1140000</v>
      </c>
      <c r="E156" s="23" t="s">
        <v>720</v>
      </c>
      <c r="F156" s="23" t="str">
        <f t="shared" si="4"/>
        <v>rtdc.l.rtdc.4019:itc</v>
      </c>
      <c r="G156" s="8">
        <f t="shared" si="5"/>
        <v>42645.759733796294</v>
      </c>
    </row>
    <row r="157" spans="1:7" x14ac:dyDescent="0.25">
      <c r="A157" s="8">
        <v>42645.76158564815</v>
      </c>
      <c r="B157" s="23" t="s">
        <v>345</v>
      </c>
      <c r="C157" s="23" t="s">
        <v>651</v>
      </c>
      <c r="D157" s="23">
        <v>1810000</v>
      </c>
      <c r="E157" s="23" t="s">
        <v>281</v>
      </c>
      <c r="F157" s="23" t="str">
        <f t="shared" si="4"/>
        <v>rtdc.l.rtdc.4053:itc</v>
      </c>
      <c r="G157" s="8">
        <f t="shared" si="5"/>
        <v>42645.76158564815</v>
      </c>
    </row>
    <row r="158" spans="1:7" x14ac:dyDescent="0.25">
      <c r="A158" s="8">
        <v>42645.762048611112</v>
      </c>
      <c r="B158" s="23" t="s">
        <v>397</v>
      </c>
      <c r="C158" s="23" t="s">
        <v>581</v>
      </c>
      <c r="D158" s="23">
        <v>2270000</v>
      </c>
      <c r="E158" s="23" t="s">
        <v>721</v>
      </c>
      <c r="F158" s="23" t="str">
        <f t="shared" si="4"/>
        <v>rtdc.l.rtdc.4003:itc</v>
      </c>
      <c r="G158" s="8">
        <f t="shared" si="5"/>
        <v>42645.762048611112</v>
      </c>
    </row>
    <row r="159" spans="1:7" x14ac:dyDescent="0.25">
      <c r="A159" s="8">
        <v>42645.770462962966</v>
      </c>
      <c r="B159" s="23" t="s">
        <v>227</v>
      </c>
      <c r="C159" s="23" t="s">
        <v>653</v>
      </c>
      <c r="D159" s="23">
        <v>1800000</v>
      </c>
      <c r="E159" s="23" t="s">
        <v>351</v>
      </c>
      <c r="F159" s="23" t="str">
        <f t="shared" si="4"/>
        <v>rtdc.l.rtdc.4014:itc</v>
      </c>
      <c r="G159" s="8">
        <f t="shared" si="5"/>
        <v>42645.770462962966</v>
      </c>
    </row>
    <row r="160" spans="1:7" x14ac:dyDescent="0.25">
      <c r="A160" s="8">
        <v>42645.773634259262</v>
      </c>
      <c r="B160" s="23" t="s">
        <v>173</v>
      </c>
      <c r="C160" s="23" t="s">
        <v>646</v>
      </c>
      <c r="D160" s="23">
        <v>1290000</v>
      </c>
      <c r="E160" s="23" t="s">
        <v>170</v>
      </c>
      <c r="F160" s="23" t="str">
        <f t="shared" si="4"/>
        <v>rtdc.l.rtdc.4041:itc</v>
      </c>
      <c r="G160" s="8">
        <f t="shared" si="5"/>
        <v>42645.773634259262</v>
      </c>
    </row>
    <row r="161" spans="1:7" x14ac:dyDescent="0.25">
      <c r="A161" s="8">
        <v>42645.776180555556</v>
      </c>
      <c r="B161" s="23" t="s">
        <v>398</v>
      </c>
      <c r="C161" s="23" t="s">
        <v>584</v>
      </c>
      <c r="D161" s="23">
        <v>2270000</v>
      </c>
      <c r="E161" s="23" t="s">
        <v>721</v>
      </c>
      <c r="F161" s="23" t="str">
        <f t="shared" si="4"/>
        <v>rtdc.l.rtdc.4004:itc</v>
      </c>
      <c r="G161" s="8">
        <f t="shared" si="5"/>
        <v>42645.776180555556</v>
      </c>
    </row>
    <row r="162" spans="1:7" x14ac:dyDescent="0.25">
      <c r="A162" s="8">
        <v>42645.783958333333</v>
      </c>
      <c r="B162" s="23" t="s">
        <v>168</v>
      </c>
      <c r="C162" s="23" t="s">
        <v>686</v>
      </c>
      <c r="D162" s="23">
        <v>2040000</v>
      </c>
      <c r="E162" s="23" t="s">
        <v>266</v>
      </c>
      <c r="F162" s="23" t="str">
        <f t="shared" si="4"/>
        <v>rtdc.l.rtdc.4025:itc</v>
      </c>
      <c r="G162" s="8">
        <f t="shared" si="5"/>
        <v>42645.783958333333</v>
      </c>
    </row>
    <row r="163" spans="1:7" x14ac:dyDescent="0.25">
      <c r="A163" s="8">
        <v>42645.78564814815</v>
      </c>
      <c r="B163" s="23" t="s">
        <v>340</v>
      </c>
      <c r="C163" s="23" t="s">
        <v>648</v>
      </c>
      <c r="D163" s="23">
        <v>2020000</v>
      </c>
      <c r="E163" s="23" t="s">
        <v>282</v>
      </c>
      <c r="F163" s="23" t="str">
        <f t="shared" si="4"/>
        <v>rtdc.l.rtdc.4015:itc</v>
      </c>
      <c r="G163" s="8">
        <f t="shared" si="5"/>
        <v>42645.78564814815</v>
      </c>
    </row>
    <row r="164" spans="1:7" x14ac:dyDescent="0.25">
      <c r="A164" s="8">
        <v>42645.786886574075</v>
      </c>
      <c r="B164" s="23" t="s">
        <v>710</v>
      </c>
      <c r="C164" s="23" t="s">
        <v>656</v>
      </c>
      <c r="D164" s="23">
        <v>1180000</v>
      </c>
      <c r="E164" s="23" t="s">
        <v>245</v>
      </c>
      <c r="F164" s="23" t="str">
        <f t="shared" si="4"/>
        <v>rtdc.l.rtdc.4007:itc</v>
      </c>
      <c r="G164" s="8">
        <f t="shared" si="5"/>
        <v>42645.786886574075</v>
      </c>
    </row>
    <row r="165" spans="1:7" x14ac:dyDescent="0.25">
      <c r="A165" s="8">
        <v>42645.788726851853</v>
      </c>
      <c r="B165" s="23" t="s">
        <v>342</v>
      </c>
      <c r="C165" s="23" t="s">
        <v>652</v>
      </c>
      <c r="D165" s="23">
        <v>1810000</v>
      </c>
      <c r="E165" s="23" t="s">
        <v>281</v>
      </c>
      <c r="F165" s="23" t="str">
        <f t="shared" si="4"/>
        <v>rtdc.l.rtdc.4054:itc</v>
      </c>
      <c r="G165" s="8">
        <f t="shared" si="5"/>
        <v>42645.788726851853</v>
      </c>
    </row>
    <row r="166" spans="1:7" x14ac:dyDescent="0.25">
      <c r="A166" s="8">
        <v>42645.7969212963</v>
      </c>
      <c r="B166" s="23" t="s">
        <v>397</v>
      </c>
      <c r="C166" s="23" t="s">
        <v>587</v>
      </c>
      <c r="D166" s="23">
        <v>2270000</v>
      </c>
      <c r="E166" s="23" t="s">
        <v>721</v>
      </c>
      <c r="F166" s="23" t="str">
        <f t="shared" si="4"/>
        <v>rtdc.l.rtdc.4003:itc</v>
      </c>
      <c r="G166" s="8">
        <f t="shared" si="5"/>
        <v>42645.7969212963</v>
      </c>
    </row>
    <row r="167" spans="1:7" x14ac:dyDescent="0.25">
      <c r="A167" s="8">
        <v>42645.807928240742</v>
      </c>
      <c r="B167" s="23" t="s">
        <v>174</v>
      </c>
      <c r="C167" s="23" t="s">
        <v>658</v>
      </c>
      <c r="D167" s="23">
        <v>1290000</v>
      </c>
      <c r="E167" s="23" t="s">
        <v>170</v>
      </c>
      <c r="F167" s="23" t="str">
        <f t="shared" si="4"/>
        <v>rtdc.l.rtdc.4042:itc</v>
      </c>
      <c r="G167" s="8">
        <f t="shared" si="5"/>
        <v>42645.807928240742</v>
      </c>
    </row>
    <row r="168" spans="1:7" x14ac:dyDescent="0.25">
      <c r="A168" s="8">
        <v>42645.809317129628</v>
      </c>
      <c r="B168" s="23" t="s">
        <v>251</v>
      </c>
      <c r="C168" s="23" t="s">
        <v>654</v>
      </c>
      <c r="D168" s="23">
        <v>1800000</v>
      </c>
      <c r="E168" s="23" t="s">
        <v>351</v>
      </c>
      <c r="F168" s="23" t="str">
        <f t="shared" si="4"/>
        <v>rtdc.l.rtdc.4013:itc</v>
      </c>
      <c r="G168" s="8">
        <f t="shared" si="5"/>
        <v>42645.809317129628</v>
      </c>
    </row>
    <row r="169" spans="1:7" x14ac:dyDescent="0.25">
      <c r="A169" s="8">
        <v>42645.817754629628</v>
      </c>
      <c r="B169" s="23" t="s">
        <v>398</v>
      </c>
      <c r="C169" s="23" t="s">
        <v>589</v>
      </c>
      <c r="D169" s="23">
        <v>2270000</v>
      </c>
      <c r="E169" s="23" t="s">
        <v>721</v>
      </c>
      <c r="F169" s="23" t="str">
        <f t="shared" si="4"/>
        <v>rtdc.l.rtdc.4004:itc</v>
      </c>
      <c r="G169" s="8">
        <f t="shared" si="5"/>
        <v>42645.817754629628</v>
      </c>
    </row>
    <row r="170" spans="1:7" x14ac:dyDescent="0.25">
      <c r="A170" s="8">
        <v>42645.818356481483</v>
      </c>
      <c r="B170" s="23" t="s">
        <v>341</v>
      </c>
      <c r="C170" s="23" t="s">
        <v>689</v>
      </c>
      <c r="D170" s="23">
        <v>2020000</v>
      </c>
      <c r="E170" s="23" t="s">
        <v>282</v>
      </c>
      <c r="F170" s="23" t="str">
        <f t="shared" si="4"/>
        <v>rtdc.l.rtdc.4016:itc</v>
      </c>
      <c r="G170" s="8">
        <f t="shared" si="5"/>
        <v>42645.818356481483</v>
      </c>
    </row>
    <row r="171" spans="1:7" x14ac:dyDescent="0.25">
      <c r="A171" s="8">
        <v>42645.822094907409</v>
      </c>
      <c r="B171" s="23" t="s">
        <v>716</v>
      </c>
      <c r="C171" s="23" t="s">
        <v>657</v>
      </c>
      <c r="D171" s="23">
        <v>1180000</v>
      </c>
      <c r="E171" s="23" t="s">
        <v>245</v>
      </c>
      <c r="F171" s="23" t="str">
        <f t="shared" si="4"/>
        <v>rtdc.l.rtdc.4008:itc</v>
      </c>
      <c r="G171" s="8">
        <f t="shared" si="5"/>
        <v>42645.822094907409</v>
      </c>
    </row>
    <row r="172" spans="1:7" x14ac:dyDescent="0.25">
      <c r="A172" s="8">
        <v>42645.830011574071</v>
      </c>
      <c r="B172" s="23" t="s">
        <v>345</v>
      </c>
      <c r="C172" s="23" t="s">
        <v>660</v>
      </c>
      <c r="D172" s="23">
        <v>1810000</v>
      </c>
      <c r="E172" s="23" t="s">
        <v>281</v>
      </c>
      <c r="F172" s="23" t="str">
        <f t="shared" si="4"/>
        <v>rtdc.l.rtdc.4053:itc</v>
      </c>
      <c r="G172" s="8">
        <f t="shared" si="5"/>
        <v>42645.830011574071</v>
      </c>
    </row>
    <row r="173" spans="1:7" x14ac:dyDescent="0.25">
      <c r="A173" s="8">
        <v>42645.837824074071</v>
      </c>
      <c r="B173" s="23" t="s">
        <v>397</v>
      </c>
      <c r="C173" s="23" t="s">
        <v>591</v>
      </c>
      <c r="D173" s="23">
        <v>2270000</v>
      </c>
      <c r="E173" s="23" t="s">
        <v>721</v>
      </c>
      <c r="F173" s="23" t="str">
        <f t="shared" si="4"/>
        <v>rtdc.l.rtdc.4003:itc</v>
      </c>
      <c r="G173" s="8">
        <f t="shared" si="5"/>
        <v>42645.837824074071</v>
      </c>
    </row>
    <row r="174" spans="1:7" x14ac:dyDescent="0.25">
      <c r="A174" s="8">
        <v>42645.846215277779</v>
      </c>
      <c r="B174" s="23" t="s">
        <v>173</v>
      </c>
      <c r="C174" s="23" t="s">
        <v>659</v>
      </c>
      <c r="D174" s="23">
        <v>1290000</v>
      </c>
      <c r="E174" s="23" t="s">
        <v>170</v>
      </c>
      <c r="F174" s="23" t="str">
        <f t="shared" si="4"/>
        <v>rtdc.l.rtdc.4041:itc</v>
      </c>
      <c r="G174" s="8">
        <f t="shared" si="5"/>
        <v>42645.846215277779</v>
      </c>
    </row>
    <row r="175" spans="1:7" x14ac:dyDescent="0.25">
      <c r="A175" s="8">
        <v>42645.853726851848</v>
      </c>
      <c r="B175" s="23" t="s">
        <v>227</v>
      </c>
      <c r="C175" s="23" t="s">
        <v>662</v>
      </c>
      <c r="D175" s="23">
        <v>1800000</v>
      </c>
      <c r="E175" s="23" t="s">
        <v>351</v>
      </c>
      <c r="F175" s="23" t="str">
        <f t="shared" si="4"/>
        <v>rtdc.l.rtdc.4014:itc</v>
      </c>
      <c r="G175" s="8">
        <f t="shared" si="5"/>
        <v>42645.853726851848</v>
      </c>
    </row>
    <row r="176" spans="1:7" x14ac:dyDescent="0.25">
      <c r="A176" s="8">
        <v>42645.85869212963</v>
      </c>
      <c r="B176" s="23" t="s">
        <v>398</v>
      </c>
      <c r="C176" s="23" t="s">
        <v>594</v>
      </c>
      <c r="D176" s="23">
        <v>2270000</v>
      </c>
      <c r="E176" s="23" t="s">
        <v>721</v>
      </c>
      <c r="F176" s="23" t="str">
        <f t="shared" si="4"/>
        <v>rtdc.l.rtdc.4004:itc</v>
      </c>
      <c r="G176" s="8">
        <f t="shared" si="5"/>
        <v>42645.85869212963</v>
      </c>
    </row>
    <row r="177" spans="1:7" x14ac:dyDescent="0.25">
      <c r="A177" s="8">
        <v>42645.860138888886</v>
      </c>
      <c r="B177" s="23" t="s">
        <v>342</v>
      </c>
      <c r="C177" s="23" t="s">
        <v>661</v>
      </c>
      <c r="D177" s="23">
        <v>1810000</v>
      </c>
      <c r="E177" s="23" t="s">
        <v>281</v>
      </c>
      <c r="F177" s="23" t="str">
        <f t="shared" si="4"/>
        <v>rtdc.l.rtdc.4054:itc</v>
      </c>
      <c r="G177" s="8">
        <f t="shared" si="5"/>
        <v>42645.860138888886</v>
      </c>
    </row>
    <row r="178" spans="1:7" x14ac:dyDescent="0.25">
      <c r="A178" s="8">
        <v>42645.873043981483</v>
      </c>
      <c r="B178" s="23" t="s">
        <v>710</v>
      </c>
      <c r="C178" s="23" t="s">
        <v>665</v>
      </c>
      <c r="D178" s="23">
        <v>1180000</v>
      </c>
      <c r="E178" s="23" t="s">
        <v>245</v>
      </c>
      <c r="F178" s="23" t="str">
        <f t="shared" si="4"/>
        <v>rtdc.l.rtdc.4007:itc</v>
      </c>
      <c r="G178" s="8">
        <f t="shared" si="5"/>
        <v>42645.873043981483</v>
      </c>
    </row>
    <row r="179" spans="1:7" x14ac:dyDescent="0.25">
      <c r="A179" s="8">
        <v>42645.890740740739</v>
      </c>
      <c r="B179" s="23" t="s">
        <v>174</v>
      </c>
      <c r="C179" s="23" t="s">
        <v>667</v>
      </c>
      <c r="D179" s="23">
        <v>1290000</v>
      </c>
      <c r="E179" s="23" t="s">
        <v>170</v>
      </c>
      <c r="F179" s="23" t="str">
        <f t="shared" si="4"/>
        <v>rtdc.l.rtdc.4042:itc</v>
      </c>
      <c r="G179" s="8">
        <f t="shared" si="5"/>
        <v>42645.890740740739</v>
      </c>
    </row>
    <row r="180" spans="1:7" x14ac:dyDescent="0.25">
      <c r="A180" s="8">
        <v>42645.891967592594</v>
      </c>
      <c r="B180" s="23" t="s">
        <v>251</v>
      </c>
      <c r="C180" s="23" t="s">
        <v>664</v>
      </c>
      <c r="D180" s="23">
        <v>1800000</v>
      </c>
      <c r="E180" s="23" t="s">
        <v>351</v>
      </c>
      <c r="F180" s="23" t="str">
        <f t="shared" si="4"/>
        <v>rtdc.l.rtdc.4013:itc</v>
      </c>
      <c r="G180" s="8">
        <f t="shared" si="5"/>
        <v>42645.891967592594</v>
      </c>
    </row>
    <row r="181" spans="1:7" x14ac:dyDescent="0.25">
      <c r="A181" s="8">
        <v>42645.897314814814</v>
      </c>
      <c r="B181" s="23" t="s">
        <v>397</v>
      </c>
      <c r="C181" s="23" t="s">
        <v>595</v>
      </c>
      <c r="D181" s="23">
        <v>2260000</v>
      </c>
      <c r="E181" s="23" t="s">
        <v>350</v>
      </c>
      <c r="F181" s="23" t="str">
        <f t="shared" si="4"/>
        <v>rtdc.l.rtdc.4003:itc</v>
      </c>
      <c r="G181" s="8">
        <f t="shared" si="5"/>
        <v>42645.897314814814</v>
      </c>
    </row>
    <row r="182" spans="1:7" x14ac:dyDescent="0.25">
      <c r="A182" s="8">
        <v>42645.90351851852</v>
      </c>
      <c r="B182" s="23" t="s">
        <v>345</v>
      </c>
      <c r="C182" s="23" t="s">
        <v>669</v>
      </c>
      <c r="D182" s="23">
        <v>1810000</v>
      </c>
      <c r="E182" s="23" t="s">
        <v>281</v>
      </c>
      <c r="F182" s="23" t="str">
        <f t="shared" si="4"/>
        <v>rtdc.l.rtdc.4053:itc</v>
      </c>
      <c r="G182" s="8">
        <f t="shared" si="5"/>
        <v>42645.90351851852</v>
      </c>
    </row>
    <row r="183" spans="1:7" x14ac:dyDescent="0.25">
      <c r="A183" s="8">
        <v>42645.906655092593</v>
      </c>
      <c r="B183" s="23" t="s">
        <v>716</v>
      </c>
      <c r="C183" s="23" t="s">
        <v>666</v>
      </c>
      <c r="D183" s="23">
        <v>1180000</v>
      </c>
      <c r="E183" s="23" t="s">
        <v>245</v>
      </c>
      <c r="F183" s="23" t="str">
        <f t="shared" si="4"/>
        <v>rtdc.l.rtdc.4008:itc</v>
      </c>
      <c r="G183" s="8">
        <f t="shared" si="5"/>
        <v>42645.906655092593</v>
      </c>
    </row>
    <row r="184" spans="1:7" x14ac:dyDescent="0.25">
      <c r="A184" s="8">
        <v>42645.912777777776</v>
      </c>
      <c r="B184" s="23" t="s">
        <v>398</v>
      </c>
      <c r="C184" s="23" t="s">
        <v>597</v>
      </c>
      <c r="D184" s="23">
        <v>2260000</v>
      </c>
      <c r="E184" s="23" t="s">
        <v>350</v>
      </c>
      <c r="F184" s="23" t="str">
        <f t="shared" si="4"/>
        <v>rtdc.l.rtdc.4004:itc</v>
      </c>
      <c r="G184" s="8">
        <f t="shared" si="5"/>
        <v>42645.912777777776</v>
      </c>
    </row>
    <row r="185" spans="1:7" x14ac:dyDescent="0.25">
      <c r="A185" s="8">
        <v>42645.920127314814</v>
      </c>
      <c r="B185" s="23" t="s">
        <v>345</v>
      </c>
      <c r="C185" s="23" t="s">
        <v>669</v>
      </c>
      <c r="D185" s="23">
        <v>1810000</v>
      </c>
      <c r="E185" s="23" t="s">
        <v>281</v>
      </c>
      <c r="F185" s="23" t="str">
        <f t="shared" si="4"/>
        <v>rtdc.l.rtdc.4053:itc</v>
      </c>
      <c r="G185" s="8">
        <f t="shared" si="5"/>
        <v>42645.920127314814</v>
      </c>
    </row>
    <row r="186" spans="1:7" x14ac:dyDescent="0.25">
      <c r="A186" s="8">
        <v>42645.929710648146</v>
      </c>
      <c r="B186" s="23" t="s">
        <v>397</v>
      </c>
      <c r="C186" s="23" t="s">
        <v>599</v>
      </c>
      <c r="D186" s="23">
        <v>2260000</v>
      </c>
      <c r="E186" s="23" t="s">
        <v>350</v>
      </c>
      <c r="F186" s="23" t="str">
        <f t="shared" si="4"/>
        <v>rtdc.l.rtdc.4003:itc</v>
      </c>
      <c r="G186" s="8">
        <f t="shared" si="5"/>
        <v>42645.929710648146</v>
      </c>
    </row>
    <row r="187" spans="1:7" x14ac:dyDescent="0.25">
      <c r="A187" s="8">
        <v>42645.930520833332</v>
      </c>
      <c r="B187" s="23" t="s">
        <v>173</v>
      </c>
      <c r="C187" s="23" t="s">
        <v>668</v>
      </c>
      <c r="D187" s="23">
        <v>1290000</v>
      </c>
      <c r="E187" s="23" t="s">
        <v>170</v>
      </c>
      <c r="F187" s="23" t="str">
        <f t="shared" si="4"/>
        <v>rtdc.l.rtdc.4041:itc</v>
      </c>
      <c r="G187" s="8">
        <f t="shared" si="5"/>
        <v>42645.930520833332</v>
      </c>
    </row>
    <row r="188" spans="1:7" x14ac:dyDescent="0.25">
      <c r="A188" s="8">
        <v>42645.936944444446</v>
      </c>
      <c r="B188" s="23" t="s">
        <v>227</v>
      </c>
      <c r="C188" s="23" t="s">
        <v>672</v>
      </c>
      <c r="D188" s="23">
        <v>1800000</v>
      </c>
      <c r="E188" s="23" t="s">
        <v>351</v>
      </c>
      <c r="F188" s="23" t="str">
        <f t="shared" si="4"/>
        <v>rtdc.l.rtdc.4014:itc</v>
      </c>
      <c r="G188" s="8">
        <f t="shared" si="5"/>
        <v>42645.936944444446</v>
      </c>
    </row>
    <row r="189" spans="1:7" x14ac:dyDescent="0.25">
      <c r="A189" s="8">
        <v>42645.944814814815</v>
      </c>
      <c r="B189" s="23" t="s">
        <v>398</v>
      </c>
      <c r="C189" s="23" t="s">
        <v>612</v>
      </c>
      <c r="D189" s="23">
        <v>2260000</v>
      </c>
      <c r="E189" s="23" t="s">
        <v>350</v>
      </c>
      <c r="F189" s="23" t="str">
        <f t="shared" si="4"/>
        <v>rtdc.l.rtdc.4004:itc</v>
      </c>
      <c r="G189" s="8">
        <f t="shared" si="5"/>
        <v>42645.944814814815</v>
      </c>
    </row>
    <row r="190" spans="1:7" x14ac:dyDescent="0.25">
      <c r="A190" s="8">
        <v>42645.950671296298</v>
      </c>
      <c r="B190" s="23" t="s">
        <v>342</v>
      </c>
      <c r="C190" s="23" t="s">
        <v>671</v>
      </c>
      <c r="D190" s="23">
        <v>1810000</v>
      </c>
      <c r="E190" s="23" t="s">
        <v>281</v>
      </c>
      <c r="F190" s="23" t="str">
        <f t="shared" si="4"/>
        <v>rtdc.l.rtdc.4054:itc</v>
      </c>
      <c r="G190" s="8">
        <f t="shared" si="5"/>
        <v>42645.950671296298</v>
      </c>
    </row>
    <row r="191" spans="1:7" x14ac:dyDescent="0.25">
      <c r="A191" s="8">
        <v>42645.953449074077</v>
      </c>
      <c r="B191" s="23" t="s">
        <v>710</v>
      </c>
      <c r="C191" s="23" t="s">
        <v>674</v>
      </c>
      <c r="D191" s="23">
        <v>1180000</v>
      </c>
      <c r="E191" s="23" t="s">
        <v>245</v>
      </c>
      <c r="F191" s="23" t="str">
        <f t="shared" si="4"/>
        <v>rtdc.l.rtdc.4007:itc</v>
      </c>
      <c r="G191" s="8">
        <f t="shared" si="5"/>
        <v>42645.953449074077</v>
      </c>
    </row>
    <row r="192" spans="1:7" x14ac:dyDescent="0.25">
      <c r="A192" s="8">
        <v>42645.972731481481</v>
      </c>
      <c r="B192" s="23" t="s">
        <v>174</v>
      </c>
      <c r="C192" s="23" t="s">
        <v>677</v>
      </c>
      <c r="D192" s="23">
        <v>1290000</v>
      </c>
      <c r="E192" s="23" t="s">
        <v>170</v>
      </c>
      <c r="F192" s="23" t="str">
        <f t="shared" si="4"/>
        <v>rtdc.l.rtdc.4042:itc</v>
      </c>
      <c r="G192" s="8">
        <f t="shared" si="5"/>
        <v>42645.972731481481</v>
      </c>
    </row>
    <row r="193" spans="1:7" x14ac:dyDescent="0.25">
      <c r="A193" s="8">
        <v>42645.972928240742</v>
      </c>
      <c r="B193" s="23" t="s">
        <v>251</v>
      </c>
      <c r="C193" s="23" t="s">
        <v>673</v>
      </c>
      <c r="D193" s="23">
        <v>1800000</v>
      </c>
      <c r="E193" s="23" t="s">
        <v>351</v>
      </c>
      <c r="F193" s="23" t="str">
        <f t="shared" si="4"/>
        <v>rtdc.l.rtdc.4013:itc</v>
      </c>
      <c r="G193" s="8">
        <f t="shared" si="5"/>
        <v>42645.972928240742</v>
      </c>
    </row>
    <row r="194" spans="1:7" x14ac:dyDescent="0.25">
      <c r="A194" s="8">
        <v>42645.993773148148</v>
      </c>
      <c r="B194" s="23" t="s">
        <v>716</v>
      </c>
      <c r="C194" s="23" t="s">
        <v>676</v>
      </c>
      <c r="D194" s="23">
        <v>1180000</v>
      </c>
      <c r="E194" s="23" t="s">
        <v>245</v>
      </c>
      <c r="F194" s="23" t="str">
        <f t="shared" ref="F194:F235" si="6">B194</f>
        <v>rtdc.l.rtdc.4008:itc</v>
      </c>
      <c r="G194" s="8">
        <f t="shared" ref="G194:G235" si="7">A194</f>
        <v>42645.993773148148</v>
      </c>
    </row>
    <row r="195" spans="1:7" x14ac:dyDescent="0.25">
      <c r="A195" s="8">
        <v>42645.995300925926</v>
      </c>
      <c r="B195" s="23" t="s">
        <v>345</v>
      </c>
      <c r="C195" s="23" t="s">
        <v>680</v>
      </c>
      <c r="D195" s="23">
        <v>1810000</v>
      </c>
      <c r="E195" s="23" t="s">
        <v>281</v>
      </c>
      <c r="F195" s="23" t="str">
        <f t="shared" si="6"/>
        <v>rtdc.l.rtdc.4053:itc</v>
      </c>
      <c r="G195" s="8">
        <f t="shared" si="7"/>
        <v>42645.995300925926</v>
      </c>
    </row>
    <row r="196" spans="1:7" x14ac:dyDescent="0.25">
      <c r="A196" s="8">
        <v>42646.013541666667</v>
      </c>
      <c r="B196" s="23" t="s">
        <v>173</v>
      </c>
      <c r="C196" s="23" t="s">
        <v>678</v>
      </c>
      <c r="D196" s="23">
        <v>1290000</v>
      </c>
      <c r="E196" s="23" t="s">
        <v>170</v>
      </c>
      <c r="F196" s="23" t="str">
        <f t="shared" si="6"/>
        <v>rtdc.l.rtdc.4041:itc</v>
      </c>
      <c r="G196" s="8">
        <f t="shared" si="7"/>
        <v>42646.013541666667</v>
      </c>
    </row>
    <row r="197" spans="1:7" x14ac:dyDescent="0.25">
      <c r="A197" s="8">
        <v>42646.020578703705</v>
      </c>
      <c r="B197" s="23" t="s">
        <v>227</v>
      </c>
      <c r="C197" s="23" t="s">
        <v>683</v>
      </c>
      <c r="D197" s="23">
        <v>1800000</v>
      </c>
      <c r="E197" s="23" t="s">
        <v>351</v>
      </c>
      <c r="F197" s="23" t="str">
        <f t="shared" si="6"/>
        <v>rtdc.l.rtdc.4014:itc</v>
      </c>
      <c r="G197" s="8">
        <f t="shared" si="7"/>
        <v>42646.020578703705</v>
      </c>
    </row>
    <row r="198" spans="1:7" x14ac:dyDescent="0.25">
      <c r="A198" s="8">
        <v>42646.027604166666</v>
      </c>
      <c r="B198" s="23" t="s">
        <v>710</v>
      </c>
      <c r="C198" s="23" t="s">
        <v>691</v>
      </c>
      <c r="D198" s="23">
        <v>1180000</v>
      </c>
      <c r="E198" s="23" t="s">
        <v>245</v>
      </c>
      <c r="F198" s="23" t="str">
        <f t="shared" si="6"/>
        <v>rtdc.l.rtdc.4007:itc</v>
      </c>
      <c r="G198" s="8">
        <f t="shared" si="7"/>
        <v>42646.027604166666</v>
      </c>
    </row>
    <row r="199" spans="1:7" x14ac:dyDescent="0.25">
      <c r="A199" s="8">
        <v>42646.036666666667</v>
      </c>
      <c r="B199" s="23" t="s">
        <v>342</v>
      </c>
      <c r="C199" s="23" t="s">
        <v>681</v>
      </c>
      <c r="D199" s="23">
        <v>1810000</v>
      </c>
      <c r="E199" s="23" t="s">
        <v>281</v>
      </c>
      <c r="F199" s="23" t="str">
        <f t="shared" si="6"/>
        <v>rtdc.l.rtdc.4054:itc</v>
      </c>
      <c r="G199" s="8">
        <f t="shared" si="7"/>
        <v>42646.036666666667</v>
      </c>
    </row>
    <row r="200" spans="1:7" x14ac:dyDescent="0.25">
      <c r="A200" s="8">
        <v>42646.046319444446</v>
      </c>
      <c r="B200" s="23" t="s">
        <v>174</v>
      </c>
      <c r="C200" s="23" t="s">
        <v>693</v>
      </c>
      <c r="D200" s="23">
        <v>1290000</v>
      </c>
      <c r="E200" s="23" t="s">
        <v>170</v>
      </c>
      <c r="F200" s="23" t="str">
        <f t="shared" si="6"/>
        <v>rtdc.l.rtdc.4042:itc</v>
      </c>
      <c r="G200" s="8">
        <f t="shared" si="7"/>
        <v>42646.046319444446</v>
      </c>
    </row>
    <row r="201" spans="1:7" x14ac:dyDescent="0.25">
      <c r="A201" s="8">
        <v>42646.057488425926</v>
      </c>
      <c r="B201" s="23" t="s">
        <v>251</v>
      </c>
      <c r="C201" s="23" t="s">
        <v>684</v>
      </c>
      <c r="D201" s="23">
        <v>1800000</v>
      </c>
      <c r="E201" s="23" t="s">
        <v>351</v>
      </c>
      <c r="F201" s="23" t="str">
        <f t="shared" si="6"/>
        <v>rtdc.l.rtdc.4013:itc</v>
      </c>
      <c r="G201" s="8">
        <f t="shared" si="7"/>
        <v>42646.057488425926</v>
      </c>
    </row>
    <row r="202" spans="1:7" x14ac:dyDescent="0.25">
      <c r="A202" s="29">
        <v>42646.068206018521</v>
      </c>
      <c r="B202" s="23" t="s">
        <v>345</v>
      </c>
      <c r="C202" s="23" t="s">
        <v>694</v>
      </c>
      <c r="D202" s="23">
        <v>1810000</v>
      </c>
      <c r="E202" s="23" t="s">
        <v>281</v>
      </c>
      <c r="F202" s="23" t="str">
        <f t="shared" si="6"/>
        <v>rtdc.l.rtdc.4053:itc</v>
      </c>
      <c r="G202" s="8">
        <f t="shared" si="7"/>
        <v>42646.068206018521</v>
      </c>
    </row>
    <row r="203" spans="1:7" x14ac:dyDescent="0.25">
      <c r="A203" s="8">
        <v>42646.089363425926</v>
      </c>
      <c r="B203" s="23" t="s">
        <v>227</v>
      </c>
      <c r="C203" s="23" t="s">
        <v>696</v>
      </c>
      <c r="D203" s="23">
        <v>1800000</v>
      </c>
      <c r="E203" s="23" t="s">
        <v>351</v>
      </c>
      <c r="F203" s="23" t="str">
        <f t="shared" si="6"/>
        <v>rtdc.l.rtdc.4014:itc</v>
      </c>
      <c r="G203" s="8">
        <f t="shared" si="7"/>
        <v>42646.089363425926</v>
      </c>
    </row>
    <row r="204" spans="1:7" x14ac:dyDescent="0.25">
      <c r="B204" s="23"/>
      <c r="C204" s="23"/>
      <c r="D204" s="23"/>
      <c r="E204" s="23"/>
      <c r="F204" s="23">
        <f t="shared" si="6"/>
        <v>0</v>
      </c>
      <c r="G204" s="8">
        <f t="shared" si="7"/>
        <v>0</v>
      </c>
    </row>
    <row r="205" spans="1:7" x14ac:dyDescent="0.25">
      <c r="A205" s="8">
        <v>42644.999652777777</v>
      </c>
      <c r="B205" s="23" t="s">
        <v>240</v>
      </c>
      <c r="C205" s="23" t="s">
        <v>381</v>
      </c>
      <c r="D205" s="23">
        <v>1800000</v>
      </c>
      <c r="E205" s="23" t="s">
        <v>351</v>
      </c>
      <c r="F205" s="23" t="str">
        <f t="shared" si="6"/>
        <v>rtdc.l.rtdc.4018:itc</v>
      </c>
      <c r="G205" s="8">
        <f t="shared" si="7"/>
        <v>42644.999652777777</v>
      </c>
    </row>
    <row r="206" spans="1:7" x14ac:dyDescent="0.25">
      <c r="A206" s="8">
        <v>42645.005393518521</v>
      </c>
      <c r="B206" s="23" t="s">
        <v>220</v>
      </c>
      <c r="C206" s="23" t="s">
        <v>380</v>
      </c>
      <c r="D206" s="23">
        <v>1810000</v>
      </c>
      <c r="E206" s="23" t="s">
        <v>281</v>
      </c>
      <c r="F206" s="23" t="str">
        <f t="shared" si="6"/>
        <v>rtdc.l.rtdc.4012:itc</v>
      </c>
      <c r="G206" s="8">
        <f t="shared" si="7"/>
        <v>42645.005393518521</v>
      </c>
    </row>
    <row r="207" spans="1:7" x14ac:dyDescent="0.25">
      <c r="A207" s="8">
        <v>42645.014837962961</v>
      </c>
      <c r="B207" s="23" t="s">
        <v>349</v>
      </c>
      <c r="C207" s="23" t="s">
        <v>384</v>
      </c>
      <c r="D207" s="23">
        <v>1480000</v>
      </c>
      <c r="E207" s="23" t="s">
        <v>267</v>
      </c>
      <c r="F207" s="23" t="str">
        <f t="shared" si="6"/>
        <v>rtdc.l.rtdc.4009:itc</v>
      </c>
      <c r="G207" s="8">
        <f t="shared" si="7"/>
        <v>42645.014837962961</v>
      </c>
    </row>
    <row r="208" spans="1:7" x14ac:dyDescent="0.25">
      <c r="A208" s="8">
        <v>42645.034953703704</v>
      </c>
      <c r="B208" s="23" t="s">
        <v>234</v>
      </c>
      <c r="C208" s="23" t="s">
        <v>386</v>
      </c>
      <c r="D208" s="23">
        <v>1300000</v>
      </c>
      <c r="E208" s="23" t="s">
        <v>121</v>
      </c>
      <c r="F208" s="23" t="str">
        <f t="shared" si="6"/>
        <v>rtdc.l.rtdc.4029:itc</v>
      </c>
      <c r="G208" s="8">
        <f t="shared" si="7"/>
        <v>42645.034953703704</v>
      </c>
    </row>
    <row r="209" spans="1:7" x14ac:dyDescent="0.25">
      <c r="A209" s="8">
        <v>42645.037175925929</v>
      </c>
      <c r="B209" s="23" t="s">
        <v>239</v>
      </c>
      <c r="C209" s="23" t="s">
        <v>383</v>
      </c>
      <c r="D209" s="23">
        <v>1800000</v>
      </c>
      <c r="E209" s="23" t="s">
        <v>351</v>
      </c>
      <c r="F209" s="23" t="str">
        <f t="shared" si="6"/>
        <v>rtdc.l.rtdc.4017:itc</v>
      </c>
      <c r="G209" s="8">
        <f t="shared" si="7"/>
        <v>42645.037175925929</v>
      </c>
    </row>
    <row r="210" spans="1:7" x14ac:dyDescent="0.25">
      <c r="A210" s="8">
        <v>42645.047256944446</v>
      </c>
      <c r="B210" s="23" t="s">
        <v>280</v>
      </c>
      <c r="C210" s="23" t="s">
        <v>392</v>
      </c>
      <c r="D210" s="23">
        <v>1810000</v>
      </c>
      <c r="E210" s="23" t="s">
        <v>281</v>
      </c>
      <c r="F210" s="23" t="str">
        <f t="shared" si="6"/>
        <v>rtdc.l.rtdc.4011:itc</v>
      </c>
      <c r="G210" s="8">
        <f t="shared" si="7"/>
        <v>42645.047256944446</v>
      </c>
    </row>
    <row r="211" spans="1:7" x14ac:dyDescent="0.25">
      <c r="A211" s="8">
        <v>42645.04896990741</v>
      </c>
      <c r="B211" s="23" t="s">
        <v>280</v>
      </c>
      <c r="C211" s="23" t="s">
        <v>392</v>
      </c>
      <c r="D211" s="23">
        <v>1810000</v>
      </c>
      <c r="E211" s="23" t="s">
        <v>281</v>
      </c>
      <c r="F211" s="23" t="str">
        <f t="shared" si="6"/>
        <v>rtdc.l.rtdc.4011:itc</v>
      </c>
      <c r="G211" s="8">
        <f t="shared" si="7"/>
        <v>42645.04896990741</v>
      </c>
    </row>
    <row r="212" spans="1:7" x14ac:dyDescent="0.25">
      <c r="A212" s="8">
        <v>42645.053159722222</v>
      </c>
      <c r="B212" s="23" t="s">
        <v>339</v>
      </c>
      <c r="C212" s="23" t="s">
        <v>385</v>
      </c>
      <c r="D212" s="23">
        <v>1480000</v>
      </c>
      <c r="E212" s="23" t="s">
        <v>267</v>
      </c>
      <c r="F212" s="23" t="str">
        <f t="shared" si="6"/>
        <v>rtdc.l.rtdc.4010:itc</v>
      </c>
      <c r="G212" s="8">
        <f t="shared" si="7"/>
        <v>42645.053159722222</v>
      </c>
    </row>
    <row r="213" spans="1:7" x14ac:dyDescent="0.25">
      <c r="A213" s="8">
        <v>42645.072129629632</v>
      </c>
      <c r="B213" s="23" t="s">
        <v>240</v>
      </c>
      <c r="C213" s="23" t="s">
        <v>393</v>
      </c>
      <c r="D213" s="23">
        <v>1800000</v>
      </c>
      <c r="E213" s="23" t="s">
        <v>351</v>
      </c>
      <c r="F213" s="23" t="str">
        <f t="shared" si="6"/>
        <v>rtdc.l.rtdc.4018:itc</v>
      </c>
      <c r="G213" s="8">
        <f t="shared" si="7"/>
        <v>42645.072129629632</v>
      </c>
    </row>
    <row r="214" spans="1:7" x14ac:dyDescent="0.25">
      <c r="A214" s="8">
        <v>42645.078692129631</v>
      </c>
      <c r="B214" s="23" t="s">
        <v>399</v>
      </c>
      <c r="C214" s="23" t="s">
        <v>388</v>
      </c>
      <c r="D214" s="23">
        <v>1300000</v>
      </c>
      <c r="E214" s="23" t="s">
        <v>121</v>
      </c>
      <c r="F214" s="23" t="str">
        <f t="shared" si="6"/>
        <v>rtdc.l.rtdc.4030:itc</v>
      </c>
      <c r="G214" s="8">
        <f t="shared" si="7"/>
        <v>42645.078692129631</v>
      </c>
    </row>
    <row r="215" spans="1:7" x14ac:dyDescent="0.25">
      <c r="A215" s="8">
        <v>42645.090115740742</v>
      </c>
      <c r="B215" s="23" t="s">
        <v>349</v>
      </c>
      <c r="C215" s="23" t="s">
        <v>394</v>
      </c>
      <c r="D215" s="23">
        <v>1480000</v>
      </c>
      <c r="E215" s="23" t="s">
        <v>267</v>
      </c>
      <c r="F215" s="23" t="str">
        <f t="shared" si="6"/>
        <v>rtdc.l.rtdc.4009:itc</v>
      </c>
      <c r="G215" s="8">
        <f t="shared" si="7"/>
        <v>42645.090115740742</v>
      </c>
    </row>
    <row r="216" spans="1:7" x14ac:dyDescent="0.25">
      <c r="A216" s="8">
        <v>42645.109178240738</v>
      </c>
      <c r="B216" s="23" t="s">
        <v>234</v>
      </c>
      <c r="C216" s="23" t="s">
        <v>396</v>
      </c>
      <c r="D216" s="23">
        <v>1300000</v>
      </c>
      <c r="E216" s="23" t="s">
        <v>121</v>
      </c>
      <c r="F216" s="23" t="str">
        <f t="shared" si="6"/>
        <v>rtdc.l.rtdc.4029:itc</v>
      </c>
      <c r="G216" s="8">
        <f t="shared" si="7"/>
        <v>42645.109178240738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42643.869814814818</v>
      </c>
      <c r="B218" s="23" t="s">
        <v>345</v>
      </c>
      <c r="C218" s="23" t="s">
        <v>306</v>
      </c>
      <c r="D218" s="23">
        <v>1300000</v>
      </c>
      <c r="E218" s="23" t="s">
        <v>121</v>
      </c>
      <c r="F218" s="23" t="str">
        <f t="shared" si="6"/>
        <v>rtdc.l.rtdc.4053:itc</v>
      </c>
      <c r="G218" s="8">
        <f t="shared" si="7"/>
        <v>42643.869814814818</v>
      </c>
    </row>
    <row r="219" spans="1:7" x14ac:dyDescent="0.25">
      <c r="A219" s="8">
        <v>42643.870405092595</v>
      </c>
      <c r="B219" s="23" t="s">
        <v>169</v>
      </c>
      <c r="C219" s="23" t="s">
        <v>304</v>
      </c>
      <c r="D219" s="23">
        <v>1800000</v>
      </c>
      <c r="E219" s="23" t="s">
        <v>351</v>
      </c>
      <c r="F219" s="23" t="str">
        <f t="shared" si="6"/>
        <v>rtdc.l.rtdc.4026:itc</v>
      </c>
      <c r="G219" s="8">
        <f t="shared" si="7"/>
        <v>42643.870405092595</v>
      </c>
    </row>
    <row r="220" spans="1:7" x14ac:dyDescent="0.25">
      <c r="A220" s="8">
        <v>42643.880983796298</v>
      </c>
      <c r="B220" s="23" t="s">
        <v>341</v>
      </c>
      <c r="C220" s="23" t="s">
        <v>336</v>
      </c>
      <c r="D220" s="23">
        <v>1810000</v>
      </c>
      <c r="E220" s="23" t="s">
        <v>281</v>
      </c>
      <c r="F220" s="23" t="str">
        <f t="shared" si="6"/>
        <v>rtdc.l.rtdc.4016:itc</v>
      </c>
      <c r="G220" s="8">
        <f t="shared" si="7"/>
        <v>42643.880983796298</v>
      </c>
    </row>
    <row r="221" spans="1:7" x14ac:dyDescent="0.25">
      <c r="A221" s="8">
        <v>42643.887685185182</v>
      </c>
      <c r="B221" s="23" t="s">
        <v>343</v>
      </c>
      <c r="C221" s="23" t="s">
        <v>305</v>
      </c>
      <c r="D221" s="23">
        <v>1480000</v>
      </c>
      <c r="E221" s="23" t="s">
        <v>267</v>
      </c>
      <c r="F221" s="23" t="str">
        <f t="shared" si="6"/>
        <v>rtdc.l.rtdc.4032:itc</v>
      </c>
      <c r="G221" s="8">
        <f t="shared" si="7"/>
        <v>42643.887685185182</v>
      </c>
    </row>
    <row r="222" spans="1:7" x14ac:dyDescent="0.25">
      <c r="A222" s="8">
        <v>42643.888877314814</v>
      </c>
      <c r="B222" s="23" t="s">
        <v>162</v>
      </c>
      <c r="C222" s="23" t="s">
        <v>308</v>
      </c>
      <c r="D222" s="23">
        <v>2230000</v>
      </c>
      <c r="E222" s="23" t="s">
        <v>283</v>
      </c>
      <c r="F222" s="23" t="str">
        <f t="shared" si="6"/>
        <v>rtdc.l.rtdc.4020:itc</v>
      </c>
      <c r="G222" s="8">
        <f t="shared" si="7"/>
        <v>42643.888877314814</v>
      </c>
    </row>
    <row r="223" spans="1:7" x14ac:dyDescent="0.25">
      <c r="A223" s="8">
        <v>42643.901226851849</v>
      </c>
      <c r="B223" s="23" t="s">
        <v>340</v>
      </c>
      <c r="C223" s="23" t="s">
        <v>335</v>
      </c>
      <c r="D223" s="23">
        <v>1810000</v>
      </c>
      <c r="E223" s="23" t="s">
        <v>281</v>
      </c>
      <c r="F223" s="23" t="str">
        <f t="shared" si="6"/>
        <v>rtdc.l.rtdc.4015:itc</v>
      </c>
      <c r="G223" s="8">
        <f t="shared" si="7"/>
        <v>42643.901226851849</v>
      </c>
    </row>
    <row r="224" spans="1:7" x14ac:dyDescent="0.25">
      <c r="A224" s="8">
        <v>42643.911793981482</v>
      </c>
      <c r="B224" t="s">
        <v>342</v>
      </c>
      <c r="C224" t="s">
        <v>307</v>
      </c>
      <c r="D224">
        <v>1300000</v>
      </c>
      <c r="E224" t="s">
        <v>121</v>
      </c>
      <c r="F224" s="23" t="str">
        <f t="shared" si="6"/>
        <v>rtdc.l.rtdc.4054:itc</v>
      </c>
      <c r="G224" s="8">
        <f t="shared" si="7"/>
        <v>42643.911793981482</v>
      </c>
    </row>
    <row r="225" spans="1:7" x14ac:dyDescent="0.25">
      <c r="A225" s="8">
        <v>42643.912928240738</v>
      </c>
      <c r="B225" t="s">
        <v>168</v>
      </c>
      <c r="C225" t="s">
        <v>311</v>
      </c>
      <c r="D225">
        <v>1800000</v>
      </c>
      <c r="E225" t="s">
        <v>351</v>
      </c>
      <c r="F225" s="23" t="str">
        <f t="shared" si="6"/>
        <v>rtdc.l.rtdc.4025:itc</v>
      </c>
      <c r="G225" s="8">
        <f t="shared" si="7"/>
        <v>42643.912928240738</v>
      </c>
    </row>
    <row r="226" spans="1:7" x14ac:dyDescent="0.25">
      <c r="A226" s="8">
        <v>42643.91642361111</v>
      </c>
      <c r="B226" t="s">
        <v>341</v>
      </c>
      <c r="C226" t="s">
        <v>337</v>
      </c>
      <c r="D226">
        <v>1810000</v>
      </c>
      <c r="E226" t="s">
        <v>281</v>
      </c>
      <c r="F226" s="23" t="str">
        <f t="shared" si="6"/>
        <v>rtdc.l.rtdc.4016:itc</v>
      </c>
      <c r="G226" s="8">
        <f t="shared" si="7"/>
        <v>42643.91642361111</v>
      </c>
    </row>
    <row r="227" spans="1:7" x14ac:dyDescent="0.25">
      <c r="A227" s="8">
        <v>42643.929907407408</v>
      </c>
      <c r="B227" t="s">
        <v>161</v>
      </c>
      <c r="C227" t="s">
        <v>310</v>
      </c>
      <c r="D227">
        <v>2230000</v>
      </c>
      <c r="E227" t="s">
        <v>283</v>
      </c>
      <c r="F227" s="23" t="str">
        <f t="shared" si="6"/>
        <v>rtdc.l.rtdc.4019:itc</v>
      </c>
      <c r="G227" s="8">
        <f t="shared" si="7"/>
        <v>42643.929907407408</v>
      </c>
    </row>
    <row r="228" spans="1:7" x14ac:dyDescent="0.25">
      <c r="A228" s="8">
        <v>42643.930659722224</v>
      </c>
      <c r="B228" t="s">
        <v>344</v>
      </c>
      <c r="C228" t="s">
        <v>314</v>
      </c>
      <c r="D228">
        <v>1480000</v>
      </c>
      <c r="E228" t="s">
        <v>267</v>
      </c>
      <c r="F228" s="23" t="str">
        <f t="shared" si="6"/>
        <v>rtdc.l.rtdc.4031:itc</v>
      </c>
      <c r="G228" s="8">
        <f t="shared" si="7"/>
        <v>42643.930659722224</v>
      </c>
    </row>
    <row r="229" spans="1:7" x14ac:dyDescent="0.25">
      <c r="A229" s="8">
        <v>42643.942291666666</v>
      </c>
      <c r="B229" t="s">
        <v>340</v>
      </c>
      <c r="C229" t="s">
        <v>338</v>
      </c>
      <c r="D229">
        <v>1810000</v>
      </c>
      <c r="E229" t="s">
        <v>281</v>
      </c>
      <c r="F229" s="23" t="str">
        <f t="shared" si="6"/>
        <v>rtdc.l.rtdc.4015:itc</v>
      </c>
      <c r="G229" s="8">
        <f t="shared" si="7"/>
        <v>42643.942291666666</v>
      </c>
    </row>
    <row r="230" spans="1:7" x14ac:dyDescent="0.25">
      <c r="A230" s="8">
        <v>42643.955347222225</v>
      </c>
      <c r="B230" t="s">
        <v>345</v>
      </c>
      <c r="C230" t="s">
        <v>316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42643.955347222225</v>
      </c>
    </row>
    <row r="231" spans="1:7" x14ac:dyDescent="0.25">
      <c r="A231" s="8">
        <v>42643.957835648151</v>
      </c>
      <c r="B231" t="s">
        <v>169</v>
      </c>
      <c r="C231" t="s">
        <v>312</v>
      </c>
      <c r="D231">
        <v>1800000</v>
      </c>
      <c r="E231" t="s">
        <v>351</v>
      </c>
      <c r="F231" s="23" t="str">
        <f t="shared" si="6"/>
        <v>rtdc.l.rtdc.4026:itc</v>
      </c>
      <c r="G231" s="8">
        <f t="shared" si="7"/>
        <v>42643.957835648151</v>
      </c>
    </row>
    <row r="232" spans="1:7" x14ac:dyDescent="0.25">
      <c r="A232" s="8">
        <v>42643.969918981478</v>
      </c>
      <c r="B232" t="s">
        <v>343</v>
      </c>
      <c r="C232" t="s">
        <v>315</v>
      </c>
      <c r="D232">
        <v>1480000</v>
      </c>
      <c r="E232" t="s">
        <v>267</v>
      </c>
      <c r="F232" s="23" t="str">
        <f t="shared" si="6"/>
        <v>rtdc.l.rtdc.4032:itc</v>
      </c>
      <c r="G232" s="8">
        <f t="shared" si="7"/>
        <v>42643.969918981478</v>
      </c>
    </row>
    <row r="233" spans="1:7" x14ac:dyDescent="0.25">
      <c r="A233" s="8">
        <v>42643.972881944443</v>
      </c>
      <c r="B233" t="s">
        <v>162</v>
      </c>
      <c r="C233" t="s">
        <v>318</v>
      </c>
      <c r="D233">
        <v>2230000</v>
      </c>
      <c r="E233" t="s">
        <v>283</v>
      </c>
      <c r="F233" s="23" t="str">
        <f t="shared" si="6"/>
        <v>rtdc.l.rtdc.4020:itc</v>
      </c>
      <c r="G233" s="8">
        <f t="shared" si="7"/>
        <v>42643.972881944443</v>
      </c>
    </row>
    <row r="234" spans="1:7" x14ac:dyDescent="0.25">
      <c r="A234" s="8">
        <v>42643.994120370371</v>
      </c>
      <c r="B234" t="s">
        <v>342</v>
      </c>
      <c r="C234" t="s">
        <v>317</v>
      </c>
      <c r="D234">
        <v>1300000</v>
      </c>
      <c r="E234" t="s">
        <v>121</v>
      </c>
      <c r="F234" s="23" t="str">
        <f t="shared" si="6"/>
        <v>rtdc.l.rtdc.4054:itc</v>
      </c>
      <c r="G234" s="8">
        <f t="shared" si="7"/>
        <v>42643.994120370371</v>
      </c>
    </row>
    <row r="235" spans="1:7" x14ac:dyDescent="0.25">
      <c r="A235" s="8">
        <v>42643.998368055552</v>
      </c>
      <c r="B235" t="s">
        <v>168</v>
      </c>
      <c r="C235" t="s">
        <v>320</v>
      </c>
      <c r="D235">
        <v>1800000</v>
      </c>
      <c r="E235" t="s">
        <v>351</v>
      </c>
      <c r="F235" s="23" t="str">
        <f t="shared" si="6"/>
        <v>rtdc.l.rtdc.4025:itc</v>
      </c>
      <c r="G235" s="8">
        <f t="shared" si="7"/>
        <v>42643.998368055552</v>
      </c>
    </row>
    <row r="236" spans="1:7" x14ac:dyDescent="0.25">
      <c r="A236" s="8">
        <v>42644.007615740738</v>
      </c>
      <c r="B236" t="s">
        <v>344</v>
      </c>
      <c r="C236" t="s">
        <v>322</v>
      </c>
      <c r="D236">
        <v>1480000</v>
      </c>
      <c r="E236" t="s">
        <v>267</v>
      </c>
      <c r="F236" s="23" t="str">
        <f t="shared" ref="F236:F265" si="8">B236</f>
        <v>rtdc.l.rtdc.4031:itc</v>
      </c>
      <c r="G236" s="8">
        <f t="shared" ref="G236:G265" si="9">A236</f>
        <v>42644.007615740738</v>
      </c>
    </row>
    <row r="237" spans="1:7" x14ac:dyDescent="0.25">
      <c r="A237" s="8">
        <v>42644.008726851855</v>
      </c>
      <c r="B237" t="s">
        <v>161</v>
      </c>
      <c r="C237" t="s">
        <v>319</v>
      </c>
      <c r="D237">
        <v>2230000</v>
      </c>
      <c r="E237" t="s">
        <v>283</v>
      </c>
      <c r="F237" s="23" t="str">
        <f t="shared" si="8"/>
        <v>rtdc.l.rtdc.4019:itc</v>
      </c>
      <c r="G237" s="8">
        <f t="shared" si="9"/>
        <v>42644.008726851855</v>
      </c>
    </row>
    <row r="238" spans="1:7" x14ac:dyDescent="0.25">
      <c r="A238" s="8">
        <v>42644.036689814813</v>
      </c>
      <c r="B238" t="s">
        <v>345</v>
      </c>
      <c r="C238" t="s">
        <v>324</v>
      </c>
      <c r="D238">
        <v>1300000</v>
      </c>
      <c r="E238" t="s">
        <v>121</v>
      </c>
      <c r="F238" s="23" t="str">
        <f t="shared" si="8"/>
        <v>rtdc.l.rtdc.4053:itc</v>
      </c>
      <c r="G238" s="8">
        <f t="shared" si="9"/>
        <v>42644.036689814813</v>
      </c>
    </row>
    <row r="239" spans="1:7" x14ac:dyDescent="0.25">
      <c r="A239" s="8">
        <v>42644.036990740744</v>
      </c>
      <c r="B239" t="s">
        <v>169</v>
      </c>
      <c r="C239" t="s">
        <v>321</v>
      </c>
      <c r="D239">
        <v>1800000</v>
      </c>
      <c r="E239" t="s">
        <v>351</v>
      </c>
      <c r="F239" s="23" t="str">
        <f t="shared" si="8"/>
        <v>rtdc.l.rtdc.4026:itc</v>
      </c>
      <c r="G239" s="8">
        <f t="shared" si="9"/>
        <v>42644.036990740744</v>
      </c>
    </row>
    <row r="240" spans="1:7" x14ac:dyDescent="0.25">
      <c r="A240" s="8">
        <v>42644.047592592593</v>
      </c>
      <c r="B240" t="s">
        <v>162</v>
      </c>
      <c r="C240" t="s">
        <v>326</v>
      </c>
      <c r="D240">
        <v>2230000</v>
      </c>
      <c r="E240" t="s">
        <v>283</v>
      </c>
      <c r="F240" s="23" t="str">
        <f t="shared" si="8"/>
        <v>rtdc.l.rtdc.4020:itc</v>
      </c>
      <c r="G240" s="8">
        <f t="shared" si="9"/>
        <v>42644.047592592593</v>
      </c>
    </row>
    <row r="241" spans="1:7" x14ac:dyDescent="0.25">
      <c r="A241" s="8">
        <v>42644.054097222222</v>
      </c>
      <c r="B241" t="s">
        <v>343</v>
      </c>
      <c r="C241" t="s">
        <v>323</v>
      </c>
      <c r="D241">
        <v>1480000</v>
      </c>
      <c r="E241" t="s">
        <v>267</v>
      </c>
      <c r="F241" s="23" t="str">
        <f t="shared" si="8"/>
        <v>rtdc.l.rtdc.4032:itc</v>
      </c>
      <c r="G241" s="8">
        <f t="shared" si="9"/>
        <v>42644.054097222222</v>
      </c>
    </row>
    <row r="242" spans="1:7" x14ac:dyDescent="0.25">
      <c r="A242" s="8">
        <v>42644.069421296299</v>
      </c>
      <c r="B242" t="s">
        <v>168</v>
      </c>
      <c r="C242" t="s">
        <v>327</v>
      </c>
      <c r="D242">
        <v>1800000</v>
      </c>
      <c r="E242" t="s">
        <v>351</v>
      </c>
      <c r="F242" s="23" t="str">
        <f t="shared" si="8"/>
        <v>rtdc.l.rtdc.4025:itc</v>
      </c>
      <c r="G242" s="8">
        <f t="shared" si="9"/>
        <v>42644.069421296299</v>
      </c>
    </row>
    <row r="243" spans="1:7" x14ac:dyDescent="0.25">
      <c r="A243" s="8">
        <v>42644.077268518522</v>
      </c>
      <c r="B243" t="s">
        <v>342</v>
      </c>
      <c r="C243" t="s">
        <v>325</v>
      </c>
      <c r="D243">
        <v>1300000</v>
      </c>
      <c r="E243" t="s">
        <v>121</v>
      </c>
      <c r="F243" s="23" t="str">
        <f t="shared" si="8"/>
        <v>rtdc.l.rtdc.4054:itc</v>
      </c>
      <c r="G243" s="8">
        <f t="shared" si="9"/>
        <v>42644.077268518522</v>
      </c>
    </row>
    <row r="244" spans="1:7" x14ac:dyDescent="0.25">
      <c r="A244" s="8">
        <v>42644.090069444443</v>
      </c>
      <c r="B244" t="s">
        <v>344</v>
      </c>
      <c r="C244" t="s">
        <v>328</v>
      </c>
      <c r="D244">
        <v>1480000</v>
      </c>
      <c r="E244" t="s">
        <v>267</v>
      </c>
      <c r="F244" s="23" t="str">
        <f t="shared" si="8"/>
        <v>rtdc.l.rtdc.4031:itc</v>
      </c>
      <c r="G244" s="8">
        <f t="shared" si="9"/>
        <v>42644.090069444443</v>
      </c>
    </row>
    <row r="245" spans="1:7" x14ac:dyDescent="0.25">
      <c r="A245" s="8">
        <v>42644.108842592592</v>
      </c>
      <c r="B245" t="s">
        <v>345</v>
      </c>
      <c r="C245" t="s">
        <v>329</v>
      </c>
      <c r="D245">
        <v>1300000</v>
      </c>
      <c r="E245" t="s">
        <v>121</v>
      </c>
      <c r="F245" s="23" t="str">
        <f t="shared" si="8"/>
        <v>rtdc.l.rtdc.4053:itc</v>
      </c>
      <c r="G245" s="8">
        <f t="shared" si="9"/>
        <v>42644.108842592592</v>
      </c>
    </row>
    <row r="246" spans="1:7" x14ac:dyDescent="0.25">
      <c r="F246" s="23">
        <f t="shared" si="8"/>
        <v>0</v>
      </c>
      <c r="G246" s="8">
        <f t="shared" si="9"/>
        <v>0</v>
      </c>
    </row>
    <row r="247" spans="1:7" x14ac:dyDescent="0.25">
      <c r="A247" s="8">
        <v>42643.031539351854</v>
      </c>
      <c r="B247" t="s">
        <v>174</v>
      </c>
      <c r="C247" t="s">
        <v>284</v>
      </c>
      <c r="D247">
        <v>1180000</v>
      </c>
      <c r="E247" t="s">
        <v>245</v>
      </c>
      <c r="F247" s="23" t="str">
        <f t="shared" si="8"/>
        <v>rtdc.l.rtdc.4042:itc</v>
      </c>
      <c r="G247" s="8">
        <f t="shared" si="9"/>
        <v>42643.031539351854</v>
      </c>
    </row>
    <row r="248" spans="1:7" x14ac:dyDescent="0.25">
      <c r="A248" s="8">
        <v>42643.034259259257</v>
      </c>
      <c r="B248" t="s">
        <v>250</v>
      </c>
      <c r="C248" t="s">
        <v>285</v>
      </c>
      <c r="D248">
        <v>1300000</v>
      </c>
      <c r="E248" t="s">
        <v>121</v>
      </c>
      <c r="F248" s="23" t="str">
        <f t="shared" si="8"/>
        <v>rtdc.l.rtdc.4045:itc</v>
      </c>
      <c r="G248" s="8">
        <f t="shared" si="9"/>
        <v>42643.034259259257</v>
      </c>
    </row>
    <row r="249" spans="1:7" x14ac:dyDescent="0.25">
      <c r="A249" s="8">
        <v>42643.046157407407</v>
      </c>
      <c r="B249" t="s">
        <v>234</v>
      </c>
      <c r="C249" t="s">
        <v>286</v>
      </c>
      <c r="D249">
        <v>1290000</v>
      </c>
      <c r="E249" t="s">
        <v>170</v>
      </c>
      <c r="F249" s="23" t="str">
        <f t="shared" si="8"/>
        <v>rtdc.l.rtdc.4029:itc</v>
      </c>
      <c r="G249" s="8">
        <f t="shared" si="9"/>
        <v>42643.046157407407</v>
      </c>
    </row>
    <row r="250" spans="1:7" x14ac:dyDescent="0.25">
      <c r="A250" s="8">
        <v>42643.051041666666</v>
      </c>
      <c r="B250" t="s">
        <v>265</v>
      </c>
      <c r="C250" t="s">
        <v>287</v>
      </c>
      <c r="D250">
        <v>1480000</v>
      </c>
      <c r="E250" t="s">
        <v>267</v>
      </c>
      <c r="F250" s="23" t="str">
        <f t="shared" si="8"/>
        <v>rtdc.l.rtdc.4039:itc</v>
      </c>
      <c r="G250" s="8">
        <f t="shared" si="9"/>
        <v>42643.051041666666</v>
      </c>
    </row>
    <row r="251" spans="1:7" x14ac:dyDescent="0.25">
      <c r="A251" s="8">
        <v>42643.066979166666</v>
      </c>
      <c r="B251" t="s">
        <v>177</v>
      </c>
      <c r="C251" t="s">
        <v>288</v>
      </c>
      <c r="D251">
        <v>1300000</v>
      </c>
      <c r="E251" t="s">
        <v>121</v>
      </c>
      <c r="F251" s="23" t="str">
        <f t="shared" si="8"/>
        <v>rtdc.l.rtdc.4046:itc</v>
      </c>
      <c r="G251" s="8">
        <f t="shared" si="9"/>
        <v>42643.066979166666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42621.049062500002</v>
      </c>
      <c r="B253" t="s">
        <v>168</v>
      </c>
      <c r="C253" t="s">
        <v>178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173</v>
      </c>
      <c r="C254" t="s">
        <v>180</v>
      </c>
      <c r="D254">
        <v>1290000</v>
      </c>
      <c r="E254" t="s">
        <v>170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172</v>
      </c>
      <c r="C255" t="s">
        <v>181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171</v>
      </c>
      <c r="C256" t="s">
        <v>179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177</v>
      </c>
      <c r="C257" t="s">
        <v>182</v>
      </c>
      <c r="D257">
        <v>1290000</v>
      </c>
      <c r="E257" t="s">
        <v>170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172</v>
      </c>
      <c r="C258" t="s">
        <v>181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F34" sqref="F34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190</v>
      </c>
      <c r="B1" s="151" t="s">
        <v>193</v>
      </c>
      <c r="C1" s="151" t="s">
        <v>186</v>
      </c>
      <c r="D1" s="151" t="s">
        <v>214</v>
      </c>
      <c r="E1" s="151" t="s">
        <v>187</v>
      </c>
      <c r="F1" s="151" t="s">
        <v>185</v>
      </c>
      <c r="G1" s="151" t="s">
        <v>183</v>
      </c>
      <c r="H1" s="151" t="s">
        <v>196</v>
      </c>
      <c r="I1" s="151" t="s">
        <v>197</v>
      </c>
      <c r="J1" s="151" t="s">
        <v>352</v>
      </c>
      <c r="K1" s="151" t="s">
        <v>191</v>
      </c>
      <c r="L1" s="151" t="s">
        <v>189</v>
      </c>
      <c r="M1" s="151" t="s">
        <v>184</v>
      </c>
      <c r="N1" s="151" t="s">
        <v>194</v>
      </c>
      <c r="O1" s="151" t="s">
        <v>188</v>
      </c>
      <c r="P1" s="151" t="s">
        <v>195</v>
      </c>
      <c r="Q1" s="151" t="s">
        <v>192</v>
      </c>
    </row>
    <row r="2" spans="1:17" x14ac:dyDescent="0.25">
      <c r="A2" s="150">
        <v>58.11</v>
      </c>
      <c r="B2" s="150">
        <v>0.19</v>
      </c>
      <c r="C2" s="150">
        <v>43.44</v>
      </c>
      <c r="D2" s="165">
        <v>42645</v>
      </c>
      <c r="E2" s="150">
        <v>0.57999999999999996</v>
      </c>
      <c r="F2" s="150" t="s">
        <v>237</v>
      </c>
      <c r="G2" s="150">
        <v>271.06</v>
      </c>
      <c r="H2" s="150">
        <v>0</v>
      </c>
      <c r="I2" s="150">
        <v>0</v>
      </c>
      <c r="K2" s="150">
        <v>1014.43</v>
      </c>
      <c r="L2" s="150" t="s">
        <v>238</v>
      </c>
      <c r="M2" s="150">
        <v>58.11</v>
      </c>
      <c r="N2" s="150">
        <v>1475388000</v>
      </c>
      <c r="O2" s="150">
        <v>7.79</v>
      </c>
      <c r="P2" s="150">
        <v>196</v>
      </c>
      <c r="Q2" s="150">
        <v>3.05</v>
      </c>
    </row>
    <row r="3" spans="1:17" x14ac:dyDescent="0.25">
      <c r="A3" s="150">
        <v>56.03</v>
      </c>
      <c r="B3" s="150">
        <v>0.25</v>
      </c>
      <c r="C3" s="150">
        <v>42.19</v>
      </c>
      <c r="D3" s="165">
        <v>42645.041666666664</v>
      </c>
      <c r="E3" s="150">
        <v>0.6</v>
      </c>
      <c r="F3" s="150" t="s">
        <v>289</v>
      </c>
      <c r="G3" s="150">
        <v>270.24</v>
      </c>
      <c r="H3" s="150">
        <v>0</v>
      </c>
      <c r="I3" s="150">
        <v>0</v>
      </c>
      <c r="K3" s="150">
        <v>1014.55</v>
      </c>
      <c r="L3" s="150" t="s">
        <v>263</v>
      </c>
      <c r="M3" s="150">
        <v>56.03</v>
      </c>
      <c r="N3" s="150">
        <v>1475391600</v>
      </c>
      <c r="O3" s="150">
        <v>8.11</v>
      </c>
      <c r="P3" s="150">
        <v>218</v>
      </c>
      <c r="Q3" s="150">
        <v>3.3</v>
      </c>
    </row>
    <row r="4" spans="1:17" x14ac:dyDescent="0.25">
      <c r="A4" s="150">
        <v>55.6</v>
      </c>
      <c r="B4" s="150">
        <v>0.35</v>
      </c>
      <c r="C4" s="150">
        <v>42.23</v>
      </c>
      <c r="D4" s="165">
        <v>42645.083333333336</v>
      </c>
      <c r="E4" s="150">
        <v>0.61</v>
      </c>
      <c r="F4" s="150" t="s">
        <v>289</v>
      </c>
      <c r="G4" s="150">
        <v>269.43</v>
      </c>
      <c r="H4" s="150">
        <v>0</v>
      </c>
      <c r="I4" s="150">
        <v>0</v>
      </c>
      <c r="K4" s="150">
        <v>1014.68</v>
      </c>
      <c r="L4" s="150" t="s">
        <v>263</v>
      </c>
      <c r="M4" s="150">
        <v>55.6</v>
      </c>
      <c r="N4" s="150">
        <v>1475395200</v>
      </c>
      <c r="O4" s="150">
        <v>8.18</v>
      </c>
      <c r="P4" s="150">
        <v>222</v>
      </c>
      <c r="Q4" s="150">
        <v>3.46</v>
      </c>
    </row>
    <row r="5" spans="1:17" x14ac:dyDescent="0.25">
      <c r="A5" s="150">
        <v>54.7</v>
      </c>
      <c r="B5" s="150">
        <v>0.42</v>
      </c>
      <c r="C5" s="150">
        <v>42.11</v>
      </c>
      <c r="D5" s="165">
        <v>42645.125</v>
      </c>
      <c r="E5" s="150">
        <v>0.62</v>
      </c>
      <c r="F5" s="150" t="s">
        <v>289</v>
      </c>
      <c r="G5" s="150">
        <v>268.61</v>
      </c>
      <c r="H5" s="150">
        <v>0</v>
      </c>
      <c r="I5" s="150">
        <v>0</v>
      </c>
      <c r="K5" s="150">
        <v>1014.82</v>
      </c>
      <c r="L5" s="150" t="s">
        <v>263</v>
      </c>
      <c r="M5" s="150">
        <v>54.7</v>
      </c>
      <c r="N5" s="150">
        <v>1475398800</v>
      </c>
      <c r="O5" s="150">
        <v>7.91</v>
      </c>
      <c r="P5" s="150">
        <v>230</v>
      </c>
      <c r="Q5" s="150">
        <v>3.27</v>
      </c>
    </row>
    <row r="6" spans="1:17" x14ac:dyDescent="0.25">
      <c r="A6" s="150">
        <v>53.15</v>
      </c>
      <c r="B6" s="150">
        <v>0.38</v>
      </c>
      <c r="C6" s="150">
        <v>40.71</v>
      </c>
      <c r="D6" s="165">
        <v>42645.166666666664</v>
      </c>
      <c r="E6" s="150">
        <v>0.63</v>
      </c>
      <c r="F6" s="150" t="s">
        <v>289</v>
      </c>
      <c r="G6" s="150">
        <v>267.63</v>
      </c>
      <c r="H6" s="150">
        <v>0</v>
      </c>
      <c r="I6" s="150">
        <v>0</v>
      </c>
      <c r="K6" s="150">
        <v>1015.11</v>
      </c>
      <c r="L6" s="150" t="s">
        <v>263</v>
      </c>
      <c r="M6" s="150">
        <v>53.15</v>
      </c>
      <c r="N6" s="150">
        <v>1475402400</v>
      </c>
      <c r="O6" s="150">
        <v>7.96</v>
      </c>
      <c r="P6" s="150">
        <v>240</v>
      </c>
      <c r="Q6" s="150">
        <v>3.22</v>
      </c>
    </row>
    <row r="7" spans="1:17" x14ac:dyDescent="0.25">
      <c r="A7" s="150">
        <v>52.03</v>
      </c>
      <c r="B7" s="150">
        <v>0.34</v>
      </c>
      <c r="C7" s="150">
        <v>40.07</v>
      </c>
      <c r="D7" s="165">
        <v>42645.208333333336</v>
      </c>
      <c r="E7" s="150">
        <v>0.64</v>
      </c>
      <c r="F7" s="150" t="s">
        <v>289</v>
      </c>
      <c r="G7" s="150">
        <v>266.57</v>
      </c>
      <c r="H7" s="150">
        <v>0</v>
      </c>
      <c r="I7" s="150">
        <v>0</v>
      </c>
      <c r="K7" s="150">
        <v>1015.47</v>
      </c>
      <c r="L7" s="150" t="s">
        <v>263</v>
      </c>
      <c r="M7" s="150">
        <v>52.03</v>
      </c>
      <c r="N7" s="150">
        <v>1475406000</v>
      </c>
      <c r="O7" s="150">
        <v>8.4</v>
      </c>
      <c r="P7" s="150">
        <v>244</v>
      </c>
      <c r="Q7" s="150">
        <v>3.19</v>
      </c>
    </row>
    <row r="8" spans="1:17" x14ac:dyDescent="0.25">
      <c r="A8" s="150">
        <v>51.69</v>
      </c>
      <c r="B8" s="150">
        <v>0.3</v>
      </c>
      <c r="C8" s="150">
        <v>38.96</v>
      </c>
      <c r="D8" s="165">
        <v>42645.25</v>
      </c>
      <c r="E8" s="150">
        <v>0.62</v>
      </c>
      <c r="F8" s="150" t="s">
        <v>289</v>
      </c>
      <c r="G8" s="150">
        <v>265.45999999999998</v>
      </c>
      <c r="H8" s="150">
        <v>0</v>
      </c>
      <c r="I8" s="150">
        <v>0</v>
      </c>
      <c r="K8" s="150">
        <v>1015.69</v>
      </c>
      <c r="L8" s="150" t="s">
        <v>263</v>
      </c>
      <c r="M8" s="150">
        <v>51.69</v>
      </c>
      <c r="N8" s="150">
        <v>1475409600</v>
      </c>
      <c r="O8" s="150">
        <v>7.49</v>
      </c>
      <c r="P8" s="150">
        <v>244</v>
      </c>
      <c r="Q8" s="150">
        <v>3</v>
      </c>
    </row>
    <row r="9" spans="1:17" x14ac:dyDescent="0.25">
      <c r="A9" s="150">
        <v>51.96</v>
      </c>
      <c r="B9" s="150">
        <v>0.26</v>
      </c>
      <c r="C9" s="150">
        <v>38.229999999999997</v>
      </c>
      <c r="D9" s="165">
        <v>42645.291666666664</v>
      </c>
      <c r="E9" s="150">
        <v>0.59</v>
      </c>
      <c r="F9" s="150" t="s">
        <v>289</v>
      </c>
      <c r="G9" s="150">
        <v>264.19</v>
      </c>
      <c r="H9" s="150">
        <v>0</v>
      </c>
      <c r="I9" s="150">
        <v>0</v>
      </c>
      <c r="K9" s="150">
        <v>1015.66</v>
      </c>
      <c r="L9" s="150" t="s">
        <v>263</v>
      </c>
      <c r="M9" s="150">
        <v>51.96</v>
      </c>
      <c r="N9" s="150">
        <v>1475413200</v>
      </c>
      <c r="O9" s="150">
        <v>6.82</v>
      </c>
      <c r="P9" s="150">
        <v>238</v>
      </c>
      <c r="Q9" s="150">
        <v>2.97</v>
      </c>
    </row>
    <row r="10" spans="1:17" x14ac:dyDescent="0.25">
      <c r="A10" s="150">
        <v>54.53</v>
      </c>
      <c r="B10" s="150">
        <v>0.3</v>
      </c>
      <c r="C10" s="150">
        <v>38.93</v>
      </c>
      <c r="D10" s="165">
        <v>42645.333333333336</v>
      </c>
      <c r="E10" s="150">
        <v>0.56000000000000005</v>
      </c>
      <c r="F10" s="150" t="s">
        <v>262</v>
      </c>
      <c r="G10" s="150">
        <v>262.87</v>
      </c>
      <c r="H10" s="150">
        <v>0</v>
      </c>
      <c r="I10" s="150">
        <v>0</v>
      </c>
      <c r="K10" s="150">
        <v>1015.47</v>
      </c>
      <c r="L10" s="150" t="s">
        <v>263</v>
      </c>
      <c r="M10" s="150">
        <v>54.53</v>
      </c>
      <c r="N10" s="150">
        <v>1475416800</v>
      </c>
      <c r="O10" s="150">
        <v>6.5</v>
      </c>
      <c r="P10" s="150">
        <v>233</v>
      </c>
      <c r="Q10" s="150">
        <v>2.19</v>
      </c>
    </row>
    <row r="11" spans="1:17" x14ac:dyDescent="0.25">
      <c r="A11" s="150">
        <v>59.92</v>
      </c>
      <c r="B11" s="150">
        <v>0.21</v>
      </c>
      <c r="C11" s="150">
        <v>39.94</v>
      </c>
      <c r="D11" s="165">
        <v>42645.375</v>
      </c>
      <c r="E11" s="150">
        <v>0.48</v>
      </c>
      <c r="F11" s="150" t="s">
        <v>403</v>
      </c>
      <c r="G11" s="150">
        <v>261.85000000000002</v>
      </c>
      <c r="H11" s="150">
        <v>0</v>
      </c>
      <c r="I11" s="150">
        <v>0</v>
      </c>
      <c r="K11" s="150">
        <v>1015.13</v>
      </c>
      <c r="L11" s="150" t="s">
        <v>238</v>
      </c>
      <c r="M11" s="150">
        <v>59.92</v>
      </c>
      <c r="N11" s="150">
        <v>1475420400</v>
      </c>
      <c r="O11" s="150">
        <v>6.41</v>
      </c>
      <c r="P11" s="150">
        <v>213</v>
      </c>
      <c r="Q11" s="150">
        <v>2.4500000000000002</v>
      </c>
    </row>
    <row r="12" spans="1:17" x14ac:dyDescent="0.25">
      <c r="A12" s="150">
        <v>65.930000000000007</v>
      </c>
      <c r="B12" s="150">
        <v>0.2</v>
      </c>
      <c r="C12" s="150">
        <v>40.380000000000003</v>
      </c>
      <c r="D12" s="165">
        <v>42645.416666666664</v>
      </c>
      <c r="E12" s="150">
        <v>0.39</v>
      </c>
      <c r="F12" s="150" t="s">
        <v>403</v>
      </c>
      <c r="G12" s="150">
        <v>261.35000000000002</v>
      </c>
      <c r="H12" s="150">
        <v>0</v>
      </c>
      <c r="I12" s="150">
        <v>0</v>
      </c>
      <c r="K12" s="150">
        <v>1014.63</v>
      </c>
      <c r="L12" s="150" t="s">
        <v>238</v>
      </c>
      <c r="M12" s="150">
        <v>65.930000000000007</v>
      </c>
      <c r="N12" s="150">
        <v>1475424000</v>
      </c>
      <c r="O12" s="150">
        <v>6.46</v>
      </c>
      <c r="P12" s="150">
        <v>188</v>
      </c>
      <c r="Q12" s="150">
        <v>1.91</v>
      </c>
    </row>
    <row r="13" spans="1:17" x14ac:dyDescent="0.25">
      <c r="A13" s="150">
        <v>69.8</v>
      </c>
      <c r="B13" s="150">
        <v>0.16</v>
      </c>
      <c r="C13" s="150">
        <v>40.67</v>
      </c>
      <c r="D13" s="165">
        <v>42645.458333333336</v>
      </c>
      <c r="E13" s="150">
        <v>0.35</v>
      </c>
      <c r="F13" s="150" t="s">
        <v>403</v>
      </c>
      <c r="G13" s="150">
        <v>261.14999999999998</v>
      </c>
      <c r="H13" s="150">
        <v>0</v>
      </c>
      <c r="I13" s="150">
        <v>0</v>
      </c>
      <c r="K13" s="150">
        <v>1014</v>
      </c>
      <c r="L13" s="150" t="s">
        <v>238</v>
      </c>
      <c r="M13" s="150">
        <v>69.8</v>
      </c>
      <c r="N13" s="150">
        <v>1475427600</v>
      </c>
      <c r="O13" s="150">
        <v>6.61</v>
      </c>
      <c r="P13" s="150">
        <v>131</v>
      </c>
      <c r="Q13" s="150">
        <v>2.41</v>
      </c>
    </row>
    <row r="14" spans="1:17" x14ac:dyDescent="0.25">
      <c r="A14" s="150">
        <v>73.400000000000006</v>
      </c>
      <c r="B14" s="150">
        <v>0.2</v>
      </c>
      <c r="C14" s="150">
        <v>40.56</v>
      </c>
      <c r="D14" s="165">
        <v>42645.5</v>
      </c>
      <c r="E14" s="150">
        <v>0.31</v>
      </c>
      <c r="F14" s="150" t="s">
        <v>403</v>
      </c>
      <c r="G14" s="150">
        <v>260.95999999999998</v>
      </c>
      <c r="H14" s="150">
        <v>0</v>
      </c>
      <c r="I14" s="150">
        <v>0</v>
      </c>
      <c r="K14" s="150">
        <v>1013.27</v>
      </c>
      <c r="L14" s="150" t="s">
        <v>238</v>
      </c>
      <c r="M14" s="150">
        <v>73.400000000000006</v>
      </c>
      <c r="N14" s="150">
        <v>1475431200</v>
      </c>
      <c r="O14" s="150">
        <v>6.73</v>
      </c>
      <c r="P14" s="150">
        <v>100</v>
      </c>
      <c r="Q14" s="150">
        <v>3.96</v>
      </c>
    </row>
    <row r="15" spans="1:17" x14ac:dyDescent="0.25">
      <c r="A15" s="150">
        <v>75.59</v>
      </c>
      <c r="B15" s="150">
        <v>0.26</v>
      </c>
      <c r="C15" s="150">
        <v>39.4</v>
      </c>
      <c r="D15" s="165">
        <v>42645.541666666664</v>
      </c>
      <c r="E15" s="150">
        <v>0.27</v>
      </c>
      <c r="F15" s="150" t="s">
        <v>262</v>
      </c>
      <c r="G15" s="150">
        <v>260.64999999999998</v>
      </c>
      <c r="H15" s="150">
        <v>0</v>
      </c>
      <c r="I15" s="150">
        <v>0</v>
      </c>
      <c r="K15" s="150">
        <v>1012.37</v>
      </c>
      <c r="L15" s="150" t="s">
        <v>263</v>
      </c>
      <c r="M15" s="150">
        <v>75.59</v>
      </c>
      <c r="N15" s="150">
        <v>1475434800</v>
      </c>
      <c r="O15" s="150">
        <v>6.86</v>
      </c>
      <c r="P15" s="150">
        <v>100</v>
      </c>
      <c r="Q15" s="150">
        <v>4.8600000000000003</v>
      </c>
    </row>
    <row r="16" spans="1:17" x14ac:dyDescent="0.25">
      <c r="A16" s="150">
        <v>77</v>
      </c>
      <c r="B16" s="150">
        <v>0.31</v>
      </c>
      <c r="C16" s="150">
        <v>38.82</v>
      </c>
      <c r="D16" s="165">
        <v>42645.583333333336</v>
      </c>
      <c r="E16" s="150">
        <v>0.25</v>
      </c>
      <c r="F16" s="150" t="s">
        <v>262</v>
      </c>
      <c r="G16" s="150">
        <v>260.35000000000002</v>
      </c>
      <c r="H16" s="150">
        <v>8.0000000000000004E-4</v>
      </c>
      <c r="I16" s="150">
        <v>0.01</v>
      </c>
      <c r="J16" s="150" t="s">
        <v>353</v>
      </c>
      <c r="K16" s="150">
        <v>1011.29</v>
      </c>
      <c r="L16" s="150" t="s">
        <v>263</v>
      </c>
      <c r="M16" s="150">
        <v>77</v>
      </c>
      <c r="N16" s="150">
        <v>1475438400</v>
      </c>
      <c r="O16" s="150">
        <v>6.96</v>
      </c>
      <c r="P16" s="150">
        <v>104</v>
      </c>
      <c r="Q16" s="150">
        <v>5.77</v>
      </c>
    </row>
    <row r="17" spans="1:17" x14ac:dyDescent="0.25">
      <c r="A17" s="150">
        <v>77.16</v>
      </c>
      <c r="B17" s="150">
        <v>0.41</v>
      </c>
      <c r="C17" s="150">
        <v>39.729999999999997</v>
      </c>
      <c r="D17" s="165">
        <v>42645.625</v>
      </c>
      <c r="E17" s="150">
        <v>0.26</v>
      </c>
      <c r="F17" s="150" t="s">
        <v>262</v>
      </c>
      <c r="G17" s="150">
        <v>260.16000000000003</v>
      </c>
      <c r="H17" s="150">
        <v>1.1000000000000001E-3</v>
      </c>
      <c r="I17" s="150">
        <v>0.02</v>
      </c>
      <c r="J17" s="150" t="s">
        <v>353</v>
      </c>
      <c r="K17" s="150">
        <v>1010.34</v>
      </c>
      <c r="L17" s="150" t="s">
        <v>263</v>
      </c>
      <c r="M17" s="150">
        <v>77.16</v>
      </c>
      <c r="N17" s="150">
        <v>1475442000</v>
      </c>
      <c r="O17" s="150">
        <v>6.8</v>
      </c>
      <c r="P17" s="150">
        <v>111</v>
      </c>
      <c r="Q17" s="150">
        <v>5.85</v>
      </c>
    </row>
    <row r="18" spans="1:17" x14ac:dyDescent="0.25">
      <c r="A18" s="150">
        <v>76.64</v>
      </c>
      <c r="B18" s="150">
        <v>0.41</v>
      </c>
      <c r="C18" s="150">
        <v>39.83</v>
      </c>
      <c r="D18" s="165">
        <v>42645.666666666664</v>
      </c>
      <c r="E18" s="150">
        <v>0.27</v>
      </c>
      <c r="F18" s="150" t="s">
        <v>262</v>
      </c>
      <c r="G18" s="150">
        <v>260.29000000000002</v>
      </c>
      <c r="H18" s="150">
        <v>1E-3</v>
      </c>
      <c r="I18" s="150">
        <v>0.01</v>
      </c>
      <c r="J18" s="150" t="s">
        <v>353</v>
      </c>
      <c r="K18" s="150">
        <v>1009.67</v>
      </c>
      <c r="L18" s="150" t="s">
        <v>263</v>
      </c>
      <c r="M18" s="150">
        <v>76.64</v>
      </c>
      <c r="N18" s="150">
        <v>1475445600</v>
      </c>
      <c r="O18" s="150">
        <v>6.98</v>
      </c>
      <c r="P18" s="150">
        <v>115</v>
      </c>
      <c r="Q18" s="150">
        <v>5.49</v>
      </c>
    </row>
    <row r="19" spans="1:17" x14ac:dyDescent="0.25">
      <c r="A19" s="150">
        <v>75.959999999999994</v>
      </c>
      <c r="B19" s="150">
        <v>0.38</v>
      </c>
      <c r="C19" s="150">
        <v>40.53</v>
      </c>
      <c r="D19" s="165">
        <v>42645.708333333336</v>
      </c>
      <c r="E19" s="150">
        <v>0.28000000000000003</v>
      </c>
      <c r="F19" s="150" t="s">
        <v>262</v>
      </c>
      <c r="G19" s="150">
        <v>260.52999999999997</v>
      </c>
      <c r="H19" s="150">
        <v>0</v>
      </c>
      <c r="I19" s="150">
        <v>0</v>
      </c>
      <c r="K19" s="150">
        <v>1009.05</v>
      </c>
      <c r="L19" s="150" t="s">
        <v>263</v>
      </c>
      <c r="M19" s="150">
        <v>75.959999999999994</v>
      </c>
      <c r="N19" s="150">
        <v>1475449200</v>
      </c>
      <c r="O19" s="150">
        <v>8.8699999999999992</v>
      </c>
      <c r="P19" s="150">
        <v>136</v>
      </c>
      <c r="Q19" s="150">
        <v>6.18</v>
      </c>
    </row>
    <row r="20" spans="1:17" x14ac:dyDescent="0.25">
      <c r="A20" s="150">
        <v>72.97</v>
      </c>
      <c r="B20" s="150">
        <v>0.33</v>
      </c>
      <c r="C20" s="150">
        <v>40.72</v>
      </c>
      <c r="D20" s="165">
        <v>42645.75</v>
      </c>
      <c r="E20" s="150">
        <v>0.31</v>
      </c>
      <c r="F20" s="150" t="s">
        <v>262</v>
      </c>
      <c r="G20" s="150">
        <v>260.42</v>
      </c>
      <c r="H20" s="150">
        <v>0</v>
      </c>
      <c r="I20" s="150">
        <v>0</v>
      </c>
      <c r="K20" s="150">
        <v>1008.68</v>
      </c>
      <c r="L20" s="150" t="s">
        <v>263</v>
      </c>
      <c r="M20" s="150">
        <v>72.97</v>
      </c>
      <c r="N20" s="150">
        <v>1475452800</v>
      </c>
      <c r="O20" s="150">
        <v>8.99</v>
      </c>
      <c r="P20" s="150">
        <v>148</v>
      </c>
      <c r="Q20" s="150">
        <v>6.65</v>
      </c>
    </row>
    <row r="21" spans="1:17" x14ac:dyDescent="0.25">
      <c r="A21" s="150">
        <v>70.260000000000005</v>
      </c>
      <c r="B21" s="150">
        <v>0.27</v>
      </c>
      <c r="C21" s="150">
        <v>41.8</v>
      </c>
      <c r="D21" s="165">
        <v>42645.791666666664</v>
      </c>
      <c r="E21" s="150">
        <v>0.36</v>
      </c>
      <c r="F21" s="150" t="s">
        <v>289</v>
      </c>
      <c r="G21" s="150">
        <v>259.60000000000002</v>
      </c>
      <c r="H21" s="150">
        <v>0</v>
      </c>
      <c r="I21" s="150">
        <v>0</v>
      </c>
      <c r="K21" s="150">
        <v>1008.44</v>
      </c>
      <c r="L21" s="150" t="s">
        <v>263</v>
      </c>
      <c r="M21" s="150">
        <v>70.260000000000005</v>
      </c>
      <c r="N21" s="150">
        <v>1475456400</v>
      </c>
      <c r="O21" s="150">
        <v>9.18</v>
      </c>
      <c r="P21" s="150">
        <v>148</v>
      </c>
      <c r="Q21" s="150">
        <v>5.82</v>
      </c>
    </row>
    <row r="22" spans="1:17" x14ac:dyDescent="0.25">
      <c r="A22" s="150">
        <v>67.05</v>
      </c>
      <c r="B22" s="150">
        <v>0.22</v>
      </c>
      <c r="C22" s="150">
        <v>43.4</v>
      </c>
      <c r="D22" s="165">
        <v>42645.833333333336</v>
      </c>
      <c r="E22" s="150">
        <v>0.42</v>
      </c>
      <c r="F22" s="150" t="s">
        <v>237</v>
      </c>
      <c r="G22" s="150">
        <v>258.44</v>
      </c>
      <c r="H22" s="150">
        <v>0</v>
      </c>
      <c r="I22" s="150">
        <v>0</v>
      </c>
      <c r="K22" s="150">
        <v>1008.7</v>
      </c>
      <c r="L22" s="150" t="s">
        <v>238</v>
      </c>
      <c r="M22" s="150">
        <v>67.05</v>
      </c>
      <c r="N22" s="150">
        <v>1475460000</v>
      </c>
      <c r="O22" s="150">
        <v>9.39</v>
      </c>
      <c r="P22" s="150">
        <v>156</v>
      </c>
      <c r="Q22" s="150">
        <v>7.74</v>
      </c>
    </row>
    <row r="23" spans="1:17" x14ac:dyDescent="0.25">
      <c r="A23" s="150">
        <v>64</v>
      </c>
      <c r="B23" s="150">
        <v>0.14000000000000001</v>
      </c>
      <c r="C23" s="150">
        <v>43.65</v>
      </c>
      <c r="D23" s="165">
        <v>42645.875</v>
      </c>
      <c r="E23" s="150">
        <v>0.48</v>
      </c>
      <c r="F23" s="150" t="s">
        <v>237</v>
      </c>
      <c r="G23" s="150">
        <v>257.47000000000003</v>
      </c>
      <c r="H23" s="150">
        <v>0</v>
      </c>
      <c r="I23" s="150">
        <v>0</v>
      </c>
      <c r="K23" s="150">
        <v>1008.83</v>
      </c>
      <c r="L23" s="150" t="s">
        <v>238</v>
      </c>
      <c r="M23" s="150">
        <v>64</v>
      </c>
      <c r="N23" s="150">
        <v>1475463600</v>
      </c>
      <c r="O23" s="150">
        <v>9.61</v>
      </c>
      <c r="P23" s="150">
        <v>158</v>
      </c>
      <c r="Q23" s="150">
        <v>7.18</v>
      </c>
    </row>
    <row r="24" spans="1:17" x14ac:dyDescent="0.25">
      <c r="A24" s="150">
        <v>62.37</v>
      </c>
      <c r="B24" s="150">
        <v>0.1</v>
      </c>
      <c r="C24" s="150">
        <v>44.41</v>
      </c>
      <c r="D24" s="165">
        <v>42645.916666666664</v>
      </c>
      <c r="E24" s="150">
        <v>0.52</v>
      </c>
      <c r="F24" s="150" t="s">
        <v>237</v>
      </c>
      <c r="G24" s="150">
        <v>256.85000000000002</v>
      </c>
      <c r="H24" s="150">
        <v>0</v>
      </c>
      <c r="I24" s="150">
        <v>0</v>
      </c>
      <c r="K24" s="150">
        <v>1008.41</v>
      </c>
      <c r="L24" s="150" t="s">
        <v>238</v>
      </c>
      <c r="M24" s="150">
        <v>62.37</v>
      </c>
      <c r="N24" s="150">
        <v>1475467200</v>
      </c>
      <c r="O24" s="150">
        <v>9.66</v>
      </c>
      <c r="P24" s="150">
        <v>160</v>
      </c>
      <c r="Q24" s="150">
        <v>6.62</v>
      </c>
    </row>
    <row r="25" spans="1:17" x14ac:dyDescent="0.25">
      <c r="A25" s="150">
        <v>59.55</v>
      </c>
      <c r="B25" s="150">
        <v>0.1</v>
      </c>
      <c r="C25" s="150">
        <v>42.82</v>
      </c>
      <c r="D25" s="165">
        <v>42645.958333333336</v>
      </c>
      <c r="E25" s="150">
        <v>0.54</v>
      </c>
      <c r="F25" s="150" t="s">
        <v>237</v>
      </c>
      <c r="G25" s="150">
        <v>256.42</v>
      </c>
      <c r="H25" s="150">
        <v>0</v>
      </c>
      <c r="I25" s="150">
        <v>0</v>
      </c>
      <c r="K25" s="150">
        <v>1007.7</v>
      </c>
      <c r="L25" s="150" t="s">
        <v>238</v>
      </c>
      <c r="M25" s="150">
        <v>59.55</v>
      </c>
      <c r="N25" s="150">
        <v>1475470800</v>
      </c>
      <c r="O25" s="150">
        <v>9.59</v>
      </c>
      <c r="P25" s="150">
        <v>170</v>
      </c>
      <c r="Q25" s="150">
        <v>6</v>
      </c>
    </row>
    <row r="26" spans="1:17" x14ac:dyDescent="0.25">
      <c r="A26" s="150">
        <v>59.96</v>
      </c>
      <c r="B26" s="150">
        <v>0.16</v>
      </c>
      <c r="C26" s="150">
        <v>43.97</v>
      </c>
      <c r="D26" s="165">
        <v>42646</v>
      </c>
      <c r="E26" s="150">
        <v>0.55000000000000004</v>
      </c>
      <c r="F26" s="150" t="s">
        <v>237</v>
      </c>
      <c r="G26" s="150">
        <v>256.32</v>
      </c>
      <c r="H26" s="150">
        <v>0</v>
      </c>
      <c r="I26" s="150">
        <v>0</v>
      </c>
      <c r="K26" s="150">
        <v>1007.07</v>
      </c>
      <c r="L26" s="150" t="s">
        <v>238</v>
      </c>
      <c r="M26" s="150">
        <v>59.96</v>
      </c>
      <c r="N26" s="150">
        <v>1475474400</v>
      </c>
      <c r="O26" s="150">
        <v>9.64</v>
      </c>
      <c r="P26" s="150">
        <v>174</v>
      </c>
      <c r="Q26" s="150">
        <v>5.78</v>
      </c>
    </row>
    <row r="27" spans="1:17" x14ac:dyDescent="0.25">
      <c r="A27" s="150">
        <v>58.25</v>
      </c>
      <c r="B27" s="150">
        <v>0.09</v>
      </c>
      <c r="C27" s="150">
        <v>42.94</v>
      </c>
      <c r="D27" s="165">
        <v>42646.041666666664</v>
      </c>
      <c r="E27" s="150">
        <v>0.56999999999999995</v>
      </c>
      <c r="F27" s="150" t="s">
        <v>237</v>
      </c>
      <c r="G27" s="150">
        <v>256.91000000000003</v>
      </c>
      <c r="H27" s="150">
        <v>0</v>
      </c>
      <c r="I27" s="150">
        <v>0</v>
      </c>
      <c r="K27" s="150">
        <v>1006.95</v>
      </c>
      <c r="L27" s="150" t="s">
        <v>238</v>
      </c>
      <c r="M27" s="150">
        <v>58.25</v>
      </c>
      <c r="N27" s="150">
        <v>1475478000</v>
      </c>
      <c r="O27" s="150">
        <v>9.66</v>
      </c>
      <c r="P27" s="150">
        <v>166</v>
      </c>
      <c r="Q27" s="150">
        <v>5.81</v>
      </c>
    </row>
    <row r="28" spans="1:17" x14ac:dyDescent="0.25">
      <c r="A28" s="150">
        <v>57.23</v>
      </c>
      <c r="B28" s="150">
        <v>0.21</v>
      </c>
      <c r="C28" s="150">
        <v>42.73</v>
      </c>
      <c r="D28" s="165">
        <v>42646.083333333336</v>
      </c>
      <c r="E28" s="150">
        <v>0.57999999999999996</v>
      </c>
      <c r="F28" s="150" t="s">
        <v>237</v>
      </c>
      <c r="G28" s="150">
        <v>257.5</v>
      </c>
      <c r="H28" s="150">
        <v>0</v>
      </c>
      <c r="I28" s="150">
        <v>0</v>
      </c>
      <c r="K28" s="150">
        <v>1006.75</v>
      </c>
      <c r="L28" s="150" t="s">
        <v>238</v>
      </c>
      <c r="M28" s="150">
        <v>57.23</v>
      </c>
      <c r="N28" s="150">
        <v>1475481600</v>
      </c>
      <c r="O28" s="150">
        <v>9.66</v>
      </c>
      <c r="P28" s="150">
        <v>179</v>
      </c>
      <c r="Q28" s="150">
        <v>5.13</v>
      </c>
    </row>
    <row r="29" spans="1:17" x14ac:dyDescent="0.25">
      <c r="A29" s="150">
        <v>56.91</v>
      </c>
      <c r="B29" s="150">
        <v>0.28999999999999998</v>
      </c>
      <c r="C29" s="150">
        <v>41.78</v>
      </c>
      <c r="D29" s="165">
        <v>42646.125</v>
      </c>
      <c r="E29" s="150">
        <v>0.56999999999999995</v>
      </c>
      <c r="F29" s="150" t="s">
        <v>289</v>
      </c>
      <c r="G29" s="150">
        <v>258.08</v>
      </c>
      <c r="H29" s="150">
        <v>0</v>
      </c>
      <c r="I29" s="150">
        <v>0</v>
      </c>
      <c r="K29" s="150">
        <v>1006.25</v>
      </c>
      <c r="L29" s="150" t="s">
        <v>263</v>
      </c>
      <c r="M29" s="150">
        <v>56.91</v>
      </c>
      <c r="N29" s="150">
        <v>1475485200</v>
      </c>
      <c r="O29" s="150">
        <v>9.26</v>
      </c>
      <c r="P29" s="150">
        <v>188</v>
      </c>
      <c r="Q29" s="150">
        <v>4.38</v>
      </c>
    </row>
    <row r="31" spans="1:17" x14ac:dyDescent="0.25">
      <c r="A31" s="150" t="s">
        <v>723</v>
      </c>
    </row>
    <row r="33" spans="1:1" x14ac:dyDescent="0.25">
      <c r="A33" s="150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42645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261</v>
      </c>
    </row>
    <row r="21" spans="10:13" x14ac:dyDescent="0.25">
      <c r="J21" s="23" t="s">
        <v>97</v>
      </c>
      <c r="K21" s="23" t="s">
        <v>98</v>
      </c>
      <c r="M21" s="70" t="s">
        <v>276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163</v>
      </c>
      <c r="M25" s="70" t="b">
        <v>1</v>
      </c>
    </row>
    <row r="26" spans="10:13" x14ac:dyDescent="0.25">
      <c r="J26" t="s">
        <v>164</v>
      </c>
      <c r="M26" s="70" t="str">
        <f>"C:\Users\stu\Documents\GitHub\eaglep3-reporting\EC\"&amp;TEXT(A2,"yyyy-mm-dd")&amp;"-refined-times.txt"</f>
        <v>C:\Users\stu\Documents\GitHub\eaglep3-reporting\EC\2016-10-02-refined-times.txt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132</v>
      </c>
      <c r="B1" s="123" t="s">
        <v>133</v>
      </c>
      <c r="C1" s="124" t="s">
        <v>134</v>
      </c>
      <c r="H1" t="s">
        <v>128</v>
      </c>
      <c r="I1" s="125" t="s">
        <v>130</v>
      </c>
      <c r="J1"/>
    </row>
    <row r="2" spans="1:11" x14ac:dyDescent="0.25">
      <c r="A2" s="124" t="s">
        <v>135</v>
      </c>
      <c r="B2" s="124" t="s">
        <v>136</v>
      </c>
      <c r="C2" s="124" t="s">
        <v>137</v>
      </c>
      <c r="H2" t="s">
        <v>129</v>
      </c>
      <c r="I2" s="110" t="s">
        <v>131</v>
      </c>
      <c r="J2"/>
    </row>
    <row r="3" spans="1:11" x14ac:dyDescent="0.25">
      <c r="A3" s="124" t="s">
        <v>138</v>
      </c>
      <c r="B3" s="124" t="s">
        <v>139</v>
      </c>
      <c r="C3" s="124" t="s">
        <v>140</v>
      </c>
      <c r="H3" t="s">
        <v>154</v>
      </c>
      <c r="I3" s="110">
        <v>1</v>
      </c>
      <c r="J3"/>
      <c r="K3" s="70"/>
    </row>
    <row r="4" spans="1:11" x14ac:dyDescent="0.25">
      <c r="A4" s="124" t="s">
        <v>141</v>
      </c>
      <c r="C4" s="124" t="s">
        <v>142</v>
      </c>
      <c r="H4" t="s">
        <v>155</v>
      </c>
      <c r="I4" s="110">
        <v>2</v>
      </c>
      <c r="J4"/>
      <c r="K4" s="70"/>
    </row>
    <row r="5" spans="1:11" x14ac:dyDescent="0.25">
      <c r="A5" s="124" t="s">
        <v>143</v>
      </c>
      <c r="C5" s="124" t="s">
        <v>144</v>
      </c>
      <c r="H5" t="s">
        <v>156</v>
      </c>
      <c r="I5" s="110">
        <v>23</v>
      </c>
      <c r="J5"/>
      <c r="K5" s="70"/>
    </row>
    <row r="6" spans="1:11" x14ac:dyDescent="0.25">
      <c r="A6" s="124" t="s">
        <v>145</v>
      </c>
      <c r="C6" s="124" t="s">
        <v>146</v>
      </c>
      <c r="H6" s="127" t="s">
        <v>157</v>
      </c>
      <c r="I6" s="128" t="s">
        <v>136</v>
      </c>
    </row>
    <row r="7" spans="1:11" x14ac:dyDescent="0.25">
      <c r="A7" s="124" t="s">
        <v>147</v>
      </c>
      <c r="C7" s="124" t="s">
        <v>148</v>
      </c>
    </row>
    <row r="8" spans="1:11" x14ac:dyDescent="0.25">
      <c r="C8" s="124" t="s">
        <v>149</v>
      </c>
    </row>
    <row r="9" spans="1:11" x14ac:dyDescent="0.25">
      <c r="C9" s="127" t="s">
        <v>217</v>
      </c>
    </row>
    <row r="10" spans="1:11" x14ac:dyDescent="0.25">
      <c r="C10" s="124" t="s">
        <v>150</v>
      </c>
    </row>
    <row r="11" spans="1:11" x14ac:dyDescent="0.25">
      <c r="C11" s="124" t="s">
        <v>151</v>
      </c>
    </row>
    <row r="12" spans="1:11" x14ac:dyDescent="0.25">
      <c r="C12" s="124" t="s">
        <v>152</v>
      </c>
    </row>
    <row r="13" spans="1:11" x14ac:dyDescent="0.25">
      <c r="C13" s="124" t="s">
        <v>153</v>
      </c>
    </row>
    <row r="14" spans="1:11" x14ac:dyDescent="0.25">
      <c r="C14" s="127" t="s">
        <v>218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2016-10-04T15:40:01Z</dcterms:modified>
</cp:coreProperties>
</file>