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Trips'!$A$2:$J$115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9" i="1" l="1"/>
  <c r="P63" i="1"/>
  <c r="G1" i="4"/>
  <c r="K14" i="1" l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M15" i="1"/>
  <c r="N15" i="1"/>
  <c r="V15" i="1"/>
  <c r="Y15" i="1"/>
  <c r="AA15" i="1" s="1"/>
  <c r="Z15" i="1"/>
  <c r="AB15" i="1"/>
  <c r="AC15" i="1"/>
  <c r="AD15" i="1"/>
  <c r="AE15" i="1"/>
  <c r="AF15" i="1"/>
  <c r="AH15" i="1"/>
  <c r="AM15" i="1"/>
  <c r="AN15" i="1"/>
  <c r="K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M17" i="1"/>
  <c r="N17" i="1" s="1"/>
  <c r="T17" i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M18" i="1"/>
  <c r="N18" i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M19" i="1"/>
  <c r="N19" i="1"/>
  <c r="V19" i="1"/>
  <c r="Y19" i="1"/>
  <c r="AA19" i="1" s="1"/>
  <c r="Z19" i="1"/>
  <c r="AB19" i="1"/>
  <c r="AC19" i="1"/>
  <c r="AD19" i="1"/>
  <c r="AE19" i="1"/>
  <c r="AF19" i="1"/>
  <c r="AH19" i="1"/>
  <c r="AM19" i="1"/>
  <c r="AN19" i="1"/>
  <c r="K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AH21" i="1"/>
  <c r="AM21" i="1"/>
  <c r="AN21" i="1"/>
  <c r="K22" i="1"/>
  <c r="M22" i="1"/>
  <c r="N22" i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G24" i="1"/>
  <c r="AI24" i="1" s="1"/>
  <c r="AH24" i="1"/>
  <c r="AM24" i="1"/>
  <c r="AN24" i="1"/>
  <c r="K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G25" i="1"/>
  <c r="U25" i="1" s="1"/>
  <c r="AH25" i="1"/>
  <c r="AM25" i="1"/>
  <c r="AN25" i="1"/>
  <c r="K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M28" i="1"/>
  <c r="N28" i="1" s="1"/>
  <c r="V28" i="1"/>
  <c r="Y28" i="1"/>
  <c r="Z28" i="1"/>
  <c r="AB28" i="1"/>
  <c r="AC28" i="1"/>
  <c r="AD28" i="1"/>
  <c r="T28" i="1" s="1"/>
  <c r="AE28" i="1"/>
  <c r="AF28" i="1"/>
  <c r="AG28" i="1"/>
  <c r="AH28" i="1"/>
  <c r="AM28" i="1"/>
  <c r="AN28" i="1"/>
  <c r="K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M31" i="1"/>
  <c r="N31" i="1"/>
  <c r="V31" i="1"/>
  <c r="Y31" i="1"/>
  <c r="AA31" i="1" s="1"/>
  <c r="Z31" i="1"/>
  <c r="AB31" i="1"/>
  <c r="AC31" i="1"/>
  <c r="AD31" i="1"/>
  <c r="AE31" i="1"/>
  <c r="AF31" i="1"/>
  <c r="AH31" i="1"/>
  <c r="AM31" i="1"/>
  <c r="AN31" i="1"/>
  <c r="K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G32" i="1"/>
  <c r="AH32" i="1"/>
  <c r="AM32" i="1"/>
  <c r="AN32" i="1"/>
  <c r="K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M34" i="1"/>
  <c r="N34" i="1" s="1"/>
  <c r="V34" i="1"/>
  <c r="Y34" i="1"/>
  <c r="Z34" i="1"/>
  <c r="AA34" i="1" s="1"/>
  <c r="W34" i="1" s="1"/>
  <c r="AB34" i="1"/>
  <c r="AC34" i="1"/>
  <c r="AD34" i="1"/>
  <c r="AE34" i="1"/>
  <c r="AF34" i="1"/>
  <c r="AG34" i="1"/>
  <c r="AH34" i="1"/>
  <c r="AM34" i="1"/>
  <c r="AN34" i="1"/>
  <c r="K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M38" i="1"/>
  <c r="N38" i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M42" i="1"/>
  <c r="N42" i="1" s="1"/>
  <c r="V42" i="1"/>
  <c r="Y42" i="1"/>
  <c r="Z42" i="1"/>
  <c r="AB42" i="1"/>
  <c r="AC42" i="1"/>
  <c r="AD42" i="1"/>
  <c r="AE42" i="1"/>
  <c r="AF42" i="1"/>
  <c r="AG42" i="1"/>
  <c r="AH42" i="1"/>
  <c r="AM42" i="1"/>
  <c r="AN42" i="1"/>
  <c r="K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M47" i="1"/>
  <c r="N47" i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M48" i="1"/>
  <c r="N48" i="1" s="1"/>
  <c r="V48" i="1"/>
  <c r="X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M50" i="1"/>
  <c r="N50" i="1" s="1"/>
  <c r="V50" i="1"/>
  <c r="Y50" i="1"/>
  <c r="Z50" i="1"/>
  <c r="AA50" i="1" s="1"/>
  <c r="AB50" i="1"/>
  <c r="AC50" i="1"/>
  <c r="AD50" i="1"/>
  <c r="AE50" i="1"/>
  <c r="AF50" i="1"/>
  <c r="AG50" i="1"/>
  <c r="AI50" i="1" s="1"/>
  <c r="AH50" i="1"/>
  <c r="AM50" i="1"/>
  <c r="AN50" i="1"/>
  <c r="K51" i="1"/>
  <c r="M51" i="1"/>
  <c r="N51" i="1" s="1"/>
  <c r="T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M52" i="1"/>
  <c r="N52" i="1" s="1"/>
  <c r="T52" i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M54" i="1"/>
  <c r="N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K60" i="1"/>
  <c r="M60" i="1"/>
  <c r="N60" i="1" s="1"/>
  <c r="V60" i="1"/>
  <c r="Y60" i="1"/>
  <c r="Z60" i="1"/>
  <c r="AB60" i="1"/>
  <c r="AC60" i="1"/>
  <c r="AD60" i="1"/>
  <c r="T60" i="1" s="1"/>
  <c r="AE60" i="1"/>
  <c r="AF60" i="1"/>
  <c r="AG60" i="1"/>
  <c r="AH60" i="1"/>
  <c r="AM60" i="1"/>
  <c r="AN60" i="1"/>
  <c r="K61" i="1"/>
  <c r="M61" i="1"/>
  <c r="N61" i="1" s="1"/>
  <c r="T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M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M64" i="1"/>
  <c r="N64" i="1" s="1"/>
  <c r="V64" i="1"/>
  <c r="Y64" i="1"/>
  <c r="AA64" i="1" s="1"/>
  <c r="Z64" i="1"/>
  <c r="AB64" i="1"/>
  <c r="AC64" i="1"/>
  <c r="AD64" i="1"/>
  <c r="T64" i="1" s="1"/>
  <c r="AE64" i="1"/>
  <c r="AF64" i="1"/>
  <c r="AH64" i="1"/>
  <c r="AM64" i="1"/>
  <c r="AN64" i="1"/>
  <c r="K65" i="1"/>
  <c r="M65" i="1"/>
  <c r="N65" i="1" s="1"/>
  <c r="T65" i="1"/>
  <c r="V65" i="1"/>
  <c r="X65" i="1"/>
  <c r="Y65" i="1"/>
  <c r="Z65" i="1"/>
  <c r="AA65" i="1" s="1"/>
  <c r="AB65" i="1"/>
  <c r="AC65" i="1"/>
  <c r="AD65" i="1"/>
  <c r="AE65" i="1"/>
  <c r="AF65" i="1"/>
  <c r="AG65" i="1"/>
  <c r="AH65" i="1"/>
  <c r="AM65" i="1"/>
  <c r="AN65" i="1"/>
  <c r="K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M68" i="1"/>
  <c r="N68" i="1" s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K69" i="1"/>
  <c r="M69" i="1"/>
  <c r="N69" i="1" s="1"/>
  <c r="T69" i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M70" i="1"/>
  <c r="N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K72" i="1"/>
  <c r="M72" i="1"/>
  <c r="N72" i="1" s="1"/>
  <c r="T72" i="1"/>
  <c r="V72" i="1"/>
  <c r="Y72" i="1"/>
  <c r="Z72" i="1"/>
  <c r="AB72" i="1"/>
  <c r="AC72" i="1"/>
  <c r="AD72" i="1"/>
  <c r="AE72" i="1"/>
  <c r="AF72" i="1"/>
  <c r="AG72" i="1"/>
  <c r="AI72" i="1" s="1"/>
  <c r="AH72" i="1"/>
  <c r="AM72" i="1"/>
  <c r="AN72" i="1"/>
  <c r="K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M76" i="1"/>
  <c r="N76" i="1" s="1"/>
  <c r="V76" i="1"/>
  <c r="Y76" i="1"/>
  <c r="Z76" i="1"/>
  <c r="AB76" i="1"/>
  <c r="AC76" i="1"/>
  <c r="AD76" i="1"/>
  <c r="T76" i="1" s="1"/>
  <c r="AE76" i="1"/>
  <c r="AF76" i="1"/>
  <c r="AG76" i="1"/>
  <c r="U76" i="1" s="1"/>
  <c r="S76" i="1" s="1"/>
  <c r="AH76" i="1"/>
  <c r="AM76" i="1"/>
  <c r="AN76" i="1"/>
  <c r="K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M80" i="1"/>
  <c r="N80" i="1" s="1"/>
  <c r="V80" i="1"/>
  <c r="Y80" i="1"/>
  <c r="Z80" i="1"/>
  <c r="AB80" i="1"/>
  <c r="AC80" i="1"/>
  <c r="AD80" i="1"/>
  <c r="T80" i="1" s="1"/>
  <c r="AE80" i="1"/>
  <c r="AF80" i="1"/>
  <c r="AG80" i="1"/>
  <c r="U80" i="1" s="1"/>
  <c r="AH80" i="1"/>
  <c r="AM80" i="1"/>
  <c r="AN80" i="1"/>
  <c r="K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M83" i="1"/>
  <c r="N83" i="1"/>
  <c r="V83" i="1"/>
  <c r="X83" i="1"/>
  <c r="Y83" i="1"/>
  <c r="Z83" i="1"/>
  <c r="AA83" i="1" s="1"/>
  <c r="W83" i="1" s="1"/>
  <c r="AB83" i="1"/>
  <c r="AC83" i="1"/>
  <c r="AD83" i="1"/>
  <c r="AG83" i="1" s="1"/>
  <c r="AE83" i="1"/>
  <c r="AF83" i="1"/>
  <c r="AH83" i="1"/>
  <c r="AM83" i="1"/>
  <c r="AN83" i="1"/>
  <c r="K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M88" i="1"/>
  <c r="N88" i="1"/>
  <c r="V88" i="1"/>
  <c r="Y88" i="1"/>
  <c r="Z88" i="1"/>
  <c r="AA88" i="1"/>
  <c r="AB88" i="1"/>
  <c r="AC88" i="1"/>
  <c r="AD88" i="1"/>
  <c r="AE88" i="1"/>
  <c r="AF88" i="1"/>
  <c r="AH88" i="1"/>
  <c r="AM88" i="1"/>
  <c r="AN88" i="1"/>
  <c r="K89" i="1"/>
  <c r="M89" i="1"/>
  <c r="N89" i="1"/>
  <c r="V89" i="1"/>
  <c r="Y89" i="1"/>
  <c r="Z89" i="1"/>
  <c r="AB89" i="1"/>
  <c r="AC89" i="1"/>
  <c r="AD89" i="1"/>
  <c r="AG89" i="1" s="1"/>
  <c r="AE89" i="1"/>
  <c r="AF89" i="1"/>
  <c r="AH89" i="1"/>
  <c r="AI89" i="1"/>
  <c r="AM89" i="1"/>
  <c r="AN89" i="1"/>
  <c r="K90" i="1"/>
  <c r="M90" i="1"/>
  <c r="N90" i="1" s="1"/>
  <c r="V90" i="1"/>
  <c r="Y90" i="1"/>
  <c r="AA90" i="1" s="1"/>
  <c r="Z90" i="1"/>
  <c r="AB90" i="1"/>
  <c r="AC90" i="1"/>
  <c r="AD90" i="1"/>
  <c r="T90" i="1" s="1"/>
  <c r="AE90" i="1"/>
  <c r="AF90" i="1"/>
  <c r="AH90" i="1"/>
  <c r="AM90" i="1"/>
  <c r="AN90" i="1"/>
  <c r="K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3" i="1"/>
  <c r="AM93" i="1"/>
  <c r="AN93" i="1"/>
  <c r="K162" i="1"/>
  <c r="M162" i="1"/>
  <c r="N162" i="1" s="1"/>
  <c r="V162" i="1"/>
  <c r="X162" i="1"/>
  <c r="Y162" i="1"/>
  <c r="Z162" i="1"/>
  <c r="AB162" i="1"/>
  <c r="AC162" i="1"/>
  <c r="AD162" i="1"/>
  <c r="T162" i="1" s="1"/>
  <c r="AE162" i="1"/>
  <c r="AF162" i="1"/>
  <c r="AG162" i="1"/>
  <c r="AH94" i="1"/>
  <c r="AM94" i="1"/>
  <c r="AN94" i="1"/>
  <c r="K163" i="1"/>
  <c r="M163" i="1"/>
  <c r="N163" i="1" s="1"/>
  <c r="V163" i="1"/>
  <c r="Y163" i="1"/>
  <c r="Z163" i="1"/>
  <c r="AB163" i="1"/>
  <c r="AC163" i="1"/>
  <c r="AD163" i="1"/>
  <c r="AE163" i="1"/>
  <c r="AF163" i="1"/>
  <c r="AH95" i="1"/>
  <c r="AM95" i="1"/>
  <c r="AN95" i="1"/>
  <c r="K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96" i="1"/>
  <c r="AM96" i="1"/>
  <c r="AN96" i="1"/>
  <c r="K165" i="1"/>
  <c r="M165" i="1"/>
  <c r="N165" i="1" s="1"/>
  <c r="V165" i="1"/>
  <c r="Y165" i="1"/>
  <c r="Z165" i="1"/>
  <c r="AA165" i="1"/>
  <c r="W165" i="1" s="1"/>
  <c r="AB165" i="1"/>
  <c r="AC165" i="1"/>
  <c r="AD165" i="1"/>
  <c r="T165" i="1" s="1"/>
  <c r="AE165" i="1"/>
  <c r="AF165" i="1"/>
  <c r="AG165" i="1"/>
  <c r="AH97" i="1"/>
  <c r="AM97" i="1"/>
  <c r="AN97" i="1"/>
  <c r="K166" i="1"/>
  <c r="M166" i="1"/>
  <c r="N166" i="1" s="1"/>
  <c r="V166" i="1"/>
  <c r="X166" i="1"/>
  <c r="Y166" i="1"/>
  <c r="Z166" i="1"/>
  <c r="AB166" i="1"/>
  <c r="AC166" i="1"/>
  <c r="AD166" i="1"/>
  <c r="T166" i="1" s="1"/>
  <c r="AE166" i="1"/>
  <c r="AF166" i="1"/>
  <c r="AG166" i="1"/>
  <c r="AH98" i="1"/>
  <c r="AM98" i="1"/>
  <c r="AN98" i="1"/>
  <c r="K167" i="1"/>
  <c r="M167" i="1"/>
  <c r="N167" i="1" s="1"/>
  <c r="V167" i="1"/>
  <c r="Y167" i="1"/>
  <c r="Z167" i="1"/>
  <c r="AB167" i="1"/>
  <c r="AC167" i="1"/>
  <c r="AD167" i="1"/>
  <c r="AG167" i="1" s="1"/>
  <c r="AI167" i="1" s="1"/>
  <c r="AE167" i="1"/>
  <c r="AF167" i="1"/>
  <c r="AH99" i="1"/>
  <c r="AM99" i="1"/>
  <c r="AN99" i="1"/>
  <c r="K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01" i="1"/>
  <c r="AM101" i="1"/>
  <c r="AN101" i="1"/>
  <c r="K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2" i="1"/>
  <c r="AM102" i="1"/>
  <c r="AN102" i="1"/>
  <c r="K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K171" i="1"/>
  <c r="M171" i="1"/>
  <c r="N171" i="1"/>
  <c r="V171" i="1"/>
  <c r="Y171" i="1"/>
  <c r="AA171" i="1" s="1"/>
  <c r="Z171" i="1"/>
  <c r="AB171" i="1"/>
  <c r="AC171" i="1"/>
  <c r="AD171" i="1"/>
  <c r="AE171" i="1"/>
  <c r="AF171" i="1"/>
  <c r="AH104" i="1"/>
  <c r="AM104" i="1"/>
  <c r="AN104" i="1"/>
  <c r="K172" i="1"/>
  <c r="M172" i="1"/>
  <c r="N172" i="1" s="1"/>
  <c r="T172" i="1"/>
  <c r="V172" i="1"/>
  <c r="Y172" i="1"/>
  <c r="AA172" i="1" s="1"/>
  <c r="W172" i="1" s="1"/>
  <c r="Z172" i="1"/>
  <c r="AB172" i="1"/>
  <c r="AC172" i="1"/>
  <c r="AD172" i="1"/>
  <c r="AE172" i="1"/>
  <c r="AF172" i="1"/>
  <c r="AG172" i="1"/>
  <c r="AH105" i="1"/>
  <c r="AM105" i="1"/>
  <c r="AN105" i="1"/>
  <c r="K173" i="1"/>
  <c r="M173" i="1"/>
  <c r="N173" i="1" s="1"/>
  <c r="V173" i="1"/>
  <c r="X173" i="1"/>
  <c r="Y173" i="1"/>
  <c r="Z173" i="1"/>
  <c r="AB173" i="1"/>
  <c r="AC173" i="1"/>
  <c r="AD173" i="1"/>
  <c r="T173" i="1" s="1"/>
  <c r="AE173" i="1"/>
  <c r="AF173" i="1"/>
  <c r="AG173" i="1"/>
  <c r="AH106" i="1"/>
  <c r="AM106" i="1"/>
  <c r="AN106" i="1"/>
  <c r="K174" i="1"/>
  <c r="M174" i="1"/>
  <c r="N174" i="1" s="1"/>
  <c r="V174" i="1"/>
  <c r="Y174" i="1"/>
  <c r="Z174" i="1"/>
  <c r="AB174" i="1"/>
  <c r="AC174" i="1"/>
  <c r="AD174" i="1"/>
  <c r="AE174" i="1"/>
  <c r="AF174" i="1"/>
  <c r="AH107" i="1"/>
  <c r="AM107" i="1"/>
  <c r="AN107" i="1"/>
  <c r="K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08" i="1"/>
  <c r="AM108" i="1"/>
  <c r="AN108" i="1"/>
  <c r="K176" i="1"/>
  <c r="M176" i="1"/>
  <c r="N176" i="1" s="1"/>
  <c r="V176" i="1"/>
  <c r="Y176" i="1"/>
  <c r="Z176" i="1"/>
  <c r="AA176" i="1" s="1"/>
  <c r="W176" i="1" s="1"/>
  <c r="AB176" i="1"/>
  <c r="AC176" i="1"/>
  <c r="AD176" i="1"/>
  <c r="AG176" i="1" s="1"/>
  <c r="AE176" i="1"/>
  <c r="AF176" i="1"/>
  <c r="AH109" i="1"/>
  <c r="AM109" i="1"/>
  <c r="AN109" i="1"/>
  <c r="K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0" i="1"/>
  <c r="AM110" i="1"/>
  <c r="AN110" i="1"/>
  <c r="K178" i="1"/>
  <c r="M178" i="1"/>
  <c r="N178" i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M179" i="1"/>
  <c r="N179" i="1" s="1"/>
  <c r="V179" i="1"/>
  <c r="Y179" i="1"/>
  <c r="AA179" i="1" s="1"/>
  <c r="Z179" i="1"/>
  <c r="AB179" i="1"/>
  <c r="AC179" i="1"/>
  <c r="AD179" i="1"/>
  <c r="AE179" i="1"/>
  <c r="AF179" i="1"/>
  <c r="AH112" i="1"/>
  <c r="AM112" i="1"/>
  <c r="AN112" i="1"/>
  <c r="K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113" i="1"/>
  <c r="AM113" i="1"/>
  <c r="AN113" i="1"/>
  <c r="K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81" i="1"/>
  <c r="M181" i="1"/>
  <c r="N181" i="1"/>
  <c r="V181" i="1"/>
  <c r="Y181" i="1"/>
  <c r="Z181" i="1"/>
  <c r="AB181" i="1"/>
  <c r="AC181" i="1"/>
  <c r="AD181" i="1"/>
  <c r="AG181" i="1" s="1"/>
  <c r="AE181" i="1"/>
  <c r="AF181" i="1"/>
  <c r="AH115" i="1"/>
  <c r="AM115" i="1"/>
  <c r="AN115" i="1"/>
  <c r="K182" i="1"/>
  <c r="M182" i="1"/>
  <c r="N182" i="1"/>
  <c r="V182" i="1"/>
  <c r="Y182" i="1"/>
  <c r="Z182" i="1"/>
  <c r="AB182" i="1"/>
  <c r="AC182" i="1"/>
  <c r="AD182" i="1"/>
  <c r="AE182" i="1"/>
  <c r="AF182" i="1"/>
  <c r="AH116" i="1"/>
  <c r="AM116" i="1"/>
  <c r="AN116" i="1"/>
  <c r="K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7" i="1"/>
  <c r="AM117" i="1"/>
  <c r="AN117" i="1"/>
  <c r="K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K185" i="1"/>
  <c r="M185" i="1"/>
  <c r="N185" i="1" s="1"/>
  <c r="V185" i="1"/>
  <c r="Y185" i="1"/>
  <c r="Z185" i="1"/>
  <c r="AB185" i="1"/>
  <c r="AC185" i="1"/>
  <c r="AD185" i="1"/>
  <c r="AE185" i="1"/>
  <c r="AF185" i="1"/>
  <c r="AH119" i="1"/>
  <c r="AM119" i="1"/>
  <c r="AN119" i="1"/>
  <c r="K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0" i="1"/>
  <c r="AM120" i="1"/>
  <c r="AN120" i="1"/>
  <c r="K187" i="1"/>
  <c r="M187" i="1"/>
  <c r="N187" i="1" s="1"/>
  <c r="V187" i="1"/>
  <c r="Y187" i="1"/>
  <c r="Z187" i="1"/>
  <c r="AA187" i="1" s="1"/>
  <c r="W187" i="1" s="1"/>
  <c r="AB187" i="1"/>
  <c r="AC187" i="1"/>
  <c r="AD187" i="1"/>
  <c r="T187" i="1" s="1"/>
  <c r="AE187" i="1"/>
  <c r="AF187" i="1"/>
  <c r="AG187" i="1"/>
  <c r="AH121" i="1"/>
  <c r="AM121" i="1"/>
  <c r="AN121" i="1"/>
  <c r="K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122" i="1"/>
  <c r="AM122" i="1"/>
  <c r="AN122" i="1"/>
  <c r="K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K190" i="1"/>
  <c r="M190" i="1"/>
  <c r="N190" i="1" s="1"/>
  <c r="V190" i="1"/>
  <c r="Y190" i="1"/>
  <c r="Z190" i="1"/>
  <c r="AB190" i="1"/>
  <c r="AC190" i="1"/>
  <c r="AD190" i="1"/>
  <c r="AE190" i="1"/>
  <c r="AF190" i="1"/>
  <c r="AH124" i="1"/>
  <c r="AM124" i="1"/>
  <c r="AN124" i="1"/>
  <c r="K95" i="1"/>
  <c r="M95" i="1"/>
  <c r="N95" i="1" s="1"/>
  <c r="V95" i="1"/>
  <c r="X95" i="1"/>
  <c r="Y95" i="1"/>
  <c r="Z95" i="1"/>
  <c r="AA95" i="1" s="1"/>
  <c r="AB95" i="1"/>
  <c r="AC95" i="1"/>
  <c r="AD95" i="1"/>
  <c r="T95" i="1" s="1"/>
  <c r="AE95" i="1"/>
  <c r="AF95" i="1"/>
  <c r="AG95" i="1"/>
  <c r="AH125" i="1"/>
  <c r="AM125" i="1"/>
  <c r="AN125" i="1"/>
  <c r="K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6" i="1"/>
  <c r="AM126" i="1"/>
  <c r="AN126" i="1"/>
  <c r="K192" i="1"/>
  <c r="M192" i="1"/>
  <c r="N192" i="1" s="1"/>
  <c r="V192" i="1"/>
  <c r="Y192" i="1"/>
  <c r="Z192" i="1"/>
  <c r="AB192" i="1"/>
  <c r="AC192" i="1"/>
  <c r="AD192" i="1"/>
  <c r="AE192" i="1"/>
  <c r="AF192" i="1"/>
  <c r="AH127" i="1"/>
  <c r="AM127" i="1"/>
  <c r="AN127" i="1"/>
  <c r="K193" i="1"/>
  <c r="M193" i="1"/>
  <c r="N193" i="1" s="1"/>
  <c r="V193" i="1"/>
  <c r="Y193" i="1"/>
  <c r="Z193" i="1"/>
  <c r="AB193" i="1"/>
  <c r="AC193" i="1"/>
  <c r="AD193" i="1"/>
  <c r="AE193" i="1"/>
  <c r="AF193" i="1"/>
  <c r="AH128" i="1"/>
  <c r="AM128" i="1"/>
  <c r="AN128" i="1"/>
  <c r="K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9" i="1"/>
  <c r="AM129" i="1"/>
  <c r="AN129" i="1"/>
  <c r="K96" i="1"/>
  <c r="M96" i="1"/>
  <c r="N96" i="1" s="1"/>
  <c r="T96" i="1"/>
  <c r="V96" i="1"/>
  <c r="X96" i="1"/>
  <c r="Y96" i="1"/>
  <c r="Z96" i="1"/>
  <c r="AB96" i="1"/>
  <c r="AC96" i="1"/>
  <c r="AD96" i="1"/>
  <c r="AE96" i="1"/>
  <c r="AF96" i="1"/>
  <c r="AG96" i="1"/>
  <c r="AH130" i="1"/>
  <c r="AM130" i="1"/>
  <c r="AN130" i="1"/>
  <c r="K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M98" i="1"/>
  <c r="N98" i="1" s="1"/>
  <c r="V98" i="1"/>
  <c r="Y98" i="1"/>
  <c r="Z98" i="1"/>
  <c r="AA98" i="1" s="1"/>
  <c r="AB98" i="1"/>
  <c r="AC98" i="1"/>
  <c r="AD98" i="1"/>
  <c r="AE98" i="1"/>
  <c r="AF98" i="1"/>
  <c r="AH132" i="1"/>
  <c r="AM132" i="1"/>
  <c r="AN132" i="1"/>
  <c r="K99" i="1"/>
  <c r="M99" i="1"/>
  <c r="N99" i="1" s="1"/>
  <c r="T99" i="1"/>
  <c r="V99" i="1"/>
  <c r="Y99" i="1"/>
  <c r="AA99" i="1" s="1"/>
  <c r="W99" i="1" s="1"/>
  <c r="Z99" i="1"/>
  <c r="AB99" i="1"/>
  <c r="AC99" i="1"/>
  <c r="AD99" i="1"/>
  <c r="AE99" i="1"/>
  <c r="R37" i="3" s="1"/>
  <c r="AF99" i="1"/>
  <c r="AG99" i="1"/>
  <c r="AH133" i="1"/>
  <c r="AM133" i="1"/>
  <c r="AN133" i="1"/>
  <c r="K100" i="1"/>
  <c r="M100" i="1"/>
  <c r="N100" i="1" s="1"/>
  <c r="V100" i="1"/>
  <c r="X100" i="1"/>
  <c r="Y100" i="1"/>
  <c r="Z100" i="1"/>
  <c r="AB100" i="1"/>
  <c r="AC100" i="1"/>
  <c r="AD100" i="1"/>
  <c r="T100" i="1" s="1"/>
  <c r="AE100" i="1"/>
  <c r="AF100" i="1"/>
  <c r="AG100" i="1"/>
  <c r="U100" i="1" s="1"/>
  <c r="AH134" i="1"/>
  <c r="AM134" i="1"/>
  <c r="AN134" i="1"/>
  <c r="K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7" i="1"/>
  <c r="AM137" i="1"/>
  <c r="AN137" i="1"/>
  <c r="K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AM138" i="1"/>
  <c r="AN138" i="1"/>
  <c r="K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K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0" i="1"/>
  <c r="AM140" i="1"/>
  <c r="AN140" i="1"/>
  <c r="K105" i="1"/>
  <c r="M105" i="1"/>
  <c r="N105" i="1" s="1"/>
  <c r="T105" i="1"/>
  <c r="V105" i="1"/>
  <c r="Y105" i="1"/>
  <c r="AA105" i="1" s="1"/>
  <c r="Z105" i="1"/>
  <c r="AB105" i="1"/>
  <c r="AC105" i="1"/>
  <c r="AD105" i="1"/>
  <c r="AG105" i="1" s="1"/>
  <c r="U105" i="1" s="1"/>
  <c r="S105" i="1" s="1"/>
  <c r="AE105" i="1"/>
  <c r="AF105" i="1"/>
  <c r="AH141" i="1"/>
  <c r="AM141" i="1"/>
  <c r="AN141" i="1"/>
  <c r="K106" i="1"/>
  <c r="M106" i="1"/>
  <c r="N106" i="1"/>
  <c r="V106" i="1"/>
  <c r="Y106" i="1"/>
  <c r="Z106" i="1"/>
  <c r="AB106" i="1"/>
  <c r="AC106" i="1"/>
  <c r="AD106" i="1"/>
  <c r="X106" i="1" s="1"/>
  <c r="AE106" i="1"/>
  <c r="AF106" i="1"/>
  <c r="AH142" i="1"/>
  <c r="AM142" i="1"/>
  <c r="AN142" i="1"/>
  <c r="K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K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M109" i="1"/>
  <c r="N109" i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K111" i="1"/>
  <c r="M111" i="1"/>
  <c r="N111" i="1" s="1"/>
  <c r="V111" i="1"/>
  <c r="Y111" i="1"/>
  <c r="Z111" i="1"/>
  <c r="AA111" i="1" s="1"/>
  <c r="W111" i="1" s="1"/>
  <c r="AB111" i="1"/>
  <c r="AC111" i="1"/>
  <c r="AD111" i="1"/>
  <c r="AG111" i="1" s="1"/>
  <c r="AE111" i="1"/>
  <c r="AF111" i="1"/>
  <c r="AH147" i="1"/>
  <c r="AM147" i="1"/>
  <c r="AN147" i="1"/>
  <c r="K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48" i="1"/>
  <c r="AM148" i="1"/>
  <c r="AN148" i="1"/>
  <c r="K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M114" i="1"/>
  <c r="N114" i="1" s="1"/>
  <c r="V114" i="1"/>
  <c r="S26" i="3" s="1"/>
  <c r="Y114" i="1"/>
  <c r="AB114" i="1"/>
  <c r="AC114" i="1"/>
  <c r="AD114" i="1"/>
  <c r="AE114" i="1"/>
  <c r="AF114" i="1"/>
  <c r="AH150" i="1"/>
  <c r="AM150" i="1"/>
  <c r="AN150" i="1"/>
  <c r="K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AN151" i="1"/>
  <c r="K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3" i="1"/>
  <c r="AM153" i="1"/>
  <c r="AN153" i="1"/>
  <c r="K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54" i="1"/>
  <c r="AM154" i="1"/>
  <c r="AN154" i="1"/>
  <c r="K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55" i="1"/>
  <c r="AM155" i="1"/>
  <c r="AN155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K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58" i="1"/>
  <c r="AM158" i="1"/>
  <c r="AN158" i="1"/>
  <c r="K123" i="1"/>
  <c r="M123" i="1"/>
  <c r="N123" i="1" s="1"/>
  <c r="V123" i="1"/>
  <c r="S39" i="3" s="1"/>
  <c r="Y123" i="1"/>
  <c r="Z123" i="1"/>
  <c r="AB123" i="1"/>
  <c r="AC123" i="1"/>
  <c r="AD123" i="1"/>
  <c r="AG123" i="1" s="1"/>
  <c r="AE123" i="1"/>
  <c r="AF123" i="1"/>
  <c r="AH159" i="1"/>
  <c r="AM159" i="1"/>
  <c r="AN159" i="1"/>
  <c r="K124" i="1"/>
  <c r="M124" i="1"/>
  <c r="N124" i="1" s="1"/>
  <c r="V124" i="1"/>
  <c r="S35" i="3" s="1"/>
  <c r="Y124" i="1"/>
  <c r="AA124" i="1" s="1"/>
  <c r="Z124" i="1"/>
  <c r="AB124" i="1"/>
  <c r="AC124" i="1"/>
  <c r="AD124" i="1"/>
  <c r="T124" i="1" s="1"/>
  <c r="AE124" i="1"/>
  <c r="AF124" i="1"/>
  <c r="AH160" i="1"/>
  <c r="AM160" i="1"/>
  <c r="AN160" i="1"/>
  <c r="K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M126" i="1"/>
  <c r="N126" i="1"/>
  <c r="V126" i="1"/>
  <c r="Y126" i="1"/>
  <c r="AA126" i="1" s="1"/>
  <c r="Z126" i="1"/>
  <c r="AB126" i="1"/>
  <c r="AC126" i="1"/>
  <c r="AD126" i="1"/>
  <c r="AG126" i="1" s="1"/>
  <c r="AE126" i="1"/>
  <c r="AF126" i="1"/>
  <c r="AH162" i="1"/>
  <c r="AM162" i="1"/>
  <c r="AN162" i="1"/>
  <c r="K127" i="1"/>
  <c r="M127" i="1"/>
  <c r="N127" i="1"/>
  <c r="V127" i="1"/>
  <c r="Y127" i="1"/>
  <c r="AA127" i="1" s="1"/>
  <c r="W127" i="1" s="1"/>
  <c r="Z127" i="1"/>
  <c r="AB127" i="1"/>
  <c r="AC127" i="1"/>
  <c r="AD127" i="1"/>
  <c r="AG127" i="1" s="1"/>
  <c r="AE127" i="1"/>
  <c r="AF127" i="1"/>
  <c r="AH163" i="1"/>
  <c r="AM163" i="1"/>
  <c r="AN163" i="1"/>
  <c r="K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M130" i="1"/>
  <c r="N130" i="1"/>
  <c r="V130" i="1"/>
  <c r="Y130" i="1"/>
  <c r="Z130" i="1"/>
  <c r="AB130" i="1"/>
  <c r="AC130" i="1"/>
  <c r="AD130" i="1"/>
  <c r="AG130" i="1" s="1"/>
  <c r="AE130" i="1"/>
  <c r="AF130" i="1"/>
  <c r="AH166" i="1"/>
  <c r="AM166" i="1"/>
  <c r="AN166" i="1"/>
  <c r="K131" i="1"/>
  <c r="M131" i="1"/>
  <c r="N131" i="1" s="1"/>
  <c r="V131" i="1"/>
  <c r="Y131" i="1"/>
  <c r="AA131" i="1" s="1"/>
  <c r="W131" i="1" s="1"/>
  <c r="Z131" i="1"/>
  <c r="AB131" i="1"/>
  <c r="AC131" i="1"/>
  <c r="AD131" i="1"/>
  <c r="AG131" i="1" s="1"/>
  <c r="AE131" i="1"/>
  <c r="AF131" i="1"/>
  <c r="AH167" i="1"/>
  <c r="AM167" i="1"/>
  <c r="AN167" i="1"/>
  <c r="K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68" i="1"/>
  <c r="AM168" i="1"/>
  <c r="AN168" i="1"/>
  <c r="K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9" i="1"/>
  <c r="AM169" i="1"/>
  <c r="AN169" i="1"/>
  <c r="K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0" i="1"/>
  <c r="AM170" i="1"/>
  <c r="AN170" i="1"/>
  <c r="K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1" i="1"/>
  <c r="AM171" i="1"/>
  <c r="AN171" i="1"/>
  <c r="K136" i="1"/>
  <c r="M136" i="1"/>
  <c r="N136" i="1" s="1"/>
  <c r="V136" i="1"/>
  <c r="Y136" i="1"/>
  <c r="Z136" i="1"/>
  <c r="AB136" i="1"/>
  <c r="AC136" i="1"/>
  <c r="AD136" i="1"/>
  <c r="AE136" i="1"/>
  <c r="AF136" i="1"/>
  <c r="AH172" i="1"/>
  <c r="AI172" i="1"/>
  <c r="AM172" i="1"/>
  <c r="AN172" i="1"/>
  <c r="K137" i="1"/>
  <c r="M137" i="1"/>
  <c r="N137" i="1" s="1"/>
  <c r="V137" i="1"/>
  <c r="S11" i="3" s="1"/>
  <c r="Y137" i="1"/>
  <c r="Z137" i="1"/>
  <c r="AB137" i="1"/>
  <c r="AC137" i="1"/>
  <c r="AD137" i="1"/>
  <c r="AE137" i="1"/>
  <c r="R11" i="3" s="1"/>
  <c r="AF137" i="1"/>
  <c r="AH173" i="1"/>
  <c r="AM173" i="1"/>
  <c r="AN173" i="1"/>
  <c r="K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74" i="1"/>
  <c r="AM174" i="1"/>
  <c r="AN174" i="1"/>
  <c r="K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75" i="1"/>
  <c r="AM175" i="1"/>
  <c r="AN175" i="1"/>
  <c r="K140" i="1"/>
  <c r="M140" i="1"/>
  <c r="N140" i="1" s="1"/>
  <c r="T140" i="1"/>
  <c r="V140" i="1"/>
  <c r="Y140" i="1"/>
  <c r="AA140" i="1" s="1"/>
  <c r="Z140" i="1"/>
  <c r="AB140" i="1"/>
  <c r="AC140" i="1"/>
  <c r="AD140" i="1"/>
  <c r="AG140" i="1" s="1"/>
  <c r="AE140" i="1"/>
  <c r="AF140" i="1"/>
  <c r="AH176" i="1"/>
  <c r="AM176" i="1"/>
  <c r="AN176" i="1"/>
  <c r="K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M142" i="1"/>
  <c r="N142" i="1" s="1"/>
  <c r="V142" i="1"/>
  <c r="Y142" i="1"/>
  <c r="Z142" i="1"/>
  <c r="AB142" i="1"/>
  <c r="AC142" i="1"/>
  <c r="AD142" i="1"/>
  <c r="AE142" i="1"/>
  <c r="AF142" i="1"/>
  <c r="AG142" i="1"/>
  <c r="AH178" i="1"/>
  <c r="AM178" i="1"/>
  <c r="AN178" i="1"/>
  <c r="K143" i="1"/>
  <c r="M143" i="1"/>
  <c r="N143" i="1" s="1"/>
  <c r="V143" i="1"/>
  <c r="Y143" i="1"/>
  <c r="AA143" i="1" s="1"/>
  <c r="Z143" i="1"/>
  <c r="AB143" i="1"/>
  <c r="AC143" i="1"/>
  <c r="AD143" i="1"/>
  <c r="AG143" i="1" s="1"/>
  <c r="AE143" i="1"/>
  <c r="AF143" i="1"/>
  <c r="AH179" i="1"/>
  <c r="AM179" i="1"/>
  <c r="AN179" i="1"/>
  <c r="K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0" i="1"/>
  <c r="AM180" i="1"/>
  <c r="AN180" i="1"/>
  <c r="K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M146" i="1"/>
  <c r="N146" i="1"/>
  <c r="V146" i="1"/>
  <c r="Y146" i="1"/>
  <c r="Z146" i="1"/>
  <c r="AB146" i="1"/>
  <c r="AC146" i="1"/>
  <c r="AD146" i="1"/>
  <c r="AE146" i="1"/>
  <c r="AF146" i="1"/>
  <c r="AH182" i="1"/>
  <c r="AM182" i="1"/>
  <c r="AN182" i="1"/>
  <c r="K147" i="1"/>
  <c r="M147" i="1"/>
  <c r="N147" i="1" s="1"/>
  <c r="V147" i="1"/>
  <c r="Y147" i="1"/>
  <c r="AA147" i="1" s="1"/>
  <c r="Z147" i="1"/>
  <c r="AB147" i="1"/>
  <c r="AC147" i="1"/>
  <c r="AD147" i="1"/>
  <c r="AG147" i="1" s="1"/>
  <c r="AI147" i="1" s="1"/>
  <c r="AE147" i="1"/>
  <c r="AF147" i="1"/>
  <c r="AH183" i="1"/>
  <c r="AM183" i="1"/>
  <c r="AN183" i="1"/>
  <c r="K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4" i="1"/>
  <c r="AM184" i="1"/>
  <c r="AN184" i="1"/>
  <c r="K149" i="1"/>
  <c r="M149" i="1"/>
  <c r="N149" i="1" s="1"/>
  <c r="V149" i="1"/>
  <c r="Y149" i="1"/>
  <c r="Z149" i="1"/>
  <c r="AB149" i="1"/>
  <c r="AC149" i="1"/>
  <c r="AD149" i="1"/>
  <c r="AE149" i="1"/>
  <c r="AF149" i="1"/>
  <c r="AH185" i="1"/>
  <c r="AM185" i="1"/>
  <c r="AN185" i="1"/>
  <c r="K150" i="1"/>
  <c r="M150" i="1"/>
  <c r="N150" i="1" s="1"/>
  <c r="V150" i="1"/>
  <c r="Y150" i="1"/>
  <c r="Z150" i="1"/>
  <c r="AA150" i="1" s="1"/>
  <c r="AB150" i="1"/>
  <c r="AC150" i="1"/>
  <c r="AD150" i="1"/>
  <c r="AE150" i="1"/>
  <c r="R24" i="3" s="1"/>
  <c r="AF150" i="1"/>
  <c r="AH186" i="1"/>
  <c r="AM186" i="1"/>
  <c r="AN186" i="1"/>
  <c r="K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7" i="1"/>
  <c r="AI187" i="1"/>
  <c r="AM187" i="1"/>
  <c r="AN187" i="1"/>
  <c r="K152" i="1"/>
  <c r="M152" i="1"/>
  <c r="N152" i="1" s="1"/>
  <c r="V152" i="1"/>
  <c r="X152" i="1"/>
  <c r="Y152" i="1"/>
  <c r="Z152" i="1"/>
  <c r="AB152" i="1"/>
  <c r="AC152" i="1"/>
  <c r="AD152" i="1"/>
  <c r="T152" i="1" s="1"/>
  <c r="AE152" i="1"/>
  <c r="AF152" i="1"/>
  <c r="AG152" i="1"/>
  <c r="AI152" i="1" s="1"/>
  <c r="AH188" i="1"/>
  <c r="AM188" i="1"/>
  <c r="AN188" i="1"/>
  <c r="K153" i="1"/>
  <c r="M153" i="1"/>
  <c r="N153" i="1" s="1"/>
  <c r="V153" i="1"/>
  <c r="S14" i="3" s="1"/>
  <c r="Y153" i="1"/>
  <c r="Z153" i="1"/>
  <c r="AB153" i="1"/>
  <c r="AC153" i="1"/>
  <c r="AD153" i="1"/>
  <c r="X153" i="1" s="1"/>
  <c r="AE153" i="1"/>
  <c r="AF153" i="1"/>
  <c r="AH189" i="1"/>
  <c r="AM189" i="1"/>
  <c r="AN189" i="1"/>
  <c r="K154" i="1"/>
  <c r="M154" i="1"/>
  <c r="N154" i="1" s="1"/>
  <c r="V154" i="1"/>
  <c r="Y154" i="1"/>
  <c r="Z154" i="1"/>
  <c r="AB154" i="1"/>
  <c r="AC154" i="1"/>
  <c r="AD154" i="1"/>
  <c r="T154" i="1" s="1"/>
  <c r="AE154" i="1"/>
  <c r="R36" i="3" s="1"/>
  <c r="AF154" i="1"/>
  <c r="AH190" i="1"/>
  <c r="AM190" i="1"/>
  <c r="AN190" i="1"/>
  <c r="K155" i="1"/>
  <c r="M155" i="1"/>
  <c r="N155" i="1"/>
  <c r="V155" i="1"/>
  <c r="Y155" i="1"/>
  <c r="AA155" i="1" s="1"/>
  <c r="Z155" i="1"/>
  <c r="AB155" i="1"/>
  <c r="AC155" i="1"/>
  <c r="AD155" i="1"/>
  <c r="AG155" i="1" s="1"/>
  <c r="AI155" i="1" s="1"/>
  <c r="AE155" i="1"/>
  <c r="AF155" i="1"/>
  <c r="AH191" i="1"/>
  <c r="AM191" i="1"/>
  <c r="AN191" i="1"/>
  <c r="K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92" i="1"/>
  <c r="AM192" i="1"/>
  <c r="AN192" i="1"/>
  <c r="K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93" i="1"/>
  <c r="AM193" i="1"/>
  <c r="AN193" i="1"/>
  <c r="K158" i="1"/>
  <c r="M158" i="1"/>
  <c r="N158" i="1"/>
  <c r="V158" i="1"/>
  <c r="Y158" i="1"/>
  <c r="AA158" i="1" s="1"/>
  <c r="Z158" i="1"/>
  <c r="AB158" i="1"/>
  <c r="AC158" i="1"/>
  <c r="AD158" i="1"/>
  <c r="T158" i="1" s="1"/>
  <c r="AE158" i="1"/>
  <c r="AF158" i="1"/>
  <c r="AH194" i="1"/>
  <c r="AM194" i="1"/>
  <c r="AN194" i="1"/>
  <c r="K159" i="1"/>
  <c r="M159" i="1"/>
  <c r="V159" i="1"/>
  <c r="Y159" i="1"/>
  <c r="AA159" i="1" s="1"/>
  <c r="Z159" i="1"/>
  <c r="AB159" i="1"/>
  <c r="AC159" i="1"/>
  <c r="AD159" i="1"/>
  <c r="AG159" i="1" s="1"/>
  <c r="AI159" i="1" s="1"/>
  <c r="AE159" i="1"/>
  <c r="AF159" i="1"/>
  <c r="AH195" i="1"/>
  <c r="AM195" i="1"/>
  <c r="AN195" i="1"/>
  <c r="K160" i="1"/>
  <c r="M160" i="1"/>
  <c r="V160" i="1"/>
  <c r="Y160" i="1"/>
  <c r="AA160" i="1" s="1"/>
  <c r="Z160" i="1"/>
  <c r="AB160" i="1"/>
  <c r="AC160" i="1"/>
  <c r="AD160" i="1"/>
  <c r="AE160" i="1"/>
  <c r="AF160" i="1"/>
  <c r="AH196" i="1"/>
  <c r="AM196" i="1"/>
  <c r="AN196" i="1"/>
  <c r="K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M196" i="1"/>
  <c r="N196" i="1"/>
  <c r="V196" i="1"/>
  <c r="Y196" i="1"/>
  <c r="AA196" i="1" s="1"/>
  <c r="Z196" i="1"/>
  <c r="AB196" i="1"/>
  <c r="AC196" i="1"/>
  <c r="AD196" i="1"/>
  <c r="T196" i="1" s="1"/>
  <c r="AE196" i="1"/>
  <c r="AF196" i="1"/>
  <c r="AH198" i="1"/>
  <c r="AM198" i="1"/>
  <c r="AN198" i="1"/>
  <c r="K197" i="1"/>
  <c r="M197" i="1"/>
  <c r="N197" i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M198" i="1"/>
  <c r="N198" i="1" s="1"/>
  <c r="V198" i="1"/>
  <c r="Y198" i="1"/>
  <c r="AA198" i="1" s="1"/>
  <c r="Z198" i="1"/>
  <c r="AB198" i="1"/>
  <c r="AC198" i="1"/>
  <c r="AD198" i="1"/>
  <c r="T198" i="1" s="1"/>
  <c r="AE198" i="1"/>
  <c r="AF198" i="1"/>
  <c r="AH200" i="1"/>
  <c r="AM200" i="1"/>
  <c r="AN200" i="1"/>
  <c r="K199" i="1"/>
  <c r="M199" i="1"/>
  <c r="N199" i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03" i="1"/>
  <c r="AM203" i="1"/>
  <c r="AN203" i="1"/>
  <c r="K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05" i="1"/>
  <c r="AM205" i="1"/>
  <c r="AN205" i="1"/>
  <c r="K204" i="1"/>
  <c r="M204" i="1"/>
  <c r="N204" i="1"/>
  <c r="V204" i="1"/>
  <c r="Y204" i="1"/>
  <c r="Z204" i="1"/>
  <c r="AA204" i="1"/>
  <c r="AB204" i="1"/>
  <c r="AC204" i="1"/>
  <c r="AD204" i="1"/>
  <c r="T204" i="1" s="1"/>
  <c r="AE204" i="1"/>
  <c r="AF204" i="1"/>
  <c r="AH206" i="1"/>
  <c r="AM206" i="1"/>
  <c r="AN206" i="1"/>
  <c r="K205" i="1"/>
  <c r="M205" i="1"/>
  <c r="N205" i="1"/>
  <c r="V205" i="1"/>
  <c r="Y205" i="1"/>
  <c r="Z205" i="1"/>
  <c r="AA205" i="1"/>
  <c r="AB205" i="1"/>
  <c r="AC205" i="1"/>
  <c r="AD205" i="1"/>
  <c r="AG205" i="1" s="1"/>
  <c r="AE205" i="1"/>
  <c r="AF205" i="1"/>
  <c r="AH207" i="1"/>
  <c r="AM207" i="1"/>
  <c r="AN207" i="1"/>
  <c r="K208" i="1"/>
  <c r="M208" i="1"/>
  <c r="N208" i="1" s="1"/>
  <c r="T208" i="1"/>
  <c r="V208" i="1"/>
  <c r="X208" i="1"/>
  <c r="Y208" i="1"/>
  <c r="Z208" i="1"/>
  <c r="AB208" i="1"/>
  <c r="AC208" i="1"/>
  <c r="AD208" i="1"/>
  <c r="AE208" i="1"/>
  <c r="AF208" i="1"/>
  <c r="AG208" i="1"/>
  <c r="AH208" i="1"/>
  <c r="AM208" i="1"/>
  <c r="AN208" i="1"/>
  <c r="K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M210" i="1"/>
  <c r="N210" i="1" s="1"/>
  <c r="V210" i="1"/>
  <c r="S44" i="3" s="1"/>
  <c r="Y210" i="1"/>
  <c r="Z210" i="1"/>
  <c r="AA210" i="1" s="1"/>
  <c r="AB210" i="1"/>
  <c r="AC210" i="1"/>
  <c r="AD210" i="1"/>
  <c r="T210" i="1" s="1"/>
  <c r="AE210" i="1"/>
  <c r="R44" i="3" s="1"/>
  <c r="AF210" i="1"/>
  <c r="AH210" i="1"/>
  <c r="AM210" i="1"/>
  <c r="AN210" i="1"/>
  <c r="K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211" i="1"/>
  <c r="AM211" i="1"/>
  <c r="AN211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M213" i="1"/>
  <c r="N213" i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M215" i="1"/>
  <c r="N215" i="1" s="1"/>
  <c r="V215" i="1"/>
  <c r="Y215" i="1"/>
  <c r="Z215" i="1"/>
  <c r="AA215" i="1"/>
  <c r="AB215" i="1"/>
  <c r="AC215" i="1"/>
  <c r="AD215" i="1"/>
  <c r="AG215" i="1" s="1"/>
  <c r="AE215" i="1"/>
  <c r="AF215" i="1"/>
  <c r="AH215" i="1"/>
  <c r="AM215" i="1"/>
  <c r="AN215" i="1"/>
  <c r="K216" i="1"/>
  <c r="M216" i="1"/>
  <c r="N216" i="1" s="1"/>
  <c r="T216" i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217" i="1"/>
  <c r="AM217" i="1"/>
  <c r="AN217" i="1"/>
  <c r="K218" i="1"/>
  <c r="M218" i="1"/>
  <c r="N218" i="1"/>
  <c r="V218" i="1"/>
  <c r="Y218" i="1"/>
  <c r="AA218" i="1" s="1"/>
  <c r="Z218" i="1"/>
  <c r="AB218" i="1"/>
  <c r="AC218" i="1"/>
  <c r="AD218" i="1"/>
  <c r="T218" i="1" s="1"/>
  <c r="AE218" i="1"/>
  <c r="AF218" i="1"/>
  <c r="AH218" i="1"/>
  <c r="AM218" i="1"/>
  <c r="AN218" i="1"/>
  <c r="K219" i="1"/>
  <c r="M219" i="1"/>
  <c r="N219" i="1"/>
  <c r="T219" i="1"/>
  <c r="V219" i="1"/>
  <c r="Y219" i="1"/>
  <c r="Z219" i="1"/>
  <c r="AA219" i="1" s="1"/>
  <c r="AB219" i="1"/>
  <c r="AC219" i="1"/>
  <c r="AD219" i="1"/>
  <c r="AG219" i="1" s="1"/>
  <c r="AE219" i="1"/>
  <c r="AF219" i="1"/>
  <c r="AH219" i="1"/>
  <c r="AM219" i="1"/>
  <c r="AN219" i="1"/>
  <c r="K220" i="1"/>
  <c r="M220" i="1"/>
  <c r="N220" i="1" s="1"/>
  <c r="V220" i="1"/>
  <c r="Y220" i="1"/>
  <c r="Z220" i="1"/>
  <c r="U220" i="1" s="1"/>
  <c r="AB220" i="1"/>
  <c r="AC220" i="1"/>
  <c r="AD220" i="1"/>
  <c r="T220" i="1" s="1"/>
  <c r="AE220" i="1"/>
  <c r="AF220" i="1"/>
  <c r="AG220" i="1"/>
  <c r="AH220" i="1"/>
  <c r="AM220" i="1"/>
  <c r="AN220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221" i="1"/>
  <c r="AM221" i="1"/>
  <c r="AN221" i="1"/>
  <c r="K222" i="1"/>
  <c r="L222" i="1"/>
  <c r="M222" i="1"/>
  <c r="N222" i="1"/>
  <c r="V222" i="1"/>
  <c r="Y222" i="1"/>
  <c r="Z222" i="1"/>
  <c r="AA222" i="1"/>
  <c r="AB222" i="1"/>
  <c r="AC222" i="1"/>
  <c r="AD222" i="1"/>
  <c r="T222" i="1" s="1"/>
  <c r="AE222" i="1"/>
  <c r="AF222" i="1"/>
  <c r="AH222" i="1"/>
  <c r="AM222" i="1"/>
  <c r="AN222" i="1"/>
  <c r="K223" i="1"/>
  <c r="M223" i="1"/>
  <c r="N223" i="1"/>
  <c r="V223" i="1"/>
  <c r="Y223" i="1"/>
  <c r="Z223" i="1"/>
  <c r="AA223" i="1" s="1"/>
  <c r="AB223" i="1"/>
  <c r="AC223" i="1"/>
  <c r="AD223" i="1"/>
  <c r="T223" i="1" s="1"/>
  <c r="AE223" i="1"/>
  <c r="AF223" i="1"/>
  <c r="AH223" i="1"/>
  <c r="AM223" i="1"/>
  <c r="AN223" i="1"/>
  <c r="K224" i="1"/>
  <c r="M224" i="1"/>
  <c r="N224" i="1" s="1"/>
  <c r="V224" i="1"/>
  <c r="Y224" i="1"/>
  <c r="Z224" i="1"/>
  <c r="AB224" i="1"/>
  <c r="AC224" i="1"/>
  <c r="AD224" i="1"/>
  <c r="AE224" i="1"/>
  <c r="AF224" i="1"/>
  <c r="AH224" i="1"/>
  <c r="AM224" i="1"/>
  <c r="AN224" i="1"/>
  <c r="K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25" i="1"/>
  <c r="AM225" i="1"/>
  <c r="AN225" i="1"/>
  <c r="K226" i="1"/>
  <c r="M226" i="1"/>
  <c r="N226" i="1"/>
  <c r="V226" i="1"/>
  <c r="Y226" i="1"/>
  <c r="AA226" i="1" s="1"/>
  <c r="Z226" i="1"/>
  <c r="AB226" i="1"/>
  <c r="AC226" i="1"/>
  <c r="AD226" i="1"/>
  <c r="T226" i="1" s="1"/>
  <c r="AE226" i="1"/>
  <c r="AF226" i="1"/>
  <c r="AH226" i="1"/>
  <c r="AM226" i="1"/>
  <c r="AN226" i="1"/>
  <c r="M30" i="3"/>
  <c r="R30" i="3"/>
  <c r="S30" i="3"/>
  <c r="U30" i="3"/>
  <c r="T30" i="3" s="1"/>
  <c r="V30" i="3"/>
  <c r="W30" i="3"/>
  <c r="X30" i="3"/>
  <c r="M10" i="3"/>
  <c r="R10" i="3"/>
  <c r="S10" i="3"/>
  <c r="U10" i="3"/>
  <c r="V10" i="3"/>
  <c r="W10" i="3"/>
  <c r="X10" i="3"/>
  <c r="AC10" i="3"/>
  <c r="M19" i="3"/>
  <c r="R19" i="3"/>
  <c r="S19" i="3"/>
  <c r="U19" i="3"/>
  <c r="AC19" i="3" s="1"/>
  <c r="V19" i="3"/>
  <c r="W19" i="3"/>
  <c r="X19" i="3"/>
  <c r="M7" i="3"/>
  <c r="R7" i="3"/>
  <c r="S7" i="3"/>
  <c r="U7" i="3"/>
  <c r="T7" i="3" s="1"/>
  <c r="V7" i="3"/>
  <c r="W7" i="3"/>
  <c r="X7" i="3"/>
  <c r="AC7" i="3"/>
  <c r="AD7" i="3"/>
  <c r="M20" i="3"/>
  <c r="R20" i="3"/>
  <c r="S20" i="3"/>
  <c r="U20" i="3"/>
  <c r="T20" i="3" s="1"/>
  <c r="V20" i="3"/>
  <c r="W20" i="3"/>
  <c r="X20" i="3"/>
  <c r="M16" i="3"/>
  <c r="R16" i="3"/>
  <c r="S16" i="3"/>
  <c r="U16" i="3"/>
  <c r="V16" i="3"/>
  <c r="W16" i="3"/>
  <c r="X16" i="3"/>
  <c r="AC16" i="3"/>
  <c r="M8" i="3"/>
  <c r="R8" i="3"/>
  <c r="S8" i="3"/>
  <c r="U8" i="3"/>
  <c r="AC8" i="3" s="1"/>
  <c r="V8" i="3"/>
  <c r="W8" i="3"/>
  <c r="X8" i="3"/>
  <c r="M31" i="3"/>
  <c r="R31" i="3"/>
  <c r="S31" i="3"/>
  <c r="U31" i="3"/>
  <c r="AD31" i="3" s="1"/>
  <c r="V31" i="3"/>
  <c r="W31" i="3"/>
  <c r="X31" i="3"/>
  <c r="AC31" i="3"/>
  <c r="M29" i="3"/>
  <c r="R29" i="3"/>
  <c r="S29" i="3"/>
  <c r="U29" i="3"/>
  <c r="T29" i="3" s="1"/>
  <c r="V29" i="3"/>
  <c r="W29" i="3"/>
  <c r="X29" i="3"/>
  <c r="AC29" i="3"/>
  <c r="M27" i="3"/>
  <c r="R27" i="3"/>
  <c r="S27" i="3"/>
  <c r="U27" i="3"/>
  <c r="V27" i="3"/>
  <c r="W27" i="3"/>
  <c r="X27" i="3"/>
  <c r="M12" i="3"/>
  <c r="R12" i="3"/>
  <c r="S12" i="3"/>
  <c r="U12" i="3"/>
  <c r="AC12" i="3" s="1"/>
  <c r="V12" i="3"/>
  <c r="W12" i="3"/>
  <c r="X12" i="3"/>
  <c r="M18" i="3"/>
  <c r="R18" i="3"/>
  <c r="S18" i="3"/>
  <c r="U18" i="3"/>
  <c r="AD18" i="3" s="1"/>
  <c r="V18" i="3"/>
  <c r="W18" i="3"/>
  <c r="X18" i="3"/>
  <c r="AC18" i="3"/>
  <c r="M42" i="3"/>
  <c r="R42" i="3"/>
  <c r="S42" i="3"/>
  <c r="U42" i="3"/>
  <c r="T42" i="3" s="1"/>
  <c r="V42" i="3"/>
  <c r="W42" i="3"/>
  <c r="X42" i="3"/>
  <c r="AC42" i="3"/>
  <c r="M9" i="3"/>
  <c r="R9" i="3"/>
  <c r="S9" i="3"/>
  <c r="U9" i="3"/>
  <c r="V9" i="3"/>
  <c r="W9" i="3"/>
  <c r="X9" i="3"/>
  <c r="M40" i="3"/>
  <c r="R40" i="3"/>
  <c r="S40" i="3"/>
  <c r="U40" i="3"/>
  <c r="AC40" i="3" s="1"/>
  <c r="V40" i="3"/>
  <c r="W40" i="3"/>
  <c r="X40" i="3"/>
  <c r="M37" i="3"/>
  <c r="S37" i="3"/>
  <c r="U37" i="3"/>
  <c r="T37" i="3" s="1"/>
  <c r="V37" i="3"/>
  <c r="W37" i="3"/>
  <c r="X37" i="3"/>
  <c r="AC37" i="3"/>
  <c r="M32" i="3"/>
  <c r="R32" i="3"/>
  <c r="S32" i="3"/>
  <c r="U32" i="3"/>
  <c r="T32" i="3" s="1"/>
  <c r="V32" i="3"/>
  <c r="W32" i="3"/>
  <c r="X32" i="3"/>
  <c r="AC32" i="3"/>
  <c r="M38" i="3"/>
  <c r="R38" i="3"/>
  <c r="S38" i="3"/>
  <c r="U38" i="3"/>
  <c r="AD38" i="3" s="1"/>
  <c r="V38" i="3"/>
  <c r="W38" i="3"/>
  <c r="X38" i="3"/>
  <c r="AC38" i="3"/>
  <c r="M43" i="3"/>
  <c r="R43" i="3"/>
  <c r="S43" i="3"/>
  <c r="U43" i="3"/>
  <c r="AC43" i="3" s="1"/>
  <c r="V43" i="3"/>
  <c r="W43" i="3"/>
  <c r="X43" i="3"/>
  <c r="M17" i="3"/>
  <c r="R17" i="3"/>
  <c r="S17" i="3"/>
  <c r="U17" i="3"/>
  <c r="T17" i="3" s="1"/>
  <c r="V17" i="3"/>
  <c r="W17" i="3"/>
  <c r="X17" i="3"/>
  <c r="AC17" i="3"/>
  <c r="AD17" i="3"/>
  <c r="M41" i="3"/>
  <c r="R41" i="3"/>
  <c r="S41" i="3"/>
  <c r="U41" i="3"/>
  <c r="T41" i="3" s="1"/>
  <c r="V41" i="3"/>
  <c r="W41" i="3"/>
  <c r="X41" i="3"/>
  <c r="AC41" i="3"/>
  <c r="M26" i="3"/>
  <c r="R26" i="3"/>
  <c r="U26" i="3"/>
  <c r="AD26" i="3" s="1"/>
  <c r="V26" i="3"/>
  <c r="W26" i="3"/>
  <c r="X26" i="3"/>
  <c r="AC26" i="3"/>
  <c r="M33" i="3"/>
  <c r="R33" i="3"/>
  <c r="S33" i="3"/>
  <c r="U33" i="3"/>
  <c r="AC33" i="3" s="1"/>
  <c r="V33" i="3"/>
  <c r="W33" i="3"/>
  <c r="X33" i="3"/>
  <c r="M44" i="3"/>
  <c r="U44" i="3"/>
  <c r="AD44" i="3" s="1"/>
  <c r="V44" i="3"/>
  <c r="W44" i="3"/>
  <c r="X44" i="3"/>
  <c r="AC44" i="3"/>
  <c r="M39" i="3"/>
  <c r="R39" i="3"/>
  <c r="U39" i="3"/>
  <c r="T39" i="3" s="1"/>
  <c r="V39" i="3"/>
  <c r="W39" i="3"/>
  <c r="X39" i="3"/>
  <c r="AC39" i="3"/>
  <c r="M34" i="3"/>
  <c r="R34" i="3"/>
  <c r="S34" i="3"/>
  <c r="U34" i="3"/>
  <c r="AD34" i="3" s="1"/>
  <c r="V34" i="3"/>
  <c r="W34" i="3"/>
  <c r="X34" i="3"/>
  <c r="M23" i="3"/>
  <c r="R23" i="3"/>
  <c r="S23" i="3"/>
  <c r="U23" i="3"/>
  <c r="AC23" i="3" s="1"/>
  <c r="V23" i="3"/>
  <c r="W23" i="3"/>
  <c r="X23" i="3"/>
  <c r="M22" i="3"/>
  <c r="R22" i="3"/>
  <c r="S22" i="3"/>
  <c r="U22" i="3"/>
  <c r="V22" i="3"/>
  <c r="W22" i="3"/>
  <c r="X22" i="3"/>
  <c r="AC22" i="3"/>
  <c r="M35" i="3"/>
  <c r="R35" i="3"/>
  <c r="U35" i="3"/>
  <c r="T35" i="3" s="1"/>
  <c r="V35" i="3"/>
  <c r="W35" i="3"/>
  <c r="X35" i="3"/>
  <c r="AC35" i="3"/>
  <c r="M11" i="3"/>
  <c r="U11" i="3"/>
  <c r="AD11" i="3" s="1"/>
  <c r="V11" i="3"/>
  <c r="W11" i="3"/>
  <c r="X11" i="3"/>
  <c r="M25" i="3"/>
  <c r="R25" i="3"/>
  <c r="S25" i="3"/>
  <c r="U25" i="3"/>
  <c r="AC25" i="3" s="1"/>
  <c r="V25" i="3"/>
  <c r="W25" i="3"/>
  <c r="X25" i="3"/>
  <c r="M21" i="3"/>
  <c r="R21" i="3"/>
  <c r="S21" i="3"/>
  <c r="U21" i="3"/>
  <c r="AD21" i="3" s="1"/>
  <c r="V21" i="3"/>
  <c r="W21" i="3"/>
  <c r="X21" i="3"/>
  <c r="AC21" i="3"/>
  <c r="M15" i="3"/>
  <c r="R15" i="3"/>
  <c r="S15" i="3"/>
  <c r="U15" i="3"/>
  <c r="T15" i="3" s="1"/>
  <c r="V15" i="3"/>
  <c r="W15" i="3"/>
  <c r="X15" i="3"/>
  <c r="AC15" i="3"/>
  <c r="M28" i="3"/>
  <c r="R28" i="3"/>
  <c r="S28" i="3"/>
  <c r="U28" i="3"/>
  <c r="AD28" i="3" s="1"/>
  <c r="V28" i="3"/>
  <c r="W28" i="3"/>
  <c r="X28" i="3"/>
  <c r="AC28" i="3"/>
  <c r="M14" i="3"/>
  <c r="R14" i="3"/>
  <c r="U14" i="3"/>
  <c r="AC14" i="3" s="1"/>
  <c r="V14" i="3"/>
  <c r="W14" i="3"/>
  <c r="X14" i="3"/>
  <c r="M24" i="3"/>
  <c r="S24" i="3"/>
  <c r="U24" i="3"/>
  <c r="AD24" i="3" s="1"/>
  <c r="V24" i="3"/>
  <c r="W24" i="3"/>
  <c r="X24" i="3"/>
  <c r="AC24" i="3"/>
  <c r="M36" i="3"/>
  <c r="S36" i="3"/>
  <c r="U36" i="3"/>
  <c r="T36" i="3" s="1"/>
  <c r="V36" i="3"/>
  <c r="W36" i="3"/>
  <c r="X36" i="3"/>
  <c r="AC36" i="3"/>
  <c r="Y27" i="3" l="1"/>
  <c r="Y40" i="3"/>
  <c r="Y24" i="3"/>
  <c r="Y10" i="3"/>
  <c r="AE24" i="3"/>
  <c r="AD29" i="3"/>
  <c r="AE21" i="3"/>
  <c r="Y34" i="3"/>
  <c r="Y26" i="3"/>
  <c r="AE37" i="3"/>
  <c r="T24" i="3"/>
  <c r="Y14" i="3"/>
  <c r="Y43" i="3"/>
  <c r="Y37" i="3"/>
  <c r="Y11" i="3"/>
  <c r="Y23" i="3"/>
  <c r="AE17" i="3"/>
  <c r="Y29" i="3"/>
  <c r="Y16" i="3"/>
  <c r="Y7" i="3"/>
  <c r="Y28" i="3"/>
  <c r="Y25" i="3"/>
  <c r="AD39" i="3"/>
  <c r="Y33" i="3"/>
  <c r="Y41" i="3"/>
  <c r="Y19" i="3"/>
  <c r="Y30" i="3"/>
  <c r="W143" i="1"/>
  <c r="W105" i="1"/>
  <c r="X224" i="1"/>
  <c r="AA212" i="1"/>
  <c r="AA209" i="1"/>
  <c r="X159" i="1"/>
  <c r="T156" i="1"/>
  <c r="AA154" i="1"/>
  <c r="X149" i="1"/>
  <c r="AA141" i="1"/>
  <c r="X137" i="1"/>
  <c r="AA135" i="1"/>
  <c r="W135" i="1" s="1"/>
  <c r="AG128" i="1"/>
  <c r="AG125" i="1"/>
  <c r="AI125" i="1" s="1"/>
  <c r="X125" i="1"/>
  <c r="AG124" i="1"/>
  <c r="AA120" i="1"/>
  <c r="X120" i="1"/>
  <c r="AG116" i="1"/>
  <c r="AA115" i="1"/>
  <c r="W115" i="1" s="1"/>
  <c r="T111" i="1"/>
  <c r="AA110" i="1"/>
  <c r="AA107" i="1"/>
  <c r="AG207" i="1"/>
  <c r="X207" i="1"/>
  <c r="AG206" i="1"/>
  <c r="AA102" i="1"/>
  <c r="AA97" i="1"/>
  <c r="AA194" i="1"/>
  <c r="AA190" i="1"/>
  <c r="AG184" i="1"/>
  <c r="AI184" i="1" s="1"/>
  <c r="X184" i="1"/>
  <c r="AG183" i="1"/>
  <c r="AI183" i="1" s="1"/>
  <c r="AG169" i="1"/>
  <c r="W169" i="1" s="1"/>
  <c r="AA161" i="1"/>
  <c r="W161" i="1" s="1"/>
  <c r="AA89" i="1"/>
  <c r="W89" i="1" s="1"/>
  <c r="AA76" i="1"/>
  <c r="W76" i="1" s="1"/>
  <c r="AA71" i="1"/>
  <c r="AA70" i="1"/>
  <c r="AA66" i="1"/>
  <c r="W66" i="1" s="1"/>
  <c r="AA60" i="1"/>
  <c r="AG57" i="1"/>
  <c r="X57" i="1"/>
  <c r="AG49" i="1"/>
  <c r="X49" i="1"/>
  <c r="AG45" i="1"/>
  <c r="X45" i="1"/>
  <c r="AG44" i="1"/>
  <c r="AI44" i="1" s="1"/>
  <c r="AA43" i="1"/>
  <c r="AA40" i="1"/>
  <c r="AG37" i="1"/>
  <c r="AA36" i="1"/>
  <c r="T33" i="1"/>
  <c r="W24" i="1"/>
  <c r="AA20" i="1"/>
  <c r="AA18" i="1"/>
  <c r="X201" i="1"/>
  <c r="W147" i="1"/>
  <c r="W95" i="1"/>
  <c r="W32" i="1"/>
  <c r="T224" i="1"/>
  <c r="AA214" i="1"/>
  <c r="X202" i="1"/>
  <c r="AA200" i="1"/>
  <c r="AG198" i="1"/>
  <c r="AG156" i="1"/>
  <c r="AI156" i="1" s="1"/>
  <c r="AA153" i="1"/>
  <c r="AA152" i="1"/>
  <c r="W152" i="1" s="1"/>
  <c r="AI151" i="1"/>
  <c r="AA151" i="1"/>
  <c r="W151" i="1" s="1"/>
  <c r="AG148" i="1"/>
  <c r="W148" i="1" s="1"/>
  <c r="AG144" i="1"/>
  <c r="AG141" i="1"/>
  <c r="AI141" i="1" s="1"/>
  <c r="X141" i="1"/>
  <c r="AA136" i="1"/>
  <c r="X135" i="1"/>
  <c r="X121" i="1"/>
  <c r="AG120" i="1"/>
  <c r="AA116" i="1"/>
  <c r="W116" i="1" s="1"/>
  <c r="AA114" i="1"/>
  <c r="X108" i="1"/>
  <c r="AA108" i="1"/>
  <c r="AA206" i="1"/>
  <c r="W206" i="1" s="1"/>
  <c r="AG194" i="1"/>
  <c r="AA193" i="1"/>
  <c r="AA183" i="1"/>
  <c r="W183" i="1" s="1"/>
  <c r="AG94" i="1"/>
  <c r="X94" i="1"/>
  <c r="AA168" i="1"/>
  <c r="X165" i="1"/>
  <c r="AG90" i="1"/>
  <c r="X90" i="1"/>
  <c r="AA86" i="1"/>
  <c r="AA80" i="1"/>
  <c r="AA72" i="1"/>
  <c r="W72" i="1" s="1"/>
  <c r="AG64" i="1"/>
  <c r="U64" i="1" s="1"/>
  <c r="AA57" i="1"/>
  <c r="AI56" i="1"/>
  <c r="AA51" i="1"/>
  <c r="AG48" i="1"/>
  <c r="AI48" i="1" s="1"/>
  <c r="AA44" i="1"/>
  <c r="W44" i="1" s="1"/>
  <c r="AG40" i="1"/>
  <c r="AI40" i="1" s="1"/>
  <c r="AA35" i="1"/>
  <c r="AG33" i="1"/>
  <c r="AA202" i="1"/>
  <c r="T202" i="1"/>
  <c r="X197" i="1"/>
  <c r="X136" i="1"/>
  <c r="AG136" i="1"/>
  <c r="U207" i="1"/>
  <c r="U184" i="1"/>
  <c r="S184" i="1" s="1"/>
  <c r="AG119" i="1"/>
  <c r="X119" i="1"/>
  <c r="T215" i="1"/>
  <c r="AG212" i="1"/>
  <c r="U212" i="1" s="1"/>
  <c r="X212" i="1"/>
  <c r="AG224" i="1"/>
  <c r="AG202" i="1"/>
  <c r="U202" i="1" s="1"/>
  <c r="T201" i="1"/>
  <c r="T119" i="1"/>
  <c r="AG211" i="1"/>
  <c r="AI211" i="1" s="1"/>
  <c r="X211" i="1"/>
  <c r="X160" i="1"/>
  <c r="AG160" i="1"/>
  <c r="W136" i="1"/>
  <c r="AA224" i="1"/>
  <c r="AG223" i="1"/>
  <c r="X223" i="1"/>
  <c r="X216" i="1"/>
  <c r="AG216" i="1"/>
  <c r="U216" i="1" s="1"/>
  <c r="AA216" i="1"/>
  <c r="X198" i="1"/>
  <c r="T160" i="1"/>
  <c r="X220" i="1"/>
  <c r="X219" i="1"/>
  <c r="X215" i="1"/>
  <c r="T211" i="1"/>
  <c r="X205" i="1"/>
  <c r="AA197" i="1"/>
  <c r="T197" i="1"/>
  <c r="T136" i="1"/>
  <c r="T132" i="1"/>
  <c r="AG132" i="1"/>
  <c r="U124" i="1"/>
  <c r="W119" i="1"/>
  <c r="U194" i="1"/>
  <c r="S194" i="1" s="1"/>
  <c r="T188" i="1"/>
  <c r="U187" i="1"/>
  <c r="S187" i="1" s="1"/>
  <c r="T180" i="1"/>
  <c r="T176" i="1"/>
  <c r="U176" i="1" s="1"/>
  <c r="S176" i="1" s="1"/>
  <c r="U173" i="1"/>
  <c r="AI105" i="1"/>
  <c r="AI97" i="1"/>
  <c r="T41" i="1"/>
  <c r="X41" i="1"/>
  <c r="AG41" i="1"/>
  <c r="X17" i="1"/>
  <c r="X16" i="1"/>
  <c r="AG16" i="1"/>
  <c r="AA220" i="1"/>
  <c r="AA213" i="1"/>
  <c r="AA208" i="1"/>
  <c r="T205" i="1"/>
  <c r="AA199" i="1"/>
  <c r="T159" i="1"/>
  <c r="X155" i="1"/>
  <c r="X151" i="1"/>
  <c r="X147" i="1"/>
  <c r="AA142" i="1"/>
  <c r="W142" i="1" s="1"/>
  <c r="AA130" i="1"/>
  <c r="W130" i="1" s="1"/>
  <c r="AA128" i="1"/>
  <c r="W128" i="1" s="1"/>
  <c r="AA125" i="1"/>
  <c r="AA121" i="1"/>
  <c r="X117" i="1"/>
  <c r="X115" i="1"/>
  <c r="AG112" i="1"/>
  <c r="U112" i="1" s="1"/>
  <c r="X112" i="1"/>
  <c r="U111" i="1"/>
  <c r="AA109" i="1"/>
  <c r="T108" i="1"/>
  <c r="AA106" i="1"/>
  <c r="AA100" i="1"/>
  <c r="W100" i="1" s="1"/>
  <c r="X194" i="1"/>
  <c r="AG191" i="1"/>
  <c r="X191" i="1"/>
  <c r="AG188" i="1"/>
  <c r="AA182" i="1"/>
  <c r="AA181" i="1"/>
  <c r="AG180" i="1"/>
  <c r="U180" i="1" s="1"/>
  <c r="S180" i="1" s="1"/>
  <c r="AG177" i="1"/>
  <c r="X177" i="1"/>
  <c r="X161" i="1"/>
  <c r="AA84" i="1"/>
  <c r="AI83" i="1"/>
  <c r="AA79" i="1"/>
  <c r="AG77" i="1"/>
  <c r="U77" i="1" s="1"/>
  <c r="X77" i="1"/>
  <c r="AI76" i="1"/>
  <c r="AA75" i="1"/>
  <c r="AG73" i="1"/>
  <c r="U73" i="1" s="1"/>
  <c r="X73" i="1"/>
  <c r="AG68" i="1"/>
  <c r="AI68" i="1" s="1"/>
  <c r="X61" i="1"/>
  <c r="AG61" i="1"/>
  <c r="U61" i="1" s="1"/>
  <c r="W60" i="1"/>
  <c r="U57" i="1"/>
  <c r="X52" i="1"/>
  <c r="AG52" i="1"/>
  <c r="U45" i="1"/>
  <c r="AA28" i="1"/>
  <c r="W28" i="1" s="1"/>
  <c r="X21" i="1"/>
  <c r="X20" i="1"/>
  <c r="AG20" i="1"/>
  <c r="W20" i="1" s="1"/>
  <c r="U148" i="1"/>
  <c r="S148" i="1" s="1"/>
  <c r="W140" i="1"/>
  <c r="T135" i="1"/>
  <c r="W126" i="1"/>
  <c r="AA123" i="1"/>
  <c r="W123" i="1" s="1"/>
  <c r="AA103" i="1"/>
  <c r="AA207" i="1"/>
  <c r="W207" i="1" s="1"/>
  <c r="U99" i="1"/>
  <c r="S99" i="1" s="1"/>
  <c r="AA184" i="1"/>
  <c r="W184" i="1" s="1"/>
  <c r="X176" i="1"/>
  <c r="U172" i="1"/>
  <c r="S172" i="1" s="1"/>
  <c r="AA170" i="1"/>
  <c r="U169" i="1"/>
  <c r="S169" i="1" s="1"/>
  <c r="W90" i="1"/>
  <c r="T89" i="1"/>
  <c r="X86" i="1"/>
  <c r="AG86" i="1"/>
  <c r="U86" i="1" s="1"/>
  <c r="AA85" i="1"/>
  <c r="AI64" i="1"/>
  <c r="S64" i="1"/>
  <c r="U60" i="1"/>
  <c r="S60" i="1" s="1"/>
  <c r="AI60" i="1"/>
  <c r="W56" i="1"/>
  <c r="U32" i="1"/>
  <c r="S32" i="1" s="1"/>
  <c r="AI32" i="1"/>
  <c r="X29" i="1"/>
  <c r="AG29" i="1"/>
  <c r="U29" i="1" s="1"/>
  <c r="T16" i="1"/>
  <c r="AA195" i="1"/>
  <c r="AA156" i="1"/>
  <c r="T155" i="1"/>
  <c r="T151" i="1"/>
  <c r="AA149" i="1"/>
  <c r="AA146" i="1"/>
  <c r="AA144" i="1"/>
  <c r="W144" i="1" s="1"/>
  <c r="AA137" i="1"/>
  <c r="X133" i="1"/>
  <c r="X131" i="1"/>
  <c r="W124" i="1"/>
  <c r="U120" i="1"/>
  <c r="S120" i="1" s="1"/>
  <c r="U116" i="1"/>
  <c r="S116" i="1" s="1"/>
  <c r="AA113" i="1"/>
  <c r="AG108" i="1"/>
  <c r="W108" i="1" s="1"/>
  <c r="U206" i="1"/>
  <c r="S206" i="1" s="1"/>
  <c r="AA192" i="1"/>
  <c r="AA191" i="1"/>
  <c r="U95" i="1"/>
  <c r="S95" i="1"/>
  <c r="AA189" i="1"/>
  <c r="AA188" i="1"/>
  <c r="W188" i="1" s="1"/>
  <c r="U183" i="1"/>
  <c r="S183" i="1" s="1"/>
  <c r="X170" i="1"/>
  <c r="AG170" i="1"/>
  <c r="U170" i="1" s="1"/>
  <c r="AA167" i="1"/>
  <c r="T161" i="1"/>
  <c r="U161" i="1" s="1"/>
  <c r="S161" i="1" s="1"/>
  <c r="AA92" i="1"/>
  <c r="U90" i="1"/>
  <c r="AG85" i="1"/>
  <c r="AI85" i="1" s="1"/>
  <c r="T85" i="1"/>
  <c r="U85" i="1" s="1"/>
  <c r="S85" i="1" s="1"/>
  <c r="W80" i="1"/>
  <c r="X69" i="1"/>
  <c r="T68" i="1"/>
  <c r="X37" i="1"/>
  <c r="X36" i="1"/>
  <c r="AG36" i="1"/>
  <c r="U28" i="1"/>
  <c r="S28" i="1" s="1"/>
  <c r="AI28" i="1"/>
  <c r="W16" i="1"/>
  <c r="AA178" i="1"/>
  <c r="AA177" i="1"/>
  <c r="AA174" i="1"/>
  <c r="AA173" i="1"/>
  <c r="W173" i="1" s="1"/>
  <c r="AA163" i="1"/>
  <c r="AA162" i="1"/>
  <c r="AA91" i="1"/>
  <c r="AA77" i="1"/>
  <c r="W77" i="1" s="1"/>
  <c r="AA73" i="1"/>
  <c r="X64" i="1"/>
  <c r="T56" i="1"/>
  <c r="U56" i="1" s="1"/>
  <c r="S56" i="1" s="1"/>
  <c r="AA55" i="1"/>
  <c r="AA54" i="1"/>
  <c r="T53" i="1"/>
  <c r="AA39" i="1"/>
  <c r="AA38" i="1"/>
  <c r="X32" i="1"/>
  <c r="AA23" i="1"/>
  <c r="AA22" i="1"/>
  <c r="W18" i="1"/>
  <c r="AA14" i="1"/>
  <c r="W57" i="1"/>
  <c r="W50" i="1"/>
  <c r="U48" i="1"/>
  <c r="S48" i="1" s="1"/>
  <c r="AA45" i="1"/>
  <c r="W45" i="1" s="1"/>
  <c r="AA25" i="1"/>
  <c r="W25" i="1" s="1"/>
  <c r="AA61" i="1"/>
  <c r="W61" i="1" s="1"/>
  <c r="AG53" i="1"/>
  <c r="U44" i="1"/>
  <c r="S44" i="1"/>
  <c r="AA29" i="1"/>
  <c r="W29" i="1" s="1"/>
  <c r="AI224" i="1"/>
  <c r="U197" i="1"/>
  <c r="S197" i="1" s="1"/>
  <c r="U155" i="1"/>
  <c r="S155" i="1"/>
  <c r="AI191" i="1"/>
  <c r="AI177" i="1"/>
  <c r="U141" i="1"/>
  <c r="S141" i="1" s="1"/>
  <c r="T221" i="1"/>
  <c r="X221" i="1"/>
  <c r="AG221" i="1"/>
  <c r="W220" i="1"/>
  <c r="W219" i="1"/>
  <c r="T213" i="1"/>
  <c r="X213" i="1"/>
  <c r="AG213" i="1"/>
  <c r="W212" i="1"/>
  <c r="W211" i="1"/>
  <c r="T203" i="1"/>
  <c r="X203" i="1"/>
  <c r="AG203" i="1"/>
  <c r="W202" i="1"/>
  <c r="W201" i="1"/>
  <c r="T195" i="1"/>
  <c r="X195" i="1"/>
  <c r="AG195" i="1"/>
  <c r="AI195" i="1" s="1"/>
  <c r="W160" i="1"/>
  <c r="W159" i="1"/>
  <c r="U152" i="1"/>
  <c r="S152" i="1" s="1"/>
  <c r="AI176" i="1"/>
  <c r="AG139" i="1"/>
  <c r="X139" i="1"/>
  <c r="T139" i="1"/>
  <c r="X140" i="1"/>
  <c r="AI208" i="1"/>
  <c r="U219" i="1"/>
  <c r="AI219" i="1"/>
  <c r="S219" i="1"/>
  <c r="AI212" i="1"/>
  <c r="S212" i="1"/>
  <c r="U211" i="1"/>
  <c r="S211" i="1" s="1"/>
  <c r="U159" i="1"/>
  <c r="S159" i="1" s="1"/>
  <c r="U156" i="1"/>
  <c r="S156" i="1" s="1"/>
  <c r="U140" i="1"/>
  <c r="S140" i="1" s="1"/>
  <c r="U223" i="1"/>
  <c r="S223" i="1" s="1"/>
  <c r="AI223" i="1"/>
  <c r="W221" i="1"/>
  <c r="S216" i="1"/>
  <c r="AI216" i="1"/>
  <c r="U215" i="1"/>
  <c r="S215" i="1" s="1"/>
  <c r="AI215" i="1"/>
  <c r="U205" i="1"/>
  <c r="S205" i="1" s="1"/>
  <c r="AI207" i="1"/>
  <c r="U224" i="1"/>
  <c r="S224" i="1" s="1"/>
  <c r="AI220" i="1"/>
  <c r="S220" i="1"/>
  <c r="U208" i="1"/>
  <c r="S208" i="1" s="1"/>
  <c r="U201" i="1"/>
  <c r="S201" i="1" s="1"/>
  <c r="AI203" i="1"/>
  <c r="U198" i="1"/>
  <c r="S198" i="1" s="1"/>
  <c r="T225" i="1"/>
  <c r="X225" i="1"/>
  <c r="AG225" i="1"/>
  <c r="W225" i="1" s="1"/>
  <c r="W224" i="1"/>
  <c r="W223" i="1"/>
  <c r="T217" i="1"/>
  <c r="X217" i="1"/>
  <c r="AG217" i="1"/>
  <c r="W216" i="1"/>
  <c r="W215" i="1"/>
  <c r="T209" i="1"/>
  <c r="X209" i="1"/>
  <c r="AG209" i="1"/>
  <c r="W208" i="1"/>
  <c r="W205" i="1"/>
  <c r="AG199" i="1"/>
  <c r="AI199" i="1" s="1"/>
  <c r="T199" i="1"/>
  <c r="X199" i="1"/>
  <c r="W198" i="1"/>
  <c r="W197" i="1"/>
  <c r="T157" i="1"/>
  <c r="X157" i="1"/>
  <c r="AG157" i="1"/>
  <c r="W157" i="1" s="1"/>
  <c r="W156" i="1"/>
  <c r="W155" i="1"/>
  <c r="T146" i="1"/>
  <c r="X146" i="1"/>
  <c r="AG146" i="1"/>
  <c r="W146" i="1" s="1"/>
  <c r="X145" i="1"/>
  <c r="AG145" i="1"/>
  <c r="AI166" i="1"/>
  <c r="T101" i="1"/>
  <c r="X101" i="1"/>
  <c r="AG101" i="1"/>
  <c r="AI101" i="1" s="1"/>
  <c r="T58" i="1"/>
  <c r="X58" i="1"/>
  <c r="AG58" i="1"/>
  <c r="T46" i="1"/>
  <c r="X46" i="1"/>
  <c r="AG46" i="1"/>
  <c r="T150" i="1"/>
  <c r="X150" i="1"/>
  <c r="T149" i="1"/>
  <c r="U144" i="1"/>
  <c r="S144" i="1" s="1"/>
  <c r="T134" i="1"/>
  <c r="X134" i="1"/>
  <c r="T133" i="1"/>
  <c r="AG129" i="1"/>
  <c r="AI129" i="1" s="1"/>
  <c r="X129" i="1"/>
  <c r="U128" i="1"/>
  <c r="S128" i="1" s="1"/>
  <c r="X124" i="1"/>
  <c r="T123" i="1"/>
  <c r="T118" i="1"/>
  <c r="X118" i="1"/>
  <c r="T117" i="1"/>
  <c r="T109" i="1"/>
  <c r="X109" i="1"/>
  <c r="AI131" i="1"/>
  <c r="AI126" i="1"/>
  <c r="U191" i="1"/>
  <c r="S191" i="1" s="1"/>
  <c r="T185" i="1"/>
  <c r="X185" i="1"/>
  <c r="AG185" i="1"/>
  <c r="T168" i="1"/>
  <c r="X168" i="1"/>
  <c r="AG168" i="1"/>
  <c r="AI168" i="1" s="1"/>
  <c r="X169" i="1"/>
  <c r="U165" i="1"/>
  <c r="S165" i="1" s="1"/>
  <c r="U89" i="1"/>
  <c r="S89" i="1" s="1"/>
  <c r="T84" i="1"/>
  <c r="X84" i="1"/>
  <c r="AG84" i="1"/>
  <c r="X85" i="1"/>
  <c r="AI74" i="1"/>
  <c r="AI65" i="1"/>
  <c r="U65" i="1"/>
  <c r="S65" i="1" s="1"/>
  <c r="T130" i="1"/>
  <c r="U130" i="1" s="1"/>
  <c r="S130" i="1" s="1"/>
  <c r="X130" i="1"/>
  <c r="AI161" i="1"/>
  <c r="U123" i="1"/>
  <c r="S123" i="1" s="1"/>
  <c r="W168" i="1"/>
  <c r="AG218" i="1"/>
  <c r="W218" i="1" s="1"/>
  <c r="AG210" i="1"/>
  <c r="AG154" i="1"/>
  <c r="T153" i="1"/>
  <c r="AG150" i="1"/>
  <c r="AG149" i="1"/>
  <c r="W149" i="1" s="1"/>
  <c r="X144" i="1"/>
  <c r="T143" i="1"/>
  <c r="U143" i="1" s="1"/>
  <c r="S143" i="1" s="1"/>
  <c r="W141" i="1"/>
  <c r="T138" i="1"/>
  <c r="X138" i="1"/>
  <c r="T137" i="1"/>
  <c r="AG134" i="1"/>
  <c r="AG133" i="1"/>
  <c r="AI133" i="1" s="1"/>
  <c r="X128" i="1"/>
  <c r="T127" i="1"/>
  <c r="U127" i="1" s="1"/>
  <c r="S127" i="1" s="1"/>
  <c r="AI162" i="1"/>
  <c r="W125" i="1"/>
  <c r="U125" i="1"/>
  <c r="S125" i="1" s="1"/>
  <c r="AI160" i="1"/>
  <c r="S124" i="1"/>
  <c r="X123" i="1"/>
  <c r="T122" i="1"/>
  <c r="X122" i="1"/>
  <c r="T121" i="1"/>
  <c r="AG118" i="1"/>
  <c r="W118" i="1" s="1"/>
  <c r="AG117" i="1"/>
  <c r="AI117" i="1" s="1"/>
  <c r="T113" i="1"/>
  <c r="X113" i="1"/>
  <c r="T110" i="1"/>
  <c r="X110" i="1"/>
  <c r="AG110" i="1"/>
  <c r="AG109" i="1"/>
  <c r="AI109" i="1" s="1"/>
  <c r="AI115" i="1"/>
  <c r="AI110" i="1"/>
  <c r="U177" i="1"/>
  <c r="S177" i="1" s="1"/>
  <c r="T93" i="1"/>
  <c r="X93" i="1"/>
  <c r="AG93" i="1"/>
  <c r="AI93" i="1" s="1"/>
  <c r="T87" i="1"/>
  <c r="X87" i="1"/>
  <c r="AG87" i="1"/>
  <c r="T81" i="1"/>
  <c r="X81" i="1"/>
  <c r="AG81" i="1"/>
  <c r="T78" i="1"/>
  <c r="X78" i="1"/>
  <c r="AG78" i="1"/>
  <c r="S112" i="1"/>
  <c r="AI148" i="1"/>
  <c r="T182" i="1"/>
  <c r="X182" i="1"/>
  <c r="AG182" i="1"/>
  <c r="W182" i="1" s="1"/>
  <c r="X183" i="1"/>
  <c r="AI70" i="1"/>
  <c r="AI42" i="1"/>
  <c r="AG226" i="1"/>
  <c r="W226" i="1" s="1"/>
  <c r="AG222" i="1"/>
  <c r="AG214" i="1"/>
  <c r="AG204" i="1"/>
  <c r="AI204" i="1" s="1"/>
  <c r="AG200" i="1"/>
  <c r="AI200" i="1" s="1"/>
  <c r="AG196" i="1"/>
  <c r="AI196" i="1" s="1"/>
  <c r="AG158" i="1"/>
  <c r="W158" i="1" s="1"/>
  <c r="X226" i="1"/>
  <c r="X222" i="1"/>
  <c r="X218" i="1"/>
  <c r="X214" i="1"/>
  <c r="X210" i="1"/>
  <c r="X204" i="1"/>
  <c r="X200" i="1"/>
  <c r="X196" i="1"/>
  <c r="X158" i="1"/>
  <c r="X154" i="1"/>
  <c r="AG153" i="1"/>
  <c r="U151" i="1"/>
  <c r="S151" i="1" s="1"/>
  <c r="X148" i="1"/>
  <c r="T147" i="1"/>
  <c r="U147" i="1" s="1"/>
  <c r="S147" i="1" s="1"/>
  <c r="AA145" i="1"/>
  <c r="W145" i="1" s="1"/>
  <c r="X143" i="1"/>
  <c r="T142" i="1"/>
  <c r="U142" i="1" s="1"/>
  <c r="S142" i="1" s="1"/>
  <c r="X142" i="1"/>
  <c r="AG138" i="1"/>
  <c r="AG137" i="1"/>
  <c r="U135" i="1"/>
  <c r="S135" i="1" s="1"/>
  <c r="X132" i="1"/>
  <c r="T131" i="1"/>
  <c r="U131" i="1" s="1"/>
  <c r="S131" i="1" s="1"/>
  <c r="AA129" i="1"/>
  <c r="W129" i="1" s="1"/>
  <c r="X127" i="1"/>
  <c r="T126" i="1"/>
  <c r="U126" i="1" s="1"/>
  <c r="S126" i="1" s="1"/>
  <c r="X126" i="1"/>
  <c r="AG122" i="1"/>
  <c r="AI122" i="1" s="1"/>
  <c r="AG121" i="1"/>
  <c r="AI121" i="1" s="1"/>
  <c r="U119" i="1"/>
  <c r="S119" i="1" s="1"/>
  <c r="X116" i="1"/>
  <c r="T115" i="1"/>
  <c r="U115" i="1" s="1"/>
  <c r="S115" i="1" s="1"/>
  <c r="T114" i="1"/>
  <c r="X114" i="1"/>
  <c r="AG114" i="1"/>
  <c r="AG113" i="1"/>
  <c r="AI113" i="1" s="1"/>
  <c r="W112" i="1"/>
  <c r="X111" i="1"/>
  <c r="S111" i="1"/>
  <c r="U108" i="1"/>
  <c r="S108" i="1" s="1"/>
  <c r="AI144" i="1"/>
  <c r="T98" i="1"/>
  <c r="X98" i="1"/>
  <c r="AG98" i="1"/>
  <c r="W98" i="1" s="1"/>
  <c r="X99" i="1"/>
  <c r="AI99" i="1"/>
  <c r="AI94" i="1"/>
  <c r="U162" i="1"/>
  <c r="S162" i="1" s="1"/>
  <c r="T26" i="1"/>
  <c r="X26" i="1"/>
  <c r="AG26" i="1"/>
  <c r="AI22" i="1"/>
  <c r="T107" i="1"/>
  <c r="X107" i="1"/>
  <c r="T106" i="1"/>
  <c r="T103" i="1"/>
  <c r="X103" i="1"/>
  <c r="T102" i="1"/>
  <c r="X102" i="1"/>
  <c r="AG102" i="1"/>
  <c r="AI130" i="1"/>
  <c r="T189" i="1"/>
  <c r="X189" i="1"/>
  <c r="T186" i="1"/>
  <c r="X186" i="1"/>
  <c r="AG186" i="1"/>
  <c r="AI114" i="1"/>
  <c r="T174" i="1"/>
  <c r="X174" i="1"/>
  <c r="T171" i="1"/>
  <c r="X171" i="1"/>
  <c r="AG171" i="1"/>
  <c r="AI171" i="1" s="1"/>
  <c r="T91" i="1"/>
  <c r="X91" i="1"/>
  <c r="T88" i="1"/>
  <c r="X88" i="1"/>
  <c r="AG88" i="1"/>
  <c r="T75" i="1"/>
  <c r="X75" i="1"/>
  <c r="AG75" i="1"/>
  <c r="W75" i="1" s="1"/>
  <c r="X76" i="1"/>
  <c r="AI69" i="1"/>
  <c r="U69" i="1"/>
  <c r="S69" i="1" s="1"/>
  <c r="T62" i="1"/>
  <c r="X62" i="1"/>
  <c r="AG62" i="1"/>
  <c r="AI54" i="1"/>
  <c r="AG107" i="1"/>
  <c r="W107" i="1" s="1"/>
  <c r="AG106" i="1"/>
  <c r="AI106" i="1" s="1"/>
  <c r="T104" i="1"/>
  <c r="X104" i="1"/>
  <c r="AG104" i="1"/>
  <c r="AG103" i="1"/>
  <c r="S100" i="1"/>
  <c r="AI134" i="1"/>
  <c r="W97" i="1"/>
  <c r="T192" i="1"/>
  <c r="X192" i="1"/>
  <c r="W191" i="1"/>
  <c r="T190" i="1"/>
  <c r="X190" i="1"/>
  <c r="AG190" i="1"/>
  <c r="AG189" i="1"/>
  <c r="W181" i="1"/>
  <c r="T178" i="1"/>
  <c r="X178" i="1"/>
  <c r="W177" i="1"/>
  <c r="T175" i="1"/>
  <c r="X175" i="1"/>
  <c r="AG175" i="1"/>
  <c r="AG174" i="1"/>
  <c r="S170" i="1"/>
  <c r="AI102" i="1"/>
  <c r="W167" i="1"/>
  <c r="T163" i="1"/>
  <c r="X163" i="1"/>
  <c r="W162" i="1"/>
  <c r="T92" i="1"/>
  <c r="X92" i="1"/>
  <c r="AG92" i="1"/>
  <c r="AG91" i="1"/>
  <c r="X89" i="1"/>
  <c r="S86" i="1"/>
  <c r="AI86" i="1"/>
  <c r="T82" i="1"/>
  <c r="X82" i="1"/>
  <c r="U72" i="1"/>
  <c r="S72" i="1" s="1"/>
  <c r="T71" i="1"/>
  <c r="X71" i="1"/>
  <c r="AG71" i="1"/>
  <c r="X72" i="1"/>
  <c r="T59" i="1"/>
  <c r="X59" i="1"/>
  <c r="AG59" i="1"/>
  <c r="X60" i="1"/>
  <c r="S53" i="1"/>
  <c r="AI53" i="1"/>
  <c r="U53" i="1"/>
  <c r="AI38" i="1"/>
  <c r="S17" i="1"/>
  <c r="AI17" i="1"/>
  <c r="U17" i="1"/>
  <c r="X105" i="1"/>
  <c r="S207" i="1"/>
  <c r="AI138" i="1"/>
  <c r="X206" i="1"/>
  <c r="AA101" i="1"/>
  <c r="W101" i="1" s="1"/>
  <c r="T97" i="1"/>
  <c r="U97" i="1" s="1"/>
  <c r="S97" i="1" s="1"/>
  <c r="X97" i="1"/>
  <c r="AA96" i="1"/>
  <c r="W96" i="1" s="1"/>
  <c r="U96" i="1"/>
  <c r="S96" i="1" s="1"/>
  <c r="T193" i="1"/>
  <c r="X193" i="1"/>
  <c r="AG193" i="1"/>
  <c r="AG192" i="1"/>
  <c r="AI192" i="1" s="1"/>
  <c r="X187" i="1"/>
  <c r="AA185" i="1"/>
  <c r="T181" i="1"/>
  <c r="U181" i="1" s="1"/>
  <c r="S181" i="1" s="1"/>
  <c r="X181" i="1"/>
  <c r="AA94" i="1"/>
  <c r="W94" i="1" s="1"/>
  <c r="U94" i="1"/>
  <c r="S94" i="1" s="1"/>
  <c r="T179" i="1"/>
  <c r="X179" i="1"/>
  <c r="AG179" i="1"/>
  <c r="AI179" i="1" s="1"/>
  <c r="AG178" i="1"/>
  <c r="AI178" i="1" s="1"/>
  <c r="S173" i="1"/>
  <c r="X172" i="1"/>
  <c r="AA93" i="1"/>
  <c r="T167" i="1"/>
  <c r="U167" i="1" s="1"/>
  <c r="S167" i="1" s="1"/>
  <c r="X167" i="1"/>
  <c r="AA166" i="1"/>
  <c r="W166" i="1" s="1"/>
  <c r="U166" i="1"/>
  <c r="S166" i="1" s="1"/>
  <c r="T164" i="1"/>
  <c r="X164" i="1"/>
  <c r="AG164" i="1"/>
  <c r="AI164" i="1" s="1"/>
  <c r="AG163" i="1"/>
  <c r="AI163" i="1" s="1"/>
  <c r="S90" i="1"/>
  <c r="AI90" i="1"/>
  <c r="AA87" i="1"/>
  <c r="W87" i="1" s="1"/>
  <c r="AG82" i="1"/>
  <c r="S80" i="1"/>
  <c r="AI80" i="1"/>
  <c r="T79" i="1"/>
  <c r="AG79" i="1"/>
  <c r="X79" i="1"/>
  <c r="X80" i="1"/>
  <c r="AA78" i="1"/>
  <c r="T74" i="1"/>
  <c r="U74" i="1" s="1"/>
  <c r="S74" i="1" s="1"/>
  <c r="X74" i="1"/>
  <c r="U68" i="1"/>
  <c r="S68" i="1" s="1"/>
  <c r="T55" i="1"/>
  <c r="X55" i="1"/>
  <c r="AG55" i="1"/>
  <c r="X56" i="1"/>
  <c r="T42" i="1"/>
  <c r="U42" i="1" s="1"/>
  <c r="S42" i="1" s="1"/>
  <c r="X42" i="1"/>
  <c r="AI33" i="1"/>
  <c r="U33" i="1"/>
  <c r="S33" i="1" s="1"/>
  <c r="T30" i="1"/>
  <c r="X30" i="1"/>
  <c r="AG30" i="1"/>
  <c r="S73" i="1"/>
  <c r="AI73" i="1"/>
  <c r="W70" i="1"/>
  <c r="T66" i="1"/>
  <c r="U66" i="1" s="1"/>
  <c r="S66" i="1" s="1"/>
  <c r="X66" i="1"/>
  <c r="W65" i="1"/>
  <c r="T63" i="1"/>
  <c r="X63" i="1"/>
  <c r="AG63" i="1"/>
  <c r="S57" i="1"/>
  <c r="AI57" i="1"/>
  <c r="W54" i="1"/>
  <c r="T43" i="1"/>
  <c r="X43" i="1"/>
  <c r="AG43" i="1"/>
  <c r="X44" i="1"/>
  <c r="AA41" i="1"/>
  <c r="W41" i="1" s="1"/>
  <c r="S37" i="1"/>
  <c r="AI37" i="1"/>
  <c r="U37" i="1"/>
  <c r="T27" i="1"/>
  <c r="X27" i="1"/>
  <c r="AG27" i="1"/>
  <c r="X28" i="1"/>
  <c r="S21" i="1"/>
  <c r="AI21" i="1"/>
  <c r="U21" i="1"/>
  <c r="T14" i="1"/>
  <c r="AG14" i="1"/>
  <c r="T83" i="1"/>
  <c r="U83" i="1" s="1"/>
  <c r="S83" i="1" s="1"/>
  <c r="AA81" i="1"/>
  <c r="S77" i="1"/>
  <c r="AI77" i="1"/>
  <c r="AA74" i="1"/>
  <c r="W74" i="1" s="1"/>
  <c r="T70" i="1"/>
  <c r="U70" i="1" s="1"/>
  <c r="S70" i="1" s="1"/>
  <c r="X70" i="1"/>
  <c r="AA69" i="1"/>
  <c r="W69" i="1" s="1"/>
  <c r="T67" i="1"/>
  <c r="X67" i="1"/>
  <c r="AG67" i="1"/>
  <c r="AI66" i="1"/>
  <c r="S61" i="1"/>
  <c r="AI61" i="1"/>
  <c r="AA58" i="1"/>
  <c r="W58" i="1" s="1"/>
  <c r="T54" i="1"/>
  <c r="U54" i="1" s="1"/>
  <c r="S54" i="1" s="1"/>
  <c r="X54" i="1"/>
  <c r="AA53" i="1"/>
  <c r="W53" i="1" s="1"/>
  <c r="AG51" i="1"/>
  <c r="W51" i="1" s="1"/>
  <c r="X51" i="1"/>
  <c r="AI49" i="1"/>
  <c r="U49" i="1"/>
  <c r="S49" i="1" s="1"/>
  <c r="AA46" i="1"/>
  <c r="U40" i="1"/>
  <c r="S40" i="1" s="1"/>
  <c r="T39" i="1"/>
  <c r="X39" i="1"/>
  <c r="AG39" i="1"/>
  <c r="W39" i="1" s="1"/>
  <c r="X40" i="1"/>
  <c r="U24" i="1"/>
  <c r="S24" i="1" s="1"/>
  <c r="T23" i="1"/>
  <c r="X23" i="1"/>
  <c r="AG23" i="1"/>
  <c r="X24" i="1"/>
  <c r="T50" i="1"/>
  <c r="U50" i="1" s="1"/>
  <c r="S50" i="1" s="1"/>
  <c r="X50" i="1"/>
  <c r="AA49" i="1"/>
  <c r="W49" i="1" s="1"/>
  <c r="T47" i="1"/>
  <c r="X47" i="1"/>
  <c r="AG47" i="1"/>
  <c r="AI41" i="1"/>
  <c r="W38" i="1"/>
  <c r="T34" i="1"/>
  <c r="U34" i="1" s="1"/>
  <c r="S34" i="1" s="1"/>
  <c r="X34" i="1"/>
  <c r="AA33" i="1"/>
  <c r="W33" i="1" s="1"/>
  <c r="T31" i="1"/>
  <c r="X31" i="1"/>
  <c r="AG31" i="1"/>
  <c r="S25" i="1"/>
  <c r="AI25" i="1"/>
  <c r="W22" i="1"/>
  <c r="T18" i="1"/>
  <c r="U18" i="1" s="1"/>
  <c r="S18" i="1" s="1"/>
  <c r="X18" i="1"/>
  <c r="AA17" i="1"/>
  <c r="W17" i="1" s="1"/>
  <c r="T15" i="1"/>
  <c r="X15" i="1"/>
  <c r="AG15" i="1"/>
  <c r="S45" i="1"/>
  <c r="AI45" i="1"/>
  <c r="AA42" i="1"/>
  <c r="W42" i="1" s="1"/>
  <c r="T38" i="1"/>
  <c r="U38" i="1" s="1"/>
  <c r="S38" i="1" s="1"/>
  <c r="X38" i="1"/>
  <c r="AA37" i="1"/>
  <c r="W37" i="1" s="1"/>
  <c r="T35" i="1"/>
  <c r="X35" i="1"/>
  <c r="AG35" i="1"/>
  <c r="W35" i="1" s="1"/>
  <c r="AI34" i="1"/>
  <c r="S29" i="1"/>
  <c r="AI29" i="1"/>
  <c r="AA26" i="1"/>
  <c r="W26" i="1" s="1"/>
  <c r="T22" i="1"/>
  <c r="U22" i="1" s="1"/>
  <c r="S22" i="1" s="1"/>
  <c r="X22" i="1"/>
  <c r="AA21" i="1"/>
  <c r="W21" i="1" s="1"/>
  <c r="T19" i="1"/>
  <c r="X19" i="1"/>
  <c r="AG19" i="1"/>
  <c r="AI18" i="1"/>
  <c r="AD20" i="3"/>
  <c r="AE10" i="3"/>
  <c r="Y21" i="3"/>
  <c r="Y39" i="3"/>
  <c r="AE44" i="3"/>
  <c r="Y17" i="3"/>
  <c r="AD37" i="3"/>
  <c r="Y9" i="3"/>
  <c r="Y8" i="3"/>
  <c r="AD9" i="3"/>
  <c r="AD27" i="3"/>
  <c r="AE31" i="3"/>
  <c r="AE7" i="3"/>
  <c r="AD10" i="3"/>
  <c r="AD35" i="3"/>
  <c r="Y36" i="3"/>
  <c r="T21" i="3"/>
  <c r="AD22" i="3"/>
  <c r="Y38" i="3"/>
  <c r="AD42" i="3"/>
  <c r="Y12" i="3"/>
  <c r="Y20" i="3"/>
  <c r="AD30" i="3"/>
  <c r="T22" i="3"/>
  <c r="T18" i="3"/>
  <c r="AD36" i="3"/>
  <c r="Y15" i="3"/>
  <c r="AC11" i="3"/>
  <c r="AE22" i="3"/>
  <c r="Y22" i="3"/>
  <c r="T44" i="3"/>
  <c r="AD41" i="3"/>
  <c r="Y32" i="3"/>
  <c r="AC9" i="3"/>
  <c r="AE18" i="3"/>
  <c r="Y18" i="3"/>
  <c r="T31" i="3"/>
  <c r="T10" i="3"/>
  <c r="AD15" i="3"/>
  <c r="Y35" i="3"/>
  <c r="AC34" i="3"/>
  <c r="Y44" i="3"/>
  <c r="AD32" i="3"/>
  <c r="Y42" i="3"/>
  <c r="AC27" i="3"/>
  <c r="Y31" i="3"/>
  <c r="AE14" i="3"/>
  <c r="T14" i="3"/>
  <c r="AE25" i="3"/>
  <c r="T25" i="3"/>
  <c r="AE43" i="3"/>
  <c r="AE40" i="3"/>
  <c r="T40" i="3"/>
  <c r="AE12" i="3"/>
  <c r="T12" i="3"/>
  <c r="AE8" i="3"/>
  <c r="T8" i="3"/>
  <c r="AC20" i="3"/>
  <c r="AE19" i="3"/>
  <c r="T19" i="3"/>
  <c r="AC30" i="3"/>
  <c r="AE23" i="3"/>
  <c r="T23" i="3"/>
  <c r="T43" i="3"/>
  <c r="AE28" i="3"/>
  <c r="T28" i="3"/>
  <c r="AD25" i="3"/>
  <c r="AD23" i="3"/>
  <c r="AE26" i="3"/>
  <c r="T26" i="3"/>
  <c r="AD43" i="3"/>
  <c r="AE38" i="3"/>
  <c r="T38" i="3"/>
  <c r="AD40" i="3"/>
  <c r="AE9" i="3"/>
  <c r="T9" i="3"/>
  <c r="AD12" i="3"/>
  <c r="AE27" i="3"/>
  <c r="T27" i="3"/>
  <c r="AD8" i="3"/>
  <c r="T16" i="3"/>
  <c r="AD19" i="3"/>
  <c r="AE33" i="3"/>
  <c r="T33" i="3"/>
  <c r="AD14" i="3"/>
  <c r="AE11" i="3"/>
  <c r="T11" i="3"/>
  <c r="AE34" i="3"/>
  <c r="T34" i="3"/>
  <c r="AD33" i="3"/>
  <c r="AE36" i="3"/>
  <c r="AE15" i="3"/>
  <c r="AE35" i="3"/>
  <c r="AE39" i="3"/>
  <c r="AE41" i="3"/>
  <c r="AE32" i="3"/>
  <c r="AE42" i="3"/>
  <c r="AE29" i="3"/>
  <c r="AE20" i="3"/>
  <c r="AE30" i="3"/>
  <c r="B87" i="9"/>
  <c r="B88" i="9"/>
  <c r="C88" i="9" s="1"/>
  <c r="B89" i="9"/>
  <c r="B90" i="9"/>
  <c r="C90" i="9"/>
  <c r="B91" i="9"/>
  <c r="B92" i="9"/>
  <c r="C92" i="9"/>
  <c r="B93" i="9"/>
  <c r="C93" i="9" s="1"/>
  <c r="B94" i="9"/>
  <c r="B95" i="9"/>
  <c r="C95" i="9" s="1"/>
  <c r="B96" i="9"/>
  <c r="C96" i="9" s="1"/>
  <c r="B97" i="9"/>
  <c r="B98" i="9"/>
  <c r="C98" i="9"/>
  <c r="B99" i="9"/>
  <c r="B100" i="9"/>
  <c r="C100" i="9"/>
  <c r="B101" i="9"/>
  <c r="C101" i="9" s="1"/>
  <c r="B102" i="9"/>
  <c r="B103" i="9"/>
  <c r="C103" i="9" s="1"/>
  <c r="C102" i="9" l="1"/>
  <c r="C97" i="9"/>
  <c r="C94" i="9"/>
  <c r="C89" i="9"/>
  <c r="C99" i="9"/>
  <c r="C91" i="9"/>
  <c r="AI98" i="1"/>
  <c r="W85" i="1"/>
  <c r="W194" i="1"/>
  <c r="W120" i="1"/>
  <c r="W73" i="1"/>
  <c r="W189" i="1"/>
  <c r="W192" i="1"/>
  <c r="W86" i="1"/>
  <c r="W64" i="1"/>
  <c r="U41" i="1"/>
  <c r="S41" i="1" s="1"/>
  <c r="W48" i="1"/>
  <c r="W163" i="1"/>
  <c r="W199" i="1"/>
  <c r="W121" i="1"/>
  <c r="W40" i="1"/>
  <c r="AI118" i="1"/>
  <c r="W137" i="1"/>
  <c r="AI137" i="1"/>
  <c r="S202" i="1"/>
  <c r="U52" i="1"/>
  <c r="S52" i="1" s="1"/>
  <c r="AI52" i="1"/>
  <c r="W52" i="1"/>
  <c r="U160" i="1"/>
  <c r="S160" i="1" s="1"/>
  <c r="W68" i="1"/>
  <c r="W195" i="1"/>
  <c r="U20" i="1"/>
  <c r="S20" i="1" s="1"/>
  <c r="AI20" i="1"/>
  <c r="W93" i="1"/>
  <c r="W178" i="1"/>
  <c r="AI180" i="1"/>
  <c r="W117" i="1"/>
  <c r="W113" i="1"/>
  <c r="U36" i="1"/>
  <c r="S36" i="1" s="1"/>
  <c r="AI36" i="1"/>
  <c r="W36" i="1"/>
  <c r="U16" i="1"/>
  <c r="AI16" i="1"/>
  <c r="S16" i="1"/>
  <c r="U132" i="1"/>
  <c r="S132" i="1" s="1"/>
  <c r="W132" i="1"/>
  <c r="U136" i="1"/>
  <c r="S136" i="1" s="1"/>
  <c r="W109" i="1"/>
  <c r="W170" i="1"/>
  <c r="U188" i="1"/>
  <c r="S188" i="1" s="1"/>
  <c r="AI188" i="1"/>
  <c r="W180" i="1"/>
  <c r="U19" i="1"/>
  <c r="S19" i="1" s="1"/>
  <c r="AI19" i="1"/>
  <c r="W19" i="1"/>
  <c r="AI14" i="1"/>
  <c r="U14" i="1"/>
  <c r="S14" i="1" s="1"/>
  <c r="AI107" i="1"/>
  <c r="U174" i="1"/>
  <c r="S174" i="1" s="1"/>
  <c r="U88" i="1"/>
  <c r="S88" i="1" s="1"/>
  <c r="AI88" i="1"/>
  <c r="U186" i="1"/>
  <c r="S186" i="1" s="1"/>
  <c r="AI120" i="1"/>
  <c r="U102" i="1"/>
  <c r="S102" i="1" s="1"/>
  <c r="AI136" i="1"/>
  <c r="AI189" i="1"/>
  <c r="U153" i="1"/>
  <c r="S153" i="1" s="1"/>
  <c r="U196" i="1"/>
  <c r="S196" i="1" s="1"/>
  <c r="AI198" i="1"/>
  <c r="U222" i="1"/>
  <c r="S222" i="1" s="1"/>
  <c r="AI222" i="1"/>
  <c r="AI81" i="1"/>
  <c r="U81" i="1"/>
  <c r="S81" i="1" s="1"/>
  <c r="U84" i="1"/>
  <c r="S84" i="1" s="1"/>
  <c r="AI84" i="1"/>
  <c r="U168" i="1"/>
  <c r="S168" i="1"/>
  <c r="AI100" i="1"/>
  <c r="W174" i="1"/>
  <c r="U139" i="1"/>
  <c r="S139" i="1"/>
  <c r="AI175" i="1"/>
  <c r="AI205" i="1"/>
  <c r="U203" i="1"/>
  <c r="S203" i="1" s="1"/>
  <c r="U15" i="1"/>
  <c r="S15" i="1"/>
  <c r="AI15" i="1"/>
  <c r="U67" i="1"/>
  <c r="S67" i="1" s="1"/>
  <c r="AI67" i="1"/>
  <c r="W67" i="1"/>
  <c r="U43" i="1"/>
  <c r="S43" i="1" s="1"/>
  <c r="AI43" i="1"/>
  <c r="U79" i="1"/>
  <c r="S79" i="1" s="1"/>
  <c r="AI79" i="1"/>
  <c r="W79" i="1"/>
  <c r="AI82" i="1"/>
  <c r="U82" i="1"/>
  <c r="S82" i="1" s="1"/>
  <c r="U59" i="1"/>
  <c r="S59" i="1" s="1"/>
  <c r="AI59" i="1"/>
  <c r="U71" i="1"/>
  <c r="S71" i="1" s="1"/>
  <c r="AI71" i="1"/>
  <c r="U175" i="1"/>
  <c r="S175" i="1" s="1"/>
  <c r="AI108" i="1"/>
  <c r="W175" i="1"/>
  <c r="U104" i="1"/>
  <c r="S104" i="1" s="1"/>
  <c r="AI140" i="1"/>
  <c r="W104" i="1"/>
  <c r="U107" i="1"/>
  <c r="S107" i="1" s="1"/>
  <c r="AI143" i="1"/>
  <c r="U200" i="1"/>
  <c r="S200" i="1" s="1"/>
  <c r="AI202" i="1"/>
  <c r="S134" i="1"/>
  <c r="U134" i="1"/>
  <c r="AI170" i="1"/>
  <c r="AI185" i="1"/>
  <c r="U149" i="1"/>
  <c r="S149" i="1" s="1"/>
  <c r="U210" i="1"/>
  <c r="S210" i="1" s="1"/>
  <c r="AI210" i="1"/>
  <c r="AI119" i="1"/>
  <c r="U185" i="1"/>
  <c r="S185" i="1" s="1"/>
  <c r="AI209" i="1"/>
  <c r="U209" i="1"/>
  <c r="S209" i="1" s="1"/>
  <c r="AI213" i="1"/>
  <c r="U213" i="1"/>
  <c r="S213" i="1" s="1"/>
  <c r="U31" i="1"/>
  <c r="S31" i="1" s="1"/>
  <c r="AI31" i="1"/>
  <c r="U23" i="1"/>
  <c r="S23" i="1" s="1"/>
  <c r="AI23" i="1"/>
  <c r="W81" i="1"/>
  <c r="W23" i="1"/>
  <c r="AI30" i="1"/>
  <c r="U30" i="1"/>
  <c r="S30" i="1" s="1"/>
  <c r="W78" i="1"/>
  <c r="AI95" i="1"/>
  <c r="U163" i="1"/>
  <c r="S163" i="1" s="1"/>
  <c r="AI111" i="1"/>
  <c r="U178" i="1"/>
  <c r="S178" i="1" s="1"/>
  <c r="W185" i="1"/>
  <c r="AI127" i="1"/>
  <c r="U192" i="1"/>
  <c r="S192" i="1" s="1"/>
  <c r="W30" i="1"/>
  <c r="AI91" i="1"/>
  <c r="U91" i="1"/>
  <c r="S91" i="1" s="1"/>
  <c r="S189" i="1"/>
  <c r="AI123" i="1"/>
  <c r="U189" i="1"/>
  <c r="W14" i="1"/>
  <c r="W71" i="1"/>
  <c r="W102" i="1"/>
  <c r="AI157" i="1"/>
  <c r="U121" i="1"/>
  <c r="S121" i="1" s="1"/>
  <c r="U138" i="1"/>
  <c r="S138" i="1" s="1"/>
  <c r="AI174" i="1"/>
  <c r="W138" i="1"/>
  <c r="U204" i="1"/>
  <c r="S204" i="1" s="1"/>
  <c r="AI206" i="1"/>
  <c r="U182" i="1"/>
  <c r="S182" i="1" s="1"/>
  <c r="AI116" i="1"/>
  <c r="W91" i="1"/>
  <c r="S109" i="1"/>
  <c r="AI145" i="1"/>
  <c r="U109" i="1"/>
  <c r="U118" i="1"/>
  <c r="S118" i="1" s="1"/>
  <c r="AI154" i="1"/>
  <c r="U150" i="1"/>
  <c r="S150" i="1" s="1"/>
  <c r="AI186" i="1"/>
  <c r="U218" i="1"/>
  <c r="S218" i="1" s="1"/>
  <c r="AI218" i="1"/>
  <c r="S129" i="1"/>
  <c r="AI165" i="1"/>
  <c r="U129" i="1"/>
  <c r="AI135" i="1"/>
  <c r="U101" i="1"/>
  <c r="S101" i="1" s="1"/>
  <c r="AI201" i="1"/>
  <c r="U199" i="1"/>
  <c r="S199" i="1" s="1"/>
  <c r="AI217" i="1"/>
  <c r="U217" i="1"/>
  <c r="S217" i="1" s="1"/>
  <c r="W209" i="1"/>
  <c r="W203" i="1"/>
  <c r="W213" i="1"/>
  <c r="AI221" i="1"/>
  <c r="U221" i="1"/>
  <c r="S221" i="1" s="1"/>
  <c r="W134" i="1"/>
  <c r="W200" i="1"/>
  <c r="W222" i="1"/>
  <c r="U51" i="1"/>
  <c r="S51" i="1" s="1"/>
  <c r="AI51" i="1"/>
  <c r="U27" i="1"/>
  <c r="S27" i="1" s="1"/>
  <c r="AI27" i="1"/>
  <c r="U63" i="1"/>
  <c r="S63" i="1" s="1"/>
  <c r="AI63" i="1"/>
  <c r="W63" i="1"/>
  <c r="AI139" i="1"/>
  <c r="U103" i="1"/>
  <c r="S103" i="1" s="1"/>
  <c r="AI142" i="1"/>
  <c r="U106" i="1"/>
  <c r="S106" i="1" s="1"/>
  <c r="W27" i="1"/>
  <c r="AI62" i="1"/>
  <c r="U62" i="1"/>
  <c r="S62" i="1" s="1"/>
  <c r="U75" i="1"/>
  <c r="S75" i="1" s="1"/>
  <c r="AI75" i="1"/>
  <c r="U171" i="1"/>
  <c r="S171" i="1" s="1"/>
  <c r="AI104" i="1"/>
  <c r="U114" i="1"/>
  <c r="S114" i="1" s="1"/>
  <c r="AI150" i="1"/>
  <c r="W114" i="1"/>
  <c r="AI169" i="1"/>
  <c r="U133" i="1"/>
  <c r="S133" i="1" s="1"/>
  <c r="U154" i="1"/>
  <c r="S154" i="1" s="1"/>
  <c r="AI190" i="1"/>
  <c r="W153" i="1"/>
  <c r="AI58" i="1"/>
  <c r="U58" i="1"/>
  <c r="S58" i="1" s="1"/>
  <c r="W186" i="1"/>
  <c r="W154" i="1"/>
  <c r="AI173" i="1"/>
  <c r="U137" i="1"/>
  <c r="S137" i="1" s="1"/>
  <c r="U226" i="1"/>
  <c r="S226" i="1" s="1"/>
  <c r="AI226" i="1"/>
  <c r="W43" i="1"/>
  <c r="AI78" i="1"/>
  <c r="U78" i="1"/>
  <c r="S78" i="1" s="1"/>
  <c r="W106" i="1"/>
  <c r="AI153" i="1"/>
  <c r="U117" i="1"/>
  <c r="S117" i="1" s="1"/>
  <c r="AI46" i="1"/>
  <c r="U46" i="1"/>
  <c r="S46" i="1" s="1"/>
  <c r="AI182" i="1"/>
  <c r="U146" i="1"/>
  <c r="S146" i="1" s="1"/>
  <c r="W210" i="1"/>
  <c r="U35" i="1"/>
  <c r="S35" i="1" s="1"/>
  <c r="AI35" i="1"/>
  <c r="U47" i="1"/>
  <c r="S47" i="1" s="1"/>
  <c r="AI47" i="1"/>
  <c r="W47" i="1"/>
  <c r="U39" i="1"/>
  <c r="S39" i="1" s="1"/>
  <c r="AI39" i="1"/>
  <c r="W46" i="1"/>
  <c r="U55" i="1"/>
  <c r="S55" i="1" s="1"/>
  <c r="AI55" i="1"/>
  <c r="U164" i="1"/>
  <c r="S164" i="1" s="1"/>
  <c r="AI96" i="1"/>
  <c r="W164" i="1"/>
  <c r="U179" i="1"/>
  <c r="S179" i="1" s="1"/>
  <c r="AI112" i="1"/>
  <c r="W179" i="1"/>
  <c r="U193" i="1"/>
  <c r="S193" i="1" s="1"/>
  <c r="AI128" i="1"/>
  <c r="W193" i="1"/>
  <c r="W31" i="1"/>
  <c r="W55" i="1"/>
  <c r="U92" i="1"/>
  <c r="S92" i="1" s="1"/>
  <c r="AI92" i="1"/>
  <c r="W92" i="1"/>
  <c r="U190" i="1"/>
  <c r="S190" i="1" s="1"/>
  <c r="AI124" i="1"/>
  <c r="W190" i="1"/>
  <c r="W15" i="1"/>
  <c r="W59" i="1"/>
  <c r="W82" i="1"/>
  <c r="AI26" i="1"/>
  <c r="U26" i="1"/>
  <c r="S26" i="1" s="1"/>
  <c r="U98" i="1"/>
  <c r="S98" i="1" s="1"/>
  <c r="AI132" i="1"/>
  <c r="W103" i="1"/>
  <c r="AI149" i="1"/>
  <c r="U113" i="1"/>
  <c r="S113" i="1" s="1"/>
  <c r="U122" i="1"/>
  <c r="S122" i="1" s="1"/>
  <c r="AI158" i="1"/>
  <c r="W122" i="1"/>
  <c r="U158" i="1"/>
  <c r="S158" i="1"/>
  <c r="AI194" i="1"/>
  <c r="U214" i="1"/>
  <c r="S214" i="1" s="1"/>
  <c r="AI214" i="1"/>
  <c r="AI87" i="1"/>
  <c r="U87" i="1"/>
  <c r="S87" i="1" s="1"/>
  <c r="AI103" i="1"/>
  <c r="U93" i="1"/>
  <c r="S93" i="1" s="1"/>
  <c r="U110" i="1"/>
  <c r="S110" i="1" s="1"/>
  <c r="W110" i="1"/>
  <c r="AI146" i="1"/>
  <c r="W84" i="1"/>
  <c r="W133" i="1"/>
  <c r="W88" i="1"/>
  <c r="W171" i="1"/>
  <c r="W62" i="1"/>
  <c r="AI181" i="1"/>
  <c r="U145" i="1"/>
  <c r="S145" i="1" s="1"/>
  <c r="AI193" i="1"/>
  <c r="U157" i="1"/>
  <c r="S157" i="1" s="1"/>
  <c r="AI225" i="1"/>
  <c r="U225" i="1"/>
  <c r="S225" i="1" s="1"/>
  <c r="W150" i="1"/>
  <c r="W217" i="1"/>
  <c r="AI197" i="1"/>
  <c r="U195" i="1"/>
  <c r="S195" i="1" s="1"/>
  <c r="W139" i="1"/>
  <c r="W204" i="1"/>
  <c r="W214" i="1"/>
  <c r="W196" i="1"/>
  <c r="M13" i="3"/>
  <c r="U13" i="3"/>
  <c r="V13" i="3"/>
  <c r="W13" i="3"/>
  <c r="X13" i="3"/>
  <c r="T13" i="3" l="1"/>
  <c r="AD16" i="3"/>
  <c r="AE16" i="3"/>
  <c r="AC13" i="3"/>
  <c r="AD13" i="3"/>
  <c r="Y13" i="3"/>
  <c r="AE13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N13" i="1" s="1"/>
  <c r="V13" i="1"/>
  <c r="S13" i="3" s="1"/>
  <c r="Y13" i="1"/>
  <c r="Z13" i="1"/>
  <c r="AB13" i="1"/>
  <c r="AC13" i="1"/>
  <c r="AD13" i="1"/>
  <c r="X14" i="1" s="1"/>
  <c r="AE13" i="1"/>
  <c r="R13" i="3" s="1"/>
  <c r="AF13" i="1"/>
  <c r="AM13" i="1"/>
  <c r="AN13" i="1"/>
  <c r="AG13" i="1" l="1"/>
  <c r="X13" i="1"/>
  <c r="AA13" i="1"/>
  <c r="T13" i="1"/>
  <c r="AI13" i="1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L215" i="1" s="1"/>
  <c r="G4" i="4"/>
  <c r="G5" i="4"/>
  <c r="G6" i="4"/>
  <c r="G7" i="4"/>
  <c r="G8" i="4"/>
  <c r="G9" i="4"/>
  <c r="G10" i="4"/>
  <c r="G11" i="4"/>
  <c r="G12" i="4"/>
  <c r="L158" i="1" s="1"/>
  <c r="G13" i="4"/>
  <c r="G14" i="4"/>
  <c r="L203" i="1" s="1"/>
  <c r="G15" i="4"/>
  <c r="G16" i="4"/>
  <c r="G17" i="4"/>
  <c r="L205" i="1" s="1"/>
  <c r="G18" i="4"/>
  <c r="L195" i="1" s="1"/>
  <c r="G19" i="4"/>
  <c r="G20" i="4"/>
  <c r="G21" i="4"/>
  <c r="L13" i="1" s="1"/>
  <c r="G22" i="4"/>
  <c r="L197" i="1" s="1"/>
  <c r="G23" i="4"/>
  <c r="L15" i="1" s="1"/>
  <c r="G24" i="4"/>
  <c r="L199" i="1" s="1"/>
  <c r="G25" i="4"/>
  <c r="G26" i="4"/>
  <c r="L17" i="1" s="1"/>
  <c r="G27" i="4"/>
  <c r="L200" i="1" s="1"/>
  <c r="G28" i="4"/>
  <c r="L202" i="1" s="1"/>
  <c r="G29" i="4"/>
  <c r="L19" i="1" s="1"/>
  <c r="G30" i="4"/>
  <c r="L16" i="1" s="1"/>
  <c r="G31" i="4"/>
  <c r="L21" i="1" s="1"/>
  <c r="G32" i="4"/>
  <c r="L23" i="1" s="1"/>
  <c r="G33" i="4"/>
  <c r="L25" i="1" s="1"/>
  <c r="G34" i="4"/>
  <c r="L18" i="1" s="1"/>
  <c r="G35" i="4"/>
  <c r="L20" i="1" s="1"/>
  <c r="G36" i="4"/>
  <c r="L206" i="1" s="1"/>
  <c r="G37" i="4"/>
  <c r="L22" i="1" s="1"/>
  <c r="G38" i="4"/>
  <c r="L27" i="1" s="1"/>
  <c r="G39" i="4"/>
  <c r="L161" i="1" s="1"/>
  <c r="G40" i="4"/>
  <c r="L29" i="1" s="1"/>
  <c r="G41" i="4"/>
  <c r="L24" i="1" s="1"/>
  <c r="G42" i="4"/>
  <c r="L31" i="1" s="1"/>
  <c r="G43" i="4"/>
  <c r="L162" i="1" s="1"/>
  <c r="G44" i="4"/>
  <c r="G45" i="4"/>
  <c r="G46" i="4"/>
  <c r="L28" i="1" s="1"/>
  <c r="G47" i="4"/>
  <c r="G48" i="4"/>
  <c r="L30" i="1" s="1"/>
  <c r="G49" i="4"/>
  <c r="L163" i="1" s="1"/>
  <c r="G50" i="4"/>
  <c r="L37" i="1" s="1"/>
  <c r="G51" i="4"/>
  <c r="L32" i="1" s="1"/>
  <c r="G52" i="4"/>
  <c r="L39" i="1" s="1"/>
  <c r="G53" i="4"/>
  <c r="G54" i="4"/>
  <c r="G55" i="4"/>
  <c r="L164" i="1" s="1"/>
  <c r="G56" i="4"/>
  <c r="G57" i="4"/>
  <c r="L41" i="1" s="1"/>
  <c r="G58" i="4"/>
  <c r="G59" i="4"/>
  <c r="L43" i="1" s="1"/>
  <c r="G60" i="4"/>
  <c r="L38" i="1" s="1"/>
  <c r="G61" i="4"/>
  <c r="L165" i="1" s="1"/>
  <c r="G62" i="4"/>
  <c r="L45" i="1" s="1"/>
  <c r="G63" i="4"/>
  <c r="L40" i="1" s="1"/>
  <c r="G64" i="4"/>
  <c r="L47" i="1" s="1"/>
  <c r="G65" i="4"/>
  <c r="L166" i="1" s="1"/>
  <c r="G66" i="4"/>
  <c r="L42" i="1" s="1"/>
  <c r="G67" i="4"/>
  <c r="L49" i="1" s="1"/>
  <c r="G68" i="4"/>
  <c r="L44" i="1" s="1"/>
  <c r="G69" i="4"/>
  <c r="L51" i="1" s="1"/>
  <c r="G70" i="4"/>
  <c r="L46" i="1" s="1"/>
  <c r="G71" i="4"/>
  <c r="G72" i="4"/>
  <c r="L53" i="1" s="1"/>
  <c r="G73" i="4"/>
  <c r="L48" i="1" s="1"/>
  <c r="G74" i="4"/>
  <c r="L55" i="1" s="1"/>
  <c r="G75" i="4"/>
  <c r="L50" i="1" s="1"/>
  <c r="G76" i="4"/>
  <c r="L168" i="1" s="1"/>
  <c r="G77" i="4"/>
  <c r="G78" i="4"/>
  <c r="L52" i="1" s="1"/>
  <c r="G79" i="4"/>
  <c r="L59" i="1" s="1"/>
  <c r="G80" i="4"/>
  <c r="G81" i="4"/>
  <c r="G82" i="4"/>
  <c r="G83" i="4"/>
  <c r="L169" i="1" s="1"/>
  <c r="G84" i="4"/>
  <c r="L61" i="1" s="1"/>
  <c r="G85" i="4"/>
  <c r="L56" i="1" s="1"/>
  <c r="G86" i="4"/>
  <c r="G87" i="4"/>
  <c r="L170" i="1" s="1"/>
  <c r="G88" i="4"/>
  <c r="L58" i="1" s="1"/>
  <c r="G89" i="4"/>
  <c r="L65" i="1" s="1"/>
  <c r="G90" i="4"/>
  <c r="L60" i="1" s="1"/>
  <c r="G91" i="4"/>
  <c r="L67" i="1" s="1"/>
  <c r="G92" i="4"/>
  <c r="L62" i="1" s="1"/>
  <c r="G93" i="4"/>
  <c r="L171" i="1" s="1"/>
  <c r="G94" i="4"/>
  <c r="L64" i="1" s="1"/>
  <c r="G95" i="4"/>
  <c r="L69" i="1" s="1"/>
  <c r="G96" i="4"/>
  <c r="L71" i="1" s="1"/>
  <c r="G97" i="4"/>
  <c r="L172" i="1" s="1"/>
  <c r="G98" i="4"/>
  <c r="L66" i="1" s="1"/>
  <c r="G99" i="4"/>
  <c r="G100" i="4"/>
  <c r="L73" i="1" s="1"/>
  <c r="G101" i="4"/>
  <c r="L75" i="1" s="1"/>
  <c r="G102" i="4"/>
  <c r="L70" i="1" s="1"/>
  <c r="G103" i="4"/>
  <c r="L77" i="1" s="1"/>
  <c r="G104" i="4"/>
  <c r="L173" i="1" s="1"/>
  <c r="G105" i="4"/>
  <c r="L72" i="1" s="1"/>
  <c r="G106" i="4"/>
  <c r="G107" i="4"/>
  <c r="G108" i="4"/>
  <c r="L208" i="1" s="1"/>
  <c r="G109" i="4"/>
  <c r="L74" i="1" s="1"/>
  <c r="G110" i="4"/>
  <c r="L81" i="1" s="1"/>
  <c r="G111" i="4"/>
  <c r="L76" i="1" s="1"/>
  <c r="G112" i="4"/>
  <c r="L83" i="1" s="1"/>
  <c r="G113" i="4"/>
  <c r="L209" i="1" s="1"/>
  <c r="G114" i="4"/>
  <c r="G115" i="4"/>
  <c r="L175" i="1" s="1"/>
  <c r="G116" i="4"/>
  <c r="L85" i="1" s="1"/>
  <c r="G117" i="4"/>
  <c r="L80" i="1" s="1"/>
  <c r="G118" i="4"/>
  <c r="L87" i="1" s="1"/>
  <c r="G119" i="4"/>
  <c r="L176" i="1" s="1"/>
  <c r="G120" i="4"/>
  <c r="L82" i="1" s="1"/>
  <c r="G121" i="4"/>
  <c r="L89" i="1" s="1"/>
  <c r="G122" i="4"/>
  <c r="L84" i="1" s="1"/>
  <c r="G123" i="4"/>
  <c r="L91" i="1" s="1"/>
  <c r="G124" i="4"/>
  <c r="L86" i="1" s="1"/>
  <c r="G125" i="4"/>
  <c r="G126" i="4"/>
  <c r="L93" i="1" s="1"/>
  <c r="G127" i="4"/>
  <c r="L88" i="1" s="1"/>
  <c r="G128" i="4"/>
  <c r="L95" i="1" s="1"/>
  <c r="G129" i="4"/>
  <c r="L90" i="1" s="1"/>
  <c r="G130" i="4"/>
  <c r="L97" i="1" s="1"/>
  <c r="G131" i="4"/>
  <c r="L178" i="1" s="1"/>
  <c r="G132" i="4"/>
  <c r="L92" i="1" s="1"/>
  <c r="G133" i="4"/>
  <c r="G134" i="4"/>
  <c r="G135" i="4"/>
  <c r="L94" i="1" s="1"/>
  <c r="G136" i="4"/>
  <c r="L179" i="1" s="1"/>
  <c r="G137" i="4"/>
  <c r="L101" i="1" s="1"/>
  <c r="G138" i="4"/>
  <c r="L96" i="1" s="1"/>
  <c r="G139" i="4"/>
  <c r="L103" i="1" s="1"/>
  <c r="G140" i="4"/>
  <c r="G141" i="4"/>
  <c r="L105" i="1" s="1"/>
  <c r="G142" i="4"/>
  <c r="L100" i="1" s="1"/>
  <c r="G143" i="4"/>
  <c r="L180" i="1" s="1"/>
  <c r="G144" i="4"/>
  <c r="L107" i="1" s="1"/>
  <c r="G145" i="4"/>
  <c r="L102" i="1" s="1"/>
  <c r="G146" i="4"/>
  <c r="L181" i="1" s="1"/>
  <c r="G147" i="4"/>
  <c r="G148" i="4"/>
  <c r="L104" i="1" s="1"/>
  <c r="G149" i="4"/>
  <c r="L111" i="1" s="1"/>
  <c r="G150" i="4"/>
  <c r="G151" i="4"/>
  <c r="L113" i="1" s="1"/>
  <c r="G152" i="4"/>
  <c r="G153" i="4"/>
  <c r="L108" i="1" s="1"/>
  <c r="G154" i="4"/>
  <c r="L115" i="1" s="1"/>
  <c r="G155" i="4"/>
  <c r="L110" i="1" s="1"/>
  <c r="G156" i="4"/>
  <c r="G157" i="4"/>
  <c r="L117" i="1" s="1"/>
  <c r="G158" i="4"/>
  <c r="L112" i="1" s="1"/>
  <c r="G159" i="4"/>
  <c r="L119" i="1" s="1"/>
  <c r="G160" i="4"/>
  <c r="G161" i="4"/>
  <c r="L121" i="1" s="1"/>
  <c r="G162" i="4"/>
  <c r="G163" i="4"/>
  <c r="L184" i="1" s="1"/>
  <c r="G164" i="4"/>
  <c r="G165" i="4"/>
  <c r="G166" i="4"/>
  <c r="L118" i="1" s="1"/>
  <c r="G167" i="4"/>
  <c r="L185" i="1" s="1"/>
  <c r="G168" i="4"/>
  <c r="L211" i="1" s="1"/>
  <c r="G169" i="4"/>
  <c r="L125" i="1" s="1"/>
  <c r="G170" i="4"/>
  <c r="L214" i="1" s="1"/>
  <c r="G171" i="4"/>
  <c r="G172" i="4"/>
  <c r="L127" i="1" s="1"/>
  <c r="G173" i="4"/>
  <c r="L122" i="1" s="1"/>
  <c r="G174" i="4"/>
  <c r="L129" i="1" s="1"/>
  <c r="G175" i="4"/>
  <c r="G176" i="4"/>
  <c r="G177" i="4"/>
  <c r="L186" i="1" s="1"/>
  <c r="G178" i="4"/>
  <c r="G179" i="4"/>
  <c r="L131" i="1" s="1"/>
  <c r="G180" i="4"/>
  <c r="L126" i="1" s="1"/>
  <c r="G181" i="4"/>
  <c r="L187" i="1" s="1"/>
  <c r="G182" i="4"/>
  <c r="L196" i="1" s="1"/>
  <c r="G183" i="4"/>
  <c r="L128" i="1" s="1"/>
  <c r="G184" i="4"/>
  <c r="L133" i="1" s="1"/>
  <c r="G185" i="4"/>
  <c r="L130" i="1" s="1"/>
  <c r="G186" i="4"/>
  <c r="L132" i="1" s="1"/>
  <c r="G187" i="4"/>
  <c r="L198" i="1" s="1"/>
  <c r="G188" i="4"/>
  <c r="L188" i="1" s="1"/>
  <c r="G189" i="4"/>
  <c r="L135" i="1" s="1"/>
  <c r="G190" i="4"/>
  <c r="G191" i="4"/>
  <c r="L189" i="1" s="1"/>
  <c r="G192" i="4"/>
  <c r="G193" i="4"/>
  <c r="G194" i="4"/>
  <c r="L134" i="1" s="1"/>
  <c r="G195" i="4"/>
  <c r="G196" i="4"/>
  <c r="L136" i="1" s="1"/>
  <c r="G197" i="4"/>
  <c r="L139" i="1" s="1"/>
  <c r="G198" i="4"/>
  <c r="L190" i="1" s="1"/>
  <c r="G199" i="4"/>
  <c r="G200" i="4"/>
  <c r="G201" i="4"/>
  <c r="L141" i="1" s="1"/>
  <c r="G202" i="4"/>
  <c r="L191" i="1" s="1"/>
  <c r="G203" i="4"/>
  <c r="L138" i="1" s="1"/>
  <c r="G204" i="4"/>
  <c r="L140" i="1" s="1"/>
  <c r="G205" i="4"/>
  <c r="L143" i="1" s="1"/>
  <c r="G206" i="4"/>
  <c r="L192" i="1" s="1"/>
  <c r="G207" i="4"/>
  <c r="G208" i="4"/>
  <c r="L193" i="1" s="1"/>
  <c r="G209" i="4"/>
  <c r="L145" i="1" s="1"/>
  <c r="G210" i="4"/>
  <c r="L142" i="1" s="1"/>
  <c r="G211" i="4"/>
  <c r="L194" i="1" s="1"/>
  <c r="G212" i="4"/>
  <c r="L147" i="1" s="1"/>
  <c r="G213" i="4"/>
  <c r="L144" i="1" s="1"/>
  <c r="G214" i="4"/>
  <c r="G215" i="4"/>
  <c r="L207" i="1" s="1"/>
  <c r="G216" i="4"/>
  <c r="G217" i="4"/>
  <c r="G218" i="4"/>
  <c r="G219" i="4"/>
  <c r="L148" i="1" s="1"/>
  <c r="G220" i="4"/>
  <c r="G221" i="4"/>
  <c r="G222" i="4"/>
  <c r="G223" i="4"/>
  <c r="L155" i="1" s="1"/>
  <c r="G224" i="4"/>
  <c r="L152" i="1" s="1"/>
  <c r="G225" i="4"/>
  <c r="G226" i="4"/>
  <c r="G227" i="4"/>
  <c r="L157" i="1" s="1"/>
  <c r="G228" i="4"/>
  <c r="L201" i="1" s="1"/>
  <c r="G229" i="4"/>
  <c r="L156" i="1" s="1"/>
  <c r="G230" i="4"/>
  <c r="G231" i="4"/>
  <c r="G232" i="4"/>
  <c r="G233" i="4"/>
  <c r="G234" i="4"/>
  <c r="L204" i="1" s="1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L116" i="1" l="1"/>
  <c r="N34" i="3"/>
  <c r="L98" i="1"/>
  <c r="N32" i="3"/>
  <c r="L54" i="1"/>
  <c r="N31" i="3"/>
  <c r="L34" i="1"/>
  <c r="N20" i="3"/>
  <c r="L26" i="1"/>
  <c r="N19" i="3"/>
  <c r="L154" i="1"/>
  <c r="N36" i="3"/>
  <c r="N24" i="3"/>
  <c r="L150" i="1"/>
  <c r="N28" i="3"/>
  <c r="L151" i="1"/>
  <c r="L216" i="1"/>
  <c r="L219" i="1"/>
  <c r="L220" i="1"/>
  <c r="L218" i="1"/>
  <c r="L217" i="1"/>
  <c r="L213" i="1"/>
  <c r="L212" i="1"/>
  <c r="L210" i="1"/>
  <c r="N44" i="3"/>
  <c r="L106" i="1"/>
  <c r="N17" i="3"/>
  <c r="N37" i="3"/>
  <c r="L99" i="1"/>
  <c r="L78" i="1"/>
  <c r="N9" i="3"/>
  <c r="N18" i="3"/>
  <c r="L79" i="1"/>
  <c r="L63" i="1"/>
  <c r="N29" i="3"/>
  <c r="L36" i="1"/>
  <c r="N16" i="3"/>
  <c r="L153" i="1"/>
  <c r="N14" i="3"/>
  <c r="N25" i="3"/>
  <c r="L149" i="1"/>
  <c r="L224" i="1"/>
  <c r="L226" i="1"/>
  <c r="L223" i="1"/>
  <c r="L225" i="1"/>
  <c r="L123" i="1"/>
  <c r="N39" i="3"/>
  <c r="L177" i="1"/>
  <c r="N40" i="3"/>
  <c r="N8" i="3"/>
  <c r="L57" i="1"/>
  <c r="L33" i="1"/>
  <c r="N10" i="3"/>
  <c r="L14" i="1"/>
  <c r="N30" i="3"/>
  <c r="L160" i="1"/>
  <c r="L159" i="1"/>
  <c r="L146" i="1"/>
  <c r="N21" i="3"/>
  <c r="N15" i="3"/>
  <c r="L124" i="1"/>
  <c r="N35" i="3"/>
  <c r="L114" i="1"/>
  <c r="N26" i="3"/>
  <c r="N33" i="3"/>
  <c r="N41" i="3"/>
  <c r="L183" i="1"/>
  <c r="L182" i="1"/>
  <c r="N43" i="3"/>
  <c r="L137" i="1"/>
  <c r="N11" i="3"/>
  <c r="L120" i="1"/>
  <c r="N23" i="3"/>
  <c r="N22" i="3"/>
  <c r="N38" i="3"/>
  <c r="L109" i="1"/>
  <c r="L174" i="1"/>
  <c r="N42" i="3"/>
  <c r="N27" i="3"/>
  <c r="L68" i="1"/>
  <c r="N12" i="3"/>
  <c r="N13" i="3"/>
  <c r="L167" i="1"/>
  <c r="L35" i="1"/>
  <c r="N7" i="3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<sst xmlns="http://schemas.openxmlformats.org/spreadsheetml/2006/main" count="2634" uniqueCount="917">
  <si>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</si>
  <si>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</si>
  <si>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</si>
  <si>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</si>
  <si>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</si>
  <si>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</si>
  <si>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</si>
  <si>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</si>
  <si>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</si>
  <si>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</si>
  <si>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</si>
  <si>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</si>
  <si>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</si>
  <si>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</si>
  <si>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</si>
  <si>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</si>
  <si>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</si>
  <si>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</si>
  <si>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</si>
  <si>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</si>
  <si>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</si>
  <si>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</si>
  <si>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</si>
  <si>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</si>
  <si>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</si>
  <si>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</si>
  <si>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</si>
  <si>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</si>
  <si>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</si>
  <si>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</si>
  <si>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</si>
  <si>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</si>
  <si>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</si>
  <si>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</si>
  <si>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</si>
  <si>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</si>
  <si>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</si>
  <si>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</si>
  <si>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</si>
  <si>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</si>
  <si>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</si>
  <si>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</si>
  <si>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</si>
  <si>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</si>
  <si>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</si>
  <si>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</si>
  <si>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</si>
  <si>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</si>
  <si>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</si>
  <si>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</si>
  <si>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</si>
  <si>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</si>
  <si>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</si>
  <si>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</si>
  <si>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</si>
  <si>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</si>
  <si>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</si>
  <si>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</si>
  <si>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</si>
  <si>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</si>
  <si>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</si>
  <si>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</si>
  <si>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</si>
  <si>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</si>
  <si>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</si>
  <si>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</si>
  <si>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</si>
  <si>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</si>
  <si>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</si>
  <si>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</si>
  <si>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</si>
  <si>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</si>
  <si>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</si>
  <si>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</si>
  <si>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</si>
  <si>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</si>
  <si>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</si>
  <si>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</si>
  <si>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</si>
  <si>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</si>
  <si>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</si>
  <si>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</si>
  <si>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</si>
  <si>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</si>
  <si>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</si>
  <si>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</si>
  <si>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</si>
  <si>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</si>
  <si>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</si>
  <si>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</si>
  <si>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</si>
  <si>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</si>
  <si>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</si>
  <si>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</si>
  <si>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</si>
  <si>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</si>
  <si>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</si>
  <si>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</si>
  <si>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</si>
  <si>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</si>
  <si>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</si>
  <si>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</si>
  <si>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</si>
  <si>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</si>
  <si>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</si>
  <si>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</si>
  <si>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</si>
  <si>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</si>
  <si>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</si>
  <si>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</si>
  <si>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</si>
  <si>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</si>
  <si>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</si>
  <si>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</si>
  <si>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</si>
  <si>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</si>
  <si>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</si>
  <si>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</si>
  <si>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</si>
  <si>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</si>
  <si>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</si>
  <si>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</si>
  <si>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</si>
  <si>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</si>
  <si>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</si>
  <si>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</si>
  <si>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</si>
  <si>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</si>
  <si>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</si>
  <si>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</si>
  <si>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</si>
  <si>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</si>
  <si>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</si>
  <si>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</si>
  <si>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</si>
  <si>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</si>
  <si>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</si>
  <si>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</si>
  <si>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</si>
  <si>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</si>
  <si>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</si>
  <si>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</si>
  <si>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</si>
  <si>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</si>
  <si>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</si>
  <si>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</si>
  <si>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</si>
  <si>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</si>
  <si>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</si>
  <si>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</si>
  <si>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</si>
  <si>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</si>
  <si>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</si>
  <si>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</si>
  <si>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</si>
  <si>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</si>
  <si>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</si>
  <si>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</si>
  <si>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</si>
  <si>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</si>
  <si>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</si>
  <si>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</si>
  <si>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</si>
  <si>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</si>
  <si>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</si>
  <si>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</si>
  <si>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</si>
  <si>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</si>
  <si>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</si>
  <si>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</si>
  <si>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</si>
  <si>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</si>
  <si>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</si>
  <si>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</si>
  <si>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</si>
  <si>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</si>
  <si>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</si>
  <si>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</si>
  <si>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</si>
  <si>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</si>
  <si>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</si>
  <si>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</si>
  <si>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</si>
  <si>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</si>
  <si>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</si>
  <si>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</si>
  <si>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</si>
  <si>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</si>
  <si>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</si>
  <si>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</si>
  <si>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</si>
  <si>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</si>
  <si>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</si>
  <si>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</si>
  <si>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</si>
  <si>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</si>
  <si>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MICHAEL</t>
  </si>
  <si>
    <t>204:160</t>
  </si>
  <si>
    <t>204:462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</si>
  <si>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</si>
  <si>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</si>
  <si>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</si>
  <si>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</si>
  <si>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</si>
  <si>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</si>
  <si>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</si>
  <si>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</si>
  <si>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</si>
  <si>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</si>
  <si>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</si>
  <si>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</si>
  <si>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</si>
  <si>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</si>
  <si>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</si>
  <si>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</si>
  <si>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</si>
  <si>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</si>
  <si>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</si>
  <si>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</si>
  <si>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</si>
  <si>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</si>
  <si>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</si>
  <si>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</si>
  <si>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</si>
  <si>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</si>
  <si>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</si>
  <si>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rtdc.l.rtdc.4054:itc</t>
  </si>
  <si>
    <t>COMELLA</t>
  </si>
  <si>
    <t>JUSTIN</t>
  </si>
  <si>
    <t>rtdc.l.rtdc.4053:itc</t>
  </si>
  <si>
    <t>rtdc.l.rtdc.4043:itc</t>
  </si>
  <si>
    <t>partly-cloudy-night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</si>
  <si>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</si>
  <si>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</si>
  <si>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</si>
  <si>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</si>
  <si>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</si>
  <si>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</si>
  <si>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</si>
  <si>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204:139</t>
  </si>
  <si>
    <t>204:232993</t>
  </si>
  <si>
    <t>204:232978</t>
  </si>
  <si>
    <t>204:232991</t>
  </si>
  <si>
    <t>204:233293</t>
  </si>
  <si>
    <t>rtdc.l.rtdc.4019:itc</t>
  </si>
  <si>
    <t>204:464</t>
  </si>
  <si>
    <t>rtdc.l.rtdc.4020:itc</t>
  </si>
  <si>
    <t>rtdc.l.rtdc.4044:itc</t>
  </si>
  <si>
    <t>204:141</t>
  </si>
  <si>
    <t>204:232996</t>
  </si>
  <si>
    <t>rtdc.l.rtdc.4018:itc</t>
  </si>
  <si>
    <t>rtdc.l.rtdc.4017:itc</t>
  </si>
  <si>
    <t>rtdc.l.rtdc.4012:itc</t>
  </si>
  <si>
    <t>JOHN</t>
  </si>
  <si>
    <t>204:136</t>
  </si>
  <si>
    <t>204:156</t>
  </si>
  <si>
    <t>204:233310</t>
  </si>
  <si>
    <t>204:444</t>
  </si>
  <si>
    <t>204:147</t>
  </si>
  <si>
    <t>300:23346</t>
  </si>
  <si>
    <t>204:431</t>
  </si>
  <si>
    <t>204:471</t>
  </si>
  <si>
    <t>204:233306</t>
  </si>
  <si>
    <t>204:754</t>
  </si>
  <si>
    <t>204:233317</t>
  </si>
  <si>
    <t>204:232973</t>
  </si>
  <si>
    <t>rtdc.l.rtdc.4006:itc</t>
  </si>
  <si>
    <t>204:232982</t>
  </si>
  <si>
    <t>204:163</t>
  </si>
  <si>
    <t>204:447</t>
  </si>
  <si>
    <t>204:233301</t>
  </si>
  <si>
    <t>PERMANENT SPEED RESTRICTION</t>
  </si>
  <si>
    <t>Speed (6)</t>
  </si>
  <si>
    <t>YANG</t>
  </si>
  <si>
    <t>JAN</t>
  </si>
  <si>
    <t>DE.1.0.9.0</t>
  </si>
  <si>
    <t>204:232990</t>
  </si>
  <si>
    <t>204:458</t>
  </si>
  <si>
    <t>204:233332</t>
  </si>
  <si>
    <t>300:58630</t>
  </si>
  <si>
    <t>204:232994</t>
  </si>
  <si>
    <t>rtdc.l.rtdc.4050:itc</t>
  </si>
  <si>
    <t>rtdc.l.rtdc.4049:itc</t>
  </si>
  <si>
    <t>204:232971</t>
  </si>
  <si>
    <t>204:232987</t>
  </si>
  <si>
    <t>204:233314</t>
  </si>
  <si>
    <t>204:233297</t>
  </si>
  <si>
    <t>204:233289</t>
  </si>
  <si>
    <t>300:58931</t>
  </si>
  <si>
    <t>300:58628</t>
  </si>
  <si>
    <t>rtdc.l.rtdc.4005:itc</t>
  </si>
  <si>
    <t>rtdc.l.rtdc.4031:itc</t>
  </si>
  <si>
    <t>DE LA ROSA</t>
  </si>
  <si>
    <t>ALEX</t>
  </si>
  <si>
    <t>204:233295</t>
  </si>
  <si>
    <t>204:449</t>
  </si>
  <si>
    <t>204:433</t>
  </si>
  <si>
    <t>204:233305</t>
  </si>
  <si>
    <t>204:233318</t>
  </si>
  <si>
    <t>204:165</t>
  </si>
  <si>
    <t>204:167</t>
  </si>
  <si>
    <t>204:233006</t>
  </si>
  <si>
    <t>204:232988</t>
  </si>
  <si>
    <t>204:233302</t>
  </si>
  <si>
    <t>204:233002</t>
  </si>
  <si>
    <t>204:757</t>
  </si>
  <si>
    <t>BADERTSCHER</t>
  </si>
  <si>
    <t>DIANE</t>
  </si>
  <si>
    <t>GEBRETEKLE</t>
  </si>
  <si>
    <t>DAGNEW</t>
  </si>
  <si>
    <t>LOZA</t>
  </si>
  <si>
    <t>FIDEL</t>
  </si>
  <si>
    <t>HELVIE</t>
  </si>
  <si>
    <t>ADAM</t>
  </si>
  <si>
    <t>BRUDER</t>
  </si>
  <si>
    <t>RICHARD</t>
  </si>
  <si>
    <t>204:233300</t>
  </si>
  <si>
    <t>204:233004</t>
  </si>
  <si>
    <t>204:442</t>
  </si>
  <si>
    <t>204:233304</t>
  </si>
  <si>
    <t>204:233316</t>
  </si>
  <si>
    <t>204:233299</t>
  </si>
  <si>
    <t>204:183</t>
  </si>
  <si>
    <t>204:233325</t>
  </si>
  <si>
    <t>204:233019</t>
  </si>
  <si>
    <t>204:233321</t>
  </si>
  <si>
    <t>204:233028</t>
  </si>
  <si>
    <t>300:23314</t>
  </si>
  <si>
    <t>300:58952</t>
  </si>
  <si>
    <t>300:58950</t>
  </si>
  <si>
    <t>300:58939</t>
  </si>
  <si>
    <t>:.+((SYSTEM_STATE.+slice.+state.+changed )|(ment ac)|(multiple cpu faults)|(system.+state.+changed )|(\[timeout)|(PRM\|1\|D)|(kpr)|(kdp)|(\|loc)|(penalty))</t>
  </si>
  <si>
    <t>rtdc.l.rtdc.4010:itc</t>
  </si>
  <si>
    <t>rtdc.l.rtdc.4009:itc</t>
  </si>
  <si>
    <t>rtdc.l.rtdc.4013:itc</t>
  </si>
  <si>
    <t>242-23</t>
  </si>
  <si>
    <t>Y</t>
  </si>
  <si>
    <t>ROBINSON</t>
  </si>
  <si>
    <t>KADDIBA</t>
  </si>
  <si>
    <t>SHOOK</t>
  </si>
  <si>
    <t>rtdc.l.rtdc.4014:itc</t>
  </si>
  <si>
    <t>KILLION</t>
  </si>
  <si>
    <t>DAVID</t>
  </si>
  <si>
    <t>SMITH</t>
  </si>
  <si>
    <t>LOPES</t>
  </si>
  <si>
    <t>KIMBERLY</t>
  </si>
  <si>
    <t>60-23</t>
  </si>
  <si>
    <t>DELGADO</t>
  </si>
  <si>
    <t>DIANAH</t>
  </si>
  <si>
    <t>81-23</t>
  </si>
  <si>
    <t>WHITED</t>
  </si>
  <si>
    <t>908-23</t>
  </si>
  <si>
    <t>237-23</t>
  </si>
  <si>
    <t>234-23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</si>
  <si>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</si>
  <si>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</si>
  <si>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</si>
  <si>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</si>
  <si>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</si>
  <si>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</si>
  <si>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</si>
  <si>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</si>
  <si>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</si>
  <si>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</si>
  <si>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</si>
  <si>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Mostly Cloudy</t>
  </si>
  <si>
    <t>204:87</t>
  </si>
  <si>
    <t>204:233312</t>
  </si>
  <si>
    <t>204:232977</t>
  </si>
  <si>
    <t>204:233308</t>
  </si>
  <si>
    <t>204:482</t>
  </si>
  <si>
    <t>204:232981</t>
  </si>
  <si>
    <t>204:232983</t>
  </si>
  <si>
    <t>204:233330</t>
  </si>
  <si>
    <t>204:467</t>
  </si>
  <si>
    <t>204:502</t>
  </si>
  <si>
    <t>204:478</t>
  </si>
  <si>
    <t>204:233013</t>
  </si>
  <si>
    <t>204:469</t>
  </si>
  <si>
    <t>204:232967</t>
  </si>
  <si>
    <t>204:123</t>
  </si>
  <si>
    <t>204:233283</t>
  </si>
  <si>
    <t>204:233021</t>
  </si>
  <si>
    <t>300:23295</t>
  </si>
  <si>
    <t>300:23301</t>
  </si>
  <si>
    <t>300:58681</t>
  </si>
  <si>
    <t>204:738</t>
  </si>
  <si>
    <t>204:1042</t>
  </si>
  <si>
    <t>204:729</t>
  </si>
  <si>
    <t>204:1027</t>
  </si>
  <si>
    <t>300:58619</t>
  </si>
  <si>
    <t>300:58606</t>
  </si>
  <si>
    <t>300:58969</t>
  </si>
  <si>
    <t>300:58994</t>
  </si>
  <si>
    <t>300:58935</t>
  </si>
  <si>
    <t>204:712</t>
  </si>
  <si>
    <t>101-25</t>
  </si>
  <si>
    <t>102-25</t>
  </si>
  <si>
    <t>121-25</t>
  </si>
  <si>
    <t>114-25</t>
  </si>
  <si>
    <t>123-25</t>
  </si>
  <si>
    <t>122-25</t>
  </si>
  <si>
    <t>124-25</t>
  </si>
  <si>
    <t>145-25</t>
  </si>
  <si>
    <t>142-25</t>
  </si>
  <si>
    <t>151-25</t>
  </si>
  <si>
    <t>156-25</t>
  </si>
  <si>
    <t>167-25</t>
  </si>
  <si>
    <t>1813-25</t>
  </si>
  <si>
    <t>166-25</t>
  </si>
  <si>
    <t>1816-25</t>
  </si>
  <si>
    <t>187-25</t>
  </si>
  <si>
    <t>rtdc.l.rtdc.4052:itc</t>
  </si>
  <si>
    <t>186-25</t>
  </si>
  <si>
    <t>197-25</t>
  </si>
  <si>
    <t>1821-25</t>
  </si>
  <si>
    <t>194-25</t>
  </si>
  <si>
    <t>1822-25</t>
  </si>
  <si>
    <t>202-25</t>
  </si>
  <si>
    <t>53-25</t>
  </si>
  <si>
    <t>211-25</t>
  </si>
  <si>
    <t>204-25</t>
  </si>
  <si>
    <t>208-25</t>
  </si>
  <si>
    <t>212-25</t>
  </si>
  <si>
    <t>225-25</t>
  </si>
  <si>
    <t>237-25</t>
  </si>
  <si>
    <t>234-25</t>
  </si>
  <si>
    <t>rtdc.l.rtdc.4051:itc</t>
  </si>
  <si>
    <t>239-25</t>
  </si>
  <si>
    <t>241-25</t>
  </si>
  <si>
    <t>238-25</t>
  </si>
  <si>
    <t>242-25</t>
  </si>
  <si>
    <t>81-24</t>
  </si>
  <si>
    <t>245-24</t>
  </si>
  <si>
    <t>Partly Cloudy</t>
  </si>
  <si>
    <t>clear-night</t>
  </si>
  <si>
    <t>Clear</t>
  </si>
  <si>
    <t>clear-day</t>
  </si>
  <si>
    <t>partly-cloudy-day</t>
  </si>
  <si>
    <t>204:744</t>
  </si>
  <si>
    <t>204:233280</t>
  </si>
  <si>
    <t>204:232634</t>
  </si>
  <si>
    <t>103-25</t>
  </si>
  <si>
    <t>204:732</t>
  </si>
  <si>
    <t>204:233425</t>
  </si>
  <si>
    <t>104-25</t>
  </si>
  <si>
    <t>204:232823</t>
  </si>
  <si>
    <t>105-25</t>
  </si>
  <si>
    <t>106-25</t>
  </si>
  <si>
    <t>204:232656</t>
  </si>
  <si>
    <t>107-25</t>
  </si>
  <si>
    <t>108-25</t>
  </si>
  <si>
    <t>109-25</t>
  </si>
  <si>
    <t>110-25</t>
  </si>
  <si>
    <t>111-25</t>
  </si>
  <si>
    <t>204:721</t>
  </si>
  <si>
    <t>204:233288</t>
  </si>
  <si>
    <t>112-25</t>
  </si>
  <si>
    <t>113-25</t>
  </si>
  <si>
    <t>204:513</t>
  </si>
  <si>
    <t>204:233278</t>
  </si>
  <si>
    <t>204:232966</t>
  </si>
  <si>
    <t>204:1182</t>
  </si>
  <si>
    <t>115-25</t>
  </si>
  <si>
    <t>204:735</t>
  </si>
  <si>
    <t>116-25</t>
  </si>
  <si>
    <t>117-25</t>
  </si>
  <si>
    <t>204:233319</t>
  </si>
  <si>
    <t>118-25</t>
  </si>
  <si>
    <t>119-25</t>
  </si>
  <si>
    <t>204:719</t>
  </si>
  <si>
    <t>204:233291</t>
  </si>
  <si>
    <t>120-25</t>
  </si>
  <si>
    <t>204:233281</t>
  </si>
  <si>
    <t>204:739</t>
  </si>
  <si>
    <t>125-25</t>
  </si>
  <si>
    <t>126-25</t>
  </si>
  <si>
    <t>204:232998</t>
  </si>
  <si>
    <t>127-25</t>
  </si>
  <si>
    <t>128-25</t>
  </si>
  <si>
    <t>129-25</t>
  </si>
  <si>
    <t>130-25</t>
  </si>
  <si>
    <t>204:232989</t>
  </si>
  <si>
    <t>131-25</t>
  </si>
  <si>
    <t>132-25</t>
  </si>
  <si>
    <t>204:233001</t>
  </si>
  <si>
    <t>204:176</t>
  </si>
  <si>
    <t>133-25</t>
  </si>
  <si>
    <t>204:435</t>
  </si>
  <si>
    <t>134-25</t>
  </si>
  <si>
    <t>135-25</t>
  </si>
  <si>
    <t>204:233307</t>
  </si>
  <si>
    <t>136-25</t>
  </si>
  <si>
    <t>137-25</t>
  </si>
  <si>
    <t>138-25</t>
  </si>
  <si>
    <t>204:233017</t>
  </si>
  <si>
    <t>139-25</t>
  </si>
  <si>
    <t>140-25</t>
  </si>
  <si>
    <t>141-25</t>
  </si>
  <si>
    <t>204:509</t>
  </si>
  <si>
    <t>204:233000</t>
  </si>
  <si>
    <t>204:178</t>
  </si>
  <si>
    <t>143-25</t>
  </si>
  <si>
    <t>144-25</t>
  </si>
  <si>
    <t>204:437</t>
  </si>
  <si>
    <t>146-25</t>
  </si>
  <si>
    <t>147-25</t>
  </si>
  <si>
    <t>148-25</t>
  </si>
  <si>
    <t>204:232980</t>
  </si>
  <si>
    <t>149-25</t>
  </si>
  <si>
    <t>150-25</t>
  </si>
  <si>
    <t>204:127840</t>
  </si>
  <si>
    <t>152-25</t>
  </si>
  <si>
    <t>204:233053</t>
  </si>
  <si>
    <t>153-25</t>
  </si>
  <si>
    <t>204:233402</t>
  </si>
  <si>
    <t>154-25</t>
  </si>
  <si>
    <t>204:233111</t>
  </si>
  <si>
    <t>155-25</t>
  </si>
  <si>
    <t>204:233343</t>
  </si>
  <si>
    <t>204:134</t>
  </si>
  <si>
    <t>157-25</t>
  </si>
  <si>
    <t>158-25</t>
  </si>
  <si>
    <t>159-25</t>
  </si>
  <si>
    <t>160-25</t>
  </si>
  <si>
    <t>204:232986</t>
  </si>
  <si>
    <t>161-25</t>
  </si>
  <si>
    <t>162-25</t>
  </si>
  <si>
    <t>204:233010</t>
  </si>
  <si>
    <t>204:129</t>
  </si>
  <si>
    <t>163-25</t>
  </si>
  <si>
    <t>164-25</t>
  </si>
  <si>
    <t>165-25</t>
  </si>
  <si>
    <t>204:413</t>
  </si>
  <si>
    <t>168-25</t>
  </si>
  <si>
    <t>204:233005</t>
  </si>
  <si>
    <t>169-25</t>
  </si>
  <si>
    <t>204:233353</t>
  </si>
  <si>
    <t>170-25</t>
  </si>
  <si>
    <t>204:233038</t>
  </si>
  <si>
    <t>171-25</t>
  </si>
  <si>
    <t>204:233339</t>
  </si>
  <si>
    <t>172-25</t>
  </si>
  <si>
    <t>173-25</t>
  </si>
  <si>
    <t>174-25</t>
  </si>
  <si>
    <t>175-25</t>
  </si>
  <si>
    <t>176-25</t>
  </si>
  <si>
    <t>177-25</t>
  </si>
  <si>
    <t>178-25</t>
  </si>
  <si>
    <t>179-25</t>
  </si>
  <si>
    <t>180-25</t>
  </si>
  <si>
    <t>1800-25</t>
  </si>
  <si>
    <t>300:58678</t>
  </si>
  <si>
    <t>1801-25</t>
  </si>
  <si>
    <t>204:1018</t>
  </si>
  <si>
    <t>300:58988</t>
  </si>
  <si>
    <t>1802-25</t>
  </si>
  <si>
    <t>300:58677</t>
  </si>
  <si>
    <t>204:740</t>
  </si>
  <si>
    <t>1803-25</t>
  </si>
  <si>
    <t>204:1030</t>
  </si>
  <si>
    <t>300:58993</t>
  </si>
  <si>
    <t>1804-25</t>
  </si>
  <si>
    <t>1805-25</t>
  </si>
  <si>
    <t>204:1014</t>
  </si>
  <si>
    <t>1806-25</t>
  </si>
  <si>
    <t>300:58670</t>
  </si>
  <si>
    <t>204:750</t>
  </si>
  <si>
    <t>1807-25</t>
  </si>
  <si>
    <t>204:1020</t>
  </si>
  <si>
    <t>300:58986</t>
  </si>
  <si>
    <t>1808-25</t>
  </si>
  <si>
    <t>300:58672</t>
  </si>
  <si>
    <t>1809-25</t>
  </si>
  <si>
    <t>204:1011</t>
  </si>
  <si>
    <t>300:58984</t>
  </si>
  <si>
    <t>181-25</t>
  </si>
  <si>
    <t>204:233323</t>
  </si>
  <si>
    <t>1810-25</t>
  </si>
  <si>
    <t>300:58668</t>
  </si>
  <si>
    <t>1811-25</t>
  </si>
  <si>
    <t>204:1025</t>
  </si>
  <si>
    <t>1812-25</t>
  </si>
  <si>
    <t>300:58673</t>
  </si>
  <si>
    <t>204:747</t>
  </si>
  <si>
    <t>1814-25</t>
  </si>
  <si>
    <t>300:58649</t>
  </si>
  <si>
    <t>204:724</t>
  </si>
  <si>
    <t>1815-25</t>
  </si>
  <si>
    <t>204:1021</t>
  </si>
  <si>
    <t>1817-25</t>
  </si>
  <si>
    <t>204:1009</t>
  </si>
  <si>
    <t>1818-25</t>
  </si>
  <si>
    <t>1819-25</t>
  </si>
  <si>
    <t>182-25</t>
  </si>
  <si>
    <t>1820-25</t>
  </si>
  <si>
    <t>300:58624</t>
  </si>
  <si>
    <t>204:720</t>
  </si>
  <si>
    <t>1823-25</t>
  </si>
  <si>
    <t>204:1007</t>
  </si>
  <si>
    <t>300:58937</t>
  </si>
  <si>
    <t>1824-25</t>
  </si>
  <si>
    <t>1825-25</t>
  </si>
  <si>
    <t>204:1037</t>
  </si>
  <si>
    <t>1826-25</t>
  </si>
  <si>
    <t>300:58621</t>
  </si>
  <si>
    <t>204:766</t>
  </si>
  <si>
    <t>1827-25</t>
  </si>
  <si>
    <t>204:1048</t>
  </si>
  <si>
    <t>300:58941</t>
  </si>
  <si>
    <t>1828-25</t>
  </si>
  <si>
    <t>1829-25</t>
  </si>
  <si>
    <t>300:58922</t>
  </si>
  <si>
    <t>183-25</t>
  </si>
  <si>
    <t>204:411</t>
  </si>
  <si>
    <t>1830-25</t>
  </si>
  <si>
    <t>300:58613</t>
  </si>
  <si>
    <t>1831-25</t>
  </si>
  <si>
    <t>204:1051</t>
  </si>
  <si>
    <t>300:58926</t>
  </si>
  <si>
    <t>1832-25</t>
  </si>
  <si>
    <t>204:741</t>
  </si>
  <si>
    <t>1833-25</t>
  </si>
  <si>
    <t>184-25</t>
  </si>
  <si>
    <t>185-25</t>
  </si>
  <si>
    <t>204:233286</t>
  </si>
  <si>
    <t>188-25</t>
  </si>
  <si>
    <t>204:232946</t>
  </si>
  <si>
    <t>189-25</t>
  </si>
  <si>
    <t>204:233427</t>
  </si>
  <si>
    <t>190-25</t>
  </si>
  <si>
    <t>204:233043</t>
  </si>
  <si>
    <t>1901-25</t>
  </si>
  <si>
    <t>300:30042</t>
  </si>
  <si>
    <t>1902-25</t>
  </si>
  <si>
    <t>300:21782</t>
  </si>
  <si>
    <t>191-25</t>
  </si>
  <si>
    <t>192-25</t>
  </si>
  <si>
    <t>193-25</t>
  </si>
  <si>
    <t>195-25</t>
  </si>
  <si>
    <t>204:233334</t>
  </si>
  <si>
    <t>196-25</t>
  </si>
  <si>
    <t>204:233298</t>
  </si>
  <si>
    <t>198-25</t>
  </si>
  <si>
    <t>199-25</t>
  </si>
  <si>
    <t>200-25</t>
  </si>
  <si>
    <t>201-25</t>
  </si>
  <si>
    <t>204:22307</t>
  </si>
  <si>
    <t>203-25</t>
  </si>
  <si>
    <t>204:174</t>
  </si>
  <si>
    <t>205-25</t>
  </si>
  <si>
    <t>206-25</t>
  </si>
  <si>
    <t>207-25</t>
  </si>
  <si>
    <t>204:233228</t>
  </si>
  <si>
    <t>209-25</t>
  </si>
  <si>
    <t>204:233355</t>
  </si>
  <si>
    <t>210-25</t>
  </si>
  <si>
    <t>204:233057</t>
  </si>
  <si>
    <t>204:233347</t>
  </si>
  <si>
    <t>213-25</t>
  </si>
  <si>
    <t>214-25</t>
  </si>
  <si>
    <t>215-25</t>
  </si>
  <si>
    <t>204:553</t>
  </si>
  <si>
    <t>216-25</t>
  </si>
  <si>
    <t>217-25</t>
  </si>
  <si>
    <t>204:480</t>
  </si>
  <si>
    <t>204:233385</t>
  </si>
  <si>
    <t>218-25</t>
  </si>
  <si>
    <t>204:233085</t>
  </si>
  <si>
    <t>219-25</t>
  </si>
  <si>
    <t>204:233412</t>
  </si>
  <si>
    <t>220-25</t>
  </si>
  <si>
    <t>204:233090</t>
  </si>
  <si>
    <t>221-25</t>
  </si>
  <si>
    <t>222-25</t>
  </si>
  <si>
    <t>223-25</t>
  </si>
  <si>
    <t>204:233272</t>
  </si>
  <si>
    <t>224-25</t>
  </si>
  <si>
    <t>226-25</t>
  </si>
  <si>
    <t>227-25</t>
  </si>
  <si>
    <t>228-25</t>
  </si>
  <si>
    <t>204:232979</t>
  </si>
  <si>
    <t>229-25</t>
  </si>
  <si>
    <t>204:233326</t>
  </si>
  <si>
    <t>230-25</t>
  </si>
  <si>
    <t>231-25</t>
  </si>
  <si>
    <t>232-25</t>
  </si>
  <si>
    <t>233-25</t>
  </si>
  <si>
    <t>204:233030</t>
  </si>
  <si>
    <t>235-25</t>
  </si>
  <si>
    <t>236-25</t>
  </si>
  <si>
    <t>204:233315</t>
  </si>
  <si>
    <t>240-25</t>
  </si>
  <si>
    <t>204:138</t>
  </si>
  <si>
    <t>243-25</t>
  </si>
  <si>
    <t>244-25</t>
  </si>
  <si>
    <t>245-25</t>
  </si>
  <si>
    <t>204:233368</t>
  </si>
  <si>
    <t>246-24</t>
  </si>
  <si>
    <t>246-25</t>
  </si>
  <si>
    <t>204:127851</t>
  </si>
  <si>
    <t>204:9156</t>
  </si>
  <si>
    <t>204:166375</t>
  </si>
  <si>
    <t>302-25</t>
  </si>
  <si>
    <t>300:22783</t>
  </si>
  <si>
    <t>303-25</t>
  </si>
  <si>
    <t>304-25</t>
  </si>
  <si>
    <t>300:21933</t>
  </si>
  <si>
    <t>305-25</t>
  </si>
  <si>
    <t>306-25</t>
  </si>
  <si>
    <t>300:22497</t>
  </si>
  <si>
    <t>308-25</t>
  </si>
  <si>
    <t>300:22749</t>
  </si>
  <si>
    <t>309-25</t>
  </si>
  <si>
    <t>300:23308</t>
  </si>
  <si>
    <t>310-25</t>
  </si>
  <si>
    <t>300:19720</t>
  </si>
  <si>
    <t>313-24</t>
  </si>
  <si>
    <t>204:415</t>
  </si>
  <si>
    <t>313-25</t>
  </si>
  <si>
    <t>300:23299</t>
  </si>
  <si>
    <t>315-24</t>
  </si>
  <si>
    <t>50-25</t>
  </si>
  <si>
    <t>300:21884</t>
  </si>
  <si>
    <t>204:128</t>
  </si>
  <si>
    <t>51-25</t>
  </si>
  <si>
    <t>204:1462</t>
  </si>
  <si>
    <t>70-25</t>
  </si>
  <si>
    <t>300:23873</t>
  </si>
  <si>
    <t>204:157</t>
  </si>
  <si>
    <t>71-25</t>
  </si>
  <si>
    <t>72-25</t>
  </si>
  <si>
    <t>300:21861</t>
  </si>
  <si>
    <t>204:1740</t>
  </si>
  <si>
    <t>80-24</t>
  </si>
  <si>
    <t>300:31229</t>
  </si>
  <si>
    <t>204:1203</t>
  </si>
  <si>
    <t>80-25</t>
  </si>
  <si>
    <t>204:232619</t>
  </si>
  <si>
    <t>204:9104</t>
  </si>
  <si>
    <t>204:232964</t>
  </si>
  <si>
    <t>204:1545</t>
  </si>
  <si>
    <t>204:805</t>
  </si>
  <si>
    <t>204:1367</t>
  </si>
  <si>
    <t>300:23129</t>
  </si>
  <si>
    <t>204:1290</t>
  </si>
  <si>
    <t>300:31545</t>
  </si>
  <si>
    <t>204:1524</t>
  </si>
  <si>
    <t>300:23291</t>
  </si>
  <si>
    <t>81-25</t>
  </si>
  <si>
    <t>204:1102</t>
  </si>
  <si>
    <t>204:232948</t>
  </si>
  <si>
    <t>204:1341</t>
  </si>
  <si>
    <t>204:1494</t>
  </si>
  <si>
    <t>204:1515</t>
  </si>
  <si>
    <t>start /low /b %USERPROFILE%\Documents\GitHub\eaglep3\Utilities\DownloadLogsFromS3.py --loco 4053 --day 2017-02-25</t>
  </si>
  <si>
    <t>start /low /b %USERPROFILE%\Documents\GitHub\eaglep3\Utilities\DownloadLogsFromS3.py --loco 4028 --day 2017-02-25</t>
  </si>
  <si>
    <t>start /low /b %USERPROFILE%\Documents\GitHub\eaglep3\Utilities\DownloadLogsFromS3.py --loco 4045 --day 2017-02-26</t>
  </si>
  <si>
    <t>start /low /b %USERPROFILE%\Documents\GitHub\eaglep3\Utilities\DownloadLogsFromS3.py --loco 4046 --day 2017-02-25</t>
  </si>
  <si>
    <t>start /low /b %USERPROFILE%\Documents\GitHub\eaglep3\Utilities\DownloadLogsFromS3.py --loco 4005 --day 2017-02-25</t>
  </si>
  <si>
    <t>start /low /b %USERPROFILE%\Documents\GitHub\eaglep3\Utilities\DownloadLogsFromS3.py --loco 4027 --day 2017-02-25</t>
  </si>
  <si>
    <t>start /low /b %USERPROFILE%\Documents\GitHub\eaglep3\Utilities\DownloadLogsFromS3.py --loco 4054 --day 2017-02-25</t>
  </si>
  <si>
    <t>start /low /b %USERPROFILE%\Documents\GitHub\eaglep3\Utilities\DownloadLogsFromS3.py --loco 4020 --day 2017-02-26</t>
  </si>
  <si>
    <t>start /low /b %USERPROFILE%\Documents\GitHub\eaglep3\Utilities\DownloadLogsFromS3.py --loco 4044 --day 2017-02-25</t>
  </si>
  <si>
    <t>start /low /b %USERPROFILE%\Documents\GitHub\eaglep3\Utilities\DownloadLogsFromS3.py --loco 4017 --day 2017-02-25</t>
  </si>
  <si>
    <t>start /low /b %USERPROFILE%\Documents\GitHub\eaglep3\Utilities\DownloadLogsFromS3.py --loco 4019 --day 2017-02-26</t>
  </si>
  <si>
    <t>start /low /b %USERPROFILE%\Documents\GitHub\eaglep3\Utilities\DownloadLogsFromS3.py --loco 4043 --day 2017-02-25</t>
  </si>
  <si>
    <t>start /low /b %USERPROFILE%\Documents\GitHub\eaglep3\Utilities\DownloadLogsFromS3.py --loco 4054 --day 2017-02-26</t>
  </si>
  <si>
    <t>start /low /b %USERPROFILE%\Documents\GitHub\eaglep3\Utilities\DownloadLogsFromS3.py --loco 4046 --day 2017-02-26</t>
  </si>
  <si>
    <t>start /low /b %USERPROFILE%\Documents\GitHub\eaglep3\Utilities\DownloadLogsFromS3.py --loco 4028 --day 2017-02-26</t>
  </si>
  <si>
    <t>start /low /b %USERPROFILE%\Documents\GitHub\eaglep3\Utilities\DownloadLogsFromS3.py --loco 4051 --day 2017-02-26</t>
  </si>
  <si>
    <t>start /low /b %USERPROFILE%\Documents\GitHub\eaglep3\Utilities\DownloadLogsFromS3.py --loco 4052 --day 2017-02-25</t>
  </si>
  <si>
    <t>start /low /b %USERPROFILE%\Documents\GitHub\eaglep3\Utilities\DownloadLogsFromS3.py --loco 4017 --day 2017-02-26</t>
  </si>
  <si>
    <t>start /low /b %USERPROFILE%\Documents\GitHub\eaglep3\Utilities\DownloadLogsFromS3.py --loco 4018 --day 2017-02-25</t>
  </si>
  <si>
    <t>start /low /b %USERPROFILE%\Documents\GitHub\eaglep3\Utilities\DownloadLogsFromS3.py --loco 4018 --day 2017-02-26</t>
  </si>
  <si>
    <t>start /low /b %USERPROFILE%\Documents\GitHub\eaglep3\Utilities\DownloadLogsFromS3.py --loco 4004 --day 2017-02-25</t>
  </si>
  <si>
    <t>start /low /b %USERPROFILE%\Documents\GitHub\eaglep3\Utilities\DownloadLogsFromS3.py --loco 4003 --day 2017-02-25</t>
  </si>
  <si>
    <t>309-24</t>
  </si>
  <si>
    <t>244-24</t>
  </si>
  <si>
    <t>rtdc.l.rtdc.4022:itc</t>
  </si>
  <si>
    <t>311-24</t>
  </si>
  <si>
    <t>STAMBAUGH</t>
  </si>
  <si>
    <t>BRANDNER</t>
  </si>
  <si>
    <t>MELINDA</t>
  </si>
  <si>
    <t>SANTIZO</t>
  </si>
  <si>
    <t>D. EDY</t>
  </si>
  <si>
    <t>STRICKLAND</t>
  </si>
  <si>
    <t>EVAN</t>
  </si>
  <si>
    <t>HOLCOMB</t>
  </si>
  <si>
    <t>KAMDEN</t>
  </si>
  <si>
    <t>STEWART</t>
  </si>
  <si>
    <t>DAVIS</t>
  </si>
  <si>
    <t>LEVIN</t>
  </si>
  <si>
    <t>SCOTT</t>
  </si>
  <si>
    <t>POLLOCK</t>
  </si>
  <si>
    <t>JASON</t>
  </si>
  <si>
    <t>rtdc.l.rtdc.4021:itc</t>
  </si>
  <si>
    <t>MAGEE</t>
  </si>
  <si>
    <t>KENYA</t>
  </si>
  <si>
    <t>HAUSER</t>
  </si>
  <si>
    <t>FRANK</t>
  </si>
  <si>
    <t>307-25</t>
  </si>
  <si>
    <t>SAFIEF</t>
  </si>
  <si>
    <t>AEIMEN</t>
  </si>
  <si>
    <t>PERKINS</t>
  </si>
  <si>
    <t>DARREN</t>
  </si>
  <si>
    <t>311-25</t>
  </si>
  <si>
    <t>:.+((SYSTEM_STATE.+slice.+state.+changed )|(ment ac)|(multiple cpu faults)|(system.+state.+changed )|(\[timeout)|(PRM\|1\|D)|(kpr)|(kdp)|(\|lc)|(penalty))</t>
  </si>
  <si>
    <t>Premature downgrade at 40th 2N</t>
  </si>
  <si>
    <t>At 10:22:38, Bright 2N dropped from PROCEED CAB to STOP while train was still approaching. Do logs tell of anything interesting?</t>
  </si>
  <si>
    <t>Early arrival</t>
  </si>
  <si>
    <t>Wi-MAX data drop</t>
  </si>
  <si>
    <t>DUS 4N STOP</t>
  </si>
  <si>
    <t>SYS :2017/02/25 10:23:53.309:ENFORCEMENT:Reactive Enforcement Action:  Target Number: 00017004  Target Speed:   0.0  Current Speed:  26.7</t>
  </si>
  <si>
    <t>SYS :2017/02/25 10:23:53.642:ENFORCEMENT:Reactive Enforcement Action:  Target Number: 00017004  Target Speed:   0.0  Current Speed:  26.7</t>
  </si>
  <si>
    <t>SYS :2017/02/25 10:23:53.705:ENFORCEMENT:Reactive Enforcement Action:  Target Number: 00017004  Target Speed:   0.0  Current Speed:  26.7</t>
  </si>
  <si>
    <t>SYS :2017/02/25 11:52:07.092:ENFORCEMENT:Predictive Enforcement Action:  Target Number: 0000101B  Target Speed:   0.0  Current Speed:   1.8</t>
  </si>
  <si>
    <t>SYS :2017/02/25 11:52:07.346:ENFORCEMENT:Predictive Enforcement Action:  Target Number: 0000101D  Target Speed:   0.0  Current Speed:   1.8</t>
  </si>
  <si>
    <t>SYS :2017/02/25 13:22:45.498:ENFORCEMENT:Reactive Enforcement Action:  Target Number: 00017021  Target Speed:  22.0  Current Speed:  27.4</t>
  </si>
  <si>
    <t>SYS :2017/02/25 13:22:45.574:ENFORCEMENT:Reactive Enforcement Action:  Target Number: 00017021  Target Speed:  22.0  Current Speed:  27.4</t>
  </si>
  <si>
    <t>SYS :2017/02/25 13:22:45.956:ENFORCEMENT:Reactive Enforcement Action:  Target Number: 00017021  Target Speed:  22.0  Current Speed:  27.4</t>
  </si>
  <si>
    <t>SYS :2017/02/25 13:35:40.109:ENFORCEMENT:Predictive Enforcement Action:  Target Number: 000170FC  Target Speed:  10.0  Current Speed:  15.5</t>
  </si>
  <si>
    <t>SYS :2017/02/25 13:35:41.378:ENFORCEMENT:Predictive Enforcement Action:  Target Number: 000170FC  Target Speed:  10.0  Current Speed:  15.8</t>
  </si>
  <si>
    <t>SYS :2017/02/25 13:36:37.727:ENFORCEMENT:Predictive Enforcement Action:  Target Number: 00017020  Target Speed:  14.0  Current Speed:  22.0</t>
  </si>
  <si>
    <t>SYS :2017/02/25 13:36:38.291:ENFORCEMENT:Predictive Enforcement Action:  Target Number: 00017020  Target Speed:  14.0  Current Speed:  22.0</t>
  </si>
  <si>
    <t>SYS :2017/02/25 13:36:38.316:ENFORCEMENT:Predictive Enforcement Action:  Target Number: 00017020  Target Speed:  14.0  Current Speed:  21.5</t>
  </si>
  <si>
    <t>SYS :2017/02/25 14:35:25.474:ENFORCEMENT:Reactive Enforcement Action:  Target Number: 00017028  Target Speed:  14.0  Current Speed:  19.4</t>
  </si>
  <si>
    <t>SYS :2017/02/25 14:35:25.641:ENFORCEMENT:Reactive Enforcement Action:  Target Number: 00017028  Target Speed:  14.0  Current Speed:  19.4</t>
  </si>
  <si>
    <t>SYS :2017/02/25 14:35:26.216:ENFORCEMENT:Reactive Enforcement Action:  Target Number: 00017028  Target Speed:  14.0  Current Speed:  19.4</t>
  </si>
  <si>
    <t>SYS :2017/02/25 14:52:24.285:ENFORCEMENT:Reactive Enforcement Action:  Target Number: 00017157  Target Speed:   0.0  Current Speed:  33.4</t>
  </si>
  <si>
    <t>SYS :2017/02/25 14:52:24.665:ENFORCEMENT:Reactive Enforcement Action:  Target Number: 00017157  Target Speed:   0.0  Current Speed:  31.7</t>
  </si>
  <si>
    <t>SYS :2017/02/25 14:52:25.554:ENFORCEMENT:Reactive Enforcement Action:  Target Number: 000170A1  Target Speed:   0.0  Current Speed:  31.7</t>
  </si>
  <si>
    <t>SYS :2017/02/25 16:21:10.091:ENFORCEMENT:Predictive Enforcement Action:  Target Number: 0001725D  Target Speed:   0.0  Current Speed:  22.2</t>
  </si>
  <si>
    <t>SYS :2017/02/25 16:21:11.033:ENFORCEMENT:Predictive Enforcement Action:  Target Number: 00017355  Target Speed:   0.0  Current Speed:  20.9</t>
  </si>
  <si>
    <t>SYS :2017/02/25 16:21:12.040:ENFORCEMENT:Predictive Enforcement Action:  Target Number: 00017355  Target Speed:   0.0  Current Speed:  20.3</t>
  </si>
  <si>
    <t>SYS :2017/02/25 17:21:33.766:ENFORCEMENT:Predictive Enforcement Action:  Target Number: 0000100E  Target Speed:   0.0  Current Speed:   4.7</t>
  </si>
  <si>
    <t>SYS :2017/02/25 17:21:34.411:ENFORCEMENT:Predictive Enforcement Action:  Target Number: 00001020  Target Speed:   0.0  Current Speed:   4.7</t>
  </si>
  <si>
    <t>SYS :2017/02/25 17:21:34.942:ENFORCEMENT:Predictive Enforcement Action:  Target Number: 00001020  Target Speed:   0.0  Current Speed:   4.7</t>
  </si>
  <si>
    <t>SYS :2017/02/25 17:22:39.272:ENFORCEMENT:Predictive Enforcement Action:  Target Number: 00006118  Target Speed:   0.0  Current Speed:  41.5</t>
  </si>
  <si>
    <t>SYS :2017/02/25 17:22:40.294:ENFORCEMENT:Predictive Enforcement Action:  Target Number: 00006110  Target Speed:   0.0  Current Speed:  39.8</t>
  </si>
  <si>
    <t>SYS :2017/02/25 18:29:11.968:ENFORCEMENT:Reactive Enforcement Action:  Target Number: 000101A9  Target Speed:  55.0  Current Speed:  60.1</t>
  </si>
  <si>
    <t>SYS :2017/02/25 18:29:12.431:ENFORCEMENT:Reactive Enforcement Action:  Target Number: 000101A9  Target Speed:  55.0  Current Speed:  60.1</t>
  </si>
  <si>
    <t>SYS :2017/02/25 18:58:16.774:ENFORCEMENT:Predictive Enforcement Action:  Target Number: 0001706A  Target Speed:   0.0  Current Speed:  22.2</t>
  </si>
  <si>
    <t>SYS :2017/02/25 18:58:16.955:ENFORCEMENT:Reactive Enforcement Action:  Target Number: 000170F2  Target Speed:   0.0  Current Speed:  22.3</t>
  </si>
  <si>
    <t>SYS :2017/02/25 18:58:17.421:ENFORCEMENT:Predictive Enforcement Action:  Target Number: 000170F2  Target Speed:   0.0  Current Speed:  22.3</t>
  </si>
  <si>
    <t>SYS :2017/02/25 19:12:09.307:ENFORCEMENT:Predictive Enforcement Action:  Target Number: 00017070  Target Speed:  43.0  Current Speed:  51.0</t>
  </si>
  <si>
    <t>SYS :2017/02/25 19:12:09.635:ENFORCEMENT:Predictive Enforcement Action:  Target Number: 00017070  Target Speed:  43.0  Current Speed:  51.0</t>
  </si>
  <si>
    <t>SYS :2017/02/25 19:12:09.714:ENFORCEMENT:Predictive Enforcement Action:  Target Number: 00017070  Target Speed:  43.0  Current Speed:  52.5</t>
  </si>
  <si>
    <t>SYS :2017/02/25 19:34:32.248:ENFORCEMENT:Predictive Enforcement Action:  Target Number: 0000102E  Target Speed:   0.0  Current Speed:   2.2</t>
  </si>
  <si>
    <t>SYS :2017/02/25 19:34:32.746:ENFORCEMENT:Predictive Enforcement Action:  Target Number: 0000102D  Target Speed:   0.0  Current Speed:   2.2</t>
  </si>
  <si>
    <t>SYS :2017/02/25 20:13:14.643:ENFORCEMENT:Reactive Enforcement Action:  Target Number: 000171A7  Target Speed:   0.0  Current Speed:  13.8</t>
  </si>
  <si>
    <t>SYS :2017/02/25 20:13:15.268:ENFORCEMENT:Reactive Enforcement Action:  Target Number: 000171A7  Target Speed:   0.0  Current Speed:  13.8</t>
  </si>
  <si>
    <t>SYS :2017/02/25 20:13:15.548:ENFORCEMENT:Reactive Enforcement Action:  Target Number: 000170F1  Target Speed:   0.0  Current Speed:  12.0</t>
  </si>
  <si>
    <t>SYS :2017/02/25 20:54:45.320:ENFORCEMENT:Predictive Enforcement Action:  Target Number: 0000101E  Target Speed:   0.0  Current Speed:   5.0</t>
  </si>
  <si>
    <t>SYS :2017/02/25 22:06:39.022:ENFORCEMENT:Predictive Enforcement Action:  Target Number: 00001072  Target Speed:   0.0  Current Speed:   8.2</t>
  </si>
  <si>
    <t>SYS :2017/02/25 22:06:39.023:ENFORCEMENT:Predictive Enforcement Action:  Target Number: 00001070  Target Speed:   0.0  Current Speed:   8.2</t>
  </si>
  <si>
    <t>SYS :2017/02/25 22:06:39.089:ENFORCEMENT:Predictive Enforcement Action:  Target Number: 00001055  Target Speed:   0.0  Current Speed:   8.2</t>
  </si>
  <si>
    <t>SYS :2017/02/25 22:51:00.002:ENFORCEMENT:Predictive Enforcement Action:  Target Number: 0000100F  Target Speed:   0.0  Current Speed:   4.1</t>
  </si>
  <si>
    <t>SYS :2017/02/25 23:21:24.017:ENFORCEMENT:Predictive Enforcement Action:  Target Number: 0000101D  Target Speed:   0.0  Current Speed:   5.3</t>
  </si>
  <si>
    <t>SYS :2017/02/25 23:21:24.025:ENFORCEMENT:Predictive Enforcement Action:  Target Number: 0000101D  Target Speed:   0.0  Current Speed:   5.3</t>
  </si>
  <si>
    <t>SYS :2017/02/25 23:34:36.744:ENFORCEMENT:Predictive Enforcement Action:  Target Number: 00001039  Target Speed:   0.0  Current Speed:   2.4</t>
  </si>
  <si>
    <t>SYS :2017/02/25 23:34:36.950:ENFORCEMENT:Predictive Enforcement Action:  Target Number: 00001038  Target Speed:   0.0  Current Speed:   2.4</t>
  </si>
  <si>
    <t>SYS :2017/02/25 23:34:37.257:ENFORCEMENT:Predictive Enforcement Action:  Target Number: 0000103A  Target Speed:   0.0  Current Speed:   2.2</t>
  </si>
  <si>
    <t>SYS :2017/02/25 23:37:02.282:ENFORCEMENT:Predictive Enforcement Action:  Target Number: 000171D0  Target Speed:  29.0  Current Speed:  34.2</t>
  </si>
  <si>
    <t>SYS :2017/02/25 23:37:02.567:ENFORCEMENT:Predictive Enforcement Action:  Target Number: 0001711A  Target Speed:  29.0  Current Speed:  34.2</t>
  </si>
  <si>
    <t>SYS :2017/02/25 23:37:02.650:ENFORCEMENT:Predictive Enforcement Action:  Target Number: 000171D0  Target Speed:  29.0  Current Speed:  34.2</t>
  </si>
  <si>
    <t>SYS :2017/02/25 23:54:49.178:ENFORCEMENT:Predictive Enforcement Action:  Target Number: 0000103E  Target Speed:   0.0  Current Speed:   4.6</t>
  </si>
  <si>
    <t>SYS :2017/02/26 00:43:14.648:ENFORCEMENT:Predictive Enforcement Action:  Target Number: 0001065B  Target Speed:  30.0  Current Speed:  43.6</t>
  </si>
  <si>
    <t>SYS :2017/02/26 00:43:14.988:ENFORCEMENT:Predictive Enforcement Action:  Target Number: 00010662  Target Speed:  30.0  Current Speed:  43.6</t>
  </si>
  <si>
    <t>SYS :2017/02/26 00:52:05.639:ENFORCEMENT:Predictive Enforcement Action:  Target Number: 0000106E  Target Speed:   0.0  Current Speed:  15.0</t>
  </si>
  <si>
    <t>SYS :2017/02/26 00:52:05.681:ENFORCEMENT:Predictive Enforcement Action:  Target Number: 00001002  Target Speed:   0.0  Current Speed:  15.0</t>
  </si>
  <si>
    <t>SYS :2017/02/26 00:53:52.979:ENFORCEMENT:Predictive Enforcement Action:  Target Number: 00001070  Target Speed:   0.0  Current Speed:   5.7</t>
  </si>
  <si>
    <t>SYS :2017/02/26 00:53:53.643:ENFORCEMENT:Predictive Enforcement Action:  Target Number: 0000106E  Target Speed:   0.0  Current Speed:   5.7</t>
  </si>
  <si>
    <t>SYS :2017/02/26 00:53:53.682:ENFORCEMENT:Predictive Enforcement Action:  Target Number: 00001002  Target Speed:   0.0  Current Speed:   5.7</t>
  </si>
  <si>
    <t>SYS :2017/02/26 01:06:09.017:ENFORCEMENT:Predictive Enforcement Action:  Target Number: 0000101F  Target Speed:   0.0  Current Speed:   5.9</t>
  </si>
  <si>
    <t>SYS :2017/02/26 01:06:09.021:ENFORCEMENT:Predictive Enforcement Action:  Target Number: 0000101F  Target Speed:   0.0  Current Speed:   5.9</t>
  </si>
  <si>
    <t>SYS :2017/02/26 01:08:55.362:ENFORCEMENT:Predictive Enforcement Action:  Target Number: 0000100F  Target Speed:   0.0  Current Speed:   8.9</t>
  </si>
  <si>
    <t>SYS :2017/02/26 01:08:57.409:ENFORCEMENT:Predictive Enforcement Action:  Target Number: 0000100F  Target Speed:   0.0  Current Speed:   7.9</t>
  </si>
  <si>
    <t>SYS :2017/02/26 01:08:57.878:ENFORCEMENT:Predictive Enforcement Action:  Target Number: 0000100F  Target Speed:   0.0  Current Speed:   7.2</t>
  </si>
  <si>
    <t>SYS :2017/02/26 01:14:05.571:ENFORCEMENT:Predictive Enforcement Action:  Target Number: 0001712C  Target Speed:  55.0  Current Speed:  61.6</t>
  </si>
  <si>
    <t>SYS :2017/02/26 01:14:05.666:ENFORCEMENT:Predictive Enforcement Action:  Target Number: 000171E2  Target Speed:  55.0  Current Speed:  61.6</t>
  </si>
  <si>
    <t>SYS :2017/02/26 01:14:06.288:ENFORCEMENT:Predictive Enforcement Action:  Target Number: 000171E2  Target Speed:  55.0  Current Speed:  61.5</t>
  </si>
  <si>
    <t>SYS :2017/02/26 01:15:10.290:ENFORCEMENT:Reactive Enforcement Action:  Target Number: 000171E2  Target Speed:   0.0  Current Speed:   7.9</t>
  </si>
  <si>
    <t>SYS :2017/02/26 01:15:10.686:ENFORCEMENT:Reactive Enforcement Action:  Target Number: 000171E2  Target Speed:   0.0  Current Speed:   9.8</t>
  </si>
  <si>
    <t>SYS :2017/02/26 01:15:11.568:ENFORCEMENT:Reactive Enforcement Action:  Target Number: 0001712C  Target Speed:   0.0  Current Speed:   9.8</t>
  </si>
  <si>
    <t>SYS :2017/02/26 02:06:35.414:ENFORCEMENT:Predictive Enforcement Action:  Target Number: 0000102C  Target Speed:   0.0  Current Speed:   5.6</t>
  </si>
  <si>
    <t>SYS :2017/02/26 02:06:35.940:ENFORCEMENT:Predictive Enforcement Action:  Target Number: 0000102D  Target Speed:   0.0  Current Speed:   5.6</t>
  </si>
  <si>
    <t>SYS :2017/02/26 03:10:08.935:ENFORCEMENT:Reactive Enforcement Action:  Target Number: 000170E1  Target Speed:  16.0  Current Speed:  21.7</t>
  </si>
  <si>
    <t>SYS :2017/02/26 03:10:09.079:ENFORCEMENT:Reactive Enforcement Action:  Target Number: 000170E1  Target Speed:  16.0  Current Speed:  21.7</t>
  </si>
  <si>
    <t>SYS :2017/02/26 03:10:09.331:ENFORCEMENT:Reactive Enforcement Action:  Target Number: 000170E1  Target Speed:  16.0  Current Speed:  21.7</t>
  </si>
  <si>
    <t>SYS :2017/02/26 04:24:41.908:ENFORCEMENT:Predictive Enforcement Action:  Target Number: 000170E4  Target Speed:  24.0  Current Speed:  33.9</t>
  </si>
  <si>
    <t>SYS :2017/02/26 06:03:34.315:ENFORCEMENT:Predictive Enforcement Action:  Target Number: 0001019C  Target Speed:  40.0  Current Speed:  57.8</t>
  </si>
  <si>
    <t>SYS :2017/02/26 06:03:34.647:ENFORCEMENT:Predictive Enforcement Action:  Target Number: 0001019B  Target Speed:  40.0  Current Speed:  57.8</t>
  </si>
  <si>
    <t>SYS :2017/02/26 06:03:35.719:ENFORCEMENT:Predictive Enforcement Action:  Target Number: 00010198  Target Speed:  40.0  Current Speed:  57.5</t>
  </si>
  <si>
    <t>SYS :2017/02/26 06:20:25.425:ENFORCEMENT:Reactive Enforcement Action:  Target Number: 000170F2  Target Speed:  14.0  Current Speed:  19.3</t>
  </si>
  <si>
    <t>SYS :2017/02/26 06:25:00.387:ENFORCEMENT:Predictive Enforcement Action:  Target Number: 000170F9  Target Speed:  28.0  Current Speed:  33.3</t>
  </si>
  <si>
    <t>SYS :2017/02/26 06:25:00.433:ENFORCEMENT:Predictive Enforcement Action:  Target Number: 000170F9  Target Speed:  28.0  Current Speed:  33.3</t>
  </si>
  <si>
    <t>SYS :2017/02/26 06:36:39.274:ENFORCEMENT:Predictive Enforcement Action:  Target Number: 0000101A  Target Speed:   0.0  Current Speed:  15.1</t>
  </si>
  <si>
    <t>SYS :2017/02/26 06:38:18.208:ENFORCEMENT:Predictive Enforcement Action:  Target Number: 0000631B  Target Speed:   0.0  Current Speed:   1.3</t>
  </si>
  <si>
    <t>SYS :2017/02/26 06:38:18.371:ENFORCEMENT:Predictive Enforcement Action:  Target Number: 0000630C  Target Speed:   0.0  Current Speed:   1.3</t>
  </si>
  <si>
    <t>SYS :2017/02/26 06:38:18.499:ENFORCEMENT:Predictive Enforcement Action:  Target Number: 00006305  Target Speed:   0.0  Current Speed:   1.3</t>
  </si>
  <si>
    <t>SYS :2017/02/26 07:07:50.943:ENFORCEMENT:Predictive Enforcement Action:  Target Number: 00017106  Target Speed:  26.0  Current Speed:  31.8</t>
  </si>
  <si>
    <t>SYS :2017/02/26 07:07:51.312:ENFORCEMENT:Predictive Enforcement Action:  Target Number: 00017106  Target Speed:  26.0  Current Speed:  31.6</t>
  </si>
  <si>
    <t>SYS :2017/02/26 07:13:39.711:ENFORCEMENT:Predictive Enforcement Action:  Target Number: 000170F5  Target Speed:  48.0  Current Speed:  60.8</t>
  </si>
  <si>
    <t>SYS :2017/02/26 07:13:40.148:ENFORCEMENT:Predictive Enforcement Action:  Target Number: 000170F5  Target Speed:  48.0  Current Speed:  60.8</t>
  </si>
  <si>
    <t>SYS :2017/02/26 08:34:27.849:ENFORCEMENT:Predictive Enforcement Action:  Target Number: 00001006  Target Speed:   0.0  Current Speed:   5.0</t>
  </si>
  <si>
    <t>SYS :2017/02/26 08:34:28.368:ENFORCEMENT:Predictive Enforcement Action:  Target Number: 0000101A  Target Speed:   0.0  Current Speed:   5.0</t>
  </si>
  <si>
    <t>SYS :2017/02/26 08:34:28.417:ENFORCEMENT:Predictive Enforcement Action:  Target Number: 0000101A  Target Speed:   0.0  Current Speed:   5.0</t>
  </si>
  <si>
    <t>SYS :2017/02/26 09:03:36.686:ENFORCEMENT:Predictive Enforcement Action:  Target Number: 000063B3  Target Speed:   0.0  Current Speed:  64.2</t>
  </si>
  <si>
    <t>SYS :2017/02/26 09:03:38.147:ENFORCEMENT:Predictive Enforcement Action:  Target Number: 000063B4  Target Speed:   0.0  Current Speed:  63.6</t>
  </si>
  <si>
    <t>SYS :2017/02/26 09:25:04.175:ENFORCEMENT:Predictive Enforcement Action:  Target Number: 00017115  Target Speed:   0.0  Current Speed:  56.9</t>
  </si>
  <si>
    <t>SYS :2017/02/26 09:25:04.689:ENFORCEMENT:Predictive Enforcement Action:  Target Number: 00017115  Target Speed:   0.0  Current Speed:  56.9</t>
  </si>
  <si>
    <t>SYS :2017/02/26 09:26:20.153:ENFORCEMENT:Reactive Enforcement Action:  Target Number: 00017115  Target Speed:   4.0  Current Speed:  10.4</t>
  </si>
  <si>
    <t>SYS :2017/02/26 09:26:20.697:ENFORCEMENT:Reactive Enforcement Action:  Target Number: 00017115  Target Speed:   4.0  Current Speed:  10.4</t>
  </si>
  <si>
    <t>SYS :2017/02/26 09:50:02.628:ENFORCEMENT:Predictive Enforcement Action:  Target Number: 00006383  Target Speed:   0.0  Current Speed:   8.9</t>
  </si>
  <si>
    <t>SYS :2017/02/26 09:50:02.709:ENFORCEMENT:Predictive Enforcement Action:  Target Number: 0000637D  Target Speed:   0.0  Current Speed:   8.9</t>
  </si>
  <si>
    <t>Banner w/o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</si>
</sst>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topLeftCell="A13" zoomScaleNormal="100" workbookViewId="0">
      <selection activeCell="A26" sqref="A26:XFD2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78" customWidth="1"/>
    <col min="22" max="22" width="5.7109375" style="198" customWidth="1"/>
    <col min="23" max="23" width="3.85546875" style="179" customWidth="1"/>
    <col min="24" max="24" width="6.5703125" style="179" customWidth="1"/>
    <col min="25" max="25" width="11.5703125" style="179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6"/>
      <c r="V1" s="177"/>
      <c r="W1" s="176"/>
      <c r="X1" s="178"/>
      <c r="Y1" s="179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42791</v>
      </c>
      <c r="S2" s="66"/>
      <c r="T2" s="67"/>
      <c r="U2" s="180"/>
      <c r="V2" s="181" t="s">
        <v>8</v>
      </c>
      <c r="W2" s="182"/>
      <c r="X2" s="183"/>
      <c r="Y2" s="179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4"/>
      <c r="V3" s="185" t="s">
        <v>11</v>
      </c>
      <c r="W3" s="186" t="s">
        <v>12</v>
      </c>
      <c r="X3" s="187" t="s">
        <v>13</v>
      </c>
      <c r="Y3" s="179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147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88"/>
      <c r="V4" s="185" t="s">
        <v>15</v>
      </c>
      <c r="W4" s="186" t="s">
        <v>15</v>
      </c>
      <c r="X4" s="187" t="s">
        <v>15</v>
      </c>
      <c r="Y4" s="179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145</v>
      </c>
      <c r="K5" s="40"/>
      <c r="L5" s="40"/>
      <c r="M5" s="41">
        <f>AVERAGEIFS($N$13:$N$9330,$AG$13:$AG$9330,I1)</f>
        <v>38.270229885378725</v>
      </c>
      <c r="N5" s="39">
        <f t="array" ref="N5">MIN(IF($AG$13:$AG$9330=I1,IF(ISNUMBER($N$13:$N$9330),IF($N$13:$N$9330&gt;0,$N$13:$N$9330))))</f>
        <v>35.066666670609266</v>
      </c>
      <c r="O5" s="3">
        <f t="array" ref="O5">MAX(IF($AG$13:$AG$9330=I1,IF(ISNUMBER($N$13:$N$9330),IF($N$13:$N$9330&gt;0,$N$13:$N$9330))))</f>
        <v>47.600000000093132</v>
      </c>
      <c r="P5" s="2"/>
      <c r="R5" s="74" t="s">
        <v>17</v>
      </c>
      <c r="S5" s="50">
        <f>COUNTIFS($N$13:$N$9330,"&gt;0",$AG$13:$AG$9330,R1)</f>
        <v>34</v>
      </c>
      <c r="T5" s="40"/>
      <c r="U5" s="188"/>
      <c r="V5" s="185">
        <f>AVERAGEIFS($N$13:$N$9330,$AG$13:$AG$9330,R1)</f>
        <v>13.906372547190745</v>
      </c>
      <c r="W5" s="186">
        <f t="array" ref="W5">MIN(IF($AG$13:$AG$9330=R1,IF(ISNUMBER($N$13:$N$9330),IF($N$13:$N$9330&gt;0,$N$13:$N$9330))))</f>
        <v>12.916666668606922</v>
      </c>
      <c r="X5" s="187">
        <f t="array" ref="X5">MAX(IF($AG$13:$AG$9330=R1,IF(ISNUMBER($N$13:$N$9330),IF($N$13:$N$9330&gt;0,$N$13:$N$9330))))</f>
        <v>17.266666669165716</v>
      </c>
      <c r="Y5" s="179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88"/>
      <c r="V6" s="185">
        <f>IFERROR(AVERAGE($O$13:$O$104),0)</f>
        <v>0</v>
      </c>
      <c r="W6" s="186">
        <f>MIN($O$13:$O$104)</f>
        <v>0</v>
      </c>
      <c r="X6" s="187">
        <f>MAX($O$13:$O$104)</f>
        <v>0</v>
      </c>
      <c r="Y6" s="179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88"/>
      <c r="V7" s="185" t="s">
        <v>15</v>
      </c>
      <c r="W7" s="186" t="s">
        <v>15</v>
      </c>
      <c r="X7" s="187" t="s">
        <v>15</v>
      </c>
      <c r="Y7" s="179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145</v>
      </c>
      <c r="K8" s="40"/>
      <c r="L8" s="40"/>
      <c r="M8" s="41">
        <f>M5</f>
        <v>38.270229885378725</v>
      </c>
      <c r="N8" s="39">
        <f>N5</f>
        <v>35.066666670609266</v>
      </c>
      <c r="O8" s="3">
        <f>O5</f>
        <v>47.600000000093132</v>
      </c>
      <c r="P8" s="2"/>
      <c r="R8" s="74" t="s">
        <v>16</v>
      </c>
      <c r="S8" s="50">
        <f>S5</f>
        <v>34</v>
      </c>
      <c r="T8" s="40"/>
      <c r="U8" s="188"/>
      <c r="V8" s="185">
        <f>V5</f>
        <v>13.906372547190745</v>
      </c>
      <c r="W8" s="186">
        <f>W5</f>
        <v>12.916666668606922</v>
      </c>
      <c r="X8" s="187">
        <f>X5</f>
        <v>17.266666669165716</v>
      </c>
      <c r="Y8" s="179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0.98639455782312924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6"/>
      <c r="V9" s="189"/>
      <c r="W9" s="176"/>
      <c r="X9" s="190"/>
      <c r="Y9" s="179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8"/>
      <c r="V10" s="191"/>
      <c r="W10" s="179"/>
      <c r="X10" s="179"/>
      <c r="Y10" s="179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74" t="str">
        <f>"Eagle P3 System Performance - "&amp;TEXT(Variables!A2,"yyyy-mm-dd")</f>
        <v>Eagle P3 System Performance - 2017-02-25</v>
      </c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S11" s="64">
        <f>AVERAGE(S13:S75)</f>
        <v>1</v>
      </c>
      <c r="V11" s="19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211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396</v>
      </c>
      <c r="B13" s="7">
        <v>4046</v>
      </c>
      <c r="C13" s="21" t="s">
        <v>275</v>
      </c>
      <c r="D13" s="21" t="s">
        <v>439</v>
      </c>
      <c r="E13" s="13">
        <v>42791.130868055552</v>
      </c>
      <c r="F13" s="13">
        <v>42791.135613425926</v>
      </c>
      <c r="G13" s="7">
        <v>1</v>
      </c>
      <c r="H13" s="21" t="s">
        <v>440</v>
      </c>
      <c r="I13" s="13">
        <v>42791.162569444445</v>
      </c>
      <c r="J13" s="7">
        <v>1</v>
      </c>
      <c r="K13" s="98" t="str">
        <f t="shared" ref="K13:K76" si="0">IF(ISEVEN(B13),(B13-1)&amp;"/"&amp;B13,B13&amp;"/"&amp;(B13+1))</f>
        <v>4045/4046</v>
      </c>
      <c r="L13" s="21" t="str">
        <f>VLOOKUP(A13,'Trips&amp;Operators'!$C$1:$G$99999,5,FALSE)</f>
        <v>BADERTSCHER DIANE</v>
      </c>
      <c r="M13" s="6">
        <f t="shared" ref="M13:M76" si="1">I13-F13</f>
        <v>2.6956018518831115E-2</v>
      </c>
      <c r="N13" s="7">
        <f t="shared" ref="N13:P76" si="2">24*60*SUM($M13:$M13)</f>
        <v>38.816666667116806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-25T02:08:27-0700',mode:absolute,to:'2017-02-25T04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97" t="str">
        <f t="shared" ref="W13:W76" si="6">IF(AA13&lt;IF(AG13="EC",23,5.65),"Y","N")</f>
        <v>N</v>
      </c>
      <c r="X13" s="197" t="e">
        <f t="shared" ref="X13:X76" si="7">VALUE(LEFT(AD13,4))-VALUE(LEFT(AD12,4))</f>
        <v>#VALUE!</v>
      </c>
      <c r="Y13" s="197">
        <f t="shared" ref="Y13:Y76" si="8">RIGHT(D13,LEN(D13)-4)/10000</f>
        <v>7.4399999999999994E-2</v>
      </c>
      <c r="Z13" s="62">
        <f t="shared" ref="Z13:Z76" si="9">RIGHT(H13,LEN(H13)-4)/10000</f>
        <v>23.327999999999999</v>
      </c>
      <c r="AA13" s="62">
        <f t="shared" ref="AA13:AA76" si="10">ABS(Z13-Y13)</f>
        <v>23.253599999999999</v>
      </c>
      <c r="AB13" s="59" t="str">
        <f>VLOOKUP(A13,Enforcements!$C$7:$K$13,8,0)</f>
        <v>Bulletin (2)</v>
      </c>
      <c r="AC13" s="55" t="str">
        <f>VLOOKUP(A13,Enforcements!$C$7:$E$13,3,0)</f>
        <v>GRADE CROSSING</v>
      </c>
      <c r="AD13" s="56" t="str">
        <f t="shared" ref="AD13:AD76" si="11">IF(LEN(A13)=6,"0"&amp;A13,A13)</f>
        <v>0101-25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/stypes="app*4046*20170225*"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4046 --swversion DE.1.0.9.0 --startMP 204:744 --initTime 2017-02-25T03:08:27 --startdatetime 2017-02-25T03:15:17 --delay 1 --endMP 204:233280 --enddatetime 2017-02-25T03:54:06 --enforcementcount 1 &gt;&gt;C:\Users\stu\Documents\GitHub\eaglep3-reporting\EC\2017-02-25-refined-times.txt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{"issue":{"subject":"","project_id":79,"tracker_id":40,"status_id":1,"priority_id":2,"assigned_to_id":23,"start_date":"2017-02-25","description":"","custom_fields":[{"id":1,"name":"Subdivision","value":"EC"},{"id":4,"name":"Milepost","value":"23.328"},{"id":17,"name":"Train ID","value":"101-25"},{"id":16,"name":"Locomotive ID","value":"4046"},{"id":130,"name":"Impact","value":""},{"id":150,"name":"Time of Event (Mountain Time)","value":"03:54:06"},{"id":151,"name":"Denver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4046 --day 2017-02-25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397</v>
      </c>
      <c r="B14" s="7">
        <v>4005</v>
      </c>
      <c r="C14" s="21" t="s">
        <v>275</v>
      </c>
      <c r="D14" s="21" t="s">
        <v>441</v>
      </c>
      <c r="E14" s="13">
        <v>42791.166689814818</v>
      </c>
      <c r="F14" s="13">
        <v>42791.174502314818</v>
      </c>
      <c r="G14" s="7">
        <v>3</v>
      </c>
      <c r="H14" s="21" t="s">
        <v>239</v>
      </c>
      <c r="I14" s="13">
        <v>42791.202893518515</v>
      </c>
      <c r="J14" s="7">
        <v>1</v>
      </c>
      <c r="K14" s="98" t="str">
        <f t="shared" si="0"/>
        <v>4005/4006</v>
      </c>
      <c r="L14" s="21" t="str">
        <f>VLOOKUP(A14,'Trips&amp;Operators'!$C$1:$G$99999,5,FALSE)</f>
        <v>BADERTSCHER DIANE</v>
      </c>
      <c r="M14" s="6">
        <f t="shared" si="1"/>
        <v>2.8391203697538003E-2</v>
      </c>
      <c r="N14" s="7">
        <f t="shared" si="2"/>
        <v>40.883333324454725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-02-25T03:00:02-0700',mode:absolute,to:'2017-02-25T05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 t="shared" si="6"/>
        <v>N</v>
      </c>
      <c r="X14" s="197">
        <f t="shared" si="7"/>
        <v>1</v>
      </c>
      <c r="Y14" s="197">
        <f t="shared" si="8"/>
        <v>23.263400000000001</v>
      </c>
      <c r="Z14" s="62">
        <f t="shared" si="9"/>
        <v>1.3899999999999999E-2</v>
      </c>
      <c r="AA14" s="62">
        <f t="shared" si="10"/>
        <v>23.249500000000001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0102-25</v>
      </c>
      <c r="AE14" s="85" t="str">
        <f t="shared" si="12"/>
        <v>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 &amp; aws s3 cp s3://rtdc.mdm.uploadarchive.raw/RTDC4005/ "%USERPROFILE%\AppData\Local\Temp\OnboardLogs"\RTDC4005\2017-02-26 --exclude "*" --recursive --include "*20170226*" &amp; "%USERPROFILE%\Documents\GitHub\mrs-test-scripts\Headless Mode &amp; Sideloading\WalkAndUnGZ.bat" "%USERPROFILE%\AppData\Local\Temp\OnboardLogs"\RTDC4005\2017-02-26</v>
      </c>
      <c r="AF14" s="82" t="str">
        <f t="shared" si="13"/>
        <v>"C:\Program Files (x86)\AstroGrep\AstroGrep.exe" /spath="%USERPROFILE%\AppData\Local\Temp\OnboardLogs" /stypes="app*4005*20170225*"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4005 --swversion DE.1.0.9.0 --startMP 204:232634 --initTime 2017-02-25T04:00:02 --startdatetime 2017-02-25T04:11:17 --delay 3 --endMP 204:139 --enddatetime 2017-02-25T04:52:10 --enforcementcount 1 &gt;&gt;C:\Users\stu\Documents\GitHub\eaglep3-reporting\EC\2017-02-25-refined-times.txt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{"issue":{"subject":"","project_id":79,"tracker_id":40,"status_id":1,"priority_id":2,"assigned_to_id":23,"start_date":"2017-02-25","description":"","custom_fields":[{"id":1,"name":"Subdivision","value":"EC"},{"id":4,"name":"Milepost","value":"0.0139"},{"id":17,"name":"Train ID","value":"102-25"},{"id":16,"name":"Locomotive ID","value":"4005"},{"id":130,"name":"Impact","value":""},{"id":150,"name":"Time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4005 --day 2017-02-25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"%USERPROFILE%\AppData\Local\Temp\OnboardLogs"\RTDC4005\*4005*20170225* | grep -SE "(Enforcement Action)|(\[TIMEOUT)|(CHR.+\|PRM\|1\|D.+(SWITCH|SIGNAL).+UNKNOWN)" - &gt;&gt; 2017-02-25-UncaughtWiMAX.txt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442</v>
      </c>
      <c r="B15" s="7">
        <v>4051</v>
      </c>
      <c r="C15" s="21" t="s">
        <v>275</v>
      </c>
      <c r="D15" s="21" t="s">
        <v>443</v>
      </c>
      <c r="E15" s="13">
        <v>42791.149039351854</v>
      </c>
      <c r="F15" s="13">
        <v>42791.156412037039</v>
      </c>
      <c r="G15" s="7">
        <v>1</v>
      </c>
      <c r="H15" s="21" t="s">
        <v>444</v>
      </c>
      <c r="I15" s="13">
        <v>42791.182488425926</v>
      </c>
      <c r="J15" s="7">
        <v>1</v>
      </c>
      <c r="K15" s="98" t="str">
        <f t="shared" si="0"/>
        <v>4051/4052</v>
      </c>
      <c r="L15" s="21" t="str">
        <f>VLOOKUP(A15,'Trips&amp;Operators'!$C$1:$G$99999,5,FALSE)</f>
        <v>ROBINSON KADDIBA</v>
      </c>
      <c r="M15" s="6">
        <f t="shared" si="1"/>
        <v>2.6076388887304347E-2</v>
      </c>
      <c r="N15" s="7">
        <f t="shared" si="2"/>
        <v>37.54999999771826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-02-25T02:34:37-0700',mode:absolute,to:'2017-02-25T05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" s="197" t="str">
        <f t="shared" si="6"/>
        <v>N</v>
      </c>
      <c r="X15" s="197">
        <f t="shared" si="7"/>
        <v>1</v>
      </c>
      <c r="Y15" s="197">
        <f t="shared" si="8"/>
        <v>7.3200000000000001E-2</v>
      </c>
      <c r="Z15" s="62">
        <f t="shared" si="9"/>
        <v>23.342500000000001</v>
      </c>
      <c r="AA15" s="62">
        <f t="shared" si="10"/>
        <v>23.269300000000001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0103-25</v>
      </c>
      <c r="AE15" s="85" t="str">
        <f t="shared" si="12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5" s="82" t="str">
        <f t="shared" si="13"/>
        <v>"C:\Program Files (x86)\AstroGrep\AstroGrep.exe" /spath="%USERPROFILE%\AppData\Local\Temp\OnboardLogs" /stypes="app*4051*20170225*"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103-25 --locoid 4051 --swversion DE.1.0.9.0 --startMP 204:732 --initTime 2017-02-25T03:34:37 --startdatetime 2017-02-25T03:45:14 --delay 1 --endMP 204:233425 --enddatetime 2017-02-25T04:22:47 --enforcementcount 1 &gt;&gt;C:\Users\stu\Documents\GitHub\eaglep3-reporting\EC\2017-02-25-refined-times.txt</v>
      </c>
      <c r="AI1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{"issue":{"subject":"","project_id":79,"tracker_id":40,"status_id":1,"priority_id":2,"assigned_to_id":23,"start_date":"2017-02-25","description":"","custom_fields":[{"id":1,"name":"Subdivision","value":"EC"},{"id":4,"name":"Milepost","value":"23.3425"},{"id":17,"name":"Train ID","value":"103-25"},{"id":16,"name":"Locomotive ID","value":"4051"},{"id":130,"name":"Impact","value":""},{"id":150,"name":"Time of Event (Mountain Time)","value":"04:22:47"},{"id":151,"name":"Denver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4051 --day 2017-02-25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445</v>
      </c>
      <c r="B16" s="7">
        <v>4028</v>
      </c>
      <c r="C16" s="21" t="s">
        <v>275</v>
      </c>
      <c r="D16" s="21" t="s">
        <v>446</v>
      </c>
      <c r="E16" s="13">
        <v>42791.188564814816</v>
      </c>
      <c r="F16" s="13">
        <v>42791.195289351854</v>
      </c>
      <c r="G16" s="7">
        <v>1</v>
      </c>
      <c r="H16" s="21" t="s">
        <v>299</v>
      </c>
      <c r="I16" s="13">
        <v>42791.223692129628</v>
      </c>
      <c r="J16" s="7">
        <v>1</v>
      </c>
      <c r="K16" s="98" t="str">
        <f t="shared" si="0"/>
        <v>4027/4028</v>
      </c>
      <c r="L16" s="21" t="str">
        <f>VLOOKUP(A16,'Trips&amp;Operators'!$C$1:$G$99999,5,FALSE)</f>
        <v>ROBINSON KADDIBA</v>
      </c>
      <c r="M16" s="6">
        <f t="shared" si="1"/>
        <v>2.8402777774317656E-2</v>
      </c>
      <c r="N16" s="7">
        <f t="shared" si="2"/>
        <v>40.899999995017424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-02-25T03:31:32-0700',mode:absolute,to:'2017-02-25T06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197" t="str">
        <f t="shared" si="6"/>
        <v>N</v>
      </c>
      <c r="X16" s="197">
        <f t="shared" si="7"/>
        <v>1</v>
      </c>
      <c r="Y16" s="197">
        <f t="shared" si="8"/>
        <v>23.282299999999999</v>
      </c>
      <c r="Z16" s="62">
        <f t="shared" si="9"/>
        <v>1.6500000000000001E-2</v>
      </c>
      <c r="AA16" s="62">
        <f t="shared" si="10"/>
        <v>23.265799999999999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0104-25</v>
      </c>
      <c r="AE16" s="85" t="str">
        <f t="shared" si="12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16" s="82" t="str">
        <f t="shared" si="13"/>
        <v>"C:\Program Files (x86)\AstroGrep\AstroGrep.exe" /spath="%USERPROFILE%\AppData\Local\Temp\OnboardLogs" /stypes="app*4028*20170225*"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104-25 --locoid 4028 --swversion DE.1.0.9.0 --startMP 204:232823 --initTime 2017-02-25T04:31:32 --startdatetime 2017-02-25T04:41:13 --delay 1 --endMP 204:165 --enddatetime 2017-02-25T05:22:07 --enforcementcount 1 &gt;&gt;C:\Users\stu\Documents\GitHub\eaglep3-reporting\EC\2017-02-25-refined-times.txt</v>
      </c>
      <c r="AI1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{"issue":{"subject":"","project_id":79,"tracker_id":40,"status_id":1,"priority_id":2,"assigned_to_id":23,"start_date":"2017-02-25","description":"","custom_fields":[{"id":1,"name":"Subdivision","value":"EC"},{"id":4,"name":"Milepost","value":"0.0165"},{"id":17,"name":"Train ID","value":"104-25"},{"id":16,"name":"Locomotive ID","value":"4028"},{"id":130,"name":"Impact","value":""},{"id":150,"name":"Time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4028 --day 2017-02-25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447</v>
      </c>
      <c r="B17" s="7">
        <v>4020</v>
      </c>
      <c r="C17" s="21" t="s">
        <v>275</v>
      </c>
      <c r="D17" s="21" t="s">
        <v>305</v>
      </c>
      <c r="E17" s="13">
        <v>42791.170381944445</v>
      </c>
      <c r="F17" s="13">
        <v>42791.17732638889</v>
      </c>
      <c r="G17" s="7">
        <v>1</v>
      </c>
      <c r="H17" s="21" t="s">
        <v>256</v>
      </c>
      <c r="I17" s="13">
        <v>42791.2030787037</v>
      </c>
      <c r="J17" s="7">
        <v>1</v>
      </c>
      <c r="K17" s="98" t="str">
        <f t="shared" si="0"/>
        <v>4019/4020</v>
      </c>
      <c r="L17" s="21" t="str">
        <f>VLOOKUP(A17,'Trips&amp;Operators'!$C$1:$G$99999,5,FALSE)</f>
        <v>DE LA ROSA ALEX</v>
      </c>
      <c r="M17" s="6">
        <f t="shared" si="1"/>
        <v>2.5752314810233656E-2</v>
      </c>
      <c r="N17" s="7">
        <f t="shared" si="2"/>
        <v>37.083333326736465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-02-25T03:05:21-0700',mode:absolute,to:'2017-02-25T05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97" t="str">
        <f t="shared" si="6"/>
        <v>N</v>
      </c>
      <c r="X17" s="197">
        <f t="shared" si="7"/>
        <v>1</v>
      </c>
      <c r="Y17" s="197">
        <f t="shared" si="8"/>
        <v>7.5700000000000003E-2</v>
      </c>
      <c r="Z17" s="62">
        <f t="shared" si="9"/>
        <v>23.331</v>
      </c>
      <c r="AA17" s="62">
        <f t="shared" si="10"/>
        <v>23.255299999999998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0105-25</v>
      </c>
      <c r="AE17" s="85" t="str">
        <f t="shared" si="12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7" s="82" t="str">
        <f t="shared" si="13"/>
        <v>"C:\Program Files (x86)\AstroGrep\AstroGrep.exe" /spath="%USERPROFILE%\AppData\Local\Temp\OnboardLogs" /stypes="app*4020*20170225*"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105-25 --locoid 4020 --swversion DE.1.0.9.0 --startMP 204:757 --initTime 2017-02-25T04:05:21 --startdatetime 2017-02-25T04:15:21 --delay 1 --endMP 204:233310 --enddatetime 2017-02-25T04:52:26 --enforcementcount 1 &gt;&gt;C:\Users\stu\Documents\GitHub\eaglep3-reporting\EC\2017-02-25-refined-times.txt</v>
      </c>
      <c r="AI1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{"issue":{"subject":"","project_id":79,"tracker_id":40,"status_id":1,"priority_id":2,"assigned_to_id":23,"start_date":"2017-02-25","description":"","custom_fields":[{"id":1,"name":"Subdivision","value":"EC"},{"id":4,"name":"Milepost","value":"23.331"},{"id":17,"name":"Train ID","value":"105-25"},{"id":16,"name":"Locomotive ID","value":"4020"},{"id":130,"name":"Impact","value":""},{"id":150,"name":"Time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4020 --day 2017-02-25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448</v>
      </c>
      <c r="B18" s="7">
        <v>4017</v>
      </c>
      <c r="C18" s="21" t="s">
        <v>275</v>
      </c>
      <c r="D18" s="21" t="s">
        <v>449</v>
      </c>
      <c r="E18" s="13">
        <v>42791.209456018521</v>
      </c>
      <c r="F18" s="13">
        <v>42791.216215277775</v>
      </c>
      <c r="G18" s="7">
        <v>1</v>
      </c>
      <c r="H18" s="21" t="s">
        <v>254</v>
      </c>
      <c r="I18" s="13">
        <v>42791.243587962963</v>
      </c>
      <c r="J18" s="7">
        <v>1</v>
      </c>
      <c r="K18" s="98" t="str">
        <f t="shared" si="0"/>
        <v>4017/4018</v>
      </c>
      <c r="L18" s="21" t="str">
        <f>VLOOKUP(A18,'Trips&amp;Operators'!$C$1:$G$99999,5,FALSE)</f>
        <v>DE LA ROSA ALEX</v>
      </c>
      <c r="M18" s="6">
        <f t="shared" si="1"/>
        <v>2.7372685188311152E-2</v>
      </c>
      <c r="N18" s="7">
        <f t="shared" si="2"/>
        <v>39.416666671168059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-02-25T04:01:37-0700',mode:absolute,to:'2017-02-25T06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7" t="str">
        <f t="shared" si="6"/>
        <v>N</v>
      </c>
      <c r="X18" s="197">
        <f t="shared" si="7"/>
        <v>1</v>
      </c>
      <c r="Y18" s="197">
        <f t="shared" si="8"/>
        <v>23.265599999999999</v>
      </c>
      <c r="Z18" s="62">
        <f t="shared" si="9"/>
        <v>1.3599999999999999E-2</v>
      </c>
      <c r="AA18" s="62">
        <f t="shared" si="10"/>
        <v>23.251999999999999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0106-25</v>
      </c>
      <c r="AE18" s="85" t="str">
        <f t="shared" si="12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18" s="82" t="str">
        <f t="shared" si="13"/>
        <v>"C:\Program Files (x86)\AstroGrep\AstroGrep.exe" /spath="%USERPROFILE%\AppData\Local\Temp\OnboardLogs" /stypes="app*4017*20170225*"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106-25 --locoid 4017 --swversion DE.1.0.9.0 --startMP 204:232656 --initTime 2017-02-25T05:01:37 --startdatetime 2017-02-25T05:11:21 --delay 1 --endMP 204:136 --enddatetime 2017-02-25T05:50:46 --enforcementcount 1 &gt;&gt;C:\Users\stu\Documents\GitHub\eaglep3-reporting\EC\2017-02-25-refined-times.txt</v>
      </c>
      <c r="AI1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{"issue":{"subject":"","project_id":79,"tracker_id":40,"status_id":1,"priority_id":2,"assigned_to_id":23,"start_date":"2017-02-25","description":"","custom_fields":[{"id":1,"name":"Subdivision","value":"EC"},{"id":4,"name":"Milepost","value":"0.0136"},{"id":17,"name":"Train ID","value":"106-25"},{"id":16,"name":"Locomotive ID","value":"4017"},{"id":130,"name":"Impact","value":""},{"id":150,"name":"Time of Event (Mountain Time)","value":"05:50:46"},{"id":151,"name":"Denver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2017-02-25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450</v>
      </c>
      <c r="B19" s="7">
        <v>4044</v>
      </c>
      <c r="C19" s="21" t="s">
        <v>275</v>
      </c>
      <c r="D19" s="21" t="s">
        <v>277</v>
      </c>
      <c r="E19" s="13">
        <v>42791.182916666665</v>
      </c>
      <c r="F19" s="13">
        <v>42791.187997685185</v>
      </c>
      <c r="G19" s="7">
        <v>1</v>
      </c>
      <c r="H19" s="21" t="s">
        <v>270</v>
      </c>
      <c r="I19" s="13">
        <v>42791.214398148149</v>
      </c>
      <c r="J19" s="7">
        <v>1</v>
      </c>
      <c r="K19" s="98" t="str">
        <f t="shared" si="0"/>
        <v>4043/4044</v>
      </c>
      <c r="L19" s="21" t="str">
        <f>VLOOKUP(A19,'Trips&amp;Operators'!$C$1:$G$99999,5,FALSE)</f>
        <v>BRANDNER MELINDA</v>
      </c>
      <c r="M19" s="6">
        <f t="shared" si="1"/>
        <v>2.6400462964375038E-2</v>
      </c>
      <c r="N19" s="7">
        <f t="shared" si="2"/>
        <v>38.016666668700054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-02-25T03:23:24-0700',mode:absolute,to:'2017-02-25T06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 t="shared" si="6"/>
        <v>N</v>
      </c>
      <c r="X19" s="197">
        <f t="shared" si="7"/>
        <v>1</v>
      </c>
      <c r="Y19" s="197">
        <f t="shared" si="8"/>
        <v>4.58E-2</v>
      </c>
      <c r="Z19" s="62">
        <f t="shared" si="9"/>
        <v>23.330100000000002</v>
      </c>
      <c r="AA19" s="62">
        <f t="shared" si="10"/>
        <v>23.284300000000002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0107-25</v>
      </c>
      <c r="AE19" s="85" t="str">
        <f t="shared" si="12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9" s="82" t="str">
        <f t="shared" si="13"/>
        <v>"C:\Program Files (x86)\AstroGrep\AstroGrep.exe" /spath="%USERPROFILE%\AppData\Local\Temp\OnboardLogs" /stypes="app*4044*20170225*"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107-25 --locoid 4044 --swversion DE.1.0.9.0 --startMP 204:458 --initTime 2017-02-25T04:23:24 --startdatetime 2017-02-25T04:30:43 --delay 1 --endMP 204:233301 --enddatetime 2017-02-25T05:08:44 --enforcementcount 1 &gt;&gt;C:\Users\stu\Documents\GitHub\eaglep3-reporting\EC\2017-02-25-refined-times.txt</v>
      </c>
      <c r="AI1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{"issue":{"subject":"","project_id":79,"tracker_id":40,"status_id":1,"priority_id":2,"assigned_to_id":23,"start_date":"2017-02-25","description":"","custom_fields":[{"id":1,"name":"Subdivision","value":"EC"},{"id":4,"name":"Milepost","value":"23.3301"},{"id":17,"name":"Train ID","value":"107-25"},{"id":16,"name":"Locomotive ID","value":"4044"},{"id":130,"name":"Impact","value":""},{"id":150,"name":"Time of Event (Mountain Time)","value":"05:08:44"},{"id":151,"name":"Denver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4044 --day 2017-02-25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451</v>
      </c>
      <c r="B20" s="7">
        <v>4043</v>
      </c>
      <c r="C20" s="21" t="s">
        <v>275</v>
      </c>
      <c r="D20" s="21" t="s">
        <v>265</v>
      </c>
      <c r="E20" s="13">
        <v>42791.220335648148</v>
      </c>
      <c r="F20" s="13">
        <v>42791.226574074077</v>
      </c>
      <c r="G20" s="7">
        <v>1</v>
      </c>
      <c r="H20" s="21" t="s">
        <v>192</v>
      </c>
      <c r="I20" s="13">
        <v>42791.255289351851</v>
      </c>
      <c r="J20" s="7">
        <v>1</v>
      </c>
      <c r="K20" s="98" t="str">
        <f t="shared" si="0"/>
        <v>4043/4044</v>
      </c>
      <c r="L20" s="21" t="str">
        <f>VLOOKUP(A20,'Trips&amp;Operators'!$C$1:$G$99999,5,FALSE)</f>
        <v>BRANDNER MELINDA</v>
      </c>
      <c r="M20" s="6">
        <f t="shared" si="1"/>
        <v>2.8715277774608694E-2</v>
      </c>
      <c r="N20" s="7">
        <f t="shared" si="2"/>
        <v>41.349999995436519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-02-25T04:17:17-0700',mode:absolute,to:'2017-02-25T07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 t="shared" si="6"/>
        <v>N</v>
      </c>
      <c r="X20" s="197">
        <f t="shared" si="7"/>
        <v>1</v>
      </c>
      <c r="Y20" s="197">
        <f t="shared" si="8"/>
        <v>23.2973</v>
      </c>
      <c r="Z20" s="62">
        <f t="shared" si="9"/>
        <v>1.4500000000000001E-2</v>
      </c>
      <c r="AA20" s="62">
        <f t="shared" si="10"/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0108-25</v>
      </c>
      <c r="AE20" s="85" t="str">
        <f t="shared" si="12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20" s="82" t="str">
        <f t="shared" si="13"/>
        <v>"C:\Program Files (x86)\AstroGrep\AstroGrep.exe" /spath="%USERPROFILE%\AppData\Local\Temp\OnboardLogs" /stypes="app*4043*20170225*"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108-25 --locoid 4043 --swversion DE.1.0.9.0 --startMP 204:232973 --initTime 2017-02-25T05:17:17 --startdatetime 2017-02-25T05:26:16 --delay 1 --endMP 204:145 --enddatetime 2017-02-25T06:07:37 --enforcementcount 1 &gt;&gt;C:\Users\stu\Documents\GitHub\eaglep3-reporting\EC\2017-02-25-refined-times.txt</v>
      </c>
      <c r="AI2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{"issue":{"subject":"","project_id":79,"tracker_id":40,"status_id":1,"priority_id":2,"assigned_to_id":23,"start_date":"2017-02-25","description":"","custom_fields":[{"id":1,"name":"Subdivision","value":"EC"},{"id":4,"name":"Milepost","value":"0.0145"},{"id":17,"name":"Train ID","value":"108-25"},{"id":16,"name":"Locomotive ID","value":"4043"},{"id":130,"name":"Impact","value":""},{"id":150,"name":"Time of Event (Mountain Time)","value":"06:07:37"},{"id":151,"name":"Denver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4043 --day 2017-02-25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452</v>
      </c>
      <c r="B21" s="7">
        <v>4053</v>
      </c>
      <c r="C21" s="21" t="s">
        <v>275</v>
      </c>
      <c r="D21" s="21" t="s">
        <v>232</v>
      </c>
      <c r="E21" s="13">
        <v>42791.193090277775</v>
      </c>
      <c r="F21" s="13">
        <v>42791.198113425926</v>
      </c>
      <c r="G21" s="7">
        <v>1</v>
      </c>
      <c r="H21" s="21" t="s">
        <v>294</v>
      </c>
      <c r="I21" s="13">
        <v>42791.224236111113</v>
      </c>
      <c r="J21" s="7">
        <v>1</v>
      </c>
      <c r="K21" s="98" t="str">
        <f t="shared" si="0"/>
        <v>4053/4054</v>
      </c>
      <c r="L21" s="21" t="str">
        <f>VLOOKUP(A21,'Trips&amp;Operators'!$C$1:$G$99999,5,FALSE)</f>
        <v>SANTIZO D. EDY</v>
      </c>
      <c r="M21" s="6">
        <f t="shared" si="1"/>
        <v>2.6122685187146999E-2</v>
      </c>
      <c r="N21" s="7">
        <f t="shared" si="2"/>
        <v>37.616666669491678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-02-25T03:38:03-0700',mode:absolute,to:'2017-02-25T06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" s="197" t="str">
        <f t="shared" si="6"/>
        <v>N</v>
      </c>
      <c r="X21" s="197">
        <f t="shared" si="7"/>
        <v>1</v>
      </c>
      <c r="Y21" s="197">
        <f t="shared" si="8"/>
        <v>4.53E-2</v>
      </c>
      <c r="Z21" s="62">
        <f t="shared" si="9"/>
        <v>23.329499999999999</v>
      </c>
      <c r="AA21" s="62">
        <f t="shared" si="10"/>
        <v>23.284199999999998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0109-25</v>
      </c>
      <c r="AE21" s="85" t="str">
        <f t="shared" si="12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21" s="82" t="str">
        <f t="shared" si="13"/>
        <v>"C:\Program Files (x86)\AstroGrep\AstroGrep.exe" /spath="%USERPROFILE%\AppData\Local\Temp\OnboardLogs" /stypes="app*4053*20170225*"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109-25 --locoid 4053 --swversion DE.1.0.9.0 --startMP 204:453 --initTime 2017-02-25T04:38:03 --startdatetime 2017-02-25T04:45:17 --delay 1 --endMP 204:233295 --enddatetime 2017-02-25T05:22:54 --enforcementcount 1 &gt;&gt;C:\Users\stu\Documents\GitHub\eaglep3-reporting\EC\2017-02-25-refined-times.txt</v>
      </c>
      <c r="AI2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{"issue":{"subject":"","project_id":79,"tracker_id":40,"status_id":1,"priority_id":2,"assigned_to_id":23,"start_date":"2017-02-25","description":"","custom_fields":[{"id":1,"name":"Subdivision","value":"EC"},{"id":4,"name":"Milepost","value":"23.3295"},{"id":17,"name":"Train ID","value":"109-25"},{"id":16,"name":"Locomotive ID","value":"4053"},{"id":130,"name":"Impact","value":""},{"id":150,"name":"Time of Event (Mountain Time)","value":"05:22:54"},{"id":151,"name":"Denver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4053 --day 2017-02-25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453</v>
      </c>
      <c r="B22" s="7">
        <v>4054</v>
      </c>
      <c r="C22" s="21" t="s">
        <v>275</v>
      </c>
      <c r="D22" s="21" t="s">
        <v>242</v>
      </c>
      <c r="E22" s="13">
        <v>42791.225856481484</v>
      </c>
      <c r="F22" s="13">
        <v>42791.236979166664</v>
      </c>
      <c r="G22" s="7">
        <v>1</v>
      </c>
      <c r="H22" s="21" t="s">
        <v>198</v>
      </c>
      <c r="I22" s="13">
        <v>42791.264293981483</v>
      </c>
      <c r="J22" s="7">
        <v>1</v>
      </c>
      <c r="K22" s="98" t="str">
        <f t="shared" si="0"/>
        <v>4053/4054</v>
      </c>
      <c r="L22" s="21" t="str">
        <f>VLOOKUP(A22,'Trips&amp;Operators'!$C$1:$G$99999,5,FALSE)</f>
        <v>SANTIZO D. EDY</v>
      </c>
      <c r="M22" s="6">
        <f t="shared" si="1"/>
        <v>2.7314814818964805E-2</v>
      </c>
      <c r="N22" s="7">
        <f t="shared" si="2"/>
        <v>39.33333333930932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-02-25T04:25:14-0700',mode:absolute,to:'2017-02-25T07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" s="197" t="str">
        <f t="shared" si="6"/>
        <v>N</v>
      </c>
      <c r="X22" s="197">
        <f t="shared" si="7"/>
        <v>1</v>
      </c>
      <c r="Y22" s="197">
        <f t="shared" si="8"/>
        <v>23.299099999999999</v>
      </c>
      <c r="Z22" s="62">
        <f t="shared" si="9"/>
        <v>4.6199999999999998E-2</v>
      </c>
      <c r="AA22" s="62">
        <f t="shared" si="10"/>
        <v>23.2529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0110-25</v>
      </c>
      <c r="AE22" s="85" t="str">
        <f t="shared" si="12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22" s="82" t="str">
        <f t="shared" si="13"/>
        <v>"C:\Program Files (x86)\AstroGrep\AstroGrep.exe" /spath="%USERPROFILE%\AppData\Local\Temp\OnboardLogs" /stypes="app*4054*20170225*"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110-25 --locoid 4054 --swversion DE.1.0.9.0 --startMP 204:232991 --initTime 2017-02-25T05:25:14 --startdatetime 2017-02-25T05:41:15 --delay 1 --endMP 204:462 --enddatetime 2017-02-25T06:20:35 --enforcementcount 1 &gt;&gt;C:\Users\stu\Documents\GitHub\eaglep3-reporting\EC\2017-02-25-refined-times.txt</v>
      </c>
      <c r="AI2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{"issue":{"subject":"","project_id":79,"tracker_id":40,"status_id":1,"priority_id":2,"assigned_to_id":23,"start_date":"2017-02-25","description":"","custom_fields":[{"id":1,"name":"Subdivision","value":"EC"},{"id":4,"name":"Milepost","value":"0.0462"},{"id":17,"name":"Train ID","value":"110-25"},{"id":16,"name":"Locomotive ID","value":"4054"},{"id":130,"name":"Impact","value":""},{"id":150,"name":"Time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4054 --day 2017-02-25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454</v>
      </c>
      <c r="B23" s="7">
        <v>4046</v>
      </c>
      <c r="C23" s="21" t="s">
        <v>275</v>
      </c>
      <c r="D23" s="21" t="s">
        <v>455</v>
      </c>
      <c r="E23" s="13">
        <v>42791.206562500003</v>
      </c>
      <c r="F23" s="13">
        <v>42791.208622685182</v>
      </c>
      <c r="G23" s="7">
        <v>2</v>
      </c>
      <c r="H23" s="21" t="s">
        <v>456</v>
      </c>
      <c r="I23" s="13">
        <v>42791.233888888892</v>
      </c>
      <c r="J23" s="7">
        <v>1</v>
      </c>
      <c r="K23" s="98" t="str">
        <f t="shared" si="0"/>
        <v>4045/4046</v>
      </c>
      <c r="L23" s="21" t="str">
        <f>VLOOKUP(A23,'Trips&amp;Operators'!$C$1:$G$99999,5,FALSE)</f>
        <v>LOZA FIDEL</v>
      </c>
      <c r="M23" s="6">
        <f t="shared" si="1"/>
        <v>2.5266203709179536E-2</v>
      </c>
      <c r="N23" s="7">
        <f t="shared" si="2"/>
        <v>36.383333341218531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-02-25T03:57:27-0700',mode:absolute,to:'2017-02-25T06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97" t="str">
        <f t="shared" si="6"/>
        <v>N</v>
      </c>
      <c r="X23" s="197">
        <f t="shared" si="7"/>
        <v>1</v>
      </c>
      <c r="Y23" s="197">
        <f t="shared" si="8"/>
        <v>7.2099999999999997E-2</v>
      </c>
      <c r="Z23" s="62">
        <f t="shared" si="9"/>
        <v>23.328800000000001</v>
      </c>
      <c r="AA23" s="62">
        <f t="shared" si="10"/>
        <v>23.256700000000002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0111-25</v>
      </c>
      <c r="AE23" s="85" t="str">
        <f t="shared" si="12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23" s="82" t="str">
        <f t="shared" si="13"/>
        <v>"C:\Program Files (x86)\AstroGrep\AstroGrep.exe" /spath="%USERPROFILE%\AppData\Local\Temp\OnboardLogs" /stypes="app*4046*20170225*"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111-25 --locoid 4046 --swversion DE.1.0.9.0 --startMP 204:721 --initTime 2017-02-25T04:57:27 --startdatetime 2017-02-25T05:00:25 --delay 2 --endMP 204:233288 --enddatetime 2017-02-25T05:36:48 --enforcementcount 1 &gt;&gt;C:\Users\stu\Documents\GitHub\eaglep3-reporting\EC\2017-02-25-refined-times.txt</v>
      </c>
      <c r="AI23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{"issue":{"subject":"","project_id":79,"tracker_id":40,"status_id":1,"priority_id":2,"assigned_to_id":23,"start_date":"2017-02-25","description":"","custom_fields":[{"id":1,"name":"Subdivision","value":"EC"},{"id":4,"name":"Milepost","value":"23.3288"},{"id":17,"name":"Train ID","value":"111-25"},{"id":16,"name":"Locomotive ID","value":"4046"},{"id":130,"name":"Impact","value":""},{"id":150,"name":"Time of Event (Mountain Time)","value":"05:36:48"},{"id":151,"name":"Denver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4046 --day 2017-02-25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457</v>
      </c>
      <c r="B24" s="7">
        <v>4045</v>
      </c>
      <c r="C24" s="21" t="s">
        <v>275</v>
      </c>
      <c r="D24" s="21" t="s">
        <v>241</v>
      </c>
      <c r="E24" s="13">
        <v>42791.236215277779</v>
      </c>
      <c r="F24" s="13">
        <v>42791.247581018521</v>
      </c>
      <c r="G24" s="7">
        <v>1</v>
      </c>
      <c r="H24" s="21" t="s">
        <v>216</v>
      </c>
      <c r="I24" s="13">
        <v>42791.274722222224</v>
      </c>
      <c r="J24" s="7">
        <v>1</v>
      </c>
      <c r="K24" s="98" t="str">
        <f t="shared" si="0"/>
        <v>4045/4046</v>
      </c>
      <c r="L24" s="21" t="str">
        <f>VLOOKUP(A24,'Trips&amp;Operators'!$C$1:$G$99999,5,FALSE)</f>
        <v>LOZA FIDEL</v>
      </c>
      <c r="M24" s="6">
        <f t="shared" si="1"/>
        <v>2.7141203703649808E-2</v>
      </c>
      <c r="N24" s="7">
        <f t="shared" si="2"/>
        <v>39.083333333255723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-02-25T04:40:09-0700',mode:absolute,to:'2017-02-25T07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97" t="str">
        <f t="shared" si="6"/>
        <v>N</v>
      </c>
      <c r="X24" s="197">
        <f t="shared" si="7"/>
        <v>1</v>
      </c>
      <c r="Y24" s="197">
        <f t="shared" si="8"/>
        <v>23.297799999999999</v>
      </c>
      <c r="Z24" s="62">
        <f t="shared" si="9"/>
        <v>1.43E-2</v>
      </c>
      <c r="AA24" s="62">
        <f t="shared" si="10"/>
        <v>23.2835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0112-25</v>
      </c>
      <c r="AE24" s="85" t="str">
        <f t="shared" si="12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24" s="82" t="str">
        <f t="shared" si="13"/>
        <v>"C:\Program Files (x86)\AstroGrep\AstroGrep.exe" /spath="%USERPROFILE%\AppData\Local\Temp\OnboardLogs" /stypes="app*4045*20170225*"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112-25 --locoid 4045 --swversion DE.1.0.9.0 --startMP 204:232978 --initTime 2017-02-25T05:40:09 --startdatetime 2017-02-25T05:56:31 --delay 1 --endMP 204:143 --enddatetime 2017-02-25T06:35:36 --enforcementcount 1 &gt;&gt;C:\Users\stu\Documents\GitHub\eaglep3-reporting\EC\2017-02-25-refined-times.txt</v>
      </c>
      <c r="AI2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{"issue":{"subject":"","project_id":79,"tracker_id":40,"status_id":1,"priority_id":2,"assigned_to_id":23,"start_date":"2017-02-25","description":"","custom_fields":[{"id":1,"name":"Subdivision","value":"EC"},{"id":4,"name":"Milepost","value":"0.0143"},{"id":17,"name":"Train ID","value":"112-25"},{"id":16,"name":"Locomotive ID","value":"4045"},{"id":130,"name":"Impact","value":""},{"id":150,"name":"Time of Event (Mountain Time)","value":"06:35:36"},{"id":151,"name":"Denver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4045 --day 2017-02-25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458</v>
      </c>
      <c r="B25" s="7">
        <v>4006</v>
      </c>
      <c r="C25" s="21" t="s">
        <v>275</v>
      </c>
      <c r="D25" s="21" t="s">
        <v>459</v>
      </c>
      <c r="E25" s="13">
        <v>42791.207152777781</v>
      </c>
      <c r="F25" s="13">
        <v>42791.218900462962</v>
      </c>
      <c r="G25" s="7">
        <v>1</v>
      </c>
      <c r="H25" s="21" t="s">
        <v>460</v>
      </c>
      <c r="I25" s="13">
        <v>42791.246099537035</v>
      </c>
      <c r="J25" s="7">
        <v>1</v>
      </c>
      <c r="K25" s="98" t="str">
        <f t="shared" si="0"/>
        <v>4005/4006</v>
      </c>
      <c r="L25" s="21" t="str">
        <f>VLOOKUP(A25,'Trips&amp;Operators'!$C$1:$G$99999,5,FALSE)</f>
        <v>BADERTSCHER DIANE</v>
      </c>
      <c r="M25" s="6">
        <f t="shared" si="1"/>
        <v>2.7199074072996154E-2</v>
      </c>
      <c r="N25" s="7">
        <f t="shared" si="2"/>
        <v>39.166666665114462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-02-25T03:58:18-0700',mode:absolute,to:'2017-02-25T06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197" t="str">
        <f t="shared" si="6"/>
        <v>N</v>
      </c>
      <c r="X25" s="197">
        <f t="shared" si="7"/>
        <v>1</v>
      </c>
      <c r="Y25" s="197">
        <f t="shared" si="8"/>
        <v>5.1299999999999998E-2</v>
      </c>
      <c r="Z25" s="62">
        <f t="shared" si="9"/>
        <v>23.3278</v>
      </c>
      <c r="AA25" s="62">
        <f t="shared" si="10"/>
        <v>23.276499999999999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0113-25</v>
      </c>
      <c r="AE25" s="85" t="str">
        <f t="shared" si="12"/>
        <v>aws s3 cp s3://rtdc.mdm.uploadarchive.raw/RTDC4006/ "%USERPROFILE%\AppData\Local\Temp\OnboardLogs"\RTDC4006\2017-02-25 --exclude "*" --recursive --include "*20170225*" &amp; "%USERPROFILE%\Documents\GitHub\mrs-test-scripts\Headless Mode &amp; Sideloading\WalkAndUnGZ.bat" "%USERPROFILE%\AppData\Local\Temp\OnboardLogs"\RTDC4006\2017-02-25 &amp; aws s3 cp s3://rtdc.mdm.uploadarchive.raw/RTDC4006/ "%USERPROFILE%\AppData\Local\Temp\OnboardLogs"\RTDC4006\2017-02-26 --exclude "*" --recursive --include "*20170226*" &amp; "%USERPROFILE%\Documents\GitHub\mrs-test-scripts\Headless Mode &amp; Sideloading\WalkAndUnGZ.bat" "%USERPROFILE%\AppData\Local\Temp\OnboardLogs"\RTDC4006\2017-02-26</v>
      </c>
      <c r="AF25" s="82" t="str">
        <f t="shared" si="13"/>
        <v>"C:\Program Files (x86)\AstroGrep\AstroGrep.exe" /spath="%USERPROFILE%\AppData\Local\Temp\OnboardLogs" /stypes="app*4006*20170225*"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113-25 --locoid 4006 --swversion DE.1.0.9.0 --startMP 204:513 --initTime 2017-02-25T04:58:18 --startdatetime 2017-02-25T05:15:13 --delay 1 --endMP 204:233278 --enddatetime 2017-02-25T05:54:23 --enforcementcount 1 &gt;&gt;C:\Users\stu\Documents\GitHub\eaglep3-reporting\EC\2017-02-25-refined-times.txt</v>
      </c>
      <c r="AI2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{"issue":{"subject":"","project_id":79,"tracker_id":40,"status_id":1,"priority_id":2,"assigned_to_id":23,"start_date":"2017-02-25","description":"","custom_fields":[{"id":1,"name":"Subdivision","value":"EC"},{"id":4,"name":"Milepost","value":"23.3278"},{"id":17,"name":"Train ID","value":"113-25"},{"id":16,"name":"Locomotive ID","value":"4006"},{"id":130,"name":"Impact","value":""},{"id":150,"name":"Time of Event (Mountain Time)","value":"05:54:23"},{"id":151,"name":"Denver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4006 --day 2017-02-25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"%USERPROFILE%\AppData\Local\Temp\OnboardLogs"\RTDC4006\*4006*20170225* | grep -SE "(Enforcement Action)|(\[TIMEOUT)|(CHR.+\|PRM\|1\|D.+(SWITCH|SIGNAL).+UNKNOWN)" - &gt;&gt; 2017-02-25-UncaughtWiMAX.txt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399</v>
      </c>
      <c r="B26" s="7">
        <v>4005</v>
      </c>
      <c r="C26" s="21" t="s">
        <v>275</v>
      </c>
      <c r="D26" s="21" t="s">
        <v>461</v>
      </c>
      <c r="E26" s="13">
        <v>42791.25167824074</v>
      </c>
      <c r="F26" s="13">
        <v>42791.258101851854</v>
      </c>
      <c r="G26" s="7">
        <v>2</v>
      </c>
      <c r="H26" s="21" t="s">
        <v>462</v>
      </c>
      <c r="I26" s="13">
        <v>42791.285925925928</v>
      </c>
      <c r="J26" s="7">
        <v>1</v>
      </c>
      <c r="K26" s="98" t="str">
        <f t="shared" si="0"/>
        <v>4005/4006</v>
      </c>
      <c r="L26" s="21" t="str">
        <f>VLOOKUP(A26,'Trips&amp;Operators'!$C$1:$G$99999,5,FALSE)</f>
        <v>BADERTSCHER DIANE</v>
      </c>
      <c r="M26" s="6">
        <f t="shared" si="1"/>
        <v>2.7824074073578231E-2</v>
      </c>
      <c r="N26" s="7">
        <f t="shared" si="2"/>
        <v>40.066666665952653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-02-25T05:02:25-0700',mode:absolute,to:'2017-02-25T07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197" t="str">
        <f t="shared" si="6"/>
        <v>N</v>
      </c>
      <c r="X26" s="197">
        <f t="shared" si="7"/>
        <v>1</v>
      </c>
      <c r="Y26" s="197">
        <f t="shared" si="8"/>
        <v>23.296600000000002</v>
      </c>
      <c r="Z26" s="62">
        <f t="shared" si="9"/>
        <v>0.1182</v>
      </c>
      <c r="AA26" s="62">
        <f t="shared" si="10"/>
        <v>23.1784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0114-25</v>
      </c>
      <c r="AE26" s="85" t="str">
        <f t="shared" si="12"/>
        <v>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 &amp; aws s3 cp s3://rtdc.mdm.uploadarchive.raw/RTDC4005/ "%USERPROFILE%\AppData\Local\Temp\OnboardLogs"\RTDC4005\2017-02-26 --exclude "*" --recursive --include "*20170226*" &amp; "%USERPROFILE%\Documents\GitHub\mrs-test-scripts\Headless Mode &amp; Sideloading\WalkAndUnGZ.bat" "%USERPROFILE%\AppData\Local\Temp\OnboardLogs"\RTDC4005\2017-02-26</v>
      </c>
      <c r="AF26" s="82" t="str">
        <f t="shared" si="13"/>
        <v>"C:\Program Files (x86)\AstroGrep\AstroGrep.exe" /spath="%USERPROFILE%\AppData\Local\Temp\OnboardLogs" /stypes="app*4005*20170225*"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114-25 --locoid 4005 --swversion DE.1.0.9.0 --startMP 204:232966 --initTime 2017-02-25T06:02:25 --startdatetime 2017-02-25T06:11:40 --delay 2 --endMP 204:1182 --enddatetime 2017-02-25T06:51:44 --enforcementcount 1 &gt;&gt;C:\Users\stu\Documents\GitHub\eaglep3-reporting\EC\2017-02-25-refined-times.txt</v>
      </c>
      <c r="AI2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{"issue":{"subject":"","project_id":79,"tracker_id":40,"status_id":1,"priority_id":2,"assigned_to_id":23,"start_date":"2017-02-25","description":"","custom_fields":[{"id":1,"name":"Subdivision","value":"EC"},{"id":4,"name":"Milepost","value":"0.1182"},{"id":17,"name":"Train ID","value":"114-25"},{"id":16,"name":"Locomotive ID","value":"4005"},{"id":130,"name":"Impact","value":""},{"id":150,"name":"Time of Event (Mountain Time)","value":"06:51:44"},{"id":151,"name":"Denver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4005 --day 2017-02-25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"%USERPROFILE%\AppData\Local\Temp\OnboardLogs"\RTDC4005\*4005*20170225* | grep -SE "(Enforcement Action)|(\[TIMEOUT)|(CHR.+\|PRM\|1\|D.+(SWITCH|SIGNAL).+UNKNOWN)" - &gt;&gt; 2017-02-25-UncaughtWiMAX.txt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463</v>
      </c>
      <c r="B27" s="7">
        <v>4051</v>
      </c>
      <c r="C27" s="21" t="s">
        <v>275</v>
      </c>
      <c r="D27" s="21" t="s">
        <v>464</v>
      </c>
      <c r="E27" s="13">
        <v>42791.226053240738</v>
      </c>
      <c r="F27" s="13">
        <v>42791.229363425926</v>
      </c>
      <c r="G27" s="7">
        <v>1</v>
      </c>
      <c r="H27" s="21" t="s">
        <v>460</v>
      </c>
      <c r="I27" s="13">
        <v>42791.25409722222</v>
      </c>
      <c r="J27" s="7">
        <v>1</v>
      </c>
      <c r="K27" s="98" t="str">
        <f t="shared" si="0"/>
        <v>4051/4052</v>
      </c>
      <c r="L27" s="21" t="str">
        <f>VLOOKUP(A27,'Trips&amp;Operators'!$C$1:$G$99999,5,FALSE)</f>
        <v>GEBRETEKLE DAGNEW</v>
      </c>
      <c r="M27" s="6">
        <f t="shared" si="1"/>
        <v>2.4733796293730848E-2</v>
      </c>
      <c r="N27" s="7">
        <f t="shared" si="2"/>
        <v>35.61666666297242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-02-25T04:25:31-0700',mode:absolute,to:'2017-02-25T07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7" s="197" t="str">
        <f t="shared" si="6"/>
        <v>N</v>
      </c>
      <c r="X27" s="197">
        <f t="shared" si="7"/>
        <v>1</v>
      </c>
      <c r="Y27" s="197">
        <f t="shared" si="8"/>
        <v>7.3499999999999996E-2</v>
      </c>
      <c r="Z27" s="62">
        <f t="shared" si="9"/>
        <v>23.3278</v>
      </c>
      <c r="AA27" s="62">
        <f t="shared" si="10"/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0115-25</v>
      </c>
      <c r="AE27" s="85" t="str">
        <f t="shared" si="12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27" s="82" t="str">
        <f t="shared" si="13"/>
        <v>"C:\Program Files (x86)\AstroGrep\AstroGrep.exe" /spath="%USERPROFILE%\AppData\Local\Temp\OnboardLogs" /stypes="app*4051*20170225*"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115-25 --locoid 4051 --swversion DE.1.0.9.0 --startMP 204:735 --initTime 2017-02-25T05:25:31 --startdatetime 2017-02-25T05:30:17 --delay 1 --endMP 204:233278 --enddatetime 2017-02-25T06:05:54 --enforcementcount 1 &gt;&gt;C:\Users\stu\Documents\GitHub\eaglep3-reporting\EC\2017-02-25-refined-times.txt</v>
      </c>
      <c r="AI2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{"issue":{"subject":"","project_id":79,"tracker_id":40,"status_id":1,"priority_id":2,"assigned_to_id":23,"start_date":"2017-02-25","description":"","custom_fields":[{"id":1,"name":"Subdivision","value":"EC"},{"id":4,"name":"Milepost","value":"23.3278"},{"id":17,"name":"Train ID","value":"115-25"},{"id":16,"name":"Locomotive ID","value":"4051"},{"id":130,"name":"Impact","value":""},{"id":150,"name":"Time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4051 --day 2017-02-25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465</v>
      </c>
      <c r="B28" s="7">
        <v>4052</v>
      </c>
      <c r="C28" s="21" t="s">
        <v>275</v>
      </c>
      <c r="D28" s="21" t="s">
        <v>283</v>
      </c>
      <c r="E28" s="13">
        <v>42791.264606481483</v>
      </c>
      <c r="F28" s="13">
        <v>42791.268229166664</v>
      </c>
      <c r="G28" s="7">
        <v>1</v>
      </c>
      <c r="H28" s="21" t="s">
        <v>268</v>
      </c>
      <c r="I28" s="13">
        <v>42791.295567129629</v>
      </c>
      <c r="J28" s="7">
        <v>1</v>
      </c>
      <c r="K28" s="98" t="str">
        <f t="shared" si="0"/>
        <v>4051/4052</v>
      </c>
      <c r="L28" s="21" t="str">
        <f>VLOOKUP(A28,'Trips&amp;Operators'!$C$1:$G$99999,5,FALSE)</f>
        <v>GEBRETEKLE DAGNEW</v>
      </c>
      <c r="M28" s="6">
        <f t="shared" si="1"/>
        <v>2.7337962965248153E-2</v>
      </c>
      <c r="N28" s="7">
        <f t="shared" si="2"/>
        <v>39.36666666995734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-02-25T05:21:02-0700',mode:absolute,to:'2017-02-25T08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8" s="197" t="str">
        <f t="shared" si="6"/>
        <v>N</v>
      </c>
      <c r="X28" s="197">
        <f t="shared" si="7"/>
        <v>1</v>
      </c>
      <c r="Y28" s="197">
        <f t="shared" si="8"/>
        <v>23.2971</v>
      </c>
      <c r="Z28" s="62">
        <f t="shared" si="9"/>
        <v>1.6299999999999999E-2</v>
      </c>
      <c r="AA28" s="62">
        <f t="shared" si="10"/>
        <v>23.280799999999999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0116-25</v>
      </c>
      <c r="AE28" s="85" t="str">
        <f t="shared" si="12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28" s="82" t="str">
        <f t="shared" si="13"/>
        <v>"C:\Program Files (x86)\AstroGrep\AstroGrep.exe" /spath="%USERPROFILE%\AppData\Local\Temp\OnboardLogs" /stypes="app*4052*20170225*"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116-25 --locoid 4052 --swversion DE.1.0.9.0 --startMP 204:232971 --initTime 2017-02-25T06:21:02 --startdatetime 2017-02-25T06:26:15 --delay 1 --endMP 204:163 --enddatetime 2017-02-25T07:05:37 --enforcementcount 1 &gt;&gt;C:\Users\stu\Documents\GitHub\eaglep3-reporting\EC\2017-02-25-refined-times.txt</v>
      </c>
      <c r="AI2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{"issue":{"subject":"","project_id":79,"tracker_id":40,"status_id":1,"priority_id":2,"assigned_to_id":23,"start_date":"2017-02-25","description":"","custom_fields":[{"id":1,"name":"Subdivision","value":"EC"},{"id":4,"name":"Milepost","value":"0.0163"},{"id":17,"name":"Train ID","value":"116-25"},{"id":16,"name":"Locomotive ID","value":"4052"},{"id":130,"name":"Impact","value":""},{"id":150,"name":"Time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4052 --day 2017-02-25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466</v>
      </c>
      <c r="B29" s="7">
        <v>4027</v>
      </c>
      <c r="C29" s="21" t="s">
        <v>275</v>
      </c>
      <c r="D29" s="21" t="s">
        <v>260</v>
      </c>
      <c r="E29" s="13">
        <v>42791.230578703704</v>
      </c>
      <c r="F29" s="13">
        <v>42791.239722222221</v>
      </c>
      <c r="G29" s="7">
        <v>1</v>
      </c>
      <c r="H29" s="21" t="s">
        <v>467</v>
      </c>
      <c r="I29" s="13">
        <v>42791.265532407408</v>
      </c>
      <c r="J29" s="7">
        <v>1</v>
      </c>
      <c r="K29" s="98" t="str">
        <f t="shared" si="0"/>
        <v>4027/4028</v>
      </c>
      <c r="L29" s="21" t="str">
        <f>VLOOKUP(A29,'Trips&amp;Operators'!$C$1:$G$99999,5,FALSE)</f>
        <v>ROBINSON KADDIBA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-02-25T04:32:02-0700',mode:absolute,to:'2017-02-25T07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9" s="197" t="str">
        <f t="shared" si="6"/>
        <v>N</v>
      </c>
      <c r="X29" s="197">
        <f t="shared" si="7"/>
        <v>1</v>
      </c>
      <c r="Y29" s="197">
        <f t="shared" si="8"/>
        <v>4.3099999999999999E-2</v>
      </c>
      <c r="Z29" s="62">
        <f t="shared" si="9"/>
        <v>23.331900000000001</v>
      </c>
      <c r="AA29" s="62">
        <f t="shared" si="10"/>
        <v>23.288800000000002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0117-25</v>
      </c>
      <c r="AE29" s="85" t="str">
        <f t="shared" si="12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29" s="82" t="str">
        <f t="shared" si="13"/>
        <v>"C:\Program Files (x86)\AstroGrep\AstroGrep.exe" /spath="%USERPROFILE%\AppData\Local\Temp\OnboardLogs" /stypes="app*4027*20170225*"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117-25 --locoid 4027 --swversion DE.1.0.9.0 --startMP 204:431 --initTime 2017-02-25T05:32:02 --startdatetime 2017-02-25T05:45:12 --delay 1 --endMP 204:233319 --enddatetime 2017-02-25T06:22:22 --enforcementcount 1 &gt;&gt;C:\Users\stu\Documents\GitHub\eaglep3-reporting\EC\2017-02-25-refined-times.txt</v>
      </c>
      <c r="AI2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{"issue":{"subject":"","project_id":79,"tracker_id":40,"status_id":1,"priority_id":2,"assigned_to_id":23,"start_date":"2017-02-25","description":"","custom_fields":[{"id":1,"name":"Subdivision","value":"EC"},{"id":4,"name":"Milepost","value":"23.3319"},{"id":17,"name":"Train ID","value":"117-25"},{"id":16,"name":"Locomotive ID","value":"4027"},{"id":130,"name":"Impact","value":""},{"id":150,"name":"Time of Event (Mountain Time)","value":"06:22:22"},{"id":151,"name":"Denver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4027 --day 2017-02-25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468</v>
      </c>
      <c r="B30" s="7">
        <v>4028</v>
      </c>
      <c r="C30" s="21" t="s">
        <v>275</v>
      </c>
      <c r="D30" s="21" t="s">
        <v>304</v>
      </c>
      <c r="E30" s="13">
        <v>42791.274305555555</v>
      </c>
      <c r="F30" s="13">
        <v>42791.278622685182</v>
      </c>
      <c r="G30" s="7">
        <v>1</v>
      </c>
      <c r="H30" s="21" t="s">
        <v>192</v>
      </c>
      <c r="I30" s="13">
        <v>42791.305821759262</v>
      </c>
      <c r="J30" s="7">
        <v>1</v>
      </c>
      <c r="K30" s="98" t="str">
        <f t="shared" si="0"/>
        <v>4027/4028</v>
      </c>
      <c r="L30" s="21" t="str">
        <f>VLOOKUP(A30,'Trips&amp;Operators'!$C$1:$G$99999,5,FALSE)</f>
        <v>ROBINSON KADDIBA</v>
      </c>
      <c r="M30" s="6">
        <f t="shared" si="1"/>
        <v>2.7199074080272112E-2</v>
      </c>
      <c r="N30" s="7">
        <f t="shared" si="2"/>
        <v>39.166666675591841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-02-25T05:35:00-0700',mode:absolute,to:'2017-02-25T08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197" t="str">
        <f t="shared" si="6"/>
        <v>N</v>
      </c>
      <c r="X30" s="197">
        <f t="shared" si="7"/>
        <v>1</v>
      </c>
      <c r="Y30" s="197">
        <f t="shared" si="8"/>
        <v>23.3002</v>
      </c>
      <c r="Z30" s="62">
        <f t="shared" si="9"/>
        <v>1.4500000000000001E-2</v>
      </c>
      <c r="AA30" s="62">
        <f t="shared" si="10"/>
        <v>23.285699999999999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0118-25</v>
      </c>
      <c r="AE30" s="85" t="str">
        <f t="shared" si="12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30" s="82" t="str">
        <f t="shared" si="13"/>
        <v>"C:\Program Files (x86)\AstroGrep\AstroGrep.exe" /spath="%USERPROFILE%\AppData\Local\Temp\OnboardLogs" /stypes="app*4028*20170225*"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118-25 --locoid 4028 --swversion DE.1.0.9.0 --startMP 204:233002 --initTime 2017-02-25T06:35:00 --startdatetime 2017-02-25T06:41:13 --delay 1 --endMP 204:145 --enddatetime 2017-02-25T07:20:23 --enforcementcount 1 &gt;&gt;C:\Users\stu\Documents\GitHub\eaglep3-reporting\EC\2017-02-25-refined-times.txt</v>
      </c>
      <c r="AI3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{"issue":{"subject":"","project_id":79,"tracker_id":40,"status_id":1,"priority_id":2,"assigned_to_id":23,"start_date":"2017-02-25","description":"","custom_fields":[{"id":1,"name":"Subdivision","value":"EC"},{"id":4,"name":"Milepost","value":"0.0145"},{"id":17,"name":"Train ID","value":"118-25"},{"id":16,"name":"Locomotive ID","value":"4028"},{"id":130,"name":"Impact","value":""},{"id":150,"name":"Time of Event (Mountain Time)","value":"07:20:23"},{"id":151,"name":"Denver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4028 --day 2017-02-25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469</v>
      </c>
      <c r="B31" s="7">
        <v>4020</v>
      </c>
      <c r="C31" s="21" t="s">
        <v>275</v>
      </c>
      <c r="D31" s="21" t="s">
        <v>470</v>
      </c>
      <c r="E31" s="13">
        <v>42791.246099537035</v>
      </c>
      <c r="F31" s="13">
        <v>42791.251145833332</v>
      </c>
      <c r="G31" s="7">
        <v>5</v>
      </c>
      <c r="H31" s="21" t="s">
        <v>471</v>
      </c>
      <c r="I31" s="13">
        <v>42791.275578703702</v>
      </c>
      <c r="J31" s="7">
        <v>1</v>
      </c>
      <c r="K31" s="98" t="str">
        <f t="shared" si="0"/>
        <v>4019/4020</v>
      </c>
      <c r="L31" s="21" t="str">
        <f>VLOOKUP(A31,'Trips&amp;Operators'!$C$1:$G$99999,5,FALSE)</f>
        <v>DE LA ROSA ALEX</v>
      </c>
      <c r="M31" s="6">
        <f t="shared" si="1"/>
        <v>2.4432870370219462E-2</v>
      </c>
      <c r="N31" s="7">
        <f t="shared" si="2"/>
        <v>35.183333333116025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-02-25T04:54:23-0700',mode:absolute,to:'2017-02-25T07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97" t="str">
        <f t="shared" si="6"/>
        <v>N</v>
      </c>
      <c r="X31" s="197">
        <f t="shared" si="7"/>
        <v>1</v>
      </c>
      <c r="Y31" s="197">
        <f t="shared" si="8"/>
        <v>7.1900000000000006E-2</v>
      </c>
      <c r="Z31" s="62">
        <f t="shared" si="9"/>
        <v>23.3291</v>
      </c>
      <c r="AA31" s="62">
        <f t="shared" si="10"/>
        <v>23.257200000000001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0119-25</v>
      </c>
      <c r="AE31" s="85" t="str">
        <f t="shared" si="12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31" s="82" t="str">
        <f t="shared" si="13"/>
        <v>"C:\Program Files (x86)\AstroGrep\AstroGrep.exe" /spath="%USERPROFILE%\AppData\Local\Temp\OnboardLogs" /stypes="app*4020*20170225*"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119-25 --locoid 4020 --swversion DE.1.0.9.0 --startMP 204:719 --initTime 2017-02-25T05:54:23 --startdatetime 2017-02-25T06:01:39 --delay 5 --endMP 204:233291 --enddatetime 2017-02-25T06:36:50 --enforcementcount 1 &gt;&gt;C:\Users\stu\Documents\GitHub\eaglep3-reporting\EC\2017-02-25-refined-times.txt</v>
      </c>
      <c r="AI3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{"issue":{"subject":"","project_id":79,"tracker_id":40,"status_id":1,"priority_id":2,"assigned_to_id":23,"start_date":"2017-02-25","description":"","custom_fields":[{"id":1,"name":"Subdivision","value":"EC"},{"id":4,"name":"Milepost","value":"23.3291"},{"id":17,"name":"Train ID","value":"119-25"},{"id":16,"name":"Locomotive ID","value":"4020"},{"id":130,"name":"Impact","value":""},{"id":150,"name":"Time of Event (Mountain Time)","value":"06:36:50"},{"id":151,"name":"Denver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4020 --day 2017-02-25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472</v>
      </c>
      <c r="B32" s="7">
        <v>4019</v>
      </c>
      <c r="C32" s="21" t="s">
        <v>275</v>
      </c>
      <c r="D32" s="21" t="s">
        <v>283</v>
      </c>
      <c r="E32" s="13">
        <v>42791.286782407406</v>
      </c>
      <c r="F32" s="13">
        <v>42791.289120370369</v>
      </c>
      <c r="G32" s="7">
        <v>1</v>
      </c>
      <c r="H32" s="21" t="s">
        <v>258</v>
      </c>
      <c r="I32" s="13">
        <v>42791.31590277778</v>
      </c>
      <c r="J32" s="7">
        <v>1</v>
      </c>
      <c r="K32" s="98" t="str">
        <f t="shared" si="0"/>
        <v>4019/4020</v>
      </c>
      <c r="L32" s="21" t="str">
        <f>VLOOKUP(A32,'Trips&amp;Operators'!$C$1:$G$99999,5,FALSE)</f>
        <v>DE LA ROSA ALEX</v>
      </c>
      <c r="M32" s="6">
        <f t="shared" si="1"/>
        <v>2.6782407410792075E-2</v>
      </c>
      <c r="N32" s="7">
        <f t="shared" si="2"/>
        <v>38.566666671540588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-02-25T05:52:58-0700',mode:absolute,to:'2017-02-25T08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97" t="str">
        <f t="shared" si="6"/>
        <v>N</v>
      </c>
      <c r="X32" s="197">
        <f t="shared" si="7"/>
        <v>1</v>
      </c>
      <c r="Y32" s="197">
        <f t="shared" si="8"/>
        <v>23.2971</v>
      </c>
      <c r="Z32" s="62">
        <f t="shared" si="9"/>
        <v>1.47E-2</v>
      </c>
      <c r="AA32" s="62">
        <f t="shared" si="10"/>
        <v>23.282399999999999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0120-25</v>
      </c>
      <c r="AE32" s="85" t="str">
        <f t="shared" si="12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32" s="82" t="str">
        <f t="shared" si="13"/>
        <v>"C:\Program Files (x86)\AstroGrep\AstroGrep.exe" /spath="%USERPROFILE%\AppData\Local\Temp\OnboardLogs" /stypes="app*4019*20170225*"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120-25 --locoid 4019 --swversion DE.1.0.9.0 --startMP 204:232971 --initTime 2017-02-25T06:52:58 --startdatetime 2017-02-25T06:56:20 --delay 1 --endMP 204:147 --enddatetime 2017-02-25T07:34:54 --enforcementcount 1 &gt;&gt;C:\Users\stu\Documents\GitHub\eaglep3-reporting\EC\2017-02-25-refined-times.txt</v>
      </c>
      <c r="AI3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ID","value":"120-25"},{"id":16,"name":"Locomotive ID","value":"4019"},{"id":130,"name":"Impact","value":""},{"id":150,"name":"Time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4019 --day 2017-02-25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398</v>
      </c>
      <c r="B33" s="7">
        <v>4044</v>
      </c>
      <c r="C33" s="21" t="s">
        <v>275</v>
      </c>
      <c r="D33" s="21" t="s">
        <v>238</v>
      </c>
      <c r="E33" s="13">
        <v>42791.257280092592</v>
      </c>
      <c r="F33" s="13">
        <v>42791.26059027778</v>
      </c>
      <c r="G33" s="7">
        <v>1</v>
      </c>
      <c r="H33" s="21" t="s">
        <v>473</v>
      </c>
      <c r="I33" s="13">
        <v>42791.286817129629</v>
      </c>
      <c r="J33" s="7">
        <v>1</v>
      </c>
      <c r="K33" s="98" t="str">
        <f t="shared" si="0"/>
        <v>4043/4044</v>
      </c>
      <c r="L33" s="21" t="str">
        <f>VLOOKUP(A33,'Trips&amp;Operators'!$C$1:$G$99999,5,FALSE)</f>
        <v>BRANDNER MELINDA</v>
      </c>
      <c r="M33" s="6">
        <f t="shared" si="1"/>
        <v>2.622685184906004E-2</v>
      </c>
      <c r="N33" s="7">
        <f t="shared" si="2"/>
        <v>37.766666662646458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-02-25T05:10:29-0700',mode:absolute,to:'2017-02-25T07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 t="shared" si="6"/>
        <v>N</v>
      </c>
      <c r="X33" s="197">
        <f t="shared" si="7"/>
        <v>1</v>
      </c>
      <c r="Y33" s="197">
        <f t="shared" si="8"/>
        <v>4.5499999999999999E-2</v>
      </c>
      <c r="Z33" s="62">
        <f t="shared" si="9"/>
        <v>23.328099999999999</v>
      </c>
      <c r="AA33" s="62">
        <f t="shared" si="10"/>
        <v>23.282599999999999</v>
      </c>
      <c r="AB33" s="59" t="str">
        <f>VLOOKUP(A33,Enforcements!$C$7:$K$13,8,0)</f>
        <v>Bulletin (2)</v>
      </c>
      <c r="AC33" s="55" t="str">
        <f>VLOOKUP(A33,Enforcements!$C$7:$E$13,3,0)</f>
        <v>GRADE CROSSING</v>
      </c>
      <c r="AD33" s="56" t="str">
        <f t="shared" si="11"/>
        <v>0121-25</v>
      </c>
      <c r="AE33" s="85" t="str">
        <f t="shared" si="12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33" s="82" t="str">
        <f t="shared" si="13"/>
        <v>"C:\Program Files (x86)\AstroGrep\AstroGrep.exe" /spath="%USERPROFILE%\AppData\Local\Temp\OnboardLogs" /stypes="app*4044*20170225*"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121-25 --locoid 4044 --swversion DE.1.0.9.0 --startMP 204:455 --initTime 2017-02-25T06:10:29 --startdatetime 2017-02-25T06:15:15 --delay 1 --endMP 204:233281 --enddatetime 2017-02-25T06:53:01 --enforcementcount 1 &gt;&gt;C:\Users\stu\Documents\GitHub\eaglep3-reporting\EC\2017-02-25-refined-times.txt</v>
      </c>
      <c r="AI33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{"issue":{"subject":"","project_id":79,"tracker_id":40,"status_id":1,"priority_id":2,"assigned_to_id":23,"start_date":"2017-02-25","description":"","custom_fields":[{"id":1,"name":"Subdivision","value":"EC"},{"id":4,"name":"Milepost","value":"23.3281"},{"id":17,"name":"Train ID","value":"121-25"},{"id":16,"name":"Locomotive ID","value":"4044"},{"id":130,"name":"Impact","value":""},{"id":150,"name":"Time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4044 --day 2017-02-25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401</v>
      </c>
      <c r="B34" s="7">
        <v>4043</v>
      </c>
      <c r="C34" s="21" t="s">
        <v>275</v>
      </c>
      <c r="D34" s="21" t="s">
        <v>461</v>
      </c>
      <c r="E34" s="13">
        <v>42791.293854166666</v>
      </c>
      <c r="F34" s="13">
        <v>42791.299618055556</v>
      </c>
      <c r="G34" s="7">
        <v>1</v>
      </c>
      <c r="H34" s="21" t="s">
        <v>254</v>
      </c>
      <c r="I34" s="13">
        <v>42791.327407407407</v>
      </c>
      <c r="J34" s="7">
        <v>1</v>
      </c>
      <c r="K34" s="98" t="str">
        <f t="shared" si="0"/>
        <v>4043/4044</v>
      </c>
      <c r="L34" s="21" t="str">
        <f>VLOOKUP(A34,'Trips&amp;Operators'!$C$1:$G$99999,5,FALSE)</f>
        <v>BRANDNER MELINDA</v>
      </c>
      <c r="M34" s="6">
        <f t="shared" si="1"/>
        <v>2.7789351850515231E-2</v>
      </c>
      <c r="N34" s="7">
        <f t="shared" si="2"/>
        <v>40.016666664741933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-02-25T06:03:09-0700',mode:absolute,to:'2017-02-25T08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 t="shared" si="6"/>
        <v>N</v>
      </c>
      <c r="X34" s="197">
        <f t="shared" si="7"/>
        <v>1</v>
      </c>
      <c r="Y34" s="197">
        <f t="shared" si="8"/>
        <v>23.296600000000002</v>
      </c>
      <c r="Z34" s="62">
        <f t="shared" si="9"/>
        <v>1.3599999999999999E-2</v>
      </c>
      <c r="AA34" s="62">
        <f t="shared" si="10"/>
        <v>23.283000000000001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0122-25</v>
      </c>
      <c r="AE34" s="85" t="str">
        <f t="shared" si="12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34" s="82" t="str">
        <f t="shared" si="13"/>
        <v>"C:\Program Files (x86)\AstroGrep\AstroGrep.exe" /spath="%USERPROFILE%\AppData\Local\Temp\OnboardLogs" /stypes="app*4043*20170225*"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122-25 --locoid 4043 --swversion DE.1.0.9.0 --startMP 204:232966 --initTime 2017-02-25T07:03:09 --startdatetime 2017-02-25T07:11:27 --delay 1 --endMP 204:136 --enddatetime 2017-02-25T07:51:28 --enforcementcount 1 &gt;&gt;C:\Users\stu\Documents\GitHub\eaglep3-reporting\EC\2017-02-25-refined-times.txt</v>
      </c>
      <c r="AI3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{"issue":{"subject":"","project_id":79,"tracker_id":40,"status_id":1,"priority_id":2,"assigned_to_id":23,"start_date":"2017-02-25","description":"","custom_fields":[{"id":1,"name":"Subdivision","value":"EC"},{"id":4,"name":"Milepost","value":"0.0136"},{"id":17,"name":"Train ID","value":"122-25"},{"id":16,"name":"Locomotive ID","value":"4043"},{"id":130,"name":"Impact","value":""},{"id":150,"name":"Time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4043 --day 2017-02-25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400</v>
      </c>
      <c r="B35" s="7">
        <v>4053</v>
      </c>
      <c r="C35" s="21" t="s">
        <v>275</v>
      </c>
      <c r="D35" s="21" t="s">
        <v>474</v>
      </c>
      <c r="E35" s="13">
        <v>42791.266006944446</v>
      </c>
      <c r="F35" s="13">
        <v>42791.271226851852</v>
      </c>
      <c r="G35" s="7">
        <v>1</v>
      </c>
      <c r="H35" s="21" t="s">
        <v>471</v>
      </c>
      <c r="I35" s="13">
        <v>42791.296111111114</v>
      </c>
      <c r="J35" s="7">
        <v>1</v>
      </c>
      <c r="K35" s="98" t="str">
        <f t="shared" si="0"/>
        <v>4053/4054</v>
      </c>
      <c r="L35" s="21" t="str">
        <f>VLOOKUP(A35,'Trips&amp;Operators'!$C$1:$G$99999,5,FALSE)</f>
        <v>SANTIZO D. EDY</v>
      </c>
      <c r="M35" s="6">
        <f t="shared" si="1"/>
        <v>2.4884259262762498E-2</v>
      </c>
      <c r="N35" s="7">
        <f t="shared" si="2"/>
        <v>35.833333338377997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-02-25T05:23:03-0700',mode:absolute,to:'2017-02-25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5" s="197" t="str">
        <f t="shared" si="6"/>
        <v>N</v>
      </c>
      <c r="X35" s="197">
        <f t="shared" si="7"/>
        <v>1</v>
      </c>
      <c r="Y35" s="197">
        <f t="shared" si="8"/>
        <v>7.3899999999999993E-2</v>
      </c>
      <c r="Z35" s="62">
        <f t="shared" si="9"/>
        <v>23.3291</v>
      </c>
      <c r="AA35" s="62">
        <f t="shared" si="10"/>
        <v>23.255200000000002</v>
      </c>
      <c r="AB35" s="59" t="str">
        <f>VLOOKUP(A35,Enforcements!$C$7:$K$13,8,0)</f>
        <v>Bulletin (2)</v>
      </c>
      <c r="AC35" s="55" t="str">
        <f>VLOOKUP(A35,Enforcements!$C$7:$E$13,3,0)</f>
        <v>GRADE CROSSING</v>
      </c>
      <c r="AD35" s="56" t="str">
        <f t="shared" si="11"/>
        <v>0123-25</v>
      </c>
      <c r="AE35" s="85" t="str">
        <f t="shared" si="12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35" s="82" t="str">
        <f t="shared" si="13"/>
        <v>"C:\Program Files (x86)\AstroGrep\AstroGrep.exe" /spath="%USERPROFILE%\AppData\Local\Temp\OnboardLogs" /stypes="app*4053*20170225*"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123-25 --locoid 4053 --swversion DE.1.0.9.0 --startMP 204:739 --initTime 2017-02-25T06:23:03 --startdatetime 2017-02-25T06:30:34 --delay 1 --endMP 204:233291 --enddatetime 2017-02-25T07:06:24 --enforcementcount 1 &gt;&gt;C:\Users\stu\Documents\GitHub\eaglep3-reporting\EC\2017-02-25-refined-times.txt</v>
      </c>
      <c r="AI3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{"issue":{"subject":"","project_id":79,"tracker_id":40,"status_id":1,"priority_id":2,"assigned_to_id":23,"start_date":"2017-02-25","description":"","custom_fields":[{"id":1,"name":"Subdivision","value":"EC"},{"id":4,"name":"Milepost","value":"23.3291"},{"id":17,"name":"Train ID","value":"123-25"},{"id":16,"name":"Locomotive ID","value":"4053"},{"id":130,"name":"Impact","value":""},{"id":150,"name":"Time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4053 --day 2017-02-25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402</v>
      </c>
      <c r="B36" s="7">
        <v>4054</v>
      </c>
      <c r="C36" s="21" t="s">
        <v>275</v>
      </c>
      <c r="D36" s="21" t="s">
        <v>265</v>
      </c>
      <c r="E36" s="13">
        <v>42791.299502314818</v>
      </c>
      <c r="F36" s="13">
        <v>42791.310543981483</v>
      </c>
      <c r="G36" s="7">
        <v>1</v>
      </c>
      <c r="H36" s="21" t="s">
        <v>192</v>
      </c>
      <c r="I36" s="13">
        <v>42791.337743055556</v>
      </c>
      <c r="J36" s="7">
        <v>1</v>
      </c>
      <c r="K36" s="98" t="str">
        <f t="shared" si="0"/>
        <v>4053/4054</v>
      </c>
      <c r="L36" s="21" t="str">
        <f>VLOOKUP(A36,'Trips&amp;Operators'!$C$1:$G$99999,5,FALSE)</f>
        <v>DELGADO DIANAH</v>
      </c>
      <c r="M36" s="6">
        <f t="shared" si="1"/>
        <v>2.7199074072996154E-2</v>
      </c>
      <c r="N36" s="7">
        <f t="shared" si="2"/>
        <v>39.166666665114462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-02-25T06:11:17-0700',mode:absolute,to:'2017-02-25T09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6" s="197" t="str">
        <f t="shared" si="6"/>
        <v>N</v>
      </c>
      <c r="X36" s="197">
        <f t="shared" si="7"/>
        <v>1</v>
      </c>
      <c r="Y36" s="197">
        <f t="shared" si="8"/>
        <v>23.2973</v>
      </c>
      <c r="Z36" s="62">
        <f t="shared" si="9"/>
        <v>1.4500000000000001E-2</v>
      </c>
      <c r="AA36" s="62">
        <f t="shared" si="10"/>
        <v>23.282799999999998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0124-25</v>
      </c>
      <c r="AE36" s="85" t="str">
        <f t="shared" si="12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36" s="82" t="str">
        <f t="shared" si="13"/>
        <v>"C:\Program Files (x86)\AstroGrep\AstroGrep.exe" /spath="%USERPROFILE%\AppData\Local\Temp\OnboardLogs" /stypes="app*4054*20170225*"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124-25 --locoid 4054 --swversion DE.1.0.9.0 --startMP 204:232973 --initTime 2017-02-25T07:11:17 --startdatetime 2017-02-25T07:27:11 --delay 1 --endMP 204:145 --enddatetime 2017-02-25T08:06:21 --enforcementcount 1 &gt;&gt;C:\Users\stu\Documents\GitHub\eaglep3-reporting\EC\2017-02-25-refined-times.txt</v>
      </c>
      <c r="AI3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{"issue":{"subject":"","project_id":79,"tracker_id":40,"status_id":1,"priority_id":2,"assigned_to_id":23,"start_date":"2017-02-25","description":"","custom_fields":[{"id":1,"name":"Subdivision","value":"EC"},{"id":4,"name":"Milepost","value":"0.0145"},{"id":17,"name":"Train ID","value":"124-25"},{"id":16,"name":"Locomotive ID","value":"4054"},{"id":130,"name":"Impact","value":""},{"id":150,"name":"Time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4054 --day 2017-02-25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475</v>
      </c>
      <c r="B37" s="7">
        <v>4046</v>
      </c>
      <c r="C37" s="21" t="s">
        <v>275</v>
      </c>
      <c r="D37" s="21" t="s">
        <v>295</v>
      </c>
      <c r="E37" s="13">
        <v>42791.276932870373</v>
      </c>
      <c r="F37" s="13">
        <v>42791.281539351854</v>
      </c>
      <c r="G37" s="7">
        <v>1</v>
      </c>
      <c r="H37" s="21" t="s">
        <v>264</v>
      </c>
      <c r="I37" s="13">
        <v>42791.306585648148</v>
      </c>
      <c r="J37" s="7">
        <v>1</v>
      </c>
      <c r="K37" s="98" t="str">
        <f t="shared" si="0"/>
        <v>4045/4046</v>
      </c>
      <c r="L37" s="21" t="str">
        <f>VLOOKUP(A37,'Trips&amp;Operators'!$C$1:$G$99999,5,FALSE)</f>
        <v>LOZA FIDEL</v>
      </c>
      <c r="M37" s="6">
        <f t="shared" si="1"/>
        <v>2.5046296294021886E-2</v>
      </c>
      <c r="N37" s="7">
        <f t="shared" si="2"/>
        <v>36.066666663391516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-02-25T05:38:47-0700',mode:absolute,to:'2017-02-25T08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97" t="str">
        <f t="shared" si="6"/>
        <v>N</v>
      </c>
      <c r="X37" s="197">
        <f t="shared" si="7"/>
        <v>1</v>
      </c>
      <c r="Y37" s="197">
        <f t="shared" si="8"/>
        <v>4.4900000000000002E-2</v>
      </c>
      <c r="Z37" s="62">
        <f t="shared" si="9"/>
        <v>23.331700000000001</v>
      </c>
      <c r="AA37" s="62">
        <f t="shared" si="10"/>
        <v>23.286800000000003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0125-25</v>
      </c>
      <c r="AE37" s="85" t="str">
        <f t="shared" si="12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37" s="82" t="str">
        <f t="shared" si="13"/>
        <v>"C:\Program Files (x86)\AstroGrep\AstroGrep.exe" /spath="%USERPROFILE%\AppData\Local\Temp\OnboardLogs" /stypes="app*4046*20170225*"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125-25 --locoid 4046 --swversion DE.1.0.9.0 --startMP 204:449 --initTime 2017-02-25T06:38:47 --startdatetime 2017-02-25T06:45:25 --delay 1 --endMP 204:233317 --enddatetime 2017-02-25T07:21:29 --enforcementcount 1 &gt;&gt;C:\Users\stu\Documents\GitHub\eaglep3-reporting\EC\2017-02-25-refined-times.txt</v>
      </c>
      <c r="AI3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{"issue":{"subject":"","project_id":79,"tracker_id":40,"status_id":1,"priority_id":2,"assigned_to_id":23,"start_date":"2017-02-25","description":"","custom_fields":[{"id":1,"name":"Subdivision","value":"EC"},{"id":4,"name":"Milepost","value":"23.3317"},{"id":17,"name":"Train ID","value":"125-25"},{"id":16,"name":"Locomotive ID","value":"4046"},{"id":130,"name":"Impact","value":""},{"id":150,"name":"Time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4046 --day 2017-02-25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476</v>
      </c>
      <c r="B38" s="7">
        <v>4045</v>
      </c>
      <c r="C38" s="21" t="s">
        <v>275</v>
      </c>
      <c r="D38" s="21" t="s">
        <v>477</v>
      </c>
      <c r="E38" s="13">
        <v>42791.316041666665</v>
      </c>
      <c r="F38" s="13">
        <v>42791.320601851854</v>
      </c>
      <c r="G38" s="7">
        <v>1</v>
      </c>
      <c r="H38" s="21" t="s">
        <v>180</v>
      </c>
      <c r="I38" s="13">
        <v>42791.347002314818</v>
      </c>
      <c r="J38" s="7">
        <v>1</v>
      </c>
      <c r="K38" s="98" t="str">
        <f t="shared" si="0"/>
        <v>4045/4046</v>
      </c>
      <c r="L38" s="21" t="str">
        <f>VLOOKUP(A38,'Trips&amp;Operators'!$C$1:$G$99999,5,FALSE)</f>
        <v>LOZA FIDEL</v>
      </c>
      <c r="M38" s="6">
        <f t="shared" si="1"/>
        <v>2.6400462964375038E-2</v>
      </c>
      <c r="N38" s="7">
        <f t="shared" si="2"/>
        <v>38.016666668700054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-02-25T06:35:06-0700',mode:absolute,to:'2017-02-25T09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97" t="str">
        <f t="shared" si="6"/>
        <v>N</v>
      </c>
      <c r="X38" s="197">
        <f t="shared" si="7"/>
        <v>1</v>
      </c>
      <c r="Y38" s="197">
        <f t="shared" si="8"/>
        <v>23.299800000000001</v>
      </c>
      <c r="Z38" s="62">
        <f t="shared" si="9"/>
        <v>1.49E-2</v>
      </c>
      <c r="AA38" s="62">
        <f t="shared" si="10"/>
        <v>23.2849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0126-25</v>
      </c>
      <c r="AE38" s="85" t="str">
        <f t="shared" si="12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38" s="82" t="str">
        <f t="shared" si="13"/>
        <v>"C:\Program Files (x86)\AstroGrep\AstroGrep.exe" /spath="%USERPROFILE%\AppData\Local\Temp\OnboardLogs" /stypes="app*4045*20170225*"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126-25 --locoid 4045 --swversion DE.1.0.9.0 --startMP 204:232998 --initTime 2017-02-25T07:35:06 --startdatetime 2017-02-25T07:41:40 --delay 1 --endMP 204:149 --enddatetime 2017-02-25T08:19:41 --enforcementcount 1 &gt;&gt;C:\Users\stu\Documents\GitHub\eaglep3-reporting\EC\2017-02-25-refined-times.txt</v>
      </c>
      <c r="AI3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ID","value":"126-25"},{"id":16,"name":"Locomotive ID","value":"4045"},{"id":130,"name":"Impact","value":""},{"id":150,"name":"Time of Event (Mountain Time)","value":"08:19:41"},{"id":151,"name":"Denver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4045 --day 2017-02-25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478</v>
      </c>
      <c r="B39" s="7">
        <v>4018</v>
      </c>
      <c r="C39" s="21" t="s">
        <v>275</v>
      </c>
      <c r="D39" s="21" t="s">
        <v>296</v>
      </c>
      <c r="E39" s="13">
        <v>42791.285150462965</v>
      </c>
      <c r="F39" s="13">
        <v>42791.291828703703</v>
      </c>
      <c r="G39" s="7">
        <v>1</v>
      </c>
      <c r="H39" s="21" t="s">
        <v>297</v>
      </c>
      <c r="I39" s="13">
        <v>42791.317696759259</v>
      </c>
      <c r="J39" s="7">
        <v>1</v>
      </c>
      <c r="K39" s="98" t="str">
        <f t="shared" si="0"/>
        <v>4017/4018</v>
      </c>
      <c r="L39" s="21" t="str">
        <f>VLOOKUP(A39,'Trips&amp;Operators'!$C$1:$G$99999,5,FALSE)</f>
        <v>BADERTSCHER DIANE</v>
      </c>
      <c r="M39" s="6">
        <f t="shared" si="1"/>
        <v>2.5868055556202307E-2</v>
      </c>
      <c r="N39" s="7">
        <f t="shared" si="2"/>
        <v>37.250000000931323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-02-25T05:50:37-0700',mode:absolute,to:'2017-02-25T08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7" t="str">
        <f t="shared" si="6"/>
        <v>N</v>
      </c>
      <c r="X39" s="197">
        <f t="shared" si="7"/>
        <v>1</v>
      </c>
      <c r="Y39" s="197">
        <f t="shared" si="8"/>
        <v>4.3299999999999998E-2</v>
      </c>
      <c r="Z39" s="62">
        <f t="shared" si="9"/>
        <v>23.330500000000001</v>
      </c>
      <c r="AA39" s="62">
        <f t="shared" si="10"/>
        <v>23.287200000000002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0127-25</v>
      </c>
      <c r="AE39" s="85" t="str">
        <f t="shared" si="12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39" s="82" t="str">
        <f t="shared" si="13"/>
        <v>"C:\Program Files (x86)\AstroGrep\AstroGrep.exe" /spath="%USERPROFILE%\AppData\Local\Temp\OnboardLogs" /stypes="app*4018*20170225*"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127-25 --locoid 4018 --swversion DE.1.0.9.0 --startMP 204:433 --initTime 2017-02-25T06:50:37 --startdatetime 2017-02-25T07:00:14 --delay 1 --endMP 204:233305 --enddatetime 2017-02-25T07:37:29 --enforcementcount 1 &gt;&gt;C:\Users\stu\Documents\GitHub\eaglep3-reporting\EC\2017-02-25-refined-times.txt</v>
      </c>
      <c r="AI3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{"issue":{"subject":"","project_id":79,"tracker_id":40,"status_id":1,"priority_id":2,"assigned_to_id":23,"start_date":"2017-02-25","description":"","custom_fields":[{"id":1,"name":"Subdivision","value":"EC"},{"id":4,"name":"Milepost","value":"23.3305"},{"id":17,"name":"Train ID","value":"127-25"},{"id":16,"name":"Locomotive ID","value":"4018"},{"id":130,"name":"Impact","value":""},{"id":150,"name":"Time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4018 --day 2017-02-25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479</v>
      </c>
      <c r="B40" s="7">
        <v>4017</v>
      </c>
      <c r="C40" s="21" t="s">
        <v>275</v>
      </c>
      <c r="D40" s="21" t="s">
        <v>267</v>
      </c>
      <c r="E40" s="13">
        <v>42791.321643518517</v>
      </c>
      <c r="F40" s="13">
        <v>42791.330740740741</v>
      </c>
      <c r="G40" s="7">
        <v>1</v>
      </c>
      <c r="H40" s="21" t="s">
        <v>268</v>
      </c>
      <c r="I40" s="13">
        <v>42791.358587962961</v>
      </c>
      <c r="J40" s="7">
        <v>1</v>
      </c>
      <c r="K40" s="98" t="str">
        <f t="shared" si="0"/>
        <v>4017/4018</v>
      </c>
      <c r="L40" s="21" t="str">
        <f>VLOOKUP(A40,'Trips&amp;Operators'!$C$1:$G$99999,5,FALSE)</f>
        <v>BADERTSCHER DIANE</v>
      </c>
      <c r="M40" s="6">
        <f t="shared" si="1"/>
        <v>2.7847222219861578E-2</v>
      </c>
      <c r="N40" s="7">
        <f t="shared" si="2"/>
        <v>40.099999996600673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-02-25T06:43:10-0700',mode:absolute,to:'2017-02-25T09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7" t="str">
        <f t="shared" si="6"/>
        <v>N</v>
      </c>
      <c r="X40" s="197">
        <f t="shared" si="7"/>
        <v>1</v>
      </c>
      <c r="Y40" s="197">
        <f t="shared" si="8"/>
        <v>23.298200000000001</v>
      </c>
      <c r="Z40" s="62">
        <f t="shared" si="9"/>
        <v>1.6299999999999999E-2</v>
      </c>
      <c r="AA40" s="62">
        <f t="shared" si="10"/>
        <v>23.2819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0128-25</v>
      </c>
      <c r="AE40" s="85" t="str">
        <f t="shared" si="12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40" s="82" t="str">
        <f t="shared" si="13"/>
        <v>"C:\Program Files (x86)\AstroGrep\AstroGrep.exe" /spath="%USERPROFILE%\AppData\Local\Temp\OnboardLogs" /stypes="app*4017*20170225*"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128-25 --locoid 4017 --swversion DE.1.0.9.0 --startMP 204:232982 --initTime 2017-02-25T07:43:10 --startdatetime 2017-02-25T07:56:16 --delay 1 --endMP 204:163 --enddatetime 2017-02-25T08:36:22 --enforcementcount 1 &gt;&gt;C:\Users\stu\Documents\GitHub\eaglep3-reporting\EC\2017-02-25-refined-times.txt</v>
      </c>
      <c r="AI4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{"issue":{"subject":"","project_id":79,"tracker_id":40,"status_id":1,"priority_id":2,"assigned_to_id":23,"start_date":"2017-02-25","description":"","custom_fields":[{"id":1,"name":"Subdivision","value":"EC"},{"id":4,"name":"Milepost","value":"0.0163"},{"id":17,"name":"Train ID","value":"128-25"},{"id":16,"name":"Locomotive ID","value":"4017"},{"id":130,"name":"Impact","value":""},{"id":150,"name":"Time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4017 --day 2017-02-25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480</v>
      </c>
      <c r="B41" s="7">
        <v>4051</v>
      </c>
      <c r="C41" s="21" t="s">
        <v>275</v>
      </c>
      <c r="D41" s="21" t="s">
        <v>222</v>
      </c>
      <c r="E41" s="13">
        <v>42791.297986111109</v>
      </c>
      <c r="F41" s="13">
        <v>42791.302268518521</v>
      </c>
      <c r="G41" s="7">
        <v>1</v>
      </c>
      <c r="H41" s="21" t="s">
        <v>369</v>
      </c>
      <c r="I41" s="13">
        <v>42791.327106481483</v>
      </c>
      <c r="J41" s="7">
        <v>1</v>
      </c>
      <c r="K41" s="98" t="str">
        <f t="shared" si="0"/>
        <v>4051/4052</v>
      </c>
      <c r="L41" s="21" t="str">
        <f>VLOOKUP(A41,'Trips&amp;Operators'!$C$1:$G$99999,5,FALSE)</f>
        <v>GEBRETEKLE DAGNEW</v>
      </c>
      <c r="M41" s="6">
        <f t="shared" si="1"/>
        <v>2.4837962962919846E-2</v>
      </c>
      <c r="N41" s="7">
        <f t="shared" si="2"/>
        <v>35.766666666604578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-02-25T06:09:06-0700',mode:absolute,to:'2017-02-25T08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1" s="197" t="str">
        <f t="shared" si="6"/>
        <v>N</v>
      </c>
      <c r="X41" s="197">
        <f t="shared" si="7"/>
        <v>1</v>
      </c>
      <c r="Y41" s="197">
        <f t="shared" si="8"/>
        <v>4.5999999999999999E-2</v>
      </c>
      <c r="Z41" s="62">
        <f t="shared" si="9"/>
        <v>23.3308</v>
      </c>
      <c r="AA41" s="62">
        <f t="shared" si="10"/>
        <v>23.284800000000001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0129-25</v>
      </c>
      <c r="AE41" s="85" t="str">
        <f t="shared" si="12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41" s="82" t="str">
        <f t="shared" si="13"/>
        <v>"C:\Program Files (x86)\AstroGrep\AstroGrep.exe" /spath="%USERPROFILE%\AppData\Local\Temp\OnboardLogs" /stypes="app*4051*20170225*"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129-25 --locoid 4051 --swversion DE.1.0.9.0 --startMP 204:460 --initTime 2017-02-25T07:09:06 --startdatetime 2017-02-25T07:15:16 --delay 1 --endMP 204:233308 --enddatetime 2017-02-25T07:51:02 --enforcementcount 1 &gt;&gt;C:\Users\stu\Documents\GitHub\eaglep3-reporting\EC\2017-02-25-refined-times.txt</v>
      </c>
      <c r="AI4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{"issue":{"subject":"","project_id":79,"tracker_id":40,"status_id":1,"priority_id":2,"assigned_to_id":23,"start_date":"2017-02-25","description":"","custom_fields":[{"id":1,"name":"Subdivision","value":"EC"},{"id":4,"name":"Milepost","value":"23.3308"},{"id":17,"name":"Train ID","value":"129-25"},{"id":16,"name":"Locomotive ID","value":"4051"},{"id":130,"name":"Impact","value":""},{"id":150,"name":"Time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4051 --day 2017-02-25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481</v>
      </c>
      <c r="B42" s="7">
        <v>4052</v>
      </c>
      <c r="C42" s="21" t="s">
        <v>275</v>
      </c>
      <c r="D42" s="21" t="s">
        <v>482</v>
      </c>
      <c r="E42" s="13">
        <v>42791.337812500002</v>
      </c>
      <c r="F42" s="13">
        <v>42791.341145833336</v>
      </c>
      <c r="G42" s="7">
        <v>1</v>
      </c>
      <c r="H42" s="21" t="s">
        <v>197</v>
      </c>
      <c r="I42" s="13">
        <v>42791.368078703701</v>
      </c>
      <c r="J42" s="7">
        <v>1</v>
      </c>
      <c r="K42" s="98" t="str">
        <f t="shared" si="0"/>
        <v>4051/4052</v>
      </c>
      <c r="L42" s="21" t="str">
        <f>VLOOKUP(A42,'Trips&amp;Operators'!$C$1:$G$99999,5,FALSE)</f>
        <v>GEBRETEKLE DAGNEW</v>
      </c>
      <c r="M42" s="6">
        <f t="shared" si="1"/>
        <v>2.693287036527181E-2</v>
      </c>
      <c r="N42" s="7">
        <f t="shared" si="2"/>
        <v>38.783333325991407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-02-25T07:06:27-0700',mode:absolute,to:'2017-02-25T09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2" s="197" t="str">
        <f t="shared" si="6"/>
        <v>N</v>
      </c>
      <c r="X42" s="197">
        <f t="shared" si="7"/>
        <v>1</v>
      </c>
      <c r="Y42" s="197">
        <f t="shared" si="8"/>
        <v>23.2989</v>
      </c>
      <c r="Z42" s="62">
        <f t="shared" si="9"/>
        <v>1.6E-2</v>
      </c>
      <c r="AA42" s="62">
        <f t="shared" si="10"/>
        <v>23.282900000000001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0130-25</v>
      </c>
      <c r="AE42" s="85" t="str">
        <f t="shared" si="12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42" s="82" t="str">
        <f t="shared" si="13"/>
        <v>"C:\Program Files (x86)\AstroGrep\AstroGrep.exe" /spath="%USERPROFILE%\AppData\Local\Temp\OnboardLogs" /stypes="app*4052*20170225*"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130-25 --locoid 4052 --swversion DE.1.0.9.0 --startMP 204:232989 --initTime 2017-02-25T08:06:27 --startdatetime 2017-02-25T08:11:15 --delay 1 --endMP 204:160 --enddatetime 2017-02-25T08:50:02 --enforcementcount 1 &gt;&gt;C:\Users\stu\Documents\GitHub\eaglep3-reporting\EC\2017-02-25-refined-times.txt</v>
      </c>
      <c r="AI4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{"issue":{"subject":"","project_id":79,"tracker_id":40,"status_id":1,"priority_id":2,"assigned_to_id":23,"start_date":"2017-02-25","description":"","custom_fields":[{"id":1,"name":"Subdivision","value":"EC"},{"id":4,"name":"Milepost","value":"0.016"},{"id":17,"name":"Train ID","value":"130-25"},{"id":16,"name":"Locomotive ID","value":"4052"},{"id":130,"name":"Impact","value":""},{"id":150,"name":"Time of Event (Mountain Time)","value":"08:50:02"},{"id":151,"name":"Denver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4052 --day 2017-02-25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483</v>
      </c>
      <c r="B43" s="7">
        <v>4027</v>
      </c>
      <c r="C43" s="21" t="s">
        <v>275</v>
      </c>
      <c r="D43" s="21" t="s">
        <v>219</v>
      </c>
      <c r="E43" s="13">
        <v>42791.307824074072</v>
      </c>
      <c r="F43" s="13">
        <v>42791.312650462962</v>
      </c>
      <c r="G43" s="7">
        <v>2</v>
      </c>
      <c r="H43" s="21" t="s">
        <v>320</v>
      </c>
      <c r="I43" s="13">
        <v>42791.337164351855</v>
      </c>
      <c r="J43" s="7">
        <v>1</v>
      </c>
      <c r="K43" s="98" t="str">
        <f t="shared" si="0"/>
        <v>4027/4028</v>
      </c>
      <c r="L43" s="21" t="str">
        <f>VLOOKUP(A43,'Trips&amp;Operators'!$C$1:$G$99999,5,FALSE)</f>
        <v>ROBINSON KADDIBA</v>
      </c>
      <c r="M43" s="6">
        <f t="shared" si="1"/>
        <v>2.4513888893125113E-2</v>
      </c>
      <c r="N43" s="7">
        <f t="shared" si="2"/>
        <v>35.300000006100163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-02-25T06:23:16-0700',mode:absolute,to:'2017-02-25T09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97" t="str">
        <f t="shared" si="6"/>
        <v>N</v>
      </c>
      <c r="X43" s="197">
        <f t="shared" si="7"/>
        <v>1</v>
      </c>
      <c r="Y43" s="197">
        <f t="shared" si="8"/>
        <v>4.5699999999999998E-2</v>
      </c>
      <c r="Z43" s="62">
        <f t="shared" si="9"/>
        <v>23.331600000000002</v>
      </c>
      <c r="AA43" s="62">
        <f t="shared" si="10"/>
        <v>23.285900000000002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0131-25</v>
      </c>
      <c r="AE43" s="85" t="str">
        <f t="shared" si="12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43" s="82" t="str">
        <f t="shared" si="13"/>
        <v>"C:\Program Files (x86)\AstroGrep\AstroGrep.exe" /spath="%USERPROFILE%\AppData\Local\Temp\OnboardLogs" /stypes="app*4027*20170225*"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131-25 --locoid 4027 --swversion DE.1.0.9.0 --startMP 204:457 --initTime 2017-02-25T07:23:16 --startdatetime 2017-02-25T07:30:13 --delay 2 --endMP 204:233316 --enddatetime 2017-02-25T08:05:31 --enforcementcount 1 &gt;&gt;C:\Users\stu\Documents\GitHub\eaglep3-reporting\EC\2017-02-25-refined-times.txt</v>
      </c>
      <c r="AI43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{"issue":{"subject":"","project_id":79,"tracker_id":40,"status_id":1,"priority_id":2,"assigned_to_id":23,"start_date":"2017-02-25","description":"","custom_fields":[{"id":1,"name":"Subdivision","value":"EC"},{"id":4,"name":"Milepost","value":"23.3316"},{"id":17,"name":"Train ID","value":"131-25"},{"id":16,"name":"Locomotive ID","value":"4027"},{"id":130,"name":"Impact","value":""},{"id":150,"name":"Time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4027 --day 2017-02-25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484</v>
      </c>
      <c r="B44" s="7">
        <v>4028</v>
      </c>
      <c r="C44" s="21" t="s">
        <v>275</v>
      </c>
      <c r="D44" s="21" t="s">
        <v>485</v>
      </c>
      <c r="E44" s="13">
        <v>42791.34302083333</v>
      </c>
      <c r="F44" s="13">
        <v>42791.351550925923</v>
      </c>
      <c r="G44" s="7">
        <v>1</v>
      </c>
      <c r="H44" s="21" t="s">
        <v>486</v>
      </c>
      <c r="I44" s="13">
        <v>42791.378946759258</v>
      </c>
      <c r="J44" s="7">
        <v>1</v>
      </c>
      <c r="K44" s="98" t="str">
        <f t="shared" si="0"/>
        <v>4027/4028</v>
      </c>
      <c r="L44" s="21" t="str">
        <f>VLOOKUP(A44,'Trips&amp;Operators'!$C$1:$G$99999,5,FALSE)</f>
        <v>ROBINSON KADDIBA</v>
      </c>
      <c r="M44" s="6">
        <f t="shared" si="1"/>
        <v>2.7395833334594499E-2</v>
      </c>
      <c r="N44" s="7">
        <f t="shared" si="2"/>
        <v>39.450000001816079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-02-25T07:13:57-0700',mode:absolute,to:'2017-02-25T10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197" t="str">
        <f t="shared" si="6"/>
        <v>N</v>
      </c>
      <c r="X44" s="197">
        <f t="shared" si="7"/>
        <v>1</v>
      </c>
      <c r="Y44" s="197">
        <f t="shared" si="8"/>
        <v>23.3001</v>
      </c>
      <c r="Z44" s="62">
        <f t="shared" si="9"/>
        <v>1.7600000000000001E-2</v>
      </c>
      <c r="AA44" s="62">
        <f t="shared" si="10"/>
        <v>23.282499999999999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0132-25</v>
      </c>
      <c r="AE44" s="85" t="str">
        <f t="shared" si="12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44" s="82" t="str">
        <f t="shared" si="13"/>
        <v>"C:\Program Files (x86)\AstroGrep\AstroGrep.exe" /spath="%USERPROFILE%\AppData\Local\Temp\OnboardLogs" /stypes="app*4028*20170225*"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132-25 --locoid 4028 --swversion DE.1.0.9.0 --startMP 204:233001 --initTime 2017-02-25T08:13:57 --startdatetime 2017-02-25T08:26:14 --delay 1 --endMP 204:176 --enddatetime 2017-02-25T09:05:41 --enforcementcount 1 &gt;&gt;C:\Users\stu\Documents\GitHub\eaglep3-reporting\EC\2017-02-25-refined-times.txt</v>
      </c>
      <c r="AI4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{"issue":{"subject":"","project_id":79,"tracker_id":40,"status_id":1,"priority_id":2,"assigned_to_id":23,"start_date":"2017-02-25","description":"","custom_fields":[{"id":1,"name":"Subdivision","value":"EC"},{"id":4,"name":"Milepost","value":"0.0176"},{"id":17,"name":"Train ID","value":"132-25"},{"id":16,"name":"Locomotive ID","value":"4028"},{"id":130,"name":"Impact","value":""},{"id":150,"name":"Time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4028 --day 2017-02-25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487</v>
      </c>
      <c r="B45" s="7">
        <v>4020</v>
      </c>
      <c r="C45" s="21" t="s">
        <v>275</v>
      </c>
      <c r="D45" s="21" t="s">
        <v>488</v>
      </c>
      <c r="E45" s="13">
        <v>42791.319282407407</v>
      </c>
      <c r="F45" s="13">
        <v>42791.323229166665</v>
      </c>
      <c r="G45" s="7">
        <v>1</v>
      </c>
      <c r="H45" s="21" t="s">
        <v>369</v>
      </c>
      <c r="I45" s="13">
        <v>42791.348541666666</v>
      </c>
      <c r="J45" s="7">
        <v>1</v>
      </c>
      <c r="K45" s="98" t="str">
        <f t="shared" si="0"/>
        <v>4019/4020</v>
      </c>
      <c r="L45" s="21" t="str">
        <f>VLOOKUP(A45,'Trips&amp;Operators'!$C$1:$G$99999,5,FALSE)</f>
        <v>DE LA ROSA ALEX</v>
      </c>
      <c r="M45" s="6">
        <f t="shared" si="1"/>
        <v>2.531250000174623E-2</v>
      </c>
      <c r="N45" s="7">
        <f t="shared" si="2"/>
        <v>36.450000002514571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-02-25T06:39:46-0700',mode:absolute,to:'2017-02-25T09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97" t="str">
        <f t="shared" si="6"/>
        <v>N</v>
      </c>
      <c r="X45" s="197">
        <f t="shared" si="7"/>
        <v>1</v>
      </c>
      <c r="Y45" s="197">
        <f t="shared" si="8"/>
        <v>4.3499999999999997E-2</v>
      </c>
      <c r="Z45" s="62">
        <f t="shared" si="9"/>
        <v>23.3308</v>
      </c>
      <c r="AA45" s="62">
        <f t="shared" si="10"/>
        <v>23.287299999999998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0133-25</v>
      </c>
      <c r="AE45" s="85" t="str">
        <f t="shared" si="12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45" s="82" t="str">
        <f t="shared" si="13"/>
        <v>"C:\Program Files (x86)\AstroGrep\AstroGrep.exe" /spath="%USERPROFILE%\AppData\Local\Temp\OnboardLogs" /stypes="app*4020*20170225*"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133-25 --locoid 4020 --swversion DE.1.0.9.0 --startMP 204:435 --initTime 2017-02-25T07:39:46 --startdatetime 2017-02-25T07:45:27 --delay 1 --endMP 204:233308 --enddatetime 2017-02-25T08:21:54 --enforcementcount 1 &gt;&gt;C:\Users\stu\Documents\GitHub\eaglep3-reporting\EC\2017-02-25-refined-times.txt</v>
      </c>
      <c r="AI4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{"issue":{"subject":"","project_id":79,"tracker_id":40,"status_id":1,"priority_id":2,"assigned_to_id":23,"start_date":"2017-02-25","description":"","custom_fields":[{"id":1,"name":"Subdivision","value":"EC"},{"id":4,"name":"Milepost","value":"23.3308"},{"id":17,"name":"Train ID","value":"133-25"},{"id":16,"name":"Locomotive ID","value":"4020"},{"id":130,"name":"Impact","value":""},{"id":150,"name":"Time of Event (Mountain Time)","value":"08:21:54"},{"id":151,"name":"Denver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4020 --day 2017-02-25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489</v>
      </c>
      <c r="B46" s="7">
        <v>4019</v>
      </c>
      <c r="C46" s="21" t="s">
        <v>275</v>
      </c>
      <c r="D46" s="21" t="s">
        <v>280</v>
      </c>
      <c r="E46" s="13">
        <v>42791.357060185182</v>
      </c>
      <c r="F46" s="13">
        <v>42791.362002314818</v>
      </c>
      <c r="G46" s="7">
        <v>1</v>
      </c>
      <c r="H46" s="21" t="s">
        <v>200</v>
      </c>
      <c r="I46" s="13">
        <v>42791.391423611109</v>
      </c>
      <c r="J46" s="7">
        <v>1</v>
      </c>
      <c r="K46" s="98" t="str">
        <f t="shared" si="0"/>
        <v>4019/4020</v>
      </c>
      <c r="L46" s="21" t="str">
        <f>VLOOKUP(A46,'Trips&amp;Operators'!$C$1:$G$99999,5,FALSE)</f>
        <v>DE LA ROSA ALEX</v>
      </c>
      <c r="M46" s="6">
        <f t="shared" si="1"/>
        <v>2.9421296290820464E-2</v>
      </c>
      <c r="N46" s="7">
        <f t="shared" si="2"/>
        <v>42.366666658781469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-02-25T07:34:10-0700',mode:absolute,to:'2017-02-25T10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97" t="str">
        <f t="shared" si="6"/>
        <v>N</v>
      </c>
      <c r="X46" s="197">
        <f t="shared" si="7"/>
        <v>1</v>
      </c>
      <c r="Y46" s="197">
        <f t="shared" si="8"/>
        <v>23.299399999999999</v>
      </c>
      <c r="Z46" s="62">
        <f t="shared" si="9"/>
        <v>1.5800000000000002E-2</v>
      </c>
      <c r="AA46" s="62">
        <f t="shared" si="10"/>
        <v>23.2836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0134-25</v>
      </c>
      <c r="AE46" s="85" t="str">
        <f t="shared" si="12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46" s="82" t="str">
        <f t="shared" si="13"/>
        <v>"C:\Program Files (x86)\AstroGrep\AstroGrep.exe" /spath="%USERPROFILE%\AppData\Local\Temp\OnboardLogs" /stypes="app*4019*20170225*"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134-25 --locoid 4019 --swversion DE.1.0.9.0 --startMP 204:232994 --initTime 2017-02-25T08:34:10 --startdatetime 2017-02-25T08:41:17 --delay 1 --endMP 204:158 --enddatetime 2017-02-25T09:23:39 --enforcementcount 1 &gt;&gt;C:\Users\stu\Documents\GitHub\eaglep3-reporting\EC\2017-02-25-refined-times.txt</v>
      </c>
      <c r="AI4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ID","value":"134-25"},{"id":16,"name":"Locomotive ID","value":"4019"},{"id":130,"name":"Impact","value":""},{"id":150,"name":"Time of Event (Mountain Time)","value":"09:23:39"},{"id":151,"name":"Denver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4019 --day 2017-02-25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490</v>
      </c>
      <c r="B47" s="7">
        <v>4044</v>
      </c>
      <c r="C47" s="21" t="s">
        <v>275</v>
      </c>
      <c r="D47" s="21" t="s">
        <v>245</v>
      </c>
      <c r="E47" s="13">
        <v>42791.329351851855</v>
      </c>
      <c r="F47" s="13">
        <v>42791.333506944444</v>
      </c>
      <c r="G47" s="7">
        <v>3</v>
      </c>
      <c r="H47" s="21" t="s">
        <v>491</v>
      </c>
      <c r="I47" s="13">
        <v>42791.362060185187</v>
      </c>
      <c r="J47" s="7">
        <v>1</v>
      </c>
      <c r="K47" s="98" t="str">
        <f t="shared" si="0"/>
        <v>4043/4044</v>
      </c>
      <c r="L47" s="21" t="str">
        <f>VLOOKUP(A47,'Trips&amp;Operators'!$C$1:$G$99999,5,FALSE)</f>
        <v>STRICKLAND EVAN</v>
      </c>
      <c r="M47" s="6">
        <f t="shared" si="1"/>
        <v>2.8553240743349306E-2</v>
      </c>
      <c r="N47" s="7">
        <f t="shared" si="2"/>
        <v>41.116666670423001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-02-25T06:54:16-0700',mode:absolute,to:'2017-02-25T09:41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7" t="str">
        <f t="shared" si="6"/>
        <v>N</v>
      </c>
      <c r="X47" s="197">
        <f t="shared" si="7"/>
        <v>1</v>
      </c>
      <c r="Y47" s="197">
        <f t="shared" si="8"/>
        <v>4.6399999999999997E-2</v>
      </c>
      <c r="Z47" s="62">
        <f t="shared" si="9"/>
        <v>23.3307</v>
      </c>
      <c r="AA47" s="62">
        <f t="shared" si="10"/>
        <v>23.284300000000002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0135-25</v>
      </c>
      <c r="AE47" s="85" t="str">
        <f t="shared" si="12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47" s="82" t="str">
        <f t="shared" si="13"/>
        <v>"C:\Program Files (x86)\AstroGrep\AstroGrep.exe" /spath="%USERPROFILE%\AppData\Local\Temp\OnboardLogs" /stypes="app*4044*20170225*"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135-25 --locoid 4044 --swversion DE.1.0.9.0 --startMP 204:464 --initTime 2017-02-25T07:54:16 --startdatetime 2017-02-25T08:00:15 --delay 3 --endMP 204:233307 --enddatetime 2017-02-25T08:41:22 --enforcementcount 1 &gt;&gt;C:\Users\stu\Documents\GitHub\eaglep3-reporting\EC\2017-02-25-refined-times.txt</v>
      </c>
      <c r="AI4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{"issue":{"subject":"","project_id":79,"tracker_id":40,"status_id":1,"priority_id":2,"assigned_to_id":23,"start_date":"2017-02-25","description":"","custom_fields":[{"id":1,"name":"Subdivision","value":"EC"},{"id":4,"name":"Milepost","value":"23.3307"},{"id":17,"name":"Train ID","value":"135-25"},{"id":16,"name":"Locomotive ID","value":"4044"},{"id":130,"name":"Impact","value":""},{"id":150,"name":"Time of Event (Mountain Time)","value":"08:41:22"},{"id":151,"name":"Denver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4044 --day 2017-02-25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492</v>
      </c>
      <c r="B48" s="7">
        <v>4043</v>
      </c>
      <c r="C48" s="21" t="s">
        <v>275</v>
      </c>
      <c r="D48" s="21" t="s">
        <v>302</v>
      </c>
      <c r="E48" s="13">
        <v>42791.363391203704</v>
      </c>
      <c r="F48" s="13">
        <v>42791.372557870367</v>
      </c>
      <c r="G48" s="7">
        <v>1</v>
      </c>
      <c r="H48" s="21" t="s">
        <v>200</v>
      </c>
      <c r="I48" s="13">
        <v>42791.40084490741</v>
      </c>
      <c r="J48" s="7">
        <v>1</v>
      </c>
      <c r="K48" s="98" t="str">
        <f t="shared" si="0"/>
        <v>4043/4044</v>
      </c>
      <c r="L48" s="21" t="str">
        <f>VLOOKUP(A48,'Trips&amp;Operators'!$C$1:$G$99999,5,FALSE)</f>
        <v>STRICKLAND EVAN</v>
      </c>
      <c r="M48" s="6">
        <f t="shared" si="1"/>
        <v>2.828703704290092E-2</v>
      </c>
      <c r="N48" s="7">
        <f t="shared" si="2"/>
        <v>40.733333341777325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-02-25T07:43:17-0700',mode:absolute,to:'2017-02-25T10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7" t="str">
        <f t="shared" si="6"/>
        <v>N</v>
      </c>
      <c r="X48" s="197">
        <f t="shared" si="7"/>
        <v>1</v>
      </c>
      <c r="Y48" s="197">
        <f t="shared" si="8"/>
        <v>23.2988</v>
      </c>
      <c r="Z48" s="62">
        <f t="shared" si="9"/>
        <v>1.5800000000000002E-2</v>
      </c>
      <c r="AA48" s="62">
        <f t="shared" si="10"/>
        <v>23.283000000000001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0136-25</v>
      </c>
      <c r="AE48" s="85" t="str">
        <f t="shared" si="12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48" s="82" t="str">
        <f t="shared" si="13"/>
        <v>"C:\Program Files (x86)\AstroGrep\AstroGrep.exe" /spath="%USERPROFILE%\AppData\Local\Temp\OnboardLogs" /stypes="app*4043*20170225*"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136-25 --locoid 4043 --swversion DE.1.0.9.0 --startMP 204:232988 --initTime 2017-02-25T08:43:17 --startdatetime 2017-02-25T08:56:29 --delay 1 --endMP 204:158 --enddatetime 2017-02-25T09:37:13 --enforcementcount 1 &gt;&gt;C:\Users\stu\Documents\GitHub\eaglep3-reporting\EC\2017-02-25-refined-times.txt</v>
      </c>
      <c r="AI4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ID","value":"136-25"},{"id":16,"name":"Locomotive ID","value":"4043"},{"id":130,"name":"Impact","value":""},{"id":150,"name":"Time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4043 --day 2017-02-25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493</v>
      </c>
      <c r="B49" s="7">
        <v>4053</v>
      </c>
      <c r="C49" s="21" t="s">
        <v>275</v>
      </c>
      <c r="D49" s="21" t="s">
        <v>260</v>
      </c>
      <c r="E49" s="13">
        <v>42791.339479166665</v>
      </c>
      <c r="F49" s="13">
        <v>42791.343935185185</v>
      </c>
      <c r="G49" s="7">
        <v>1</v>
      </c>
      <c r="H49" s="21" t="s">
        <v>325</v>
      </c>
      <c r="I49" s="13">
        <v>42791.369004629632</v>
      </c>
      <c r="J49" s="7">
        <v>1</v>
      </c>
      <c r="K49" s="98" t="str">
        <f t="shared" si="0"/>
        <v>4053/4054</v>
      </c>
      <c r="L49" s="21" t="str">
        <f>VLOOKUP(A49,'Trips&amp;Operators'!$C$1:$G$99999,5,FALSE)</f>
        <v>DELGADO DIANAH</v>
      </c>
      <c r="M49" s="6">
        <f t="shared" si="1"/>
        <v>2.5069444447581191E-2</v>
      </c>
      <c r="N49" s="7">
        <f t="shared" si="2"/>
        <v>36.100000004516914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-02-25T07:08:51-0700',mode:absolute,to:'2017-02-25T09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9" s="197" t="str">
        <f t="shared" si="6"/>
        <v>N</v>
      </c>
      <c r="X49" s="197">
        <f t="shared" si="7"/>
        <v>1</v>
      </c>
      <c r="Y49" s="197">
        <f t="shared" si="8"/>
        <v>4.3099999999999999E-2</v>
      </c>
      <c r="Z49" s="62">
        <f t="shared" si="9"/>
        <v>23.332100000000001</v>
      </c>
      <c r="AA49" s="62">
        <f t="shared" si="10"/>
        <v>23.289000000000001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0137-25</v>
      </c>
      <c r="AE49" s="85" t="str">
        <f t="shared" si="12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49" s="82" t="str">
        <f t="shared" si="13"/>
        <v>"C:\Program Files (x86)\AstroGrep\AstroGrep.exe" /spath="%USERPROFILE%\AppData\Local\Temp\OnboardLogs" /stypes="app*4053*20170225*"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137-25 --locoid 4053 --swversion DE.1.0.9.0 --startMP 204:431 --initTime 2017-02-25T08:08:51 --startdatetime 2017-02-25T08:15:16 --delay 1 --endMP 204:233321 --enddatetime 2017-02-25T08:51:22 --enforcementcount 1 &gt;&gt;C:\Users\stu\Documents\GitHub\eaglep3-reporting\EC\2017-02-25-refined-times.txt</v>
      </c>
      <c r="AI4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{"issue":{"subject":"","project_id":79,"tracker_id":40,"status_id":1,"priority_id":2,"assigned_to_id":23,"start_date":"2017-02-25","description":"","custom_fields":[{"id":1,"name":"Subdivision","value":"EC"},{"id":4,"name":"Milepost","value":"23.3321"},{"id":17,"name":"Train ID","value":"137-25"},{"id":16,"name":"Locomotive ID","value":"4053"},{"id":130,"name":"Impact","value":""},{"id":150,"name":"Time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4053 --day 2017-02-25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494</v>
      </c>
      <c r="B50" s="7">
        <v>4054</v>
      </c>
      <c r="C50" s="21" t="s">
        <v>275</v>
      </c>
      <c r="D50" s="21" t="s">
        <v>495</v>
      </c>
      <c r="E50" s="13">
        <v>42791.372916666667</v>
      </c>
      <c r="F50" s="13">
        <v>42791.382835648146</v>
      </c>
      <c r="G50" s="7">
        <v>1</v>
      </c>
      <c r="H50" s="21" t="s">
        <v>190</v>
      </c>
      <c r="I50" s="13">
        <v>42791.409837962965</v>
      </c>
      <c r="J50" s="7">
        <v>1</v>
      </c>
      <c r="K50" s="98" t="str">
        <f t="shared" si="0"/>
        <v>4053/4054</v>
      </c>
      <c r="L50" s="21" t="str">
        <f>VLOOKUP(A50,'Trips&amp;Operators'!$C$1:$G$99999,5,FALSE)</f>
        <v>DELGADO DIANAH</v>
      </c>
      <c r="M50" s="6">
        <f t="shared" si="1"/>
        <v>2.7002314818673767E-2</v>
      </c>
      <c r="N50" s="7">
        <f t="shared" si="2"/>
        <v>38.883333338890225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-02-25T07:57:00-0700',mode:absolute,to:'2017-02-25T10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97" t="str">
        <f t="shared" si="6"/>
        <v>N</v>
      </c>
      <c r="X50" s="197">
        <f t="shared" si="7"/>
        <v>1</v>
      </c>
      <c r="Y50" s="197">
        <f t="shared" si="8"/>
        <v>23.3017</v>
      </c>
      <c r="Z50" s="62">
        <f t="shared" si="9"/>
        <v>1.4999999999999999E-2</v>
      </c>
      <c r="AA50" s="62">
        <f t="shared" si="10"/>
        <v>23.2867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0138-25</v>
      </c>
      <c r="AE50" s="85" t="str">
        <f t="shared" si="12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50" s="82" t="str">
        <f t="shared" si="13"/>
        <v>"C:\Program Files (x86)\AstroGrep\AstroGrep.exe" /spath="%USERPROFILE%\AppData\Local\Temp\OnboardLogs" /stypes="app*4054*20170225*"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138-25 --locoid 4054 --swversion DE.1.0.9.0 --startMP 204:233017 --initTime 2017-02-25T08:57:00 --startdatetime 2017-02-25T09:11:17 --delay 1 --endMP 204:150 --enddatetime 2017-02-25T09:50:10 --enforcementcount 1 &gt;&gt;C:\Users\stu\Documents\GitHub\eaglep3-reporting\EC\2017-02-25-refined-times.txt</v>
      </c>
      <c r="AI5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{"issue":{"subject":"","project_id":79,"tracker_id":40,"status_id":1,"priority_id":2,"assigned_to_id":23,"start_date":"2017-02-25","description":"","custom_fields":[{"id":1,"name":"Subdivision","value":"EC"},{"id":4,"name":"Milepost","value":"0.015"},{"id":17,"name":"Train ID","value":"138-25"},{"id":16,"name":"Locomotive ID","value":"4054"},{"id":130,"name":"Impact","value":""},{"id":150,"name":"Time of Event (Mountain Time)","value":"09:50:10"},{"id":151,"name":"Denver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4054 --day 2017-02-25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496</v>
      </c>
      <c r="B51" s="7">
        <v>4046</v>
      </c>
      <c r="C51" s="21" t="s">
        <v>275</v>
      </c>
      <c r="D51" s="21" t="s">
        <v>376</v>
      </c>
      <c r="E51" s="13">
        <v>42791.351446759261</v>
      </c>
      <c r="F51" s="13">
        <v>42791.354490740741</v>
      </c>
      <c r="G51" s="7">
        <v>1</v>
      </c>
      <c r="H51" s="21" t="s">
        <v>298</v>
      </c>
      <c r="I51" s="13">
        <v>42791.379618055558</v>
      </c>
      <c r="J51" s="7">
        <v>1</v>
      </c>
      <c r="K51" s="98" t="str">
        <f t="shared" si="0"/>
        <v>4045/4046</v>
      </c>
      <c r="L51" s="21" t="str">
        <f>VLOOKUP(A51,'Trips&amp;Operators'!$C$1:$G$99999,5,FALSE)</f>
        <v>LOZA FIDEL</v>
      </c>
      <c r="M51" s="6">
        <f t="shared" si="1"/>
        <v>2.5127314816927537E-2</v>
      </c>
      <c r="N51" s="7">
        <f t="shared" si="2"/>
        <v>36.183333336375654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-02-25T07:26:05-0700',mode:absolute,to:'2017-02-25T10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197" t="str">
        <f t="shared" si="6"/>
        <v>N</v>
      </c>
      <c r="X51" s="197">
        <f t="shared" si="7"/>
        <v>1</v>
      </c>
      <c r="Y51" s="197">
        <f t="shared" si="8"/>
        <v>4.7800000000000002E-2</v>
      </c>
      <c r="Z51" s="62">
        <f t="shared" si="9"/>
        <v>23.331800000000001</v>
      </c>
      <c r="AA51" s="62">
        <f t="shared" si="10"/>
        <v>23.284000000000002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0139-25</v>
      </c>
      <c r="AE51" s="85" t="str">
        <f t="shared" si="12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51" s="82" t="str">
        <f t="shared" si="13"/>
        <v>"C:\Program Files (x86)\AstroGrep\AstroGrep.exe" /spath="%USERPROFILE%\AppData\Local\Temp\OnboardLogs" /stypes="app*4046*20170225*"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139-25 --locoid 4046 --swversion DE.1.0.9.0 --startMP 204:478 --initTime 2017-02-25T08:26:05 --startdatetime 2017-02-25T08:30:28 --delay 1 --endMP 204:233318 --enddatetime 2017-02-25T09:06:39 --enforcementcount 1 &gt;&gt;C:\Users\stu\Documents\GitHub\eaglep3-reporting\EC\2017-02-25-refined-times.txt</v>
      </c>
      <c r="AI5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{"issue":{"subject":"","project_id":79,"tracker_id":40,"status_id":1,"priority_id":2,"assigned_to_id":23,"start_date":"2017-02-25","description":"","custom_fields":[{"id":1,"name":"Subdivision","value":"EC"},{"id":4,"name":"Milepost","value":"23.3318"},{"id":17,"name":"Train ID","value":"139-25"},{"id":16,"name":"Locomotive ID","value":"4046"},{"id":130,"name":"Impact","value":""},{"id":150,"name":"Time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4046 --day 2017-02-25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497</v>
      </c>
      <c r="B52" s="7">
        <v>4045</v>
      </c>
      <c r="C52" s="21" t="s">
        <v>275</v>
      </c>
      <c r="D52" s="21" t="s">
        <v>302</v>
      </c>
      <c r="E52" s="13">
        <v>42791.390925925924</v>
      </c>
      <c r="F52" s="13">
        <v>42791.39340277778</v>
      </c>
      <c r="G52" s="7">
        <v>1</v>
      </c>
      <c r="H52" s="21" t="s">
        <v>190</v>
      </c>
      <c r="I52" s="13">
        <v>42791.420520833337</v>
      </c>
      <c r="J52" s="7">
        <v>1</v>
      </c>
      <c r="K52" s="98" t="str">
        <f t="shared" si="0"/>
        <v>4045/4046</v>
      </c>
      <c r="L52" s="21" t="str">
        <f>VLOOKUP(A52,'Trips&amp;Operators'!$C$1:$G$99999,5,FALSE)</f>
        <v>LOZA FIDEL</v>
      </c>
      <c r="M52" s="6">
        <f t="shared" si="1"/>
        <v>2.7118055557366461E-2</v>
      </c>
      <c r="N52" s="7">
        <f t="shared" si="2"/>
        <v>39.050000002607703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-02-25T08:22:56-0700',mode:absolute,to:'2017-02-25T11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197" t="str">
        <f t="shared" si="6"/>
        <v>N</v>
      </c>
      <c r="X52" s="197">
        <f t="shared" si="7"/>
        <v>1</v>
      </c>
      <c r="Y52" s="197">
        <f t="shared" si="8"/>
        <v>23.2988</v>
      </c>
      <c r="Z52" s="62">
        <f t="shared" si="9"/>
        <v>1.4999999999999999E-2</v>
      </c>
      <c r="AA52" s="62">
        <f t="shared" si="10"/>
        <v>23.283799999999999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0140-25</v>
      </c>
      <c r="AE52" s="85" t="str">
        <f t="shared" si="12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52" s="82" t="str">
        <f t="shared" si="13"/>
        <v>"C:\Program Files (x86)\AstroGrep\AstroGrep.exe" /spath="%USERPROFILE%\AppData\Local\Temp\OnboardLogs" /stypes="app*4045*20170225*"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140-25 --locoid 4045 --swversion DE.1.0.9.0 --startMP 204:232988 --initTime 2017-02-25T09:22:56 --startdatetime 2017-02-25T09:26:30 --delay 1 --endMP 204:150 --enddatetime 2017-02-25T10:05:33 --enforcementcount 1 &gt;&gt;C:\Users\stu\Documents\GitHub\eaglep3-reporting\EC\2017-02-25-refined-times.txt</v>
      </c>
      <c r="AI5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{"issue":{"subject":"","project_id":79,"tracker_id":40,"status_id":1,"priority_id":2,"assigned_to_id":23,"start_date":"2017-02-25","description":"","custom_fields":[{"id":1,"name":"Subdivision","value":"EC"},{"id":4,"name":"Milepost","value":"0.015"},{"id":17,"name":"Train ID","value":"140-25"},{"id":16,"name":"Locomotive ID","value":"4045"},{"id":130,"name":"Impact","value":""},{"id":150,"name":"Time of Event (Mountain Time)","value":"10:05:33"},{"id":151,"name":"Denver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4045 --day 2017-02-25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498</v>
      </c>
      <c r="B53" s="7">
        <v>4018</v>
      </c>
      <c r="C53" s="21" t="s">
        <v>275</v>
      </c>
      <c r="D53" s="21" t="s">
        <v>499</v>
      </c>
      <c r="E53" s="13">
        <v>42791.362013888887</v>
      </c>
      <c r="F53" s="13">
        <v>42791.364907407406</v>
      </c>
      <c r="G53" s="7">
        <v>1</v>
      </c>
      <c r="H53" s="21" t="s">
        <v>256</v>
      </c>
      <c r="I53" s="13">
        <v>42791.390775462962</v>
      </c>
      <c r="J53" s="7">
        <v>1</v>
      </c>
      <c r="K53" s="98" t="str">
        <f t="shared" si="0"/>
        <v>4017/4018</v>
      </c>
      <c r="L53" s="21" t="str">
        <f>VLOOKUP(A53,'Trips&amp;Operators'!$C$1:$G$99999,5,FALSE)</f>
        <v>BADERTSCHER DIANE</v>
      </c>
      <c r="M53" s="6">
        <f t="shared" si="1"/>
        <v>2.5868055556202307E-2</v>
      </c>
      <c r="N53" s="7">
        <f t="shared" si="2"/>
        <v>37.250000000931323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-02-25T07:41:18-0700',mode:absolute,to:'2017-02-25T10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97" t="str">
        <f t="shared" si="6"/>
        <v>N</v>
      </c>
      <c r="X53" s="197">
        <f t="shared" si="7"/>
        <v>1</v>
      </c>
      <c r="Y53" s="197">
        <f t="shared" si="8"/>
        <v>5.0900000000000001E-2</v>
      </c>
      <c r="Z53" s="62">
        <f t="shared" si="9"/>
        <v>23.331</v>
      </c>
      <c r="AA53" s="62">
        <f t="shared" si="10"/>
        <v>23.280100000000001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0141-25</v>
      </c>
      <c r="AE53" s="85" t="str">
        <f t="shared" si="12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53" s="82" t="str">
        <f t="shared" si="13"/>
        <v>"C:\Program Files (x86)\AstroGrep\AstroGrep.exe" /spath="%USERPROFILE%\AppData\Local\Temp\OnboardLogs" /stypes="app*4018*20170225*"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141-25 --locoid 4018 --swversion DE.1.0.9.0 --startMP 204:509 --initTime 2017-02-25T08:41:18 --startdatetime 2017-02-25T08:45:28 --delay 1 --endMP 204:233310 --enddatetime 2017-02-25T09:22:43 --enforcementcount 1 &gt;&gt;C:\Users\stu\Documents\GitHub\eaglep3-reporting\EC\2017-02-25-refined-times.txt</v>
      </c>
      <c r="AI53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{"issue":{"subject":"","project_id":79,"tracker_id":40,"status_id":1,"priority_id":2,"assigned_to_id":23,"start_date":"2017-02-25","description":"","custom_fields":[{"id":1,"name":"Subdivision","value":"EC"},{"id":4,"name":"Milepost","value":"23.331"},{"id":17,"name":"Train ID","value":"141-25"},{"id":16,"name":"Locomotive ID","value":"4018"},{"id":130,"name":"Impact","value":""},{"id":150,"name":"Time of Event (Mountain Time)","value":"09:22:43"},{"id":151,"name":"Denver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4018 --day 2017-02-25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404</v>
      </c>
      <c r="B54" s="7">
        <v>4017</v>
      </c>
      <c r="C54" s="21" t="s">
        <v>275</v>
      </c>
      <c r="D54" s="21" t="s">
        <v>500</v>
      </c>
      <c r="E54" s="13">
        <v>42791.396979166668</v>
      </c>
      <c r="F54" s="13">
        <v>42791.403634259259</v>
      </c>
      <c r="G54" s="7">
        <v>1</v>
      </c>
      <c r="H54" s="21" t="s">
        <v>501</v>
      </c>
      <c r="I54" s="13">
        <v>42791.431701388887</v>
      </c>
      <c r="J54" s="7">
        <v>1</v>
      </c>
      <c r="K54" s="98" t="str">
        <f t="shared" si="0"/>
        <v>4017/4018</v>
      </c>
      <c r="L54" s="21" t="str">
        <f>VLOOKUP(A54,'Trips&amp;Operators'!$C$1:$G$99999,5,FALSE)</f>
        <v>BADERTSCHER DIANE</v>
      </c>
      <c r="M54" s="6">
        <f t="shared" si="1"/>
        <v>2.806712962774327E-2</v>
      </c>
      <c r="N54" s="7">
        <f t="shared" si="2"/>
        <v>40.416666663950309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-02-25T08:31:39-0700',mode:absolute,to:'2017-02-25T11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97" t="str">
        <f t="shared" si="6"/>
        <v>N</v>
      </c>
      <c r="X54" s="197">
        <f t="shared" si="7"/>
        <v>1</v>
      </c>
      <c r="Y54" s="197">
        <f t="shared" si="8"/>
        <v>23.3</v>
      </c>
      <c r="Z54" s="62">
        <f t="shared" si="9"/>
        <v>1.78E-2</v>
      </c>
      <c r="AA54" s="62">
        <f t="shared" si="10"/>
        <v>23.2822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0142-25</v>
      </c>
      <c r="AE54" s="85" t="str">
        <f t="shared" si="12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54" s="82" t="str">
        <f t="shared" si="13"/>
        <v>"C:\Program Files (x86)\AstroGrep\AstroGrep.exe" /spath="%USERPROFILE%\AppData\Local\Temp\OnboardLogs" /stypes="app*4017*20170225*"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142-25 --locoid 4017 --swversion DE.1.0.9.0 --startMP 204:233000 --initTime 2017-02-25T09:31:39 --startdatetime 2017-02-25T09:41:14 --delay 1 --endMP 204:178 --enddatetime 2017-02-25T10:21:39 --enforcementcount 1 &gt;&gt;C:\Users\stu\Documents\GitHub\eaglep3-reporting\EC\2017-02-25-refined-times.txt</v>
      </c>
      <c r="AI5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{"issue":{"subject":"","project_id":79,"tracker_id":40,"status_id":1,"priority_id":2,"assigned_to_id":23,"start_date":"2017-02-25","description":"","custom_fields":[{"id":1,"name":"Subdivision","value":"EC"},{"id":4,"name":"Milepost","value":"0.0178"},{"id":17,"name":"Train ID","value":"142-25"},{"id":16,"name":"Locomotive ID","value":"4017"},{"id":130,"name":"Impact","value":""},{"id":150,"name":"Time of Event (Mountain Time)","value":"10:21:39"},{"id":151,"name":"Denver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4017 --day 2017-02-25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502</v>
      </c>
      <c r="B55" s="7">
        <v>4051</v>
      </c>
      <c r="C55" s="21" t="s">
        <v>275</v>
      </c>
      <c r="D55" s="21" t="s">
        <v>370</v>
      </c>
      <c r="E55" s="13">
        <v>42791.370138888888</v>
      </c>
      <c r="F55" s="13">
        <v>42791.375196759262</v>
      </c>
      <c r="G55" s="7">
        <v>1</v>
      </c>
      <c r="H55" s="21" t="s">
        <v>471</v>
      </c>
      <c r="I55" s="13">
        <v>42791.400312500002</v>
      </c>
      <c r="J55" s="7">
        <v>1</v>
      </c>
      <c r="K55" s="98" t="str">
        <f t="shared" si="0"/>
        <v>4051/4052</v>
      </c>
      <c r="L55" s="21" t="str">
        <f>VLOOKUP(A55,'Trips&amp;Operators'!$C$1:$G$99999,5,FALSE)</f>
        <v>GEBRETEKLE DAGNEW</v>
      </c>
      <c r="M55" s="6">
        <f t="shared" si="1"/>
        <v>2.5115740740147885E-2</v>
      </c>
      <c r="N55" s="7">
        <f t="shared" si="2"/>
        <v>36.166666665812954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-02-25T07:53:00-0700',mode:absolute,to:'2017-02-25T10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197" t="str">
        <f t="shared" si="6"/>
        <v>N</v>
      </c>
      <c r="X55" s="197">
        <f t="shared" si="7"/>
        <v>1</v>
      </c>
      <c r="Y55" s="197">
        <f t="shared" si="8"/>
        <v>4.82E-2</v>
      </c>
      <c r="Z55" s="62">
        <f t="shared" si="9"/>
        <v>23.3291</v>
      </c>
      <c r="AA55" s="62">
        <f t="shared" si="10"/>
        <v>23.280899999999999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0143-25</v>
      </c>
      <c r="AE55" s="85" t="str">
        <f t="shared" si="12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55" s="82" t="str">
        <f t="shared" si="13"/>
        <v>"C:\Program Files (x86)\AstroGrep\AstroGrep.exe" /spath="%USERPROFILE%\AppData\Local\Temp\OnboardLogs" /stypes="app*4051*20170225*"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143-25 --locoid 4051 --swversion DE.1.0.9.0 --startMP 204:482 --initTime 2017-02-25T08:53:00 --startdatetime 2017-02-25T09:00:17 --delay 1 --endMP 204:233291 --enddatetime 2017-02-25T09:36:27 --enforcementcount 1 &gt;&gt;C:\Users\stu\Documents\GitHub\eaglep3-reporting\EC\2017-02-25-refined-times.txt</v>
      </c>
      <c r="AI5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{"issue":{"subject":"","project_id":79,"tracker_id":40,"status_id":1,"priority_id":2,"assigned_to_id":23,"start_date":"2017-02-25","description":"","custom_fields":[{"id":1,"name":"Subdivision","value":"EC"},{"id":4,"name":"Milepost","value":"23.3291"},{"id":17,"name":"Train ID","value":"143-25"},{"id":16,"name":"Locomotive ID","value":"4051"},{"id":130,"name":"Impact","value":""},{"id":150,"name":"Time of Event (Mountain Time)","value":"09:36:27"},{"id":151,"name":"Denver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4051 --day 2017-02-25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503</v>
      </c>
      <c r="B56" s="7">
        <v>4052</v>
      </c>
      <c r="C56" s="21" t="s">
        <v>275</v>
      </c>
      <c r="D56" s="21" t="s">
        <v>267</v>
      </c>
      <c r="E56" s="13">
        <v>42791.408541666664</v>
      </c>
      <c r="F56" s="13">
        <v>42791.4140625</v>
      </c>
      <c r="G56" s="7">
        <v>1</v>
      </c>
      <c r="H56" s="21" t="s">
        <v>255</v>
      </c>
      <c r="I56" s="13">
        <v>42791.441678240742</v>
      </c>
      <c r="J56" s="7">
        <v>1</v>
      </c>
      <c r="K56" s="98" t="str">
        <f t="shared" si="0"/>
        <v>4051/4052</v>
      </c>
      <c r="L56" s="21" t="str">
        <f>VLOOKUP(A56,'Trips&amp;Operators'!$C$1:$G$99999,5,FALSE)</f>
        <v>GEBRETEKLE DAGNEW</v>
      </c>
      <c r="M56" s="6">
        <f t="shared" si="1"/>
        <v>2.7615740742476191E-2</v>
      </c>
      <c r="N56" s="7">
        <f t="shared" si="2"/>
        <v>39.766666669165716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-02-25T08:48:18-0700',mode:absolute,to:'2017-02-25T11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197" t="str">
        <f t="shared" si="6"/>
        <v>N</v>
      </c>
      <c r="X56" s="197">
        <f t="shared" si="7"/>
        <v>1</v>
      </c>
      <c r="Y56" s="197">
        <f t="shared" si="8"/>
        <v>23.298200000000001</v>
      </c>
      <c r="Z56" s="62">
        <f t="shared" si="9"/>
        <v>1.5599999999999999E-2</v>
      </c>
      <c r="AA56" s="62">
        <f t="shared" si="10"/>
        <v>23.282600000000002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0144-25</v>
      </c>
      <c r="AE56" s="85" t="str">
        <f t="shared" si="12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56" s="82" t="str">
        <f t="shared" si="13"/>
        <v>"C:\Program Files (x86)\AstroGrep\AstroGrep.exe" /spath="%USERPROFILE%\AppData\Local\Temp\OnboardLogs" /stypes="app*4052*20170225*"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144-25 --locoid 4052 --swversion DE.1.0.9.0 --startMP 204:232982 --initTime 2017-02-25T09:48:18 --startdatetime 2017-02-25T09:56:15 --delay 1 --endMP 204:156 --enddatetime 2017-02-25T10:36:01 --enforcementcount 1 &gt;&gt;C:\Users\stu\Documents\GitHub\eaglep3-reporting\EC\2017-02-25-refined-times.txt</v>
      </c>
      <c r="AI5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{"issue":{"subject":"","project_id":79,"tracker_id":40,"status_id":1,"priority_id":2,"assigned_to_id":23,"start_date":"2017-02-25","description":"","custom_fields":[{"id":1,"name":"Subdivision","value":"EC"},{"id":4,"name":"Milepost","value":"0.0156"},{"id":17,"name":"Train ID","value":"144-25"},{"id":16,"name":"Locomotive ID","value":"4052"},{"id":130,"name":"Impact","value":""},{"id":150,"name":"Time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4052 --day 2017-02-25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403</v>
      </c>
      <c r="B57" s="7">
        <v>4027</v>
      </c>
      <c r="C57" s="21" t="s">
        <v>275</v>
      </c>
      <c r="D57" s="21" t="s">
        <v>504</v>
      </c>
      <c r="E57" s="13">
        <v>42791.38177083333</v>
      </c>
      <c r="F57" s="13">
        <v>42791.385555555556</v>
      </c>
      <c r="G57" s="7">
        <v>1</v>
      </c>
      <c r="H57" s="21" t="s">
        <v>256</v>
      </c>
      <c r="I57" s="13">
        <v>42791.411944444444</v>
      </c>
      <c r="J57" s="7">
        <v>1</v>
      </c>
      <c r="K57" s="98" t="str">
        <f t="shared" si="0"/>
        <v>4027/4028</v>
      </c>
      <c r="L57" s="21" t="str">
        <f>VLOOKUP(A57,'Trips&amp;Operators'!$C$1:$G$99999,5,FALSE)</f>
        <v>ROBINSON KADDIBA</v>
      </c>
      <c r="M57" s="6">
        <f t="shared" si="1"/>
        <v>2.6388888887595385E-2</v>
      </c>
      <c r="N57" s="7">
        <f t="shared" si="2"/>
        <v>37.999999998137355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-02-25T08:09:45-0700',mode:absolute,to:'2017-02-25T10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197" t="str">
        <f t="shared" si="6"/>
        <v>N</v>
      </c>
      <c r="X57" s="197">
        <f t="shared" si="7"/>
        <v>1</v>
      </c>
      <c r="Y57" s="197">
        <f t="shared" si="8"/>
        <v>4.3700000000000003E-2</v>
      </c>
      <c r="Z57" s="62">
        <f t="shared" si="9"/>
        <v>23.331</v>
      </c>
      <c r="AA57" s="62">
        <f t="shared" si="10"/>
        <v>23.287299999999998</v>
      </c>
      <c r="AB57" s="59" t="str">
        <f>VLOOKUP(A57,Enforcements!$C$7:$K$13,8,0)</f>
        <v>Bulletin (2)</v>
      </c>
      <c r="AC57" s="55" t="str">
        <f>VLOOKUP(A57,Enforcements!$C$7:$E$13,3,0)</f>
        <v>GRADE CROSSING</v>
      </c>
      <c r="AD57" s="56" t="str">
        <f t="shared" si="11"/>
        <v>0145-25</v>
      </c>
      <c r="AE57" s="85" t="str">
        <f t="shared" si="12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57" s="82" t="str">
        <f t="shared" si="13"/>
        <v>"C:\Program Files (x86)\AstroGrep\AstroGrep.exe" /spath="%USERPROFILE%\AppData\Local\Temp\OnboardLogs" /stypes="app*4027*20170225*"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145-25 --locoid 4027 --swversion DE.1.0.9.0 --startMP 204:437 --initTime 2017-02-25T09:09:45 --startdatetime 2017-02-25T09:15:12 --delay 1 --endMP 204:233310 --enddatetime 2017-02-25T09:53:12 --enforcementcount 1 &gt;&gt;C:\Users\stu\Documents\GitHub\eaglep3-reporting\EC\2017-02-25-refined-times.txt</v>
      </c>
      <c r="AI5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{"issue":{"subject":"","project_id":79,"tracker_id":40,"status_id":1,"priority_id":2,"assigned_to_id":23,"start_date":"2017-02-25","description":"","custom_fields":[{"id":1,"name":"Subdivision","value":"EC"},{"id":4,"name":"Milepost","value":"23.331"},{"id":17,"name":"Train ID","value":"145-25"},{"id":16,"name":"Locomotive ID","value":"4027"},{"id":130,"name":"Impact","value":""},{"id":150,"name":"Time of Event (Mountain Time)","value":"09:53:12"},{"id":151,"name":"Denver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4027 --day 2017-02-25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505</v>
      </c>
      <c r="B58" s="7">
        <v>4028</v>
      </c>
      <c r="C58" s="21" t="s">
        <v>275</v>
      </c>
      <c r="D58" s="21" t="s">
        <v>482</v>
      </c>
      <c r="E58" s="13">
        <v>42791.42083333333</v>
      </c>
      <c r="F58" s="13">
        <v>42791.424467592595</v>
      </c>
      <c r="G58" s="7">
        <v>1</v>
      </c>
      <c r="H58" s="21" t="s">
        <v>206</v>
      </c>
      <c r="I58" s="13">
        <v>42791.452164351853</v>
      </c>
      <c r="J58" s="7">
        <v>1</v>
      </c>
      <c r="K58" s="98" t="str">
        <f t="shared" si="0"/>
        <v>4027/4028</v>
      </c>
      <c r="L58" s="21" t="str">
        <f>VLOOKUP(A58,'Trips&amp;Operators'!$C$1:$G$99999,5,FALSE)</f>
        <v>ROBINSON KADDIBA</v>
      </c>
      <c r="M58" s="6">
        <f t="shared" si="1"/>
        <v>2.7696759258105885E-2</v>
      </c>
      <c r="N58" s="7">
        <f t="shared" si="2"/>
        <v>39.883333331672475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-02-25T09:06:00-0700',mode:absolute,to:'2017-02-25T11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8" s="197" t="str">
        <f t="shared" si="6"/>
        <v>N</v>
      </c>
      <c r="X58" s="197">
        <f t="shared" si="7"/>
        <v>1</v>
      </c>
      <c r="Y58" s="197">
        <f t="shared" si="8"/>
        <v>23.2989</v>
      </c>
      <c r="Z58" s="62">
        <f t="shared" si="9"/>
        <v>1.54E-2</v>
      </c>
      <c r="AA58" s="62">
        <f t="shared" si="10"/>
        <v>23.2835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0146-25</v>
      </c>
      <c r="AE58" s="85" t="str">
        <f t="shared" si="12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58" s="82" t="str">
        <f t="shared" si="13"/>
        <v>"C:\Program Files (x86)\AstroGrep\AstroGrep.exe" /spath="%USERPROFILE%\AppData\Local\Temp\OnboardLogs" /stypes="app*4028*20170225*"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146-25 --locoid 4028 --swversion DE.1.0.9.0 --startMP 204:232989 --initTime 2017-02-25T10:06:00 --startdatetime 2017-02-25T10:11:14 --delay 1 --endMP 204:154 --enddatetime 2017-02-25T10:51:07 --enforcementcount 1 &gt;&gt;C:\Users\stu\Documents\GitHub\eaglep3-reporting\EC\2017-02-25-refined-times.txt</v>
      </c>
      <c r="AI5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{"issue":{"subject":"","project_id":79,"tracker_id":40,"status_id":1,"priority_id":2,"assigned_to_id":23,"start_date":"2017-02-25","description":"","custom_fields":[{"id":1,"name":"Subdivision","value":"EC"},{"id":4,"name":"Milepost","value":"0.0154"},{"id":17,"name":"Train ID","value":"146-25"},{"id":16,"name":"Locomotive ID","value":"4028"},{"id":130,"name":"Impact","value":""},{"id":150,"name":"Time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4028 --day 2017-02-25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506</v>
      </c>
      <c r="B59" s="7">
        <v>4020</v>
      </c>
      <c r="C59" s="21" t="s">
        <v>275</v>
      </c>
      <c r="D59" s="21" t="s">
        <v>198</v>
      </c>
      <c r="E59" s="13">
        <v>42791.39267361111</v>
      </c>
      <c r="F59" s="13">
        <v>42791.396192129629</v>
      </c>
      <c r="G59" s="7">
        <v>1</v>
      </c>
      <c r="H59" s="21" t="s">
        <v>456</v>
      </c>
      <c r="I59" s="13">
        <v>42791.421388888892</v>
      </c>
      <c r="J59" s="7">
        <v>1</v>
      </c>
      <c r="K59" s="98" t="str">
        <f t="shared" si="0"/>
        <v>4019/4020</v>
      </c>
      <c r="L59" s="21" t="str">
        <f>VLOOKUP(A59,'Trips&amp;Operators'!$C$1:$G$99999,5,FALSE)</f>
        <v>DE LA ROSA ALEX</v>
      </c>
      <c r="M59" s="6">
        <f t="shared" si="1"/>
        <v>2.5196759263053536E-2</v>
      </c>
      <c r="N59" s="7">
        <f t="shared" si="2"/>
        <v>36.283333338797092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-02-25T08:25:27-0700',mode:absolute,to:'2017-02-25T11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97" t="str">
        <f t="shared" si="6"/>
        <v>N</v>
      </c>
      <c r="X59" s="197">
        <f t="shared" si="7"/>
        <v>1</v>
      </c>
      <c r="Y59" s="197">
        <f t="shared" si="8"/>
        <v>4.6199999999999998E-2</v>
      </c>
      <c r="Z59" s="62">
        <f t="shared" si="9"/>
        <v>23.328800000000001</v>
      </c>
      <c r="AA59" s="62">
        <f t="shared" si="10"/>
        <v>23.282600000000002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0147-25</v>
      </c>
      <c r="AE59" s="85" t="str">
        <f t="shared" si="12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59" s="82" t="str">
        <f t="shared" si="13"/>
        <v>"C:\Program Files (x86)\AstroGrep\AstroGrep.exe" /spath="%USERPROFILE%\AppData\Local\Temp\OnboardLogs" /stypes="app*4020*20170225*"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147-25 --locoid 4020 --swversion DE.1.0.9.0 --startMP 204:462 --initTime 2017-02-25T09:25:27 --startdatetime 2017-02-25T09:30:31 --delay 1 --endMP 204:233288 --enddatetime 2017-02-25T10:06:48 --enforcementcount 1 &gt;&gt;C:\Users\stu\Documents\GitHub\eaglep3-reporting\EC\2017-02-25-refined-times.txt</v>
      </c>
      <c r="AI5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{"issue":{"subject":"","project_id":79,"tracker_id":40,"status_id":1,"priority_id":2,"assigned_to_id":23,"start_date":"2017-02-25","description":"","custom_fields":[{"id":1,"name":"Subdivision","value":"EC"},{"id":4,"name":"Milepost","value":"23.3288"},{"id":17,"name":"Train ID","value":"147-25"},{"id":16,"name":"Locomotive ID","value":"4020"},{"id":130,"name":"Impact","value":""},{"id":150,"name":"Time of Event (Mountain Time)","value":"10:06:48"},{"id":151,"name":"Denver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4020 --day 2017-02-25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507</v>
      </c>
      <c r="B60" s="7">
        <v>4019</v>
      </c>
      <c r="C60" s="21" t="s">
        <v>275</v>
      </c>
      <c r="D60" s="21" t="s">
        <v>508</v>
      </c>
      <c r="E60" s="13">
        <v>42791.430578703701</v>
      </c>
      <c r="F60" s="13">
        <v>42791.434930555559</v>
      </c>
      <c r="G60" s="7">
        <v>1</v>
      </c>
      <c r="H60" s="21" t="s">
        <v>258</v>
      </c>
      <c r="I60" s="13">
        <v>42791.462094907409</v>
      </c>
      <c r="J60" s="7">
        <v>1</v>
      </c>
      <c r="K60" s="98" t="str">
        <f t="shared" si="0"/>
        <v>4019/4020</v>
      </c>
      <c r="L60" s="21" t="str">
        <f>VLOOKUP(A60,'Trips&amp;Operators'!$C$1:$G$99999,5,FALSE)</f>
        <v>DE LA ROSA ALEX</v>
      </c>
      <c r="M60" s="6">
        <f t="shared" si="1"/>
        <v>2.7164351849933155E-2</v>
      </c>
      <c r="N60" s="7">
        <f t="shared" si="2"/>
        <v>39.116666663903743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-02-25T09:20:02-0700',mode:absolute,to:'2017-02-25T12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97" t="str">
        <f t="shared" si="6"/>
        <v>N</v>
      </c>
      <c r="X60" s="197">
        <f t="shared" si="7"/>
        <v>1</v>
      </c>
      <c r="Y60" s="197">
        <f t="shared" si="8"/>
        <v>23.297999999999998</v>
      </c>
      <c r="Z60" s="62">
        <f t="shared" si="9"/>
        <v>1.47E-2</v>
      </c>
      <c r="AA60" s="62">
        <f t="shared" si="10"/>
        <v>23.283299999999997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0148-25</v>
      </c>
      <c r="AE60" s="85" t="str">
        <f t="shared" si="12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60" s="82" t="str">
        <f t="shared" si="13"/>
        <v>"C:\Program Files (x86)\AstroGrep\AstroGrep.exe" /spath="%USERPROFILE%\AppData\Local\Temp\OnboardLogs" /stypes="app*4019*20170225*"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148-25 --locoid 4019 --swversion DE.1.0.9.0 --startMP 204:232980 --initTime 2017-02-25T10:20:02 --startdatetime 2017-02-25T10:26:18 --delay 1 --endMP 204:147 --enddatetime 2017-02-25T11:05:25 --enforcementcount 1 &gt;&gt;C:\Users\stu\Documents\GitHub\eaglep3-reporting\EC\2017-02-25-refined-times.txt</v>
      </c>
      <c r="AI6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ID","value":"148-25"},{"id":16,"name":"Locomotive ID","value":"4019"},{"id":130,"name":"Impact","value":""},{"id":150,"name":"Time of Event (Mountain Time)","value":"11:05:25"},{"id":151,"name":"Denver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4019 --day 2017-02-25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509</v>
      </c>
      <c r="B61" s="7">
        <v>4044</v>
      </c>
      <c r="C61" s="21" t="s">
        <v>275</v>
      </c>
      <c r="D61" s="21" t="s">
        <v>261</v>
      </c>
      <c r="E61" s="13">
        <v>42791.403124999997</v>
      </c>
      <c r="F61" s="13">
        <v>42791.406481481485</v>
      </c>
      <c r="G61" s="7">
        <v>2</v>
      </c>
      <c r="H61" s="21" t="s">
        <v>316</v>
      </c>
      <c r="I61" s="13">
        <v>42791.432696759257</v>
      </c>
      <c r="J61" s="7">
        <v>1</v>
      </c>
      <c r="K61" s="98" t="str">
        <f t="shared" si="0"/>
        <v>4043/4044</v>
      </c>
      <c r="L61" s="21" t="str">
        <f>VLOOKUP(A61,'Trips&amp;Operators'!$C$1:$G$99999,5,FALSE)</f>
        <v>BRANDNER MELINDA</v>
      </c>
      <c r="M61" s="6">
        <f t="shared" si="1"/>
        <v>2.6215277772280388E-2</v>
      </c>
      <c r="N61" s="7">
        <f t="shared" si="2"/>
        <v>37.749999992083758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-02-25T08:40:30-0700',mode:absolute,to:'2017-02-25T11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 t="shared" si="6"/>
        <v>N</v>
      </c>
      <c r="X61" s="197">
        <f t="shared" si="7"/>
        <v>1</v>
      </c>
      <c r="Y61" s="197">
        <f t="shared" si="8"/>
        <v>4.7100000000000003E-2</v>
      </c>
      <c r="Z61" s="62">
        <f t="shared" si="9"/>
        <v>23.33</v>
      </c>
      <c r="AA61" s="62">
        <f t="shared" si="10"/>
        <v>23.282899999999998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0149-25</v>
      </c>
      <c r="AE61" s="85" t="str">
        <f t="shared" si="12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61" s="82" t="str">
        <f t="shared" si="13"/>
        <v>"C:\Program Files (x86)\AstroGrep\AstroGrep.exe" /spath="%USERPROFILE%\AppData\Local\Temp\OnboardLogs" /stypes="app*4044*20170225*"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149-25 --locoid 4044 --swversion DE.1.0.9.0 --startMP 204:471 --initTime 2017-02-25T09:40:30 --startdatetime 2017-02-25T09:45:20 --delay 2 --endMP 204:233300 --enddatetime 2017-02-25T10:23:05 --enforcementcount 1 &gt;&gt;C:\Users\stu\Documents\GitHub\eaglep3-reporting\EC\2017-02-25-refined-times.txt</v>
      </c>
      <c r="AI6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{"issue":{"subject":"","project_id":79,"tracker_id":40,"status_id":1,"priority_id":2,"assigned_to_id":23,"start_date":"2017-02-25","description":"","custom_fields":[{"id":1,"name":"Subdivision","value":"EC"},{"id":4,"name":"Milepost","value":"23.33"},{"id":17,"name":"Train ID","value":"149-25"},{"id":16,"name":"Locomotive ID","value":"4044"},{"id":130,"name":"Impact","value":""},{"id":150,"name":"Time of Event (Mountain Time)","value":"10:23:05"},{"id":151,"name":"Denver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4044 --day 2017-02-25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510</v>
      </c>
      <c r="B62" s="7">
        <v>4043</v>
      </c>
      <c r="C62" s="21" t="s">
        <v>275</v>
      </c>
      <c r="D62" s="21" t="s">
        <v>284</v>
      </c>
      <c r="E62" s="13">
        <v>42791.438449074078</v>
      </c>
      <c r="F62" s="13">
        <v>42791.445462962962</v>
      </c>
      <c r="G62" s="7">
        <v>2</v>
      </c>
      <c r="H62" s="21" t="s">
        <v>258</v>
      </c>
      <c r="I62" s="13">
        <v>42791.473113425927</v>
      </c>
      <c r="J62" s="7">
        <v>1</v>
      </c>
      <c r="K62" s="98" t="str">
        <f t="shared" si="0"/>
        <v>4043/4044</v>
      </c>
      <c r="L62" s="21" t="str">
        <f>VLOOKUP(A62,'Trips&amp;Operators'!$C$1:$G$99999,5,FALSE)</f>
        <v>BRANDNER MELINDA</v>
      </c>
      <c r="M62" s="6">
        <f t="shared" si="1"/>
        <v>2.7650462965539191E-2</v>
      </c>
      <c r="N62" s="7">
        <f t="shared" si="2"/>
        <v>39.816666670376435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-02-25T09:31:22-0700',mode:absolute,to:'2017-02-25T12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7" t="str">
        <f t="shared" si="6"/>
        <v>N</v>
      </c>
      <c r="X62" s="197">
        <f t="shared" si="7"/>
        <v>1</v>
      </c>
      <c r="Y62" s="197">
        <f t="shared" si="8"/>
        <v>23.2987</v>
      </c>
      <c r="Z62" s="62">
        <f t="shared" si="9"/>
        <v>1.47E-2</v>
      </c>
      <c r="AA62" s="62">
        <f t="shared" si="10"/>
        <v>23.283999999999999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0150-25</v>
      </c>
      <c r="AE62" s="85" t="str">
        <f t="shared" si="12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62" s="82" t="str">
        <f t="shared" si="13"/>
        <v>"C:\Program Files (x86)\AstroGrep\AstroGrep.exe" /spath="%USERPROFILE%\AppData\Local\Temp\OnboardLogs" /stypes="app*4043*20170225*"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150-25 --locoid 4043 --swversion DE.1.0.9.0 --startMP 204:232987 --initTime 2017-02-25T10:31:22 --startdatetime 2017-02-25T10:41:28 --delay 2 --endMP 204:147 --enddatetime 2017-02-25T11:21:17 --enforcementcount 1 &gt;&gt;C:\Users\stu\Documents\GitHub\eaglep3-reporting\EC\2017-02-25-refined-times.txt</v>
      </c>
      <c r="AI6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ID","value":"150-25"},{"id":16,"name":"Locomotive ID","value":"4043"},{"id":130,"name":"Impact","value":""},{"id":150,"name":"Time of Event (Mountain Time)","value":"11:21:17"},{"id":151,"name":"Denver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4043 --day 2017-02-25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405</v>
      </c>
      <c r="B63" s="7">
        <v>4053</v>
      </c>
      <c r="C63" s="21" t="s">
        <v>275</v>
      </c>
      <c r="D63" s="21" t="s">
        <v>269</v>
      </c>
      <c r="E63" s="13">
        <v>42791.410833333335</v>
      </c>
      <c r="F63" s="13">
        <v>42791.416851851849</v>
      </c>
      <c r="G63" s="7">
        <v>1</v>
      </c>
      <c r="H63" s="21" t="s">
        <v>511</v>
      </c>
      <c r="I63" s="13">
        <v>42791.432615740741</v>
      </c>
      <c r="J63" s="7">
        <v>1</v>
      </c>
      <c r="K63" s="98" t="str">
        <f t="shared" si="0"/>
        <v>4053/4054</v>
      </c>
      <c r="L63" s="21" t="str">
        <f>VLOOKUP(A63,'Trips&amp;Operators'!$C$1:$G$99999,5,FALSE)</f>
        <v>SANTIZO D. EDY</v>
      </c>
      <c r="M63" s="6">
        <f t="shared" si="1"/>
        <v>1.5763888892251998E-2</v>
      </c>
      <c r="N63" s="7"/>
      <c r="O63" s="7"/>
      <c r="P63" s="7">
        <f t="shared" si="2"/>
        <v>22.700000004842877</v>
      </c>
      <c r="Q63" s="22"/>
      <c r="R63" s="22" t="s">
        <v>808</v>
      </c>
      <c r="S63" s="31">
        <f t="shared" si="3"/>
        <v>1</v>
      </c>
      <c r="T63" s="46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-02-25T08:51:36-0700',mode:absolute,to:'2017-02-25T11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3" s="197" t="str">
        <f t="shared" si="6"/>
        <v>Y</v>
      </c>
      <c r="X63" s="197">
        <f t="shared" si="7"/>
        <v>1</v>
      </c>
      <c r="Y63" s="197">
        <f t="shared" si="8"/>
        <v>4.4699999999999997E-2</v>
      </c>
      <c r="Z63" s="62">
        <f t="shared" si="9"/>
        <v>12.784000000000001</v>
      </c>
      <c r="AA63" s="62">
        <f t="shared" si="10"/>
        <v>12.7393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0151-25</v>
      </c>
      <c r="AE63" s="85" t="str">
        <f t="shared" si="12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63" s="82" t="str">
        <f t="shared" si="13"/>
        <v>"C:\Program Files (x86)\AstroGrep\AstroGrep.exe" /spath="%USERPROFILE%\AppData\Local\Temp\OnboardLogs" /stypes="app*4053*20170225*"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151-25 --locoid 4053 --swversion DE.1.0.9.0 --startMP 204:447 --initTime 2017-02-25T09:51:36 --startdatetime 2017-02-25T10:00:16 --delay 1 --endMP 204:127840 --enddatetime 2017-02-25T10:22:58 --enforcementcount 1 &gt;&gt;C:\Users\stu\Documents\GitHub\eaglep3-reporting\EC\2017-02-25-refined-times.txt</v>
      </c>
      <c r="AI63" s="108" t="str">
        <f t="shared" si="19"/>
        <v>echo {"issue":{"subject":"Premature downgrade at 40th 2N","project_id":79,"tracker_id":40,"status_id":1,"priority_id":2,"assigned_to_id":23,"start_date":"2017-02-25","description":"At 10:22:38, Bright 2N dropped from PROCEED CAB to STOP while train was still approaching. Do logs tell of anything interesting?","custom_fields":[{"id":1,"name":"Subdivision","value":"EC"},{"id":4,"name":"Milepost","value":"12.784"},{"id":17,"name":"Train ID","value":"151-25"},{"id":16,"name":"Locomotive ID","value":"4053"},{"id":130,"name":"Impact","value":"Enforcement"},{"id":150,"name":"Time of Event (Mountain Time)","value":"10:22:58"},{"id":151,"name":"Denver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3" s="48" t="s">
        <v>809</v>
      </c>
      <c r="AK63" s="48" t="s">
        <v>124</v>
      </c>
      <c r="AL63" s="48" t="s">
        <v>129</v>
      </c>
      <c r="AM63" s="154" t="str">
        <f t="shared" si="20"/>
        <v>start /low /b %USERPROFILE%\Documents\GitHub\eaglep3\Utilities\DownloadLogsFromS3.py --loco 4053 --day 2017-02-25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512</v>
      </c>
      <c r="B64" s="7">
        <v>4054</v>
      </c>
      <c r="C64" s="21" t="s">
        <v>275</v>
      </c>
      <c r="D64" s="21" t="s">
        <v>513</v>
      </c>
      <c r="E64" s="13">
        <v>42791.443958333337</v>
      </c>
      <c r="F64" s="13">
        <v>42791.455868055556</v>
      </c>
      <c r="G64" s="7">
        <v>1</v>
      </c>
      <c r="H64" s="21" t="s">
        <v>180</v>
      </c>
      <c r="I64" s="13">
        <v>42791.482546296298</v>
      </c>
      <c r="J64" s="7">
        <v>1</v>
      </c>
      <c r="K64" s="98" t="str">
        <f t="shared" si="0"/>
        <v>4053/4054</v>
      </c>
      <c r="L64" s="21" t="str">
        <f>VLOOKUP(A64,'Trips&amp;Operators'!$C$1:$G$99999,5,FALSE)</f>
        <v>SANTIZO D. EDY</v>
      </c>
      <c r="M64" s="6">
        <f t="shared" si="1"/>
        <v>2.6678240741603076E-2</v>
      </c>
      <c r="N64" s="7">
        <f t="shared" si="2"/>
        <v>38.41666666790843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-02-25T09:39:18-0700',mode:absolute,to:'2017-02-25T12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97" t="str">
        <f t="shared" si="6"/>
        <v>N</v>
      </c>
      <c r="X64" s="197">
        <f t="shared" si="7"/>
        <v>1</v>
      </c>
      <c r="Y64" s="197">
        <f t="shared" si="8"/>
        <v>23.305299999999999</v>
      </c>
      <c r="Z64" s="62">
        <f t="shared" si="9"/>
        <v>1.49E-2</v>
      </c>
      <c r="AA64" s="62">
        <f t="shared" si="10"/>
        <v>23.290399999999998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0152-25</v>
      </c>
      <c r="AE64" s="85" t="str">
        <f t="shared" si="12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64" s="82" t="str">
        <f t="shared" si="13"/>
        <v>"C:\Program Files (x86)\AstroGrep\AstroGrep.exe" /spath="%USERPROFILE%\AppData\Local\Temp\OnboardLogs" /stypes="app*4054*20170225*"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152-25 --locoid 4054 --swversion DE.1.0.9.0 --startMP 204:233053 --initTime 2017-02-25T10:39:18 --startdatetime 2017-02-25T10:56:27 --delay 1 --endMP 204:149 --enddatetime 2017-02-25T11:34:52 --enforcementcount 1 &gt;&gt;C:\Users\stu\Documents\GitHub\eaglep3-reporting\EC\2017-02-25-refined-times.txt</v>
      </c>
      <c r="AI6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ID","value":"152-25"},{"id":16,"name":"Locomotive ID","value":"4054"},{"id":130,"name":"Impact","value":""},{"id":150,"name":"Time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4054 --day 2017-02-25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514</v>
      </c>
      <c r="B65" s="7">
        <v>4046</v>
      </c>
      <c r="C65" s="21" t="s">
        <v>275</v>
      </c>
      <c r="D65" s="21" t="s">
        <v>219</v>
      </c>
      <c r="E65" s="13">
        <v>42791.424641203703</v>
      </c>
      <c r="F65" s="13">
        <v>42791.427604166667</v>
      </c>
      <c r="G65" s="7">
        <v>1</v>
      </c>
      <c r="H65" s="21" t="s">
        <v>515</v>
      </c>
      <c r="I65" s="13">
        <v>42791.452731481484</v>
      </c>
      <c r="J65" s="7">
        <v>1</v>
      </c>
      <c r="K65" s="98" t="str">
        <f t="shared" si="0"/>
        <v>4045/4046</v>
      </c>
      <c r="L65" s="21" t="str">
        <f>VLOOKUP(A65,'Trips&amp;Operators'!$C$1:$G$99999,5,FALSE)</f>
        <v>LOZA FIDEL</v>
      </c>
      <c r="M65" s="6">
        <f t="shared" si="1"/>
        <v>2.5127314816927537E-2</v>
      </c>
      <c r="N65" s="7">
        <f t="shared" si="2"/>
        <v>36.183333336375654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-02-25T09:11:29-0700',mode:absolute,to:'2017-02-25T11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197" t="str">
        <f t="shared" si="6"/>
        <v>N</v>
      </c>
      <c r="X65" s="197">
        <f t="shared" si="7"/>
        <v>1</v>
      </c>
      <c r="Y65" s="197">
        <f t="shared" si="8"/>
        <v>4.5699999999999998E-2</v>
      </c>
      <c r="Z65" s="62">
        <f t="shared" si="9"/>
        <v>23.340199999999999</v>
      </c>
      <c r="AA65" s="62">
        <f t="shared" si="10"/>
        <v>23.294499999999999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0153-25</v>
      </c>
      <c r="AE65" s="85" t="str">
        <f t="shared" si="12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65" s="82" t="str">
        <f t="shared" si="13"/>
        <v>"C:\Program Files (x86)\AstroGrep\AstroGrep.exe" /spath="%USERPROFILE%\AppData\Local\Temp\OnboardLogs" /stypes="app*4046*20170225*"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153-25 --locoid 4046 --swversion DE.1.0.9.0 --startMP 204:457 --initTime 2017-02-25T10:11:29 --startdatetime 2017-02-25T10:15:45 --delay 1 --endMP 204:233402 --enddatetime 2017-02-25T10:51:56 --enforcementcount 1 &gt;&gt;C:\Users\stu\Documents\GitHub\eaglep3-reporting\EC\2017-02-25-refined-times.txt</v>
      </c>
      <c r="AI6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{"issue":{"subject":"","project_id":79,"tracker_id":40,"status_id":1,"priority_id":2,"assigned_to_id":23,"start_date":"2017-02-25","description":"","custom_fields":[{"id":1,"name":"Subdivision","value":"EC"},{"id":4,"name":"Milepost","value":"23.3402"},{"id":17,"name":"Train ID","value":"153-25"},{"id":16,"name":"Locomotive ID","value":"4046"},{"id":130,"name":"Impact","value":""},{"id":150,"name":"Time of Event (Mountain Time)","value":"10:51:56"},{"id":151,"name":"Denver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4046 --day 2017-02-25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516</v>
      </c>
      <c r="B66" s="7">
        <v>4045</v>
      </c>
      <c r="C66" s="21" t="s">
        <v>275</v>
      </c>
      <c r="D66" s="21" t="s">
        <v>517</v>
      </c>
      <c r="E66" s="13">
        <v>42791.457152777781</v>
      </c>
      <c r="F66" s="13">
        <v>42791.466446759259</v>
      </c>
      <c r="G66" s="7">
        <v>1</v>
      </c>
      <c r="H66" s="21" t="s">
        <v>200</v>
      </c>
      <c r="I66" s="13">
        <v>42791.493009259262</v>
      </c>
      <c r="J66" s="7">
        <v>1</v>
      </c>
      <c r="K66" s="98" t="str">
        <f t="shared" si="0"/>
        <v>4045/4046</v>
      </c>
      <c r="L66" s="21" t="str">
        <f>VLOOKUP(A66,'Trips&amp;Operators'!$C$1:$G$99999,5,FALSE)</f>
        <v>LOZA FIDEL</v>
      </c>
      <c r="M66" s="6">
        <f t="shared" si="1"/>
        <v>2.6562500002910383E-2</v>
      </c>
      <c r="N66" s="7">
        <f t="shared" si="2"/>
        <v>38.250000004190952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-02-25T09:58:18-0700',mode:absolute,to:'2017-02-25T12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197" t="str">
        <f t="shared" si="6"/>
        <v>N</v>
      </c>
      <c r="X66" s="197">
        <f t="shared" si="7"/>
        <v>1</v>
      </c>
      <c r="Y66" s="197">
        <f t="shared" si="8"/>
        <v>23.3111</v>
      </c>
      <c r="Z66" s="62">
        <f t="shared" si="9"/>
        <v>1.5800000000000002E-2</v>
      </c>
      <c r="AA66" s="62">
        <f t="shared" si="10"/>
        <v>23.295300000000001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0154-25</v>
      </c>
      <c r="AE66" s="85" t="str">
        <f t="shared" si="12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66" s="82" t="str">
        <f t="shared" si="13"/>
        <v>"C:\Program Files (x86)\AstroGrep\AstroGrep.exe" /spath="%USERPROFILE%\AppData\Local\Temp\OnboardLogs" /stypes="app*4045*20170225*"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154-25 --locoid 4045 --swversion DE.1.0.9.0 --startMP 204:233111 --initTime 2017-02-25T10:58:18 --startdatetime 2017-02-25T11:11:41 --delay 1 --endMP 204:158 --enddatetime 2017-02-25T11:49:56 --enforcementcount 1 &gt;&gt;C:\Users\stu\Documents\GitHub\eaglep3-reporting\EC\2017-02-25-refined-times.txt</v>
      </c>
      <c r="AI6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ID","value":"154-25"},{"id":16,"name":"Locomotive ID","value":"4045"},{"id":130,"name":"Impact","value":""},{"id":150,"name":"Time of Event (Mountain Time)","value":"11:49:56"},{"id":151,"name":"Denver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4045 --day 2017-02-25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518</v>
      </c>
      <c r="B67" s="7">
        <v>4018</v>
      </c>
      <c r="C67" s="21" t="s">
        <v>275</v>
      </c>
      <c r="D67" s="21" t="s">
        <v>375</v>
      </c>
      <c r="E67" s="13">
        <v>42791.433865740742</v>
      </c>
      <c r="F67" s="13">
        <v>42791.437777777777</v>
      </c>
      <c r="G67" s="7">
        <v>1</v>
      </c>
      <c r="H67" s="21" t="s">
        <v>519</v>
      </c>
      <c r="I67" s="13">
        <v>42791.463043981479</v>
      </c>
      <c r="J67" s="7">
        <v>1</v>
      </c>
      <c r="K67" s="98" t="str">
        <f t="shared" si="0"/>
        <v>4017/4018</v>
      </c>
      <c r="L67" s="21" t="str">
        <f>VLOOKUP(A67,'Trips&amp;Operators'!$C$1:$G$99999,5,FALSE)</f>
        <v>HOLCOMB KAMDEN</v>
      </c>
      <c r="M67" s="6">
        <f t="shared" si="1"/>
        <v>2.5266203701903578E-2</v>
      </c>
      <c r="N67" s="7">
        <f t="shared" si="2"/>
        <v>36.383333330741152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-02-25T09:24:46-0700',mode:absolute,to:'2017-02-25T12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97" t="str">
        <f t="shared" si="6"/>
        <v>N</v>
      </c>
      <c r="X67" s="197">
        <f t="shared" si="7"/>
        <v>1</v>
      </c>
      <c r="Y67" s="197">
        <f t="shared" si="8"/>
        <v>5.0200000000000002E-2</v>
      </c>
      <c r="Z67" s="62">
        <f t="shared" si="9"/>
        <v>23.334299999999999</v>
      </c>
      <c r="AA67" s="62">
        <f t="shared" si="10"/>
        <v>23.284099999999999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0155-25</v>
      </c>
      <c r="AE67" s="85" t="str">
        <f t="shared" si="12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67" s="82" t="str">
        <f t="shared" si="13"/>
        <v>"C:\Program Files (x86)\AstroGrep\AstroGrep.exe" /spath="%USERPROFILE%\AppData\Local\Temp\OnboardLogs" /stypes="app*4018*20170225*"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155-25 --locoid 4018 --swversion DE.1.0.9.0 --startMP 204:502 --initTime 2017-02-25T10:24:46 --startdatetime 2017-02-25T10:30:24 --delay 1 --endMP 204:233343 --enddatetime 2017-02-25T11:06:47 --enforcementcount 1 &gt;&gt;C:\Users\stu\Documents\GitHub\eaglep3-reporting\EC\2017-02-25-refined-times.txt</v>
      </c>
      <c r="AI6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{"issue":{"subject":"","project_id":79,"tracker_id":40,"status_id":1,"priority_id":2,"assigned_to_id":23,"start_date":"2017-02-25","description":"","custom_fields":[{"id":1,"name":"Subdivision","value":"EC"},{"id":4,"name":"Milepost","value":"23.3343"},{"id":17,"name":"Train ID","value":"155-25"},{"id":16,"name":"Locomotive ID","value":"4018"},{"id":130,"name":"Impact","value":""},{"id":150,"name":"Time of Event (Mountain Time)","value":"11:06:47"},{"id":151,"name":"Denver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4018 --day 2017-02-25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406</v>
      </c>
      <c r="B68" s="7">
        <v>4017</v>
      </c>
      <c r="C68" s="21" t="s">
        <v>275</v>
      </c>
      <c r="D68" s="21" t="s">
        <v>377</v>
      </c>
      <c r="E68" s="13">
        <v>42791.464212962965</v>
      </c>
      <c r="F68" s="13">
        <v>42791.476701388892</v>
      </c>
      <c r="G68" s="7">
        <v>1</v>
      </c>
      <c r="H68" s="21" t="s">
        <v>520</v>
      </c>
      <c r="I68" s="13">
        <v>42791.505185185182</v>
      </c>
      <c r="J68" s="7">
        <v>1</v>
      </c>
      <c r="K68" s="98" t="str">
        <f t="shared" si="0"/>
        <v>4017/4018</v>
      </c>
      <c r="L68" s="21" t="str">
        <f>VLOOKUP(A68,'Trips&amp;Operators'!$C$1:$G$99999,5,FALSE)</f>
        <v>HOLCOMB KAMDEN</v>
      </c>
      <c r="M68" s="6">
        <f t="shared" si="1"/>
        <v>2.848379628994735E-2</v>
      </c>
      <c r="N68" s="7">
        <f t="shared" si="2"/>
        <v>41.016666657524183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-02-25T10:08:28-0700',mode:absolute,to:'2017-02-25T13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97" t="str">
        <f t="shared" si="6"/>
        <v>N</v>
      </c>
      <c r="X68" s="197">
        <f t="shared" si="7"/>
        <v>1</v>
      </c>
      <c r="Y68" s="197">
        <f t="shared" si="8"/>
        <v>23.301300000000001</v>
      </c>
      <c r="Z68" s="62">
        <f t="shared" si="9"/>
        <v>1.34E-2</v>
      </c>
      <c r="AA68" s="62">
        <f t="shared" si="10"/>
        <v>23.2879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11"/>
        <v>0156-25</v>
      </c>
      <c r="AE68" s="85" t="str">
        <f t="shared" si="12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68" s="82" t="str">
        <f t="shared" si="13"/>
        <v>"C:\Program Files (x86)\AstroGrep\AstroGrep.exe" /spath="%USERPROFILE%\AppData\Local\Temp\OnboardLogs" /stypes="app*4017*20170225*"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156-25 --locoid 4017 --swversion DE.1.0.9.0 --startMP 204:233013 --initTime 2017-02-25T11:08:28 --startdatetime 2017-02-25T11:26:27 --delay 1 --endMP 204:134 --enddatetime 2017-02-25T12:07:28 --enforcementcount 1 &gt;&gt;C:\Users\stu\Documents\GitHub\eaglep3-reporting\EC\2017-02-25-refined-times.txt</v>
      </c>
      <c r="AI68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{"issue":{"subject":"","project_id":79,"tracker_id":40,"status_id":1,"priority_id":2,"assigned_to_id":23,"start_date":"2017-02-25","description":"","custom_fields":[{"id":1,"name":"Subdivision","value":"EC"},{"id":4,"name":"Milepost","value":"0.0134"},{"id":17,"name":"Train ID","value":"156-25"},{"id":16,"name":"Locomotive ID","value":"4017"},{"id":130,"name":"Impact","value":""},{"id":150,"name":"Time of Event (Mountain Time)","value":"12:07:28"},{"id":151,"name":"Denver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4017 --day 2017-02-25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521</v>
      </c>
      <c r="B69" s="7">
        <v>4051</v>
      </c>
      <c r="C69" s="21" t="s">
        <v>275</v>
      </c>
      <c r="D69" s="21" t="s">
        <v>277</v>
      </c>
      <c r="E69" s="13">
        <v>42791.444849537038</v>
      </c>
      <c r="F69" s="13">
        <v>42791.448101851849</v>
      </c>
      <c r="G69" s="7">
        <v>1</v>
      </c>
      <c r="H69" s="21" t="s">
        <v>285</v>
      </c>
      <c r="I69" s="13">
        <v>42791.47314814815</v>
      </c>
      <c r="J69" s="7">
        <v>1</v>
      </c>
      <c r="K69" s="98" t="str">
        <f t="shared" si="0"/>
        <v>4051/4052</v>
      </c>
      <c r="L69" s="21" t="str">
        <f>VLOOKUP(A69,'Trips&amp;Operators'!$C$1:$G$99999,5,FALSE)</f>
        <v>GEBRETEKLE DAGNEW</v>
      </c>
      <c r="M69" s="6">
        <f t="shared" si="1"/>
        <v>2.5046296301297843E-2</v>
      </c>
      <c r="N69" s="7">
        <f t="shared" si="2"/>
        <v>36.066666673868895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-02-25T09:40:35-0700',mode:absolute,to:'2017-02-25T12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197" t="str">
        <f t="shared" si="6"/>
        <v>N</v>
      </c>
      <c r="X69" s="197">
        <f t="shared" si="7"/>
        <v>1</v>
      </c>
      <c r="Y69" s="197">
        <f t="shared" si="8"/>
        <v>4.58E-2</v>
      </c>
      <c r="Z69" s="62">
        <f t="shared" si="9"/>
        <v>23.331399999999999</v>
      </c>
      <c r="AA69" s="62">
        <f t="shared" si="10"/>
        <v>23.285599999999999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0157-25</v>
      </c>
      <c r="AE69" s="85" t="str">
        <f t="shared" si="12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69" s="82" t="str">
        <f t="shared" si="13"/>
        <v>"C:\Program Files (x86)\AstroGrep\AstroGrep.exe" /spath="%USERPROFILE%\AppData\Local\Temp\OnboardLogs" /stypes="app*4051*20170225*"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157-25 --locoid 4051 --swversion DE.1.0.9.0 --startMP 204:458 --initTime 2017-02-25T10:40:35 --startdatetime 2017-02-25T10:45:16 --delay 1 --endMP 204:233314 --enddatetime 2017-02-25T11:21:20 --enforcementcount 1 &gt;&gt;C:\Users\stu\Documents\GitHub\eaglep3-reporting\EC\2017-02-25-refined-times.txt</v>
      </c>
      <c r="AI69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{"issue":{"subject":"","project_id":79,"tracker_id":40,"status_id":1,"priority_id":2,"assigned_to_id":23,"start_date":"2017-02-25","description":"","custom_fields":[{"id":1,"name":"Subdivision","value":"EC"},{"id":4,"name":"Milepost","value":"23.3314"},{"id":17,"name":"Train ID","value":"157-25"},{"id":16,"name":"Locomotive ID","value":"4051"},{"id":130,"name":"Impact","value":""},{"id":150,"name":"Time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4051 --day 2017-02-25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522</v>
      </c>
      <c r="B70" s="7">
        <v>4052</v>
      </c>
      <c r="C70" s="21" t="s">
        <v>275</v>
      </c>
      <c r="D70" s="21" t="s">
        <v>368</v>
      </c>
      <c r="E70" s="13">
        <v>42791.482164351852</v>
      </c>
      <c r="F70" s="13">
        <v>42791.486990740741</v>
      </c>
      <c r="G70" s="7">
        <v>1</v>
      </c>
      <c r="H70" s="21" t="s">
        <v>192</v>
      </c>
      <c r="I70" s="13">
        <v>42791.515370370369</v>
      </c>
      <c r="J70" s="7">
        <v>1</v>
      </c>
      <c r="K70" s="98" t="str">
        <f t="shared" si="0"/>
        <v>4051/4052</v>
      </c>
      <c r="L70" s="21" t="str">
        <f>VLOOKUP(A70,'Trips&amp;Operators'!$C$1:$G$99999,5,FALSE)</f>
        <v>GEBRETEKLE DAGNEW</v>
      </c>
      <c r="M70" s="6">
        <f t="shared" si="1"/>
        <v>2.8379629628034309E-2</v>
      </c>
      <c r="N70" s="7">
        <f t="shared" si="2"/>
        <v>40.866666664369404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-02-25T10:34:19-0700',mode:absolute,to:'2017-02-25T13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0" s="197" t="str">
        <f t="shared" si="6"/>
        <v>N</v>
      </c>
      <c r="X70" s="197">
        <f t="shared" si="7"/>
        <v>1</v>
      </c>
      <c r="Y70" s="197">
        <f t="shared" si="8"/>
        <v>23.297699999999999</v>
      </c>
      <c r="Z70" s="62">
        <f t="shared" si="9"/>
        <v>1.4500000000000001E-2</v>
      </c>
      <c r="AA70" s="62">
        <f t="shared" si="10"/>
        <v>23.283199999999997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0158-25</v>
      </c>
      <c r="AE70" s="85" t="str">
        <f t="shared" si="12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70" s="82" t="str">
        <f t="shared" si="13"/>
        <v>"C:\Program Files (x86)\AstroGrep\AstroGrep.exe" /spath="%USERPROFILE%\AppData\Local\Temp\OnboardLogs" /stypes="app*4052*20170225*"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158-25 --locoid 4052 --swversion DE.1.0.9.0 --startMP 204:232977 --initTime 2017-02-25T11:34:19 --startdatetime 2017-02-25T11:41:16 --delay 1 --endMP 204:145 --enddatetime 2017-02-25T12:22:08 --enforcementcount 1 &gt;&gt;C:\Users\stu\Documents\GitHub\eaglep3-reporting\EC\2017-02-25-refined-times.txt</v>
      </c>
      <c r="AI70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{"issue":{"subject":"","project_id":79,"tracker_id":40,"status_id":1,"priority_id":2,"assigned_to_id":23,"start_date":"2017-02-25","description":"","custom_fields":[{"id":1,"name":"Subdivision","value":"EC"},{"id":4,"name":"Milepost","value":"0.0145"},{"id":17,"name":"Train ID","value":"158-25"},{"id":16,"name":"Locomotive ID","value":"4052"},{"id":130,"name":"Impact","value":""},{"id":150,"name":"Time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4052 --day 2017-02-25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523</v>
      </c>
      <c r="B71" s="7">
        <v>4027</v>
      </c>
      <c r="C71" s="21" t="s">
        <v>275</v>
      </c>
      <c r="D71" s="21" t="s">
        <v>245</v>
      </c>
      <c r="E71" s="13">
        <v>42791.454027777778</v>
      </c>
      <c r="F71" s="13">
        <v>42791.458564814813</v>
      </c>
      <c r="G71" s="7">
        <v>2</v>
      </c>
      <c r="H71" s="21" t="s">
        <v>367</v>
      </c>
      <c r="I71" s="13">
        <v>42791.483738425923</v>
      </c>
      <c r="J71" s="7">
        <v>1</v>
      </c>
      <c r="K71" s="98" t="str">
        <f t="shared" si="0"/>
        <v>4027/4028</v>
      </c>
      <c r="L71" s="21" t="str">
        <f>VLOOKUP(A71,'Trips&amp;Operators'!$C$1:$G$99999,5,FALSE)</f>
        <v>STEWART MICHAEL</v>
      </c>
      <c r="M71" s="6">
        <f t="shared" si="1"/>
        <v>2.5173611109494232E-2</v>
      </c>
      <c r="N71" s="7">
        <f t="shared" si="2"/>
        <v>36.249999997671694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-02-25T09:53:48-0700',mode:absolute,to:'2017-02-25T12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197" t="str">
        <f t="shared" si="6"/>
        <v>N</v>
      </c>
      <c r="X71" s="197">
        <f t="shared" si="7"/>
        <v>1</v>
      </c>
      <c r="Y71" s="197">
        <f t="shared" si="8"/>
        <v>4.6399999999999997E-2</v>
      </c>
      <c r="Z71" s="62">
        <f t="shared" si="9"/>
        <v>23.331199999999999</v>
      </c>
      <c r="AA71" s="62">
        <f t="shared" si="10"/>
        <v>23.284800000000001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0159-25</v>
      </c>
      <c r="AE71" s="85" t="str">
        <f t="shared" si="12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71" s="82" t="str">
        <f t="shared" si="13"/>
        <v>"C:\Program Files (x86)\AstroGrep\AstroGrep.exe" /spath="%USERPROFILE%\AppData\Local\Temp\OnboardLogs" /stypes="app*4027*20170225*"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159-25 --locoid 4027 --swversion DE.1.0.9.0 --startMP 204:464 --initTime 2017-02-25T10:53:48 --startdatetime 2017-02-25T11:00:20 --delay 2 --endMP 204:233312 --enddatetime 2017-02-25T11:36:35 --enforcementcount 1 &gt;&gt;C:\Users\stu\Documents\GitHub\eaglep3-reporting\EC\2017-02-25-refined-times.txt</v>
      </c>
      <c r="AI71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{"issue":{"subject":"","project_id":79,"tracker_id":40,"status_id":1,"priority_id":2,"assigned_to_id":23,"start_date":"2017-02-25","description":"","custom_fields":[{"id":1,"name":"Subdivision","value":"EC"},{"id":4,"name":"Milepost","value":"23.3312"},{"id":17,"name":"Train ID","value":"159-25"},{"id":16,"name":"Locomotive ID","value":"4027"},{"id":130,"name":"Impact","value":""},{"id":150,"name":"Time of Event (Mountain Time)","value":"11:36:35"},{"id":151,"name":"Denver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4027 --day 2017-02-25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524</v>
      </c>
      <c r="B72" s="7">
        <v>4028</v>
      </c>
      <c r="C72" s="21" t="s">
        <v>275</v>
      </c>
      <c r="D72" s="21" t="s">
        <v>525</v>
      </c>
      <c r="E72" s="13">
        <v>42791.492881944447</v>
      </c>
      <c r="F72" s="13">
        <v>42791.497442129628</v>
      </c>
      <c r="G72" s="7">
        <v>2</v>
      </c>
      <c r="H72" s="21" t="s">
        <v>254</v>
      </c>
      <c r="I72" s="13">
        <v>42791.525451388887</v>
      </c>
      <c r="J72" s="7">
        <v>1</v>
      </c>
      <c r="K72" s="98" t="str">
        <f t="shared" si="0"/>
        <v>4027/4028</v>
      </c>
      <c r="L72" s="21" t="str">
        <f>VLOOKUP(A72,'Trips&amp;Operators'!$C$1:$G$99999,5,FALSE)</f>
        <v>STEWART MICHAEL</v>
      </c>
      <c r="M72" s="6">
        <f t="shared" si="1"/>
        <v>2.8009259258396924E-2</v>
      </c>
      <c r="N72" s="7">
        <f t="shared" si="2"/>
        <v>40.33333333209157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-02-25T10:49:45-0700',mode:absolute,to:'2017-02-25T13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2" s="197" t="str">
        <f t="shared" si="6"/>
        <v>N</v>
      </c>
      <c r="X72" s="197">
        <f t="shared" si="7"/>
        <v>1</v>
      </c>
      <c r="Y72" s="197">
        <f t="shared" si="8"/>
        <v>23.2986</v>
      </c>
      <c r="Z72" s="62">
        <f t="shared" si="9"/>
        <v>1.3599999999999999E-2</v>
      </c>
      <c r="AA72" s="62">
        <f t="shared" si="10"/>
        <v>23.285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0160-25</v>
      </c>
      <c r="AE72" s="85" t="str">
        <f t="shared" si="12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72" s="82" t="str">
        <f t="shared" si="13"/>
        <v>"C:\Program Files (x86)\AstroGrep\AstroGrep.exe" /spath="%USERPROFILE%\AppData\Local\Temp\OnboardLogs" /stypes="app*4028*20170225*"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160-25 --locoid 4028 --swversion DE.1.0.9.0 --startMP 204:232986 --initTime 2017-02-25T11:49:45 --startdatetime 2017-02-25T11:56:19 --delay 2 --endMP 204:136 --enddatetime 2017-02-25T12:36:39 --enforcementcount 1 &gt;&gt;C:\Users\stu\Documents\GitHub\eaglep3-reporting\EC\2017-02-25-refined-times.txt</v>
      </c>
      <c r="AI72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{"issue":{"subject":"","project_id":79,"tracker_id":40,"status_id":1,"priority_id":2,"assigned_to_id":23,"start_date":"2017-02-25","description":"","custom_fields":[{"id":1,"name":"Subdivision","value":"EC"},{"id":4,"name":"Milepost","value":"0.0136"},{"id":17,"name":"Train ID","value":"160-25"},{"id":16,"name":"Locomotive ID","value":"4028"},{"id":130,"name":"Impact","value":""},{"id":150,"name":"Time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4028 --day 2017-02-25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526</v>
      </c>
      <c r="B73" s="7">
        <v>4020</v>
      </c>
      <c r="C73" s="21" t="s">
        <v>275</v>
      </c>
      <c r="D73" s="21" t="s">
        <v>257</v>
      </c>
      <c r="E73" s="13">
        <v>42791.465520833335</v>
      </c>
      <c r="F73" s="13">
        <v>42791.469398148147</v>
      </c>
      <c r="G73" s="7">
        <v>1</v>
      </c>
      <c r="H73" s="21" t="s">
        <v>278</v>
      </c>
      <c r="I73" s="13">
        <v>42791.496354166666</v>
      </c>
      <c r="J73" s="7">
        <v>1</v>
      </c>
      <c r="K73" s="98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2.6956018518831115E-2</v>
      </c>
      <c r="N73" s="7">
        <f t="shared" si="2"/>
        <v>38.816666667116806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-02-25T10:10:21-0700',mode:absolute,to:'2017-02-25T12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97" t="str">
        <f t="shared" si="6"/>
        <v>N</v>
      </c>
      <c r="X73" s="197">
        <f t="shared" si="7"/>
        <v>1</v>
      </c>
      <c r="Y73" s="197">
        <f t="shared" si="8"/>
        <v>4.4400000000000002E-2</v>
      </c>
      <c r="Z73" s="62">
        <f t="shared" si="9"/>
        <v>23.333200000000001</v>
      </c>
      <c r="AA73" s="62">
        <f t="shared" si="10"/>
        <v>23.288800000000002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0161-25</v>
      </c>
      <c r="AE73" s="85" t="str">
        <f t="shared" si="12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73" s="82" t="str">
        <f t="shared" si="13"/>
        <v>"C:\Program Files (x86)\AstroGrep\AstroGrep.exe" /spath="%USERPROFILE%\AppData\Local\Temp\OnboardLogs" /stypes="app*4020*20170225*"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161-25 --locoid 4020 --swversion DE.1.0.9.0 --startMP 204:444 --initTime 2017-02-25T11:10:21 --startdatetime 2017-02-25T11:15:56 --delay 1 --endMP 204:233332 --enddatetime 2017-02-25T11:54:45 --enforcementcount 1 &gt;&gt;C:\Users\stu\Documents\GitHub\eaglep3-reporting\EC\2017-02-25-refined-times.txt</v>
      </c>
      <c r="AI73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{"issue":{"subject":"","project_id":79,"tracker_id":40,"status_id":1,"priority_id":2,"assigned_to_id":23,"start_date":"2017-02-25","description":"","custom_fields":[{"id":1,"name":"Subdivision","value":"EC"},{"id":4,"name":"Milepost","value":"23.3332"},{"id":17,"name":"Train ID","value":"161-25"},{"id":16,"name":"Locomotive ID","value":"4020"},{"id":130,"name":"Impact","value":""},{"id":150,"name":"Time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4020 --day 2017-02-25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</row>
    <row r="74" spans="1:91" s="20" customFormat="1" x14ac:dyDescent="0.25">
      <c r="A74" s="33" t="s">
        <v>527</v>
      </c>
      <c r="B74" s="7">
        <v>4019</v>
      </c>
      <c r="C74" s="21" t="s">
        <v>275</v>
      </c>
      <c r="D74" s="21" t="s">
        <v>528</v>
      </c>
      <c r="E74" s="13">
        <v>42791.503680555557</v>
      </c>
      <c r="F74" s="13">
        <v>42791.508113425924</v>
      </c>
      <c r="G74" s="7">
        <v>2</v>
      </c>
      <c r="H74" s="21" t="s">
        <v>529</v>
      </c>
      <c r="I74" s="13">
        <v>42791.536921296298</v>
      </c>
      <c r="J74" s="7">
        <v>1</v>
      </c>
      <c r="K74" s="98" t="str">
        <f t="shared" si="0"/>
        <v>4019/4020</v>
      </c>
      <c r="L74" s="21" t="str">
        <f>VLOOKUP(A74,'Trips&amp;Operators'!$C$1:$G$99999,5,FALSE)</f>
        <v>DAVIS MICHAEL</v>
      </c>
      <c r="M74" s="6">
        <f t="shared" si="1"/>
        <v>2.8807870374293998E-2</v>
      </c>
      <c r="N74" s="7">
        <f t="shared" si="2"/>
        <v>41.483333338983357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-02-25T11:05:18-0700',mode:absolute,to:'2017-02-25T13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97" t="str">
        <f t="shared" si="6"/>
        <v>N</v>
      </c>
      <c r="X74" s="197">
        <f t="shared" si="7"/>
        <v>1</v>
      </c>
      <c r="Y74" s="197">
        <f t="shared" si="8"/>
        <v>23.300999999999998</v>
      </c>
      <c r="Z74" s="62">
        <f t="shared" si="9"/>
        <v>1.29E-2</v>
      </c>
      <c r="AA74" s="62">
        <f t="shared" si="10"/>
        <v>23.2881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0162-25</v>
      </c>
      <c r="AE74" s="85" t="str">
        <f t="shared" si="12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74" s="82" t="str">
        <f t="shared" si="13"/>
        <v>"C:\Program Files (x86)\AstroGrep\AstroGrep.exe" /spath="%USERPROFILE%\AppData\Local\Temp\OnboardLogs" /stypes="app*4019*20170225*"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162-25 --locoid 4019 --swversion DE.1.0.9.0 --startMP 204:233010 --initTime 2017-02-25T12:05:18 --startdatetime 2017-02-25T12:11:41 --delay 2 --endMP 204:129 --enddatetime 2017-02-25T12:53:10 --enforcementcount 1 &gt;&gt;C:\Users\stu\Documents\GitHub\eaglep3-reporting\EC\2017-02-25-refined-times.txt</v>
      </c>
      <c r="AI74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{"issue":{"subject":"","project_id":79,"tracker_id":40,"status_id":1,"priority_id":2,"assigned_to_id":23,"start_date":"2017-02-25","description":"","custom_fields":[{"id":1,"name":"Subdivision","value":"EC"},{"id":4,"name":"Milepost","value":"0.0129"},{"id":17,"name":"Train ID","value":"162-25"},{"id":16,"name":"Locomotive ID","value":"4019"},{"id":130,"name":"Impact","value":""},{"id":150,"name":"Time of Event (Mountain Time)","value":"12:53:10"},{"id":151,"name":"Denver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4019 --day 2017-02-25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530</v>
      </c>
      <c r="B75" s="7">
        <v>4044</v>
      </c>
      <c r="C75" s="21" t="s">
        <v>275</v>
      </c>
      <c r="D75" s="21" t="s">
        <v>238</v>
      </c>
      <c r="E75" s="13">
        <v>42791.477164351854</v>
      </c>
      <c r="F75" s="13">
        <v>42791.479363425926</v>
      </c>
      <c r="G75" s="7">
        <v>1</v>
      </c>
      <c r="H75" s="21" t="s">
        <v>440</v>
      </c>
      <c r="I75" s="13">
        <v>42791.504201388889</v>
      </c>
      <c r="J75" s="7">
        <v>1</v>
      </c>
      <c r="K75" s="98" t="str">
        <f t="shared" si="0"/>
        <v>4043/4044</v>
      </c>
      <c r="L75" s="21" t="str">
        <f>VLOOKUP(A75,'Trips&amp;Operators'!$C$1:$G$99999,5,FALSE)</f>
        <v>BRUDER RICHARD</v>
      </c>
      <c r="M75" s="6">
        <f t="shared" si="1"/>
        <v>2.4837962962919846E-2</v>
      </c>
      <c r="N75" s="7">
        <f t="shared" si="2"/>
        <v>35.766666666604578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-02-25T10:27:07-0700',mode:absolute,to:'2017-02-25T13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7" t="str">
        <f t="shared" si="6"/>
        <v>N</v>
      </c>
      <c r="X75" s="197">
        <f t="shared" si="7"/>
        <v>1</v>
      </c>
      <c r="Y75" s="197">
        <f t="shared" si="8"/>
        <v>4.5499999999999999E-2</v>
      </c>
      <c r="Z75" s="62">
        <f t="shared" si="9"/>
        <v>23.327999999999999</v>
      </c>
      <c r="AA75" s="62">
        <f t="shared" si="10"/>
        <v>23.282499999999999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0163-25</v>
      </c>
      <c r="AE75" s="85" t="str">
        <f t="shared" si="12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75" s="82" t="str">
        <f t="shared" si="13"/>
        <v>"C:\Program Files (x86)\AstroGrep\AstroGrep.exe" /spath="%USERPROFILE%\AppData\Local\Temp\OnboardLogs" /stypes="app*4044*20170225*"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163-25 --locoid 4044 --swversion DE.1.0.9.0 --startMP 204:455 --initTime 2017-02-25T11:27:07 --startdatetime 2017-02-25T11:30:17 --delay 1 --endMP 204:233280 --enddatetime 2017-02-25T12:06:03 --enforcementcount 1 &gt;&gt;C:\Users\stu\Documents\GitHub\eaglep3-reporting\EC\2017-02-25-refined-times.txt</v>
      </c>
      <c r="AI75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{"issue":{"subject":"","project_id":79,"tracker_id":40,"status_id":1,"priority_id":2,"assigned_to_id":23,"start_date":"2017-02-25","description":"","custom_fields":[{"id":1,"name":"Subdivision","value":"EC"},{"id":4,"name":"Milepost","value":"23.328"},{"id":17,"name":"Train ID","value":"163-25"},{"id":16,"name":"Locomotive ID","value":"4044"},{"id":130,"name":"Impact","value":""},{"id":150,"name":"Time of Event (Mountain Time)","value":"12:06:03"},{"id":151,"name":"Denver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4044 --day 2017-02-25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531</v>
      </c>
      <c r="B76" s="7">
        <v>4043</v>
      </c>
      <c r="C76" s="21" t="s">
        <v>275</v>
      </c>
      <c r="D76" s="21" t="s">
        <v>302</v>
      </c>
      <c r="E76" s="13">
        <v>42791.514722222222</v>
      </c>
      <c r="F76" s="13">
        <v>42791.518275462964</v>
      </c>
      <c r="G76" s="7">
        <v>1</v>
      </c>
      <c r="H76" s="21" t="s">
        <v>200</v>
      </c>
      <c r="I76" s="13">
        <v>42791.545034722221</v>
      </c>
      <c r="J76" s="7">
        <v>1</v>
      </c>
      <c r="K76" s="98" t="str">
        <f t="shared" si="0"/>
        <v>4043/4044</v>
      </c>
      <c r="L76" s="21" t="str">
        <f>VLOOKUP(A76,'Trips&amp;Operators'!$C$1:$G$99999,5,FALSE)</f>
        <v>BRUDER RICHARD</v>
      </c>
      <c r="M76" s="6">
        <f t="shared" si="1"/>
        <v>2.675925925723277E-2</v>
      </c>
      <c r="N76" s="7">
        <f t="shared" si="2"/>
        <v>38.533333330415189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-02-25T11:21:12-0700',mode:absolute,to:'2017-02-25T14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7" t="str">
        <f t="shared" si="6"/>
        <v>N</v>
      </c>
      <c r="X76" s="197">
        <f t="shared" si="7"/>
        <v>1</v>
      </c>
      <c r="Y76" s="197">
        <f t="shared" si="8"/>
        <v>23.2988</v>
      </c>
      <c r="Z76" s="62">
        <f t="shared" si="9"/>
        <v>1.5800000000000002E-2</v>
      </c>
      <c r="AA76" s="62">
        <f t="shared" si="10"/>
        <v>23.283000000000001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0164-25</v>
      </c>
      <c r="AE76" s="85" t="str">
        <f t="shared" si="12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76" s="82" t="str">
        <f t="shared" si="13"/>
        <v>"C:\Program Files (x86)\AstroGrep\AstroGrep.exe" /spath="%USERPROFILE%\AppData\Local\Temp\OnboardLogs" /stypes="app*4043*20170225*"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164-25 --locoid 4043 --swversion DE.1.0.9.0 --startMP 204:232988 --initTime 2017-02-25T12:21:12 --startdatetime 2017-02-25T12:26:19 --delay 1 --endMP 204:158 --enddatetime 2017-02-25T13:04:51 --enforcementcount 1 &gt;&gt;C:\Users\stu\Documents\GitHub\eaglep3-reporting\EC\2017-02-25-refined-times.txt</v>
      </c>
      <c r="AI76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ID","value":"164-25"},{"id":16,"name":"Locomotive ID","value":"4043"},{"id":130,"name":"Impact","value":""},{"id":150,"name":"Time of Event (Mountain Time)","value":"13:04:51"},{"id":151,"name":"Denver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4043 --day 2017-02-25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532</v>
      </c>
      <c r="B77" s="7">
        <v>4053</v>
      </c>
      <c r="C77" s="21" t="s">
        <v>275</v>
      </c>
      <c r="D77" s="21" t="s">
        <v>533</v>
      </c>
      <c r="E77" s="13">
        <v>42791.483773148146</v>
      </c>
      <c r="F77" s="13">
        <v>42791.489791666667</v>
      </c>
      <c r="G77" s="7">
        <v>1</v>
      </c>
      <c r="H77" s="21" t="s">
        <v>264</v>
      </c>
      <c r="I77" s="13">
        <v>42791.515451388892</v>
      </c>
      <c r="J77" s="7">
        <v>1</v>
      </c>
      <c r="K77" s="98" t="str">
        <f t="shared" ref="K77:K140" si="21">IF(ISEVEN(B77),(B77-1)&amp;"/"&amp;B77,B77&amp;"/"&amp;(B77+1))</f>
        <v>4053/4054</v>
      </c>
      <c r="L77" s="21" t="str">
        <f>VLOOKUP(A77,'Trips&amp;Operators'!$C$1:$G$99999,5,FALSE)</f>
        <v>KILLION DAVID</v>
      </c>
      <c r="M77" s="6">
        <f t="shared" ref="M77:M140" si="22">I77-F77</f>
        <v>2.5659722225100268E-2</v>
      </c>
      <c r="N77" s="7">
        <f t="shared" ref="N77:N140" si="23">24*60*SUM($M77:$M77)</f>
        <v>36.950000004144385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-25T10:36:38-0700',mode:absolute,to:'2017-02-25T13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7" s="197" t="str">
        <f t="shared" ref="W77:W140" si="27">IF(AA77&lt;IF(AG77="EC",23,5.65),"Y","N")</f>
        <v>N</v>
      </c>
      <c r="X77" s="197">
        <f t="shared" ref="X77:X140" si="28">VALUE(LEFT(AD77,4))-VALUE(LEFT(AD76,4))</f>
        <v>1</v>
      </c>
      <c r="Y77" s="197">
        <f t="shared" ref="Y77:Y140" si="29">RIGHT(D77,LEN(D77)-4)/10000</f>
        <v>4.1300000000000003E-2</v>
      </c>
      <c r="Z77" s="62">
        <f t="shared" ref="Z77:Z140" si="30">RIGHT(H77,LEN(H77)-4)/10000</f>
        <v>23.331700000000001</v>
      </c>
      <c r="AA77" s="62">
        <f t="shared" ref="AA77:AA140" si="31">ABS(Z77-Y77)</f>
        <v>23.290400000000002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0165-25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/stypes="app*4053*20170225*"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165-25 --locoid 4053 --swversion DE.1.0.9.0 --startMP 204:413 --initTime 2017-02-25T11:36:38 --startdatetime 2017-02-25T11:45:18 --delay 1 --endMP 204:233317 --enddatetime 2017-02-25T12:22:15 --enforcementcount 1 &gt;&gt;C:\Users\stu\Documents\GitHub\eaglep3-reporting\EC\2017-02-25-refined-times.txt</v>
      </c>
      <c r="AI77" s="108" t="str">
        <f t="shared" si="19"/>
        <v>echo {"issue":{"subject":"","project_id":79,"tracker_id":40,"status_id":1,"priority_id":2,"assigned_to_id":23,"start_date":"2017-02-25","description":"","custom_fields":[{"id":1,"name":"Subdivision","value":"EC"},{"id":4,"name":"Milepost","value":"23.3317"},{"id":17,"name":"Train ID","value":"165-25"},{"id":16,"name":"Locomotive ID","value":"4053"},{"id":130,"name":"Impact","value":""},{"id":150,"name":"Time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4053 --day 2017-02-25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409</v>
      </c>
      <c r="B78" s="7">
        <v>4054</v>
      </c>
      <c r="C78" s="21" t="s">
        <v>275</v>
      </c>
      <c r="D78" s="21" t="s">
        <v>242</v>
      </c>
      <c r="E78" s="13">
        <v>42791.522835648146</v>
      </c>
      <c r="F78" s="13">
        <v>42791.528738425928</v>
      </c>
      <c r="G78" s="7">
        <v>1</v>
      </c>
      <c r="H78" s="21" t="s">
        <v>199</v>
      </c>
      <c r="I78" s="13">
        <v>42791.556956018518</v>
      </c>
      <c r="J78" s="7">
        <v>1</v>
      </c>
      <c r="K78" s="98" t="str">
        <f t="shared" si="21"/>
        <v>4053/4054</v>
      </c>
      <c r="L78" s="21" t="str">
        <f>VLOOKUP(A78,'Trips&amp;Operators'!$C$1:$G$99999,5,FALSE)</f>
        <v>KILLION DAVID</v>
      </c>
      <c r="M78" s="6">
        <f t="shared" si="22"/>
        <v>2.8217592589498963E-2</v>
      </c>
      <c r="N78" s="7">
        <f t="shared" si="23"/>
        <v>40.633333328878507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6"/>
        <v>https://d0f6bd738d7f1b3e5a7ca70fe4ff75f0.us-east-1.aws.found.io/app/kibana#/discover/Steve-Slow-Train-Analysis-(2080s-and-2083s)?_g=(refreshInterval:(display:Off,pause:!f,section:0,value:0),time:(from:'2017-02-25T11:32:53-0700',mode:absolute,to:'2017-02-25T14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97" t="str">
        <f t="shared" si="27"/>
        <v>N</v>
      </c>
      <c r="X78" s="197">
        <f t="shared" si="28"/>
        <v>1</v>
      </c>
      <c r="Y78" s="197">
        <f t="shared" si="29"/>
        <v>23.299099999999999</v>
      </c>
      <c r="Z78" s="62">
        <f t="shared" si="30"/>
        <v>1.52E-2</v>
      </c>
      <c r="AA78" s="62">
        <f t="shared" si="31"/>
        <v>23.283899999999999</v>
      </c>
      <c r="AB78" s="59" t="str">
        <f>VLOOKUP(A78,Enforcements!$C$7:$K$13,8,0)</f>
        <v>Bulletin (2)</v>
      </c>
      <c r="AC78" s="55" t="str">
        <f>VLOOKUP(A78,Enforcements!$C$7:$E$13,3,0)</f>
        <v>GRADE CROSSING</v>
      </c>
      <c r="AD78" s="56" t="str">
        <f t="shared" si="32"/>
        <v>0166-25</v>
      </c>
      <c r="AE78" s="85" t="str">
        <f t="shared" si="33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78" s="82" t="str">
        <f t="shared" si="34"/>
        <v>"C:\Program Files (x86)\AstroGrep\AstroGrep.exe" /spath="%USERPROFILE%\AppData\Local\Temp\OnboardLogs" /stypes="app*4054*20170225*"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166-25 --locoid 4054 --swversion DE.1.0.9.0 --startMP 204:232991 --initTime 2017-02-25T12:32:53 --startdatetime 2017-02-25T12:41:23 --delay 1 --endMP 204:152 --enddatetime 2017-02-25T13:22:01 --enforcementcount 1 &gt;&gt;C:\Users\stu\Documents\GitHub\eaglep3-reporting\EC\2017-02-25-refined-times.txt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{"issue":{"subject":"","project_id":79,"tracker_id":40,"status_id":1,"priority_id":2,"assigned_to_id":23,"start_date":"2017-02-25","description":"","custom_fields":[{"id":1,"name":"Subdivision","value":"EC"},{"id":4,"name":"Milepost","value":"0.0152"},{"id":17,"name":"Train ID","value":"166-25"},{"id":16,"name":"Locomotive ID","value":"4054"},{"id":130,"name":"Impact","value":""},{"id":150,"name":"Time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8">"start /low /b "&amp;dls3logs&amp;" --loco "&amp;B78&amp;" --day "&amp;TEXT(F78,"YYYY-MM-DD")</f>
        <v>start /low /b %USERPROFILE%\Documents\GitHub\eaglep3\Utilities\DownloadLogsFromS3.py --loco 4054 --day 2017-02-25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</row>
    <row r="79" spans="1:91" s="20" customFormat="1" x14ac:dyDescent="0.25">
      <c r="A79" s="33" t="s">
        <v>407</v>
      </c>
      <c r="B79" s="7">
        <v>4046</v>
      </c>
      <c r="C79" s="21" t="s">
        <v>275</v>
      </c>
      <c r="D79" s="21" t="s">
        <v>269</v>
      </c>
      <c r="E79" s="13">
        <v>42791.495775462965</v>
      </c>
      <c r="F79" s="13">
        <v>42791.500173611108</v>
      </c>
      <c r="G79" s="7">
        <v>2</v>
      </c>
      <c r="H79" s="21" t="s">
        <v>373</v>
      </c>
      <c r="I79" s="13">
        <v>42791.524884259263</v>
      </c>
      <c r="J79" s="7">
        <v>1</v>
      </c>
      <c r="K79" s="98" t="str">
        <f t="shared" si="21"/>
        <v>4045/4046</v>
      </c>
      <c r="L79" s="21" t="str">
        <f>VLOOKUP(A79,'Trips&amp;Operators'!$C$1:$G$99999,5,FALSE)</f>
        <v>LEVIN SCOTT</v>
      </c>
      <c r="M79" s="6">
        <f t="shared" si="22"/>
        <v>2.4710648154723458E-2</v>
      </c>
      <c r="N79" s="7">
        <f t="shared" si="23"/>
        <v>35.58333334280178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6"/>
        <v>https://d0f6bd738d7f1b3e5a7ca70fe4ff75f0.us-east-1.aws.found.io/app/kibana#/discover/Steve-Slow-Train-Analysis-(2080s-and-2083s)?_g=(refreshInterval:(display:Off,pause:!f,section:0,value:0),time:(from:'2017-02-25T10:53:55-0700',mode:absolute,to:'2017-02-25T13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197" t="str">
        <f t="shared" si="27"/>
        <v>N</v>
      </c>
      <c r="X79" s="197">
        <f t="shared" si="28"/>
        <v>1</v>
      </c>
      <c r="Y79" s="197">
        <f t="shared" si="29"/>
        <v>4.4699999999999997E-2</v>
      </c>
      <c r="Z79" s="62">
        <f t="shared" si="30"/>
        <v>23.332999999999998</v>
      </c>
      <c r="AA79" s="62">
        <f t="shared" si="31"/>
        <v>23.2883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0167-25</v>
      </c>
      <c r="AE79" s="85" t="str">
        <f t="shared" si="33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79" s="82" t="str">
        <f t="shared" si="34"/>
        <v>"C:\Program Files (x86)\AstroGrep\AstroGrep.exe" /spath="%USERPROFILE%\AppData\Local\Temp\OnboardLogs" /stypes="app*4046*20170225*"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167-25 --locoid 4046 --swversion DE.1.0.9.0 --startMP 204:447 --initTime 2017-02-25T11:53:55 --startdatetime 2017-02-25T12:00:15 --delay 2 --endMP 204:233330 --enddatetime 2017-02-25T12:35:50 --enforcementcount 1 &gt;&gt;C:\Users\stu\Documents\GitHub\eaglep3-reporting\EC\2017-02-25-refined-times.txt</v>
      </c>
      <c r="AI7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{"issue":{"subject":"","project_id":79,"tracker_id":40,"status_id":1,"priority_id":2,"assigned_to_id":23,"start_date":"2017-02-25","description":"","custom_fields":[{"id":1,"name":"Subdivision","value":"EC"},{"id":4,"name":"Milepost","value":"23.333"},{"id":17,"name":"Train ID","value":"167-25"},{"id":16,"name":"Locomotive ID","value":"4046"},{"id":130,"name":"Impact","value":""},{"id":150,"name":"Time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4046 --day 2017-02-25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534</v>
      </c>
      <c r="B80" s="7">
        <v>4045</v>
      </c>
      <c r="C80" s="21" t="s">
        <v>275</v>
      </c>
      <c r="D80" s="21" t="s">
        <v>535</v>
      </c>
      <c r="E80" s="13">
        <v>42791.531331018516</v>
      </c>
      <c r="F80" s="13">
        <v>42791.5390625</v>
      </c>
      <c r="G80" s="7">
        <v>1</v>
      </c>
      <c r="H80" s="21" t="s">
        <v>254</v>
      </c>
      <c r="I80" s="13">
        <v>42791.566145833334</v>
      </c>
      <c r="J80" s="7">
        <v>1</v>
      </c>
      <c r="K80" s="98" t="str">
        <f t="shared" si="21"/>
        <v>4045/4046</v>
      </c>
      <c r="L80" s="21" t="str">
        <f>VLOOKUP(A80,'Trips&amp;Operators'!$C$1:$G$99999,5,FALSE)</f>
        <v>LEVIN SCOTT</v>
      </c>
      <c r="M80" s="6">
        <f t="shared" si="22"/>
        <v>2.7083333334303461E-2</v>
      </c>
      <c r="N80" s="7">
        <f t="shared" si="23"/>
        <v>39.000000001396984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6"/>
        <v>https://d0f6bd738d7f1b3e5a7ca70fe4ff75f0.us-east-1.aws.found.io/app/kibana#/discover/Steve-Slow-Train-Analysis-(2080s-and-2083s)?_g=(refreshInterval:(display:Off,pause:!f,section:0,value:0),time:(from:'2017-02-25T11:45:07-0700',mode:absolute,to:'2017-02-25T14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197" t="str">
        <f t="shared" si="27"/>
        <v>N</v>
      </c>
      <c r="X80" s="197">
        <f t="shared" si="28"/>
        <v>1</v>
      </c>
      <c r="Y80" s="197">
        <f t="shared" si="29"/>
        <v>23.3005</v>
      </c>
      <c r="Z80" s="62">
        <f t="shared" si="30"/>
        <v>1.3599999999999999E-2</v>
      </c>
      <c r="AA80" s="62">
        <f t="shared" si="31"/>
        <v>23.286899999999999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0168-25</v>
      </c>
      <c r="AE80" s="85" t="str">
        <f t="shared" si="33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80" s="82" t="str">
        <f t="shared" si="34"/>
        <v>"C:\Program Files (x86)\AstroGrep\AstroGrep.exe" /spath="%USERPROFILE%\AppData\Local\Temp\OnboardLogs" /stypes="app*4045*20170225*"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168-25 --locoid 4045 --swversion DE.1.0.9.0 --startMP 204:233005 --initTime 2017-02-25T12:45:07 --startdatetime 2017-02-25T12:56:15 --delay 1 --endMP 204:136 --enddatetime 2017-02-25T13:35:15 --enforcementcount 1 &gt;&gt;C:\Users\stu\Documents\GitHub\eaglep3-reporting\EC\2017-02-25-refined-times.txt</v>
      </c>
      <c r="AI8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{"issue":{"subject":"","project_id":79,"tracker_id":40,"status_id":1,"priority_id":2,"assigned_to_id":23,"start_date":"2017-02-25","description":"","custom_fields":[{"id":1,"name":"Subdivision","value":"EC"},{"id":4,"name":"Milepost","value":"0.0136"},{"id":17,"name":"Train ID","value":"168-25"},{"id":16,"name":"Locomotive ID","value":"4045"},{"id":130,"name":"Impact","value":""},{"id":150,"name":"Time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4045 --day 2017-02-25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536</v>
      </c>
      <c r="B81" s="7">
        <v>4018</v>
      </c>
      <c r="C81" s="21" t="s">
        <v>275</v>
      </c>
      <c r="D81" s="21" t="s">
        <v>318</v>
      </c>
      <c r="E81" s="13">
        <v>42791.506574074076</v>
      </c>
      <c r="F81" s="13">
        <v>42791.510601851849</v>
      </c>
      <c r="G81" s="7">
        <v>1</v>
      </c>
      <c r="H81" s="21" t="s">
        <v>537</v>
      </c>
      <c r="I81" s="13">
        <v>42791.535694444443</v>
      </c>
      <c r="J81" s="7">
        <v>1</v>
      </c>
      <c r="K81" s="98" t="str">
        <f t="shared" si="21"/>
        <v>4017/4018</v>
      </c>
      <c r="L81" s="21" t="str">
        <f>VLOOKUP(A81,'Trips&amp;Operators'!$C$1:$G$99999,5,FALSE)</f>
        <v>WHITED DUSTIN</v>
      </c>
      <c r="M81" s="6">
        <f t="shared" si="22"/>
        <v>2.5092592593864538E-2</v>
      </c>
      <c r="N81" s="7">
        <f t="shared" si="23"/>
        <v>36.133333335164934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6"/>
        <v>https://d0f6bd738d7f1b3e5a7ca70fe4ff75f0.us-east-1.aws.found.io/app/kibana#/discover/Steve-Slow-Train-Analysis-(2080s-and-2083s)?_g=(refreshInterval:(display:Off,pause:!f,section:0,value:0),time:(from:'2017-02-25T11:09:28-0700',mode:absolute,to:'2017-02-25T13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97" t="str">
        <f t="shared" si="27"/>
        <v>N</v>
      </c>
      <c r="X81" s="197">
        <f t="shared" si="28"/>
        <v>1</v>
      </c>
      <c r="Y81" s="197">
        <f t="shared" si="29"/>
        <v>4.4200000000000003E-2</v>
      </c>
      <c r="Z81" s="62">
        <f t="shared" si="30"/>
        <v>23.3353</v>
      </c>
      <c r="AA81" s="62">
        <f t="shared" si="31"/>
        <v>23.2911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0169-25</v>
      </c>
      <c r="AE81" s="85" t="str">
        <f t="shared" si="33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81" s="82" t="str">
        <f t="shared" si="34"/>
        <v>"C:\Program Files (x86)\AstroGrep\AstroGrep.exe" /spath="%USERPROFILE%\AppData\Local\Temp\OnboardLogs" /stypes="app*4018*20170225*"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169-25 --locoid 4018 --swversion DE.1.0.9.0 --startMP 204:442 --initTime 2017-02-25T12:09:28 --startdatetime 2017-02-25T12:15:16 --delay 1 --endMP 204:233353 --enddatetime 2017-02-25T12:51:24 --enforcementcount 1 &gt;&gt;C:\Users\stu\Documents\GitHub\eaglep3-reporting\EC\2017-02-25-refined-times.txt</v>
      </c>
      <c r="AI8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{"issue":{"subject":"","project_id":79,"tracker_id":40,"status_id":1,"priority_id":2,"assigned_to_id":23,"start_date":"2017-02-25","description":"","custom_fields":[{"id":1,"name":"Subdivision","value":"EC"},{"id":4,"name":"Milepost","value":"23.3353"},{"id":17,"name":"Train ID","value":"169-25"},{"id":16,"name":"Locomotive ID","value":"4018"},{"id":130,"name":"Impact","value":""},{"id":150,"name":"Time of Event (Mountain Time)","value":"12:51:24"},{"id":151,"name":"Denver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4018 --day 2017-02-25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538</v>
      </c>
      <c r="B82" s="7">
        <v>4017</v>
      </c>
      <c r="C82" s="21" t="s">
        <v>275</v>
      </c>
      <c r="D82" s="21" t="s">
        <v>539</v>
      </c>
      <c r="E82" s="13">
        <v>42791.541979166665</v>
      </c>
      <c r="F82" s="13">
        <v>42791.549537037034</v>
      </c>
      <c r="G82" s="7">
        <v>1</v>
      </c>
      <c r="H82" s="21" t="s">
        <v>366</v>
      </c>
      <c r="I82" s="13">
        <v>42791.576944444445</v>
      </c>
      <c r="J82" s="7">
        <v>1</v>
      </c>
      <c r="K82" s="98" t="str">
        <f t="shared" si="21"/>
        <v>4017/4018</v>
      </c>
      <c r="L82" s="21" t="str">
        <f>VLOOKUP(A82,'Trips&amp;Operators'!$C$1:$G$99999,5,FALSE)</f>
        <v>WHITED DUSTIN</v>
      </c>
      <c r="M82" s="6">
        <f t="shared" si="22"/>
        <v>2.7407407411374152E-2</v>
      </c>
      <c r="N82" s="7">
        <f t="shared" si="23"/>
        <v>39.466666672378778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6"/>
        <v>https://d0f6bd738d7f1b3e5a7ca70fe4ff75f0.us-east-1.aws.found.io/app/kibana#/discover/Steve-Slow-Train-Analysis-(2080s-and-2083s)?_g=(refreshInterval:(display:Off,pause:!f,section:0,value:0),time:(from:'2017-02-25T12:00:27-0700',mode:absolute,to:'2017-02-25T14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97" t="str">
        <f t="shared" si="27"/>
        <v>N</v>
      </c>
      <c r="X82" s="197">
        <f t="shared" si="28"/>
        <v>1</v>
      </c>
      <c r="Y82" s="197">
        <f t="shared" si="29"/>
        <v>23.303799999999999</v>
      </c>
      <c r="Z82" s="62">
        <f t="shared" si="30"/>
        <v>8.6999999999999994E-3</v>
      </c>
      <c r="AA82" s="62">
        <f t="shared" si="31"/>
        <v>23.295099999999998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0170-25</v>
      </c>
      <c r="AE82" s="85" t="str">
        <f t="shared" si="33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82" s="82" t="str">
        <f t="shared" si="34"/>
        <v>"C:\Program Files (x86)\AstroGrep\AstroGrep.exe" /spath="%USERPROFILE%\AppData\Local\Temp\OnboardLogs" /stypes="app*4017*20170225*"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170-25 --locoid 4017 --swversion DE.1.0.9.0 --startMP 204:233038 --initTime 2017-02-25T13:00:27 --startdatetime 2017-02-25T13:11:20 --delay 1 --endMP 204:87 --enddatetime 2017-02-25T13:50:48 --enforcementcount 1 &gt;&gt;C:\Users\stu\Documents\GitHub\eaglep3-reporting\EC\2017-02-25-refined-times.txt</v>
      </c>
      <c r="AI8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{"issue":{"subject":"","project_id":79,"tracker_id":40,"status_id":1,"priority_id":2,"assigned_to_id":23,"start_date":"2017-02-25","description":"","custom_fields":[{"id":1,"name":"Subdivision","value":"EC"},{"id":4,"name":"Milepost","value":"0.0087"},{"id":17,"name":"Train ID","value":"170-25"},{"id":16,"name":"Locomotive ID","value":"4017"},{"id":130,"name":"Impact","value":""},{"id":150,"name":"Time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4017 --day 2017-02-25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540</v>
      </c>
      <c r="B83" s="7">
        <v>4051</v>
      </c>
      <c r="C83" s="21" t="s">
        <v>275</v>
      </c>
      <c r="D83" s="21" t="s">
        <v>261</v>
      </c>
      <c r="E83" s="13">
        <v>42791.517638888887</v>
      </c>
      <c r="F83" s="13">
        <v>42791.521168981482</v>
      </c>
      <c r="G83" s="7">
        <v>1</v>
      </c>
      <c r="H83" s="21" t="s">
        <v>541</v>
      </c>
      <c r="I83" s="13">
        <v>42791.547071759262</v>
      </c>
      <c r="J83" s="7">
        <v>1</v>
      </c>
      <c r="K83" s="98" t="str">
        <f t="shared" si="21"/>
        <v>4051/4052</v>
      </c>
      <c r="L83" s="21" t="str">
        <f>VLOOKUP(A83,'Trips&amp;Operators'!$C$1:$G$99999,5,FALSE)</f>
        <v>MCREYNOLDS KYLE</v>
      </c>
      <c r="M83" s="6">
        <f t="shared" si="22"/>
        <v>2.5902777779265307E-2</v>
      </c>
      <c r="N83" s="7">
        <f t="shared" si="23"/>
        <v>37.300000002142042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6"/>
        <v>https://d0f6bd738d7f1b3e5a7ca70fe4ff75f0.us-east-1.aws.found.io/app/kibana#/discover/Steve-Slow-Train-Analysis-(2080s-and-2083s)?_g=(refreshInterval:(display:Off,pause:!f,section:0,value:0),time:(from:'2017-02-25T11:25:24-0700',mode:absolute,to:'2017-02-25T14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197" t="str">
        <f t="shared" si="27"/>
        <v>N</v>
      </c>
      <c r="X83" s="197">
        <f t="shared" si="28"/>
        <v>1</v>
      </c>
      <c r="Y83" s="197">
        <f t="shared" si="29"/>
        <v>4.7100000000000003E-2</v>
      </c>
      <c r="Z83" s="62">
        <f t="shared" si="30"/>
        <v>23.3339</v>
      </c>
      <c r="AA83" s="62">
        <f t="shared" si="31"/>
        <v>23.286799999999999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0171-25</v>
      </c>
      <c r="AE83" s="85" t="str">
        <f t="shared" si="33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83" s="82" t="str">
        <f t="shared" si="34"/>
        <v>"C:\Program Files (x86)\AstroGrep\AstroGrep.exe" /spath="%USERPROFILE%\AppData\Local\Temp\OnboardLogs" /stypes="app*4051*20170225*"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171-25 --locoid 4051 --swversion DE.1.0.9.0 --startMP 204:471 --initTime 2017-02-25T12:25:24 --startdatetime 2017-02-25T12:30:29 --delay 1 --endMP 204:233339 --enddatetime 2017-02-25T13:07:47 --enforcementcount 1 &gt;&gt;C:\Users\stu\Documents\GitHub\eaglep3-reporting\EC\2017-02-25-refined-times.txt</v>
      </c>
      <c r="AI8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{"issue":{"subject":"","project_id":79,"tracker_id":40,"status_id":1,"priority_id":2,"assigned_to_id":23,"start_date":"2017-02-25","description":"","custom_fields":[{"id":1,"name":"Subdivision","value":"EC"},{"id":4,"name":"Milepost","value":"23.3339"},{"id":17,"name":"Train ID","value":"171-25"},{"id":16,"name":"Locomotive ID","value":"4051"},{"id":130,"name":"Impact","value":""},{"id":150,"name":"Time of Event (Mountain Time)","value":"13:07:47"},{"id":151,"name":"Denver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4051 --day 2017-02-25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542</v>
      </c>
      <c r="B84" s="7">
        <v>4052</v>
      </c>
      <c r="C84" s="21" t="s">
        <v>275</v>
      </c>
      <c r="D84" s="21" t="s">
        <v>382</v>
      </c>
      <c r="E84" s="13">
        <v>42791.554571759261</v>
      </c>
      <c r="F84" s="13">
        <v>42791.559930555559</v>
      </c>
      <c r="G84" s="7">
        <v>1</v>
      </c>
      <c r="H84" s="21" t="s">
        <v>200</v>
      </c>
      <c r="I84" s="13">
        <v>42791.588263888887</v>
      </c>
      <c r="J84" s="7">
        <v>1</v>
      </c>
      <c r="K84" s="98" t="str">
        <f t="shared" si="21"/>
        <v>4051/4052</v>
      </c>
      <c r="L84" s="21" t="str">
        <f>VLOOKUP(A84,'Trips&amp;Operators'!$C$1:$G$99999,5,FALSE)</f>
        <v>MCREYNOLDS KYLE</v>
      </c>
      <c r="M84" s="6">
        <f t="shared" si="22"/>
        <v>2.8333333328191657E-2</v>
      </c>
      <c r="N84" s="7">
        <f t="shared" si="23"/>
        <v>40.799999992595986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6"/>
        <v>https://d0f6bd738d7f1b3e5a7ca70fe4ff75f0.us-east-1.aws.found.io/app/kibana#/discover/Steve-Slow-Train-Analysis-(2080s-and-2083s)?_g=(refreshInterval:(display:Off,pause:!f,section:0,value:0),time:(from:'2017-02-25T12:18:35-0700',mode:absolute,to:'2017-02-25T15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197" t="str">
        <f t="shared" si="27"/>
        <v>N</v>
      </c>
      <c r="X84" s="197">
        <f t="shared" si="28"/>
        <v>1</v>
      </c>
      <c r="Y84" s="197">
        <f t="shared" si="29"/>
        <v>23.302099999999999</v>
      </c>
      <c r="Z84" s="62">
        <f t="shared" si="30"/>
        <v>1.5800000000000002E-2</v>
      </c>
      <c r="AA84" s="62">
        <f t="shared" si="31"/>
        <v>23.286300000000001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0172-25</v>
      </c>
      <c r="AE84" s="85" t="str">
        <f t="shared" si="33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84" s="82" t="str">
        <f t="shared" si="34"/>
        <v>"C:\Program Files (x86)\AstroGrep\AstroGrep.exe" /spath="%USERPROFILE%\AppData\Local\Temp\OnboardLogs" /stypes="app*4052*20170225*"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172-25 --locoid 4052 --swversion DE.1.0.9.0 --startMP 204:233021 --initTime 2017-02-25T13:18:35 --startdatetime 2017-02-25T13:26:18 --delay 1 --endMP 204:158 --enddatetime 2017-02-25T14:07:06 --enforcementcount 1 &gt;&gt;C:\Users\stu\Documents\GitHub\eaglep3-reporting\EC\2017-02-25-refined-times.txt</v>
      </c>
      <c r="AI8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ID","value":"172-25"},{"id":16,"name":"Locomotive ID","value":"4052"},{"id":130,"name":"Impact","value":""},{"id":150,"name":"Time of Event (Mountain Time)","value":"14:07:06"},{"id":151,"name":"Denver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4052 --day 2017-02-25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543</v>
      </c>
      <c r="B85" s="7">
        <v>4027</v>
      </c>
      <c r="C85" s="21" t="s">
        <v>275</v>
      </c>
      <c r="D85" s="21" t="s">
        <v>198</v>
      </c>
      <c r="E85" s="13">
        <v>42791.52752314815</v>
      </c>
      <c r="F85" s="13">
        <v>42791.531458333331</v>
      </c>
      <c r="G85" s="7">
        <v>1</v>
      </c>
      <c r="H85" s="21" t="s">
        <v>467</v>
      </c>
      <c r="I85" s="13">
        <v>42791.557175925926</v>
      </c>
      <c r="J85" s="7">
        <v>1</v>
      </c>
      <c r="K85" s="98" t="str">
        <f t="shared" si="21"/>
        <v>4027/4028</v>
      </c>
      <c r="L85" s="21" t="str">
        <f>VLOOKUP(A85,'Trips&amp;Operators'!$C$1:$G$99999,5,FALSE)</f>
        <v>STEWART MICHAEL</v>
      </c>
      <c r="M85" s="6">
        <f t="shared" si="22"/>
        <v>2.5717592594446614E-2</v>
      </c>
      <c r="N85" s="7">
        <f t="shared" si="23"/>
        <v>37.033333336003125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6"/>
        <v>https://d0f6bd738d7f1b3e5a7ca70fe4ff75f0.us-east-1.aws.found.io/app/kibana#/discover/Steve-Slow-Train-Analysis-(2080s-and-2083s)?_g=(refreshInterval:(display:Off,pause:!f,section:0,value:0),time:(from:'2017-02-25T11:39:38-0700',mode:absolute,to:'2017-02-25T14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197" t="str">
        <f t="shared" si="27"/>
        <v>N</v>
      </c>
      <c r="X85" s="197">
        <f t="shared" si="28"/>
        <v>1</v>
      </c>
      <c r="Y85" s="197">
        <f t="shared" si="29"/>
        <v>4.6199999999999998E-2</v>
      </c>
      <c r="Z85" s="62">
        <f t="shared" si="30"/>
        <v>23.331900000000001</v>
      </c>
      <c r="AA85" s="62">
        <f t="shared" si="31"/>
        <v>23.285700000000002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0173-25</v>
      </c>
      <c r="AE85" s="85" t="str">
        <f t="shared" si="33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85" s="82" t="str">
        <f t="shared" si="34"/>
        <v>"C:\Program Files (x86)\AstroGrep\AstroGrep.exe" /spath="%USERPROFILE%\AppData\Local\Temp\OnboardLogs" /stypes="app*4027*20170225*"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173-25 --locoid 4027 --swversion DE.1.0.9.0 --startMP 204:462 --initTime 2017-02-25T12:39:38 --startdatetime 2017-02-25T12:45:18 --delay 1 --endMP 204:233319 --enddatetime 2017-02-25T13:22:20 --enforcementcount 1 &gt;&gt;C:\Users\stu\Documents\GitHub\eaglep3-reporting\EC\2017-02-25-refined-times.txt</v>
      </c>
      <c r="AI8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{"issue":{"subject":"","project_id":79,"tracker_id":40,"status_id":1,"priority_id":2,"assigned_to_id":23,"start_date":"2017-02-25","description":"","custom_fields":[{"id":1,"name":"Subdivision","value":"EC"},{"id":4,"name":"Milepost","value":"23.3319"},{"id":17,"name":"Train ID","value":"173-25"},{"id":16,"name":"Locomotive ID","value":"4027"},{"id":130,"name":"Impact","value":""},{"id":150,"name":"Time of Event (Mountain Time)","value":"13:22:20"},{"id":151,"name":"Denver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4027 --day 2017-02-25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544</v>
      </c>
      <c r="B86" s="7">
        <v>4028</v>
      </c>
      <c r="C86" s="21" t="s">
        <v>275</v>
      </c>
      <c r="D86" s="21" t="s">
        <v>240</v>
      </c>
      <c r="E86" s="13">
        <v>42791.56622685185</v>
      </c>
      <c r="F86" s="13">
        <v>42791.604490740741</v>
      </c>
      <c r="G86" s="7">
        <v>1</v>
      </c>
      <c r="H86" s="21" t="s">
        <v>180</v>
      </c>
      <c r="I86" s="13">
        <v>42791.629699074074</v>
      </c>
      <c r="J86" s="7">
        <v>1</v>
      </c>
      <c r="K86" s="98" t="str">
        <f t="shared" si="21"/>
        <v>4027/4028</v>
      </c>
      <c r="L86" s="21" t="str">
        <f>VLOOKUP(A86,'Trips&amp;Operators'!$C$1:$G$99999,5,FALSE)</f>
        <v>STEWART MICHAEL</v>
      </c>
      <c r="M86" s="6">
        <f t="shared" si="22"/>
        <v>2.5208333332557231E-2</v>
      </c>
      <c r="N86" s="7">
        <f t="shared" si="23"/>
        <v>36.299999998882413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6"/>
        <v>https://d0f6bd738d7f1b3e5a7ca70fe4ff75f0.us-east-1.aws.found.io/app/kibana#/discover/Steve-Slow-Train-Analysis-(2080s-and-2083s)?_g=(refreshInterval:(display:Off,pause:!f,section:0,value:0),time:(from:'2017-02-25T12:35:22-0700',mode:absolute,to:'2017-02-25T16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6" s="197" t="str">
        <f t="shared" si="27"/>
        <v>N</v>
      </c>
      <c r="X86" s="197">
        <f t="shared" si="28"/>
        <v>1</v>
      </c>
      <c r="Y86" s="197">
        <f t="shared" si="29"/>
        <v>23.299299999999999</v>
      </c>
      <c r="Z86" s="62">
        <f t="shared" si="30"/>
        <v>1.49E-2</v>
      </c>
      <c r="AA86" s="62">
        <f t="shared" si="31"/>
        <v>23.284399999999998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0174-25</v>
      </c>
      <c r="AE86" s="85" t="str">
        <f t="shared" si="33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86" s="82" t="str">
        <f t="shared" si="34"/>
        <v>"C:\Program Files (x86)\AstroGrep\AstroGrep.exe" /spath="%USERPROFILE%\AppData\Local\Temp\OnboardLogs" /stypes="app*4028*20170225*" /stext=" 22:.+((SYSTEM_STATE.+slice.+state.+changed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174-25 --locoid 4028 --swversion DE.1.0.9.0 --startMP 204:232993 --initTime 2017-02-25T13:35:22 --startdatetime 2017-02-25T14:30:28 --delay 1 --endMP 204:149 --enddatetime 2017-02-25T15:06:46 --enforcementcount 1 &gt;&gt;C:\Users\stu\Documents\GitHub\eaglep3-reporting\EC\2017-02-25-refined-times.txt</v>
      </c>
      <c r="AI8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ID","value":"174-25"},{"id":16,"name":"Locomotive ID","value":"4028"},{"id":130,"name":"Impact","value":""},{"id":150,"name":"Time of Event (Mountain Time)","value":"15:06:46"},{"id":151,"name":"Denver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4028 --day 2017-02-25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</row>
    <row r="87" spans="1:91" s="20" customFormat="1" x14ac:dyDescent="0.25">
      <c r="A87" s="33" t="s">
        <v>545</v>
      </c>
      <c r="B87" s="7">
        <v>4020</v>
      </c>
      <c r="C87" s="21" t="s">
        <v>275</v>
      </c>
      <c r="D87" s="21" t="s">
        <v>219</v>
      </c>
      <c r="E87" s="13">
        <v>42791.539166666669</v>
      </c>
      <c r="F87" s="13">
        <v>42791.542175925926</v>
      </c>
      <c r="G87" s="7">
        <v>1</v>
      </c>
      <c r="H87" s="21" t="s">
        <v>270</v>
      </c>
      <c r="I87" s="13">
        <v>42791.568414351852</v>
      </c>
      <c r="J87" s="7">
        <v>1</v>
      </c>
      <c r="K87" s="98" t="str">
        <f t="shared" si="21"/>
        <v>4019/4020</v>
      </c>
      <c r="L87" s="21" t="str">
        <f>VLOOKUP(A87,'Trips&amp;Operators'!$C$1:$G$99999,5,FALSE)</f>
        <v>DAVIS MICHAEL</v>
      </c>
      <c r="M87" s="6">
        <f t="shared" si="22"/>
        <v>2.6238425925839692E-2</v>
      </c>
      <c r="N87" s="7">
        <f t="shared" si="23"/>
        <v>37.783333333209157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6"/>
        <v>https://d0f6bd738d7f1b3e5a7ca70fe4ff75f0.us-east-1.aws.found.io/app/kibana#/discover/Steve-Slow-Train-Analysis-(2080s-and-2083s)?_g=(refreshInterval:(display:Off,pause:!f,section:0,value:0),time:(from:'2017-02-25T11:56:24-0700',mode:absolute,to:'2017-02-25T14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7" t="str">
        <f t="shared" si="27"/>
        <v>N</v>
      </c>
      <c r="X87" s="197">
        <f t="shared" si="28"/>
        <v>1</v>
      </c>
      <c r="Y87" s="197">
        <f t="shared" si="29"/>
        <v>4.5699999999999998E-2</v>
      </c>
      <c r="Z87" s="62">
        <f t="shared" si="30"/>
        <v>23.330100000000002</v>
      </c>
      <c r="AA87" s="62">
        <f t="shared" si="31"/>
        <v>23.284400000000002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0175-25</v>
      </c>
      <c r="AE87" s="85" t="str">
        <f t="shared" si="33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87" s="82" t="str">
        <f t="shared" si="34"/>
        <v>"C:\Program Files (x86)\AstroGrep\AstroGrep.exe" /spath="%USERPROFILE%\AppData\Local\Temp\OnboardLogs" /stypes="app*4020*20170225*"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175-25 --locoid 4020 --swversion DE.1.0.9.0 --startMP 204:457 --initTime 2017-02-25T12:56:24 --startdatetime 2017-02-25T13:00:44 --delay 1 --endMP 204:233301 --enddatetime 2017-02-25T13:38:31 --enforcementcount 1 &gt;&gt;C:\Users\stu\Documents\GitHub\eaglep3-reporting\EC\2017-02-25-refined-times.txt</v>
      </c>
      <c r="AI8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{"issue":{"subject":"","project_id":79,"tracker_id":40,"status_id":1,"priority_id":2,"assigned_to_id":23,"start_date":"2017-02-25","description":"","custom_fields":[{"id":1,"name":"Subdivision","value":"EC"},{"id":4,"name":"Milepost","value":"23.3301"},{"id":17,"name":"Train ID","value":"175-25"},{"id":16,"name":"Locomotive ID","value":"4020"},{"id":130,"name":"Impact","value":""},{"id":150,"name":"Time of Event (Mountain Time)","value":"13:38:31"},{"id":151,"name":"Denver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4020 --day 2017-02-25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546</v>
      </c>
      <c r="B88" s="7">
        <v>4019</v>
      </c>
      <c r="C88" s="21" t="s">
        <v>275</v>
      </c>
      <c r="D88" s="21" t="s">
        <v>368</v>
      </c>
      <c r="E88" s="13">
        <v>42791.576111111113</v>
      </c>
      <c r="F88" s="13">
        <v>42791.580983796295</v>
      </c>
      <c r="G88" s="7">
        <v>2</v>
      </c>
      <c r="H88" s="21" t="s">
        <v>180</v>
      </c>
      <c r="I88" s="13">
        <v>42791.608194444445</v>
      </c>
      <c r="J88" s="7">
        <v>1</v>
      </c>
      <c r="K88" s="98" t="str">
        <f t="shared" si="21"/>
        <v>4019/4020</v>
      </c>
      <c r="L88" s="21" t="str">
        <f>VLOOKUP(A88,'Trips&amp;Operators'!$C$1:$G$99999,5,FALSE)</f>
        <v>POLLOCK JASON</v>
      </c>
      <c r="M88" s="6">
        <f t="shared" si="22"/>
        <v>2.7210648149775807E-2</v>
      </c>
      <c r="N88" s="7">
        <f t="shared" si="23"/>
        <v>39.183333335677162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6"/>
        <v>https://d0f6bd738d7f1b3e5a7ca70fe4ff75f0.us-east-1.aws.found.io/app/kibana#/discover/Steve-Slow-Train-Analysis-(2080s-and-2083s)?_g=(refreshInterval:(display:Off,pause:!f,section:0,value:0),time:(from:'2017-02-25T12:49:36-0700',mode:absolute,to:'2017-02-25T15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7" t="str">
        <f t="shared" si="27"/>
        <v>N</v>
      </c>
      <c r="X88" s="197">
        <f t="shared" si="28"/>
        <v>1</v>
      </c>
      <c r="Y88" s="197">
        <f t="shared" si="29"/>
        <v>23.297699999999999</v>
      </c>
      <c r="Z88" s="62">
        <f t="shared" si="30"/>
        <v>1.49E-2</v>
      </c>
      <c r="AA88" s="62">
        <f t="shared" si="31"/>
        <v>23.282799999999998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0176-25</v>
      </c>
      <c r="AE88" s="85" t="str">
        <f t="shared" si="33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88" s="82" t="str">
        <f t="shared" si="34"/>
        <v>"C:\Program Files (x86)\AstroGrep\AstroGrep.exe" /spath="%USERPROFILE%\AppData\Local\Temp\OnboardLogs" /stypes="app*4019*20170225*"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176-25 --locoid 4019 --swversion DE.1.0.9.0 --startMP 204:232977 --initTime 2017-02-25T13:49:36 --startdatetime 2017-02-25T13:56:37 --delay 2 --endMP 204:149 --enddatetime 2017-02-25T14:35:48 --enforcementcount 1 &gt;&gt;C:\Users\stu\Documents\GitHub\eaglep3-reporting\EC\2017-02-25-refined-times.txt</v>
      </c>
      <c r="AI8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ID","value":"176-25"},{"id":16,"name":"Locomotive ID","value":"4019"},{"id":130,"name":"Impact","value":""},{"id":150,"name":"Time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4019 --day 2017-02-25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547</v>
      </c>
      <c r="B89" s="7">
        <v>4044</v>
      </c>
      <c r="C89" s="21" t="s">
        <v>275</v>
      </c>
      <c r="D89" s="21" t="s">
        <v>232</v>
      </c>
      <c r="E89" s="13">
        <v>42791.546875</v>
      </c>
      <c r="F89" s="13">
        <v>42791.552268518521</v>
      </c>
      <c r="G89" s="7">
        <v>1</v>
      </c>
      <c r="H89" s="21" t="s">
        <v>262</v>
      </c>
      <c r="I89" s="13">
        <v>42791.577013888891</v>
      </c>
      <c r="J89" s="7">
        <v>1</v>
      </c>
      <c r="K89" s="98" t="str">
        <f t="shared" si="21"/>
        <v>4043/4044</v>
      </c>
      <c r="L89" s="21" t="str">
        <f>VLOOKUP(A89,'Trips&amp;Operators'!$C$1:$G$99999,5,FALSE)</f>
        <v>BRUDER RICHARD</v>
      </c>
      <c r="M89" s="6">
        <f t="shared" si="22"/>
        <v>2.47453703705105E-2</v>
      </c>
      <c r="N89" s="7">
        <f t="shared" si="23"/>
        <v>35.63333333353512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6"/>
        <v>https://d0f6bd738d7f1b3e5a7ca70fe4ff75f0.us-east-1.aws.found.io/app/kibana#/discover/Steve-Slow-Train-Analysis-(2080s-and-2083s)?_g=(refreshInterval:(display:Off,pause:!f,section:0,value:0),time:(from:'2017-02-25T12:07:30-0700',mode:absolute,to:'2017-02-25T14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7" t="str">
        <f t="shared" si="27"/>
        <v>N</v>
      </c>
      <c r="X89" s="197">
        <f t="shared" si="28"/>
        <v>1</v>
      </c>
      <c r="Y89" s="197">
        <f t="shared" si="29"/>
        <v>4.53E-2</v>
      </c>
      <c r="Z89" s="62">
        <f t="shared" si="30"/>
        <v>23.3306</v>
      </c>
      <c r="AA89" s="62">
        <f t="shared" si="31"/>
        <v>23.285299999999999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0177-25</v>
      </c>
      <c r="AE89" s="85" t="str">
        <f t="shared" si="33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89" s="82" t="str">
        <f t="shared" si="34"/>
        <v>"C:\Program Files (x86)\AstroGrep\AstroGrep.exe" /spath="%USERPROFILE%\AppData\Local\Temp\OnboardLogs" /stypes="app*4044*20170225*"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177-25 --locoid 4044 --swversion DE.1.0.9.0 --startMP 204:453 --initTime 2017-02-25T13:07:30 --startdatetime 2017-02-25T13:15:16 --delay 1 --endMP 204:233306 --enddatetime 2017-02-25T13:50:54 --enforcementcount 1 &gt;&gt;C:\Users\stu\Documents\GitHub\eaglep3-reporting\EC\2017-02-25-refined-times.txt</v>
      </c>
      <c r="AI8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{"issue":{"subject":"","project_id":79,"tracker_id":40,"status_id":1,"priority_id":2,"assigned_to_id":23,"start_date":"2017-02-25","description":"","custom_fields":[{"id":1,"name":"Subdivision","value":"EC"},{"id":4,"name":"Milepost","value":"23.3306"},{"id":17,"name":"Train ID","value":"177-25"},{"id":16,"name":"Locomotive ID","value":"4044"},{"id":130,"name":"Impact","value":""},{"id":150,"name":"Time of Event (Mountain Time)","value":"13:50:54"},{"id":151,"name":"Denver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4044 --day 2017-02-25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548</v>
      </c>
      <c r="B90" s="7">
        <v>4043</v>
      </c>
      <c r="C90" s="21" t="s">
        <v>275</v>
      </c>
      <c r="D90" s="21" t="s">
        <v>500</v>
      </c>
      <c r="E90" s="13">
        <v>42791.586018518516</v>
      </c>
      <c r="F90" s="13">
        <v>42791.591296296298</v>
      </c>
      <c r="G90" s="7">
        <v>1</v>
      </c>
      <c r="H90" s="21" t="s">
        <v>258</v>
      </c>
      <c r="I90" s="13">
        <v>42791.618136574078</v>
      </c>
      <c r="J90" s="7">
        <v>1</v>
      </c>
      <c r="K90" s="98" t="str">
        <f t="shared" si="21"/>
        <v>4043/4044</v>
      </c>
      <c r="L90" s="21" t="str">
        <f>VLOOKUP(A90,'Trips&amp;Operators'!$C$1:$G$99999,5,FALSE)</f>
        <v>BRUDER RICHARD</v>
      </c>
      <c r="M90" s="6">
        <f t="shared" si="22"/>
        <v>2.6840277780138422E-2</v>
      </c>
      <c r="N90" s="7">
        <f t="shared" si="23"/>
        <v>38.650000003399327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6"/>
        <v>https://d0f6bd738d7f1b3e5a7ca70fe4ff75f0.us-east-1.aws.found.io/app/kibana#/discover/Steve-Slow-Train-Analysis-(2080s-and-2083s)?_g=(refreshInterval:(display:Off,pause:!f,section:0,value:0),time:(from:'2017-02-25T13:03:52-0700',mode:absolute,to:'2017-02-25T15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7" t="str">
        <f t="shared" si="27"/>
        <v>N</v>
      </c>
      <c r="X90" s="197">
        <f t="shared" si="28"/>
        <v>1</v>
      </c>
      <c r="Y90" s="197">
        <f t="shared" si="29"/>
        <v>23.3</v>
      </c>
      <c r="Z90" s="62">
        <f t="shared" si="30"/>
        <v>1.47E-2</v>
      </c>
      <c r="AA90" s="62">
        <f t="shared" si="31"/>
        <v>23.285299999999999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0178-25</v>
      </c>
      <c r="AE90" s="85" t="str">
        <f t="shared" si="33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90" s="82" t="str">
        <f t="shared" si="34"/>
        <v>"C:\Program Files (x86)\AstroGrep\AstroGrep.exe" /spath="%USERPROFILE%\AppData\Local\Temp\OnboardLogs" /stypes="app*4043*20170225*"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178-25 --locoid 4043 --swversion DE.1.0.9.0 --startMP 204:233000 --initTime 2017-02-25T14:03:52 --startdatetime 2017-02-25T14:11:28 --delay 1 --endMP 204:147 --enddatetime 2017-02-25T14:50:07 --enforcementcount 1 &gt;&gt;C:\Users\stu\Documents\GitHub\eaglep3-reporting\EC\2017-02-25-refined-times.txt</v>
      </c>
      <c r="AI9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ID","value":"178-25"},{"id":16,"name":"Locomotive ID","value":"4043"},{"id":130,"name":"Impact","value":""},{"id":150,"name":"Time of Event (Mountain Time)","value":"14:50:07"},{"id":151,"name":"Denver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4043 --day 2017-02-25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549</v>
      </c>
      <c r="B91" s="7">
        <v>4053</v>
      </c>
      <c r="C91" s="21" t="s">
        <v>275</v>
      </c>
      <c r="D91" s="21" t="s">
        <v>232</v>
      </c>
      <c r="E91" s="13">
        <v>42791.55841435185</v>
      </c>
      <c r="F91" s="13">
        <v>42791.563125000001</v>
      </c>
      <c r="G91" s="7">
        <v>1</v>
      </c>
      <c r="H91" s="21" t="s">
        <v>287</v>
      </c>
      <c r="I91" s="13">
        <v>42791.588449074072</v>
      </c>
      <c r="J91" s="7">
        <v>1</v>
      </c>
      <c r="K91" s="98" t="str">
        <f t="shared" si="21"/>
        <v>4053/4054</v>
      </c>
      <c r="L91" s="21" t="str">
        <f>VLOOKUP(A91,'Trips&amp;Operators'!$C$1:$G$99999,5,FALSE)</f>
        <v>KILLION DAVID</v>
      </c>
      <c r="M91" s="6">
        <f t="shared" si="22"/>
        <v>2.5324074071249925E-2</v>
      </c>
      <c r="N91" s="7">
        <f t="shared" si="23"/>
        <v>36.466666662599891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6"/>
        <v>https://d0f6bd738d7f1b3e5a7ca70fe4ff75f0.us-east-1.aws.found.io/app/kibana#/discover/Steve-Slow-Train-Analysis-(2080s-and-2083s)?_g=(refreshInterval:(display:Off,pause:!f,section:0,value:0),time:(from:'2017-02-25T12:24:07-0700',mode:absolute,to:'2017-02-25T15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1" s="197" t="str">
        <f t="shared" si="27"/>
        <v>N</v>
      </c>
      <c r="X91" s="197">
        <f t="shared" si="28"/>
        <v>1</v>
      </c>
      <c r="Y91" s="197">
        <f t="shared" si="29"/>
        <v>4.53E-2</v>
      </c>
      <c r="Z91" s="62">
        <f t="shared" si="30"/>
        <v>23.328900000000001</v>
      </c>
      <c r="AA91" s="62">
        <f t="shared" si="31"/>
        <v>23.2836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0179-25</v>
      </c>
      <c r="AE91" s="85" t="str">
        <f t="shared" si="33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91" s="82" t="str">
        <f t="shared" si="34"/>
        <v>"C:\Program Files (x86)\AstroGrep\AstroGrep.exe" /spath="%USERPROFILE%\AppData\Local\Temp\OnboardLogs" /stypes="app*4053*20170225*"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179-25 --locoid 4053 --swversion DE.1.0.9.0 --startMP 204:453 --initTime 2017-02-25T13:24:07 --startdatetime 2017-02-25T13:30:54 --delay 1 --endMP 204:233289 --enddatetime 2017-02-25T14:07:22 --enforcementcount 1 &gt;&gt;C:\Users\stu\Documents\GitHub\eaglep3-reporting\EC\2017-02-25-refined-times.txt</v>
      </c>
      <c r="AI9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{"issue":{"subject":"","project_id":79,"tracker_id":40,"status_id":1,"priority_id":2,"assigned_to_id":23,"start_date":"2017-02-25","description":"","custom_fields":[{"id":1,"name":"Subdivision","value":"EC"},{"id":4,"name":"Milepost","value":"23.3289"},{"id":17,"name":"Train ID","value":"179-25"},{"id":16,"name":"Locomotive ID","value":"4053"},{"id":130,"name":"Impact","value":""},{"id":150,"name":"Time of Event (Mountain Time)","value":"14:07:22"},{"id":151,"name":"Denver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4053 --day 2017-02-25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550</v>
      </c>
      <c r="B92" s="7">
        <v>4054</v>
      </c>
      <c r="C92" s="21" t="s">
        <v>275</v>
      </c>
      <c r="D92" s="21" t="s">
        <v>379</v>
      </c>
      <c r="E92" s="13">
        <v>42791.596192129633</v>
      </c>
      <c r="F92" s="13">
        <v>42791.601782407408</v>
      </c>
      <c r="G92" s="7">
        <v>0</v>
      </c>
      <c r="H92" s="21" t="s">
        <v>199</v>
      </c>
      <c r="I92" s="13">
        <v>42791.630486111113</v>
      </c>
      <c r="J92" s="7">
        <v>1</v>
      </c>
      <c r="K92" s="98" t="str">
        <f t="shared" si="21"/>
        <v>4053/4054</v>
      </c>
      <c r="L92" s="21" t="str">
        <f>VLOOKUP(A92,'Trips&amp;Operators'!$C$1:$G$99999,5,FALSE)</f>
        <v>KILLION DAVID</v>
      </c>
      <c r="M92" s="6">
        <f t="shared" si="22"/>
        <v>2.8703703705104999E-2</v>
      </c>
      <c r="N92" s="7">
        <f t="shared" si="23"/>
        <v>41.333333335351199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6"/>
        <v>https://d0f6bd738d7f1b3e5a7ca70fe4ff75f0.us-east-1.aws.found.io/app/kibana#/discover/Steve-Slow-Train-Analysis-(2080s-and-2083s)?_g=(refreshInterval:(display:Off,pause:!f,section:0,value:0),time:(from:'2017-02-25T13:18:31-0700',mode:absolute,to:'2017-02-25T16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97" t="str">
        <f t="shared" si="27"/>
        <v>N</v>
      </c>
      <c r="X92" s="197">
        <f t="shared" si="28"/>
        <v>1</v>
      </c>
      <c r="Y92" s="197">
        <f t="shared" si="29"/>
        <v>23.296700000000001</v>
      </c>
      <c r="Z92" s="62">
        <f t="shared" si="30"/>
        <v>1.52E-2</v>
      </c>
      <c r="AA92" s="62">
        <f t="shared" si="31"/>
        <v>23.281500000000001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0180-25</v>
      </c>
      <c r="AE92" s="85" t="str">
        <f t="shared" si="33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92" s="82" t="str">
        <f t="shared" si="34"/>
        <v>"C:\Program Files (x86)\AstroGrep\AstroGrep.exe" /spath="%USERPROFILE%\AppData\Local\Temp\OnboardLogs" /stypes="app*4054*20170225*"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180-25 --locoid 4054 --swversion DE.1.0.9.0 --startMP 204:232967 --initTime 2017-02-25T14:18:31 --startdatetime 2017-02-25T14:26:34 --delay 0 --endMP 204:152 --enddatetime 2017-02-25T15:07:54 --enforcementcount 1 &gt;&gt;C:\Users\stu\Documents\GitHub\eaglep3-reporting\EC\2017-02-25-refined-times.txt</v>
      </c>
      <c r="AI9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{"issue":{"subject":"","project_id":79,"tracker_id":40,"status_id":1,"priority_id":2,"assigned_to_id":23,"start_date":"2017-02-25","description":"","custom_fields":[{"id":1,"name":"Subdivision","value":"EC"},{"id":4,"name":"Milepost","value":"0.0152"},{"id":17,"name":"Train ID","value":"180-25"},{"id":16,"name":"Locomotive ID","value":"4054"},{"id":130,"name":"Impact","value":""},{"id":150,"name":"Time of Event (Mountain Time)","value":"15:07:54"},{"id":151,"name":"Denver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4054 --day 2017-02-25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576</v>
      </c>
      <c r="B93" s="7">
        <v>4046</v>
      </c>
      <c r="C93" s="21" t="s">
        <v>275</v>
      </c>
      <c r="D93" s="21" t="s">
        <v>218</v>
      </c>
      <c r="E93" s="13">
        <v>42791.568657407406</v>
      </c>
      <c r="F93" s="13">
        <v>42791.57309027778</v>
      </c>
      <c r="G93" s="7">
        <v>1</v>
      </c>
      <c r="H93" s="21" t="s">
        <v>577</v>
      </c>
      <c r="I93" s="13">
        <v>42791.598113425927</v>
      </c>
      <c r="J93" s="7">
        <v>1</v>
      </c>
      <c r="K93" s="98" t="str">
        <f t="shared" si="21"/>
        <v>4045/4046</v>
      </c>
      <c r="L93" s="21" t="str">
        <f>VLOOKUP(A93,'Trips&amp;Operators'!$C$1:$G$99999,5,FALSE)</f>
        <v>LEVIN SCOTT</v>
      </c>
      <c r="M93" s="6">
        <f t="shared" si="22"/>
        <v>2.5023148147738539E-2</v>
      </c>
      <c r="N93" s="7">
        <f t="shared" si="23"/>
        <v>36.033333332743496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6"/>
        <v>https://d0f6bd738d7f1b3e5a7ca70fe4ff75f0.us-east-1.aws.found.io/app/kibana#/discover/Steve-Slow-Train-Analysis-(2080s-and-2083s)?_g=(refreshInterval:(display:Off,pause:!f,section:0,value:0),time:(from:'2017-02-25T12:38:52-0700',mode:absolute,to:'2017-02-25T15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97" t="str">
        <f t="shared" si="27"/>
        <v>N</v>
      </c>
      <c r="X93" s="197">
        <f t="shared" si="28"/>
        <v>1</v>
      </c>
      <c r="Y93" s="197">
        <f t="shared" si="29"/>
        <v>4.5100000000000001E-2</v>
      </c>
      <c r="Z93" s="62">
        <f t="shared" si="30"/>
        <v>23.3323</v>
      </c>
      <c r="AA93" s="62">
        <f t="shared" si="31"/>
        <v>23.287199999999999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0181-25</v>
      </c>
      <c r="AE93" s="85" t="str">
        <f t="shared" si="33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93" s="82" t="str">
        <f t="shared" si="34"/>
        <v>"C:\Program Files (x86)\AstroGrep\AstroGrep.exe" /spath="%USERPROFILE%\AppData\Local\Temp\OnboardLogs" /stypes="app*4046*20170225*"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181-25 --locoid 4046 --swversion DE.1.0.9.0 --startMP 204:451 --initTime 2017-02-25T13:38:52 --startdatetime 2017-02-25T13:45:15 --delay 1 --endMP 204:233323 --enddatetime 2017-02-25T14:21:17 --enforcementcount 1 &gt;&gt;C:\Users\stu\Documents\GitHub\eaglep3-reporting\EC\2017-02-25-refined-times.txt</v>
      </c>
      <c r="AI9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{"issue":{"subject":"","project_id":79,"tracker_id":40,"status_id":1,"priority_id":2,"assigned_to_id":23,"start_date":"2017-02-25","description":"","custom_fields":[{"id":1,"name":"Subdivision","value":"EC"},{"id":4,"name":"Milepost","value":"23.3323"},{"id":17,"name":"Train ID","value":"181-25"},{"id":16,"name":"Locomotive ID","value":"4046"},{"id":130,"name":"Impact","value":""},{"id":150,"name":"Time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4046 --day 2017-02-25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594</v>
      </c>
      <c r="B94" s="7">
        <v>4045</v>
      </c>
      <c r="C94" s="21" t="s">
        <v>275</v>
      </c>
      <c r="D94" s="21" t="s">
        <v>280</v>
      </c>
      <c r="E94" s="13">
        <v>42791.607592592591</v>
      </c>
      <c r="F94" s="13">
        <v>42791.612037037034</v>
      </c>
      <c r="G94" s="7">
        <v>2</v>
      </c>
      <c r="H94" s="21" t="s">
        <v>520</v>
      </c>
      <c r="I94" s="13">
        <v>42791.638726851852</v>
      </c>
      <c r="J94" s="7">
        <v>1</v>
      </c>
      <c r="K94" s="98" t="str">
        <f t="shared" si="21"/>
        <v>4045/4046</v>
      </c>
      <c r="L94" s="21" t="str">
        <f>VLOOKUP(A94,'Trips&amp;Operators'!$C$1:$G$99999,5,FALSE)</f>
        <v>LEVIN SCOTT</v>
      </c>
      <c r="M94" s="6">
        <f t="shared" si="22"/>
        <v>2.6689814818382729E-2</v>
      </c>
      <c r="N94" s="7">
        <f t="shared" si="23"/>
        <v>38.43333333847113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6"/>
        <v>https://d0f6bd738d7f1b3e5a7ca70fe4ff75f0.us-east-1.aws.found.io/app/kibana#/discover/Steve-Slow-Train-Analysis-(2080s-and-2083s)?_g=(refreshInterval:(display:Off,pause:!f,section:0,value:0),time:(from:'2017-02-25T13:34:56-0700',mode:absolute,to:'2017-02-25T16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97" t="str">
        <f t="shared" si="27"/>
        <v>N</v>
      </c>
      <c r="X94" s="197">
        <f t="shared" si="28"/>
        <v>1</v>
      </c>
      <c r="Y94" s="197">
        <f t="shared" si="29"/>
        <v>23.299399999999999</v>
      </c>
      <c r="Z94" s="62">
        <f t="shared" si="30"/>
        <v>1.34E-2</v>
      </c>
      <c r="AA94" s="62">
        <f t="shared" si="31"/>
        <v>23.285999999999998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0182-25</v>
      </c>
      <c r="AE94" s="85" t="str">
        <f t="shared" si="33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94" s="82" t="str">
        <f t="shared" si="34"/>
        <v>"C:\Program Files (x86)\AstroGrep\AstroGrep.exe" /spath="%USERPROFILE%\AppData\Local\Temp\OnboardLogs" /stypes="app*4045*20170225*"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182-25 --locoid 4045 --swversion DE.1.0.9.0 --startMP 204:232994 --initTime 2017-02-25T14:34:56 --startdatetime 2017-02-25T14:41:20 --delay 2 --endMP 204:134 --enddatetime 2017-02-25T15:19:46 --enforcementcount 1 &gt;&gt;C:\Users\stu\Documents\GitHub\eaglep3-reporting\EC\2017-02-25-refined-times.txt</v>
      </c>
      <c r="AI9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{"issue":{"subject":"","project_id":79,"tracker_id":40,"status_id":1,"priority_id":2,"assigned_to_id":23,"start_date":"2017-02-25","description":"","custom_fields":[{"id":1,"name":"Subdivision","value":"EC"},{"id":4,"name":"Milepost","value":"0.0134"},{"id":17,"name":"Train ID","value":"182-25"},{"id":16,"name":"Locomotive ID","value":"4045"},{"id":130,"name":"Impact","value":""},{"id":150,"name":"Time of Event (Mountain Time)","value":"15:19:46"},{"id":151,"name":"Denver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4045 --day 2017-02-25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613</v>
      </c>
      <c r="B95" s="7">
        <v>4018</v>
      </c>
      <c r="C95" s="21" t="s">
        <v>275</v>
      </c>
      <c r="D95" s="21" t="s">
        <v>614</v>
      </c>
      <c r="E95" s="13">
        <v>42791.578298611108</v>
      </c>
      <c r="F95" s="13">
        <v>42791.583622685182</v>
      </c>
      <c r="G95" s="7">
        <v>2</v>
      </c>
      <c r="H95" s="21" t="s">
        <v>243</v>
      </c>
      <c r="I95" s="13">
        <v>42791.609583333331</v>
      </c>
      <c r="J95" s="7">
        <v>1</v>
      </c>
      <c r="K95" s="98" t="str">
        <f t="shared" si="21"/>
        <v>4017/4018</v>
      </c>
      <c r="L95" s="21" t="str">
        <f>VLOOKUP(A95,'Trips&amp;Operators'!$C$1:$G$99999,5,FALSE)</f>
        <v>HOLCOMB KAMDEN</v>
      </c>
      <c r="M95" s="6">
        <f t="shared" si="22"/>
        <v>2.5960648148611654E-2</v>
      </c>
      <c r="N95" s="7">
        <f t="shared" si="23"/>
        <v>37.383333334000781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6"/>
        <v>https://d0f6bd738d7f1b3e5a7ca70fe4ff75f0.us-east-1.aws.found.io/app/kibana#/discover/Steve-Slow-Train-Analysis-(2080s-and-2083s)?_g=(refreshInterval:(display:Off,pause:!f,section:0,value:0),time:(from:'2017-02-25T12:52:45-0700',mode:absolute,to:'2017-02-25T15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97" t="str">
        <f t="shared" si="27"/>
        <v>N</v>
      </c>
      <c r="X95" s="197">
        <f t="shared" si="28"/>
        <v>1</v>
      </c>
      <c r="Y95" s="197">
        <f t="shared" si="29"/>
        <v>4.1099999999999998E-2</v>
      </c>
      <c r="Z95" s="62">
        <f t="shared" si="30"/>
        <v>23.3293</v>
      </c>
      <c r="AA95" s="62">
        <f t="shared" si="31"/>
        <v>23.2882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0183-25</v>
      </c>
      <c r="AE95" s="85" t="str">
        <f t="shared" si="33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95" s="82" t="str">
        <f t="shared" si="34"/>
        <v>"C:\Program Files (x86)\AstroGrep\AstroGrep.exe" /spath="%USERPROFILE%\AppData\Local\Temp\OnboardLogs" /stypes="app*4018*20170225*"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183-25 --locoid 4018 --swversion DE.1.0.9.0 --startMP 204:411 --initTime 2017-02-25T13:52:45 --startdatetime 2017-02-25T14:00:25 --delay 2 --endMP 204:233293 --enddatetime 2017-02-25T14:37:48 --enforcementcount 1 &gt;&gt;C:\Users\stu\Documents\GitHub\eaglep3-reporting\EC\2017-02-25-refined-times.txt</v>
      </c>
      <c r="AI9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{"issue":{"subject":"","project_id":79,"tracker_id":40,"status_id":1,"priority_id":2,"assigned_to_id":23,"start_date":"2017-02-25","description":"","custom_fields":[{"id":1,"name":"Subdivision","value":"EC"},{"id":4,"name":"Milepost","value":"23.3293"},{"id":17,"name":"Train ID","value":"183-25"},{"id":16,"name":"Locomotive ID","value":"4018"},{"id":130,"name":"Impact","value":""},{"id":150,"name":"Time of Event (Mountain Time)","value":"14:37:48"},{"id":151,"name":"Denver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4018 --day 2017-02-25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623</v>
      </c>
      <c r="B96" s="7">
        <v>4017</v>
      </c>
      <c r="C96" s="21" t="s">
        <v>275</v>
      </c>
      <c r="D96" s="21" t="s">
        <v>280</v>
      </c>
      <c r="E96" s="13">
        <v>42791.611932870372</v>
      </c>
      <c r="F96" s="13">
        <v>42791.622615740744</v>
      </c>
      <c r="G96" s="7">
        <v>1</v>
      </c>
      <c r="H96" s="21" t="s">
        <v>248</v>
      </c>
      <c r="I96" s="13">
        <v>42791.649826388886</v>
      </c>
      <c r="J96" s="7">
        <v>1</v>
      </c>
      <c r="K96" s="98" t="str">
        <f t="shared" si="21"/>
        <v>4017/4018</v>
      </c>
      <c r="L96" s="21" t="str">
        <f>VLOOKUP(A96,'Trips&amp;Operators'!$C$1:$G$99999,5,FALSE)</f>
        <v>HOLCOMB KAMDEN</v>
      </c>
      <c r="M96" s="6">
        <f t="shared" si="22"/>
        <v>2.7210648142499849E-2</v>
      </c>
      <c r="N96" s="7">
        <f t="shared" si="23"/>
        <v>39.183333325199783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6"/>
        <v>https://d0f6bd738d7f1b3e5a7ca70fe4ff75f0.us-east-1.aws.found.io/app/kibana#/discover/Steve-Slow-Train-Analysis-(2080s-and-2083s)?_g=(refreshInterval:(display:Off,pause:!f,section:0,value:0),time:(from:'2017-02-25T13:41:11-0700',mode:absolute,to:'2017-02-25T16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97" t="str">
        <f t="shared" si="27"/>
        <v>N</v>
      </c>
      <c r="X96" s="197">
        <f t="shared" si="28"/>
        <v>1</v>
      </c>
      <c r="Y96" s="197">
        <f t="shared" si="29"/>
        <v>23.299399999999999</v>
      </c>
      <c r="Z96" s="62">
        <f t="shared" si="30"/>
        <v>1.41E-2</v>
      </c>
      <c r="AA96" s="62">
        <f t="shared" si="31"/>
        <v>23.285299999999999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0184-25</v>
      </c>
      <c r="AE96" s="85" t="str">
        <f t="shared" si="33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96" s="82" t="str">
        <f t="shared" si="34"/>
        <v>"C:\Program Files (x86)\AstroGrep\AstroGrep.exe" /spath="%USERPROFILE%\AppData\Local\Temp\OnboardLogs" /stypes="app*4017*20170225*"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184-25 --locoid 4017 --swversion DE.1.0.9.0 --startMP 204:232994 --initTime 2017-02-25T14:41:11 --startdatetime 2017-02-25T14:56:34 --delay 1 --endMP 204:141 --enddatetime 2017-02-25T15:35:45 --enforcementcount 1 &gt;&gt;C:\Users\stu\Documents\GitHub\eaglep3-reporting\EC\2017-02-25-refined-times.txt</v>
      </c>
      <c r="AI9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{"issue":{"subject":"","project_id":79,"tracker_id":40,"status_id":1,"priority_id":2,"assigned_to_id":23,"start_date":"2017-02-25","description":"","custom_fields":[{"id":1,"name":"Subdivision","value":"EC"},{"id":4,"name":"Milepost","value":"0.0141"},{"id":17,"name":"Train ID","value":"184-25"},{"id":16,"name":"Locomotive ID","value":"4017"},{"id":130,"name":"Impact","value":""},{"id":150,"name":"Time of Event (Mountain Time)","value":"15:35:45"},{"id":151,"name":"Denver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4017 --day 2017-02-25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624</v>
      </c>
      <c r="B97" s="7">
        <v>4051</v>
      </c>
      <c r="C97" s="21" t="s">
        <v>275</v>
      </c>
      <c r="D97" s="21" t="s">
        <v>378</v>
      </c>
      <c r="E97" s="13">
        <v>42791.590092592596</v>
      </c>
      <c r="F97" s="13">
        <v>42791.593969907408</v>
      </c>
      <c r="G97" s="7">
        <v>1</v>
      </c>
      <c r="H97" s="21" t="s">
        <v>537</v>
      </c>
      <c r="I97" s="13">
        <v>42791.618831018517</v>
      </c>
      <c r="J97" s="7">
        <v>1</v>
      </c>
      <c r="K97" s="98" t="str">
        <f t="shared" si="21"/>
        <v>4051/4052</v>
      </c>
      <c r="L97" s="21" t="str">
        <f>VLOOKUP(A97,'Trips&amp;Operators'!$C$1:$G$99999,5,FALSE)</f>
        <v>MCREYNOLDS KYLE</v>
      </c>
      <c r="M97" s="6">
        <f t="shared" si="22"/>
        <v>2.4861111109203193E-2</v>
      </c>
      <c r="N97" s="7">
        <f t="shared" si="23"/>
        <v>35.799999997252598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6"/>
        <v>https://d0f6bd738d7f1b3e5a7ca70fe4ff75f0.us-east-1.aws.found.io/app/kibana#/discover/Steve-Slow-Train-Analysis-(2080s-and-2083s)?_g=(refreshInterval:(display:Off,pause:!f,section:0,value:0),time:(from:'2017-02-25T13:09:44-0700',mode:absolute,to:'2017-02-25T15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197" t="str">
        <f t="shared" si="27"/>
        <v>N</v>
      </c>
      <c r="X97" s="197">
        <f t="shared" si="28"/>
        <v>1</v>
      </c>
      <c r="Y97" s="197">
        <f t="shared" si="29"/>
        <v>4.6899999999999997E-2</v>
      </c>
      <c r="Z97" s="62">
        <f t="shared" si="30"/>
        <v>23.3353</v>
      </c>
      <c r="AA97" s="62">
        <f t="shared" si="31"/>
        <v>23.288399999999999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0185-25</v>
      </c>
      <c r="AE97" s="85" t="str">
        <f t="shared" si="33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97" s="82" t="str">
        <f t="shared" si="34"/>
        <v>"C:\Program Files (x86)\AstroGrep\AstroGrep.exe" /spath="%USERPROFILE%\AppData\Local\Temp\OnboardLogs" /stypes="app*4051*20170225*"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185-25 --locoid 4051 --swversion DE.1.0.9.0 --startMP 204:469 --initTime 2017-02-25T14:09:44 --startdatetime 2017-02-25T14:15:19 --delay 1 --endMP 204:233353 --enddatetime 2017-02-25T14:51:07 --enforcementcount 1 &gt;&gt;C:\Users\stu\Documents\GitHub\eaglep3-reporting\EC\2017-02-25-refined-times.txt</v>
      </c>
      <c r="AI9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{"issue":{"subject":"","project_id":79,"tracker_id":40,"status_id":1,"priority_id":2,"assigned_to_id":23,"start_date":"2017-02-25","description":"","custom_fields":[{"id":1,"name":"Subdivision","value":"EC"},{"id":4,"name":"Milepost","value":"23.3353"},{"id":17,"name":"Train ID","value":"185-25"},{"id":16,"name":"Locomotive ID","value":"4051"},{"id":130,"name":"Impact","value":""},{"id":150,"name":"Time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4051 --day 2017-02-25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413</v>
      </c>
      <c r="B98" s="7">
        <v>4052</v>
      </c>
      <c r="C98" s="21" t="s">
        <v>275</v>
      </c>
      <c r="D98" s="21" t="s">
        <v>528</v>
      </c>
      <c r="E98" s="13">
        <v>42791.623402777775</v>
      </c>
      <c r="F98" s="13">
        <v>42791.632893518516</v>
      </c>
      <c r="G98" s="7">
        <v>1</v>
      </c>
      <c r="H98" s="21" t="s">
        <v>300</v>
      </c>
      <c r="I98" s="13">
        <v>42791.660474537035</v>
      </c>
      <c r="J98" s="7">
        <v>1</v>
      </c>
      <c r="K98" s="98" t="str">
        <f t="shared" si="21"/>
        <v>4051/4052</v>
      </c>
      <c r="L98" s="21" t="str">
        <f>VLOOKUP(A98,'Trips&amp;Operators'!$C$1:$G$99999,5,FALSE)</f>
        <v>MCREYNOLDS KYLE</v>
      </c>
      <c r="M98" s="6">
        <f t="shared" si="22"/>
        <v>2.7581018519413192E-2</v>
      </c>
      <c r="N98" s="7">
        <f t="shared" si="23"/>
        <v>39.716666667954996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6"/>
        <v>https://d0f6bd738d7f1b3e5a7ca70fe4ff75f0.us-east-1.aws.found.io/app/kibana#/discover/Steve-Slow-Train-Analysis-(2080s-and-2083s)?_g=(refreshInterval:(display:Off,pause:!f,section:0,value:0),time:(from:'2017-02-25T13:57:42-0700',mode:absolute,to:'2017-02-25T16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197" t="str">
        <f t="shared" si="27"/>
        <v>N</v>
      </c>
      <c r="X98" s="197">
        <f t="shared" si="28"/>
        <v>1</v>
      </c>
      <c r="Y98" s="197">
        <f t="shared" si="29"/>
        <v>23.300999999999998</v>
      </c>
      <c r="Z98" s="62">
        <f t="shared" si="30"/>
        <v>1.67E-2</v>
      </c>
      <c r="AA98" s="62">
        <f t="shared" si="31"/>
        <v>23.284299999999998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0186-25</v>
      </c>
      <c r="AE98" s="85" t="str">
        <f t="shared" si="33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98" s="82" t="str">
        <f t="shared" si="34"/>
        <v>"C:\Program Files (x86)\AstroGrep\AstroGrep.exe" /spath="%USERPROFILE%\AppData\Local\Temp\OnboardLogs" /stypes="app*4052*20170225*"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186-25 --locoid 4052 --swversion DE.1.0.9.0 --startMP 204:233010 --initTime 2017-02-25T14:57:42 --startdatetime 2017-02-25T15:11:22 --delay 1 --endMP 204:167 --enddatetime 2017-02-25T15:51:05 --enforcementcount 1 &gt;&gt;C:\Users\stu\Documents\GitHub\eaglep3-reporting\EC\2017-02-25-refined-times.txt</v>
      </c>
      <c r="AI9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{"issue":{"subject":"","project_id":79,"tracker_id":40,"status_id":1,"priority_id":2,"assigned_to_id":23,"start_date":"2017-02-25","description":"","custom_fields":[{"id":1,"name":"Subdivision","value":"EC"},{"id":4,"name":"Milepost","value":"0.0167"},{"id":17,"name":"Train ID","value":"186-25"},{"id":16,"name":"Locomotive ID","value":"4052"},{"id":130,"name":"Impact","value":""},{"id":150,"name":"Time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4052 --day 2017-02-25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411</v>
      </c>
      <c r="B99" s="7">
        <v>4027</v>
      </c>
      <c r="C99" s="21" t="s">
        <v>275</v>
      </c>
      <c r="D99" s="21" t="s">
        <v>245</v>
      </c>
      <c r="E99" s="13">
        <v>42791.602303240739</v>
      </c>
      <c r="F99" s="13">
        <v>42791.604490740741</v>
      </c>
      <c r="G99" s="7">
        <v>1</v>
      </c>
      <c r="H99" s="21" t="s">
        <v>625</v>
      </c>
      <c r="I99" s="13">
        <v>42791.629699074074</v>
      </c>
      <c r="J99" s="7">
        <v>1</v>
      </c>
      <c r="K99" s="98" t="str">
        <f t="shared" si="21"/>
        <v>4027/4028</v>
      </c>
      <c r="L99" s="21" t="str">
        <f>VLOOKUP(A99,'Trips&amp;Operators'!$C$1:$G$99999,5,FALSE)</f>
        <v>STEWART MICHAEL</v>
      </c>
      <c r="M99" s="6">
        <f t="shared" si="22"/>
        <v>2.5208333332557231E-2</v>
      </c>
      <c r="N99" s="7">
        <f t="shared" si="23"/>
        <v>36.299999998882413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6"/>
        <v>https://d0f6bd738d7f1b3e5a7ca70fe4ff75f0.us-east-1.aws.found.io/app/kibana#/discover/Steve-Slow-Train-Analysis-(2080s-and-2083s)?_g=(refreshInterval:(display:Off,pause:!f,section:0,value:0),time:(from:'2017-02-25T13:27:19-0700',mode:absolute,to:'2017-02-25T16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197" t="str">
        <f t="shared" si="27"/>
        <v>N</v>
      </c>
      <c r="X99" s="197">
        <f t="shared" si="28"/>
        <v>1</v>
      </c>
      <c r="Y99" s="197">
        <f t="shared" si="29"/>
        <v>4.6399999999999997E-2</v>
      </c>
      <c r="Z99" s="62">
        <f t="shared" si="30"/>
        <v>23.328600000000002</v>
      </c>
      <c r="AA99" s="62">
        <f t="shared" si="31"/>
        <v>23.282200000000003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0187-25</v>
      </c>
      <c r="AE99" s="85" t="str">
        <f t="shared" si="33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99" s="82" t="str">
        <f t="shared" si="34"/>
        <v>"C:\Program Files (x86)\AstroGrep\AstroGrep.exe" /spath="%USERPROFILE%\AppData\Local\Temp\OnboardLogs" /stypes="app*4027*20170225*"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187-25 --locoid 4027 --swversion DE.1.0.9.0 --startMP 204:464 --initTime 2017-02-25T14:27:19 --startdatetime 2017-02-25T14:30:28 --delay 1 --endMP 204:233286 --enddatetime 2017-02-25T15:06:46 --enforcementcount 1 &gt;&gt;C:\Users\stu\Documents\GitHub\eaglep3-reporting\EC\2017-02-25-refined-times.txt</v>
      </c>
      <c r="AI9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{"issue":{"subject":"","project_id":79,"tracker_id":40,"status_id":1,"priority_id":2,"assigned_to_id":23,"start_date":"2017-02-25","description":"","custom_fields":[{"id":1,"name":"Subdivision","value":"EC"},{"id":4,"name":"Milepost","value":"23.3286"},{"id":17,"name":"Train ID","value":"187-25"},{"id":16,"name":"Locomotive ID","value":"4027"},{"id":130,"name":"Impact","value":""},{"id":150,"name":"Time of Event (Mountain Time)","value":"15:06:46"},{"id":151,"name":"Denver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4027 --day 2017-02-25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626</v>
      </c>
      <c r="B100" s="7">
        <v>4028</v>
      </c>
      <c r="C100" s="21" t="s">
        <v>275</v>
      </c>
      <c r="D100" s="21" t="s">
        <v>627</v>
      </c>
      <c r="E100" s="13">
        <v>42791.636770833335</v>
      </c>
      <c r="F100" s="13">
        <v>42791.643333333333</v>
      </c>
      <c r="G100" s="7">
        <v>3</v>
      </c>
      <c r="H100" s="21" t="s">
        <v>197</v>
      </c>
      <c r="I100" s="13">
        <v>42791.671018518522</v>
      </c>
      <c r="J100" s="7">
        <v>1</v>
      </c>
      <c r="K100" s="98" t="str">
        <f t="shared" si="21"/>
        <v>4027/4028</v>
      </c>
      <c r="L100" s="21" t="str">
        <f>VLOOKUP(A100,'Trips&amp;Operators'!$C$1:$G$99999,5,FALSE)</f>
        <v>STEWART MICHAEL</v>
      </c>
      <c r="M100" s="6">
        <f t="shared" si="22"/>
        <v>2.768518518860219E-2</v>
      </c>
      <c r="N100" s="7">
        <f t="shared" si="23"/>
        <v>39.866666671587154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6"/>
        <v>https://d0f6bd738d7f1b3e5a7ca70fe4ff75f0.us-east-1.aws.found.io/app/kibana#/discover/Steve-Slow-Train-Analysis-(2080s-and-2083s)?_g=(refreshInterval:(display:Off,pause:!f,section:0,value:0),time:(from:'2017-02-25T14:16:57-0700',mode:absolute,to:'2017-02-25T17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0" s="197" t="str">
        <f t="shared" si="27"/>
        <v>N</v>
      </c>
      <c r="X100" s="197">
        <f t="shared" si="28"/>
        <v>1</v>
      </c>
      <c r="Y100" s="197">
        <f t="shared" si="29"/>
        <v>23.294599999999999</v>
      </c>
      <c r="Z100" s="62">
        <f t="shared" si="30"/>
        <v>1.6E-2</v>
      </c>
      <c r="AA100" s="62">
        <f t="shared" si="31"/>
        <v>23.278600000000001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0188-25</v>
      </c>
      <c r="AE100" s="85" t="str">
        <f t="shared" si="33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100" s="82" t="str">
        <f t="shared" si="34"/>
        <v>"C:\Program Files (x86)\AstroGrep\AstroGrep.exe" /spath="%USERPROFILE%\AppData\Local\Temp\OnboardLogs" /stypes="app*4028*20170225*"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188-25 --locoid 4028 --swversion DE.1.0.9.0 --startMP 204:232946 --initTime 2017-02-25T15:16:57 --startdatetime 2017-02-25T15:26:24 --delay 3 --endMP 204:160 --enddatetime 2017-02-25T16:06:16 --enforcementcount 1 &gt;&gt;C:\Users\stu\Documents\GitHub\eaglep3-reporting\EC\2017-02-25-refined-times.txt</v>
      </c>
      <c r="AI10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{"issue":{"subject":"","project_id":79,"tracker_id":40,"status_id":1,"priority_id":2,"assigned_to_id":23,"start_date":"2017-02-25","description":"","custom_fields":[{"id":1,"name":"Subdivision","value":"EC"},{"id":4,"name":"Milepost","value":"0.016"},{"id":17,"name":"Train ID","value":"188-25"},{"id":16,"name":"Locomotive ID","value":"4028"},{"id":130,"name":"Impact","value":""},{"id":150,"name":"Time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4028 --day 2017-02-25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628</v>
      </c>
      <c r="B101" s="7">
        <v>4020</v>
      </c>
      <c r="C101" s="21" t="s">
        <v>275</v>
      </c>
      <c r="D101" s="21" t="s">
        <v>232</v>
      </c>
      <c r="E101" s="13">
        <v>42791.610393518517</v>
      </c>
      <c r="F101" s="13">
        <v>42791.614918981482</v>
      </c>
      <c r="G101" s="7">
        <v>1</v>
      </c>
      <c r="H101" s="21" t="s">
        <v>629</v>
      </c>
      <c r="I101" s="13">
        <v>42791.640370370369</v>
      </c>
      <c r="J101" s="7">
        <v>1</v>
      </c>
      <c r="K101" s="98" t="str">
        <f t="shared" si="21"/>
        <v>4019/4020</v>
      </c>
      <c r="L101" s="21" t="str">
        <f>VLOOKUP(A101,'Trips&amp;Operators'!$C$1:$G$99999,5,FALSE)</f>
        <v>POLLOCK JASON</v>
      </c>
      <c r="M101" s="6">
        <f t="shared" si="22"/>
        <v>2.545138888672227E-2</v>
      </c>
      <c r="N101" s="7">
        <f t="shared" si="23"/>
        <v>36.649999996880069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6"/>
        <v>https://d0f6bd738d7f1b3e5a7ca70fe4ff75f0.us-east-1.aws.found.io/app/kibana#/discover/Steve-Slow-Train-Analysis-(2080s-and-2083s)?_g=(refreshInterval:(display:Off,pause:!f,section:0,value:0),time:(from:'2017-02-25T13:38:58-0700',mode:absolute,to:'2017-02-25T16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97" t="str">
        <f t="shared" si="27"/>
        <v>N</v>
      </c>
      <c r="X101" s="197">
        <f t="shared" si="28"/>
        <v>1</v>
      </c>
      <c r="Y101" s="197">
        <f t="shared" si="29"/>
        <v>4.53E-2</v>
      </c>
      <c r="Z101" s="62">
        <f t="shared" si="30"/>
        <v>23.342700000000001</v>
      </c>
      <c r="AA101" s="62">
        <f t="shared" si="31"/>
        <v>23.2974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0189-25</v>
      </c>
      <c r="AE101" s="85" t="str">
        <f t="shared" si="33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01" s="82" t="str">
        <f t="shared" si="34"/>
        <v>"C:\Program Files (x86)\AstroGrep\AstroGrep.exe" /spath="%USERPROFILE%\AppData\Local\Temp\OnboardLogs" /stypes="app*4020*20170225*"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189-25 --locoid 4020 --swversion DE.1.0.9.0 --startMP 204:453 --initTime 2017-02-25T14:38:58 --startdatetime 2017-02-25T14:45:29 --delay 1 --endMP 204:233427 --enddatetime 2017-02-25T15:22:08 --enforcementcount 1 &gt;&gt;C:\Users\stu\Documents\GitHub\eaglep3-reporting\EC\2017-02-25-refined-times.txt</v>
      </c>
      <c r="AI10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{"issue":{"subject":"","project_id":79,"tracker_id":40,"status_id":1,"priority_id":2,"assigned_to_id":23,"start_date":"2017-02-25","description":"","custom_fields":[{"id":1,"name":"Subdivision","value":"EC"},{"id":4,"name":"Milepost","value":"23.3427"},{"id":17,"name":"Train ID","value":"189-25"},{"id":16,"name":"Locomotive ID","value":"4020"},{"id":130,"name":"Impact","value":""},{"id":150,"name":"Time of Event (Mountain Time)","value":"15:22:08"},{"id":151,"name":"Denver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4020 --day 2017-02-25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</row>
    <row r="102" spans="1:91" s="20" customFormat="1" x14ac:dyDescent="0.25">
      <c r="A102" s="33" t="s">
        <v>630</v>
      </c>
      <c r="B102" s="7">
        <v>4019</v>
      </c>
      <c r="C102" s="21" t="s">
        <v>275</v>
      </c>
      <c r="D102" s="21" t="s">
        <v>631</v>
      </c>
      <c r="E102" s="13">
        <v>42791.649513888886</v>
      </c>
      <c r="F102" s="13">
        <v>42791.653668981482</v>
      </c>
      <c r="G102" s="7">
        <v>1</v>
      </c>
      <c r="H102" s="21" t="s">
        <v>216</v>
      </c>
      <c r="I102" s="13">
        <v>42791.682314814818</v>
      </c>
      <c r="J102" s="7">
        <v>1</v>
      </c>
      <c r="K102" s="98" t="str">
        <f t="shared" si="21"/>
        <v>4019/4020</v>
      </c>
      <c r="L102" s="21" t="str">
        <f>VLOOKUP(A102,'Trips&amp;Operators'!$C$1:$G$99999,5,FALSE)</f>
        <v>DAVIS MICHAEL</v>
      </c>
      <c r="M102" s="6">
        <f t="shared" si="22"/>
        <v>2.8645833335758653E-2</v>
      </c>
      <c r="N102" s="7">
        <f t="shared" si="23"/>
        <v>41.25000000349246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6"/>
        <v>https://d0f6bd738d7f1b3e5a7ca70fe4ff75f0.us-east-1.aws.found.io/app/kibana#/discover/Steve-Slow-Train-Analysis-(2080s-and-2083s)?_g=(refreshInterval:(display:Off,pause:!f,section:0,value:0),time:(from:'2017-02-25T14:35:18-0700',mode:absolute,to:'2017-02-25T17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97" t="str">
        <f t="shared" si="27"/>
        <v>N</v>
      </c>
      <c r="X102" s="197">
        <f t="shared" si="28"/>
        <v>1</v>
      </c>
      <c r="Y102" s="197">
        <f t="shared" si="29"/>
        <v>23.304300000000001</v>
      </c>
      <c r="Z102" s="62">
        <f t="shared" si="30"/>
        <v>1.43E-2</v>
      </c>
      <c r="AA102" s="62">
        <f t="shared" si="31"/>
        <v>23.290000000000003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0190-25</v>
      </c>
      <c r="AE102" s="85" t="str">
        <f t="shared" si="33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102" s="82" t="str">
        <f t="shared" si="34"/>
        <v>"C:\Program Files (x86)\AstroGrep\AstroGrep.exe" /spath="%USERPROFILE%\AppData\Local\Temp\OnboardLogs" /stypes="app*4019*20170225*"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190-25 --locoid 4019 --swversion DE.1.0.9.0 --startMP 204:233043 --initTime 2017-02-25T15:35:18 --startdatetime 2017-02-25T15:41:17 --delay 1 --endMP 204:143 --enddatetime 2017-02-25T16:22:32 --enforcementcount 1 &gt;&gt;C:\Users\stu\Documents\GitHub\eaglep3-reporting\EC\2017-02-25-refined-times.txt</v>
      </c>
      <c r="AI10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{"issue":{"subject":"","project_id":79,"tracker_id":40,"status_id":1,"priority_id":2,"assigned_to_id":23,"start_date":"2017-02-25","description":"","custom_fields":[{"id":1,"name":"Subdivision","value":"EC"},{"id":4,"name":"Milepost","value":"0.0143"},{"id":17,"name":"Train ID","value":"190-25"},{"id":16,"name":"Locomotive ID","value":"4019"},{"id":130,"name":"Impact","value":""},{"id":150,"name":"Time of Event (Mountain Time)","value":"16:22:32"},{"id":151,"name":"Denver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4019 --day 2017-02-25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636</v>
      </c>
      <c r="B103" s="7">
        <v>4044</v>
      </c>
      <c r="C103" s="21" t="s">
        <v>275</v>
      </c>
      <c r="D103" s="21" t="s">
        <v>295</v>
      </c>
      <c r="E103" s="13">
        <v>42791.620196759257</v>
      </c>
      <c r="F103" s="13">
        <v>42791.625185185185</v>
      </c>
      <c r="G103" s="7">
        <v>1</v>
      </c>
      <c r="H103" s="21" t="s">
        <v>297</v>
      </c>
      <c r="I103" s="13">
        <v>42791.649664351855</v>
      </c>
      <c r="J103" s="7">
        <v>1</v>
      </c>
      <c r="K103" s="98" t="str">
        <f t="shared" si="21"/>
        <v>4043/4044</v>
      </c>
      <c r="L103" s="21" t="str">
        <f>VLOOKUP(A103,'Trips&amp;Operators'!$C$1:$G$99999,5,FALSE)</f>
        <v>BRUDER RICHARD</v>
      </c>
      <c r="M103" s="6">
        <f t="shared" si="22"/>
        <v>2.4479166670062114E-2</v>
      </c>
      <c r="N103" s="7">
        <f t="shared" si="23"/>
        <v>35.250000004889444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6"/>
        <v>https://d0f6bd738d7f1b3e5a7ca70fe4ff75f0.us-east-1.aws.found.io/app/kibana#/discover/Steve-Slow-Train-Analysis-(2080s-and-2083s)?_g=(refreshInterval:(display:Off,pause:!f,section:0,value:0),time:(from:'2017-02-25T13:53:05-0700',mode:absolute,to:'2017-02-25T16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97" t="str">
        <f t="shared" si="27"/>
        <v>N</v>
      </c>
      <c r="X103" s="197">
        <f t="shared" si="28"/>
        <v>1</v>
      </c>
      <c r="Y103" s="197">
        <f t="shared" si="29"/>
        <v>4.4900000000000002E-2</v>
      </c>
      <c r="Z103" s="62">
        <f t="shared" si="30"/>
        <v>23.330500000000001</v>
      </c>
      <c r="AA103" s="62">
        <f t="shared" si="31"/>
        <v>23.285600000000002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0191-25</v>
      </c>
      <c r="AE103" s="85" t="str">
        <f t="shared" si="33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03" s="82" t="str">
        <f t="shared" si="34"/>
        <v>"C:\Program Files (x86)\AstroGrep\AstroGrep.exe" /spath="%USERPROFILE%\AppData\Local\Temp\OnboardLogs" /stypes="app*4044*20170225*"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191-25 --locoid 4044 --swversion DE.1.0.9.0 --startMP 204:449 --initTime 2017-02-25T14:53:05 --startdatetime 2017-02-25T15:00:16 --delay 1 --endMP 204:233305 --enddatetime 2017-02-25T15:35:31 --enforcementcount 1 &gt;&gt;C:\Users\stu\Documents\GitHub\eaglep3-reporting\EC\2017-02-25-refined-times.txt</v>
      </c>
      <c r="AI10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{"issue":{"subject":"","project_id":79,"tracker_id":40,"status_id":1,"priority_id":2,"assigned_to_id":23,"start_date":"2017-02-25","description":"","custom_fields":[{"id":1,"name":"Subdivision","value":"EC"},{"id":4,"name":"Milepost","value":"23.3305"},{"id":17,"name":"Train ID","value":"191-25"},{"id":16,"name":"Locomotive ID","value":"4044"},{"id":130,"name":"Impact","value":""},{"id":150,"name":"Time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4044 --day 2017-02-25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2017-02-25-UncaughtWiMAX.txt</v>
      </c>
    </row>
    <row r="104" spans="1:91" s="20" customFormat="1" x14ac:dyDescent="0.25">
      <c r="A104" s="33" t="s">
        <v>637</v>
      </c>
      <c r="B104" s="7">
        <v>4043</v>
      </c>
      <c r="C104" s="21" t="s">
        <v>275</v>
      </c>
      <c r="D104" s="21" t="s">
        <v>508</v>
      </c>
      <c r="E104" s="13">
        <v>42791.65960648148</v>
      </c>
      <c r="F104" s="13">
        <v>42791.664097222223</v>
      </c>
      <c r="G104" s="7">
        <v>1</v>
      </c>
      <c r="H104" s="21" t="s">
        <v>190</v>
      </c>
      <c r="I104" s="13">
        <v>42791.690925925926</v>
      </c>
      <c r="J104" s="7">
        <v>1</v>
      </c>
      <c r="K104" s="98" t="str">
        <f t="shared" si="21"/>
        <v>4043/4044</v>
      </c>
      <c r="L104" s="21" t="str">
        <f>VLOOKUP(A104,'Trips&amp;Operators'!$C$1:$G$99999,5,FALSE)</f>
        <v>BRUDER RICHARD</v>
      </c>
      <c r="M104" s="6">
        <f t="shared" si="22"/>
        <v>2.6828703703358769E-2</v>
      </c>
      <c r="N104" s="7">
        <f t="shared" si="23"/>
        <v>38.633333332836628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6"/>
        <v>https://d0f6bd738d7f1b3e5a7ca70fe4ff75f0.us-east-1.aws.found.io/app/kibana#/discover/Steve-Slow-Train-Analysis-(2080s-and-2083s)?_g=(refreshInterval:(display:Off,pause:!f,section:0,value:0),time:(from:'2017-02-25T14:49:50-0700',mode:absolute,to:'2017-02-25T17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97" t="str">
        <f t="shared" si="27"/>
        <v>N</v>
      </c>
      <c r="X104" s="197">
        <f t="shared" si="28"/>
        <v>1</v>
      </c>
      <c r="Y104" s="197">
        <f t="shared" si="29"/>
        <v>23.297999999999998</v>
      </c>
      <c r="Z104" s="62">
        <f t="shared" si="30"/>
        <v>1.4999999999999999E-2</v>
      </c>
      <c r="AA104" s="62">
        <f t="shared" si="31"/>
        <v>23.282999999999998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0192-25</v>
      </c>
      <c r="AE104" s="85" t="str">
        <f t="shared" si="33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104" s="82" t="str">
        <f t="shared" si="34"/>
        <v>"C:\Program Files (x86)\AstroGrep\AstroGrep.exe" /spath="%USERPROFILE%\AppData\Local\Temp\OnboardLogs" /stypes="app*4043*20170225*"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192-25 --locoid 4043 --swversion DE.1.0.9.0 --startMP 204:232980 --initTime 2017-02-25T15:49:50 --startdatetime 2017-02-25T15:56:18 --delay 1 --endMP 204:150 --enddatetime 2017-02-25T16:34:56 --enforcementcount 1 &gt;&gt;C:\Users\stu\Documents\GitHub\eaglep3-reporting\EC\2017-02-25-refined-times.txt</v>
      </c>
      <c r="AI10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{"issue":{"subject":"","project_id":79,"tracker_id":40,"status_id":1,"priority_id":2,"assigned_to_id":23,"start_date":"2017-02-25","description":"","custom_fields":[{"id":1,"name":"Subdivision","value":"EC"},{"id":4,"name":"Milepost","value":"0.015"},{"id":17,"name":"Train ID","value":"192-25"},{"id":16,"name":"Locomotive ID","value":"4043"},{"id":130,"name":"Impact","value":""},{"id":150,"name":"Time of Event (Mountain Time)","value":"16:34:56"},{"id":151,"name":"Denver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4043 --day 2017-02-25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638</v>
      </c>
      <c r="B105" s="7">
        <v>4053</v>
      </c>
      <c r="C105" s="21" t="s">
        <v>275</v>
      </c>
      <c r="D105" s="21" t="s">
        <v>222</v>
      </c>
      <c r="E105" s="13">
        <v>42791.63386574074</v>
      </c>
      <c r="F105" s="13">
        <v>42791.635601851849</v>
      </c>
      <c r="G105" s="7">
        <v>1</v>
      </c>
      <c r="H105" s="21" t="s">
        <v>303</v>
      </c>
      <c r="I105" s="13">
        <v>42791.661134259259</v>
      </c>
      <c r="J105" s="7">
        <v>1</v>
      </c>
      <c r="K105" s="98" t="str">
        <f t="shared" si="21"/>
        <v>4053/4054</v>
      </c>
      <c r="L105" s="21" t="str">
        <f>VLOOKUP(A105,'Trips&amp;Operators'!$C$1:$G$99999,5,FALSE)</f>
        <v>KILLION DAVID</v>
      </c>
      <c r="M105" s="6">
        <f t="shared" si="22"/>
        <v>2.5532407409627922E-2</v>
      </c>
      <c r="N105" s="7">
        <f t="shared" si="23"/>
        <v>36.766666669864208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6"/>
        <v>https://d0f6bd738d7f1b3e5a7ca70fe4ff75f0.us-east-1.aws.found.io/app/kibana#/discover/Steve-Slow-Train-Analysis-(2080s-and-2083s)?_g=(refreshInterval:(display:Off,pause:!f,section:0,value:0),time:(from:'2017-02-25T14:12:46-0700',mode:absolute,to:'2017-02-25T16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197" t="str">
        <f t="shared" si="27"/>
        <v>N</v>
      </c>
      <c r="X105" s="197">
        <f t="shared" si="28"/>
        <v>1</v>
      </c>
      <c r="Y105" s="197">
        <f t="shared" si="29"/>
        <v>4.5999999999999999E-2</v>
      </c>
      <c r="Z105" s="62">
        <f t="shared" si="30"/>
        <v>23.330200000000001</v>
      </c>
      <c r="AA105" s="62">
        <f t="shared" si="31"/>
        <v>23.284200000000002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0193-25</v>
      </c>
      <c r="AE105" s="85" t="str">
        <f t="shared" si="33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105" s="82" t="str">
        <f t="shared" si="34"/>
        <v>"C:\Program Files (x86)\AstroGrep\AstroGrep.exe" /spath="%USERPROFILE%\AppData\Local\Temp\OnboardLogs" /stypes="app*4053*20170225*"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193-25 --locoid 4053 --swversion DE.1.0.9.0 --startMP 204:460 --initTime 2017-02-25T15:12:46 --startdatetime 2017-02-25T15:15:16 --delay 1 --endMP 204:233302 --enddatetime 2017-02-25T15:52:02 --enforcementcount 1 &gt;&gt;C:\Users\stu\Documents\GitHub\eaglep3-reporting\EC\2017-02-25-refined-times.txt</v>
      </c>
      <c r="AI10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{"issue":{"subject":"","project_id":79,"tracker_id":40,"status_id":1,"priority_id":2,"assigned_to_id":23,"start_date":"2017-02-25","description":"","custom_fields":[{"id":1,"name":"Subdivision","value":"EC"},{"id":4,"name":"Milepost","value":"23.3302"},{"id":17,"name":"Train ID","value":"193-25"},{"id":16,"name":"Locomotive ID","value":"4053"},{"id":130,"name":"Impact","value":""},{"id":150,"name":"Time of Event (Mountain Time)","value":"15:52:02"},{"id":151,"name":"Denver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4053 --day 2017-02-25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416</v>
      </c>
      <c r="B106" s="7">
        <v>4054</v>
      </c>
      <c r="C106" s="21" t="s">
        <v>275</v>
      </c>
      <c r="D106" s="21" t="s">
        <v>368</v>
      </c>
      <c r="E106" s="13">
        <v>42791.669432870367</v>
      </c>
      <c r="F106" s="13">
        <v>42791.674502314818</v>
      </c>
      <c r="G106" s="7">
        <v>1</v>
      </c>
      <c r="H106" s="21" t="s">
        <v>180</v>
      </c>
      <c r="I106" s="13">
        <v>42791.702824074076</v>
      </c>
      <c r="J106" s="7">
        <v>1</v>
      </c>
      <c r="K106" s="98" t="str">
        <f t="shared" si="21"/>
        <v>4053/4054</v>
      </c>
      <c r="L106" s="21" t="str">
        <f>VLOOKUP(A106,'Trips&amp;Operators'!$C$1:$G$99999,5,FALSE)</f>
        <v>KILLION DAVID</v>
      </c>
      <c r="M106" s="6">
        <f t="shared" si="22"/>
        <v>2.8321759258687962E-2</v>
      </c>
      <c r="N106" s="7">
        <f t="shared" si="23"/>
        <v>40.783333332510665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6"/>
        <v>https://d0f6bd738d7f1b3e5a7ca70fe4ff75f0.us-east-1.aws.found.io/app/kibana#/discover/Steve-Slow-Train-Analysis-(2080s-and-2083s)?_g=(refreshInterval:(display:Off,pause:!f,section:0,value:0),time:(from:'2017-02-25T15:03:59-0700',mode:absolute,to:'2017-02-25T17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97" t="str">
        <f t="shared" si="27"/>
        <v>N</v>
      </c>
      <c r="X106" s="197">
        <f t="shared" si="28"/>
        <v>1</v>
      </c>
      <c r="Y106" s="197">
        <f t="shared" si="29"/>
        <v>23.297699999999999</v>
      </c>
      <c r="Z106" s="62">
        <f t="shared" si="30"/>
        <v>1.49E-2</v>
      </c>
      <c r="AA106" s="62">
        <f t="shared" si="31"/>
        <v>23.282799999999998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0194-25</v>
      </c>
      <c r="AE106" s="85" t="str">
        <f t="shared" si="33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106" s="82" t="str">
        <f t="shared" si="34"/>
        <v>"C:\Program Files (x86)\AstroGrep\AstroGrep.exe" /spath="%USERPROFILE%\AppData\Local\Temp\OnboardLogs" /stypes="app*4054*20170225*"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194-25 --locoid 4054 --swversion DE.1.0.9.0 --startMP 204:232977 --initTime 2017-02-25T16:03:59 --startdatetime 2017-02-25T16:11:17 --delay 1 --endMP 204:149 --enddatetime 2017-02-25T16:52:04 --enforcementcount 1 &gt;&gt;C:\Users\stu\Documents\GitHub\eaglep3-reporting\EC\2017-02-25-refined-times.txt</v>
      </c>
      <c r="AI10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ID","value":"194-25"},{"id":16,"name":"Locomotive ID","value":"4054"},{"id":130,"name":"Impact","value":""},{"id":150,"name":"Time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4054 --day 2017-02-25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639</v>
      </c>
      <c r="B107" s="7">
        <v>4046</v>
      </c>
      <c r="C107" s="21" t="s">
        <v>275</v>
      </c>
      <c r="D107" s="21" t="s">
        <v>257</v>
      </c>
      <c r="E107" s="13">
        <v>42791.644004629627</v>
      </c>
      <c r="F107" s="13">
        <v>42791.646053240744</v>
      </c>
      <c r="G107" s="7">
        <v>1</v>
      </c>
      <c r="H107" s="21" t="s">
        <v>640</v>
      </c>
      <c r="I107" s="13">
        <v>42791.67082175926</v>
      </c>
      <c r="J107" s="7">
        <v>1</v>
      </c>
      <c r="K107" s="98" t="str">
        <f t="shared" si="21"/>
        <v>4045/4046</v>
      </c>
      <c r="L107" s="21" t="str">
        <f>VLOOKUP(A107,'Trips&amp;Operators'!$C$1:$G$99999,5,FALSE)</f>
        <v>LEVIN SCOTT</v>
      </c>
      <c r="M107" s="6">
        <f t="shared" si="22"/>
        <v>2.4768518516793847E-2</v>
      </c>
      <c r="N107" s="7">
        <f t="shared" si="23"/>
        <v>35.66666666418314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6"/>
        <v>https://d0f6bd738d7f1b3e5a7ca70fe4ff75f0.us-east-1.aws.found.io/app/kibana#/discover/Steve-Slow-Train-Analysis-(2080s-and-2083s)?_g=(refreshInterval:(display:Off,pause:!f,section:0,value:0),time:(from:'2017-02-25T14:27:22-0700',mode:absolute,to:'2017-02-25T17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97" t="str">
        <f t="shared" si="27"/>
        <v>N</v>
      </c>
      <c r="X107" s="197">
        <f t="shared" si="28"/>
        <v>1</v>
      </c>
      <c r="Y107" s="197">
        <f t="shared" si="29"/>
        <v>4.4400000000000002E-2</v>
      </c>
      <c r="Z107" s="62">
        <f t="shared" si="30"/>
        <v>23.333400000000001</v>
      </c>
      <c r="AA107" s="62">
        <f t="shared" si="31"/>
        <v>23.289000000000001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0195-25</v>
      </c>
      <c r="AE107" s="85" t="str">
        <f t="shared" si="33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07" s="82" t="str">
        <f t="shared" si="34"/>
        <v>"C:\Program Files (x86)\AstroGrep\AstroGrep.exe" /spath="%USERPROFILE%\AppData\Local\Temp\OnboardLogs" /stypes="app*4046*20170225*"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195-25 --locoid 4046 --swversion DE.1.0.9.0 --startMP 204:444 --initTime 2017-02-25T15:27:22 --startdatetime 2017-02-25T15:30:19 --delay 1 --endMP 204:233334 --enddatetime 2017-02-25T16:05:59 --enforcementcount 1 &gt;&gt;C:\Users\stu\Documents\GitHub\eaglep3-reporting\EC\2017-02-25-refined-times.txt</v>
      </c>
      <c r="AI10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{"issue":{"subject":"","project_id":79,"tracker_id":40,"status_id":1,"priority_id":2,"assigned_to_id":23,"start_date":"2017-02-25","description":"","custom_fields":[{"id":1,"name":"Subdivision","value":"EC"},{"id":4,"name":"Milepost","value":"23.3334"},{"id":17,"name":"Train ID","value":"195-25"},{"id":16,"name":"Locomotive ID","value":"4046"},{"id":130,"name":"Impact","value":""},{"id":150,"name":"Time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4046 --day 2017-02-25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"%USERPROFILE%\AppData\Local\Temp\OnboardLogs"\RTDC4046\*4046*20170225* | grep -SE "(Enforcement Action)|(\[TIMEOUT)|(CHR.+\|PRM\|1\|D.+(SWITCH|SIGNAL).+UNKNOWN)" - &gt;&gt; 2017-02-25-UncaughtWiMAX.txt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641</v>
      </c>
      <c r="B108" s="7">
        <v>4045</v>
      </c>
      <c r="C108" s="21" t="s">
        <v>275</v>
      </c>
      <c r="D108" s="21" t="s">
        <v>324</v>
      </c>
      <c r="E108" s="13">
        <v>42791.680752314816</v>
      </c>
      <c r="F108" s="13">
        <v>42791.684895833336</v>
      </c>
      <c r="G108" s="7">
        <v>1</v>
      </c>
      <c r="H108" s="21" t="s">
        <v>520</v>
      </c>
      <c r="I108" s="13">
        <v>42791.712129629632</v>
      </c>
      <c r="J108" s="7">
        <v>1</v>
      </c>
      <c r="K108" s="98" t="str">
        <f t="shared" si="21"/>
        <v>4045/4046</v>
      </c>
      <c r="L108" s="21" t="str">
        <f>VLOOKUP(A108,'Trips&amp;Operators'!$C$1:$G$99999,5,FALSE)</f>
        <v>LEVIN SCOTT</v>
      </c>
      <c r="M108" s="6">
        <f t="shared" si="22"/>
        <v>2.7233796296059154E-2</v>
      </c>
      <c r="N108" s="7">
        <f t="shared" si="23"/>
        <v>39.216666666325182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6"/>
        <v>https://d0f6bd738d7f1b3e5a7ca70fe4ff75f0.us-east-1.aws.found.io/app/kibana#/discover/Steve-Slow-Train-Analysis-(2080s-and-2083s)?_g=(refreshInterval:(display:Off,pause:!f,section:0,value:0),time:(from:'2017-02-25T15:20:17-0700',mode:absolute,to:'2017-02-25T18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97" t="str">
        <f t="shared" si="27"/>
        <v>N</v>
      </c>
      <c r="X108" s="197">
        <f t="shared" si="28"/>
        <v>1</v>
      </c>
      <c r="Y108" s="197">
        <f t="shared" si="29"/>
        <v>23.3019</v>
      </c>
      <c r="Z108" s="62">
        <f t="shared" si="30"/>
        <v>1.34E-2</v>
      </c>
      <c r="AA108" s="62">
        <f t="shared" si="31"/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0196-25</v>
      </c>
      <c r="AE108" s="85" t="str">
        <f t="shared" si="33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108" s="82" t="str">
        <f t="shared" si="34"/>
        <v>"C:\Program Files (x86)\AstroGrep\AstroGrep.exe" /spath="%USERPROFILE%\AppData\Local\Temp\OnboardLogs" /stypes="app*4045*20170226*"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196-25 --locoid 4045 --swversion DE.1.0.9.0 --startMP 204:233019 --initTime 2017-02-25T16:20:17 --startdatetime 2017-02-25T16:26:15 --delay 1 --endMP 204:134 --enddatetime 2017-02-25T17:05:28 --enforcementcount 1 &gt;&gt;C:\Users\stu\Documents\GitHub\eaglep3-reporting\EC\2017-02-25-refined-times.txt</v>
      </c>
      <c r="AI10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{"issue":{"subject":"","project_id":79,"tracker_id":40,"status_id":1,"priority_id":2,"assigned_to_id":23,"start_date":"2017-02-25","description":"","custom_fields":[{"id":1,"name":"Subdivision","value":"EC"},{"id":4,"name":"Milepost","value":"0.0134"},{"id":17,"name":"Train ID","value":"196-25"},{"id":16,"name":"Locomotive ID","value":"4045"},{"id":130,"name":"Impact","value":""},{"id":150,"name":"Time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4045 --day 2017-02-25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"%USERPROFILE%\AppData\Local\Temp\OnboardLogs"\RTDC4045\*4045*20170225* | grep -SE "(Enforcement Action)|(\[TIMEOUT)|(CHR.+\|PRM\|1\|D.+(SWITCH|SIGNAL).+UNKNOWN)" - &gt;&gt; 2017-02-25-UncaughtWiMAX.txt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414</v>
      </c>
      <c r="B109" s="7">
        <v>4018</v>
      </c>
      <c r="C109" s="21" t="s">
        <v>275</v>
      </c>
      <c r="D109" s="21" t="s">
        <v>218</v>
      </c>
      <c r="E109" s="13">
        <v>42791.652175925927</v>
      </c>
      <c r="F109" s="13">
        <v>42791.656539351854</v>
      </c>
      <c r="G109" s="7">
        <v>1</v>
      </c>
      <c r="H109" s="21" t="s">
        <v>642</v>
      </c>
      <c r="I109" s="13">
        <v>42791.681597222225</v>
      </c>
      <c r="J109" s="7">
        <v>1</v>
      </c>
      <c r="K109" s="98" t="str">
        <f t="shared" si="21"/>
        <v>4017/4018</v>
      </c>
      <c r="L109" s="21" t="str">
        <f>VLOOKUP(A109,'Trips&amp;Operators'!$C$1:$G$99999,5,FALSE)</f>
        <v>HOLCOMB KAMDEN</v>
      </c>
      <c r="M109" s="6">
        <f t="shared" si="22"/>
        <v>2.5057870370801538E-2</v>
      </c>
      <c r="N109" s="7">
        <f t="shared" si="23"/>
        <v>36.083333333954215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6"/>
        <v>https://d0f6bd738d7f1b3e5a7ca70fe4ff75f0.us-east-1.aws.found.io/app/kibana#/discover/Steve-Slow-Train-Analysis-(2080s-and-2083s)?_g=(refreshInterval:(display:Off,pause:!f,section:0,value:0),time:(from:'2017-02-25T14:39:08-0700',mode:absolute,to:'2017-02-25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97" t="str">
        <f t="shared" si="27"/>
        <v>N</v>
      </c>
      <c r="X109" s="197">
        <f t="shared" si="28"/>
        <v>1</v>
      </c>
      <c r="Y109" s="197">
        <f t="shared" si="29"/>
        <v>4.5100000000000001E-2</v>
      </c>
      <c r="Z109" s="62">
        <f t="shared" si="30"/>
        <v>23.329799999999999</v>
      </c>
      <c r="AA109" s="62">
        <f t="shared" si="31"/>
        <v>23.284699999999997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0197-25</v>
      </c>
      <c r="AE109" s="85" t="str">
        <f t="shared" si="33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109" s="82" t="str">
        <f t="shared" si="34"/>
        <v>"C:\Program Files (x86)\AstroGrep\AstroGrep.exe" /spath="%USERPROFILE%\AppData\Local\Temp\OnboardLogs" /stypes="app*4018*20170225*"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197-25 --locoid 4018 --swversion DE.1.0.9.0 --startMP 204:451 --initTime 2017-02-25T15:39:08 --startdatetime 2017-02-25T15:45:25 --delay 1 --endMP 204:233298 --enddatetime 2017-02-25T16:21:30 --enforcementcount 1 &gt;&gt;C:\Users\stu\Documents\GitHub\eaglep3-reporting\EC\2017-02-25-refined-times.txt</v>
      </c>
      <c r="AI10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{"issue":{"subject":"","project_id":79,"tracker_id":40,"status_id":1,"priority_id":2,"assigned_to_id":23,"start_date":"2017-02-25","description":"","custom_fields":[{"id":1,"name":"Subdivision","value":"EC"},{"id":4,"name":"Milepost","value":"23.3298"},{"id":17,"name":"Train ID","value":"197-25"},{"id":16,"name":"Locomotive ID","value":"4018"},{"id":130,"name":"Impact","value":""},{"id":150,"name":"Time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4018 --day 2017-02-25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"%USERPROFILE%\AppData\Local\Temp\OnboardLogs"\RTDC4018\*4018*20170225* | grep -SE "(Enforcement Action)|(\[TIMEOUT)|(CHR.+\|PRM\|1\|D.+(SWITCH|SIGNAL).+UNKNOWN)" - &gt;&gt; 2017-02-25-UncaughtWiMAX.txt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643</v>
      </c>
      <c r="B110" s="7">
        <v>4017</v>
      </c>
      <c r="C110" s="21" t="s">
        <v>275</v>
      </c>
      <c r="D110" s="21" t="s">
        <v>482</v>
      </c>
      <c r="E110" s="13">
        <v>42791.690092592595</v>
      </c>
      <c r="F110" s="13">
        <v>42791.695393518516</v>
      </c>
      <c r="G110" s="7">
        <v>1</v>
      </c>
      <c r="H110" s="21" t="s">
        <v>180</v>
      </c>
      <c r="I110" s="13">
        <v>42791.72320601852</v>
      </c>
      <c r="J110" s="7">
        <v>1</v>
      </c>
      <c r="K110" s="98" t="str">
        <f t="shared" si="21"/>
        <v>4017/4018</v>
      </c>
      <c r="L110" s="21" t="str">
        <f>VLOOKUP(A110,'Trips&amp;Operators'!$C$1:$G$99999,5,FALSE)</f>
        <v>HOLCOMB KAMDEN</v>
      </c>
      <c r="M110" s="6">
        <f t="shared" si="22"/>
        <v>2.7812500004074536E-2</v>
      </c>
      <c r="N110" s="7">
        <f t="shared" si="23"/>
        <v>40.050000005867332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6"/>
        <v>https://d0f6bd738d7f1b3e5a7ca70fe4ff75f0.us-east-1.aws.found.io/app/kibana#/discover/Steve-Slow-Train-Analysis-(2080s-and-2083s)?_g=(refreshInterval:(display:Off,pause:!f,section:0,value:0),time:(from:'2017-02-25T15:33:44-0700',mode:absolute,to:'2017-02-25T18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97" t="str">
        <f t="shared" si="27"/>
        <v>N</v>
      </c>
      <c r="X110" s="197">
        <f t="shared" si="28"/>
        <v>1</v>
      </c>
      <c r="Y110" s="197">
        <f t="shared" si="29"/>
        <v>23.2989</v>
      </c>
      <c r="Z110" s="62">
        <f t="shared" si="30"/>
        <v>1.49E-2</v>
      </c>
      <c r="AA110" s="62">
        <f t="shared" si="31"/>
        <v>23.283999999999999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0198-25</v>
      </c>
      <c r="AE110" s="85" t="str">
        <f t="shared" si="33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110" s="82" t="str">
        <f t="shared" si="34"/>
        <v>"C:\Program Files (x86)\AstroGrep\AstroGrep.exe" /spath="%USERPROFILE%\AppData\Local\Temp\OnboardLogs" /stypes="app*4017*20170226*"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198-25 --locoid 4017 --swversion DE.1.0.9.0 --startMP 204:232989 --initTime 2017-02-25T16:33:44 --startdatetime 2017-02-25T16:41:22 --delay 1 --endMP 204:149 --enddatetime 2017-02-25T17:21:25 --enforcementcount 1 &gt;&gt;C:\Users\stu\Documents\GitHub\eaglep3-reporting\EC\2017-02-25-refined-times.txt</v>
      </c>
      <c r="AI11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{"issue":{"subject":"","project_id":79,"tracker_id":40,"status_id":1,"priority_id":2,"assigned_to_id":23,"start_date":"2017-02-25","description":"","custom_fields":[{"id":1,"name":"Subdivision","value":"EC"},{"id":4,"name":"Milepost","value":"0.0149"},{"id":17,"name":"Train ID","value":"198-25"},{"id":16,"name":"Locomotive ID","value":"4017"},{"id":130,"name":"Impact","value":""},{"id":150,"name":"Time of Event (Mountain Time)","value":"17:21:25"},{"id":151,"name":"Denver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4017 --day 2017-02-25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644</v>
      </c>
      <c r="B111" s="7">
        <v>4051</v>
      </c>
      <c r="C111" s="21" t="s">
        <v>275</v>
      </c>
      <c r="D111" s="21" t="s">
        <v>376</v>
      </c>
      <c r="E111" s="13">
        <v>42791.662465277775</v>
      </c>
      <c r="F111" s="13">
        <v>42791.666967592595</v>
      </c>
      <c r="G111" s="7">
        <v>1</v>
      </c>
      <c r="H111" s="21" t="s">
        <v>294</v>
      </c>
      <c r="I111" s="13">
        <v>42791.692175925928</v>
      </c>
      <c r="J111" s="7">
        <v>1</v>
      </c>
      <c r="K111" s="98" t="str">
        <f t="shared" si="21"/>
        <v>4051/4052</v>
      </c>
      <c r="L111" s="21" t="str">
        <f>VLOOKUP(A111,'Trips&amp;Operators'!$C$1:$G$99999,5,FALSE)</f>
        <v>MCREYNOLDS KYLE</v>
      </c>
      <c r="M111" s="6">
        <f t="shared" si="22"/>
        <v>2.5208333332557231E-2</v>
      </c>
      <c r="N111" s="7">
        <f t="shared" si="23"/>
        <v>36.299999998882413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6"/>
        <v>https://d0f6bd738d7f1b3e5a7ca70fe4ff75f0.us-east-1.aws.found.io/app/kibana#/discover/Steve-Slow-Train-Analysis-(2080s-and-2083s)?_g=(refreshInterval:(display:Off,pause:!f,section:0,value:0),time:(from:'2017-02-25T14:53:57-0700',mode:absolute,to:'2017-02-25T17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197" t="str">
        <f t="shared" si="27"/>
        <v>N</v>
      </c>
      <c r="X111" s="197">
        <f t="shared" si="28"/>
        <v>1</v>
      </c>
      <c r="Y111" s="197">
        <f t="shared" si="29"/>
        <v>4.7800000000000002E-2</v>
      </c>
      <c r="Z111" s="62">
        <f t="shared" si="30"/>
        <v>23.329499999999999</v>
      </c>
      <c r="AA111" s="62">
        <f t="shared" si="31"/>
        <v>23.281700000000001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0199-25</v>
      </c>
      <c r="AE111" s="85" t="str">
        <f t="shared" si="33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11" s="82" t="str">
        <f t="shared" si="34"/>
        <v>"C:\Program Files (x86)\AstroGrep\AstroGrep.exe" /spath="%USERPROFILE%\AppData\Local\Temp\OnboardLogs" /stypes="app*4051*20170225*"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199-25 --locoid 4051 --swversion DE.1.0.9.0 --startMP 204:478 --initTime 2017-02-25T15:53:57 --startdatetime 2017-02-25T16:00:26 --delay 1 --endMP 204:233295 --enddatetime 2017-02-25T16:36:44 --enforcementcount 1 &gt;&gt;C:\Users\stu\Documents\GitHub\eaglep3-reporting\EC\2017-02-25-refined-times.txt</v>
      </c>
      <c r="AI11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{"issue":{"subject":"","project_id":79,"tracker_id":40,"status_id":1,"priority_id":2,"assigned_to_id":23,"start_date":"2017-02-25","description":"","custom_fields":[{"id":1,"name":"Subdivision","value":"EC"},{"id":4,"name":"Milepost","value":"23.3295"},{"id":17,"name":"Train ID","value":"199-25"},{"id":16,"name":"Locomotive ID","value":"4051"},{"id":130,"name":"Impact","value":""},{"id":150,"name":"Time of Event (Mountain Time)","value":"16:36:44"},{"id":151,"name":"Denver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4051 --day 2017-02-25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645</v>
      </c>
      <c r="B112" s="7">
        <v>4052</v>
      </c>
      <c r="C112" s="21" t="s">
        <v>275</v>
      </c>
      <c r="D112" s="21" t="s">
        <v>302</v>
      </c>
      <c r="E112" s="13">
        <v>42791.700648148151</v>
      </c>
      <c r="F112" s="13">
        <v>42791.705833333333</v>
      </c>
      <c r="G112" s="7">
        <v>1</v>
      </c>
      <c r="H112" s="21" t="s">
        <v>258</v>
      </c>
      <c r="I112" s="13">
        <v>42791.734305555554</v>
      </c>
      <c r="J112" s="7">
        <v>1</v>
      </c>
      <c r="K112" s="98" t="str">
        <f t="shared" si="21"/>
        <v>4051/4052</v>
      </c>
      <c r="L112" s="21" t="str">
        <f>VLOOKUP(A112,'Trips&amp;Operators'!$C$1:$G$99999,5,FALSE)</f>
        <v>MCREYNOLDS KYLE</v>
      </c>
      <c r="M112" s="6">
        <f t="shared" si="22"/>
        <v>2.8472222220443655E-2</v>
      </c>
      <c r="N112" s="7">
        <f t="shared" si="23"/>
        <v>40.999999997438863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6"/>
        <v>https://d0f6bd738d7f1b3e5a7ca70fe4ff75f0.us-east-1.aws.found.io/app/kibana#/discover/Steve-Slow-Train-Analysis-(2080s-and-2083s)?_g=(refreshInterval:(display:Off,pause:!f,section:0,value:0),time:(from:'2017-02-25T15:48:56-0700',mode:absolute,to:'2017-02-25T18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197" t="str">
        <f t="shared" si="27"/>
        <v>N</v>
      </c>
      <c r="X112" s="197">
        <f t="shared" si="28"/>
        <v>1</v>
      </c>
      <c r="Y112" s="197">
        <f t="shared" si="29"/>
        <v>23.2988</v>
      </c>
      <c r="Z112" s="62">
        <f t="shared" si="30"/>
        <v>1.47E-2</v>
      </c>
      <c r="AA112" s="62">
        <f t="shared" si="31"/>
        <v>23.284099999999999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0200-25</v>
      </c>
      <c r="AE112" s="85" t="str">
        <f t="shared" si="33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112" s="82" t="str">
        <f t="shared" si="34"/>
        <v>"C:\Program Files (x86)\AstroGrep\AstroGrep.exe" /spath="%USERPROFILE%\AppData\Local\Temp\OnboardLogs" /stypes="app*4052*20170226*"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200-25 --locoid 4052 --swversion DE.1.0.9.0 --startMP 204:232988 --initTime 2017-02-25T16:48:56 --startdatetime 2017-02-25T16:56:24 --delay 1 --endMP 204:147 --enddatetime 2017-02-25T17:37:24 --enforcementcount 1 &gt;&gt;C:\Users\stu\Documents\GitHub\eaglep3-reporting\EC\2017-02-25-refined-times.txt</v>
      </c>
      <c r="AI11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ID","value":"200-25"},{"id":16,"name":"Locomotive ID","value":"4052"},{"id":130,"name":"Impact","value":""},{"id":150,"name":"Time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4052 --day 2017-02-25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"%USERPROFILE%\AppData\Local\Temp\OnboardLogs"\RTDC4052\*4052*20170226* | grep -SE "(Enforcement Action)|(\[TIMEOUT)|(CHR.+\|PRM\|1\|D.+(SWITCH|SIGNAL).+UNKNOWN)" - &gt;&gt; 2017-02-25-UncaughtWiMAX.txt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646</v>
      </c>
      <c r="B113" s="7">
        <v>4027</v>
      </c>
      <c r="C113" s="21" t="s">
        <v>275</v>
      </c>
      <c r="D113" s="21" t="s">
        <v>295</v>
      </c>
      <c r="E113" s="13">
        <v>42791.674525462964</v>
      </c>
      <c r="F113" s="13">
        <v>42791.677314814813</v>
      </c>
      <c r="G113" s="7">
        <v>1</v>
      </c>
      <c r="H113" s="21" t="s">
        <v>319</v>
      </c>
      <c r="I113" s="13">
        <v>42791.702546296299</v>
      </c>
      <c r="J113" s="7">
        <v>1</v>
      </c>
      <c r="K113" s="98" t="str">
        <f t="shared" si="21"/>
        <v>4027/4028</v>
      </c>
      <c r="L113" s="21" t="str">
        <f>VLOOKUP(A113,'Trips&amp;Operators'!$C$1:$G$99999,5,FALSE)</f>
        <v>STEWART MICHAEL</v>
      </c>
      <c r="M113" s="6">
        <f t="shared" si="22"/>
        <v>2.5231481486116536E-2</v>
      </c>
      <c r="N113" s="7">
        <f t="shared" si="23"/>
        <v>36.333333340007812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6"/>
        <v>https://d0f6bd738d7f1b3e5a7ca70fe4ff75f0.us-east-1.aws.found.io/app/kibana#/discover/Steve-Slow-Train-Analysis-(2080s-and-2083s)?_g=(refreshInterval:(display:Off,pause:!f,section:0,value:0),time:(from:'2017-02-25T15:11:19-0700',mode:absolute,to:'2017-02-25T17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197" t="str">
        <f t="shared" si="27"/>
        <v>N</v>
      </c>
      <c r="X113" s="197">
        <f t="shared" si="28"/>
        <v>1</v>
      </c>
      <c r="Y113" s="197">
        <f t="shared" si="29"/>
        <v>4.4900000000000002E-2</v>
      </c>
      <c r="Z113" s="62">
        <f t="shared" si="30"/>
        <v>23.330400000000001</v>
      </c>
      <c r="AA113" s="62">
        <f t="shared" si="31"/>
        <v>23.285500000000003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0201-25</v>
      </c>
      <c r="AE113" s="85" t="str">
        <f t="shared" si="33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113" s="82" t="str">
        <f t="shared" si="34"/>
        <v>"C:\Program Files (x86)\AstroGrep\AstroGrep.exe" /spath="%USERPROFILE%\AppData\Local\Temp\OnboardLogs" /stypes="app*4027*20170225*"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201-25 --locoid 4027 --swversion DE.1.0.9.0 --startMP 204:449 --initTime 2017-02-25T16:11:19 --startdatetime 2017-02-25T16:15:20 --delay 1 --endMP 204:233304 --enddatetime 2017-02-25T16:51:40 --enforcementcount 1 &gt;&gt;C:\Users\stu\Documents\GitHub\eaglep3-reporting\EC\2017-02-25-refined-times.txt</v>
      </c>
      <c r="AI11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{"issue":{"subject":"","project_id":79,"tracker_id":40,"status_id":1,"priority_id":2,"assigned_to_id":23,"start_date":"2017-02-25","description":"","custom_fields":[{"id":1,"name":"Subdivision","value":"EC"},{"id":4,"name":"Milepost","value":"23.3304"},{"id":17,"name":"Train ID","value":"201-25"},{"id":16,"name":"Locomotive ID","value":"4027"},{"id":130,"name":"Impact","value":""},{"id":150,"name":"Time of Event (Mountain Time)","value":"16:51:40"},{"id":151,"name":"Denver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4027 --day 2017-02-25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"%USERPROFILE%\AppData\Local\Temp\OnboardLogs"\RTDC4027\*4027*20170225* | grep -SE "(Enforcement Action)|(\[TIMEOUT)|(CHR.+\|PRM\|1\|D.+(SWITCH|SIGNAL).+UNKNOWN)" - &gt;&gt; 2017-02-25-UncaughtWiMAX.txt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418</v>
      </c>
      <c r="B114" s="7">
        <v>4028</v>
      </c>
      <c r="C114" s="21" t="s">
        <v>275</v>
      </c>
      <c r="D114" s="21" t="s">
        <v>371</v>
      </c>
      <c r="E114" s="13">
        <v>42791.711828703701</v>
      </c>
      <c r="F114" s="13">
        <v>42791.716226851851</v>
      </c>
      <c r="G114" s="7">
        <v>1</v>
      </c>
      <c r="H114" s="21" t="s">
        <v>647</v>
      </c>
      <c r="I114" s="13">
        <v>42791.744618055556</v>
      </c>
      <c r="J114" s="7">
        <v>1</v>
      </c>
      <c r="K114" s="98" t="str">
        <f t="shared" si="21"/>
        <v>4027/4028</v>
      </c>
      <c r="L114" s="21" t="str">
        <f>VLOOKUP(A114,'Trips&amp;Operators'!$C$1:$G$99999,5,FALSE)</f>
        <v>STEWART MICHAEL</v>
      </c>
      <c r="M114" s="6">
        <f t="shared" si="22"/>
        <v>2.8391203704813961E-2</v>
      </c>
      <c r="N114" s="7">
        <f t="shared" si="23"/>
        <v>40.883333334932104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6"/>
        <v>https://d0f6bd738d7f1b3e5a7ca70fe4ff75f0.us-east-1.aws.found.io/app/kibana#/discover/Steve-Slow-Train-Analysis-(2080s-and-2083s)?_g=(refreshInterval:(display:Off,pause:!f,section:0,value:0),time:(from:'2017-02-25T16:05:02-0700',mode:absolute,to:'2017-02-25T18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197" t="str">
        <f t="shared" si="27"/>
        <v>N</v>
      </c>
      <c r="X114" s="197">
        <f t="shared" si="28"/>
        <v>1</v>
      </c>
      <c r="Y114" s="197">
        <f t="shared" si="29"/>
        <v>23.298100000000002</v>
      </c>
      <c r="Z114" s="62">
        <v>0.02</v>
      </c>
      <c r="AA114" s="62">
        <f t="shared" si="31"/>
        <v>23.278100000000002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0202-25</v>
      </c>
      <c r="AE114" s="85" t="str">
        <f t="shared" si="33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114" s="82" t="str">
        <f t="shared" si="34"/>
        <v>"C:\Program Files (x86)\AstroGrep\AstroGrep.exe" /spath="%USERPROFILE%\AppData\Local\Temp\OnboardLogs" /stypes="app*4028*20170226*"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202-25 --locoid 4028 --swversion DE.1.0.9.0 --startMP 204:232981 --initTime 2017-02-25T17:05:02 --startdatetime 2017-02-25T17:11:22 --delay 1 --endMP 204:22307 --enddatetime 2017-02-25T17:52:15 --enforcementcount 1 &gt;&gt;C:\Users\stu\Documents\GitHub\eaglep3-reporting\EC\2017-02-25-refined-times.txt</v>
      </c>
      <c r="AI11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{"issue":{"subject":"","project_id":79,"tracker_id":40,"status_id":1,"priority_id":2,"assigned_to_id":23,"start_date":"2017-02-25","description":"","custom_fields":[{"id":1,"name":"Subdivision","value":"EC"},{"id":4,"name":"Milepost","value":"0.02"},{"id":17,"name":"Train ID","value":"202-25"},{"id":16,"name":"Locomotive ID","value":"4028"},{"id":130,"name":"Impact","value":""},{"id":150,"name":"Time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4028 --day 2017-02-25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648</v>
      </c>
      <c r="B115" s="7">
        <v>4020</v>
      </c>
      <c r="C115" s="21" t="s">
        <v>275</v>
      </c>
      <c r="D115" s="21" t="s">
        <v>257</v>
      </c>
      <c r="E115" s="13">
        <v>42791.685115740744</v>
      </c>
      <c r="F115" s="13">
        <v>42791.687847222223</v>
      </c>
      <c r="G115" s="7">
        <v>1</v>
      </c>
      <c r="H115" s="21" t="s">
        <v>321</v>
      </c>
      <c r="I115" s="13">
        <v>42791.71435185185</v>
      </c>
      <c r="J115" s="7">
        <v>1</v>
      </c>
      <c r="K115" s="98" t="str">
        <f t="shared" si="21"/>
        <v>4019/4020</v>
      </c>
      <c r="L115" s="21" t="str">
        <f>VLOOKUP(A115,'Trips&amp;Operators'!$C$1:$G$99999,5,FALSE)</f>
        <v>DAVIS MICHAEL</v>
      </c>
      <c r="M115" s="6">
        <f t="shared" si="22"/>
        <v>2.6504629626288079E-2</v>
      </c>
      <c r="N115" s="7">
        <f t="shared" si="23"/>
        <v>38.166666661854833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6"/>
        <v>https://d0f6bd738d7f1b3e5a7ca70fe4ff75f0.us-east-1.aws.found.io/app/kibana#/discover/Steve-Slow-Train-Analysis-(2080s-and-2083s)?_g=(refreshInterval:(display:Off,pause:!f,section:0,value:0),time:(from:'2017-02-25T15:26:34-0700',mode:absolute,to:'2017-02-25T18:08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7" t="str">
        <f t="shared" si="27"/>
        <v>N</v>
      </c>
      <c r="X115" s="197">
        <f t="shared" si="28"/>
        <v>1</v>
      </c>
      <c r="Y115" s="197">
        <f t="shared" si="29"/>
        <v>4.4400000000000002E-2</v>
      </c>
      <c r="Z115" s="62">
        <f t="shared" si="30"/>
        <v>23.329899999999999</v>
      </c>
      <c r="AA115" s="62">
        <f t="shared" si="31"/>
        <v>23.285499999999999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0203-25</v>
      </c>
      <c r="AE115" s="85" t="str">
        <f t="shared" si="33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15" s="82" t="str">
        <f t="shared" si="34"/>
        <v>"C:\Program Files (x86)\AstroGrep\AstroGrep.exe" /spath="%USERPROFILE%\AppData\Local\Temp\OnboardLogs" /stypes="app*4020*20170226*"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203-25 --locoid 4020 --swversion DE.1.0.9.0 --startMP 204:444 --initTime 2017-02-25T16:26:34 --startdatetime 2017-02-25T16:30:30 --delay 1 --endMP 204:233299 --enddatetime 2017-02-25T17:08:40 --enforcementcount 1 &gt;&gt;C:\Users\stu\Documents\GitHub\eaglep3-reporting\EC\2017-02-25-refined-times.txt</v>
      </c>
      <c r="AI11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{"issue":{"subject":"","project_id":79,"tracker_id":40,"status_id":1,"priority_id":2,"assigned_to_id":23,"start_date":"2017-02-25","description":"","custom_fields":[{"id":1,"name":"Subdivision","value":"EC"},{"id":4,"name":"Milepost","value":"23.3299"},{"id":17,"name":"Train ID","value":"203-25"},{"id":16,"name":"Locomotive ID","value":"4020"},{"id":130,"name":"Impact","value":""},{"id":150,"name":"Time of Event (Mountain Time)","value":"17:08:40"},{"id":151,"name":"Denver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4020 --day 2017-02-25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421</v>
      </c>
      <c r="B116" s="7">
        <v>4019</v>
      </c>
      <c r="C116" s="21" t="s">
        <v>275</v>
      </c>
      <c r="D116" s="21" t="s">
        <v>525</v>
      </c>
      <c r="E116" s="13">
        <v>42791.723923611113</v>
      </c>
      <c r="F116" s="13">
        <v>42791.726956018516</v>
      </c>
      <c r="G116" s="7">
        <v>1</v>
      </c>
      <c r="H116" s="21" t="s">
        <v>649</v>
      </c>
      <c r="I116" s="13">
        <v>42791.756284722222</v>
      </c>
      <c r="J116" s="7">
        <v>1</v>
      </c>
      <c r="K116" s="98" t="str">
        <f t="shared" si="21"/>
        <v>4019/4020</v>
      </c>
      <c r="L116" s="21" t="str">
        <f>VLOOKUP(A116,'Trips&amp;Operators'!$C$1:$G$99999,5,FALSE)</f>
        <v>DAVIS MICHAEL</v>
      </c>
      <c r="M116" s="6">
        <f t="shared" si="22"/>
        <v>2.9328703705687076E-2</v>
      </c>
      <c r="N116" s="7">
        <f t="shared" si="23"/>
        <v>42.233333336189389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6"/>
        <v>https://d0f6bd738d7f1b3e5a7ca70fe4ff75f0.us-east-1.aws.found.io/app/kibana#/discover/Steve-Slow-Train-Analysis-(2080s-and-2083s)?_g=(refreshInterval:(display:Off,pause:!f,section:0,value:0),time:(from:'2017-02-25T16:22:27-0700',mode:absolute,to:'2017-02-25T19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7" t="str">
        <f t="shared" si="27"/>
        <v>N</v>
      </c>
      <c r="X116" s="197">
        <f t="shared" si="28"/>
        <v>1</v>
      </c>
      <c r="Y116" s="197">
        <f t="shared" si="29"/>
        <v>23.2986</v>
      </c>
      <c r="Z116" s="62">
        <f t="shared" si="30"/>
        <v>1.7399999999999999E-2</v>
      </c>
      <c r="AA116" s="62">
        <f t="shared" si="31"/>
        <v>23.281200000000002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0204-25</v>
      </c>
      <c r="AE116" s="85" t="str">
        <f t="shared" si="33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116" s="82" t="str">
        <f t="shared" si="34"/>
        <v>"C:\Program Files (x86)\AstroGrep\AstroGrep.exe" /spath="%USERPROFILE%\AppData\Local\Temp\OnboardLogs" /stypes="app*4019*20170226*"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204-25 --locoid 4019 --swversion DE.1.0.9.0 --startMP 204:232986 --initTime 2017-02-25T17:22:27 --startdatetime 2017-02-25T17:26:49 --delay 1 --endMP 204:174 --enddatetime 2017-02-25T18:09:03 --enforcementcount 1 &gt;&gt;C:\Users\stu\Documents\GitHub\eaglep3-reporting\EC\2017-02-25-refined-times.txt</v>
      </c>
      <c r="AI11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{"issue":{"subject":"","project_id":79,"tracker_id":40,"status_id":1,"priority_id":2,"assigned_to_id":23,"start_date":"2017-02-25","description":"","custom_fields":[{"id":1,"name":"Subdivision","value":"EC"},{"id":4,"name":"Milepost","value":"0.0174"},{"id":17,"name":"Train ID","value":"204-25"},{"id":16,"name":"Locomotive ID","value":"4019"},{"id":130,"name":"Impact","value":""},{"id":150,"name":"Time of Event (Mountain Time)","value":"18:09:03"},{"id":151,"name":"Denver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4019 --day 2017-02-25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"%USERPROFILE%\AppData\Local\Temp\OnboardLogs"\RTDC4019\*4019*20170226* | grep -SE "(Enforcement Action)|(\[TIMEOUT)|(CHR.+\|PRM\|1\|D.+(SWITCH|SIGNAL).+UNKNOWN)" - &gt;&gt; 2017-02-25-UncaughtWiMAX.txt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650</v>
      </c>
      <c r="B117" s="7">
        <v>4044</v>
      </c>
      <c r="C117" s="21" t="s">
        <v>275</v>
      </c>
      <c r="D117" s="21" t="s">
        <v>219</v>
      </c>
      <c r="E117" s="13">
        <v>42791.692789351851</v>
      </c>
      <c r="F117" s="13">
        <v>42791.69809027778</v>
      </c>
      <c r="G117" s="7">
        <v>1</v>
      </c>
      <c r="H117" s="21" t="s">
        <v>294</v>
      </c>
      <c r="I117" s="13">
        <v>42791.722881944443</v>
      </c>
      <c r="J117" s="7">
        <v>1</v>
      </c>
      <c r="K117" s="98" t="str">
        <f t="shared" si="21"/>
        <v>4043/4044</v>
      </c>
      <c r="L117" s="21" t="str">
        <f>VLOOKUP(A117,'Trips&amp;Operators'!$C$1:$G$99999,5,FALSE)</f>
        <v>BRUDER RICHARD</v>
      </c>
      <c r="M117" s="6">
        <f t="shared" si="22"/>
        <v>2.4791666663077194E-2</v>
      </c>
      <c r="N117" s="7">
        <f t="shared" si="23"/>
        <v>35.69999999483116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6"/>
        <v>https://d0f6bd738d7f1b3e5a7ca70fe4ff75f0.us-east-1.aws.found.io/app/kibana#/discover/Steve-Slow-Train-Analysis-(2080s-and-2083s)?_g=(refreshInterval:(display:Off,pause:!f,section:0,value:0),time:(from:'2017-02-25T15:37:37-0700',mode:absolute,to:'2017-02-25T18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7" t="str">
        <f t="shared" si="27"/>
        <v>N</v>
      </c>
      <c r="X117" s="197">
        <f t="shared" si="28"/>
        <v>1</v>
      </c>
      <c r="Y117" s="197">
        <f t="shared" si="29"/>
        <v>4.5699999999999998E-2</v>
      </c>
      <c r="Z117" s="62">
        <f t="shared" si="30"/>
        <v>23.329499999999999</v>
      </c>
      <c r="AA117" s="62">
        <f t="shared" si="31"/>
        <v>23.283799999999999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0205-25</v>
      </c>
      <c r="AE117" s="85" t="str">
        <f t="shared" si="33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17" s="82" t="str">
        <f t="shared" si="34"/>
        <v>"C:\Program Files (x86)\AstroGrep\AstroGrep.exe" /spath="%USERPROFILE%\AppData\Local\Temp\OnboardLogs" /stypes="app*4044*20170226*"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205-25 --locoid 4044 --swversion DE.1.0.9.0 --startMP 204:457 --initTime 2017-02-25T16:37:37 --startdatetime 2017-02-25T16:45:15 --delay 1 --endMP 204:233295 --enddatetime 2017-02-25T17:20:57 --enforcementcount 1 &gt;&gt;C:\Users\stu\Documents\GitHub\eaglep3-reporting\EC\2017-02-25-refined-times.txt</v>
      </c>
      <c r="AI11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{"issue":{"subject":"","project_id":79,"tracker_id":40,"status_id":1,"priority_id":2,"assigned_to_id":23,"start_date":"2017-02-25","description":"","custom_fields":[{"id":1,"name":"Subdivision","value":"EC"},{"id":4,"name":"Milepost","value":"23.3295"},{"id":17,"name":"Train ID","value":"205-25"},{"id":16,"name":"Locomotive ID","value":"4044"},{"id":130,"name":"Impact","value":""},{"id":150,"name":"Time of Event (Mountain Time)","value":"17:20:57"},{"id":151,"name":"Denver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4044 --day 2017-02-25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"%USERPROFILE%\AppData\Local\Temp\OnboardLogs"\RTDC4044\*4044*20170226* | grep -SE "(Enforcement Action)|(\[TIMEOUT)|(CHR.+\|PRM\|1\|D.+(SWITCH|SIGNAL).+UNKNOWN)" - &gt;&gt; 2017-02-25-UncaughtWiMAX.txt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651</v>
      </c>
      <c r="B118" s="7">
        <v>4043</v>
      </c>
      <c r="C118" s="21" t="s">
        <v>275</v>
      </c>
      <c r="D118" s="21" t="s">
        <v>249</v>
      </c>
      <c r="E118" s="13">
        <v>42791.731412037036</v>
      </c>
      <c r="F118" s="13">
        <v>42791.737025462964</v>
      </c>
      <c r="G118" s="7">
        <v>1</v>
      </c>
      <c r="H118" s="21" t="s">
        <v>200</v>
      </c>
      <c r="I118" s="13">
        <v>42791.763865740744</v>
      </c>
      <c r="J118" s="7">
        <v>1</v>
      </c>
      <c r="K118" s="98" t="str">
        <f t="shared" si="21"/>
        <v>4043/4044</v>
      </c>
      <c r="L118" s="21" t="str">
        <f>VLOOKUP(A118,'Trips&amp;Operators'!$C$1:$G$99999,5,FALSE)</f>
        <v>BRUDER RICHARD</v>
      </c>
      <c r="M118" s="6">
        <f t="shared" si="22"/>
        <v>2.6840277780138422E-2</v>
      </c>
      <c r="N118" s="7">
        <f t="shared" si="23"/>
        <v>38.650000003399327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6"/>
        <v>https://d0f6bd738d7f1b3e5a7ca70fe4ff75f0.us-east-1.aws.found.io/app/kibana#/discover/Steve-Slow-Train-Analysis-(2080s-and-2083s)?_g=(refreshInterval:(display:Off,pause:!f,section:0,value:0),time:(from:'2017-02-25T16:33:14-0700',mode:absolute,to:'2017-02-25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7" t="str">
        <f t="shared" si="27"/>
        <v>N</v>
      </c>
      <c r="X118" s="197">
        <f t="shared" si="28"/>
        <v>1</v>
      </c>
      <c r="Y118" s="197">
        <f t="shared" si="29"/>
        <v>23.299600000000002</v>
      </c>
      <c r="Z118" s="62">
        <f t="shared" si="30"/>
        <v>1.5800000000000002E-2</v>
      </c>
      <c r="AA118" s="62">
        <f t="shared" si="31"/>
        <v>23.283800000000003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0206-25</v>
      </c>
      <c r="AE118" s="85" t="str">
        <f t="shared" si="33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118" s="82" t="str">
        <f t="shared" si="34"/>
        <v>"C:\Program Files (x86)\AstroGrep\AstroGrep.exe" /spath="%USERPROFILE%\AppData\Local\Temp\OnboardLogs" /stypes="app*4043*20170226*"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206-25 --locoid 4043 --swversion DE.1.0.9.0 --startMP 204:232996 --initTime 2017-02-25T17:33:14 --startdatetime 2017-02-25T17:41:19 --delay 1 --endMP 204:158 --enddatetime 2017-02-25T18:19:58 --enforcementcount 1 &gt;&gt;C:\Users\stu\Documents\GitHub\eaglep3-reporting\EC\2017-02-25-refined-times.txt</v>
      </c>
      <c r="AI11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ID","value":"206-25"},{"id":16,"name":"Locomotive ID","value":"4043"},{"id":130,"name":"Impact","value":""},{"id":150,"name":"Time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4043 --day 2017-02-25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"%USERPROFILE%\AppData\Local\Temp\OnboardLogs"\RTDC4043\*4043*20170226* | grep -SE "(Enforcement Action)|(\[TIMEOUT)|(CHR.+\|PRM\|1\|D.+(SWITCH|SIGNAL).+UNKNOWN)" - &gt;&gt; 2017-02-25-UncaughtWiMAX.txt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652</v>
      </c>
      <c r="B119" s="7">
        <v>4053</v>
      </c>
      <c r="C119" s="21" t="s">
        <v>275</v>
      </c>
      <c r="D119" s="21" t="s">
        <v>269</v>
      </c>
      <c r="E119" s="13">
        <v>42791.704386574071</v>
      </c>
      <c r="F119" s="13">
        <v>42791.708506944444</v>
      </c>
      <c r="G119" s="7">
        <v>1</v>
      </c>
      <c r="H119" s="21" t="s">
        <v>653</v>
      </c>
      <c r="I119" s="13">
        <v>42791.733877314815</v>
      </c>
      <c r="J119" s="7">
        <v>1</v>
      </c>
      <c r="K119" s="98" t="str">
        <f t="shared" si="21"/>
        <v>4053/4054</v>
      </c>
      <c r="L119" s="21" t="str">
        <f>VLOOKUP(A119,'Trips&amp;Operators'!$C$1:$G$99999,5,FALSE)</f>
        <v>KILLION DAVID</v>
      </c>
      <c r="M119" s="6">
        <f t="shared" si="22"/>
        <v>2.5370370371092577E-2</v>
      </c>
      <c r="N119" s="7">
        <f t="shared" si="23"/>
        <v>36.53333333437331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6"/>
        <v>https://d0f6bd738d7f1b3e5a7ca70fe4ff75f0.us-east-1.aws.found.io/app/kibana#/discover/Steve-Slow-Train-Analysis-(2080s-and-2083s)?_g=(refreshInterval:(display:Off,pause:!f,section:0,value:0),time:(from:'2017-02-25T15:54:19-0700',mode:absolute,to:'2017-02-25T18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197" t="str">
        <f t="shared" si="27"/>
        <v>N</v>
      </c>
      <c r="X119" s="197">
        <f t="shared" si="28"/>
        <v>1</v>
      </c>
      <c r="Y119" s="197">
        <f t="shared" si="29"/>
        <v>4.4699999999999997E-2</v>
      </c>
      <c r="Z119" s="62">
        <f t="shared" si="30"/>
        <v>23.322800000000001</v>
      </c>
      <c r="AA119" s="62">
        <f t="shared" si="31"/>
        <v>23.278100000000002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0207-25</v>
      </c>
      <c r="AE119" s="85" t="str">
        <f t="shared" si="33"/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AF119" s="82" t="str">
        <f t="shared" si="34"/>
        <v>"C:\Program Files (x86)\AstroGrep\AstroGrep.exe" /spath="%USERPROFILE%\AppData\Local\Temp\OnboardLogs" /stypes="app*4053*20170226*"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207-25 --locoid 4053 --swversion DE.1.0.9.0 --startMP 204:447 --initTime 2017-02-25T16:54:19 --startdatetime 2017-02-25T17:00:15 --delay 1 --endMP 204:233228 --enddatetime 2017-02-25T17:36:47 --enforcementcount 1 &gt;&gt;C:\Users\stu\Documents\GitHub\eaglep3-reporting\EC\2017-02-25-refined-times.txt</v>
      </c>
      <c r="AI11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{"issue":{"subject":"","project_id":79,"tracker_id":40,"status_id":1,"priority_id":2,"assigned_to_id":23,"start_date":"2017-02-25","description":"","custom_fields":[{"id":1,"name":"Subdivision","value":"EC"},{"id":4,"name":"Milepost","value":"23.3228"},{"id":17,"name":"Train ID","value":"207-25"},{"id":16,"name":"Locomotive ID","value":"4053"},{"id":130,"name":"Impact","value":""},{"id":150,"name":"Time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4053 --day 2017-02-25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"%USERPROFILE%\AppData\Local\Temp\OnboardLogs"\RTDC4053\*4053*20170226* | grep -SE "(Enforcement Action)|(\[TIMEOUT)|(CHR.+\|PRM\|1\|D.+(SWITCH|SIGNAL).+UNKNOWN)" - &gt;&gt; 2017-02-25-UncaughtWiMAX.txt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422</v>
      </c>
      <c r="B120" s="7">
        <v>4054</v>
      </c>
      <c r="C120" s="21" t="s">
        <v>275</v>
      </c>
      <c r="D120" s="21" t="s">
        <v>283</v>
      </c>
      <c r="E120" s="13">
        <v>42791.740555555552</v>
      </c>
      <c r="F120" s="13">
        <v>42791.747511574074</v>
      </c>
      <c r="G120" s="7">
        <v>1</v>
      </c>
      <c r="H120" s="21" t="s">
        <v>300</v>
      </c>
      <c r="I120" s="13">
        <v>42791.776585648149</v>
      </c>
      <c r="J120" s="7">
        <v>1</v>
      </c>
      <c r="K120" s="98" t="str">
        <f t="shared" si="21"/>
        <v>4053/4054</v>
      </c>
      <c r="L120" s="21" t="str">
        <f>VLOOKUP(A120,'Trips&amp;Operators'!$C$1:$G$99999,5,FALSE)</f>
        <v>KILLION DAVID</v>
      </c>
      <c r="M120" s="6">
        <f t="shared" si="22"/>
        <v>2.9074074074742384E-2</v>
      </c>
      <c r="N120" s="7">
        <f t="shared" si="23"/>
        <v>41.866666667629033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6"/>
        <v>https://d0f6bd738d7f1b3e5a7ca70fe4ff75f0.us-east-1.aws.found.io/app/kibana#/discover/Steve-Slow-Train-Analysis-(2080s-and-2083s)?_g=(refreshInterval:(display:Off,pause:!f,section:0,value:0),time:(from:'2017-02-25T16:46:24-0700',mode:absolute,to:'2017-02-25T19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97" t="str">
        <f t="shared" si="27"/>
        <v>N</v>
      </c>
      <c r="X120" s="197">
        <f t="shared" si="28"/>
        <v>1</v>
      </c>
      <c r="Y120" s="197">
        <f t="shared" si="29"/>
        <v>23.2971</v>
      </c>
      <c r="Z120" s="62">
        <f t="shared" si="30"/>
        <v>1.67E-2</v>
      </c>
      <c r="AA120" s="62">
        <f t="shared" si="31"/>
        <v>23.2804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0208-25</v>
      </c>
      <c r="AE120" s="85" t="str">
        <f t="shared" si="33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120" s="82" t="str">
        <f t="shared" si="34"/>
        <v>"C:\Program Files (x86)\AstroGrep\AstroGrep.exe" /spath="%USERPROFILE%\AppData\Local\Temp\OnboardLogs" /stypes="app*4054*20170226*"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208-25 --locoid 4054 --swversion DE.1.0.9.0 --startMP 204:232971 --initTime 2017-02-25T17:46:24 --startdatetime 2017-02-25T17:56:25 --delay 1 --endMP 204:167 --enddatetime 2017-02-25T18:38:17 --enforcementcount 1 &gt;&gt;C:\Users\stu\Documents\GitHub\eaglep3-reporting\EC\2017-02-25-refined-times.txt</v>
      </c>
      <c r="AI12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{"issue":{"subject":"","project_id":79,"tracker_id":40,"status_id":1,"priority_id":2,"assigned_to_id":23,"start_date":"2017-02-25","description":"","custom_fields":[{"id":1,"name":"Subdivision","value":"EC"},{"id":4,"name":"Milepost","value":"0.0167"},{"id":17,"name":"Train ID","value":"208-25"},{"id":16,"name":"Locomotive ID","value":"4054"},{"id":130,"name":"Impact","value":""},{"id":150,"name":"Time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4054 --day 2017-02-25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"%USERPROFILE%\AppData\Local\Temp\OnboardLogs"\RTDC4054\*4054*20170226* | grep -SE "(Enforcement Action)|(\[TIMEOUT)|(CHR.+\|PRM\|1\|D.+(SWITCH|SIGNAL).+UNKNOWN)" - &gt;&gt; 2017-02-25-UncaughtWiMAX.txt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654</v>
      </c>
      <c r="B121" s="7">
        <v>4046</v>
      </c>
      <c r="C121" s="21" t="s">
        <v>275</v>
      </c>
      <c r="D121" s="21" t="s">
        <v>219</v>
      </c>
      <c r="E121" s="13">
        <v>42791.717164351852</v>
      </c>
      <c r="F121" s="13">
        <v>42791.719004629631</v>
      </c>
      <c r="G121" s="7">
        <v>1</v>
      </c>
      <c r="H121" s="21" t="s">
        <v>655</v>
      </c>
      <c r="I121" s="13">
        <v>42791.743877314817</v>
      </c>
      <c r="J121" s="7">
        <v>1</v>
      </c>
      <c r="K121" s="98" t="str">
        <f t="shared" si="21"/>
        <v>4045/4046</v>
      </c>
      <c r="L121" s="21" t="str">
        <f>VLOOKUP(A121,'Trips&amp;Operators'!$C$1:$G$99999,5,FALSE)</f>
        <v>LEVIN SCOTT</v>
      </c>
      <c r="M121" s="6">
        <f t="shared" si="22"/>
        <v>2.4872685185982846E-2</v>
      </c>
      <c r="N121" s="7">
        <f t="shared" si="23"/>
        <v>35.816666667815298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6"/>
        <v>https://d0f6bd738d7f1b3e5a7ca70fe4ff75f0.us-east-1.aws.found.io/app/kibana#/discover/Steve-Slow-Train-Analysis-(2080s-and-2083s)?_g=(refreshInterval:(display:Off,pause:!f,section:0,value:0),time:(from:'2017-02-25T16:12:43-0700',mode:absolute,to:'2017-02-25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197" t="str">
        <f t="shared" si="27"/>
        <v>N</v>
      </c>
      <c r="X121" s="197">
        <f t="shared" si="28"/>
        <v>1</v>
      </c>
      <c r="Y121" s="197">
        <f t="shared" si="29"/>
        <v>4.5699999999999998E-2</v>
      </c>
      <c r="Z121" s="62">
        <f t="shared" si="30"/>
        <v>23.3355</v>
      </c>
      <c r="AA121" s="62">
        <f t="shared" si="31"/>
        <v>23.2898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0209-25</v>
      </c>
      <c r="AE121" s="85" t="str">
        <f t="shared" si="33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21" s="82" t="str">
        <f t="shared" si="34"/>
        <v>"C:\Program Files (x86)\AstroGrep\AstroGrep.exe" /spath="%USERPROFILE%\AppData\Local\Temp\OnboardLogs" /stypes="app*4046*20170226*"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209-25 --locoid 4046 --swversion DE.1.0.9.0 --startMP 204:457 --initTime 2017-02-25T17:12:43 --startdatetime 2017-02-25T17:15:22 --delay 1 --endMP 204:233355 --enddatetime 2017-02-25T17:51:11 --enforcementcount 1 &gt;&gt;C:\Users\stu\Documents\GitHub\eaglep3-reporting\EC\2017-02-25-refined-times.txt</v>
      </c>
      <c r="AI12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{"issue":{"subject":"","project_id":79,"tracker_id":40,"status_id":1,"priority_id":2,"assigned_to_id":23,"start_date":"2017-02-25","description":"","custom_fields":[{"id":1,"name":"Subdivision","value":"EC"},{"id":4,"name":"Milepost","value":"23.3355"},{"id":17,"name":"Train ID","value":"209-25"},{"id":16,"name":"Locomotive ID","value":"4046"},{"id":130,"name":"Impact","value":""},{"id":150,"name":"Time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4046 --day 2017-02-25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656</v>
      </c>
      <c r="B122" s="7">
        <v>4045</v>
      </c>
      <c r="C122" s="21" t="s">
        <v>275</v>
      </c>
      <c r="D122" s="21" t="s">
        <v>657</v>
      </c>
      <c r="E122" s="13">
        <v>42791.753009259257</v>
      </c>
      <c r="F122" s="13">
        <v>42791.757847222223</v>
      </c>
      <c r="G122" s="7">
        <v>1</v>
      </c>
      <c r="H122" s="21" t="s">
        <v>529</v>
      </c>
      <c r="I122" s="13">
        <v>42791.78429398148</v>
      </c>
      <c r="J122" s="7">
        <v>1</v>
      </c>
      <c r="K122" s="98" t="str">
        <f t="shared" si="21"/>
        <v>4045/4046</v>
      </c>
      <c r="L122" s="21" t="str">
        <f>VLOOKUP(A122,'Trips&amp;Operators'!$C$1:$G$99999,5,FALSE)</f>
        <v>LEVIN SCOTT</v>
      </c>
      <c r="M122" s="6">
        <f t="shared" si="22"/>
        <v>2.6446759256941732E-2</v>
      </c>
      <c r="N122" s="7">
        <f t="shared" si="23"/>
        <v>38.083333329996094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6"/>
        <v>https://d0f6bd738d7f1b3e5a7ca70fe4ff75f0.us-east-1.aws.found.io/app/kibana#/discover/Steve-Slow-Train-Analysis-(2080s-and-2083s)?_g=(refreshInterval:(display:Off,pause:!f,section:0,value:0),time:(from:'2017-02-25T17:04:20-0700',mode:absolute,to:'2017-02-25T19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197" t="str">
        <f t="shared" si="27"/>
        <v>N</v>
      </c>
      <c r="X122" s="197">
        <f t="shared" si="28"/>
        <v>1</v>
      </c>
      <c r="Y122" s="197">
        <f t="shared" si="29"/>
        <v>23.305700000000002</v>
      </c>
      <c r="Z122" s="62">
        <f t="shared" si="30"/>
        <v>1.29E-2</v>
      </c>
      <c r="AA122" s="62">
        <f t="shared" si="31"/>
        <v>23.292800000000003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0210-25</v>
      </c>
      <c r="AE122" s="85" t="str">
        <f t="shared" si="33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122" s="82" t="str">
        <f t="shared" si="34"/>
        <v>"C:\Program Files (x86)\AstroGrep\AstroGrep.exe" /spath="%USERPROFILE%\AppData\Local\Temp\OnboardLogs" /stypes="app*4045*20170226*"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210-25 --locoid 4045 --swversion DE.1.0.9.0 --startMP 204:233057 --initTime 2017-02-25T18:04:20 --startdatetime 2017-02-25T18:11:18 --delay 1 --endMP 204:129 --enddatetime 2017-02-25T18:49:23 --enforcementcount 1 &gt;&gt;C:\Users\stu\Documents\GitHub\eaglep3-reporting\EC\2017-02-25-refined-times.txt</v>
      </c>
      <c r="AI12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{"issue":{"subject":"","project_id":79,"tracker_id":40,"status_id":1,"priority_id":2,"assigned_to_id":23,"start_date":"2017-02-25","description":"","custom_fields":[{"id":1,"name":"Subdivision","value":"EC"},{"id":4,"name":"Milepost","value":"0.0129"},{"id":17,"name":"Train ID","value":"210-25"},{"id":16,"name":"Locomotive ID","value":"4045"},{"id":130,"name":"Impact","value":""},{"id":150,"name":"Time of Event (Mountain Time)","value":"18:49:23"},{"id":151,"name":"Denver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4045 --day 2017-02-25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420</v>
      </c>
      <c r="B123" s="7">
        <v>4018</v>
      </c>
      <c r="C123" s="21" t="s">
        <v>275</v>
      </c>
      <c r="D123" s="21" t="s">
        <v>318</v>
      </c>
      <c r="E123" s="13">
        <v>42791.725740740738</v>
      </c>
      <c r="F123" s="13">
        <v>42791.729502314818</v>
      </c>
      <c r="G123" s="7">
        <v>1</v>
      </c>
      <c r="H123" s="21" t="s">
        <v>658</v>
      </c>
      <c r="I123" s="13">
        <v>42791.754351851851</v>
      </c>
      <c r="J123" s="7">
        <v>1</v>
      </c>
      <c r="K123" s="98" t="str">
        <f t="shared" si="21"/>
        <v>4017/4018</v>
      </c>
      <c r="L123" s="21" t="str">
        <f>VLOOKUP(A123,'Trips&amp;Operators'!$C$1:$G$99999,5,FALSE)</f>
        <v>HOLCOMB KAMDEN</v>
      </c>
      <c r="M123" s="6">
        <f t="shared" si="22"/>
        <v>2.4849537032423541E-2</v>
      </c>
      <c r="N123" s="7">
        <f t="shared" si="23"/>
        <v>35.783333326689899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6"/>
        <v>https://d0f6bd738d7f1b3e5a7ca70fe4ff75f0.us-east-1.aws.found.io/app/kibana#/discover/Steve-Slow-Train-Analysis-(2080s-and-2083s)?_g=(refreshInterval:(display:Off,pause:!f,section:0,value:0),time:(from:'2017-02-25T16:25:04-0700',mode:absolute,to:'2017-02-25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97" t="str">
        <f t="shared" si="27"/>
        <v>N</v>
      </c>
      <c r="X123" s="197">
        <f t="shared" si="28"/>
        <v>1</v>
      </c>
      <c r="Y123" s="197">
        <f t="shared" si="29"/>
        <v>4.4200000000000003E-2</v>
      </c>
      <c r="Z123" s="62">
        <f t="shared" si="30"/>
        <v>23.334700000000002</v>
      </c>
      <c r="AA123" s="62">
        <f t="shared" si="31"/>
        <v>23.290500000000002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0211-25</v>
      </c>
      <c r="AE123" s="85" t="str">
        <f t="shared" si="33"/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AF123" s="82" t="str">
        <f t="shared" si="34"/>
        <v>"C:\Program Files (x86)\AstroGrep\AstroGrep.exe" /spath="%USERPROFILE%\AppData\Local\Temp\OnboardLogs" /stypes="app*4018*20170226*"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211-25 --locoid 4018 --swversion DE.1.0.9.0 --startMP 204:442 --initTime 2017-02-25T17:25:04 --startdatetime 2017-02-25T17:30:29 --delay 1 --endMP 204:233347 --enddatetime 2017-02-25T18:06:16 --enforcementcount 1 &gt;&gt;C:\Users\stu\Documents\GitHub\eaglep3-reporting\EC\2017-02-25-refined-times.txt</v>
      </c>
      <c r="AI12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{"issue":{"subject":"","project_id":79,"tracker_id":40,"status_id":1,"priority_id":2,"assigned_to_id":23,"start_date":"2017-02-25","description":"","custom_fields":[{"id":1,"name":"Subdivision","value":"EC"},{"id":4,"name":"Milepost","value":"23.3347"},{"id":17,"name":"Train ID","value":"211-25"},{"id":16,"name":"Locomotive ID","value":"4018"},{"id":130,"name":"Impact","value":""},{"id":150,"name":"Time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4018 --day 2017-02-25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423</v>
      </c>
      <c r="B124" s="7">
        <v>4017</v>
      </c>
      <c r="C124" s="21" t="s">
        <v>275</v>
      </c>
      <c r="D124" s="21" t="s">
        <v>326</v>
      </c>
      <c r="E124" s="13">
        <v>42791.761493055557</v>
      </c>
      <c r="F124" s="13">
        <v>42791.76829861111</v>
      </c>
      <c r="G124" s="7">
        <v>1</v>
      </c>
      <c r="H124" s="21" t="s">
        <v>254</v>
      </c>
      <c r="I124" s="13">
        <v>42791.796307870369</v>
      </c>
      <c r="J124" s="7">
        <v>1</v>
      </c>
      <c r="K124" s="98" t="str">
        <f t="shared" si="21"/>
        <v>4017/4018</v>
      </c>
      <c r="L124" s="21" t="str">
        <f>VLOOKUP(A124,'Trips&amp;Operators'!$C$1:$G$99999,5,FALSE)</f>
        <v>HOLCOMB KAMDEN</v>
      </c>
      <c r="M124" s="6">
        <f t="shared" si="22"/>
        <v>2.8009259258396924E-2</v>
      </c>
      <c r="N124" s="7">
        <f t="shared" si="23"/>
        <v>40.33333333209157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6"/>
        <v>https://d0f6bd738d7f1b3e5a7ca70fe4ff75f0.us-east-1.aws.found.io/app/kibana#/discover/Steve-Slow-Train-Analysis-(2080s-and-2083s)?_g=(refreshInterval:(display:Off,pause:!f,section:0,value:0),time:(from:'2017-02-25T17:16:33-0700',mode:absolute,to:'2017-02-25T20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97" t="str">
        <f t="shared" si="27"/>
        <v>N</v>
      </c>
      <c r="X124" s="197">
        <f t="shared" si="28"/>
        <v>1</v>
      </c>
      <c r="Y124" s="197">
        <f t="shared" si="29"/>
        <v>23.302800000000001</v>
      </c>
      <c r="Z124" s="62">
        <f t="shared" si="30"/>
        <v>1.3599999999999999E-2</v>
      </c>
      <c r="AA124" s="62">
        <f t="shared" si="31"/>
        <v>23.289200000000001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0212-25</v>
      </c>
      <c r="AE124" s="85" t="str">
        <f t="shared" si="33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124" s="82" t="str">
        <f t="shared" si="34"/>
        <v>"C:\Program Files (x86)\AstroGrep\AstroGrep.exe" /spath="%USERPROFILE%\AppData\Local\Temp\OnboardLogs" /stypes="app*4017*20170226*"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212-25 --locoid 4017 --swversion DE.1.0.9.0 --startMP 204:233028 --initTime 2017-02-25T18:16:33 --startdatetime 2017-02-25T18:26:21 --delay 1 --endMP 204:136 --enddatetime 2017-02-25T19:06:41 --enforcementcount 1 &gt;&gt;C:\Users\stu\Documents\GitHub\eaglep3-reporting\EC\2017-02-25-refined-times.txt</v>
      </c>
      <c r="AI12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{"issue":{"subject":"","project_id":79,"tracker_id":40,"status_id":1,"priority_id":2,"assigned_to_id":23,"start_date":"2017-02-25","description":"","custom_fields":[{"id":1,"name":"Subdivision","value":"EC"},{"id":4,"name":"Milepost","value":"0.0136"},{"id":17,"name":"Train ID","value":"212-25"},{"id":16,"name":"Locomotive ID","value":"4017"},{"id":130,"name":"Impact","value":""},{"id":150,"name":"Time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4017 --day 2017-02-25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659</v>
      </c>
      <c r="B125" s="7">
        <v>4051</v>
      </c>
      <c r="C125" s="21" t="s">
        <v>275</v>
      </c>
      <c r="D125" s="21" t="s">
        <v>376</v>
      </c>
      <c r="E125" s="13">
        <v>42791.737199074072</v>
      </c>
      <c r="F125" s="13">
        <v>42791.739791666667</v>
      </c>
      <c r="G125" s="7">
        <v>1</v>
      </c>
      <c r="H125" s="21" t="s">
        <v>316</v>
      </c>
      <c r="I125" s="13">
        <v>42791.765266203707</v>
      </c>
      <c r="J125" s="7">
        <v>1</v>
      </c>
      <c r="K125" s="98" t="str">
        <f t="shared" si="21"/>
        <v>4051/4052</v>
      </c>
      <c r="L125" s="21" t="str">
        <f>VLOOKUP(A125,'Trips&amp;Operators'!$C$1:$G$99999,5,FALSE)</f>
        <v>SMITH MICHAEL</v>
      </c>
      <c r="M125" s="6">
        <f t="shared" si="22"/>
        <v>2.5474537040281575E-2</v>
      </c>
      <c r="N125" s="7">
        <f t="shared" si="23"/>
        <v>36.683333338005468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6"/>
        <v>https://d0f6bd738d7f1b3e5a7ca70fe4ff75f0.us-east-1.aws.found.io/app/kibana#/discover/Steve-Slow-Train-Analysis-(2080s-and-2083s)?_g=(refreshInterval:(display:Off,pause:!f,section:0,value:0),time:(from:'2017-02-25T16:41:34-0700',mode:absolute,to:'2017-02-25T19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197" t="str">
        <f t="shared" si="27"/>
        <v>N</v>
      </c>
      <c r="X125" s="197">
        <f t="shared" si="28"/>
        <v>1</v>
      </c>
      <c r="Y125" s="197">
        <f t="shared" si="29"/>
        <v>4.7800000000000002E-2</v>
      </c>
      <c r="Z125" s="62">
        <f t="shared" si="30"/>
        <v>23.33</v>
      </c>
      <c r="AA125" s="62">
        <f t="shared" si="31"/>
        <v>23.2822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0213-25</v>
      </c>
      <c r="AE125" s="85" t="str">
        <f t="shared" si="33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25" s="82" t="str">
        <f t="shared" si="34"/>
        <v>"C:\Program Files (x86)\AstroGrep\AstroGrep.exe" /spath="%USERPROFILE%\AppData\Local\Temp\OnboardLogs" /stypes="app*4051*20170226*"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213-25 --locoid 4051 --swversion DE.1.0.9.0 --startMP 204:478 --initTime 2017-02-25T17:41:34 --startdatetime 2017-02-25T17:45:18 --delay 1 --endMP 204:233300 --enddatetime 2017-02-25T18:21:59 --enforcementcount 1 &gt;&gt;C:\Users\stu\Documents\GitHub\eaglep3-reporting\EC\2017-02-25-refined-times.txt</v>
      </c>
      <c r="AI12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{"issue":{"subject":"","project_id":79,"tracker_id":40,"status_id":1,"priority_id":2,"assigned_to_id":23,"start_date":"2017-02-25","description":"","custom_fields":[{"id":1,"name":"Subdivision","value":"EC"},{"id":4,"name":"Milepost","value":"23.33"},{"id":17,"name":"Train ID","value":"213-25"},{"id":16,"name":"Locomotive ID","value":"4051"},{"id":130,"name":"Impact","value":""},{"id":150,"name":"Time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4051 --day 2017-02-25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"%USERPROFILE%\AppData\Local\Temp\OnboardLogs"\RTDC4051\*4051*20170226* | grep -SE "(Enforcement Action)|(\[TIMEOUT)|(CHR.+\|PRM\|1\|D.+(SWITCH|SIGNAL).+UNKNOWN)" - &gt;&gt; 2017-02-25-UncaughtWiMAX.txt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660</v>
      </c>
      <c r="B126" s="7">
        <v>4052</v>
      </c>
      <c r="C126" s="21" t="s">
        <v>275</v>
      </c>
      <c r="D126" s="21" t="s">
        <v>482</v>
      </c>
      <c r="E126" s="13">
        <v>42791.77239583333</v>
      </c>
      <c r="F126" s="13">
        <v>42791.778703703705</v>
      </c>
      <c r="G126" s="7">
        <v>1</v>
      </c>
      <c r="H126" s="21" t="s">
        <v>239</v>
      </c>
      <c r="I126" s="13">
        <v>42791.806331018517</v>
      </c>
      <c r="J126" s="7">
        <v>1</v>
      </c>
      <c r="K126" s="98" t="str">
        <f t="shared" si="21"/>
        <v>4051/4052</v>
      </c>
      <c r="L126" s="21" t="str">
        <f>VLOOKUP(A126,'Trips&amp;Operators'!$C$1:$G$99999,5,FALSE)</f>
        <v>SMITH MICHAEL</v>
      </c>
      <c r="M126" s="6">
        <f t="shared" si="22"/>
        <v>2.7627314811979886E-2</v>
      </c>
      <c r="N126" s="7">
        <f t="shared" si="23"/>
        <v>39.783333329251036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6"/>
        <v>https://d0f6bd738d7f1b3e5a7ca70fe4ff75f0.us-east-1.aws.found.io/app/kibana#/discover/Steve-Slow-Train-Analysis-(2080s-and-2083s)?_g=(refreshInterval:(display:Off,pause:!f,section:0,value:0),time:(from:'2017-02-25T17:32:15-0700',mode:absolute,to:'2017-02-25T20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197" t="str">
        <f t="shared" si="27"/>
        <v>N</v>
      </c>
      <c r="X126" s="197">
        <f t="shared" si="28"/>
        <v>1</v>
      </c>
      <c r="Y126" s="197">
        <f t="shared" si="29"/>
        <v>23.2989</v>
      </c>
      <c r="Z126" s="62">
        <f t="shared" si="30"/>
        <v>1.3899999999999999E-2</v>
      </c>
      <c r="AA126" s="62">
        <f t="shared" si="31"/>
        <v>23.285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0214-25</v>
      </c>
      <c r="AE126" s="85" t="str">
        <f t="shared" si="33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126" s="82" t="str">
        <f t="shared" si="34"/>
        <v>"C:\Program Files (x86)\AstroGrep\AstroGrep.exe" /spath="%USERPROFILE%\AppData\Local\Temp\OnboardLogs" /stypes="app*4052*20170226*"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214-25 --locoid 4052 --swversion DE.1.0.9.0 --startMP 204:232989 --initTime 2017-02-25T18:32:15 --startdatetime 2017-02-25T18:41:20 --delay 1 --endMP 204:139 --enddatetime 2017-02-25T19:21:07 --enforcementcount 1 &gt;&gt;C:\Users\stu\Documents\GitHub\eaglep3-reporting\EC\2017-02-25-refined-times.txt</v>
      </c>
      <c r="AI12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{"issue":{"subject":"","project_id":79,"tracker_id":40,"status_id":1,"priority_id":2,"assigned_to_id":23,"start_date":"2017-02-25","description":"","custom_fields":[{"id":1,"name":"Subdivision","value":"EC"},{"id":4,"name":"Milepost","value":"0.0139"},{"id":17,"name":"Train ID","value":"214-25"},{"id":16,"name":"Locomotive ID","value":"4052"},{"id":130,"name":"Impact","value":""},{"id":150,"name":"Time of Event (Mountain Time)","value":"19:21:07"},{"id":151,"name":"Denver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4052 --day 2017-02-25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"%USERPROFILE%\AppData\Local\Temp\OnboardLogs"\RTDC4052\*4052*20170226* | grep -SE "(Enforcement Action)|(\[TIMEOUT)|(CHR.+\|PRM\|1\|D.+(SWITCH|SIGNAL).+UNKNOWN)" - &gt;&gt; 2017-02-25-UncaughtWiMAX.txt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661</v>
      </c>
      <c r="B127" s="7">
        <v>4027</v>
      </c>
      <c r="C127" s="21" t="s">
        <v>275</v>
      </c>
      <c r="D127" s="21" t="s">
        <v>662</v>
      </c>
      <c r="E127" s="13">
        <v>42791.747442129628</v>
      </c>
      <c r="F127" s="13">
        <v>42791.750219907408</v>
      </c>
      <c r="G127" s="7">
        <v>2</v>
      </c>
      <c r="H127" s="21" t="s">
        <v>491</v>
      </c>
      <c r="I127" s="13">
        <v>42791.774976851855</v>
      </c>
      <c r="J127" s="7">
        <v>1</v>
      </c>
      <c r="K127" s="98" t="str">
        <f t="shared" si="21"/>
        <v>4027/4028</v>
      </c>
      <c r="L127" s="21" t="str">
        <f>VLOOKUP(A127,'Trips&amp;Operators'!$C$1:$G$99999,5,FALSE)</f>
        <v>MCREYNOLDS KYLE</v>
      </c>
      <c r="M127" s="6">
        <f t="shared" si="22"/>
        <v>2.4756944447290152E-2</v>
      </c>
      <c r="N127" s="7">
        <f t="shared" si="23"/>
        <v>35.650000004097819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6"/>
        <v>https://d0f6bd738d7f1b3e5a7ca70fe4ff75f0.us-east-1.aws.found.io/app/kibana#/discover/Steve-Slow-Train-Analysis-(2080s-and-2083s)?_g=(refreshInterval:(display:Off,pause:!f,section:0,value:0),time:(from:'2017-02-25T16:56:19-0700',mode:absolute,to:'2017-02-25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197" t="str">
        <f t="shared" si="27"/>
        <v>N</v>
      </c>
      <c r="X127" s="197">
        <f t="shared" si="28"/>
        <v>1</v>
      </c>
      <c r="Y127" s="197">
        <f t="shared" si="29"/>
        <v>5.5300000000000002E-2</v>
      </c>
      <c r="Z127" s="62">
        <f t="shared" si="30"/>
        <v>23.3307</v>
      </c>
      <c r="AA127" s="62">
        <f t="shared" si="31"/>
        <v>23.275400000000001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0215-25</v>
      </c>
      <c r="AE127" s="85" t="str">
        <f t="shared" si="33"/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AF127" s="82" t="str">
        <f t="shared" si="34"/>
        <v>"C:\Program Files (x86)\AstroGrep\AstroGrep.exe" /spath="%USERPROFILE%\AppData\Local\Temp\OnboardLogs" /stypes="app*4027*20170226*"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215-25 --locoid 4027 --swversion DE.1.0.9.0 --startMP 204:553 --initTime 2017-02-25T17:56:19 --startdatetime 2017-02-25T18:00:19 --delay 2 --endMP 204:233307 --enddatetime 2017-02-25T18:35:58 --enforcementcount 1 &gt;&gt;C:\Users\stu\Documents\GitHub\eaglep3-reporting\EC\2017-02-25-refined-times.txt</v>
      </c>
      <c r="AI12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{"issue":{"subject":"","project_id":79,"tracker_id":40,"status_id":1,"priority_id":2,"assigned_to_id":23,"start_date":"2017-02-25","description":"","custom_fields":[{"id":1,"name":"Subdivision","value":"EC"},{"id":4,"name":"Milepost","value":"23.3307"},{"id":17,"name":"Train ID","value":"215-25"},{"id":16,"name":"Locomotive ID","value":"4027"},{"id":130,"name":"Impact","value":""},{"id":150,"name":"Time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4027 --day 2017-02-25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663</v>
      </c>
      <c r="B128" s="7">
        <v>4028</v>
      </c>
      <c r="C128" s="21" t="s">
        <v>275</v>
      </c>
      <c r="D128" s="21" t="s">
        <v>508</v>
      </c>
      <c r="E128" s="13">
        <v>42791.783009259256</v>
      </c>
      <c r="F128" s="13">
        <v>42791.789155092592</v>
      </c>
      <c r="G128" s="7">
        <v>1</v>
      </c>
      <c r="H128" s="21" t="s">
        <v>200</v>
      </c>
      <c r="I128" s="13">
        <v>42791.817013888889</v>
      </c>
      <c r="J128" s="7">
        <v>1</v>
      </c>
      <c r="K128" s="98" t="str">
        <f t="shared" si="21"/>
        <v>4027/4028</v>
      </c>
      <c r="L128" s="21" t="str">
        <f>VLOOKUP(A128,'Trips&amp;Operators'!$C$1:$G$99999,5,FALSE)</f>
        <v>MCREYNOLDS KYLE</v>
      </c>
      <c r="M128" s="6">
        <f t="shared" si="22"/>
        <v>2.7858796296641231E-2</v>
      </c>
      <c r="N128" s="7">
        <f t="shared" si="23"/>
        <v>40.116666667163372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6"/>
        <v>https://d0f6bd738d7f1b3e5a7ca70fe4ff75f0.us-east-1.aws.found.io/app/kibana#/discover/Steve-Slow-Train-Analysis-(2080s-and-2083s)?_g=(refreshInterval:(display:Off,pause:!f,section:0,value:0),time:(from:'2017-02-25T17:47:32-0700',mode:absolute,to:'2017-02-25T20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197" t="str">
        <f t="shared" si="27"/>
        <v>N</v>
      </c>
      <c r="X128" s="197">
        <f t="shared" si="28"/>
        <v>1</v>
      </c>
      <c r="Y128" s="197">
        <f t="shared" si="29"/>
        <v>23.297999999999998</v>
      </c>
      <c r="Z128" s="62">
        <f t="shared" si="30"/>
        <v>1.5800000000000002E-2</v>
      </c>
      <c r="AA128" s="62">
        <f t="shared" si="31"/>
        <v>23.2822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0216-25</v>
      </c>
      <c r="AE128" s="85" t="str">
        <f t="shared" si="33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128" s="82" t="str">
        <f t="shared" si="34"/>
        <v>"C:\Program Files (x86)\AstroGrep\AstroGrep.exe" /spath="%USERPROFILE%\AppData\Local\Temp\OnboardLogs" /stypes="app*4028*20170226*"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216-25 --locoid 4028 --swversion DE.1.0.9.0 --startMP 204:232980 --initTime 2017-02-25T18:47:32 --startdatetime 2017-02-25T18:56:23 --delay 1 --endMP 204:158 --enddatetime 2017-02-25T19:36:30 --enforcementcount 1 &gt;&gt;C:\Users\stu\Documents\GitHub\eaglep3-reporting\EC\2017-02-25-refined-times.txt</v>
      </c>
      <c r="AI12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ID","value":"216-25"},{"id":16,"name":"Locomotive ID","value":"4028"},{"id":130,"name":"Impact","value":""},{"id":150,"name":"Time of Event (Mountain Time)","value":"19:36:30"},{"id":151,"name":"Denver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4028 --day 2017-02-25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664</v>
      </c>
      <c r="B129" s="7">
        <v>4020</v>
      </c>
      <c r="C129" s="21" t="s">
        <v>275</v>
      </c>
      <c r="D129" s="21" t="s">
        <v>665</v>
      </c>
      <c r="E129" s="13">
        <v>42791.758877314816</v>
      </c>
      <c r="F129" s="13">
        <v>42791.760949074072</v>
      </c>
      <c r="G129" s="7">
        <v>1</v>
      </c>
      <c r="H129" s="21" t="s">
        <v>666</v>
      </c>
      <c r="I129" s="13">
        <v>42791.785995370374</v>
      </c>
      <c r="J129" s="7">
        <v>1</v>
      </c>
      <c r="K129" s="98" t="str">
        <f t="shared" si="21"/>
        <v>4019/4020</v>
      </c>
      <c r="L129" s="21" t="str">
        <f>VLOOKUP(A129,'Trips&amp;Operators'!$C$1:$G$99999,5,FALSE)</f>
        <v>STAMBAUGH JAMES</v>
      </c>
      <c r="M129" s="6">
        <f t="shared" si="22"/>
        <v>2.5046296301297843E-2</v>
      </c>
      <c r="N129" s="7">
        <f t="shared" si="23"/>
        <v>36.066666673868895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6"/>
        <v>https://d0f6bd738d7f1b3e5a7ca70fe4ff75f0.us-east-1.aws.found.io/app/kibana#/discover/Steve-Slow-Train-Analysis-(2080s-and-2083s)?_g=(refreshInterval:(display:Off,pause:!f,section:0,value:0),time:(from:'2017-02-25T17:12:47-0700',mode:absolute,to:'2017-02-25T19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7" t="str">
        <f t="shared" si="27"/>
        <v>N</v>
      </c>
      <c r="X129" s="197">
        <f t="shared" si="28"/>
        <v>1</v>
      </c>
      <c r="Y129" s="197">
        <f t="shared" si="29"/>
        <v>4.8000000000000001E-2</v>
      </c>
      <c r="Z129" s="62">
        <f t="shared" si="30"/>
        <v>23.3385</v>
      </c>
      <c r="AA129" s="62">
        <f t="shared" si="31"/>
        <v>23.290500000000002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0217-25</v>
      </c>
      <c r="AE129" s="85" t="str">
        <f t="shared" si="33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29" s="82" t="str">
        <f t="shared" si="34"/>
        <v>"C:\Program Files (x86)\AstroGrep\AstroGrep.exe" /spath="%USERPROFILE%\AppData\Local\Temp\OnboardLogs" /stypes="app*4020*20170226*"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217-25 --locoid 4020 --swversion DE.1.0.9.0 --startMP 204:480 --initTime 2017-02-25T18:12:47 --startdatetime 2017-02-25T18:15:46 --delay 1 --endMP 204:233385 --enddatetime 2017-02-25T18:51:50 --enforcementcount 1 &gt;&gt;C:\Users\stu\Documents\GitHub\eaglep3-reporting\EC\2017-02-25-refined-times.txt</v>
      </c>
      <c r="AI12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{"issue":{"subject":"","project_id":79,"tracker_id":40,"status_id":1,"priority_id":2,"assigned_to_id":23,"start_date":"2017-02-25","description":"","custom_fields":[{"id":1,"name":"Subdivision","value":"EC"},{"id":4,"name":"Milepost","value":"23.3385"},{"id":17,"name":"Train ID","value":"217-25"},{"id":16,"name":"Locomotive ID","value":"4020"},{"id":130,"name":"Impact","value":""},{"id":150,"name":"Time of Event (Mountain Time)","value":"18:51:50"},{"id":151,"name":"Denver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4020 --day 2017-02-25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"%USERPROFILE%\AppData\Local\Temp\OnboardLogs"\RTDC4020\*4020*20170226* | grep -SE "(Enforcement Action)|(\[TIMEOUT)|(CHR.+\|PRM\|1\|D.+(SWITCH|SIGNAL).+UNKNOWN)" - &gt;&gt; 2017-02-25-UncaughtWiMAX.txt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667</v>
      </c>
      <c r="B130" s="7">
        <v>4019</v>
      </c>
      <c r="C130" s="21" t="s">
        <v>275</v>
      </c>
      <c r="D130" s="21" t="s">
        <v>668</v>
      </c>
      <c r="E130" s="13">
        <v>42791.789907407408</v>
      </c>
      <c r="F130" s="13">
        <v>42791.799768518518</v>
      </c>
      <c r="G130" s="7">
        <v>1</v>
      </c>
      <c r="H130" s="21" t="s">
        <v>268</v>
      </c>
      <c r="I130" s="13">
        <v>42791.832824074074</v>
      </c>
      <c r="J130" s="7">
        <v>1</v>
      </c>
      <c r="K130" s="98" t="str">
        <f t="shared" si="21"/>
        <v>4019/4020</v>
      </c>
      <c r="L130" s="21" t="str">
        <f>VLOOKUP(A130,'Trips&amp;Operators'!$C$1:$G$99999,5,FALSE)</f>
        <v>HAUSER FRANK</v>
      </c>
      <c r="M130" s="6">
        <f t="shared" si="22"/>
        <v>3.3055555555620231E-2</v>
      </c>
      <c r="N130" s="7">
        <f t="shared" si="23"/>
        <v>47.600000000093132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6"/>
        <v>https://d0f6bd738d7f1b3e5a7ca70fe4ff75f0.us-east-1.aws.found.io/app/kibana#/discover/Steve-Slow-Train-Analysis-(2080s-and-2083s)?_g=(refreshInterval:(display:Off,pause:!f,section:0,value:0),time:(from:'2017-02-25T17:57:28-0700',mode:absolute,to:'2017-02-25T20:59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7" t="str">
        <f t="shared" si="27"/>
        <v>N</v>
      </c>
      <c r="X130" s="197">
        <f t="shared" si="28"/>
        <v>1</v>
      </c>
      <c r="Y130" s="197">
        <f t="shared" si="29"/>
        <v>23.308499999999999</v>
      </c>
      <c r="Z130" s="62">
        <f t="shared" si="30"/>
        <v>1.6299999999999999E-2</v>
      </c>
      <c r="AA130" s="62">
        <f t="shared" si="31"/>
        <v>23.292199999999998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0218-25</v>
      </c>
      <c r="AE130" s="85" t="str">
        <f t="shared" si="33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130" s="82" t="str">
        <f t="shared" si="34"/>
        <v>"C:\Program Files (x86)\AstroGrep\AstroGrep.exe" /spath="%USERPROFILE%\AppData\Local\Temp\OnboardLogs" /stypes="app*4019*20170226*"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218-25 --locoid 4019 --swversion DE.1.0.9.0 --startMP 204:233085 --initTime 2017-02-25T18:57:28 --startdatetime 2017-02-25T19:11:40 --delay 1 --endMP 204:163 --enddatetime 2017-02-25T19:59:16 --enforcementcount 1 &gt;&gt;C:\Users\stu\Documents\GitHub\eaglep3-reporting\EC\2017-02-25-refined-times.txt</v>
      </c>
      <c r="AI13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{"issue":{"subject":"","project_id":79,"tracker_id":40,"status_id":1,"priority_id":2,"assigned_to_id":23,"start_date":"2017-02-25","description":"","custom_fields":[{"id":1,"name":"Subdivision","value":"EC"},{"id":4,"name":"Milepost","value":"0.0163"},{"id":17,"name":"Train ID","value":"218-25"},{"id":16,"name":"Locomotive ID","value":"4019"},{"id":130,"name":"Impact","value":""},{"id":150,"name":"Time of Event (Mountain Time)","value":"19:59:16"},{"id":151,"name":"Denver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4019 --day 2017-02-25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"%USERPROFILE%\AppData\Local\Temp\OnboardLogs"\RTDC4019\*4019*20170226* | grep -SE "(Enforcement Action)|(\[TIMEOUT)|(CHR.+\|PRM\|1\|D.+(SWITCH|SIGNAL).+UNKNOWN)" - &gt;&gt; 2017-02-25-UncaughtWiMAX.txt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669</v>
      </c>
      <c r="B131" s="7">
        <v>4044</v>
      </c>
      <c r="C131" s="21" t="s">
        <v>275</v>
      </c>
      <c r="D131" s="21" t="s">
        <v>374</v>
      </c>
      <c r="E131" s="13">
        <v>42791.767361111109</v>
      </c>
      <c r="F131" s="13">
        <v>42791.771319444444</v>
      </c>
      <c r="G131" s="7">
        <v>2</v>
      </c>
      <c r="H131" s="21" t="s">
        <v>670</v>
      </c>
      <c r="I131" s="13">
        <v>42791.795671296299</v>
      </c>
      <c r="J131" s="7">
        <v>1</v>
      </c>
      <c r="K131" s="98" t="str">
        <f t="shared" si="21"/>
        <v>4043/4044</v>
      </c>
      <c r="L131" s="21" t="str">
        <f>VLOOKUP(A131,'Trips&amp;Operators'!$C$1:$G$99999,5,FALSE)</f>
        <v>HILLS DUSTIN</v>
      </c>
      <c r="M131" s="6">
        <f t="shared" si="22"/>
        <v>2.4351851854589768E-2</v>
      </c>
      <c r="N131" s="7">
        <f t="shared" si="23"/>
        <v>35.066666670609266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6"/>
        <v>https://d0f6bd738d7f1b3e5a7ca70fe4ff75f0.us-east-1.aws.found.io/app/kibana#/discover/Steve-Slow-Train-Analysis-(2080s-and-2083s)?_g=(refreshInterval:(display:Off,pause:!f,section:0,value:0),time:(from:'2017-02-25T17:25:00-0700',mode:absolute,to:'2017-02-25T20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97" t="str">
        <f t="shared" si="27"/>
        <v>N</v>
      </c>
      <c r="X131" s="197">
        <f t="shared" si="28"/>
        <v>1</v>
      </c>
      <c r="Y131" s="197">
        <f t="shared" si="29"/>
        <v>4.6699999999999998E-2</v>
      </c>
      <c r="Z131" s="62">
        <f t="shared" si="30"/>
        <v>23.341200000000001</v>
      </c>
      <c r="AA131" s="62">
        <f t="shared" si="31"/>
        <v>23.294499999999999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0219-25</v>
      </c>
      <c r="AE131" s="85" t="str">
        <f t="shared" si="33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31" s="82" t="str">
        <f t="shared" si="34"/>
        <v>"C:\Program Files (x86)\AstroGrep\AstroGrep.exe" /spath="%USERPROFILE%\AppData\Local\Temp\OnboardLogs" /stypes="app*4044*20170226*"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219-25 --locoid 4044 --swversion DE.1.0.9.0 --startMP 204:467 --initTime 2017-02-25T18:25:00 --startdatetime 2017-02-25T18:30:42 --delay 2 --endMP 204:233412 --enddatetime 2017-02-25T19:05:46 --enforcementcount 1 &gt;&gt;C:\Users\stu\Documents\GitHub\eaglep3-reporting\EC\2017-02-25-refined-times.txt</v>
      </c>
      <c r="AI13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{"issue":{"subject":"","project_id":79,"tracker_id":40,"status_id":1,"priority_id":2,"assigned_to_id":23,"start_date":"2017-02-25","description":"","custom_fields":[{"id":1,"name":"Subdivision","value":"EC"},{"id":4,"name":"Milepost","value":"23.3412"},{"id":17,"name":"Train ID","value":"219-25"},{"id":16,"name":"Locomotive ID","value":"4044"},{"id":130,"name":"Impact","value":""},{"id":150,"name":"Time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4044 --day 2017-02-25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"%USERPROFILE%\AppData\Local\Temp\OnboardLogs"\RTDC4044\*4044*20170226* | grep -SE "(Enforcement Action)|(\[TIMEOUT)|(CHR.+\|PRM\|1\|D.+(SWITCH|SIGNAL).+UNKNOWN)" - &gt;&gt; 2017-02-25-UncaughtWiMAX.txt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671</v>
      </c>
      <c r="B132" s="7">
        <v>4043</v>
      </c>
      <c r="C132" s="21" t="s">
        <v>275</v>
      </c>
      <c r="D132" s="21" t="s">
        <v>672</v>
      </c>
      <c r="E132" s="13">
        <v>42791.797488425924</v>
      </c>
      <c r="F132" s="13">
        <v>42791.809884259259</v>
      </c>
      <c r="G132" s="7">
        <v>1</v>
      </c>
      <c r="H132" s="21" t="s">
        <v>380</v>
      </c>
      <c r="I132" s="13">
        <v>42791.836875000001</v>
      </c>
      <c r="J132" s="7">
        <v>1</v>
      </c>
      <c r="K132" s="98" t="str">
        <f t="shared" si="21"/>
        <v>4043/4044</v>
      </c>
      <c r="L132" s="21" t="str">
        <f>VLOOKUP(A132,'Trips&amp;Operators'!$C$1:$G$99999,5,FALSE)</f>
        <v>HILLS DUSTIN</v>
      </c>
      <c r="M132" s="6">
        <f t="shared" si="22"/>
        <v>2.6990740741894115E-2</v>
      </c>
      <c r="N132" s="7">
        <f t="shared" si="23"/>
        <v>38.866666668327525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6"/>
        <v>https://d0f6bd738d7f1b3e5a7ca70fe4ff75f0.us-east-1.aws.found.io/app/kibana#/discover/Steve-Slow-Train-Analysis-(2080s-and-2083s)?_g=(refreshInterval:(display:Off,pause:!f,section:0,value:0),time:(from:'2017-02-25T18:08:23-0700',mode:absolute,to:'2017-02-25T21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97" t="str">
        <f t="shared" si="27"/>
        <v>N</v>
      </c>
      <c r="X132" s="197">
        <f t="shared" si="28"/>
        <v>1</v>
      </c>
      <c r="Y132" s="197">
        <f t="shared" si="29"/>
        <v>23.309000000000001</v>
      </c>
      <c r="Z132" s="62">
        <f t="shared" si="30"/>
        <v>1.23E-2</v>
      </c>
      <c r="AA132" s="62">
        <f t="shared" si="31"/>
        <v>23.296700000000001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0220-25</v>
      </c>
      <c r="AE132" s="85" t="str">
        <f t="shared" si="33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132" s="82" t="str">
        <f t="shared" si="34"/>
        <v>"C:\Program Files (x86)\AstroGrep\AstroGrep.exe" /spath="%USERPROFILE%\AppData\Local\Temp\OnboardLogs" /stypes="app*4043*20170226*"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220-25 --locoid 4043 --swversion DE.1.0.9.0 --startMP 204:233090 --initTime 2017-02-25T19:08:23 --startdatetime 2017-02-25T19:26:14 --delay 1 --endMP 204:123 --enddatetime 2017-02-25T20:05:06 --enforcementcount 1 &gt;&gt;C:\Users\stu\Documents\GitHub\eaglep3-reporting\EC\2017-02-25-refined-times.txt</v>
      </c>
      <c r="AI132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{"issue":{"subject":"","project_id":79,"tracker_id":40,"status_id":1,"priority_id":2,"assigned_to_id":23,"start_date":"2017-02-25","description":"","custom_fields":[{"id":1,"name":"Subdivision","value":"EC"},{"id":4,"name":"Milepost","value":"0.0123"},{"id":17,"name":"Train ID","value":"220-25"},{"id":16,"name":"Locomotive ID","value":"4043"},{"id":130,"name":"Impact","value":""},{"id":150,"name":"Time of Event (Mountain Time)","value":"20:05:06"},{"id":151,"name":"Denver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4043 --day 2017-02-25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"%USERPROFILE%\AppData\Local\Temp\OnboardLogs"\RTDC4043\*4043*20170226* | grep -SE "(Enforcement Action)|(\[TIMEOUT)|(CHR.+\|PRM\|1\|D.+(SWITCH|SIGNAL).+UNKNOWN)" - &gt;&gt; 2017-02-25-UncaughtWiMAX.txt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673</v>
      </c>
      <c r="B133" s="7">
        <v>4046</v>
      </c>
      <c r="C133" s="21" t="s">
        <v>275</v>
      </c>
      <c r="D133" s="21" t="s">
        <v>269</v>
      </c>
      <c r="E133" s="13">
        <v>42791.788206018522</v>
      </c>
      <c r="F133" s="13">
        <v>42791.791886574072</v>
      </c>
      <c r="G133" s="7">
        <v>1</v>
      </c>
      <c r="H133" s="21" t="s">
        <v>369</v>
      </c>
      <c r="I133" s="13">
        <v>42791.81790509259</v>
      </c>
      <c r="J133" s="7">
        <v>1</v>
      </c>
      <c r="K133" s="98" t="str">
        <f t="shared" si="21"/>
        <v>4045/4046</v>
      </c>
      <c r="L133" s="21" t="str">
        <f>VLOOKUP(A133,'Trips&amp;Operators'!$C$1:$G$99999,5,FALSE)</f>
        <v>MAGEE KENYA</v>
      </c>
      <c r="M133" s="6">
        <f t="shared" si="22"/>
        <v>2.6018518517958E-2</v>
      </c>
      <c r="N133" s="7">
        <f t="shared" si="23"/>
        <v>37.46666666585952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6"/>
        <v>https://d0f6bd738d7f1b3e5a7ca70fe4ff75f0.us-east-1.aws.found.io/app/kibana#/discover/Steve-Slow-Train-Analysis-(2080s-and-2083s)?_g=(refreshInterval:(display:Off,pause:!f,section:0,value:0),time:(from:'2017-02-25T17:55:01-0700',mode:absolute,to:'2017-02-25T20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197" t="str">
        <f t="shared" si="27"/>
        <v>N</v>
      </c>
      <c r="X133" s="197">
        <f t="shared" si="28"/>
        <v>1</v>
      </c>
      <c r="Y133" s="197">
        <f t="shared" si="29"/>
        <v>4.4699999999999997E-2</v>
      </c>
      <c r="Z133" s="62">
        <f t="shared" si="30"/>
        <v>23.3308</v>
      </c>
      <c r="AA133" s="62">
        <f t="shared" si="31"/>
        <v>23.286100000000001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0221-25</v>
      </c>
      <c r="AE133" s="85" t="str">
        <f t="shared" si="33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33" s="82" t="str">
        <f t="shared" si="34"/>
        <v>"C:\Program Files (x86)\AstroGrep\AstroGrep.exe" /spath="%USERPROFILE%\AppData\Local\Temp\OnboardLogs" /stypes="app*4046*20170226*"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221-25 --locoid 4046 --swversion DE.1.0.9.0 --startMP 204:447 --initTime 2017-02-25T18:55:01 --startdatetime 2017-02-25T19:00:19 --delay 1 --endMP 204:233308 --enddatetime 2017-02-25T19:37:47 --enforcementcount 1 &gt;&gt;C:\Users\stu\Documents\GitHub\eaglep3-reporting\EC\2017-02-25-refined-times.txt</v>
      </c>
      <c r="AI133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{"issue":{"subject":"","project_id":79,"tracker_id":40,"status_id":1,"priority_id":2,"assigned_to_id":23,"start_date":"2017-02-25","description":"","custom_fields":[{"id":1,"name":"Subdivision","value":"EC"},{"id":4,"name":"Milepost","value":"23.3308"},{"id":17,"name":"Train ID","value":"221-25"},{"id":16,"name":"Locomotive ID","value":"4046"},{"id":130,"name":"Impact","value":""},{"id":150,"name":"Time of Event (Mountain Time)","value":"19:37:47"},{"id":151,"name":"Denver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4046 --day 2017-02-25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674</v>
      </c>
      <c r="B134" s="7">
        <v>4045</v>
      </c>
      <c r="C134" s="21" t="s">
        <v>275</v>
      </c>
      <c r="D134" s="21" t="s">
        <v>477</v>
      </c>
      <c r="E134" s="13">
        <v>42791.827685185184</v>
      </c>
      <c r="F134" s="13">
        <v>42791.830717592595</v>
      </c>
      <c r="G134" s="7">
        <v>1</v>
      </c>
      <c r="H134" s="21" t="s">
        <v>197</v>
      </c>
      <c r="I134" s="13">
        <v>42791.857974537037</v>
      </c>
      <c r="J134" s="7">
        <v>1</v>
      </c>
      <c r="K134" s="98" t="str">
        <f t="shared" si="21"/>
        <v>4045/4046</v>
      </c>
      <c r="L134" s="21" t="str">
        <f>VLOOKUP(A134,'Trips&amp;Operators'!$C$1:$G$99999,5,FALSE)</f>
        <v>MAGEE KENYA</v>
      </c>
      <c r="M134" s="6">
        <f t="shared" si="22"/>
        <v>2.7256944442342501E-2</v>
      </c>
      <c r="N134" s="7">
        <f t="shared" si="23"/>
        <v>39.249999996973202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6"/>
        <v>https://d0f6bd738d7f1b3e5a7ca70fe4ff75f0.us-east-1.aws.found.io/app/kibana#/discover/Steve-Slow-Train-Analysis-(2080s-and-2083s)?_g=(refreshInterval:(display:Off,pause:!f,section:0,value:0),time:(from:'2017-02-25T18:51:52-0700',mode:absolute,to:'2017-02-25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97" t="str">
        <f t="shared" si="27"/>
        <v>N</v>
      </c>
      <c r="X134" s="197">
        <f t="shared" si="28"/>
        <v>1</v>
      </c>
      <c r="Y134" s="197">
        <f t="shared" si="29"/>
        <v>23.299800000000001</v>
      </c>
      <c r="Z134" s="62">
        <f t="shared" si="30"/>
        <v>1.6E-2</v>
      </c>
      <c r="AA134" s="62">
        <f t="shared" si="31"/>
        <v>23.283800000000003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0222-25</v>
      </c>
      <c r="AE134" s="85" t="str">
        <f t="shared" si="33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134" s="82" t="str">
        <f t="shared" si="34"/>
        <v>"C:\Program Files (x86)\AstroGrep\AstroGrep.exe" /spath="%USERPROFILE%\AppData\Local\Temp\OnboardLogs" /stypes="app*4045*20170226*"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222-25 --locoid 4045 --swversion DE.1.0.9.0 --startMP 204:232998 --initTime 2017-02-25T19:51:52 --startdatetime 2017-02-25T19:56:14 --delay 1 --endMP 204:160 --enddatetime 2017-02-25T20:35:29 --enforcementcount 1 &gt;&gt;C:\Users\stu\Documents\GitHub\eaglep3-reporting\EC\2017-02-25-refined-times.txt</v>
      </c>
      <c r="AI134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{"issue":{"subject":"","project_id":79,"tracker_id":40,"status_id":1,"priority_id":2,"assigned_to_id":23,"start_date":"2017-02-25","description":"","custom_fields":[{"id":1,"name":"Subdivision","value":"EC"},{"id":4,"name":"Milepost","value":"0.016"},{"id":17,"name":"Train ID","value":"222-25"},{"id":16,"name":"Locomotive ID","value":"4045"},{"id":130,"name":"Impact","value":""},{"id":150,"name":"Time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4045 --day 2017-02-25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675</v>
      </c>
      <c r="B135" s="7">
        <v>4051</v>
      </c>
      <c r="C135" s="21" t="s">
        <v>275</v>
      </c>
      <c r="D135" s="21" t="s">
        <v>198</v>
      </c>
      <c r="E135" s="13">
        <v>42791.808298611111</v>
      </c>
      <c r="F135" s="13">
        <v>42791.812719907408</v>
      </c>
      <c r="G135" s="7">
        <v>1</v>
      </c>
      <c r="H135" s="21" t="s">
        <v>676</v>
      </c>
      <c r="I135" s="13">
        <v>42791.838576388887</v>
      </c>
      <c r="J135" s="7">
        <v>1</v>
      </c>
      <c r="K135" s="98" t="str">
        <f t="shared" si="21"/>
        <v>4051/4052</v>
      </c>
      <c r="L135" s="21" t="str">
        <f>VLOOKUP(A135,'Trips&amp;Operators'!$C$1:$G$99999,5,FALSE)</f>
        <v>SMITH MICHAEL</v>
      </c>
      <c r="M135" s="6">
        <f t="shared" si="22"/>
        <v>2.5856481479422655E-2</v>
      </c>
      <c r="N135" s="7">
        <f t="shared" si="23"/>
        <v>37.233333330368623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6"/>
        <v>https://d0f6bd738d7f1b3e5a7ca70fe4ff75f0.us-east-1.aws.found.io/app/kibana#/discover/Steve-Slow-Train-Analysis-(2080s-and-2083s)?_g=(refreshInterval:(display:Off,pause:!f,section:0,value:0),time:(from:'2017-02-25T18:23:57-0700',mode:absolute,to:'2017-02-25T21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97" t="str">
        <f t="shared" si="27"/>
        <v>N</v>
      </c>
      <c r="X135" s="197">
        <f t="shared" si="28"/>
        <v>1</v>
      </c>
      <c r="Y135" s="197">
        <f t="shared" si="29"/>
        <v>4.6199999999999998E-2</v>
      </c>
      <c r="Z135" s="62">
        <f t="shared" si="30"/>
        <v>23.327200000000001</v>
      </c>
      <c r="AA135" s="62">
        <f t="shared" si="31"/>
        <v>23.281000000000002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0223-25</v>
      </c>
      <c r="AE135" s="85" t="str">
        <f t="shared" si="33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35" s="82" t="str">
        <f t="shared" si="34"/>
        <v>"C:\Program Files (x86)\AstroGrep\AstroGrep.exe" /spath="%USERPROFILE%\AppData\Local\Temp\OnboardLogs" /stypes="app*4051*20170226*"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223-25 --locoid 4051 --swversion DE.1.0.9.0 --startMP 204:462 --initTime 2017-02-25T19:23:57 --startdatetime 2017-02-25T19:30:19 --delay 1 --endMP 204:233272 --enddatetime 2017-02-25T20:07:33 --enforcementcount 1 &gt;&gt;C:\Users\stu\Documents\GitHub\eaglep3-reporting\EC\2017-02-25-refined-times.txt</v>
      </c>
      <c r="AI135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{"issue":{"subject":"","project_id":79,"tracker_id":40,"status_id":1,"priority_id":2,"assigned_to_id":23,"start_date":"2017-02-25","description":"","custom_fields":[{"id":1,"name":"Subdivision","value":"EC"},{"id":4,"name":"Milepost","value":"23.3272"},{"id":17,"name":"Train ID","value":"223-25"},{"id":16,"name":"Locomotive ID","value":"4051"},{"id":130,"name":"Impact","value":""},{"id":150,"name":"Time of Event (Mountain Time)","value":"20:07:33"},{"id":151,"name":"Denver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4051 --day 2017-02-25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"%USERPROFILE%\AppData\Local\Temp\OnboardLogs"\RTDC4051\*4051*20170226* | grep -SE "(Enforcement Action)|(\[TIMEOUT)|(CHR.+\|PRM\|1\|D.+(SWITCH|SIGNAL).+UNKNOWN)" - &gt;&gt; 2017-02-25-UncaughtWiMAX.txt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677</v>
      </c>
      <c r="B136" s="7">
        <v>4052</v>
      </c>
      <c r="C136" s="21" t="s">
        <v>275</v>
      </c>
      <c r="D136" s="21" t="s">
        <v>379</v>
      </c>
      <c r="E136" s="13">
        <v>42791.844375000001</v>
      </c>
      <c r="F136" s="13">
        <v>42791.851701388892</v>
      </c>
      <c r="G136" s="7">
        <v>1</v>
      </c>
      <c r="H136" s="21" t="s">
        <v>322</v>
      </c>
      <c r="I136" s="13">
        <v>42791.879907407405</v>
      </c>
      <c r="J136" s="7">
        <v>1</v>
      </c>
      <c r="K136" s="98" t="str">
        <f t="shared" si="21"/>
        <v>4051/4052</v>
      </c>
      <c r="L136" s="21" t="str">
        <f>VLOOKUP(A136,'Trips&amp;Operators'!$C$1:$G$99999,5,FALSE)</f>
        <v>SMITH MICHAEL</v>
      </c>
      <c r="M136" s="6">
        <f t="shared" si="22"/>
        <v>2.8206018512719311E-2</v>
      </c>
      <c r="N136" s="7">
        <f t="shared" si="23"/>
        <v>40.616666658315808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6"/>
        <v>https://d0f6bd738d7f1b3e5a7ca70fe4ff75f0.us-east-1.aws.found.io/app/kibana#/discover/Steve-Slow-Train-Analysis-(2080s-and-2083s)?_g=(refreshInterval:(display:Off,pause:!f,section:0,value:0),time:(from:'2017-02-25T19:15:54-0700',mode:absolute,to:'2017-02-25T22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6" s="197" t="str">
        <f t="shared" si="27"/>
        <v>N</v>
      </c>
      <c r="X136" s="197">
        <f t="shared" si="28"/>
        <v>1</v>
      </c>
      <c r="Y136" s="197">
        <f t="shared" si="29"/>
        <v>23.296700000000001</v>
      </c>
      <c r="Z136" s="62">
        <f t="shared" si="30"/>
        <v>1.83E-2</v>
      </c>
      <c r="AA136" s="62">
        <f t="shared" si="31"/>
        <v>23.278400000000001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0224-25</v>
      </c>
      <c r="AE136" s="85" t="str">
        <f t="shared" si="33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136" s="82" t="str">
        <f t="shared" si="34"/>
        <v>"C:\Program Files (x86)\AstroGrep\AstroGrep.exe" /spath="%USERPROFILE%\AppData\Local\Temp\OnboardLogs" /stypes="app*4052*20170226*"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224-25 --locoid 4052 --swversion DE.1.0.9.0 --startMP 204:232967 --initTime 2017-02-25T20:15:54 --startdatetime 2017-02-25T20:26:27 --delay 1 --endMP 204:183 --enddatetime 2017-02-25T21:07:04 --enforcementcount 1 &gt;&gt;C:\Users\stu\Documents\GitHub\eaglep3-reporting\EC\2017-02-25-refined-times.txt</v>
      </c>
      <c r="AI136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{"issue":{"subject":"","project_id":79,"tracker_id":40,"status_id":1,"priority_id":2,"assigned_to_id":23,"start_date":"2017-02-25","description":"","custom_fields":[{"id":1,"name":"Subdivision","value":"EC"},{"id":4,"name":"Milepost","value":"0.0183"},{"id":17,"name":"Train ID","value":"224-25"},{"id":16,"name":"Locomotive ID","value":"4052"},{"id":130,"name":"Impact","value":""},{"id":150,"name":"Time of Event (Mountain Time)","value":"21:07:04"},{"id":151,"name":"Denver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4052 --day 2017-02-25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"%USERPROFILE%\AppData\Local\Temp\OnboardLogs"\RTDC4052\*4052*20170226* | grep -SE "(Enforcement Action)|(\[TIMEOUT)|(CHR.+\|PRM\|1\|D.+(SWITCH|SIGNAL).+UNKNOWN)" - &gt;&gt; 2017-02-25-UncaughtWiMAX.txt</v>
      </c>
    </row>
    <row r="137" spans="1:91" s="20" customFormat="1" x14ac:dyDescent="0.25">
      <c r="A137" s="33" t="s">
        <v>424</v>
      </c>
      <c r="B137" s="7">
        <v>4020</v>
      </c>
      <c r="C137" s="21" t="s">
        <v>275</v>
      </c>
      <c r="D137" s="21" t="s">
        <v>376</v>
      </c>
      <c r="E137" s="13">
        <v>42791.833749999998</v>
      </c>
      <c r="F137" s="13">
        <v>42791.835451388892</v>
      </c>
      <c r="G137" s="7">
        <v>1</v>
      </c>
      <c r="H137" s="21" t="s">
        <v>471</v>
      </c>
      <c r="I137" s="13">
        <v>42791.86078703704</v>
      </c>
      <c r="J137" s="7">
        <v>1</v>
      </c>
      <c r="K137" s="98" t="str">
        <f t="shared" si="21"/>
        <v>4019/4020</v>
      </c>
      <c r="L137" s="21" t="str">
        <f>VLOOKUP(A137,'Trips&amp;Operators'!$C$1:$G$99999,5,FALSE)</f>
        <v>STAMBAUGH JAMES</v>
      </c>
      <c r="M137" s="6">
        <f t="shared" si="22"/>
        <v>2.5335648148029577E-2</v>
      </c>
      <c r="N137" s="7">
        <f t="shared" si="23"/>
        <v>36.483333333162591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6"/>
        <v>https://d0f6bd738d7f1b3e5a7ca70fe4ff75f0.us-east-1.aws.found.io/app/kibana#/discover/Steve-Slow-Train-Analysis-(2080s-and-2083s)?_g=(refreshInterval:(display:Off,pause:!f,section:0,value:0),time:(from:'2017-02-25T19:00:36-0700',mode:absolute,to:'2017-02-25T21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97" t="str">
        <f t="shared" si="27"/>
        <v>N</v>
      </c>
      <c r="X137" s="197">
        <f t="shared" si="28"/>
        <v>1</v>
      </c>
      <c r="Y137" s="197">
        <f t="shared" si="29"/>
        <v>4.7800000000000002E-2</v>
      </c>
      <c r="Z137" s="62">
        <f t="shared" si="30"/>
        <v>23.3291</v>
      </c>
      <c r="AA137" s="62">
        <f t="shared" si="31"/>
        <v>23.281300000000002</v>
      </c>
      <c r="AB137" s="59" t="str">
        <f>VLOOKUP(A137,Enforcements!$C$7:$K$13,8,0)</f>
        <v>Bulletin (2)</v>
      </c>
      <c r="AC137" s="55" t="str">
        <f>VLOOKUP(A137,Enforcements!$C$7:$E$13,3,0)</f>
        <v>GRADE CROSSING</v>
      </c>
      <c r="AD137" s="56" t="str">
        <f t="shared" si="32"/>
        <v>0225-25</v>
      </c>
      <c r="AE137" s="85" t="str">
        <f t="shared" si="33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37" s="82" t="str">
        <f t="shared" si="34"/>
        <v>"C:\Program Files (x86)\AstroGrep\AstroGrep.exe" /spath="%USERPROFILE%\AppData\Local\Temp\OnboardLogs" /stypes="app*4020*20170226*"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225-25 --locoid 4020 --swversion DE.1.0.9.0 --startMP 204:478 --initTime 2017-02-25T20:00:36 --startdatetime 2017-02-25T20:03:03 --delay 1 --endMP 204:233291 --enddatetime 2017-02-25T20:39:32 --enforcementcount 1 &gt;&gt;C:\Users\stu\Documents\GitHub\eaglep3-reporting\EC\2017-02-25-refined-times.txt</v>
      </c>
      <c r="AI137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{"issue":{"subject":"","project_id":79,"tracker_id":40,"status_id":1,"priority_id":2,"assigned_to_id":23,"start_date":"2017-02-25","description":"","custom_fields":[{"id":1,"name":"Subdivision","value":"EC"},{"id":4,"name":"Milepost","value":"23.3291"},{"id":17,"name":"Train ID","value":"225-25"},{"id":16,"name":"Locomotive ID","value":"4020"},{"id":130,"name":"Impact","value":""},{"id":150,"name":"Time of Event (Mountain Time)","value":"20:39:32"},{"id":151,"name":"Denver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4020 --day 2017-02-25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"%USERPROFILE%\AppData\Local\Temp\OnboardLogs"\RTDC4020\*4020*20170226* | grep -SE "(Enforcement Action)|(\[TIMEOUT)|(CHR.+\|PRM\|1\|D.+(SWITCH|SIGNAL).+UNKNOWN)" - &gt;&gt; 2017-02-25-UncaughtWiMAX.txt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678</v>
      </c>
      <c r="B138" s="7">
        <v>4019</v>
      </c>
      <c r="C138" s="21" t="s">
        <v>275</v>
      </c>
      <c r="D138" s="21" t="s">
        <v>283</v>
      </c>
      <c r="E138" s="13">
        <v>42791.869317129633</v>
      </c>
      <c r="F138" s="13">
        <v>42791.872499999998</v>
      </c>
      <c r="G138" s="7">
        <v>1</v>
      </c>
      <c r="H138" s="21" t="s">
        <v>206</v>
      </c>
      <c r="I138" s="13">
        <v>42791.899050925924</v>
      </c>
      <c r="J138" s="7">
        <v>1</v>
      </c>
      <c r="K138" s="98" t="str">
        <f t="shared" si="21"/>
        <v>4019/4020</v>
      </c>
      <c r="L138" s="21" t="str">
        <f>VLOOKUP(A138,'Trips&amp;Operators'!$C$1:$G$99999,5,FALSE)</f>
        <v>STAMBAUGH JAMES</v>
      </c>
      <c r="M138" s="6">
        <f t="shared" si="22"/>
        <v>2.6550925926130731E-2</v>
      </c>
      <c r="N138" s="7">
        <f t="shared" si="23"/>
        <v>38.233333333628252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6"/>
        <v>https://d0f6bd738d7f1b3e5a7ca70fe4ff75f0.us-east-1.aws.found.io/app/kibana#/discover/Steve-Slow-Train-Analysis-(2080s-and-2083s)?_g=(refreshInterval:(display:Off,pause:!f,section:0,value:0),time:(from:'2017-02-25T19:51:49-0700',mode:absolute,to:'2017-02-25T22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97" t="str">
        <f t="shared" si="27"/>
        <v>N</v>
      </c>
      <c r="X138" s="197">
        <f t="shared" si="28"/>
        <v>1</v>
      </c>
      <c r="Y138" s="197">
        <f t="shared" si="29"/>
        <v>23.2971</v>
      </c>
      <c r="Z138" s="62">
        <f t="shared" si="30"/>
        <v>1.54E-2</v>
      </c>
      <c r="AA138" s="62">
        <f t="shared" si="31"/>
        <v>23.281700000000001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0226-25</v>
      </c>
      <c r="AE138" s="85" t="str">
        <f t="shared" si="33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138" s="82" t="str">
        <f t="shared" si="34"/>
        <v>"C:\Program Files (x86)\AstroGrep\AstroGrep.exe" /spath="%USERPROFILE%\AppData\Local\Temp\OnboardLogs" /stypes="app*4019*20170226*"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226-25 --locoid 4019 --swversion DE.1.0.9.0 --startMP 204:232971 --initTime 2017-02-25T20:51:49 --startdatetime 2017-02-25T20:56:24 --delay 1 --endMP 204:154 --enddatetime 2017-02-25T21:34:38 --enforcementcount 1 &gt;&gt;C:\Users\stu\Documents\GitHub\eaglep3-reporting\EC\2017-02-25-refined-times.txt</v>
      </c>
      <c r="AI138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{"issue":{"subject":"","project_id":79,"tracker_id":40,"status_id":1,"priority_id":2,"assigned_to_id":23,"start_date":"2017-02-25","description":"","custom_fields":[{"id":1,"name":"Subdivision","value":"EC"},{"id":4,"name":"Milepost","value":"0.0154"},{"id":17,"name":"Train ID","value":"226-25"},{"id":16,"name":"Locomotive ID","value":"4019"},{"id":130,"name":"Impact","value":""},{"id":150,"name":"Time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4019 --day 2017-02-25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"%USERPROFILE%\AppData\Local\Temp\OnboardLogs"\RTDC4019\*4019*20170226* | grep -SE "(Enforcement Action)|(\[TIMEOUT)|(CHR.+\|PRM\|1\|D.+(SWITCH|SIGNAL).+UNKNOWN)" - &gt;&gt; 2017-02-25-UncaughtWiMAX.txt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679</v>
      </c>
      <c r="B139" s="7">
        <v>4044</v>
      </c>
      <c r="C139" s="21" t="s">
        <v>275</v>
      </c>
      <c r="D139" s="21" t="s">
        <v>488</v>
      </c>
      <c r="E139" s="13">
        <v>42791.843680555554</v>
      </c>
      <c r="F139" s="13">
        <v>42791.854386574072</v>
      </c>
      <c r="G139" s="7">
        <v>3</v>
      </c>
      <c r="H139" s="21" t="s">
        <v>381</v>
      </c>
      <c r="I139" s="13">
        <v>42791.880069444444</v>
      </c>
      <c r="J139" s="7">
        <v>1</v>
      </c>
      <c r="K139" s="98" t="str">
        <f t="shared" si="21"/>
        <v>4043/4044</v>
      </c>
      <c r="L139" s="21" t="str">
        <f>VLOOKUP(A139,'Trips&amp;Operators'!$C$1:$G$99999,5,FALSE)</f>
        <v>SAFIEF AEIMEN</v>
      </c>
      <c r="M139" s="6">
        <f t="shared" si="22"/>
        <v>2.5682870371383615E-2</v>
      </c>
      <c r="N139" s="7">
        <f t="shared" si="23"/>
        <v>36.983333334792405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6"/>
        <v>https://d0f6bd738d7f1b3e5a7ca70fe4ff75f0.us-east-1.aws.found.io/app/kibana#/discover/Steve-Slow-Train-Analysis-(2080s-and-2083s)?_g=(refreshInterval:(display:Off,pause:!f,section:0,value:0),time:(from:'2017-02-25T19:14:54-0700',mode:absolute,to:'2017-02-25T22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197" t="str">
        <f t="shared" si="27"/>
        <v>N</v>
      </c>
      <c r="X139" s="197">
        <f t="shared" si="28"/>
        <v>1</v>
      </c>
      <c r="Y139" s="197">
        <f t="shared" si="29"/>
        <v>4.3499999999999997E-2</v>
      </c>
      <c r="Z139" s="62">
        <f t="shared" si="30"/>
        <v>23.328299999999999</v>
      </c>
      <c r="AA139" s="62">
        <f t="shared" si="31"/>
        <v>23.284799999999997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0227-25</v>
      </c>
      <c r="AE139" s="85" t="str">
        <f t="shared" si="33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39" s="82" t="str">
        <f t="shared" si="34"/>
        <v>"C:\Program Files (x86)\AstroGrep\AstroGrep.exe" /spath="%USERPROFILE%\AppData\Local\Temp\OnboardLogs" /stypes="app*4044*20170226*"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227-25 --locoid 4044 --swversion DE.1.0.9.0 --startMP 204:435 --initTime 2017-02-25T20:14:54 --startdatetime 2017-02-25T20:30:19 --delay 3 --endMP 204:233283 --enddatetime 2017-02-25T21:07:18 --enforcementcount 1 &gt;&gt;C:\Users\stu\Documents\GitHub\eaglep3-reporting\EC\2017-02-25-refined-times.txt</v>
      </c>
      <c r="AI139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{"issue":{"subject":"","project_id":79,"tracker_id":40,"status_id":1,"priority_id":2,"assigned_to_id":23,"start_date":"2017-02-25","description":"","custom_fields":[{"id":1,"name":"Subdivision","value":"EC"},{"id":4,"name":"Milepost","value":"23.3283"},{"id":17,"name":"Train ID","value":"227-25"},{"id":16,"name":"Locomotive ID","value":"4044"},{"id":130,"name":"Impact","value":""},{"id":150,"name":"Time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4044 --day 2017-02-25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"%USERPROFILE%\AppData\Local\Temp\OnboardLogs"\RTDC4044\*4044*20170226* | grep -SE "(Enforcement Action)|(\[TIMEOUT)|(CHR.+\|PRM\|1\|D.+(SWITCH|SIGNAL).+UNKNOWN)" - &gt;&gt; 2017-02-25-UncaughtWiMAX.txt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680</v>
      </c>
      <c r="B140" s="7">
        <v>4043</v>
      </c>
      <c r="C140" s="21" t="s">
        <v>275</v>
      </c>
      <c r="D140" s="21" t="s">
        <v>681</v>
      </c>
      <c r="E140" s="13">
        <v>42791.883043981485</v>
      </c>
      <c r="F140" s="13">
        <v>42791.893333333333</v>
      </c>
      <c r="G140" s="7">
        <v>1</v>
      </c>
      <c r="H140" s="21" t="s">
        <v>216</v>
      </c>
      <c r="I140" s="13">
        <v>42791.920497685183</v>
      </c>
      <c r="J140" s="7">
        <v>1</v>
      </c>
      <c r="K140" s="98" t="str">
        <f t="shared" si="21"/>
        <v>4043/4044</v>
      </c>
      <c r="L140" s="21" t="str">
        <f>VLOOKUP(A140,'Trips&amp;Operators'!$C$1:$G$99999,5,FALSE)</f>
        <v>SAFIEF AEIMEN</v>
      </c>
      <c r="M140" s="6">
        <f t="shared" si="22"/>
        <v>2.7164351849933155E-2</v>
      </c>
      <c r="N140" s="7">
        <f t="shared" si="23"/>
        <v>39.116666663903743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6"/>
        <v>https://d0f6bd738d7f1b3e5a7ca70fe4ff75f0.us-east-1.aws.found.io/app/kibana#/discover/Steve-Slow-Train-Analysis-(2080s-and-2083s)?_g=(refreshInterval:(display:Off,pause:!f,section:0,value:0),time:(from:'2017-02-25T20:11:35-0700',mode:absolute,to:'2017-02-25T23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197" t="str">
        <f t="shared" si="27"/>
        <v>N</v>
      </c>
      <c r="X140" s="197">
        <f t="shared" si="28"/>
        <v>1</v>
      </c>
      <c r="Y140" s="197">
        <f t="shared" si="29"/>
        <v>23.297899999999998</v>
      </c>
      <c r="Z140" s="62">
        <f t="shared" si="30"/>
        <v>1.43E-2</v>
      </c>
      <c r="AA140" s="62">
        <f t="shared" si="31"/>
        <v>23.2836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0228-25</v>
      </c>
      <c r="AE140" s="85" t="str">
        <f t="shared" si="33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140" s="82" t="str">
        <f t="shared" si="34"/>
        <v>"C:\Program Files (x86)\AstroGrep\AstroGrep.exe" /spath="%USERPROFILE%\AppData\Local\Temp\OnboardLogs" /stypes="app*4043*20170226*" /stext=" 05:.+((SYSTEM_STATE.+slice.+state.+changed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228-25 --locoid 4043 --swversion DE.1.0.9.0 --startMP 204:232979 --initTime 2017-02-25T21:11:35 --startdatetime 2017-02-25T21:26:24 --delay 1 --endMP 204:143 --enddatetime 2017-02-25T22:05:31 --enforcementcount 1 &gt;&gt;C:\Users\stu\Documents\GitHub\eaglep3-reporting\EC\2017-02-25-refined-times.txt</v>
      </c>
      <c r="AI140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{"issue":{"subject":"","project_id":79,"tracker_id":40,"status_id":1,"priority_id":2,"assigned_to_id":23,"start_date":"2017-02-25","description":"","custom_fields":[{"id":1,"name":"Subdivision","value":"EC"},{"id":4,"name":"Milepost","value":"0.0143"},{"id":17,"name":"Train ID","value":"228-25"},{"id":16,"name":"Locomotive ID","value":"4043"},{"id":130,"name":"Impact","value":""},{"id":150,"name":"Time of Event (Mountain Time)","value":"22:05:31"},{"id":151,"name":"Denver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8"/>
        <v>start /low /b %USERPROFILE%\Documents\GitHub\eaglep3\Utilities\DownloadLogsFromS3.py --loco 4043 --day 2017-02-25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"%USERPROFILE%\AppData\Local\Temp\OnboardLogs"\RTDC4043\*4043*20170226* | grep -SE "(Enforcement Action)|(\[TIMEOUT)|(CHR.+\|PRM\|1\|D.+(SWITCH|SIGNAL).+UNKNOWN)" - &gt;&gt; 2017-02-25-UncaughtWiMAX.txt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682</v>
      </c>
      <c r="B141" s="7">
        <v>4046</v>
      </c>
      <c r="C141" s="21" t="s">
        <v>275</v>
      </c>
      <c r="D141" s="21" t="s">
        <v>245</v>
      </c>
      <c r="E141" s="13">
        <v>42791.859293981484</v>
      </c>
      <c r="F141" s="13">
        <v>42791.875150462962</v>
      </c>
      <c r="G141" s="7">
        <v>2</v>
      </c>
      <c r="H141" s="21" t="s">
        <v>683</v>
      </c>
      <c r="I141" s="13">
        <v>42791.900682870371</v>
      </c>
      <c r="J141" s="7">
        <v>1</v>
      </c>
      <c r="K141" s="98" t="str">
        <f t="shared" ref="K141:K204" si="39">IF(ISEVEN(B141),(B141-1)&amp;"/"&amp;B141,B141&amp;"/"&amp;(B141+1))</f>
        <v>4045/4046</v>
      </c>
      <c r="L141" s="21" t="str">
        <f>VLOOKUP(A141,'Trips&amp;Operators'!$C$1:$G$99999,5,FALSE)</f>
        <v>BROWN JACOB</v>
      </c>
      <c r="M141" s="6">
        <f t="shared" ref="M141:M204" si="40">I141-F141</f>
        <v>2.5532407409627922E-2</v>
      </c>
      <c r="N141" s="7">
        <f t="shared" ref="N141:P204" si="41">24*60*SUM($M141:$M141)</f>
        <v>36.766666669864208</v>
      </c>
      <c r="O141" s="7"/>
      <c r="P141" s="7"/>
      <c r="Q141" s="22"/>
      <c r="R141" s="22"/>
      <c r="S141" s="31">
        <f t="shared" ref="S141:S204" si="42">SUM(U141:U141)/IF(AG141="EC",12,1)</f>
        <v>1</v>
      </c>
      <c r="T141" s="46" t="str">
        <f t="shared" ref="T141:T204" si="43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-25T19:37:23-0700',mode:absolute,to:'2017-02-25T22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97" t="str">
        <f t="shared" ref="W141:W204" si="45">IF(AA141&lt;IF(AG141="EC",23,5.65),"Y","N")</f>
        <v>N</v>
      </c>
      <c r="X141" s="197">
        <f t="shared" ref="X141:X204" si="46">VALUE(LEFT(AD141,4))-VALUE(LEFT(AD140,4))</f>
        <v>1</v>
      </c>
      <c r="Y141" s="197">
        <f t="shared" ref="Y141:Y204" si="47">RIGHT(D141,LEN(D141)-4)/10000</f>
        <v>4.6399999999999997E-2</v>
      </c>
      <c r="Z141" s="62">
        <f t="shared" ref="Z141:Z204" si="48">RIGHT(H141,LEN(H141)-4)/10000</f>
        <v>23.332599999999999</v>
      </c>
      <c r="AA141" s="62">
        <f t="shared" ref="AA141:AA204" si="49">ABS(Z141-Y141)</f>
        <v>23.286200000000001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0">IF(LEN(A141)=6,"0"&amp;A141,A141)</f>
        <v>0229-25</v>
      </c>
      <c r="AE141" s="85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41" s="82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/stypes="app*4046*20170226*"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229-25 --locoid 4046 --swversion DE.1.0.9.0 --startMP 204:464 --initTime 2017-02-25T20:37:23 --startdatetime 2017-02-25T21:00:13 --delay 2 --endMP 204:233326 --enddatetime 2017-02-25T21:36:59 --enforcementcount 1 &gt;&gt;C:\Users\stu\Documents\GitHub\eaglep3-reporting\EC\2017-02-25-refined-times.txt</v>
      </c>
      <c r="AI141" s="108" t="str">
        <f t="shared" si="37"/>
        <v>echo {"issue":{"subject":"","project_id":79,"tracker_id":40,"status_id":1,"priority_id":2,"assigned_to_id":23,"start_date":"2017-02-25","description":"","custom_fields":[{"id":1,"name":"Subdivision","value":"EC"},{"id":4,"name":"Milepost","value":"23.3326"},{"id":17,"name":"Train ID","value":"229-25"},{"id":16,"name":"Locomotive ID","value":"4046"},{"id":130,"name":"Impact","value":""},{"id":150,"name":"Time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4046 --day 2017-02-25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684</v>
      </c>
      <c r="B142" s="7">
        <v>4045</v>
      </c>
      <c r="C142" s="21" t="s">
        <v>275</v>
      </c>
      <c r="D142" s="21" t="s">
        <v>276</v>
      </c>
      <c r="E142" s="13">
        <v>42791.910115740742</v>
      </c>
      <c r="F142" s="13">
        <v>42791.9140162037</v>
      </c>
      <c r="G142" s="7">
        <v>2</v>
      </c>
      <c r="H142" s="21" t="s">
        <v>258</v>
      </c>
      <c r="I142" s="13">
        <v>42791.940648148149</v>
      </c>
      <c r="J142" s="7">
        <v>1</v>
      </c>
      <c r="K142" s="98" t="str">
        <f t="shared" si="39"/>
        <v>4045/4046</v>
      </c>
      <c r="L142" s="21" t="str">
        <f>VLOOKUP(A142,'Trips&amp;Operators'!$C$1:$G$99999,5,FALSE)</f>
        <v>BROWN JACOB</v>
      </c>
      <c r="M142" s="6">
        <f t="shared" si="40"/>
        <v>2.6631944449036382E-2</v>
      </c>
      <c r="N142" s="7">
        <f t="shared" si="41"/>
        <v>38.35000000661239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4"/>
        <v>https://d0f6bd738d7f1b3e5a7ca70fe4ff75f0.us-east-1.aws.found.io/app/kibana#/discover/Steve-Slow-Train-Analysis-(2080s-and-2083s)?_g=(refreshInterval:(display:Off,pause:!f,section:0,value:0),time:(from:'2017-02-25T20:50:34-0700',mode:absolute,to:'2017-02-25T23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97" t="str">
        <f t="shared" si="45"/>
        <v>N</v>
      </c>
      <c r="X142" s="197">
        <f t="shared" si="46"/>
        <v>1</v>
      </c>
      <c r="Y142" s="197">
        <f t="shared" si="47"/>
        <v>23.298999999999999</v>
      </c>
      <c r="Z142" s="62">
        <f t="shared" si="48"/>
        <v>1.47E-2</v>
      </c>
      <c r="AA142" s="62">
        <f t="shared" si="49"/>
        <v>23.284299999999998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0"/>
        <v>0230-25</v>
      </c>
      <c r="AE142" s="85" t="str">
        <f t="shared" si="51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142" s="82" t="str">
        <f t="shared" si="52"/>
        <v>"C:\Program Files (x86)\AstroGrep\AstroGrep.exe" /spath="%USERPROFILE%\AppData\Local\Temp\OnboardLogs" /stypes="app*4045*20170226*"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6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230-25 --locoid 4045 --swversion DE.1.0.9.0 --startMP 204:232990 --initTime 2017-02-25T21:50:34 --startdatetime 2017-02-25T21:56:11 --delay 2 --endMP 204:147 --enddatetime 2017-02-25T22:34:32 --enforcementcount 1 &gt;&gt;C:\Users\stu\Documents\GitHub\eaglep3-reporting\EC\2017-02-25-refined-times.txt</v>
      </c>
      <c r="AI142" s="108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{"issue":{"subject":"","project_id":79,"tracker_id":40,"status_id":1,"priority_id":2,"assigned_to_id":23,"start_date":"2017-02-25","description":"","custom_fields":[{"id":1,"name":"Subdivision","value":"EC"},{"id":4,"name":"Milepost","value":"0.0147"},{"id":17,"name":"Train ID","value":"230-25"},{"id":16,"name":"Locomotive ID","value":"4045"},{"id":130,"name":"Impact","value":""},{"id":150,"name":"Time of Event (Mountain Time)","value":"22:34:32"},{"id":151,"name":"Denver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56">"start /low /b "&amp;dls3logs&amp;" --loco "&amp;B142&amp;" --day "&amp;TEXT(F142,"YYYY-MM-DD")</f>
        <v>start /low /b %USERPROFILE%\Documents\GitHub\eaglep3\Utilities\DownloadLogsFromS3.py --loco 4045 --day 2017-02-25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</row>
    <row r="143" spans="1:91" s="20" customFormat="1" x14ac:dyDescent="0.25">
      <c r="A143" s="33" t="s">
        <v>685</v>
      </c>
      <c r="B143" s="7">
        <v>4051</v>
      </c>
      <c r="C143" s="21" t="s">
        <v>275</v>
      </c>
      <c r="D143" s="21" t="s">
        <v>198</v>
      </c>
      <c r="E143" s="13">
        <v>42791.885474537034</v>
      </c>
      <c r="F143" s="13">
        <v>42791.896041666667</v>
      </c>
      <c r="G143" s="7">
        <v>1</v>
      </c>
      <c r="H143" s="21" t="s">
        <v>303</v>
      </c>
      <c r="I143" s="13">
        <v>42791.921736111108</v>
      </c>
      <c r="J143" s="7">
        <v>1</v>
      </c>
      <c r="K143" s="98" t="str">
        <f t="shared" si="39"/>
        <v>4051/4052</v>
      </c>
      <c r="L143" s="21" t="str">
        <f>VLOOKUP(A143,'Trips&amp;Operators'!$C$1:$G$99999,5,FALSE)</f>
        <v>SMITH MICHAEL</v>
      </c>
      <c r="M143" s="6">
        <f t="shared" si="40"/>
        <v>2.569444444088731E-2</v>
      </c>
      <c r="N143" s="7">
        <f t="shared" si="41"/>
        <v>36.999999994877726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4"/>
        <v>https://d0f6bd738d7f1b3e5a7ca70fe4ff75f0.us-east-1.aws.found.io/app/kibana#/discover/Steve-Slow-Train-Analysis-(2080s-and-2083s)?_g=(refreshInterval:(display:Off,pause:!f,section:0,value:0),time:(from:'2017-02-25T20:15:05-0700',mode:absolute,to:'2017-02-25T23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97" t="str">
        <f t="shared" si="45"/>
        <v>N</v>
      </c>
      <c r="X143" s="197">
        <f t="shared" si="46"/>
        <v>1</v>
      </c>
      <c r="Y143" s="197">
        <f t="shared" si="47"/>
        <v>4.6199999999999998E-2</v>
      </c>
      <c r="Z143" s="62">
        <f t="shared" si="48"/>
        <v>23.330200000000001</v>
      </c>
      <c r="AA143" s="62">
        <f t="shared" si="49"/>
        <v>23.284000000000002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0"/>
        <v>0231-25</v>
      </c>
      <c r="AE143" s="85" t="str">
        <f t="shared" si="51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43" s="82" t="str">
        <f t="shared" si="52"/>
        <v>"C:\Program Files (x86)\AstroGrep\AstroGrep.exe" /spath="%USERPROFILE%\AppData\Local\Temp\OnboardLogs" /stypes="app*4051*20170226*"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231-25 --locoid 4051 --swversion DE.1.0.9.0 --startMP 204:462 --initTime 2017-02-25T21:15:05 --startdatetime 2017-02-25T21:30:18 --delay 1 --endMP 204:233302 --enddatetime 2017-02-25T22:07:18 --enforcementcount 1 &gt;&gt;C:\Users\stu\Documents\GitHub\eaglep3-reporting\EC\2017-02-25-refined-times.txt</v>
      </c>
      <c r="AI143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{"issue":{"subject":"","project_id":79,"tracker_id":40,"status_id":1,"priority_id":2,"assigned_to_id":23,"start_date":"2017-02-25","description":"","custom_fields":[{"id":1,"name":"Subdivision","value":"EC"},{"id":4,"name":"Milepost","value":"23.3302"},{"id":17,"name":"Train ID","value":"231-25"},{"id":16,"name":"Locomotive ID","value":"4051"},{"id":130,"name":"Impact","value":""},{"id":150,"name":"Time of Event (Mountain Time)","value":"22:07:18"},{"id":151,"name":"Denver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6"/>
        <v>start /low /b %USERPROFILE%\Documents\GitHub\eaglep3\Utilities\DownloadLogsFromS3.py --loco 4051 --day 2017-02-25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"%USERPROFILE%\AppData\Local\Temp\OnboardLogs"\RTDC4051\*4051*20170226* | grep -SE "(Enforcement Action)|(\[TIMEOUT)|(CHR.+\|PRM\|1\|D.+(SWITCH|SIGNAL).+UNKNOWN)" - &gt;&gt; 2017-02-25-UncaughtWiMAX.txt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686</v>
      </c>
      <c r="B144" s="7">
        <v>4052</v>
      </c>
      <c r="C144" s="21" t="s">
        <v>275</v>
      </c>
      <c r="D144" s="21" t="s">
        <v>372</v>
      </c>
      <c r="E144" s="13">
        <v>42791.927094907405</v>
      </c>
      <c r="F144" s="13">
        <v>42791.935150462959</v>
      </c>
      <c r="G144" s="7">
        <v>1</v>
      </c>
      <c r="H144" s="21" t="s">
        <v>200</v>
      </c>
      <c r="I144" s="13">
        <v>42791.962280092594</v>
      </c>
      <c r="J144" s="7">
        <v>1</v>
      </c>
      <c r="K144" s="98" t="str">
        <f t="shared" si="39"/>
        <v>4051/4052</v>
      </c>
      <c r="L144" s="21" t="str">
        <f>VLOOKUP(A144,'Trips&amp;Operators'!$C$1:$G$99999,5,FALSE)</f>
        <v>SMITH MICHAEL</v>
      </c>
      <c r="M144" s="6">
        <f t="shared" si="40"/>
        <v>2.7129629634146113E-2</v>
      </c>
      <c r="N144" s="7">
        <f t="shared" si="41"/>
        <v>39.066666673170403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4"/>
        <v>https://d0f6bd738d7f1b3e5a7ca70fe4ff75f0.us-east-1.aws.found.io/app/kibana#/discover/Steve-Slow-Train-Analysis-(2080s-and-2083s)?_g=(refreshInterval:(display:Off,pause:!f,section:0,value:0),time:(from:'2017-02-25T21:15:01-0700',mode:absolute,to:'2017-02-26T00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97" t="str">
        <f t="shared" si="45"/>
        <v>N</v>
      </c>
      <c r="X144" s="197">
        <f t="shared" si="46"/>
        <v>1</v>
      </c>
      <c r="Y144" s="197">
        <f t="shared" si="47"/>
        <v>23.298300000000001</v>
      </c>
      <c r="Z144" s="62">
        <f t="shared" si="48"/>
        <v>1.5800000000000002E-2</v>
      </c>
      <c r="AA144" s="62">
        <f t="shared" si="49"/>
        <v>23.282500000000002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0"/>
        <v>0232-25</v>
      </c>
      <c r="AE144" s="85" t="str">
        <f t="shared" si="51"/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AF144" s="82" t="str">
        <f t="shared" si="52"/>
        <v>"C:\Program Files (x86)\AstroGrep\AstroGrep.exe" /spath="%USERPROFILE%\AppData\Local\Temp\OnboardLogs" /stypes="app*4052*20170226*"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232-25 --locoid 4052 --swversion DE.1.0.9.0 --startMP 204:232983 --initTime 2017-02-25T22:15:01 --startdatetime 2017-02-25T22:26:37 --delay 1 --endMP 204:158 --enddatetime 2017-02-25T23:05:41 --enforcementcount 1 &gt;&gt;C:\Users\stu\Documents\GitHub\eaglep3-reporting\EC\2017-02-25-refined-times.txt</v>
      </c>
      <c r="AI144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{"issue":{"subject":"","project_id":79,"tracker_id":40,"status_id":1,"priority_id":2,"assigned_to_id":23,"start_date":"2017-02-25","description":"","custom_fields":[{"id":1,"name":"Subdivision","value":"EC"},{"id":4,"name":"Milepost","value":"0.0158"},{"id":17,"name":"Train ID","value":"232-25"},{"id":16,"name":"Locomotive ID","value":"4052"},{"id":130,"name":"Impact","value":""},{"id":150,"name":"Time of Event (Mountain Time)","value":"23:05:41"},{"id":151,"name":"Denver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6"/>
        <v>start /low /b %USERPROFILE%\Documents\GitHub\eaglep3\Utilities\DownloadLogsFromS3.py --loco 4052 --day 2017-02-25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"%USERPROFILE%\AppData\Local\Temp\OnboardLogs"\RTDC4052\*4052*20170226* | grep -SE "(Enforcement Action)|(\[TIMEOUT)|(CHR.+\|PRM\|1\|D.+(SWITCH|SIGNAL).+UNKNOWN)" - &gt;&gt; 2017-02-25-UncaughtWiMAX.txt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687</v>
      </c>
      <c r="B145" s="7">
        <v>4020</v>
      </c>
      <c r="C145" s="21" t="s">
        <v>275</v>
      </c>
      <c r="D145" s="21" t="s">
        <v>504</v>
      </c>
      <c r="E145" s="13">
        <v>42791.903032407405</v>
      </c>
      <c r="F145" s="13">
        <v>42791.917094907411</v>
      </c>
      <c r="G145" s="7">
        <v>1</v>
      </c>
      <c r="H145" s="21" t="s">
        <v>323</v>
      </c>
      <c r="I145" s="13">
        <v>42791.941874999997</v>
      </c>
      <c r="J145" s="7">
        <v>1</v>
      </c>
      <c r="K145" s="98" t="str">
        <f t="shared" si="39"/>
        <v>4019/4020</v>
      </c>
      <c r="L145" s="21" t="str">
        <f>VLOOKUP(A145,'Trips&amp;Operators'!$C$1:$G$99999,5,FALSE)</f>
        <v>STAMBAUGH JAMES</v>
      </c>
      <c r="M145" s="6">
        <f t="shared" si="40"/>
        <v>2.4780092586297542E-2</v>
      </c>
      <c r="N145" s="7">
        <f t="shared" si="41"/>
        <v>35.68333332426846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4"/>
        <v>https://d0f6bd738d7f1b3e5a7ca70fe4ff75f0.us-east-1.aws.found.io/app/kibana#/discover/Steve-Slow-Train-Analysis-(2080s-and-2083s)?_g=(refreshInterval:(display:Off,pause:!f,section:0,value:0),time:(from:'2017-02-25T20:40:22-0700',mode:absolute,to:'2017-02-25T23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97" t="str">
        <f t="shared" si="45"/>
        <v>N</v>
      </c>
      <c r="X145" s="197">
        <f t="shared" si="46"/>
        <v>1</v>
      </c>
      <c r="Y145" s="197">
        <f t="shared" si="47"/>
        <v>4.3700000000000003E-2</v>
      </c>
      <c r="Z145" s="62">
        <f t="shared" si="48"/>
        <v>23.3325</v>
      </c>
      <c r="AA145" s="62">
        <f t="shared" si="49"/>
        <v>23.288799999999998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0"/>
        <v>0233-25</v>
      </c>
      <c r="AE145" s="85" t="str">
        <f t="shared" si="51"/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AF145" s="82" t="str">
        <f t="shared" si="52"/>
        <v>"C:\Program Files (x86)\AstroGrep\AstroGrep.exe" /spath="%USERPROFILE%\AppData\Local\Temp\OnboardLogs" /stypes="app*4020*20170226*"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233-25 --locoid 4020 --swversion DE.1.0.9.0 --startMP 204:437 --initTime 2017-02-25T21:40:22 --startdatetime 2017-02-25T22:00:37 --delay 1 --endMP 204:233325 --enddatetime 2017-02-25T22:36:18 --enforcementcount 1 &gt;&gt;C:\Users\stu\Documents\GitHub\eaglep3-reporting\EC\2017-02-25-refined-times.txt</v>
      </c>
      <c r="AI145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{"issue":{"subject":"","project_id":79,"tracker_id":40,"status_id":1,"priority_id":2,"assigned_to_id":23,"start_date":"2017-02-25","description":"","custom_fields":[{"id":1,"name":"Subdivision","value":"EC"},{"id":4,"name":"Milepost","value":"23.3325"},{"id":17,"name":"Train ID","value":"233-25"},{"id":16,"name":"Locomotive ID","value":"4020"},{"id":130,"name":"Impact","value":""},{"id":150,"name":"Time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6"/>
        <v>start /low /b %USERPROFILE%\Documents\GitHub\eaglep3\Utilities\DownloadLogsFromS3.py --loco 4020 --day 2017-02-25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"%USERPROFILE%\AppData\Local\Temp\OnboardLogs"\RTDC4020\*4020*20170226* | grep -SE "(Enforcement Action)|(\[TIMEOUT)|(CHR.+\|PRM\|1\|D.+(SWITCH|SIGNAL).+UNKNOWN)" - &gt;&gt; 2017-02-25-UncaughtWiMAX.txt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426</v>
      </c>
      <c r="B146" s="7">
        <v>4019</v>
      </c>
      <c r="C146" s="21" t="s">
        <v>275</v>
      </c>
      <c r="D146" s="21" t="s">
        <v>688</v>
      </c>
      <c r="E146" s="13">
        <v>42791.943310185183</v>
      </c>
      <c r="F146" s="13">
        <v>42791.955740740741</v>
      </c>
      <c r="G146" s="7">
        <v>1</v>
      </c>
      <c r="H146" s="21" t="s">
        <v>248</v>
      </c>
      <c r="I146" s="13">
        <v>42791.982847222222</v>
      </c>
      <c r="J146" s="7">
        <v>1</v>
      </c>
      <c r="K146" s="98" t="str">
        <f t="shared" si="39"/>
        <v>4019/4020</v>
      </c>
      <c r="L146" s="21" t="str">
        <f>VLOOKUP(A146,'Trips&amp;Operators'!$C$1:$G$99999,5,FALSE)</f>
        <v>STAMBAUGH JAMES</v>
      </c>
      <c r="M146" s="6">
        <f t="shared" si="40"/>
        <v>2.7106481480586808E-2</v>
      </c>
      <c r="N146" s="7">
        <f t="shared" si="41"/>
        <v>39.033333332045004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4"/>
        <v>https://d0f6bd738d7f1b3e5a7ca70fe4ff75f0.us-east-1.aws.found.io/app/kibana#/discover/Steve-Slow-Train-Analysis-(2080s-and-2083s)?_g=(refreshInterval:(display:Off,pause:!f,section:0,value:0),time:(from:'2017-02-25T21:38:22-0700',mode:absolute,to:'2017-02-26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97" t="str">
        <f t="shared" si="45"/>
        <v>N</v>
      </c>
      <c r="X146" s="197">
        <f t="shared" si="46"/>
        <v>1</v>
      </c>
      <c r="Y146" s="197">
        <f t="shared" si="47"/>
        <v>23.303000000000001</v>
      </c>
      <c r="Z146" s="62">
        <f t="shared" si="48"/>
        <v>1.41E-2</v>
      </c>
      <c r="AA146" s="62">
        <f t="shared" si="49"/>
        <v>23.288900000000002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0"/>
        <v>0234-25</v>
      </c>
      <c r="AE146" s="85" t="str">
        <f t="shared" si="51"/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AF146" s="82" t="str">
        <f t="shared" si="52"/>
        <v>"C:\Program Files (x86)\AstroGrep\AstroGrep.exe" /spath="%USERPROFILE%\AppData\Local\Temp\OnboardLogs" /stypes="app*4019*20170226*"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234-25 --locoid 4019 --swversion DE.1.0.9.0 --startMP 204:233030 --initTime 2017-02-25T22:38:22 --startdatetime 2017-02-25T22:56:16 --delay 1 --endMP 204:141 --enddatetime 2017-02-25T23:35:18 --enforcementcount 1 &gt;&gt;C:\Users\stu\Documents\GitHub\eaglep3-reporting\EC\2017-02-25-refined-times.txt</v>
      </c>
      <c r="AI146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{"issue":{"subject":"","project_id":79,"tracker_id":40,"status_id":1,"priority_id":2,"assigned_to_id":23,"start_date":"2017-02-25","description":"","custom_fields":[{"id":1,"name":"Subdivision","value":"EC"},{"id":4,"name":"Milepost","value":"0.0141"},{"id":17,"name":"Train ID","value":"234-25"},{"id":16,"name":"Locomotive ID","value":"4019"},{"id":130,"name":"Impact","value":""},{"id":150,"name":"Time of Event (Mountain Time)","value":"23:35:18"},{"id":151,"name":"Denver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6"/>
        <v>start /low /b %USERPROFILE%\Documents\GitHub\eaglep3\Utilities\DownloadLogsFromS3.py --loco 4019 --day 2017-02-25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"%USERPROFILE%\AppData\Local\Temp\OnboardLogs"\RTDC4019\*4019*20170226* | grep -SE "(Enforcement Action)|(\[TIMEOUT)|(CHR.+\|PRM\|1\|D.+(SWITCH|SIGNAL).+UNKNOWN)" - &gt;&gt; 2017-02-25-UncaughtWiMAX.txt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689</v>
      </c>
      <c r="B147" s="7">
        <v>4044</v>
      </c>
      <c r="C147" s="21" t="s">
        <v>275</v>
      </c>
      <c r="D147" s="21" t="s">
        <v>222</v>
      </c>
      <c r="E147" s="13">
        <v>42791.926365740743</v>
      </c>
      <c r="F147" s="13">
        <v>42791.937858796293</v>
      </c>
      <c r="G147" s="7">
        <v>1</v>
      </c>
      <c r="H147" s="21" t="s">
        <v>440</v>
      </c>
      <c r="I147" s="13">
        <v>42791.963171296295</v>
      </c>
      <c r="J147" s="7">
        <v>1</v>
      </c>
      <c r="K147" s="98" t="str">
        <f t="shared" si="39"/>
        <v>4043/4044</v>
      </c>
      <c r="L147" s="21" t="str">
        <f>VLOOKUP(A147,'Trips&amp;Operators'!$C$1:$G$99999,5,FALSE)</f>
        <v>SAFIEF AEIMEN</v>
      </c>
      <c r="M147" s="6">
        <f t="shared" si="40"/>
        <v>2.531250000174623E-2</v>
      </c>
      <c r="N147" s="7">
        <f t="shared" si="41"/>
        <v>36.450000002514571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4"/>
        <v>https://d0f6bd738d7f1b3e5a7ca70fe4ff75f0.us-east-1.aws.found.io/app/kibana#/discover/Steve-Slow-Train-Analysis-(2080s-and-2083s)?_g=(refreshInterval:(display:Off,pause:!f,section:0,value:0),time:(from:'2017-02-25T21:13:58-0700',mode:absolute,to:'2017-02-26T00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197" t="str">
        <f t="shared" si="45"/>
        <v>N</v>
      </c>
      <c r="X147" s="197">
        <f t="shared" si="46"/>
        <v>1</v>
      </c>
      <c r="Y147" s="197">
        <f t="shared" si="47"/>
        <v>4.5999999999999999E-2</v>
      </c>
      <c r="Z147" s="62">
        <f t="shared" si="48"/>
        <v>23.327999999999999</v>
      </c>
      <c r="AA147" s="62">
        <f t="shared" si="49"/>
        <v>23.282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0"/>
        <v>0235-25</v>
      </c>
      <c r="AE147" s="85" t="str">
        <f t="shared" si="51"/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AF147" s="82" t="str">
        <f t="shared" si="52"/>
        <v>"C:\Program Files (x86)\AstroGrep\AstroGrep.exe" /spath="%USERPROFILE%\AppData\Local\Temp\OnboardLogs" /stypes="app*4044*20170226*"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235-25 --locoid 4044 --swversion DE.1.0.9.0 --startMP 204:460 --initTime 2017-02-25T22:13:58 --startdatetime 2017-02-25T22:30:31 --delay 1 --endMP 204:233280 --enddatetime 2017-02-25T23:06:58 --enforcementcount 1 &gt;&gt;C:\Users\stu\Documents\GitHub\eaglep3-reporting\EC\2017-02-25-refined-times.txt</v>
      </c>
      <c r="AI147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{"issue":{"subject":"","project_id":79,"tracker_id":40,"status_id":1,"priority_id":2,"assigned_to_id":23,"start_date":"2017-02-25","description":"","custom_fields":[{"id":1,"name":"Subdivision","value":"EC"},{"id":4,"name":"Milepost","value":"23.328"},{"id":17,"name":"Train ID","value":"235-25"},{"id":16,"name":"Locomotive ID","value":"4044"},{"id":130,"name":"Impact","value":""},{"id":150,"name":"Time of Event (Mountain Time)","value":"23:06:58"},{"id":151,"name":"Denver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6"/>
        <v>start /low /b %USERPROFILE%\Documents\GitHub\eaglep3\Utilities\DownloadLogsFromS3.py --loco 4044 --day 2017-02-25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"%USERPROFILE%\AppData\Local\Temp\OnboardLogs"\RTDC4044\*4044*20170226* | grep -SE "(Enforcement Action)|(\[TIMEOUT)|(CHR.+\|PRM\|1\|D.+(SWITCH|SIGNAL).+UNKNOWN)" - &gt;&gt; 2017-02-25-UncaughtWiMAX.txt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690</v>
      </c>
      <c r="B148" s="7">
        <v>4043</v>
      </c>
      <c r="C148" s="21" t="s">
        <v>275</v>
      </c>
      <c r="D148" s="21" t="s">
        <v>368</v>
      </c>
      <c r="E148" s="13">
        <v>42791.969305555554</v>
      </c>
      <c r="F148" s="13">
        <v>42791.976759259262</v>
      </c>
      <c r="G148" s="7">
        <v>1</v>
      </c>
      <c r="H148" s="21" t="s">
        <v>258</v>
      </c>
      <c r="I148" s="13">
        <v>42792.004004629627</v>
      </c>
      <c r="J148" s="7">
        <v>1</v>
      </c>
      <c r="K148" s="98" t="str">
        <f t="shared" si="39"/>
        <v>4043/4044</v>
      </c>
      <c r="L148" s="21" t="str">
        <f>VLOOKUP(A148,'Trips&amp;Operators'!$C$1:$G$99999,5,FALSE)</f>
        <v>SAFIEF AEIMEN</v>
      </c>
      <c r="M148" s="6">
        <f t="shared" si="40"/>
        <v>2.7245370365562849E-2</v>
      </c>
      <c r="N148" s="7">
        <f t="shared" si="41"/>
        <v>39.233333326410502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4"/>
        <v>https://d0f6bd738d7f1b3e5a7ca70fe4ff75f0.us-east-1.aws.found.io/app/kibana#/discover/Steve-Slow-Train-Analysis-(2080s-and-2083s)?_g=(refreshInterval:(display:Off,pause:!f,section:0,value:0),time:(from:'2017-02-25T22:15:48-0700',mode:absolute,to:'2017-02-26T01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197" t="str">
        <f t="shared" si="45"/>
        <v>N</v>
      </c>
      <c r="X148" s="197">
        <f t="shared" si="46"/>
        <v>1</v>
      </c>
      <c r="Y148" s="197">
        <f t="shared" si="47"/>
        <v>23.297699999999999</v>
      </c>
      <c r="Z148" s="62">
        <f t="shared" si="48"/>
        <v>1.47E-2</v>
      </c>
      <c r="AA148" s="62">
        <f t="shared" si="49"/>
        <v>23.282999999999998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0"/>
        <v>0236-25</v>
      </c>
      <c r="AE148" s="85" t="str">
        <f t="shared" si="51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148" s="82" t="str">
        <f t="shared" si="52"/>
        <v>"C:\Program Files (x86)\AstroGrep\AstroGrep.exe" /spath="%USERPROFILE%\AppData\Local\Temp\OnboardLogs" /stypes="app*4043*20170226*"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236-25 --locoid 4043 --swversion DE.1.0.9.0 --startMP 204:232977 --initTime 2017-02-25T23:15:48 --startdatetime 2017-02-25T23:26:32 --delay 1 --endMP 204:147 --enddatetime 2017-02-26T00:05:46 --enforcementcount 1 &gt;&gt;C:\Users\stu\Documents\GitHub\eaglep3-reporting\EC\2017-02-25-refined-times.txt</v>
      </c>
      <c r="AI148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{"issue":{"subject":"","project_id":79,"tracker_id":40,"status_id":1,"priority_id":2,"assigned_to_id":23,"start_date":"2017-02-26","description":"","custom_fields":[{"id":1,"name":"Subdivision","value":"EC"},{"id":4,"name":"Milepost","value":"0.0147"},{"id":17,"name":"Train ID","value":"236-25"},{"id":16,"name":"Locomotive ID","value":"4043"},{"id":130,"name":"Impact","value":""},{"id":150,"name":"Time of Event (Mountain Time)","value":"00:05:46"},{"id":151,"name":"Denver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6"/>
        <v>start /low /b %USERPROFILE%\Documents\GitHub\eaglep3\Utilities\DownloadLogsFromS3.py --loco 4043 --day 2017-02-25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"%USERPROFILE%\AppData\Local\Temp\OnboardLogs"\RTDC4043\*4043*20170226* | grep -SE "(Enforcement Action)|(\[TIMEOUT)|(CHR.+\|PRM\|1\|D.+(SWITCH|SIGNAL).+UNKNOWN)" - &gt;&gt; 2017-02-25-UncaughtWiMAX.txt</v>
      </c>
    </row>
    <row r="149" spans="1:91" x14ac:dyDescent="0.25">
      <c r="A149" s="33" t="s">
        <v>425</v>
      </c>
      <c r="B149" s="7">
        <v>4046</v>
      </c>
      <c r="C149" s="21" t="s">
        <v>275</v>
      </c>
      <c r="D149" s="21" t="s">
        <v>378</v>
      </c>
      <c r="E149" s="13">
        <v>42791.944201388891</v>
      </c>
      <c r="F149" s="13">
        <v>42791.958483796298</v>
      </c>
      <c r="G149" s="7">
        <v>1</v>
      </c>
      <c r="H149" s="21" t="s">
        <v>691</v>
      </c>
      <c r="I149" s="13">
        <v>42791.9840625</v>
      </c>
      <c r="J149" s="7">
        <v>1</v>
      </c>
      <c r="K149" s="98" t="str">
        <f t="shared" si="39"/>
        <v>4045/4046</v>
      </c>
      <c r="L149" s="21" t="str">
        <f>VLOOKUP(A149,'Trips&amp;Operators'!$C$1:$G$99999,5,FALSE)</f>
        <v>BROWN JACOB</v>
      </c>
      <c r="M149" s="6">
        <f t="shared" si="40"/>
        <v>2.5578703702194616E-2</v>
      </c>
      <c r="N149" s="7">
        <f t="shared" si="41"/>
        <v>36.833333331160247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4"/>
        <v>https://d0f6bd738d7f1b3e5a7ca70fe4ff75f0.us-east-1.aws.found.io/app/kibana#/discover/Steve-Slow-Train-Analysis-(2080s-and-2083s)?_g=(refreshInterval:(display:Off,pause:!f,section:0,value:0),time:(from:'2017-02-25T21:39:39-0700',mode:absolute,to:'2017-02-26T00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9" s="197" t="str">
        <f t="shared" si="45"/>
        <v>N</v>
      </c>
      <c r="X149" s="197">
        <f t="shared" si="46"/>
        <v>1</v>
      </c>
      <c r="Y149" s="197">
        <f t="shared" si="47"/>
        <v>4.6899999999999997E-2</v>
      </c>
      <c r="Z149" s="62">
        <f t="shared" si="48"/>
        <v>23.331499999999998</v>
      </c>
      <c r="AA149" s="62">
        <f t="shared" si="49"/>
        <v>23.284599999999998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0"/>
        <v>0237-25</v>
      </c>
      <c r="AE149" s="85" t="str">
        <f t="shared" si="51"/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AF149" s="82" t="str">
        <f t="shared" si="52"/>
        <v>"C:\Program Files (x86)\AstroGrep\AstroGrep.exe" /spath="%USERPROFILE%\AppData\Local\Temp\OnboardLogs" /stypes="app*4046*20170226*"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237-25 --locoid 4046 --swversion DE.1.0.9.0 --startMP 204:469 --initTime 2017-02-25T22:39:39 --startdatetime 2017-02-25T23:00:13 --delay 1 --endMP 204:233315 --enddatetime 2017-02-25T23:37:03 --enforcementcount 1 &gt;&gt;C:\Users\stu\Documents\GitHub\eaglep3-reporting\EC\2017-02-25-refined-times.txt</v>
      </c>
      <c r="AI149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{"issue":{"subject":"","project_id":79,"tracker_id":40,"status_id":1,"priority_id":2,"assigned_to_id":23,"start_date":"2017-02-25","description":"","custom_fields":[{"id":1,"name":"Subdivision","value":"EC"},{"id":4,"name":"Milepost","value":"23.3315"},{"id":17,"name":"Train ID","value":"237-25"},{"id":16,"name":"Locomotive ID","value":"4046"},{"id":130,"name":"Impact","value":""},{"id":150,"name":"Time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6"/>
        <v>start /low /b %USERPROFILE%\Documents\GitHub\eaglep3\Utilities\DownloadLogsFromS3.py --loco 4046 --day 2017-02-25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2017-02-25-UncaughtWiMAX.txt</v>
      </c>
    </row>
    <row r="150" spans="1:91" x14ac:dyDescent="0.25">
      <c r="A150" s="33" t="s">
        <v>430</v>
      </c>
      <c r="B150" s="7">
        <v>4045</v>
      </c>
      <c r="C150" s="21" t="s">
        <v>275</v>
      </c>
      <c r="D150" s="21" t="s">
        <v>317</v>
      </c>
      <c r="E150" s="13">
        <v>42791.990798611114</v>
      </c>
      <c r="F150" s="13">
        <v>42791.997476851851</v>
      </c>
      <c r="G150" s="7">
        <v>1</v>
      </c>
      <c r="H150" s="21" t="s">
        <v>300</v>
      </c>
      <c r="I150" s="13">
        <v>42792.025300925925</v>
      </c>
      <c r="J150" s="7">
        <v>1</v>
      </c>
      <c r="K150" s="98" t="str">
        <f t="shared" si="39"/>
        <v>4045/4046</v>
      </c>
      <c r="L150" s="21" t="str">
        <f>VLOOKUP(A150,'Trips&amp;Operators'!$C$1:$G$99999,5,FALSE)</f>
        <v>BROWN JACOB</v>
      </c>
      <c r="M150" s="6">
        <f t="shared" si="40"/>
        <v>2.7824074073578231E-2</v>
      </c>
      <c r="N150" s="7">
        <f t="shared" si="41"/>
        <v>40.066666665952653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4"/>
        <v>https://d0f6bd738d7f1b3e5a7ca70fe4ff75f0.us-east-1.aws.found.io/app/kibana#/discover/Steve-Slow-Train-Analysis-(2080s-and-2083s)?_g=(refreshInterval:(display:Off,pause:!f,section:0,value:0),time:(from:'2017-02-25T22:46:45-0700',mode:absolute,to:'2017-02-26T01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0" s="197" t="str">
        <f t="shared" si="45"/>
        <v>N</v>
      </c>
      <c r="X150" s="197">
        <f t="shared" si="46"/>
        <v>1</v>
      </c>
      <c r="Y150" s="197">
        <f t="shared" si="47"/>
        <v>23.3004</v>
      </c>
      <c r="Z150" s="62">
        <f t="shared" si="48"/>
        <v>1.67E-2</v>
      </c>
      <c r="AA150" s="62">
        <f t="shared" si="49"/>
        <v>23.2837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0"/>
        <v>0238-25</v>
      </c>
      <c r="AE150" s="85" t="str">
        <f t="shared" si="51"/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AF150" s="82" t="str">
        <f t="shared" si="52"/>
        <v>"C:\Program Files (x86)\AstroGrep\AstroGrep.exe" /spath="%USERPROFILE%\AppData\Local\Temp\OnboardLogs" /stypes="app*4045*20170226*"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238-25 --locoid 4045 --swversion DE.1.0.9.0 --startMP 204:233004 --initTime 2017-02-25T23:46:45 --startdatetime 2017-02-25T23:56:22 --delay 1 --endMP 204:167 --enddatetime 2017-02-26T00:36:26 --enforcementcount 1 &gt;&gt;C:\Users\stu\Documents\GitHub\eaglep3-reporting\EC\2017-02-25-refined-times.txt</v>
      </c>
      <c r="AI150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{"issue":{"subject":"","project_id":79,"tracker_id":40,"status_id":1,"priority_id":2,"assigned_to_id":23,"start_date":"2017-02-26","description":"","custom_fields":[{"id":1,"name":"Subdivision","value":"EC"},{"id":4,"name":"Milepost","value":"0.0167"},{"id":17,"name":"Train ID","value":"238-25"},{"id":16,"name":"Locomotive ID","value":"4045"},{"id":130,"name":"Impact","value":""},{"id":150,"name":"Time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6"/>
        <v>start /low /b %USERPROFILE%\Documents\GitHub\eaglep3\Utilities\DownloadLogsFromS3.py --loco 4045 --day 2017-02-25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</row>
    <row r="151" spans="1:91" x14ac:dyDescent="0.25">
      <c r="A151" s="33" t="s">
        <v>428</v>
      </c>
      <c r="B151" s="7">
        <v>4051</v>
      </c>
      <c r="C151" s="21" t="s">
        <v>275</v>
      </c>
      <c r="D151" s="21" t="s">
        <v>238</v>
      </c>
      <c r="E151" s="13">
        <v>42791.965324074074</v>
      </c>
      <c r="F151" s="13">
        <v>42791.981909722221</v>
      </c>
      <c r="G151" s="7">
        <v>1</v>
      </c>
      <c r="H151" s="21" t="s">
        <v>262</v>
      </c>
      <c r="I151" s="13">
        <v>42792.011608796296</v>
      </c>
      <c r="J151" s="7">
        <v>1</v>
      </c>
      <c r="K151" s="98" t="str">
        <f t="shared" si="39"/>
        <v>4051/4052</v>
      </c>
      <c r="L151" s="21" t="str">
        <f>VLOOKUP(A151,'Trips&amp;Operators'!$C$1:$G$99999,5,FALSE)</f>
        <v>SMITH MICHAEL</v>
      </c>
      <c r="M151" s="6">
        <f t="shared" si="40"/>
        <v>2.9699074075324461E-2</v>
      </c>
      <c r="N151" s="7">
        <f t="shared" si="41"/>
        <v>42.766666668467224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4"/>
        <v>https://d0f6bd738d7f1b3e5a7ca70fe4ff75f0.us-east-1.aws.found.io/app/kibana#/discover/Steve-Slow-Train-Analysis-(2080s-and-2083s)?_g=(refreshInterval:(display:Off,pause:!f,section:0,value:0),time:(from:'2017-02-25T22:10:04-0700',mode:absolute,to:'2017-02-26T01:16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97" t="str">
        <f t="shared" si="45"/>
        <v>N</v>
      </c>
      <c r="X151" s="197">
        <f t="shared" si="46"/>
        <v>1</v>
      </c>
      <c r="Y151" s="197">
        <f t="shared" si="47"/>
        <v>4.5499999999999999E-2</v>
      </c>
      <c r="Z151" s="62">
        <f t="shared" si="48"/>
        <v>23.3306</v>
      </c>
      <c r="AA151" s="62">
        <f t="shared" si="49"/>
        <v>23.2851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0"/>
        <v>0239-25</v>
      </c>
      <c r="AE151" s="85" t="str">
        <f t="shared" si="51"/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AF151" s="82" t="str">
        <f t="shared" si="52"/>
        <v>"C:\Program Files (x86)\AstroGrep\AstroGrep.exe" /spath="%USERPROFILE%\AppData\Local\Temp\OnboardLogs" /stypes="app*4051*20170226*"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239-25 --locoid 4051 --swversion DE.1.0.9.0 --startMP 204:455 --initTime 2017-02-25T23:10:04 --startdatetime 2017-02-25T23:33:57 --delay 1 --endMP 204:233306 --enddatetime 2017-02-26T00:16:43 --enforcementcount 1 &gt;&gt;C:\Users\stu\Documents\GitHub\eaglep3-reporting\EC\2017-02-25-refined-times.txt</v>
      </c>
      <c r="AI151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{"issue":{"subject":"","project_id":79,"tracker_id":40,"status_id":1,"priority_id":2,"assigned_to_id":23,"start_date":"2017-02-26","description":"","custom_fields":[{"id":1,"name":"Subdivision","value":"EC"},{"id":4,"name":"Milepost","value":"23.3306"},{"id":17,"name":"Train ID","value":"239-25"},{"id":16,"name":"Locomotive ID","value":"4051"},{"id":130,"name":"Impact","value":""},{"id":150,"name":"Time of Event (Mountain Time)","value":"00:16:43"},{"id":151,"name":"Denver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6"/>
        <v>start /low /b %USERPROFILE%\Documents\GitHub\eaglep3\Utilities\DownloadLogsFromS3.py --loco 4051 --day 2017-02-25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"%USERPROFILE%\AppData\Local\Temp\OnboardLogs"\RTDC4051\*4051*20170226* | grep -SE "(Enforcement Action)|(\[TIMEOUT)|(CHR.+\|PRM\|1\|D.+(SWITCH|SIGNAL).+UNKNOWN)" - &gt;&gt; 2017-02-25-UncaughtWiMAX.txt</v>
      </c>
    </row>
    <row r="152" spans="1:91" x14ac:dyDescent="0.25">
      <c r="A152" s="33" t="s">
        <v>692</v>
      </c>
      <c r="B152" s="7">
        <v>4052</v>
      </c>
      <c r="C152" s="21" t="s">
        <v>275</v>
      </c>
      <c r="D152" s="21" t="s">
        <v>240</v>
      </c>
      <c r="E152" s="13">
        <v>42792.013136574074</v>
      </c>
      <c r="F152" s="13">
        <v>42792.018275462964</v>
      </c>
      <c r="G152" s="7">
        <v>1</v>
      </c>
      <c r="H152" s="21" t="s">
        <v>693</v>
      </c>
      <c r="I152" s="13">
        <v>42792.045046296298</v>
      </c>
      <c r="J152" s="7">
        <v>1</v>
      </c>
      <c r="K152" s="98" t="str">
        <f t="shared" si="39"/>
        <v>4051/4052</v>
      </c>
      <c r="L152" s="21" t="str">
        <f>VLOOKUP(A152,'Trips&amp;Operators'!$C$1:$G$99999,5,FALSE)</f>
        <v>SMITH MICHAEL</v>
      </c>
      <c r="M152" s="6">
        <f t="shared" si="40"/>
        <v>2.6770833334012423E-2</v>
      </c>
      <c r="N152" s="7">
        <f t="shared" si="41"/>
        <v>38.550000000977889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4"/>
        <v>https://d0f6bd738d7f1b3e5a7ca70fe4ff75f0.us-east-1.aws.found.io/app/kibana#/discover/Steve-Slow-Train-Analysis-(2080s-and-2083s)?_g=(refreshInterval:(display:Off,pause:!f,section:0,value:0),time:(from:'2017-02-25T23:18:55-0700',mode:absolute,to:'2017-02-26T02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2" s="197" t="str">
        <f t="shared" si="45"/>
        <v>N</v>
      </c>
      <c r="X152" s="197">
        <f t="shared" si="46"/>
        <v>1</v>
      </c>
      <c r="Y152" s="197">
        <f t="shared" si="47"/>
        <v>23.299299999999999</v>
      </c>
      <c r="Z152" s="62">
        <f t="shared" si="48"/>
        <v>1.38E-2</v>
      </c>
      <c r="AA152" s="62">
        <f t="shared" si="49"/>
        <v>23.285499999999999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0"/>
        <v>0240-25</v>
      </c>
      <c r="AE152" s="85" t="str">
        <f t="shared" si="51"/>
        <v>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 &amp; aws s3 cp s3://rtdc.mdm.uploadarchive.raw/RTDC4052/ "%USERPROFILE%\AppData\Local\Temp\OnboardLogs"\RTDC4052\2017-02-27 --exclude "*" --recursive --include "*20170227*" &amp; "%USERPROFILE%\Documents\GitHub\mrs-test-scripts\Headless Mode &amp; Sideloading\WalkAndUnGZ.bat" "%USERPROFILE%\AppData\Local\Temp\OnboardLogs"\RTDC4052\2017-02-27</v>
      </c>
      <c r="AF152" s="82" t="str">
        <f t="shared" si="52"/>
        <v>"C:\Program Files (x86)\AstroGrep\AstroGrep.exe" /spath="%USERPROFILE%\AppData\Local\Temp\OnboardLogs" /stypes="app*4052*20170226*"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240-25 --locoid 4052 --swversion DE.1.0.9.0 --startMP 204:232993 --initTime 2017-02-26T00:18:55 --startdatetime 2017-02-26T00:26:19 --delay 1 --endMP 204:138 --enddatetime 2017-02-26T01:04:52 --enforcementcount 1 &gt;&gt;C:\Users\stu\Documents\GitHub\eaglep3-reporting\EC\2017-02-25-refined-times.txt</v>
      </c>
      <c r="AI152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{"issue":{"subject":"","project_id":79,"tracker_id":40,"status_id":1,"priority_id":2,"assigned_to_id":23,"start_date":"2017-02-26","description":"","custom_fields":[{"id":1,"name":"Subdivision","value":"EC"},{"id":4,"name":"Milepost","value":"0.0138"},{"id":17,"name":"Train ID","value":"240-25"},{"id":16,"name":"Locomotive ID","value":"4052"},{"id":130,"name":"Impact","value":""},{"id":150,"name":"Time of Event (Mountain Time)","value":"01:04:52"},{"id":151,"name":"Denver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6"/>
        <v>start /low /b %USERPROFILE%\Documents\GitHub\eaglep3\Utilities\DownloadLogsFromS3.py --loco 4052 --day 2017-02-26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"%USERPROFILE%\AppData\Local\Temp\OnboardLogs"\RTDC4052\*4052*20170226* | grep -SE "(Enforcement Action)|(\[TIMEOUT)|(CHR.+\|PRM\|1\|D.+(SWITCH|SIGNAL).+UNKNOWN)" - &gt;&gt; 2017-02-25-UncaughtWiMAX.txt</v>
      </c>
    </row>
    <row r="153" spans="1:91" x14ac:dyDescent="0.25">
      <c r="A153" s="33" t="s">
        <v>429</v>
      </c>
      <c r="B153" s="7">
        <v>4020</v>
      </c>
      <c r="C153" s="21" t="s">
        <v>275</v>
      </c>
      <c r="D153" s="21" t="s">
        <v>378</v>
      </c>
      <c r="E153" s="13">
        <v>42791.985486111109</v>
      </c>
      <c r="F153" s="13">
        <v>42792.0002662037</v>
      </c>
      <c r="G153" s="7">
        <v>1</v>
      </c>
      <c r="H153" s="21" t="s">
        <v>285</v>
      </c>
      <c r="I153" s="13">
        <v>42792.024861111109</v>
      </c>
      <c r="J153" s="7">
        <v>1</v>
      </c>
      <c r="K153" s="98" t="str">
        <f t="shared" si="39"/>
        <v>4019/4020</v>
      </c>
      <c r="L153" s="21" t="str">
        <f>VLOOKUP(A153,'Trips&amp;Operators'!$C$1:$G$99999,5,FALSE)</f>
        <v>STAMBAUGH JAMES</v>
      </c>
      <c r="M153" s="6">
        <f t="shared" si="40"/>
        <v>2.4594907408754807E-2</v>
      </c>
      <c r="N153" s="7">
        <f t="shared" si="41"/>
        <v>35.416666668606922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4"/>
        <v>https://d0f6bd738d7f1b3e5a7ca70fe4ff75f0.us-east-1.aws.found.io/app/kibana#/discover/Steve-Slow-Train-Analysis-(2080s-and-2083s)?_g=(refreshInterval:(display:Off,pause:!f,section:0,value:0),time:(from:'2017-02-25T22:39:06-0700',mode:absolute,to:'2017-02-26T01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197" t="str">
        <f t="shared" si="45"/>
        <v>N</v>
      </c>
      <c r="X153" s="197">
        <f t="shared" si="46"/>
        <v>1</v>
      </c>
      <c r="Y153" s="197">
        <f t="shared" si="47"/>
        <v>4.6899999999999997E-2</v>
      </c>
      <c r="Z153" s="62">
        <f t="shared" si="48"/>
        <v>23.331399999999999</v>
      </c>
      <c r="AA153" s="62">
        <f t="shared" si="49"/>
        <v>23.284499999999998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0"/>
        <v>0241-25</v>
      </c>
      <c r="AE153" s="85" t="str">
        <f t="shared" si="51"/>
        <v>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 &amp; 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</v>
      </c>
      <c r="AF153" s="82" t="str">
        <f t="shared" si="52"/>
        <v>"C:\Program Files (x86)\AstroGrep\AstroGrep.exe" /spath="%USERPROFILE%\AppData\Local\Temp\OnboardLogs" /stypes="app*4020*20170226*"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241-25 --locoid 4020 --swversion DE.1.0.9.0 --startMP 204:469 --initTime 2017-02-25T23:39:06 --startdatetime 2017-02-26T00:00:23 --delay 1 --endMP 204:233314 --enddatetime 2017-02-26T00:35:48 --enforcementcount 1 &gt;&gt;C:\Users\stu\Documents\GitHub\eaglep3-reporting\EC\2017-02-25-refined-times.txt</v>
      </c>
      <c r="AI153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ID","value":"241-25"},{"id":16,"name":"Locomotive ID","value":"4020"},{"id":130,"name":"Impact","value":""},{"id":150,"name":"Time of Event (Mountain Time)","value":"00:35:48"},{"id":151,"name":"Denver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6"/>
        <v>start /low /b %USERPROFILE%\Documents\GitHub\eaglep3\Utilities\DownloadLogsFromS3.py --loco 4020 --day 2017-02-26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"%USERPROFILE%\AppData\Local\Temp\OnboardLogs"\RTDC4020\*4020*20170226* | grep -SE "(Enforcement Action)|(\[TIMEOUT)|(CHR.+\|PRM\|1\|D.+(SWITCH|SIGNAL).+UNKNOWN)" - &gt;&gt; 2017-02-25-UncaughtWiMAX.txt</v>
      </c>
    </row>
    <row r="154" spans="1:91" x14ac:dyDescent="0.25">
      <c r="A154" s="33" t="s">
        <v>431</v>
      </c>
      <c r="B154" s="7">
        <v>4019</v>
      </c>
      <c r="C154" s="21" t="s">
        <v>275</v>
      </c>
      <c r="D154" s="21" t="s">
        <v>280</v>
      </c>
      <c r="E154" s="13">
        <v>42792.026331018518</v>
      </c>
      <c r="F154" s="13">
        <v>42792.039467592593</v>
      </c>
      <c r="G154" s="7">
        <v>15</v>
      </c>
      <c r="H154" s="21" t="s">
        <v>197</v>
      </c>
      <c r="I154" s="13">
        <v>42792.065659722219</v>
      </c>
      <c r="J154" s="7">
        <v>1</v>
      </c>
      <c r="K154" s="98" t="str">
        <f t="shared" si="39"/>
        <v>4019/4020</v>
      </c>
      <c r="L154" s="21" t="str">
        <f>VLOOKUP(A154,'Trips&amp;Operators'!$C$1:$G$99999,5,FALSE)</f>
        <v>STAMBAUGH JAMES</v>
      </c>
      <c r="M154" s="6">
        <f t="shared" si="40"/>
        <v>2.619212962599704E-2</v>
      </c>
      <c r="N154" s="7">
        <f t="shared" si="41"/>
        <v>37.716666661435738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4"/>
        <v>https://d0f6bd738d7f1b3e5a7ca70fe4ff75f0.us-east-1.aws.found.io/app/kibana#/discover/Steve-Slow-Train-Analysis-(2080s-and-2083s)?_g=(refreshInterval:(display:Off,pause:!f,section:0,value:0),time:(from:'2017-02-25T23:37:55-0700',mode:absolute,to:'2017-02-26T02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97" t="str">
        <f t="shared" si="45"/>
        <v>N</v>
      </c>
      <c r="X154" s="197">
        <f t="shared" si="46"/>
        <v>1</v>
      </c>
      <c r="Y154" s="197">
        <f t="shared" si="47"/>
        <v>23.299399999999999</v>
      </c>
      <c r="Z154" s="62">
        <f t="shared" si="48"/>
        <v>1.6E-2</v>
      </c>
      <c r="AA154" s="62">
        <f t="shared" si="49"/>
        <v>23.2834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0"/>
        <v>0242-25</v>
      </c>
      <c r="AE154" s="85" t="str">
        <f t="shared" si="51"/>
        <v>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 &amp; 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</v>
      </c>
      <c r="AF154" s="82" t="str">
        <f t="shared" si="52"/>
        <v>"C:\Program Files (x86)\AstroGrep\AstroGrep.exe" /spath="%USERPROFILE%\AppData\Local\Temp\OnboardLogs" /stypes="app*4019*20170226*"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242-25 --locoid 4019 --swversion DE.1.0.9.0 --startMP 204:232994 --initTime 2017-02-26T00:37:55 --startdatetime 2017-02-26T00:56:50 --delay 15 --endMP 204:160 --enddatetime 2017-02-26T01:34:33 --enforcementcount 1 &gt;&gt;C:\Users\stu\Documents\GitHub\eaglep3-reporting\EC\2017-02-25-refined-times.txt</v>
      </c>
      <c r="AI154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ID","value":"242-25"},{"id":16,"name":"Locomotive ID","value":"4019"},{"id":130,"name":"Impact","value":""},{"id":150,"name":"Time of Event (Mountain Time)","value":"01:34:33"},{"id":151,"name":"Denver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6"/>
        <v>start /low /b %USERPROFILE%\Documents\GitHub\eaglep3\Utilities\DownloadLogsFromS3.py --loco 4019 --day 2017-02-26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"%USERPROFILE%\AppData\Local\Temp\OnboardLogs"\RTDC4019\*4019*20170226* | grep -SE "(Enforcement Action)|(\[TIMEOUT)|(CHR.+\|PRM\|1\|D.+(SWITCH|SIGNAL).+UNKNOWN)" - &gt;&gt; 2017-02-25-UncaughtWiMAX.txt</v>
      </c>
    </row>
    <row r="155" spans="1:91" x14ac:dyDescent="0.25">
      <c r="A155" s="33" t="s">
        <v>694</v>
      </c>
      <c r="B155" s="7">
        <v>4044</v>
      </c>
      <c r="C155" s="21" t="s">
        <v>275</v>
      </c>
      <c r="D155" s="21" t="s">
        <v>238</v>
      </c>
      <c r="E155" s="13">
        <v>42792.010798611111</v>
      </c>
      <c r="F155" s="13">
        <v>42792.02107638889</v>
      </c>
      <c r="G155" s="7">
        <v>1</v>
      </c>
      <c r="H155" s="21" t="s">
        <v>262</v>
      </c>
      <c r="I155" s="13">
        <v>42792.046631944446</v>
      </c>
      <c r="J155" s="7">
        <v>1</v>
      </c>
      <c r="K155" s="98" t="str">
        <f t="shared" si="39"/>
        <v>4043/4044</v>
      </c>
      <c r="L155" s="21" t="str">
        <f>VLOOKUP(A155,'Trips&amp;Operators'!$C$1:$G$99999,5,FALSE)</f>
        <v>SAFIEF AEIMEN</v>
      </c>
      <c r="M155" s="6">
        <f t="shared" si="40"/>
        <v>2.5555555555911269E-2</v>
      </c>
      <c r="N155" s="7">
        <f t="shared" si="41"/>
        <v>36.800000000512227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4"/>
        <v>https://d0f6bd738d7f1b3e5a7ca70fe4ff75f0.us-east-1.aws.found.io/app/kibana#/discover/Steve-Slow-Train-Analysis-(2080s-and-2083s)?_g=(refreshInterval:(display:Off,pause:!f,section:0,value:0),time:(from:'2017-02-25T23:15:33-0700',mode:absolute,to:'2017-02-26T02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97" t="str">
        <f t="shared" si="45"/>
        <v>N</v>
      </c>
      <c r="X155" s="197">
        <f t="shared" si="46"/>
        <v>1</v>
      </c>
      <c r="Y155" s="197">
        <f t="shared" si="47"/>
        <v>4.5499999999999999E-2</v>
      </c>
      <c r="Z155" s="62">
        <f t="shared" si="48"/>
        <v>23.3306</v>
      </c>
      <c r="AA155" s="62">
        <f t="shared" si="49"/>
        <v>23.2851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0"/>
        <v>0243-25</v>
      </c>
      <c r="AE155" s="85" t="str">
        <f t="shared" si="51"/>
        <v>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 &amp; 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</v>
      </c>
      <c r="AF155" s="82" t="str">
        <f t="shared" si="52"/>
        <v>"C:\Program Files (x86)\AstroGrep\AstroGrep.exe" /spath="%USERPROFILE%\AppData\Local\Temp\OnboardLogs" /stypes="app*4044*20170226*"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243-25 --locoid 4044 --swversion DE.1.0.9.0 --startMP 204:455 --initTime 2017-02-26T00:15:33 --startdatetime 2017-02-26T00:30:21 --delay 1 --endMP 204:233306 --enddatetime 2017-02-26T01:07:09 --enforcementcount 1 &gt;&gt;C:\Users\stu\Documents\GitHub\eaglep3-reporting\EC\2017-02-25-refined-times.txt</v>
      </c>
      <c r="AI155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{"issue":{"subject":"","project_id":79,"tracker_id":40,"status_id":1,"priority_id":2,"assigned_to_id":23,"start_date":"2017-02-26","description":"","custom_fields":[{"id":1,"name":"Subdivision","value":"EC"},{"id":4,"name":"Milepost","value":"23.3306"},{"id":17,"name":"Train ID","value":"243-25"},{"id":16,"name":"Locomotive ID","value":"4044"},{"id":130,"name":"Impact","value":""},{"id":150,"name":"Time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6"/>
        <v>start /low /b %USERPROFILE%\Documents\GitHub\eaglep3\Utilities\DownloadLogsFromS3.py --loco 4044 --day 2017-02-26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"%USERPROFILE%\AppData\Local\Temp\OnboardLogs"\RTDC4044\*4044*20170226* | grep -SE "(Enforcement Action)|(\[TIMEOUT)|(CHR.+\|PRM\|1\|D.+(SWITCH|SIGNAL).+UNKNOWN)" - &gt;&gt; 2017-02-25-UncaughtWiMAX.txt</v>
      </c>
    </row>
    <row r="156" spans="1:91" s="20" customFormat="1" x14ac:dyDescent="0.25">
      <c r="A156" s="33" t="s">
        <v>695</v>
      </c>
      <c r="B156" s="7">
        <v>4043</v>
      </c>
      <c r="C156" s="21" t="s">
        <v>275</v>
      </c>
      <c r="D156" s="21" t="s">
        <v>482</v>
      </c>
      <c r="E156" s="13">
        <v>42792.055011574077</v>
      </c>
      <c r="F156" s="13">
        <v>42792.059942129628</v>
      </c>
      <c r="G156" s="7">
        <v>1</v>
      </c>
      <c r="H156" s="21" t="s">
        <v>199</v>
      </c>
      <c r="I156" s="13">
        <v>42792.087847222225</v>
      </c>
      <c r="J156" s="7">
        <v>1</v>
      </c>
      <c r="K156" s="98" t="str">
        <f t="shared" si="39"/>
        <v>4043/4044</v>
      </c>
      <c r="L156" s="21" t="str">
        <f>VLOOKUP(A156,'Trips&amp;Operators'!$C$1:$G$99999,5,FALSE)</f>
        <v>SAFIEF AEIMEN</v>
      </c>
      <c r="M156" s="6">
        <f t="shared" si="40"/>
        <v>2.7905092596483883E-2</v>
      </c>
      <c r="N156" s="7">
        <f t="shared" si="41"/>
        <v>40.183333338936791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4"/>
        <v>https://d0f6bd738d7f1b3e5a7ca70fe4ff75f0.us-east-1.aws.found.io/app/kibana#/discover/Steve-Slow-Train-Analysis-(2080s-and-2083s)?_g=(refreshInterval:(display:Off,pause:!f,section:0,value:0),time:(from:'2017-02-26T00:19:13-0700',mode:absolute,to:'2017-02-26T03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97" t="str">
        <f t="shared" si="45"/>
        <v>N</v>
      </c>
      <c r="X156" s="197">
        <f t="shared" si="46"/>
        <v>1</v>
      </c>
      <c r="Y156" s="197">
        <f t="shared" si="47"/>
        <v>23.2989</v>
      </c>
      <c r="Z156" s="62">
        <f t="shared" si="48"/>
        <v>1.52E-2</v>
      </c>
      <c r="AA156" s="62">
        <f t="shared" si="49"/>
        <v>23.2837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0"/>
        <v>0244-25</v>
      </c>
      <c r="AE156" s="85" t="str">
        <f t="shared" si="51"/>
        <v>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 &amp; 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</v>
      </c>
      <c r="AF156" s="82" t="str">
        <f t="shared" si="52"/>
        <v>"C:\Program Files (x86)\AstroGrep\AstroGrep.exe" /spath="%USERPROFILE%\AppData\Local\Temp\OnboardLogs" /stypes="app*4043*20170226*"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244-25 --locoid 4043 --swversion DE.1.0.9.0 --startMP 204:232989 --initTime 2017-02-26T01:19:13 --startdatetime 2017-02-26T01:26:19 --delay 1 --endMP 204:152 --enddatetime 2017-02-26T02:06:30 --enforcementcount 1 &gt;&gt;C:\Users\stu\Documents\GitHub\eaglep3-reporting\EC\2017-02-25-refined-times.txt</v>
      </c>
      <c r="AI156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ID","value":"244-25"},{"id":16,"name":"Locomotive ID","value":"4043"},{"id":130,"name":"Impact","value":""},{"id":150,"name":"Time of Event (Mountain Time)","value":"02:06:30"},{"id":151,"name":"Denver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6"/>
        <v>start /low /b %USERPROFILE%\Documents\GitHub\eaglep3\Utilities\DownloadLogsFromS3.py --loco 4043 --day 2017-02-26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"%USERPROFILE%\AppData\Local\Temp\OnboardLogs"\RTDC4043\*4043*20170226* | grep -SE "(Enforcement Action)|(\[TIMEOUT)|(CHR.+\|PRM\|1\|D.+(SWITCH|SIGNAL).+UNKNOWN)" - &gt;&gt; 2017-02-25-UncaughtWiMAX.txt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696</v>
      </c>
      <c r="B157" s="7">
        <v>4046</v>
      </c>
      <c r="C157" s="21" t="s">
        <v>275</v>
      </c>
      <c r="D157" s="21" t="s">
        <v>376</v>
      </c>
      <c r="E157" s="13">
        <v>42792.038900462961</v>
      </c>
      <c r="F157" s="13">
        <v>42792.041828703703</v>
      </c>
      <c r="G157" s="7">
        <v>1</v>
      </c>
      <c r="H157" s="21" t="s">
        <v>697</v>
      </c>
      <c r="I157" s="13">
        <v>42792.067395833335</v>
      </c>
      <c r="J157" s="7">
        <v>1</v>
      </c>
      <c r="K157" s="98" t="str">
        <f t="shared" si="39"/>
        <v>4045/4046</v>
      </c>
      <c r="L157" s="21" t="str">
        <f>VLOOKUP(A157,'Trips&amp;Operators'!$C$1:$G$99999,5,FALSE)</f>
        <v>BROWN JACOB</v>
      </c>
      <c r="M157" s="6">
        <f t="shared" si="40"/>
        <v>2.5567129632690921E-2</v>
      </c>
      <c r="N157" s="7">
        <f t="shared" si="41"/>
        <v>36.816666671074927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4"/>
        <v>https://d0f6bd738d7f1b3e5a7ca70fe4ff75f0.us-east-1.aws.found.io/app/kibana#/discover/Steve-Slow-Train-Analysis-(2080s-and-2083s)?_g=(refreshInterval:(display:Off,pause:!f,section:0,value:0),time:(from:'2017-02-25T23:56:01-0700',mode:absolute,to:'2017-02-26T02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7" s="197" t="str">
        <f t="shared" si="45"/>
        <v>N</v>
      </c>
      <c r="X157" s="197">
        <f t="shared" si="46"/>
        <v>1</v>
      </c>
      <c r="Y157" s="197">
        <f t="shared" si="47"/>
        <v>4.7800000000000002E-2</v>
      </c>
      <c r="Z157" s="62">
        <f t="shared" si="48"/>
        <v>23.3368</v>
      </c>
      <c r="AA157" s="62">
        <f t="shared" si="49"/>
        <v>23.289000000000001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0"/>
        <v>0245-25</v>
      </c>
      <c r="AE157" s="85" t="str">
        <f t="shared" si="51"/>
        <v>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 &amp; 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</v>
      </c>
      <c r="AF157" s="82" t="str">
        <f t="shared" si="52"/>
        <v>"C:\Program Files (x86)\AstroGrep\AstroGrep.exe" /spath="%USERPROFILE%\AppData\Local\Temp\OnboardLogs" /stypes="app*4046*20170226*" /stext=" 08:.+((SYSTEM_STATE.+slice.+state.+changed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6" t="str">
        <f t="shared" si="54"/>
        <v>"%USERPROFILE%\Documents\GitHub\eaglep3\Utilities\RefineRTDCRunTimes.py" --tripid 245-25 --locoid 4046 --swversion DE.1.0.9.0 --startMP 204:478 --initTime 2017-02-26T00:56:01 --startdatetime 2017-02-26T01:00:14 --delay 1 --endMP 204:233368 --enddatetime 2017-02-26T01:37:03 --enforcementcount 1 &gt;&gt;C:\Users\stu\Documents\GitHub\eaglep3-reporting\EC\2017-02-25-refined-times.txt</v>
      </c>
      <c r="AI157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{"issue":{"subject":"","project_id":79,"tracker_id":40,"status_id":1,"priority_id":2,"assigned_to_id":23,"start_date":"2017-02-26","description":"","custom_fields":[{"id":1,"name":"Subdivision","value":"EC"},{"id":4,"name":"Milepost","value":"23.3368"},{"id":17,"name":"Train ID","value":"245-25"},{"id":16,"name":"Locomotive ID","value":"4046"},{"id":130,"name":"Impact","value":""},{"id":150,"name":"Time of Event (Mountain Time)","value":"01:37:03"},{"id":151,"name":"Denver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6"/>
        <v>start /low /b %USERPROFILE%\Documents\GitHub\eaglep3\Utilities\DownloadLogsFromS3.py --loco 4046 --day 2017-02-26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2017-02-25-UncaughtWiMAX.txt</v>
      </c>
    </row>
    <row r="158" spans="1:91" x14ac:dyDescent="0.25">
      <c r="A158" s="33" t="s">
        <v>698</v>
      </c>
      <c r="B158" s="7">
        <v>4026</v>
      </c>
      <c r="C158" s="21" t="s">
        <v>275</v>
      </c>
      <c r="D158" s="21" t="s">
        <v>528</v>
      </c>
      <c r="E158" s="13">
        <v>42791.077303240738</v>
      </c>
      <c r="F158" s="13">
        <v>42791.080868055556</v>
      </c>
      <c r="G158" s="7">
        <v>1</v>
      </c>
      <c r="H158" s="21" t="s">
        <v>693</v>
      </c>
      <c r="I158" s="13">
        <v>42791.108842592592</v>
      </c>
      <c r="J158" s="7">
        <v>1</v>
      </c>
      <c r="K158" s="98" t="str">
        <f t="shared" si="39"/>
        <v>4025/4026</v>
      </c>
      <c r="L158" s="21" t="str">
        <f>VLOOKUP(A158,'Trips&amp;Operators'!$C$1:$G$99999,5,FALSE)</f>
        <v>BROWN JACOB</v>
      </c>
      <c r="M158" s="6">
        <f t="shared" si="40"/>
        <v>2.7974537035333924E-2</v>
      </c>
      <c r="N158" s="7">
        <f t="shared" si="41"/>
        <v>40.283333330880851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4"/>
        <v>https://d0f6bd738d7f1b3e5a7ca70fe4ff75f0.us-east-1.aws.found.io/app/kibana#/discover/Steve-Slow-Train-Analysis-(2080s-and-2083s)?_g=(refreshInterval:(display:Off,pause:!f,section:0,value:0),time:(from:'2017-02-25T00:51:19-0700',mode:absolute,to:'2017-02-25T03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197" t="str">
        <f t="shared" si="45"/>
        <v>N</v>
      </c>
      <c r="X158" s="197">
        <f t="shared" si="46"/>
        <v>1</v>
      </c>
      <c r="Y158" s="197">
        <f t="shared" si="47"/>
        <v>23.300999999999998</v>
      </c>
      <c r="Z158" s="62">
        <f t="shared" si="48"/>
        <v>1.38E-2</v>
      </c>
      <c r="AA158" s="62">
        <f t="shared" si="49"/>
        <v>23.287199999999999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0"/>
        <v>0246-24</v>
      </c>
      <c r="AE158" s="85" t="str">
        <f t="shared" si="51"/>
        <v>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 &amp; 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</v>
      </c>
      <c r="AF158" s="82" t="str">
        <f t="shared" si="52"/>
        <v>"C:\Program Files (x86)\AstroGrep\AstroGrep.exe" /spath="%USERPROFILE%\AppData\Local\Temp\OnboardLogs" /stypes="app*4026*20170225*" /stext=" 09:.+((SYSTEM_STATE.+slice.+state.+changed )|(ment ac)|(multiple cpu faults)|(system.+state.+changed )|(\[timeout)|(PRM\|1\|D)|(kpr)|(kdp)|(\|lc)|(penalty))" /e /r /s</v>
      </c>
      <c r="AG158" s="1" t="str">
        <f t="shared" si="53"/>
        <v>EC</v>
      </c>
      <c r="AH158" s="86" t="str">
        <f t="shared" si="54"/>
        <v>"%USERPROFILE%\Documents\GitHub\eaglep3\Utilities\RefineRTDCRunTimes.py" --tripid 246-24 --locoid 4026 --swversion DE.1.0.9.0 --startMP 204:233010 --initTime 2017-02-25T01:51:19 --startdatetime 2017-02-25T01:56:27 --delay 1 --endMP 204:138 --enddatetime 2017-02-25T02:36:44 --enforcementcount 1 &gt;&gt;C:\Users\stu\Documents\GitHub\eaglep3-reporting\EC\2017-02-25-refined-times.txt</v>
      </c>
      <c r="AI158" s="108" t="str">
        <f t="shared" si="55"/>
        <v>echo {"issue":{"subject":"","project_id":79,"tracker_id":40,"status_id":1,"priority_id":2,"assigned_to_id":23,"start_date":"2017-02-25","description":"","custom_fields":[{"id":1,"name":"Subdivision","value":"EC"},{"id":4,"name":"Milepost","value":"0.0138"},{"id":17,"name":"Train ID","value":"246-24"},{"id":16,"name":"Locomotive ID","value":"4026"},{"id":130,"name":"Impact","value":""},{"id":150,"name":"Time of Event (Mountain Time)","value":"02:36:44"},{"id":151,"name":"Denver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6"/>
        <v>start /low /b %USERPROFILE%\Documents\GitHub\eaglep3\Utilities\DownloadLogsFromS3.py --loco 4026 --day 2017-02-25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2017-02-25-UncaughtWiMAX.txt</v>
      </c>
    </row>
    <row r="159" spans="1:91" x14ac:dyDescent="0.25">
      <c r="A159" s="33" t="s">
        <v>699</v>
      </c>
      <c r="B159" s="7">
        <v>4045</v>
      </c>
      <c r="C159" s="21" t="s">
        <v>275</v>
      </c>
      <c r="D159" s="21" t="s">
        <v>700</v>
      </c>
      <c r="E159" s="13">
        <v>42792.090960648151</v>
      </c>
      <c r="F159" s="13">
        <v>42792.091770833336</v>
      </c>
      <c r="G159" s="7">
        <v>0</v>
      </c>
      <c r="H159" s="21" t="s">
        <v>701</v>
      </c>
      <c r="I159" s="13">
        <v>42792.108124999999</v>
      </c>
      <c r="J159" s="7">
        <v>1</v>
      </c>
      <c r="K159" s="98" t="str">
        <f t="shared" si="39"/>
        <v>4045/4046</v>
      </c>
      <c r="L159" s="21" t="str">
        <f>VLOOKUP(A159,'Trips&amp;Operators'!$C$1:$G$99999,5,FALSE)</f>
        <v>BROWN JACOB</v>
      </c>
      <c r="M159" s="6">
        <f t="shared" si="40"/>
        <v>1.6354166662495118E-2</v>
      </c>
      <c r="N159" s="7"/>
      <c r="O159" s="7"/>
      <c r="P159" s="7">
        <f t="shared" si="41"/>
        <v>23.549999993992969</v>
      </c>
      <c r="Q159" s="22"/>
      <c r="R159" s="22" t="s">
        <v>811</v>
      </c>
      <c r="S159" s="31">
        <f t="shared" si="42"/>
        <v>1</v>
      </c>
      <c r="T159" s="46" t="str">
        <f t="shared" si="4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44"/>
        <v>https://d0f6bd738d7f1b3e5a7ca70fe4ff75f0.us-east-1.aws.found.io/app/kibana#/discover/Steve-Slow-Train-Analysis-(2080s-and-2083s)?_g=(refreshInterval:(display:Off,pause:!f,section:0,value:0),time:(from:'2017-02-26T01:10:59-0700',mode:absolute,to:'2017-02-26T03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 t="shared" si="45"/>
        <v>Y</v>
      </c>
      <c r="X159" s="197">
        <f t="shared" si="46"/>
        <v>0</v>
      </c>
      <c r="Y159" s="197">
        <f t="shared" si="47"/>
        <v>12.7851</v>
      </c>
      <c r="Z159" s="62">
        <f t="shared" si="48"/>
        <v>0.91559999999999997</v>
      </c>
      <c r="AA159" s="62">
        <f t="shared" si="49"/>
        <v>11.8695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0"/>
        <v>0246-25</v>
      </c>
      <c r="AE159" s="85" t="str">
        <f t="shared" si="51"/>
        <v>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 &amp; 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</v>
      </c>
      <c r="AF159" s="82" t="str">
        <f t="shared" si="52"/>
        <v>"C:\Program Files (x86)\AstroGrep\AstroGrep.exe" /spath="%USERPROFILE%\AppData\Local\Temp\OnboardLogs" /stypes="app*4045*20170226*" /stext=" 09:.+((SYSTEM_STATE.+slice.+state.+changed )|(ment ac)|(multiple cpu faults)|(system.+state.+changed )|(\[timeout)|(PRM\|1\|D)|(kpr)|(kdp)|(\|lc)|(penalty))" /e /r /s</v>
      </c>
      <c r="AG159" s="1" t="str">
        <f t="shared" si="53"/>
        <v>EC</v>
      </c>
      <c r="AH159" s="86" t="str">
        <f t="shared" si="54"/>
        <v>"%USERPROFILE%\Documents\GitHub\eaglep3\Utilities\RefineRTDCRunTimes.py" --tripid 246-25 --locoid 4045 --swversion DE.1.0.9.0 --startMP 204:127851 --initTime 2017-02-26T02:10:59 --startdatetime 2017-02-26T02:12:09 --delay 0 --endMP 204:9156 --enddatetime 2017-02-26T02:35:42 --enforcementcount 1 &gt;&gt;C:\Users\stu\Documents\GitHub\eaglep3-reporting\EC\2017-02-25-refined-times.txt</v>
      </c>
      <c r="AI159" s="108" t="str">
        <f t="shared" si="55"/>
        <v>echo {"issue":{"subject":"Wi-MAX data drop","project_id":79,"tracker_id":40,"status_id":1,"priority_id":2,"assigned_to_id":23,"start_date":"2017-02-26","description":"","custom_fields":[{"id":1,"name":"Subdivision","value":"EC"},{"id":4,"name":"Milepost","value":"0.9156"},{"id":17,"name":"Train ID","value":"246-25"},{"id":16,"name":"Locomotive ID","value":"4045"},{"id":130,"name":"Impact","value":""},{"id":150,"name":"Time of Event (Mountain Time)","value":"02:35:42"},{"id":151,"name":"Denver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6"/>
        <v>start /low /b %USERPROFILE%\Documents\GitHub\eaglep3\Utilities\DownloadLogsFromS3.py --loco 4045 --day 2017-02-26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</row>
    <row r="160" spans="1:91" s="20" customFormat="1" x14ac:dyDescent="0.25">
      <c r="A160" s="33" t="s">
        <v>699</v>
      </c>
      <c r="B160" s="7">
        <v>4045</v>
      </c>
      <c r="C160" s="21" t="s">
        <v>275</v>
      </c>
      <c r="D160" s="21" t="s">
        <v>301</v>
      </c>
      <c r="E160" s="13">
        <v>42792.078298611108</v>
      </c>
      <c r="F160" s="13">
        <v>42792.091770833336</v>
      </c>
      <c r="G160" s="7">
        <v>0</v>
      </c>
      <c r="H160" s="21" t="s">
        <v>702</v>
      </c>
      <c r="I160" s="13">
        <v>42792.108124999999</v>
      </c>
      <c r="J160" s="7">
        <v>1</v>
      </c>
      <c r="K160" s="98" t="str">
        <f t="shared" si="39"/>
        <v>4045/4046</v>
      </c>
      <c r="L160" s="21" t="str">
        <f>VLOOKUP(A160,'Trips&amp;Operators'!$C$1:$G$99999,5,FALSE)</f>
        <v>BROWN JACOB</v>
      </c>
      <c r="M160" s="6">
        <f t="shared" si="40"/>
        <v>1.6354166662495118E-2</v>
      </c>
      <c r="N160" s="7"/>
      <c r="O160" s="7"/>
      <c r="P160" s="7"/>
      <c r="Q160" s="22"/>
      <c r="R160" s="22"/>
      <c r="S160" s="31">
        <f t="shared" si="42"/>
        <v>0</v>
      </c>
      <c r="T160" s="46" t="str">
        <f t="shared" si="43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96" t="str">
        <f t="shared" si="44"/>
        <v>https://d0f6bd738d7f1b3e5a7ca70fe4ff75f0.us-east-1.aws.found.io/app/kibana#/discover/Steve-Slow-Train-Analysis-(2080s-and-2083s)?_g=(refreshInterval:(display:Off,pause:!f,section:0,value:0),time:(from:'2017-02-26T00:52:45-0700',mode:absolute,to:'2017-02-26T03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97" t="str">
        <f t="shared" si="45"/>
        <v>Y</v>
      </c>
      <c r="X160" s="197">
        <f t="shared" si="46"/>
        <v>0</v>
      </c>
      <c r="Y160" s="197">
        <f t="shared" si="47"/>
        <v>23.300599999999999</v>
      </c>
      <c r="Z160" s="62">
        <f t="shared" si="48"/>
        <v>16.637499999999999</v>
      </c>
      <c r="AA160" s="62">
        <f t="shared" si="49"/>
        <v>6.6631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0"/>
        <v>0246-25</v>
      </c>
      <c r="AE160" s="85" t="str">
        <f t="shared" si="51"/>
        <v>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 &amp; 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</v>
      </c>
      <c r="AF160" s="82" t="str">
        <f t="shared" si="52"/>
        <v>"C:\Program Files (x86)\AstroGrep\AstroGrep.exe" /spath="%USERPROFILE%\AppData\Local\Temp\OnboardLogs" /stypes="app*4045*20170226*" /stext=" 09:.+((SYSTEM_STATE.+slice.+state.+changed )|(ment ac)|(multiple cpu faults)|(system.+state.+changed )|(\[timeout)|(PRM\|1\|D)|(kpr)|(kdp)|(\|lc)|(penalty))" /e /r /s</v>
      </c>
      <c r="AG160" s="1" t="str">
        <f t="shared" si="53"/>
        <v>EC</v>
      </c>
      <c r="AH160" s="86" t="str">
        <f t="shared" si="54"/>
        <v>"%USERPROFILE%\Documents\GitHub\eaglep3\Utilities\RefineRTDCRunTimes.py" --tripid 246-25 --locoid 4045 --swversion DE.1.0.9.0 --startMP 204:233006 --initTime 2017-02-26T01:52:45 --startdatetime 2017-02-26T02:12:09 --delay 0 --endMP 204:166375 --enddatetime 2017-02-26T02:35:42 --enforcementcount 1 &gt;&gt;C:\Users\stu\Documents\GitHub\eaglep3-reporting\EC\2017-02-25-refined-times.txt</v>
      </c>
      <c r="AI160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{"issue":{"subject":"","project_id":79,"tracker_id":40,"status_id":1,"priority_id":2,"assigned_to_id":23,"start_date":"2017-02-26","description":"","custom_fields":[{"id":1,"name":"Subdivision","value":"EC"},{"id":4,"name":"Milepost","value":"16.6375"},{"id":17,"name":"Train ID","value":"246-25"},{"id":16,"name":"Locomotive ID","value":"4045"},{"id":130,"name":"Impact","value":""},{"id":150,"name":"Time of Event (Mountain Time)","value":"02:35:42"},{"id":151,"name":"Denver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6"/>
        <v>start /low /b %USERPROFILE%\Documents\GitHub\eaglep3\Utilities\DownloadLogsFromS3.py --loco 4045 --day 2017-02-26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"%USERPROFILE%\AppData\Local\Temp\OnboardLogs"\RTDC4045\*4045*20170226* | grep -SE "(Enforcement Action)|(\[TIMEOUT)|(CHR.+\|PRM\|1\|D.+(SWITCH|SIGNAL).+UNKNOWN)" - &gt;&gt; 2017-02-25-UncaughtWiMAX.txt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551</v>
      </c>
      <c r="B161" s="7">
        <v>4004</v>
      </c>
      <c r="C161" s="21" t="s">
        <v>275</v>
      </c>
      <c r="D161" s="21" t="s">
        <v>552</v>
      </c>
      <c r="E161" s="13">
        <v>42791.230706018519</v>
      </c>
      <c r="F161" s="13">
        <v>42791.23678240741</v>
      </c>
      <c r="G161" s="7">
        <v>1</v>
      </c>
      <c r="H161" s="21" t="s">
        <v>395</v>
      </c>
      <c r="I161" s="13">
        <v>42791.246655092589</v>
      </c>
      <c r="J161" s="7">
        <v>1</v>
      </c>
      <c r="K161" s="98" t="str">
        <f t="shared" si="39"/>
        <v>4003/4004</v>
      </c>
      <c r="L161" s="21" t="str">
        <f>VLOOKUP(A161,'Trips&amp;Operators'!$C$1:$G$99999,5,FALSE)</f>
        <v>SHOOK JOHN</v>
      </c>
      <c r="M161" s="6">
        <f t="shared" si="40"/>
        <v>9.8726851792889647E-3</v>
      </c>
      <c r="N161" s="7">
        <f t="shared" si="41"/>
        <v>14.216666658176109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4"/>
        <v>https://d0f6bd738d7f1b3e5a7ca70fe4ff75f0.us-east-1.aws.found.io/app/kibana#/discover/Steve-Slow-Train-Analysis-(2080s-and-2083s)?_g=(refreshInterval:(display:Off,pause:!f,section:0,value:0),time:(from:'2017-02-25T04:32:13-0700',mode:absolute,to:'2017-02-25T06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1" s="197" t="str">
        <f t="shared" si="45"/>
        <v>N</v>
      </c>
      <c r="X161" s="197">
        <f t="shared" si="46"/>
        <v>1554</v>
      </c>
      <c r="Y161" s="197">
        <f t="shared" si="47"/>
        <v>5.8677999999999999</v>
      </c>
      <c r="Z161" s="62">
        <f t="shared" si="48"/>
        <v>7.1199999999999999E-2</v>
      </c>
      <c r="AA161" s="62">
        <f t="shared" si="49"/>
        <v>5.7965999999999998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0"/>
        <v>1800-25</v>
      </c>
      <c r="AE161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61" s="82" t="str">
        <f t="shared" si="52"/>
        <v>"C:\Program Files (x86)\AstroGrep\AstroGrep.exe" /spath="%USERPROFILE%\AppData\Local\Temp\OnboardLogs" /stypes="app*4004*20170225*" /stext=" 12:.+((SYSTEM_STATE.+slice.+state.+changed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1800-25 --locoid 4004 --swversion DE.1.0.9.0 --startMP 300:58678 --initTime 2017-02-25T05:32:13 --startdatetime 2017-02-25T05:40:58 --delay 1 --endMP 204:712 --enddatetime 2017-02-25T05:55:11 --enforcementcount 1 &gt;&gt;C:\Users\stu\Documents\GitHub\eaglep3-reporting\EC\2017-02-25-refined-times.txt</v>
      </c>
      <c r="AI161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{"issue":{"subject":"","project_id":79,"tracker_id":40,"status_id":1,"priority_id":2,"assigned_to_id":23,"start_date":"2017-02-25","description":"","custom_fields":[{"id":1,"name":"Subdivision","value":"NW"},{"id":4,"name":"Milepost","value":"0.0712"},{"id":17,"name":"Train ID","value":"1800-25"},{"id":16,"name":"Locomotive ID","value":"4004"},{"id":130,"name":"Impact","value":""},{"id":150,"name":"Time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6"/>
        <v>start /low /b %USERPROFILE%\Documents\GitHub\eaglep3\Utilities\DownloadLogsFromS3.py --loco 4004 --day 2017-02-25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62" spans="1:91" x14ac:dyDescent="0.25">
      <c r="A162" s="33" t="s">
        <v>553</v>
      </c>
      <c r="B162" s="7">
        <v>4003</v>
      </c>
      <c r="C162" s="21" t="s">
        <v>275</v>
      </c>
      <c r="D162" s="21" t="s">
        <v>554</v>
      </c>
      <c r="E162" s="13">
        <v>42791.248969907407</v>
      </c>
      <c r="F162" s="13">
        <v>42791.264814814815</v>
      </c>
      <c r="G162" s="7">
        <v>0</v>
      </c>
      <c r="H162" s="21" t="s">
        <v>555</v>
      </c>
      <c r="I162" s="13">
        <v>42791.274212962962</v>
      </c>
      <c r="J162" s="7">
        <v>1</v>
      </c>
      <c r="K162" s="98" t="str">
        <f t="shared" si="39"/>
        <v>4003/4004</v>
      </c>
      <c r="L162" s="21" t="str">
        <f>VLOOKUP(A162,'Trips&amp;Operators'!$C$1:$G$99999,5,FALSE)</f>
        <v>SHOOK JOHN</v>
      </c>
      <c r="M162" s="6">
        <f t="shared" si="40"/>
        <v>9.3981481477385387E-3</v>
      </c>
      <c r="N162" s="7">
        <f t="shared" si="41"/>
        <v>13.533333332743496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4"/>
        <v>https://d0f6bd738d7f1b3e5a7ca70fe4ff75f0.us-east-1.aws.found.io/app/kibana#/discover/Steve-Slow-Train-Analysis-(2080s-and-2083s)?_g=(refreshInterval:(display:Off,pause:!f,section:0,value:0),time:(from:'2017-02-25T04:58:31-0700',mode:absolute,to:'2017-02-25T07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2" s="197" t="str">
        <f t="shared" si="45"/>
        <v>N</v>
      </c>
      <c r="X162" s="197">
        <f t="shared" si="46"/>
        <v>1</v>
      </c>
      <c r="Y162" s="197">
        <f t="shared" si="47"/>
        <v>0.1018</v>
      </c>
      <c r="Z162" s="62">
        <f t="shared" si="48"/>
        <v>5.8987999999999996</v>
      </c>
      <c r="AA162" s="62">
        <f t="shared" si="49"/>
        <v>5.7969999999999997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0"/>
        <v>1801-25</v>
      </c>
      <c r="AE162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62" s="82" t="str">
        <f t="shared" si="52"/>
        <v>"C:\Program Files (x86)\AstroGrep\AstroGrep.exe" /spath="%USERPROFILE%\AppData\Local\Temp\OnboardLogs" /stypes="app*4003*20170225*" /stext=" 13:.+((SYSTEM_STATE.+slice.+state.+changed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1801-25 --locoid 4003 --swversion DE.1.0.9.0 --startMP 204:1018 --initTime 2017-02-25T05:58:31 --startdatetime 2017-02-25T06:21:20 --delay 0 --endMP 300:58988 --enddatetime 2017-02-25T06:34:52 --enforcementcount 1 &gt;&gt;C:\Users\stu\Documents\GitHub\eaglep3-reporting\EC\2017-02-25-refined-times.txt</v>
      </c>
      <c r="AI162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{"issue":{"subject":"","project_id":79,"tracker_id":40,"status_id":1,"priority_id":2,"assigned_to_id":23,"start_date":"2017-02-25","description":"","custom_fields":[{"id":1,"name":"Subdivision","value":"NW"},{"id":4,"name":"Milepost","value":"5.8988"},{"id":17,"name":"Train ID","value":"1801-25"},{"id":16,"name":"Locomotive ID","value":"4003"},{"id":130,"name":"Impact","value":""},{"id":150,"name":"Time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6"/>
        <v>start /low /b %USERPROFILE%\Documents\GitHub\eaglep3\Utilities\DownloadLogsFromS3.py --loco 4003 --day 2017-02-25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163" spans="1:91" x14ac:dyDescent="0.25">
      <c r="A163" s="33" t="s">
        <v>556</v>
      </c>
      <c r="B163" s="7">
        <v>4004</v>
      </c>
      <c r="C163" s="21" t="s">
        <v>275</v>
      </c>
      <c r="D163" s="21" t="s">
        <v>557</v>
      </c>
      <c r="E163" s="13">
        <v>42791.27611111111</v>
      </c>
      <c r="F163" s="13">
        <v>42791.278391203705</v>
      </c>
      <c r="G163" s="7">
        <v>1</v>
      </c>
      <c r="H163" s="21" t="s">
        <v>558</v>
      </c>
      <c r="I163" s="13">
        <v>42791.288287037038</v>
      </c>
      <c r="J163" s="7">
        <v>1</v>
      </c>
      <c r="K163" s="98" t="str">
        <f t="shared" si="39"/>
        <v>4003/4004</v>
      </c>
      <c r="L163" s="21" t="str">
        <f>VLOOKUP(A163,'Trips&amp;Operators'!$C$1:$G$99999,5,FALSE)</f>
        <v>SHOOK JOHN</v>
      </c>
      <c r="M163" s="6">
        <f t="shared" si="40"/>
        <v>9.8958333328482695E-3</v>
      </c>
      <c r="N163" s="7">
        <f t="shared" si="41"/>
        <v>14.249999999301508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4"/>
        <v>https://d0f6bd738d7f1b3e5a7ca70fe4ff75f0.us-east-1.aws.found.io/app/kibana#/discover/Steve-Slow-Train-Analysis-(2080s-and-2083s)?_g=(refreshInterval:(display:Off,pause:!f,section:0,value:0),time:(from:'2017-02-25T05:37:36-0700',mode:absolute,to:'2017-02-25T07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3" s="197" t="str">
        <f t="shared" si="45"/>
        <v>N</v>
      </c>
      <c r="X163" s="197">
        <f t="shared" si="46"/>
        <v>1</v>
      </c>
      <c r="Y163" s="197">
        <f t="shared" si="47"/>
        <v>5.8677000000000001</v>
      </c>
      <c r="Z163" s="62">
        <f t="shared" si="48"/>
        <v>7.3999999999999996E-2</v>
      </c>
      <c r="AA163" s="62">
        <f t="shared" si="49"/>
        <v>5.7937000000000003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0"/>
        <v>1802-25</v>
      </c>
      <c r="AE163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63" s="82" t="str">
        <f t="shared" si="52"/>
        <v>"C:\Program Files (x86)\AstroGrep\AstroGrep.exe" /spath="%USERPROFILE%\AppData\Local\Temp\OnboardLogs" /stypes="app*4004*20170225*" /stext=" 13:.+((SYSTEM_STATE.+slice.+state.+changed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1802-25 --locoid 4004 --swversion DE.1.0.9.0 --startMP 300:58677 --initTime 2017-02-25T06:37:36 --startdatetime 2017-02-25T06:40:53 --delay 1 --endMP 204:740 --enddatetime 2017-02-25T06:55:08 --enforcementcount 1 &gt;&gt;C:\Users\stu\Documents\GitHub\eaglep3-reporting\EC\2017-02-25-refined-times.txt</v>
      </c>
      <c r="AI163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{"issue":{"subject":"","project_id":79,"tracker_id":40,"status_id":1,"priority_id":2,"assigned_to_id":23,"start_date":"2017-02-25","description":"","custom_fields":[{"id":1,"name":"Subdivision","value":"NW"},{"id":4,"name":"Milepost","value":"0.074"},{"id":17,"name":"Train ID","value":"1802-25"},{"id":16,"name":"Locomotive ID","value":"4004"},{"id":130,"name":"Impact","value":""},{"id":150,"name":"Time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6"/>
        <v>start /low /b %USERPROFILE%\Documents\GitHub\eaglep3\Utilities\DownloadLogsFromS3.py --loco 4004 --day 2017-02-25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64" spans="1:91" s="20" customFormat="1" x14ac:dyDescent="0.25">
      <c r="A164" s="33" t="s">
        <v>559</v>
      </c>
      <c r="B164" s="7">
        <v>4003</v>
      </c>
      <c r="C164" s="21" t="s">
        <v>275</v>
      </c>
      <c r="D164" s="21" t="s">
        <v>560</v>
      </c>
      <c r="E164" s="13">
        <v>42791.290358796294</v>
      </c>
      <c r="F164" s="13">
        <v>42791.306423611109</v>
      </c>
      <c r="G164" s="7">
        <v>1</v>
      </c>
      <c r="H164" s="21" t="s">
        <v>561</v>
      </c>
      <c r="I164" s="13">
        <v>42791.315821759257</v>
      </c>
      <c r="J164" s="7">
        <v>1</v>
      </c>
      <c r="K164" s="98" t="str">
        <f t="shared" si="39"/>
        <v>4003/4004</v>
      </c>
      <c r="L164" s="21" t="str">
        <f>VLOOKUP(A164,'Trips&amp;Operators'!$C$1:$G$99999,5,FALSE)</f>
        <v>SHOOK JOHN</v>
      </c>
      <c r="M164" s="6">
        <f t="shared" si="40"/>
        <v>9.3981481477385387E-3</v>
      </c>
      <c r="N164" s="7">
        <f t="shared" si="41"/>
        <v>13.533333332743496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4"/>
        <v>https://d0f6bd738d7f1b3e5a7ca70fe4ff75f0.us-east-1.aws.found.io/app/kibana#/discover/Steve-Slow-Train-Analysis-(2080s-and-2083s)?_g=(refreshInterval:(display:Off,pause:!f,section:0,value:0),time:(from:'2017-02-25T05:58:07-0700',mode:absolute,to:'2017-02-25T08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197" t="str">
        <f t="shared" si="45"/>
        <v>N</v>
      </c>
      <c r="X164" s="197">
        <f t="shared" si="46"/>
        <v>1</v>
      </c>
      <c r="Y164" s="197">
        <f t="shared" si="47"/>
        <v>0.10299999999999999</v>
      </c>
      <c r="Z164" s="62">
        <f t="shared" si="48"/>
        <v>5.8993000000000002</v>
      </c>
      <c r="AA164" s="62">
        <f t="shared" si="49"/>
        <v>5.7963000000000005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0"/>
        <v>1803-25</v>
      </c>
      <c r="AE164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64" s="82" t="str">
        <f t="shared" si="52"/>
        <v>"C:\Program Files (x86)\AstroGrep\AstroGrep.exe" /spath="%USERPROFILE%\AppData\Local\Temp\OnboardLogs" /stypes="app*4003*20170225*"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1803-25 --locoid 4003 --swversion DE.1.0.9.0 --startMP 204:1030 --initTime 2017-02-25T06:58:07 --startdatetime 2017-02-25T07:21:15 --delay 1 --endMP 300:58993 --enddatetime 2017-02-25T07:34:47 --enforcementcount 1 &gt;&gt;C:\Users\stu\Documents\GitHub\eaglep3-reporting\EC\2017-02-25-refined-times.txt</v>
      </c>
      <c r="AI164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{"issue":{"subject":"","project_id":79,"tracker_id":40,"status_id":1,"priority_id":2,"assigned_to_id":23,"start_date":"2017-02-25","description":"","custom_fields":[{"id":1,"name":"Subdivision","value":"NW"},{"id":4,"name":"Milepost","value":"5.8993"},{"id":17,"name":"Train ID","value":"1803-25"},{"id":16,"name":"Locomotive ID","value":"4003"},{"id":130,"name":"Impact","value":""},{"id":150,"name":"Time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6"/>
        <v>start /low /b %USERPROFILE%\Documents\GitHub\eaglep3\Utilities\DownloadLogsFromS3.py --loco 4003 --day 2017-02-25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562</v>
      </c>
      <c r="B165" s="7">
        <v>4004</v>
      </c>
      <c r="C165" s="21" t="s">
        <v>275</v>
      </c>
      <c r="D165" s="21" t="s">
        <v>385</v>
      </c>
      <c r="E165" s="13">
        <v>42791.317349537036</v>
      </c>
      <c r="F165" s="13">
        <v>42791.3200462963</v>
      </c>
      <c r="G165" s="7">
        <v>1</v>
      </c>
      <c r="H165" s="21" t="s">
        <v>558</v>
      </c>
      <c r="I165" s="13">
        <v>42791.329814814817</v>
      </c>
      <c r="J165" s="7">
        <v>1</v>
      </c>
      <c r="K165" s="98" t="str">
        <f t="shared" si="39"/>
        <v>4003/4004</v>
      </c>
      <c r="L165" s="21" t="str">
        <f>VLOOKUP(A165,'Trips&amp;Operators'!$C$1:$G$99999,5,FALSE)</f>
        <v>SHOOK JOHN</v>
      </c>
      <c r="M165" s="6">
        <f t="shared" si="40"/>
        <v>9.7685185173759237E-3</v>
      </c>
      <c r="N165" s="7">
        <f t="shared" si="41"/>
        <v>14.06666666502133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4"/>
        <v>https://d0f6bd738d7f1b3e5a7ca70fe4ff75f0.us-east-1.aws.found.io/app/kibana#/discover/Steve-Slow-Train-Analysis-(2080s-and-2083s)?_g=(refreshInterval:(display:Off,pause:!f,section:0,value:0),time:(from:'2017-02-25T06:36:59-0700',mode:absolute,to:'2017-02-25T08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5" s="197" t="str">
        <f t="shared" si="45"/>
        <v>N</v>
      </c>
      <c r="X165" s="197">
        <f t="shared" si="46"/>
        <v>1</v>
      </c>
      <c r="Y165" s="197">
        <f t="shared" si="47"/>
        <v>5.8681000000000001</v>
      </c>
      <c r="Z165" s="62">
        <f t="shared" si="48"/>
        <v>7.3999999999999996E-2</v>
      </c>
      <c r="AA165" s="62">
        <f t="shared" si="49"/>
        <v>5.7941000000000003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0"/>
        <v>1804-25</v>
      </c>
      <c r="AE165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65" s="82" t="str">
        <f t="shared" si="52"/>
        <v>"C:\Program Files (x86)\AstroGrep\AstroGrep.exe" /spath="%USERPROFILE%\AppData\Local\Temp\OnboardLogs" /stypes="app*4004*20170225*"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1804-25 --locoid 4004 --swversion DE.1.0.9.0 --startMP 300:58681 --initTime 2017-02-25T07:36:59 --startdatetime 2017-02-25T07:40:52 --delay 1 --endMP 204:740 --enddatetime 2017-02-25T07:54:56 --enforcementcount 1 &gt;&gt;C:\Users\stu\Documents\GitHub\eaglep3-reporting\EC\2017-02-25-refined-times.txt</v>
      </c>
      <c r="AI165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{"issue":{"subject":"","project_id":79,"tracker_id":40,"status_id":1,"priority_id":2,"assigned_to_id":23,"start_date":"2017-02-25","description":"","custom_fields":[{"id":1,"name":"Subdivision","value":"NW"},{"id":4,"name":"Milepost","value":"0.074"},{"id":17,"name":"Train ID","value":"1804-25"},{"id":16,"name":"Locomotive ID","value":"4004"},{"id":130,"name":"Impact","value":""},{"id":150,"name":"Time of Event (Mountain Time)","value":"07:54:56"},{"id":151,"name":"Denver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6"/>
        <v>start /low /b %USERPROFILE%\Documents\GitHub\eaglep3\Utilities\DownloadLogsFromS3.py --loco 4004 --day 2017-02-25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66" spans="1:91" s="20" customFormat="1" x14ac:dyDescent="0.25">
      <c r="A166" s="33" t="s">
        <v>563</v>
      </c>
      <c r="B166" s="7">
        <v>4003</v>
      </c>
      <c r="C166" s="21" t="s">
        <v>275</v>
      </c>
      <c r="D166" s="21" t="s">
        <v>564</v>
      </c>
      <c r="E166" s="13">
        <v>42791.332025462965</v>
      </c>
      <c r="F166" s="13">
        <v>42791.348090277781</v>
      </c>
      <c r="G166" s="7">
        <v>1</v>
      </c>
      <c r="H166" s="21" t="s">
        <v>555</v>
      </c>
      <c r="I166" s="13">
        <v>42791.357557870368</v>
      </c>
      <c r="J166" s="7">
        <v>1</v>
      </c>
      <c r="K166" s="98" t="str">
        <f t="shared" si="39"/>
        <v>4003/4004</v>
      </c>
      <c r="L166" s="21" t="str">
        <f>VLOOKUP(A166,'Trips&amp;Operators'!$C$1:$G$99999,5,FALSE)</f>
        <v>SHOOK JOHN</v>
      </c>
      <c r="M166" s="6">
        <f t="shared" si="40"/>
        <v>9.4675925865885802E-3</v>
      </c>
      <c r="N166" s="7">
        <f t="shared" si="41"/>
        <v>13.633333324687555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4"/>
        <v>https://d0f6bd738d7f1b3e5a7ca70fe4ff75f0.us-east-1.aws.found.io/app/kibana#/discover/Steve-Slow-Train-Analysis-(2080s-and-2083s)?_g=(refreshInterval:(display:Off,pause:!f,section:0,value:0),time:(from:'2017-02-25T06:58:07-0700',mode:absolute,to:'2017-02-25T09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6" s="197" t="str">
        <f t="shared" si="45"/>
        <v>N</v>
      </c>
      <c r="X166" s="197">
        <f t="shared" si="46"/>
        <v>1</v>
      </c>
      <c r="Y166" s="197">
        <f t="shared" si="47"/>
        <v>0.1014</v>
      </c>
      <c r="Z166" s="62">
        <f t="shared" si="48"/>
        <v>5.8987999999999996</v>
      </c>
      <c r="AA166" s="62">
        <f t="shared" si="49"/>
        <v>5.7973999999999997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0"/>
        <v>1805-25</v>
      </c>
      <c r="AE166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66" s="82" t="str">
        <f t="shared" si="52"/>
        <v>"C:\Program Files (x86)\AstroGrep\AstroGrep.exe" /spath="%USERPROFILE%\AppData\Local\Temp\OnboardLogs" /stypes="app*4003*20170225*"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1805-25 --locoid 4003 --swversion DE.1.0.9.0 --startMP 204:1014 --initTime 2017-02-25T07:58:07 --startdatetime 2017-02-25T08:21:15 --delay 1 --endMP 300:58988 --enddatetime 2017-02-25T08:34:53 --enforcementcount 1 &gt;&gt;C:\Users\stu\Documents\GitHub\eaglep3-reporting\EC\2017-02-25-refined-times.txt</v>
      </c>
      <c r="AI166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{"issue":{"subject":"","project_id":79,"tracker_id":40,"status_id":1,"priority_id":2,"assigned_to_id":23,"start_date":"2017-02-25","description":"","custom_fields":[{"id":1,"name":"Subdivision","value":"NW"},{"id":4,"name":"Milepost","value":"5.8988"},{"id":17,"name":"Train ID","value":"1805-25"},{"id":16,"name":"Locomotive ID","value":"4003"},{"id":130,"name":"Impact","value":""},{"id":150,"name":"Time of Event (Mountain Time)","value":"08:34:53"},{"id":151,"name":"Denver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6"/>
        <v>start /low /b %USERPROFILE%\Documents\GitHub\eaglep3\Utilities\DownloadLogsFromS3.py --loco 4003 --day 2017-02-25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565</v>
      </c>
      <c r="B167" s="7">
        <v>4004</v>
      </c>
      <c r="C167" s="21" t="s">
        <v>275</v>
      </c>
      <c r="D167" s="21" t="s">
        <v>566</v>
      </c>
      <c r="E167" s="13">
        <v>42791.360231481478</v>
      </c>
      <c r="F167" s="13">
        <v>42791.36173611111</v>
      </c>
      <c r="G167" s="7">
        <v>1</v>
      </c>
      <c r="H167" s="21" t="s">
        <v>567</v>
      </c>
      <c r="I167" s="13">
        <v>42791.371493055558</v>
      </c>
      <c r="J167" s="7">
        <v>1</v>
      </c>
      <c r="K167" s="98" t="str">
        <f t="shared" si="39"/>
        <v>4003/4004</v>
      </c>
      <c r="L167" s="21" t="str">
        <f>VLOOKUP(A167,'Trips&amp;Operators'!$C$1:$G$99999,5,FALSE)</f>
        <v>SHOOK JOHN</v>
      </c>
      <c r="M167" s="6">
        <f t="shared" si="40"/>
        <v>9.7569444478722289E-3</v>
      </c>
      <c r="N167" s="7">
        <f t="shared" si="41"/>
        <v>14.05000000493601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4"/>
        <v>https://d0f6bd738d7f1b3e5a7ca70fe4ff75f0.us-east-1.aws.found.io/app/kibana#/discover/Steve-Slow-Train-Analysis-(2080s-and-2083s)?_g=(refreshInterval:(display:Off,pause:!f,section:0,value:0),time:(from:'2017-02-25T07:38:44-0700',mode:absolute,to:'2017-02-25T09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7" s="197" t="str">
        <f t="shared" si="45"/>
        <v>N</v>
      </c>
      <c r="X167" s="197">
        <f t="shared" si="46"/>
        <v>1</v>
      </c>
      <c r="Y167" s="197">
        <f t="shared" si="47"/>
        <v>5.867</v>
      </c>
      <c r="Z167" s="62">
        <f t="shared" si="48"/>
        <v>7.4999999999999997E-2</v>
      </c>
      <c r="AA167" s="62">
        <f t="shared" si="49"/>
        <v>5.7919999999999998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0"/>
        <v>1806-25</v>
      </c>
      <c r="AE167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67" s="82" t="str">
        <f t="shared" si="52"/>
        <v>"C:\Program Files (x86)\AstroGrep\AstroGrep.exe" /spath="%USERPROFILE%\AppData\Local\Temp\OnboardLogs" /stypes="app*4004*20170225*"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1806-25 --locoid 4004 --swversion DE.1.0.9.0 --startMP 300:58670 --initTime 2017-02-25T08:38:44 --startdatetime 2017-02-25T08:40:54 --delay 1 --endMP 204:750 --enddatetime 2017-02-25T08:54:57 --enforcementcount 1 &gt;&gt;C:\Users\stu\Documents\GitHub\eaglep3-reporting\EC\2017-02-25-refined-times.txt</v>
      </c>
      <c r="AI167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{"issue":{"subject":"","project_id":79,"tracker_id":40,"status_id":1,"priority_id":2,"assigned_to_id":23,"start_date":"2017-02-25","description":"","custom_fields":[{"id":1,"name":"Subdivision","value":"NW"},{"id":4,"name":"Milepost","value":"0.075"},{"id":17,"name":"Train ID","value":"1806-25"},{"id":16,"name":"Locomotive ID","value":"4004"},{"id":130,"name":"Impact","value":""},{"id":150,"name":"Time of Event (Mountain Time)","value":"08:54:57"},{"id":151,"name":"Denver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6"/>
        <v>start /low /b %USERPROFILE%\Documents\GitHub\eaglep3\Utilities\DownloadLogsFromS3.py --loco 4004 --day 2017-02-25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68" spans="1:91" s="20" customFormat="1" x14ac:dyDescent="0.25">
      <c r="A168" s="33" t="s">
        <v>568</v>
      </c>
      <c r="B168" s="7">
        <v>4003</v>
      </c>
      <c r="C168" s="21" t="s">
        <v>275</v>
      </c>
      <c r="D168" s="21" t="s">
        <v>569</v>
      </c>
      <c r="E168" s="13">
        <v>42791.374166666668</v>
      </c>
      <c r="F168" s="13">
        <v>42791.404131944444</v>
      </c>
      <c r="G168" s="7">
        <v>1</v>
      </c>
      <c r="H168" s="21" t="s">
        <v>570</v>
      </c>
      <c r="I168" s="13">
        <v>42791.41337962963</v>
      </c>
      <c r="J168" s="7">
        <v>1</v>
      </c>
      <c r="K168" s="98" t="str">
        <f t="shared" si="39"/>
        <v>4003/4004</v>
      </c>
      <c r="L168" s="21" t="str">
        <f>VLOOKUP(A168,'Trips&amp;Operators'!$C$1:$G$99999,5,FALSE)</f>
        <v>SHOOK JOHN</v>
      </c>
      <c r="M168" s="6">
        <f t="shared" si="40"/>
        <v>9.2476851859828457E-3</v>
      </c>
      <c r="N168" s="7">
        <f t="shared" si="41"/>
        <v>13.316666667815298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4"/>
        <v>https://d0f6bd738d7f1b3e5a7ca70fe4ff75f0.us-east-1.aws.found.io/app/kibana#/discover/Steve-Slow-Train-Analysis-(2080s-and-2083s)?_g=(refreshInterval:(display:Off,pause:!f,section:0,value:0),time:(from:'2017-02-25T07:58:48-0700',mode:absolute,to:'2017-02-25T10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8" s="197" t="str">
        <f t="shared" si="45"/>
        <v>N</v>
      </c>
      <c r="X168" s="197">
        <f t="shared" si="46"/>
        <v>1</v>
      </c>
      <c r="Y168" s="197">
        <f t="shared" si="47"/>
        <v>0.10199999999999999</v>
      </c>
      <c r="Z168" s="62">
        <f t="shared" si="48"/>
        <v>5.8986000000000001</v>
      </c>
      <c r="AA168" s="62">
        <f t="shared" si="49"/>
        <v>5.7965999999999998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0"/>
        <v>1807-25</v>
      </c>
      <c r="AE168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68" s="82" t="str">
        <f t="shared" si="52"/>
        <v>"C:\Program Files (x86)\AstroGrep\AstroGrep.exe" /spath="%USERPROFILE%\AppData\Local\Temp\OnboardLogs" /stypes="app*4003*20170225*" /stext=" 16:.+((SYSTEM_STATE.+slice.+state.+changed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1807-25 --locoid 4003 --swversion DE.1.0.9.0 --startMP 204:1020 --initTime 2017-02-25T08:58:48 --startdatetime 2017-02-25T09:41:57 --delay 1 --endMP 300:58986 --enddatetime 2017-02-25T09:55:16 --enforcementcount 1 &gt;&gt;C:\Users\stu\Documents\GitHub\eaglep3-reporting\EC\2017-02-25-refined-times.txt</v>
      </c>
      <c r="AI168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{"issue":{"subject":"","project_id":79,"tracker_id":40,"status_id":1,"priority_id":2,"assigned_to_id":23,"start_date":"2017-02-25","description":"","custom_fields":[{"id":1,"name":"Subdivision","value":"NW"},{"id":4,"name":"Milepost","value":"5.8986"},{"id":17,"name":"Train ID","value":"1807-25"},{"id":16,"name":"Locomotive ID","value":"4003"},{"id":130,"name":"Impact","value":""},{"id":150,"name":"Time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6"/>
        <v>start /low /b %USERPROFILE%\Documents\GitHub\eaglep3\Utilities\DownloadLogsFromS3.py --loco 4003 --day 2017-02-25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571</v>
      </c>
      <c r="B169" s="7">
        <v>4004</v>
      </c>
      <c r="C169" s="21" t="s">
        <v>275</v>
      </c>
      <c r="D169" s="21" t="s">
        <v>572</v>
      </c>
      <c r="E169" s="13">
        <v>42791.402789351851</v>
      </c>
      <c r="F169" s="13">
        <v>42791.404131944444</v>
      </c>
      <c r="G169" s="7">
        <v>1</v>
      </c>
      <c r="H169" s="21" t="s">
        <v>388</v>
      </c>
      <c r="I169" s="13">
        <v>42791.41337962963</v>
      </c>
      <c r="J169" s="7">
        <v>1</v>
      </c>
      <c r="K169" s="98" t="str">
        <f t="shared" si="39"/>
        <v>4003/4004</v>
      </c>
      <c r="L169" s="21" t="str">
        <f>VLOOKUP(A169,'Trips&amp;Operators'!$C$1:$G$99999,5,FALSE)</f>
        <v>SHOOK JOHN</v>
      </c>
      <c r="M169" s="6">
        <f t="shared" si="40"/>
        <v>9.2476851859828457E-3</v>
      </c>
      <c r="N169" s="7">
        <f t="shared" si="41"/>
        <v>13.316666667815298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4"/>
        <v>https://d0f6bd738d7f1b3e5a7ca70fe4ff75f0.us-east-1.aws.found.io/app/kibana#/discover/Steve-Slow-Train-Analysis-(2080s-and-2083s)?_g=(refreshInterval:(display:Off,pause:!f,section:0,value:0),time:(from:'2017-02-25T08:40:01-0700',mode:absolute,to:'2017-02-25T10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9" s="197" t="str">
        <f t="shared" si="45"/>
        <v>N</v>
      </c>
      <c r="X169" s="197">
        <f t="shared" si="46"/>
        <v>1</v>
      </c>
      <c r="Y169" s="197">
        <f t="shared" si="47"/>
        <v>5.8672000000000004</v>
      </c>
      <c r="Z169" s="62">
        <f t="shared" si="48"/>
        <v>7.2900000000000006E-2</v>
      </c>
      <c r="AA169" s="62">
        <f t="shared" si="49"/>
        <v>5.7943000000000007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0"/>
        <v>1808-25</v>
      </c>
      <c r="AE169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69" s="82" t="str">
        <f t="shared" si="52"/>
        <v>"C:\Program Files (x86)\AstroGrep\AstroGrep.exe" /spath="%USERPROFILE%\AppData\Local\Temp\OnboardLogs" /stypes="app*4004*20170225*" /stext=" 16:.+((SYSTEM_STATE.+slice.+state.+changed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1808-25 --locoid 4004 --swversion DE.1.0.9.0 --startMP 300:58672 --initTime 2017-02-25T09:40:01 --startdatetime 2017-02-25T09:41:57 --delay 1 --endMP 204:729 --enddatetime 2017-02-25T09:55:16 --enforcementcount 1 &gt;&gt;C:\Users\stu\Documents\GitHub\eaglep3-reporting\EC\2017-02-25-refined-times.txt</v>
      </c>
      <c r="AI169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{"issue":{"subject":"","project_id":79,"tracker_id":40,"status_id":1,"priority_id":2,"assigned_to_id":23,"start_date":"2017-02-25","description":"","custom_fields":[{"id":1,"name":"Subdivision","value":"NW"},{"id":4,"name":"Milepost","value":"0.0729"},{"id":17,"name":"Train ID","value":"1808-25"},{"id":16,"name":"Locomotive ID","value":"4004"},{"id":130,"name":"Impact","value":""},{"id":150,"name":"Time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6"/>
        <v>start /low /b %USERPROFILE%\Documents\GitHub\eaglep3\Utilities\DownloadLogsFromS3.py --loco 4004 --day 2017-02-25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70" spans="1:91" s="20" customFormat="1" x14ac:dyDescent="0.25">
      <c r="A170" s="33" t="s">
        <v>573</v>
      </c>
      <c r="B170" s="7">
        <v>4003</v>
      </c>
      <c r="C170" s="21" t="s">
        <v>275</v>
      </c>
      <c r="D170" s="21" t="s">
        <v>574</v>
      </c>
      <c r="E170" s="13">
        <v>42791.414849537039</v>
      </c>
      <c r="F170" s="13">
        <v>42791.43141203704</v>
      </c>
      <c r="G170" s="7">
        <v>1</v>
      </c>
      <c r="H170" s="21" t="s">
        <v>575</v>
      </c>
      <c r="I170" s="13">
        <v>42791.440520833334</v>
      </c>
      <c r="J170" s="7">
        <v>1</v>
      </c>
      <c r="K170" s="98" t="str">
        <f t="shared" si="39"/>
        <v>4003/4004</v>
      </c>
      <c r="L170" s="21" t="str">
        <f>VLOOKUP(A170,'Trips&amp;Operators'!$C$1:$G$99999,5,FALSE)</f>
        <v>SHOOK JOHN</v>
      </c>
      <c r="M170" s="6">
        <f t="shared" si="40"/>
        <v>9.1087962937308475E-3</v>
      </c>
      <c r="N170" s="7">
        <f t="shared" si="41"/>
        <v>13.11666666297242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4"/>
        <v>https://d0f6bd738d7f1b3e5a7ca70fe4ff75f0.us-east-1.aws.found.io/app/kibana#/discover/Steve-Slow-Train-Analysis-(2080s-and-2083s)?_g=(refreshInterval:(display:Off,pause:!f,section:0,value:0),time:(from:'2017-02-25T08:57:23-0700',mode:absolute,to:'2017-02-25T11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0" s="197" t="str">
        <f t="shared" si="45"/>
        <v>N</v>
      </c>
      <c r="X170" s="197">
        <f t="shared" si="46"/>
        <v>1</v>
      </c>
      <c r="Y170" s="197">
        <f t="shared" si="47"/>
        <v>0.1011</v>
      </c>
      <c r="Z170" s="62">
        <f t="shared" si="48"/>
        <v>5.8983999999999996</v>
      </c>
      <c r="AA170" s="62">
        <f t="shared" si="49"/>
        <v>5.7972999999999999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0"/>
        <v>1809-25</v>
      </c>
      <c r="AE170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70" s="82" t="str">
        <f t="shared" si="52"/>
        <v>"C:\Program Files (x86)\AstroGrep\AstroGrep.exe" /spath="%USERPROFILE%\AppData\Local\Temp\OnboardLogs" /stypes="app*4003*20170225*" /stext=" 17:.+((SYSTEM_STATE.+slice.+state.+changed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1809-25 --locoid 4003 --swversion DE.1.0.9.0 --startMP 204:1011 --initTime 2017-02-25T09:57:23 --startdatetime 2017-02-25T10:21:14 --delay 1 --endMP 300:58984 --enddatetime 2017-02-25T10:34:21 --enforcementcount 1 &gt;&gt;C:\Users\stu\Documents\GitHub\eaglep3-reporting\EC\2017-02-25-refined-times.txt</v>
      </c>
      <c r="AI170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{"issue":{"subject":"","project_id":79,"tracker_id":40,"status_id":1,"priority_id":2,"assigned_to_id":23,"start_date":"2017-02-25","description":"","custom_fields":[{"id":1,"name":"Subdivision","value":"NW"},{"id":4,"name":"Milepost","value":"5.8984"},{"id":17,"name":"Train ID","value":"1809-25"},{"id":16,"name":"Locomotive ID","value":"4003"},{"id":130,"name":"Impact","value":""},{"id":150,"name":"Time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6"/>
        <v>start /low /b %USERPROFILE%\Documents\GitHub\eaglep3\Utilities\DownloadLogsFromS3.py --loco 4003 --day 2017-02-25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578</v>
      </c>
      <c r="B171" s="7">
        <v>4004</v>
      </c>
      <c r="C171" s="21" t="s">
        <v>275</v>
      </c>
      <c r="D171" s="21" t="s">
        <v>579</v>
      </c>
      <c r="E171" s="13">
        <v>42791.442430555559</v>
      </c>
      <c r="F171" s="13">
        <v>42791.445034722223</v>
      </c>
      <c r="G171" s="7">
        <v>1</v>
      </c>
      <c r="H171" s="21" t="s">
        <v>386</v>
      </c>
      <c r="I171" s="13">
        <v>42791.454826388886</v>
      </c>
      <c r="J171" s="7">
        <v>1</v>
      </c>
      <c r="K171" s="98" t="str">
        <f t="shared" si="39"/>
        <v>4003/4004</v>
      </c>
      <c r="L171" s="21" t="str">
        <f>VLOOKUP(A171,'Trips&amp;Operators'!$C$1:$G$99999,5,FALSE)</f>
        <v>SHOOK JOHN</v>
      </c>
      <c r="M171" s="6">
        <f t="shared" si="40"/>
        <v>9.7916666636592709E-3</v>
      </c>
      <c r="N171" s="7">
        <f t="shared" si="41"/>
        <v>14.09999999566935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4"/>
        <v>https://d0f6bd738d7f1b3e5a7ca70fe4ff75f0.us-east-1.aws.found.io/app/kibana#/discover/Steve-Slow-Train-Analysis-(2080s-and-2083s)?_g=(refreshInterval:(display:Off,pause:!f,section:0,value:0),time:(from:'2017-02-25T09:37:06-0700',mode:absolute,to:'2017-02-25T11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1" s="197" t="str">
        <f t="shared" si="45"/>
        <v>N</v>
      </c>
      <c r="X171" s="197">
        <f t="shared" si="46"/>
        <v>1</v>
      </c>
      <c r="Y171" s="197">
        <f t="shared" si="47"/>
        <v>5.8667999999999996</v>
      </c>
      <c r="Z171" s="62">
        <f t="shared" si="48"/>
        <v>7.3800000000000004E-2</v>
      </c>
      <c r="AA171" s="62">
        <f t="shared" si="49"/>
        <v>5.7929999999999993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0"/>
        <v>1810-25</v>
      </c>
      <c r="AE171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71" s="82" t="str">
        <f t="shared" si="52"/>
        <v>"C:\Program Files (x86)\AstroGrep\AstroGrep.exe" /spath="%USERPROFILE%\AppData\Local\Temp\OnboardLogs" /stypes="app*4004*20170225*" /stext=" 17:.+((SYSTEM_STATE.+slice.+state.+changed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1810-25 --locoid 4004 --swversion DE.1.0.9.0 --startMP 300:58668 --initTime 2017-02-25T10:37:06 --startdatetime 2017-02-25T10:40:51 --delay 1 --endMP 204:738 --enddatetime 2017-02-25T10:54:57 --enforcementcount 1 &gt;&gt;C:\Users\stu\Documents\GitHub\eaglep3-reporting\EC\2017-02-25-refined-times.txt</v>
      </c>
      <c r="AI171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{"issue":{"subject":"","project_id":79,"tracker_id":40,"status_id":1,"priority_id":2,"assigned_to_id":23,"start_date":"2017-02-25","description":"","custom_fields":[{"id":1,"name":"Subdivision","value":"NW"},{"id":4,"name":"Milepost","value":"0.0738"},{"id":17,"name":"Train ID","value":"1810-25"},{"id":16,"name":"Locomotive ID","value":"4004"},{"id":130,"name":"Impact","value":""},{"id":150,"name":"Time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6"/>
        <v>start /low /b %USERPROFILE%\Documents\GitHub\eaglep3\Utilities\DownloadLogsFromS3.py --loco 4004 --day 2017-02-25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72" spans="1:91" x14ac:dyDescent="0.25">
      <c r="A172" s="33" t="s">
        <v>580</v>
      </c>
      <c r="B172" s="7">
        <v>4003</v>
      </c>
      <c r="C172" s="21" t="s">
        <v>275</v>
      </c>
      <c r="D172" s="21" t="s">
        <v>581</v>
      </c>
      <c r="E172" s="13">
        <v>42791.456400462965</v>
      </c>
      <c r="F172" s="13">
        <v>42791.473078703704</v>
      </c>
      <c r="G172" s="7">
        <v>1</v>
      </c>
      <c r="H172" s="21" t="s">
        <v>555</v>
      </c>
      <c r="I172" s="13">
        <v>42791.482361111113</v>
      </c>
      <c r="J172" s="7">
        <v>1</v>
      </c>
      <c r="K172" s="98" t="str">
        <f t="shared" si="39"/>
        <v>4003/4004</v>
      </c>
      <c r="L172" s="21" t="str">
        <f>VLOOKUP(A172,'Trips&amp;Operators'!$C$1:$G$99999,5,FALSE)</f>
        <v>SHOOK JOHN</v>
      </c>
      <c r="M172" s="6">
        <f t="shared" si="40"/>
        <v>9.2824074090458453E-3</v>
      </c>
      <c r="N172" s="7">
        <f t="shared" si="41"/>
        <v>13.366666669026017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4"/>
        <v>https://d0f6bd738d7f1b3e5a7ca70fe4ff75f0.us-east-1.aws.found.io/app/kibana#/discover/Steve-Slow-Train-Analysis-(2080s-and-2083s)?_g=(refreshInterval:(display:Off,pause:!f,section:0,value:0),time:(from:'2017-02-25T09:57:13-0700',mode:absolute,to:'2017-02-25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2" s="197" t="str">
        <f t="shared" si="45"/>
        <v>N</v>
      </c>
      <c r="X172" s="197">
        <f t="shared" si="46"/>
        <v>1</v>
      </c>
      <c r="Y172" s="197">
        <f t="shared" si="47"/>
        <v>0.10249999999999999</v>
      </c>
      <c r="Z172" s="62">
        <f t="shared" si="48"/>
        <v>5.8987999999999996</v>
      </c>
      <c r="AA172" s="62">
        <f t="shared" si="49"/>
        <v>5.7962999999999996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0"/>
        <v>1811-25</v>
      </c>
      <c r="AE172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72" s="82" t="str">
        <f t="shared" si="52"/>
        <v>"C:\Program Files (x86)\AstroGrep\AstroGrep.exe" /spath="%USERPROFILE%\AppData\Local\Temp\OnboardLogs" /stypes="app*4003*20170225*" /stext=" 18:.+((SYSTEM_STATE.+slice.+state.+changed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1811-25 --locoid 4003 --swversion DE.1.0.9.0 --startMP 204:1025 --initTime 2017-02-25T10:57:13 --startdatetime 2017-02-25T11:21:14 --delay 1 --endMP 300:58988 --enddatetime 2017-02-25T11:34:36 --enforcementcount 1 &gt;&gt;C:\Users\stu\Documents\GitHub\eaglep3-reporting\EC\2017-02-25-refined-times.txt</v>
      </c>
      <c r="AI172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{"issue":{"subject":"","project_id":79,"tracker_id":40,"status_id":1,"priority_id":2,"assigned_to_id":23,"start_date":"2017-02-25","description":"","custom_fields":[{"id":1,"name":"Subdivision","value":"NW"},{"id":4,"name":"Milepost","value":"5.8988"},{"id":17,"name":"Train ID","value":"1811-25"},{"id":16,"name":"Locomotive ID","value":"4003"},{"id":130,"name":"Impact","value":""},{"id":150,"name":"Time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6"/>
        <v>start /low /b %USERPROFILE%\Documents\GitHub\eaglep3\Utilities\DownloadLogsFromS3.py --loco 4003 --day 2017-02-25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173" spans="1:91" x14ac:dyDescent="0.25">
      <c r="A173" s="33" t="s">
        <v>582</v>
      </c>
      <c r="B173" s="7">
        <v>4004</v>
      </c>
      <c r="C173" s="21" t="s">
        <v>275</v>
      </c>
      <c r="D173" s="21" t="s">
        <v>583</v>
      </c>
      <c r="E173" s="13">
        <v>42791.48400462963</v>
      </c>
      <c r="F173" s="13">
        <v>42791.486689814818</v>
      </c>
      <c r="G173" s="7">
        <v>1</v>
      </c>
      <c r="H173" s="21" t="s">
        <v>584</v>
      </c>
      <c r="I173" s="13">
        <v>42791.496469907404</v>
      </c>
      <c r="J173" s="7">
        <v>1</v>
      </c>
      <c r="K173" s="98" t="str">
        <f t="shared" si="39"/>
        <v>4003/4004</v>
      </c>
      <c r="L173" s="21" t="str">
        <f>VLOOKUP(A173,'Trips&amp;Operators'!$C$1:$G$99999,5,FALSE)</f>
        <v>SHOOK JOHN</v>
      </c>
      <c r="M173" s="6">
        <f t="shared" si="40"/>
        <v>9.7800925868796185E-3</v>
      </c>
      <c r="N173" s="7">
        <f t="shared" si="41"/>
        <v>14.083333325106651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4"/>
        <v>https://d0f6bd738d7f1b3e5a7ca70fe4ff75f0.us-east-1.aws.found.io/app/kibana#/discover/Steve-Slow-Train-Analysis-(2080s-and-2083s)?_g=(refreshInterval:(display:Off,pause:!f,section:0,value:0),time:(from:'2017-02-25T10:36:58-0700',mode:absolute,to:'2017-02-25T12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197" t="str">
        <f t="shared" si="45"/>
        <v>N</v>
      </c>
      <c r="X173" s="197">
        <f t="shared" si="46"/>
        <v>1</v>
      </c>
      <c r="Y173" s="197">
        <f t="shared" si="47"/>
        <v>5.8673000000000002</v>
      </c>
      <c r="Z173" s="62">
        <f t="shared" si="48"/>
        <v>7.4700000000000003E-2</v>
      </c>
      <c r="AA173" s="62">
        <f t="shared" si="49"/>
        <v>5.7926000000000002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0"/>
        <v>1812-25</v>
      </c>
      <c r="AE173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73" s="82" t="str">
        <f t="shared" si="52"/>
        <v>"C:\Program Files (x86)\AstroGrep\AstroGrep.exe" /spath="%USERPROFILE%\AppData\Local\Temp\OnboardLogs" /stypes="app*4004*20170225*" /stext=" 18:.+((SYSTEM_STATE.+slice.+state.+changed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1812-25 --locoid 4004 --swversion DE.1.0.9.0 --startMP 300:58673 --initTime 2017-02-25T11:36:58 --startdatetime 2017-02-25T11:40:50 --delay 1 --endMP 204:747 --enddatetime 2017-02-25T11:54:55 --enforcementcount 1 &gt;&gt;C:\Users\stu\Documents\GitHub\eaglep3-reporting\EC\2017-02-25-refined-times.txt</v>
      </c>
      <c r="AI173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{"issue":{"subject":"","project_id":79,"tracker_id":40,"status_id":1,"priority_id":2,"assigned_to_id":23,"start_date":"2017-02-25","description":"","custom_fields":[{"id":1,"name":"Subdivision","value":"NW"},{"id":4,"name":"Milepost","value":"0.0747"},{"id":17,"name":"Train ID","value":"1812-25"},{"id":16,"name":"Locomotive ID","value":"4004"},{"id":130,"name":"Impact","value":""},{"id":150,"name":"Time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6"/>
        <v>start /low /b %USERPROFILE%\Documents\GitHub\eaglep3\Utilities\DownloadLogsFromS3.py --loco 4004 --day 2017-02-25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74" spans="1:91" s="20" customFormat="1" x14ac:dyDescent="0.25">
      <c r="A174" s="33" t="s">
        <v>408</v>
      </c>
      <c r="B174" s="7">
        <v>4003</v>
      </c>
      <c r="C174" s="21" t="s">
        <v>275</v>
      </c>
      <c r="D174" s="21" t="s">
        <v>569</v>
      </c>
      <c r="E174" s="13">
        <v>42791.497974537036</v>
      </c>
      <c r="F174" s="13">
        <v>42791.514733796299</v>
      </c>
      <c r="G174" s="7">
        <v>1</v>
      </c>
      <c r="H174" s="21" t="s">
        <v>392</v>
      </c>
      <c r="I174" s="13">
        <v>42791.524050925924</v>
      </c>
      <c r="J174" s="7">
        <v>1</v>
      </c>
      <c r="K174" s="98" t="str">
        <f t="shared" si="39"/>
        <v>4003/4004</v>
      </c>
      <c r="L174" s="21" t="str">
        <f>VLOOKUP(A174,'Trips&amp;Operators'!$C$1:$G$99999,5,FALSE)</f>
        <v>SHOOK JOHN</v>
      </c>
      <c r="M174" s="6">
        <f t="shared" si="40"/>
        <v>9.3171296248328872E-3</v>
      </c>
      <c r="N174" s="7">
        <f t="shared" si="41"/>
        <v>13.416666659759358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4"/>
        <v>https://d0f6bd738d7f1b3e5a7ca70fe4ff75f0.us-east-1.aws.found.io/app/kibana#/discover/Steve-Slow-Train-Analysis-(2080s-and-2083s)?_g=(refreshInterval:(display:Off,pause:!f,section:0,value:0),time:(from:'2017-02-25T10:57:05-0700',mode:absolute,to:'2017-02-25T13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197" t="str">
        <f t="shared" si="45"/>
        <v>N</v>
      </c>
      <c r="X174" s="197">
        <f t="shared" si="46"/>
        <v>1</v>
      </c>
      <c r="Y174" s="197">
        <f t="shared" si="47"/>
        <v>0.10199999999999999</v>
      </c>
      <c r="Z174" s="62">
        <f t="shared" si="48"/>
        <v>5.8968999999999996</v>
      </c>
      <c r="AA174" s="62">
        <f t="shared" si="49"/>
        <v>5.7948999999999993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0"/>
        <v>1813-25</v>
      </c>
      <c r="AE174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74" s="82" t="str">
        <f t="shared" si="52"/>
        <v>"C:\Program Files (x86)\AstroGrep\AstroGrep.exe" /spath="%USERPROFILE%\AppData\Local\Temp\OnboardLogs" /stypes="app*4003*20170225*" /stext=" 19:.+((SYSTEM_STATE.+slice.+state.+changed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1813-25 --locoid 4003 --swversion DE.1.0.9.0 --startMP 204:1020 --initTime 2017-02-25T11:57:05 --startdatetime 2017-02-25T12:21:13 --delay 1 --endMP 300:58969 --enddatetime 2017-02-25T12:34:38 --enforcementcount 1 &gt;&gt;C:\Users\stu\Documents\GitHub\eaglep3-reporting\EC\2017-02-25-refined-times.txt</v>
      </c>
      <c r="AI174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{"issue":{"subject":"","project_id":79,"tracker_id":40,"status_id":1,"priority_id":2,"assigned_to_id":23,"start_date":"2017-02-25","description":"","custom_fields":[{"id":1,"name":"Subdivision","value":"NW"},{"id":4,"name":"Milepost","value":"5.8969"},{"id":17,"name":"Train ID","value":"1813-25"},{"id":16,"name":"Locomotive ID","value":"4003"},{"id":130,"name":"Impact","value":""},{"id":150,"name":"Time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6"/>
        <v>start /low /b %USERPROFILE%\Documents\GitHub\eaglep3\Utilities\DownloadLogsFromS3.py --loco 4003 --day 2017-02-25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585</v>
      </c>
      <c r="B175" s="7">
        <v>4004</v>
      </c>
      <c r="C175" s="21" t="s">
        <v>275</v>
      </c>
      <c r="D175" s="21" t="s">
        <v>586</v>
      </c>
      <c r="E175" s="13">
        <v>42791.52548611111</v>
      </c>
      <c r="F175" s="13">
        <v>42791.528356481482</v>
      </c>
      <c r="G175" s="7">
        <v>1</v>
      </c>
      <c r="H175" s="21" t="s">
        <v>587</v>
      </c>
      <c r="I175" s="13">
        <v>42791.538101851853</v>
      </c>
      <c r="J175" s="7">
        <v>1</v>
      </c>
      <c r="K175" s="98" t="str">
        <f t="shared" si="39"/>
        <v>4003/4004</v>
      </c>
      <c r="L175" s="21" t="str">
        <f>VLOOKUP(A175,'Trips&amp;Operators'!$C$1:$G$99999,5,FALSE)</f>
        <v>SHOOK JOHN</v>
      </c>
      <c r="M175" s="6">
        <f t="shared" si="40"/>
        <v>9.7453703710925765E-3</v>
      </c>
      <c r="N175" s="7">
        <f t="shared" si="41"/>
        <v>14.03333333437331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4"/>
        <v>https://d0f6bd738d7f1b3e5a7ca70fe4ff75f0.us-east-1.aws.found.io/app/kibana#/discover/Steve-Slow-Train-Analysis-(2080s-and-2083s)?_g=(refreshInterval:(display:Off,pause:!f,section:0,value:0),time:(from:'2017-02-25T11:36:42-0700',mode:absolute,to:'2017-02-25T13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5" s="197" t="str">
        <f t="shared" si="45"/>
        <v>N</v>
      </c>
      <c r="X175" s="197">
        <f t="shared" si="46"/>
        <v>1</v>
      </c>
      <c r="Y175" s="197">
        <f t="shared" si="47"/>
        <v>5.8648999999999996</v>
      </c>
      <c r="Z175" s="62">
        <f t="shared" si="48"/>
        <v>7.2400000000000006E-2</v>
      </c>
      <c r="AA175" s="62">
        <f t="shared" si="49"/>
        <v>5.7924999999999995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0"/>
        <v>1814-25</v>
      </c>
      <c r="AE175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75" s="82" t="str">
        <f t="shared" si="52"/>
        <v>"C:\Program Files (x86)\AstroGrep\AstroGrep.exe" /spath="%USERPROFILE%\AppData\Local\Temp\OnboardLogs" /stypes="app*4004*20170225*" /stext=" 19:.+((SYSTEM_STATE.+slice.+state.+changed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1814-25 --locoid 4004 --swversion DE.1.0.9.0 --startMP 300:58649 --initTime 2017-02-25T12:36:42 --startdatetime 2017-02-25T12:40:50 --delay 1 --endMP 204:724 --enddatetime 2017-02-25T12:54:52 --enforcementcount 1 &gt;&gt;C:\Users\stu\Documents\GitHub\eaglep3-reporting\EC\2017-02-25-refined-times.txt</v>
      </c>
      <c r="AI175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{"issue":{"subject":"","project_id":79,"tracker_id":40,"status_id":1,"priority_id":2,"assigned_to_id":23,"start_date":"2017-02-25","description":"","custom_fields":[{"id":1,"name":"Subdivision","value":"NW"},{"id":4,"name":"Milepost","value":"0.0724"},{"id":17,"name":"Train ID","value":"1814-25"},{"id":16,"name":"Locomotive ID","value":"4004"},{"id":130,"name":"Impact","value":""},{"id":150,"name":"Time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6"/>
        <v>start /low /b %USERPROFILE%\Documents\GitHub\eaglep3\Utilities\DownloadLogsFromS3.py --loco 4004 --day 2017-02-25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76" spans="1:91" s="20" customFormat="1" x14ac:dyDescent="0.25">
      <c r="A176" s="33" t="s">
        <v>588</v>
      </c>
      <c r="B176" s="7">
        <v>4003</v>
      </c>
      <c r="C176" s="21" t="s">
        <v>275</v>
      </c>
      <c r="D176" s="21" t="s">
        <v>589</v>
      </c>
      <c r="E176" s="13">
        <v>42791.539872685185</v>
      </c>
      <c r="F176" s="13">
        <v>42791.55641203704</v>
      </c>
      <c r="G176" s="7">
        <v>1</v>
      </c>
      <c r="H176" s="21" t="s">
        <v>555</v>
      </c>
      <c r="I176" s="13">
        <v>42791.565798611111</v>
      </c>
      <c r="J176" s="7">
        <v>1</v>
      </c>
      <c r="K176" s="98" t="str">
        <f t="shared" si="39"/>
        <v>4003/4004</v>
      </c>
      <c r="L176" s="21" t="str">
        <f>VLOOKUP(A176,'Trips&amp;Operators'!$C$1:$G$99999,5,FALSE)</f>
        <v>SHOOK JOHN</v>
      </c>
      <c r="M176" s="6">
        <f t="shared" si="40"/>
        <v>9.3865740709588863E-3</v>
      </c>
      <c r="N176" s="7">
        <f t="shared" si="41"/>
        <v>13.516666662180796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4"/>
        <v>https://d0f6bd738d7f1b3e5a7ca70fe4ff75f0.us-east-1.aws.found.io/app/kibana#/discover/Steve-Slow-Train-Analysis-(2080s-and-2083s)?_g=(refreshInterval:(display:Off,pause:!f,section:0,value:0),time:(from:'2017-02-25T11:57:25-0700',mode:absolute,to:'2017-02-25T14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6" s="197" t="str">
        <f t="shared" si="45"/>
        <v>N</v>
      </c>
      <c r="X176" s="197">
        <f t="shared" si="46"/>
        <v>1</v>
      </c>
      <c r="Y176" s="197">
        <f t="shared" si="47"/>
        <v>0.1021</v>
      </c>
      <c r="Z176" s="62">
        <f t="shared" si="48"/>
        <v>5.8987999999999996</v>
      </c>
      <c r="AA176" s="62">
        <f t="shared" si="49"/>
        <v>5.7966999999999995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0"/>
        <v>1815-25</v>
      </c>
      <c r="AE176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76" s="82" t="str">
        <f t="shared" si="52"/>
        <v>"C:\Program Files (x86)\AstroGrep\AstroGrep.exe" /spath="%USERPROFILE%\AppData\Local\Temp\OnboardLogs" /stypes="app*4003*20170225*" /stext=" 20:.+((SYSTEM_STATE.+slice.+state.+changed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1815-25 --locoid 4003 --swversion DE.1.0.9.0 --startMP 204:1021 --initTime 2017-02-25T12:57:25 --startdatetime 2017-02-25T13:21:14 --delay 1 --endMP 300:58988 --enddatetime 2017-02-25T13:34:45 --enforcementcount 1 &gt;&gt;C:\Users\stu\Documents\GitHub\eaglep3-reporting\EC\2017-02-25-refined-times.txt</v>
      </c>
      <c r="AI176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{"issue":{"subject":"","project_id":79,"tracker_id":40,"status_id":1,"priority_id":2,"assigned_to_id":23,"start_date":"2017-02-25","description":"","custom_fields":[{"id":1,"name":"Subdivision","value":"NW"},{"id":4,"name":"Milepost","value":"5.8988"},{"id":17,"name":"Train ID","value":"1815-25"},{"id":16,"name":"Locomotive ID","value":"4003"},{"id":130,"name":"Impact","value":""},{"id":150,"name":"Time of Event (Mountain Time)","value":"13:34:45"},{"id":151,"name":"Denver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6"/>
        <v>start /low /b %USERPROFILE%\Documents\GitHub\eaglep3\Utilities\DownloadLogsFromS3.py --loco 4003 --day 2017-02-25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40" x14ac:dyDescent="0.25">
      <c r="A177" s="33" t="s">
        <v>410</v>
      </c>
      <c r="B177" s="7">
        <v>4004</v>
      </c>
      <c r="C177" s="21" t="s">
        <v>275</v>
      </c>
      <c r="D177" s="21" t="s">
        <v>385</v>
      </c>
      <c r="E177" s="13">
        <v>42791.567199074074</v>
      </c>
      <c r="F177" s="13">
        <v>42791.57</v>
      </c>
      <c r="G177" s="7">
        <v>1</v>
      </c>
      <c r="H177" s="21" t="s">
        <v>388</v>
      </c>
      <c r="I177" s="13">
        <v>42791.579780092594</v>
      </c>
      <c r="J177" s="7">
        <v>1</v>
      </c>
      <c r="K177" s="98" t="str">
        <f t="shared" si="39"/>
        <v>4003/4004</v>
      </c>
      <c r="L177" s="21" t="str">
        <f>VLOOKUP(A177,'Trips&amp;Operators'!$C$1:$G$99999,5,FALSE)</f>
        <v>SHOOK JOHN</v>
      </c>
      <c r="M177" s="6">
        <f t="shared" si="40"/>
        <v>9.7800925941555761E-3</v>
      </c>
      <c r="N177" s="7">
        <f t="shared" si="41"/>
        <v>14.08333333558403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4"/>
        <v>https://d0f6bd738d7f1b3e5a7ca70fe4ff75f0.us-east-1.aws.found.io/app/kibana#/discover/Steve-Slow-Train-Analysis-(2080s-and-2083s)?_g=(refreshInterval:(display:Off,pause:!f,section:0,value:0),time:(from:'2017-02-25T12:36:46-0700',mode:absolute,to:'2017-02-25T14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7" s="197" t="str">
        <f t="shared" si="45"/>
        <v>N</v>
      </c>
      <c r="X177" s="197">
        <f t="shared" si="46"/>
        <v>1</v>
      </c>
      <c r="Y177" s="197">
        <f t="shared" si="47"/>
        <v>5.8681000000000001</v>
      </c>
      <c r="Z177" s="62">
        <f t="shared" si="48"/>
        <v>7.2900000000000006E-2</v>
      </c>
      <c r="AA177" s="62">
        <f t="shared" si="49"/>
        <v>5.7952000000000004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0"/>
        <v>1816-25</v>
      </c>
      <c r="AE177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77" s="82" t="str">
        <f t="shared" si="52"/>
        <v>"C:\Program Files (x86)\AstroGrep\AstroGrep.exe" /spath="%USERPROFILE%\AppData\Local\Temp\OnboardLogs" /stypes="app*4004*20170225*" /stext=" 20:.+((SYSTEM_STATE.+slice.+state.+changed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1816-25 --locoid 4004 --swversion DE.1.0.9.0 --startMP 300:58681 --initTime 2017-02-25T13:36:46 --startdatetime 2017-02-25T13:40:48 --delay 1 --endMP 204:729 --enddatetime 2017-02-25T13:54:53 --enforcementcount 1 &gt;&gt;C:\Users\stu\Documents\GitHub\eaglep3-reporting\EC\2017-02-25-refined-times.txt</v>
      </c>
      <c r="AI177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{"issue":{"subject":"","project_id":79,"tracker_id":40,"status_id":1,"priority_id":2,"assigned_to_id":23,"start_date":"2017-02-25","description":"","custom_fields":[{"id":1,"name":"Subdivision","value":"NW"},{"id":4,"name":"Milepost","value":"0.0729"},{"id":17,"name":"Train ID","value":"1816-25"},{"id":16,"name":"Locomotive ID","value":"4004"},{"id":130,"name":"Impact","value":""},{"id":150,"name":"Time of Event (Mountain Time)","value":"13:54:53"},{"id":151,"name":"Denver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6"/>
        <v>start /low /b %USERPROFILE%\Documents\GitHub\eaglep3\Utilities\DownloadLogsFromS3.py --loco 4004 --day 2017-02-25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78" spans="1:40" x14ac:dyDescent="0.25">
      <c r="A178" s="33" t="s">
        <v>590</v>
      </c>
      <c r="B178" s="7">
        <v>4003</v>
      </c>
      <c r="C178" s="21" t="s">
        <v>275</v>
      </c>
      <c r="D178" s="21" t="s">
        <v>591</v>
      </c>
      <c r="E178" s="13">
        <v>42791.595034722224</v>
      </c>
      <c r="F178" s="13">
        <v>42791.59814814815</v>
      </c>
      <c r="G178" s="7">
        <v>1</v>
      </c>
      <c r="H178" s="21" t="s">
        <v>329</v>
      </c>
      <c r="I178" s="13">
        <v>42791.607164351852</v>
      </c>
      <c r="J178" s="7">
        <v>1</v>
      </c>
      <c r="K178" s="98" t="str">
        <f t="shared" si="39"/>
        <v>4003/4004</v>
      </c>
      <c r="L178" s="21" t="str">
        <f>VLOOKUP(A178,'Trips&amp;Operators'!$C$1:$G$99999,5,FALSE)</f>
        <v>HELVIE ADAM</v>
      </c>
      <c r="M178" s="6">
        <f t="shared" si="40"/>
        <v>9.0162037013215013E-3</v>
      </c>
      <c r="N178" s="7">
        <f t="shared" si="41"/>
        <v>12.983333329902962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4"/>
        <v>https://d0f6bd738d7f1b3e5a7ca70fe4ff75f0.us-east-1.aws.found.io/app/kibana#/discover/Steve-Slow-Train-Analysis-(2080s-and-2083s)?_g=(refreshInterval:(display:Off,pause:!f,section:0,value:0),time:(from:'2017-02-25T13:16:51-0700',mode:absolute,to:'2017-02-25T15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8" s="197" t="str">
        <f t="shared" si="45"/>
        <v>N</v>
      </c>
      <c r="X178" s="197">
        <f t="shared" si="46"/>
        <v>1</v>
      </c>
      <c r="Y178" s="197">
        <f t="shared" si="47"/>
        <v>0.1009</v>
      </c>
      <c r="Z178" s="62">
        <f t="shared" si="48"/>
        <v>5.8949999999999996</v>
      </c>
      <c r="AA178" s="62">
        <f t="shared" si="49"/>
        <v>5.7940999999999994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0"/>
        <v>1817-25</v>
      </c>
      <c r="AE178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78" s="82" t="str">
        <f t="shared" si="52"/>
        <v>"C:\Program Files (x86)\AstroGrep\AstroGrep.exe" /spath="%USERPROFILE%\AppData\Local\Temp\OnboardLogs" /stypes="app*4003*20170225*" /stext=" 21:.+((SYSTEM_STATE.+slice.+state.+changed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1817-25 --locoid 4003 --swversion DE.1.0.9.0 --startMP 204:1009 --initTime 2017-02-25T14:16:51 --startdatetime 2017-02-25T14:21:20 --delay 1 --endMP 300:58950 --enddatetime 2017-02-25T14:34:19 --enforcementcount 1 &gt;&gt;C:\Users\stu\Documents\GitHub\eaglep3-reporting\EC\2017-02-25-refined-times.txt</v>
      </c>
      <c r="AI178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{"issue":{"subject":"","project_id":79,"tracker_id":40,"status_id":1,"priority_id":2,"assigned_to_id":23,"start_date":"2017-02-25","description":"","custom_fields":[{"id":1,"name":"Subdivision","value":"NW"},{"id":4,"name":"Milepost","value":"5.895"},{"id":17,"name":"Train ID","value":"1817-25"},{"id":16,"name":"Locomotive ID","value":"4003"},{"id":130,"name":"Impact","value":""},{"id":150,"name":"Time of Event (Mountain Time)","value":"14:34:19"},{"id":151,"name":"Denver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6"/>
        <v>start /low /b %USERPROFILE%\Documents\GitHub\eaglep3\Utilities\DownloadLogsFromS3.py --loco 4003 --day 2017-02-25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179" spans="1:40" x14ac:dyDescent="0.25">
      <c r="A179" s="33" t="s">
        <v>592</v>
      </c>
      <c r="B179" s="7">
        <v>4004</v>
      </c>
      <c r="C179" s="21" t="s">
        <v>275</v>
      </c>
      <c r="D179" s="21" t="s">
        <v>279</v>
      </c>
      <c r="E179" s="13">
        <v>42791.608958333331</v>
      </c>
      <c r="F179" s="13">
        <v>42791.611574074072</v>
      </c>
      <c r="G179" s="7">
        <v>1</v>
      </c>
      <c r="H179" s="21" t="s">
        <v>386</v>
      </c>
      <c r="I179" s="13">
        <v>42791.621076388888</v>
      </c>
      <c r="J179" s="7">
        <v>1</v>
      </c>
      <c r="K179" s="98" t="str">
        <f t="shared" si="39"/>
        <v>4003/4004</v>
      </c>
      <c r="L179" s="21" t="str">
        <f>VLOOKUP(A179,'Trips&amp;Operators'!$C$1:$G$99999,5,FALSE)</f>
        <v>HELVIE ADAM</v>
      </c>
      <c r="M179" s="6">
        <f t="shared" si="40"/>
        <v>9.5023148169275373E-3</v>
      </c>
      <c r="N179" s="7">
        <f t="shared" si="41"/>
        <v>13.683333336375654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4"/>
        <v>https://d0f6bd738d7f1b3e5a7ca70fe4ff75f0.us-east-1.aws.found.io/app/kibana#/discover/Steve-Slow-Train-Analysis-(2080s-and-2083s)?_g=(refreshInterval:(display:Off,pause:!f,section:0,value:0),time:(from:'2017-02-25T13:36:54-0700',mode:absolute,to:'2017-02-25T15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9" s="197" t="str">
        <f t="shared" si="45"/>
        <v>N</v>
      </c>
      <c r="X179" s="197">
        <f t="shared" si="46"/>
        <v>1</v>
      </c>
      <c r="Y179" s="197">
        <f t="shared" si="47"/>
        <v>5.8630000000000004</v>
      </c>
      <c r="Z179" s="62">
        <f t="shared" si="48"/>
        <v>7.3800000000000004E-2</v>
      </c>
      <c r="AA179" s="62">
        <f t="shared" si="49"/>
        <v>5.7892000000000001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0"/>
        <v>1818-25</v>
      </c>
      <c r="AE179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79" s="82" t="str">
        <f t="shared" si="52"/>
        <v>"C:\Program Files (x86)\AstroGrep\AstroGrep.exe" /spath="%USERPROFILE%\AppData\Local\Temp\OnboardLogs" /stypes="app*4004*20170225*" /stext=" 21:.+((SYSTEM_STATE.+slice.+state.+changed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1818-25 --locoid 4004 --swversion DE.1.0.9.0 --startMP 300:58630 --initTime 2017-02-25T14:36:54 --startdatetime 2017-02-25T14:40:40 --delay 1 --endMP 204:738 --enddatetime 2017-02-25T14:54:21 --enforcementcount 1 &gt;&gt;C:\Users\stu\Documents\GitHub\eaglep3-reporting\EC\2017-02-25-refined-times.txt</v>
      </c>
      <c r="AI179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{"issue":{"subject":"","project_id":79,"tracker_id":40,"status_id":1,"priority_id":2,"assigned_to_id":23,"start_date":"2017-02-25","description":"","custom_fields":[{"id":1,"name":"Subdivision","value":"NW"},{"id":4,"name":"Milepost","value":"0.0738"},{"id":17,"name":"Train ID","value":"1818-25"},{"id":16,"name":"Locomotive ID","value":"4004"},{"id":130,"name":"Impact","value":""},{"id":150,"name":"Time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6"/>
        <v>start /low /b %USERPROFILE%\Documents\GitHub\eaglep3\Utilities\DownloadLogsFromS3.py --loco 4004 --day 2017-02-25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80" spans="1:40" x14ac:dyDescent="0.25">
      <c r="A180" s="33" t="s">
        <v>593</v>
      </c>
      <c r="B180" s="7">
        <v>4003</v>
      </c>
      <c r="C180" s="21" t="s">
        <v>275</v>
      </c>
      <c r="D180" s="21" t="s">
        <v>387</v>
      </c>
      <c r="E180" s="13">
        <v>42791.638032407405</v>
      </c>
      <c r="F180" s="13">
        <v>42791.639745370368</v>
      </c>
      <c r="G180" s="7">
        <v>1</v>
      </c>
      <c r="H180" s="21" t="s">
        <v>394</v>
      </c>
      <c r="I180" s="13">
        <v>42791.648888888885</v>
      </c>
      <c r="J180" s="7">
        <v>1</v>
      </c>
      <c r="K180" s="98" t="str">
        <f t="shared" si="39"/>
        <v>4003/4004</v>
      </c>
      <c r="L180" s="21" t="str">
        <f>VLOOKUP(A180,'Trips&amp;Operators'!$C$1:$G$99999,5,FALSE)</f>
        <v>HELVIE ADAM</v>
      </c>
      <c r="M180" s="6">
        <f t="shared" si="40"/>
        <v>9.1435185167938471E-3</v>
      </c>
      <c r="N180" s="7">
        <f t="shared" si="41"/>
        <v>13.16666666418314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4"/>
        <v>https://d0f6bd738d7f1b3e5a7ca70fe4ff75f0.us-east-1.aws.found.io/app/kibana#/discover/Steve-Slow-Train-Analysis-(2080s-and-2083s)?_g=(refreshInterval:(display:Off,pause:!f,section:0,value:0),time:(from:'2017-02-25T14:18:46-0700',mode:absolute,to:'2017-02-25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0" s="197" t="str">
        <f t="shared" si="45"/>
        <v>N</v>
      </c>
      <c r="X180" s="197">
        <f t="shared" si="46"/>
        <v>1</v>
      </c>
      <c r="Y180" s="197">
        <f t="shared" si="47"/>
        <v>0.1042</v>
      </c>
      <c r="Z180" s="62">
        <f t="shared" si="48"/>
        <v>5.8935000000000004</v>
      </c>
      <c r="AA180" s="62">
        <f t="shared" si="49"/>
        <v>5.7893000000000008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0"/>
        <v>1819-25</v>
      </c>
      <c r="AE180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80" s="82" t="str">
        <f t="shared" si="52"/>
        <v>"C:\Program Files (x86)\AstroGrep\AstroGrep.exe" /spath="%USERPROFILE%\AppData\Local\Temp\OnboardLogs" /stypes="app*4003*20170225*" /stext=" 22:.+((SYSTEM_STATE.+slice.+state.+changed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1819-25 --locoid 4003 --swversion DE.1.0.9.0 --startMP 204:1042 --initTime 2017-02-25T15:18:46 --startdatetime 2017-02-25T15:21:14 --delay 1 --endMP 300:58935 --enddatetime 2017-02-25T15:34:24 --enforcementcount 1 &gt;&gt;C:\Users\stu\Documents\GitHub\eaglep3-reporting\EC\2017-02-25-refined-times.txt</v>
      </c>
      <c r="AI180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{"issue":{"subject":"","project_id":79,"tracker_id":40,"status_id":1,"priority_id":2,"assigned_to_id":23,"start_date":"2017-02-25","description":"","custom_fields":[{"id":1,"name":"Subdivision","value":"NW"},{"id":4,"name":"Milepost","value":"5.8935"},{"id":17,"name":"Train ID","value":"1819-25"},{"id":16,"name":"Locomotive ID","value":"4003"},{"id":130,"name":"Impact","value":""},{"id":150,"name":"Time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6"/>
        <v>start /low /b %USERPROFILE%\Documents\GitHub\eaglep3\Utilities\DownloadLogsFromS3.py --loco 4003 --day 2017-02-25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181" spans="1:40" x14ac:dyDescent="0.25">
      <c r="A181" s="33" t="s">
        <v>595</v>
      </c>
      <c r="B181" s="7">
        <v>4004</v>
      </c>
      <c r="C181" s="21" t="s">
        <v>275</v>
      </c>
      <c r="D181" s="21" t="s">
        <v>289</v>
      </c>
      <c r="E181" s="13">
        <v>42791.650370370371</v>
      </c>
      <c r="F181" s="13">
        <v>42791.652777777781</v>
      </c>
      <c r="G181" s="7">
        <v>1</v>
      </c>
      <c r="H181" s="21" t="s">
        <v>263</v>
      </c>
      <c r="I181" s="13">
        <v>42791.663032407407</v>
      </c>
      <c r="J181" s="7">
        <v>1</v>
      </c>
      <c r="K181" s="98" t="str">
        <f t="shared" si="39"/>
        <v>4003/4004</v>
      </c>
      <c r="L181" s="21" t="str">
        <f>VLOOKUP(A181,'Trips&amp;Operators'!$C$1:$G$99999,5,FALSE)</f>
        <v>HELVIE ADAM</v>
      </c>
      <c r="M181" s="6">
        <f t="shared" si="40"/>
        <v>1.0254629625706002E-2</v>
      </c>
      <c r="N181" s="7">
        <f t="shared" si="41"/>
        <v>14.766666661016643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4"/>
        <v>https://d0f6bd738d7f1b3e5a7ca70fe4ff75f0.us-east-1.aws.found.io/app/kibana#/discover/Steve-Slow-Train-Analysis-(2080s-and-2083s)?_g=(refreshInterval:(display:Off,pause:!f,section:0,value:0),time:(from:'2017-02-25T14:36:32-0700',mode:absolute,to:'2017-02-25T16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1" s="197" t="str">
        <f t="shared" si="45"/>
        <v>N</v>
      </c>
      <c r="X181" s="197">
        <f t="shared" si="46"/>
        <v>1</v>
      </c>
      <c r="Y181" s="197">
        <f t="shared" si="47"/>
        <v>5.8628</v>
      </c>
      <c r="Z181" s="62">
        <f t="shared" si="48"/>
        <v>7.5399999999999995E-2</v>
      </c>
      <c r="AA181" s="62">
        <f t="shared" si="49"/>
        <v>5.7873999999999999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0"/>
        <v>1820-25</v>
      </c>
      <c r="AE181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81" s="82" t="str">
        <f t="shared" si="52"/>
        <v>"C:\Program Files (x86)\AstroGrep\AstroGrep.exe" /spath="%USERPROFILE%\AppData\Local\Temp\OnboardLogs" /stypes="app*4004*20170225*" /stext=" 22:.+((SYSTEM_STATE.+slice.+state.+changed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1820-25 --locoid 4004 --swversion DE.1.0.9.0 --startMP 300:58628 --initTime 2017-02-25T15:36:32 --startdatetime 2017-02-25T15:40:00 --delay 1 --endMP 204:754 --enddatetime 2017-02-25T15:54:46 --enforcementcount 1 &gt;&gt;C:\Users\stu\Documents\GitHub\eaglep3-reporting\EC\2017-02-25-refined-times.txt</v>
      </c>
      <c r="AI181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{"issue":{"subject":"","project_id":79,"tracker_id":40,"status_id":1,"priority_id":2,"assigned_to_id":23,"start_date":"2017-02-25","description":"","custom_fields":[{"id":1,"name":"Subdivision","value":"NW"},{"id":4,"name":"Milepost","value":"0.0754"},{"id":17,"name":"Train ID","value":"1820-25"},{"id":16,"name":"Locomotive ID","value":"4004"},{"id":130,"name":"Impact","value":""},{"id":150,"name":"Time of Event (Mountain Time)","value":"15:54:46"},{"id":151,"name":"Denver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6"/>
        <v>start /low /b %USERPROFILE%\Documents\GitHub\eaglep3\Utilities\DownloadLogsFromS3.py --loco 4004 --day 2017-02-25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82" spans="1:40" x14ac:dyDescent="0.25">
      <c r="A182" s="33" t="s">
        <v>415</v>
      </c>
      <c r="B182" s="7">
        <v>4003</v>
      </c>
      <c r="C182" s="21" t="s">
        <v>275</v>
      </c>
      <c r="D182" s="21" t="s">
        <v>387</v>
      </c>
      <c r="E182" s="13">
        <v>42791.679479166669</v>
      </c>
      <c r="F182" s="13">
        <v>42791.681423611109</v>
      </c>
      <c r="G182" s="7">
        <v>1</v>
      </c>
      <c r="H182" s="21" t="s">
        <v>328</v>
      </c>
      <c r="I182" s="13">
        <v>42791.690740740742</v>
      </c>
      <c r="J182" s="7">
        <v>1</v>
      </c>
      <c r="K182" s="98" t="str">
        <f t="shared" si="39"/>
        <v>4003/4004</v>
      </c>
      <c r="L182" s="21" t="str">
        <f>VLOOKUP(A182,'Trips&amp;Operators'!$C$1:$G$99999,5,FALSE)</f>
        <v>HELVIE ADAM</v>
      </c>
      <c r="M182" s="6">
        <f t="shared" si="40"/>
        <v>9.3171296321088448E-3</v>
      </c>
      <c r="N182" s="7">
        <f t="shared" si="41"/>
        <v>13.416666670236737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4"/>
        <v>https://d0f6bd738d7f1b3e5a7ca70fe4ff75f0.us-east-1.aws.found.io/app/kibana#/discover/Steve-Slow-Train-Analysis-(2080s-and-2083s)?_g=(refreshInterval:(display:Off,pause:!f,section:0,value:0),time:(from:'2017-02-25T15:18:27-0700',mode:absolute,to:'2017-02-25T17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2" s="197" t="str">
        <f t="shared" si="45"/>
        <v>N</v>
      </c>
      <c r="X182" s="197">
        <f t="shared" si="46"/>
        <v>1</v>
      </c>
      <c r="Y182" s="197">
        <f t="shared" si="47"/>
        <v>0.1042</v>
      </c>
      <c r="Z182" s="62">
        <f t="shared" si="48"/>
        <v>5.8952</v>
      </c>
      <c r="AA182" s="62">
        <f t="shared" si="49"/>
        <v>5.7910000000000004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0"/>
        <v>1821-25</v>
      </c>
      <c r="AE182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82" s="82" t="str">
        <f t="shared" si="52"/>
        <v>"C:\Program Files (x86)\AstroGrep\AstroGrep.exe" /spath="%USERPROFILE%\AppData\Local\Temp\OnboardLogs" /stypes="app*4003*20170225*" /stext=" 23:.+((SYSTEM_STATE.+slice.+state.+changed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1821-25 --locoid 4003 --swversion DE.1.0.9.0 --startMP 204:1042 --initTime 2017-02-25T16:18:27 --startdatetime 2017-02-25T16:21:15 --delay 1 --endMP 300:58952 --enddatetime 2017-02-25T16:34:40 --enforcementcount 1 &gt;&gt;C:\Users\stu\Documents\GitHub\eaglep3-reporting\EC\2017-02-25-refined-times.txt</v>
      </c>
      <c r="AI182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{"issue":{"subject":"","project_id":79,"tracker_id":40,"status_id":1,"priority_id":2,"assigned_to_id":23,"start_date":"2017-02-25","description":"","custom_fields":[{"id":1,"name":"Subdivision","value":"NW"},{"id":4,"name":"Milepost","value":"5.8952"},{"id":17,"name":"Train ID","value":"1821-25"},{"id":16,"name":"Locomotive ID","value":"4003"},{"id":130,"name":"Impact","value":""},{"id":150,"name":"Time of Event (Mountain Time)","value":"16:34:40"},{"id":151,"name":"Denver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6"/>
        <v>start /low /b %USERPROFILE%\Documents\GitHub\eaglep3\Utilities\DownloadLogsFromS3.py --loco 4003 --day 2017-02-25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183" spans="1:40" x14ac:dyDescent="0.25">
      <c r="A183" s="33" t="s">
        <v>417</v>
      </c>
      <c r="B183" s="7">
        <v>4004</v>
      </c>
      <c r="C183" s="21" t="s">
        <v>275</v>
      </c>
      <c r="D183" s="21" t="s">
        <v>596</v>
      </c>
      <c r="E183" s="13">
        <v>42791.692187499997</v>
      </c>
      <c r="F183" s="13">
        <v>42791.69425925926</v>
      </c>
      <c r="G183" s="7">
        <v>1</v>
      </c>
      <c r="H183" s="21" t="s">
        <v>597</v>
      </c>
      <c r="I183" s="13">
        <v>42791.70480324074</v>
      </c>
      <c r="J183" s="7">
        <v>1</v>
      </c>
      <c r="K183" s="98" t="str">
        <f t="shared" si="39"/>
        <v>4003/4004</v>
      </c>
      <c r="L183" s="21" t="str">
        <f>VLOOKUP(A183,'Trips&amp;Operators'!$C$1:$G$99999,5,FALSE)</f>
        <v>HELVIE ADAM</v>
      </c>
      <c r="M183" s="6">
        <f t="shared" si="40"/>
        <v>1.0543981479713693E-2</v>
      </c>
      <c r="N183" s="7">
        <f t="shared" si="41"/>
        <v>15.183333330787718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4"/>
        <v>https://d0f6bd738d7f1b3e5a7ca70fe4ff75f0.us-east-1.aws.found.io/app/kibana#/discover/Steve-Slow-Train-Analysis-(2080s-and-2083s)?_g=(refreshInterval:(display:Off,pause:!f,section:0,value:0),time:(from:'2017-02-25T15:36:45-0700',mode:absolute,to:'2017-02-25T17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3" s="197" t="str">
        <f t="shared" si="45"/>
        <v>N</v>
      </c>
      <c r="X183" s="197">
        <f t="shared" si="46"/>
        <v>1</v>
      </c>
      <c r="Y183" s="197">
        <f t="shared" si="47"/>
        <v>5.8624000000000001</v>
      </c>
      <c r="Z183" s="62">
        <f t="shared" si="48"/>
        <v>7.1999999999999995E-2</v>
      </c>
      <c r="AA183" s="62">
        <f t="shared" si="49"/>
        <v>5.7904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0"/>
        <v>1822-25</v>
      </c>
      <c r="AE183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83" s="82" t="str">
        <f t="shared" si="52"/>
        <v>"C:\Program Files (x86)\AstroGrep\AstroGrep.exe" /spath="%USERPROFILE%\AppData\Local\Temp\OnboardLogs" /stypes="app*4004*20170225*" /stext=" 23:.+((SYSTEM_STATE.+slice.+state.+changed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1822-25 --locoid 4004 --swversion DE.1.0.9.0 --startMP 300:58624 --initTime 2017-02-25T16:36:45 --startdatetime 2017-02-25T16:39:44 --delay 1 --endMP 204:720 --enddatetime 2017-02-25T16:54:55 --enforcementcount 1 &gt;&gt;C:\Users\stu\Documents\GitHub\eaglep3-reporting\EC\2017-02-25-refined-times.txt</v>
      </c>
      <c r="AI183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{"issue":{"subject":"","project_id":79,"tracker_id":40,"status_id":1,"priority_id":2,"assigned_to_id":23,"start_date":"2017-02-25","description":"","custom_fields":[{"id":1,"name":"Subdivision","value":"NW"},{"id":4,"name":"Milepost","value":"0.072"},{"id":17,"name":"Train ID","value":"1822-25"},{"id":16,"name":"Locomotive ID","value":"4004"},{"id":130,"name":"Impact","value":""},{"id":150,"name":"Time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6"/>
        <v>start /low /b %USERPROFILE%\Documents\GitHub\eaglep3\Utilities\DownloadLogsFromS3.py --loco 4004 --day 2017-02-25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2017-02-25-UncaughtWiMAX.txt</v>
      </c>
    </row>
    <row r="184" spans="1:40" x14ac:dyDescent="0.25">
      <c r="A184" s="33" t="s">
        <v>598</v>
      </c>
      <c r="B184" s="7">
        <v>4003</v>
      </c>
      <c r="C184" s="21" t="s">
        <v>275</v>
      </c>
      <c r="D184" s="21" t="s">
        <v>599</v>
      </c>
      <c r="E184" s="13">
        <v>42791.720856481479</v>
      </c>
      <c r="F184" s="13">
        <v>42791.723101851851</v>
      </c>
      <c r="G184" s="7">
        <v>1</v>
      </c>
      <c r="H184" s="21" t="s">
        <v>600</v>
      </c>
      <c r="I184" s="13">
        <v>42791.732233796298</v>
      </c>
      <c r="J184" s="7">
        <v>1</v>
      </c>
      <c r="K184" s="98" t="str">
        <f t="shared" si="39"/>
        <v>4003/4004</v>
      </c>
      <c r="L184" s="21" t="str">
        <f>VLOOKUP(A184,'Trips&amp;Operators'!$C$1:$G$99999,5,FALSE)</f>
        <v>HELVIE ADAM</v>
      </c>
      <c r="M184" s="6">
        <f t="shared" si="40"/>
        <v>9.1319444472901523E-3</v>
      </c>
      <c r="N184" s="7">
        <f t="shared" si="41"/>
        <v>13.150000004097819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4"/>
        <v>https://d0f6bd738d7f1b3e5a7ca70fe4ff75f0.us-east-1.aws.found.io/app/kibana#/discover/Steve-Slow-Train-Analysis-(2080s-and-2083s)?_g=(refreshInterval:(display:Off,pause:!f,section:0,value:0),time:(from:'2017-02-25T16:18:02-0700',mode:absolute,to:'2017-02-25T18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4" s="197" t="str">
        <f t="shared" si="45"/>
        <v>N</v>
      </c>
      <c r="X184" s="197">
        <f t="shared" si="46"/>
        <v>1</v>
      </c>
      <c r="Y184" s="197">
        <f t="shared" si="47"/>
        <v>0.1007</v>
      </c>
      <c r="Z184" s="62">
        <f t="shared" si="48"/>
        <v>5.8936999999999999</v>
      </c>
      <c r="AA184" s="62">
        <f t="shared" si="49"/>
        <v>5.7930000000000001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0"/>
        <v>1823-25</v>
      </c>
      <c r="AE184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84" s="82" t="str">
        <f t="shared" si="52"/>
        <v>"C:\Program Files (x86)\AstroGrep\AstroGrep.exe" /spath="%USERPROFILE%\AppData\Local\Temp\OnboardLogs" /stypes="app*4003*20170226*" /stext=" 00:.+((SYSTEM_STATE.+slice.+state.+changed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1823-25 --locoid 4003 --swversion DE.1.0.9.0 --startMP 204:1007 --initTime 2017-02-25T17:18:02 --startdatetime 2017-02-25T17:21:16 --delay 1 --endMP 300:58937 --enddatetime 2017-02-25T17:34:25 --enforcementcount 1 &gt;&gt;C:\Users\stu\Documents\GitHub\eaglep3-reporting\EC\2017-02-25-refined-times.txt</v>
      </c>
      <c r="AI184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{"issue":{"subject":"","project_id":79,"tracker_id":40,"status_id":1,"priority_id":2,"assigned_to_id":23,"start_date":"2017-02-25","description":"","custom_fields":[{"id":1,"name":"Subdivision","value":"NW"},{"id":4,"name":"Milepost","value":"5.8937"},{"id":17,"name":"Train ID","value":"1823-25"},{"id":16,"name":"Locomotive ID","value":"4003"},{"id":130,"name":"Impact","value":""},{"id":150,"name":"Time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6"/>
        <v>start /low /b %USERPROFILE%\Documents\GitHub\eaglep3\Utilities\DownloadLogsFromS3.py --loco 4003 --day 2017-02-25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85" spans="1:40" x14ac:dyDescent="0.25">
      <c r="A185" s="33" t="s">
        <v>601</v>
      </c>
      <c r="B185" s="7">
        <v>4004</v>
      </c>
      <c r="C185" s="21" t="s">
        <v>275</v>
      </c>
      <c r="D185" s="21" t="s">
        <v>289</v>
      </c>
      <c r="E185" s="13">
        <v>42791.733252314814</v>
      </c>
      <c r="F185" s="13">
        <v>42791.735914351855</v>
      </c>
      <c r="G185" s="7">
        <v>1</v>
      </c>
      <c r="H185" s="21" t="s">
        <v>584</v>
      </c>
      <c r="I185" s="13">
        <v>42791.746331018519</v>
      </c>
      <c r="J185" s="7">
        <v>1</v>
      </c>
      <c r="K185" s="98" t="str">
        <f t="shared" si="39"/>
        <v>4003/4004</v>
      </c>
      <c r="L185" s="21" t="str">
        <f>VLOOKUP(A185,'Trips&amp;Operators'!$C$1:$G$99999,5,FALSE)</f>
        <v>HELVIE ADAM</v>
      </c>
      <c r="M185" s="6">
        <f t="shared" si="40"/>
        <v>1.0416666664241347E-2</v>
      </c>
      <c r="N185" s="7">
        <f t="shared" si="41"/>
        <v>14.99999999650754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4"/>
        <v>https://d0f6bd738d7f1b3e5a7ca70fe4ff75f0.us-east-1.aws.found.io/app/kibana#/discover/Steve-Slow-Train-Analysis-(2080s-and-2083s)?_g=(refreshInterval:(display:Off,pause:!f,section:0,value:0),time:(from:'2017-02-25T16:35:53-0700',mode:absolute,to:'2017-02-25T18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5" s="197" t="str">
        <f t="shared" si="45"/>
        <v>N</v>
      </c>
      <c r="X185" s="197">
        <f t="shared" si="46"/>
        <v>1</v>
      </c>
      <c r="Y185" s="197">
        <f t="shared" si="47"/>
        <v>5.8628</v>
      </c>
      <c r="Z185" s="62">
        <f t="shared" si="48"/>
        <v>7.4700000000000003E-2</v>
      </c>
      <c r="AA185" s="62">
        <f t="shared" si="49"/>
        <v>5.7881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0"/>
        <v>1824-25</v>
      </c>
      <c r="AE185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85" s="82" t="str">
        <f t="shared" si="52"/>
        <v>"C:\Program Files (x86)\AstroGrep\AstroGrep.exe" /spath="%USERPROFILE%\AppData\Local\Temp\OnboardLogs" /stypes="app*4004*20170226*" /stext=" 00:.+((SYSTEM_STATE.+slice.+state.+changed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1824-25 --locoid 4004 --swversion DE.1.0.9.0 --startMP 300:58628 --initTime 2017-02-25T17:35:53 --startdatetime 2017-02-25T17:39:43 --delay 1 --endMP 204:747 --enddatetime 2017-02-25T17:54:43 --enforcementcount 1 &gt;&gt;C:\Users\stu\Documents\GitHub\eaglep3-reporting\EC\2017-02-25-refined-times.txt</v>
      </c>
      <c r="AI185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{"issue":{"subject":"","project_id":79,"tracker_id":40,"status_id":1,"priority_id":2,"assigned_to_id":23,"start_date":"2017-02-25","description":"","custom_fields":[{"id":1,"name":"Subdivision","value":"NW"},{"id":4,"name":"Milepost","value":"0.0747"},{"id":17,"name":"Train ID","value":"1824-25"},{"id":16,"name":"Locomotive ID","value":"4004"},{"id":130,"name":"Impact","value":""},{"id":150,"name":"Time of Event (Mountain Time)","value":"17:54:43"},{"id":151,"name":"Denver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6"/>
        <v>start /low /b %USERPROFILE%\Documents\GitHub\eaglep3\Utilities\DownloadLogsFromS3.py --loco 4004 --day 2017-02-25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186" spans="1:40" x14ac:dyDescent="0.25">
      <c r="A186" s="33" t="s">
        <v>602</v>
      </c>
      <c r="B186" s="7">
        <v>4003</v>
      </c>
      <c r="C186" s="21" t="s">
        <v>275</v>
      </c>
      <c r="D186" s="21" t="s">
        <v>603</v>
      </c>
      <c r="E186" s="13">
        <v>42791.761493055557</v>
      </c>
      <c r="F186" s="13">
        <v>42791.764965277776</v>
      </c>
      <c r="G186" s="7">
        <v>1</v>
      </c>
      <c r="H186" s="21" t="s">
        <v>330</v>
      </c>
      <c r="I186" s="13">
        <v>42791.774652777778</v>
      </c>
      <c r="J186" s="7">
        <v>1</v>
      </c>
      <c r="K186" s="98" t="str">
        <f t="shared" si="39"/>
        <v>4003/4004</v>
      </c>
      <c r="L186" s="21" t="str">
        <f>VLOOKUP(A186,'Trips&amp;Operators'!$C$1:$G$99999,5,FALSE)</f>
        <v>HELVIE ADAM</v>
      </c>
      <c r="M186" s="6">
        <f t="shared" si="40"/>
        <v>9.6875000017462298E-3</v>
      </c>
      <c r="N186" s="7">
        <f t="shared" si="41"/>
        <v>13.950000002514571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4"/>
        <v>https://d0f6bd738d7f1b3e5a7ca70fe4ff75f0.us-east-1.aws.found.io/app/kibana#/discover/Steve-Slow-Train-Analysis-(2080s-and-2083s)?_g=(refreshInterval:(display:Off,pause:!f,section:0,value:0),time:(from:'2017-02-25T17:16:33-0700',mode:absolute,to:'2017-02-25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6" s="197" t="str">
        <f t="shared" si="45"/>
        <v>N</v>
      </c>
      <c r="X186" s="197">
        <f t="shared" si="46"/>
        <v>1</v>
      </c>
      <c r="Y186" s="197">
        <f t="shared" si="47"/>
        <v>0.1037</v>
      </c>
      <c r="Z186" s="62">
        <f t="shared" si="48"/>
        <v>5.8939000000000004</v>
      </c>
      <c r="AA186" s="62">
        <f t="shared" si="49"/>
        <v>5.7902000000000005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0"/>
        <v>1825-25</v>
      </c>
      <c r="AE186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86" s="82" t="str">
        <f t="shared" si="52"/>
        <v>"C:\Program Files (x86)\AstroGrep\AstroGrep.exe" /spath="%USERPROFILE%\AppData\Local\Temp\OnboardLogs" /stypes="app*4003*20170226*" /stext=" 01:.+((SYSTEM_STATE.+slice.+state.+changed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1825-25 --locoid 4003 --swversion DE.1.0.9.0 --startMP 204:1037 --initTime 2017-02-25T18:16:33 --startdatetime 2017-02-25T18:21:33 --delay 1 --endMP 300:58939 --enddatetime 2017-02-25T18:35:30 --enforcementcount 1 &gt;&gt;C:\Users\stu\Documents\GitHub\eaglep3-reporting\EC\2017-02-25-refined-times.txt</v>
      </c>
      <c r="AI186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{"issue":{"subject":"","project_id":79,"tracker_id":40,"status_id":1,"priority_id":2,"assigned_to_id":23,"start_date":"2017-02-25","description":"","custom_fields":[{"id":1,"name":"Subdivision","value":"NW"},{"id":4,"name":"Milepost","value":"5.8939"},{"id":17,"name":"Train ID","value":"1825-25"},{"id":16,"name":"Locomotive ID","value":"4003"},{"id":130,"name":"Impact","value":""},{"id":150,"name":"Time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6"/>
        <v>start /low /b %USERPROFILE%\Documents\GitHub\eaglep3\Utilities\DownloadLogsFromS3.py --loco 4003 --day 2017-02-25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87" spans="1:40" x14ac:dyDescent="0.25">
      <c r="A187" s="33" t="s">
        <v>604</v>
      </c>
      <c r="B187" s="7">
        <v>4004</v>
      </c>
      <c r="C187" s="21" t="s">
        <v>275</v>
      </c>
      <c r="D187" s="21" t="s">
        <v>605</v>
      </c>
      <c r="E187" s="13">
        <v>42791.776203703703</v>
      </c>
      <c r="F187" s="13">
        <v>42791.777997685182</v>
      </c>
      <c r="G187" s="7">
        <v>1</v>
      </c>
      <c r="H187" s="21" t="s">
        <v>606</v>
      </c>
      <c r="I187" s="13">
        <v>42791.789988425924</v>
      </c>
      <c r="J187" s="7">
        <v>1</v>
      </c>
      <c r="K187" s="98" t="str">
        <f t="shared" si="39"/>
        <v>4003/4004</v>
      </c>
      <c r="L187" s="21" t="str">
        <f>VLOOKUP(A187,'Trips&amp;Operators'!$C$1:$G$99999,5,FALSE)</f>
        <v>HELVIE ADAM</v>
      </c>
      <c r="M187" s="6">
        <f t="shared" si="40"/>
        <v>1.1990740742476191E-2</v>
      </c>
      <c r="N187" s="7">
        <f t="shared" si="41"/>
        <v>17.266666669165716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4"/>
        <v>https://d0f6bd738d7f1b3e5a7ca70fe4ff75f0.us-east-1.aws.found.io/app/kibana#/discover/Steve-Slow-Train-Analysis-(2080s-and-2083s)?_g=(refreshInterval:(display:Off,pause:!f,section:0,value:0),time:(from:'2017-02-25T17:37:44-0700',mode:absolute,to:'2017-02-25T19:57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7" s="197" t="str">
        <f t="shared" si="45"/>
        <v>N</v>
      </c>
      <c r="X187" s="197">
        <f t="shared" si="46"/>
        <v>1</v>
      </c>
      <c r="Y187" s="197">
        <f t="shared" si="47"/>
        <v>5.8620999999999999</v>
      </c>
      <c r="Z187" s="62">
        <f t="shared" si="48"/>
        <v>7.6600000000000001E-2</v>
      </c>
      <c r="AA187" s="62">
        <f t="shared" si="49"/>
        <v>5.7854999999999999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0"/>
        <v>1826-25</v>
      </c>
      <c r="AE187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87" s="82" t="str">
        <f t="shared" si="52"/>
        <v>"C:\Program Files (x86)\AstroGrep\AstroGrep.exe" /spath="%USERPROFILE%\AppData\Local\Temp\OnboardLogs" /stypes="app*4004*20170226*" /stext=" 01:.+((SYSTEM_STATE.+slice.+state.+changed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1826-25 --locoid 4004 --swversion DE.1.0.9.0 --startMP 300:58621 --initTime 2017-02-25T18:37:44 --startdatetime 2017-02-25T18:40:19 --delay 1 --endMP 204:766 --enddatetime 2017-02-25T18:57:35 --enforcementcount 1 &gt;&gt;C:\Users\stu\Documents\GitHub\eaglep3-reporting\EC\2017-02-25-refined-times.txt</v>
      </c>
      <c r="AI187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{"issue":{"subject":"","project_id":79,"tracker_id":40,"status_id":1,"priority_id":2,"assigned_to_id":23,"start_date":"2017-02-25","description":"","custom_fields":[{"id":1,"name":"Subdivision","value":"NW"},{"id":4,"name":"Milepost","value":"0.0766"},{"id":17,"name":"Train ID","value":"1826-25"},{"id":16,"name":"Locomotive ID","value":"4004"},{"id":130,"name":"Impact","value":""},{"id":150,"name":"Time of Event (Mountain Time)","value":"18:57:35"},{"id":151,"name":"Denver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6"/>
        <v>start /low /b %USERPROFILE%\Documents\GitHub\eaglep3\Utilities\DownloadLogsFromS3.py --loco 4004 --day 2017-02-25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188" spans="1:40" x14ac:dyDescent="0.25">
      <c r="A188" s="33" t="s">
        <v>607</v>
      </c>
      <c r="B188" s="7">
        <v>4003</v>
      </c>
      <c r="C188" s="21" t="s">
        <v>275</v>
      </c>
      <c r="D188" s="21" t="s">
        <v>608</v>
      </c>
      <c r="E188" s="13">
        <v>42791.802662037036</v>
      </c>
      <c r="F188" s="13">
        <v>42791.806608796294</v>
      </c>
      <c r="G188" s="7">
        <v>1</v>
      </c>
      <c r="H188" s="21" t="s">
        <v>609</v>
      </c>
      <c r="I188" s="13">
        <v>42791.815578703703</v>
      </c>
      <c r="J188" s="7">
        <v>1</v>
      </c>
      <c r="K188" s="98" t="str">
        <f t="shared" si="39"/>
        <v>4003/4004</v>
      </c>
      <c r="L188" s="21" t="str">
        <f>VLOOKUP(A188,'Trips&amp;Operators'!$C$1:$G$99999,5,FALSE)</f>
        <v>HELVIE ADAM</v>
      </c>
      <c r="M188" s="6">
        <f t="shared" si="40"/>
        <v>8.969907408754807E-3</v>
      </c>
      <c r="N188" s="7">
        <f t="shared" si="41"/>
        <v>12.916666668606922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4"/>
        <v>https://d0f6bd738d7f1b3e5a7ca70fe4ff75f0.us-east-1.aws.found.io/app/kibana#/discover/Steve-Slow-Train-Analysis-(2080s-and-2083s)?_g=(refreshInterval:(display:Off,pause:!f,section:0,value:0),time:(from:'2017-02-25T18:15:50-0700',mode:absolute,to:'2017-02-25T20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8" s="197" t="str">
        <f t="shared" si="45"/>
        <v>N</v>
      </c>
      <c r="X188" s="197">
        <f t="shared" si="46"/>
        <v>1</v>
      </c>
      <c r="Y188" s="197">
        <f t="shared" si="47"/>
        <v>0.1048</v>
      </c>
      <c r="Z188" s="62">
        <f t="shared" si="48"/>
        <v>5.8940999999999999</v>
      </c>
      <c r="AA188" s="62">
        <f t="shared" si="49"/>
        <v>5.7892999999999999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0"/>
        <v>1827-25</v>
      </c>
      <c r="AE188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88" s="82" t="str">
        <f t="shared" si="52"/>
        <v>"C:\Program Files (x86)\AstroGrep\AstroGrep.exe" /spath="%USERPROFILE%\AppData\Local\Temp\OnboardLogs" /stypes="app*4003*20170226*" /stext=" 02:.+((SYSTEM_STATE.+slice.+state.+changed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1827-25 --locoid 4003 --swversion DE.1.0.9.0 --startMP 204:1048 --initTime 2017-02-25T19:15:50 --startdatetime 2017-02-25T19:21:31 --delay 1 --endMP 300:58941 --enddatetime 2017-02-25T19:34:26 --enforcementcount 1 &gt;&gt;C:\Users\stu\Documents\GitHub\eaglep3-reporting\EC\2017-02-25-refined-times.txt</v>
      </c>
      <c r="AI188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{"issue":{"subject":"","project_id":79,"tracker_id":40,"status_id":1,"priority_id":2,"assigned_to_id":23,"start_date":"2017-02-25","description":"","custom_fields":[{"id":1,"name":"Subdivision","value":"NW"},{"id":4,"name":"Milepost","value":"5.8941"},{"id":17,"name":"Train ID","value":"1827-25"},{"id":16,"name":"Locomotive ID","value":"4003"},{"id":130,"name":"Impact","value":""},{"id":150,"name":"Time of Event (Mountain Time)","value":"19:34:26"},{"id":151,"name":"Denver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6"/>
        <v>start /low /b %USERPROFILE%\Documents\GitHub\eaglep3\Utilities\DownloadLogsFromS3.py --loco 4003 --day 2017-02-25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89" spans="1:40" x14ac:dyDescent="0.25">
      <c r="A189" s="33" t="s">
        <v>610</v>
      </c>
      <c r="B189" s="7">
        <v>4004</v>
      </c>
      <c r="C189" s="21" t="s">
        <v>275</v>
      </c>
      <c r="D189" s="21" t="s">
        <v>289</v>
      </c>
      <c r="E189" s="13">
        <v>42791.817858796298</v>
      </c>
      <c r="F189" s="13">
        <v>42791.820196759261</v>
      </c>
      <c r="G189" s="7">
        <v>1</v>
      </c>
      <c r="H189" s="21" t="s">
        <v>263</v>
      </c>
      <c r="I189" s="13">
        <v>42791.830208333333</v>
      </c>
      <c r="J189" s="7">
        <v>1</v>
      </c>
      <c r="K189" s="98" t="str">
        <f t="shared" si="39"/>
        <v>4003/4004</v>
      </c>
      <c r="L189" s="21" t="str">
        <f>VLOOKUP(A189,'Trips&amp;Operators'!$C$1:$G$99999,5,FALSE)</f>
        <v>HELVIE ADAM</v>
      </c>
      <c r="M189" s="6">
        <f t="shared" si="40"/>
        <v>1.0011574071540963E-2</v>
      </c>
      <c r="N189" s="7">
        <f t="shared" si="41"/>
        <v>14.416666663018987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4"/>
        <v>https://d0f6bd738d7f1b3e5a7ca70fe4ff75f0.us-east-1.aws.found.io/app/kibana#/discover/Steve-Slow-Train-Analysis-(2080s-and-2083s)?_g=(refreshInterval:(display:Off,pause:!f,section:0,value:0),time:(from:'2017-02-25T18:37:43-0700',mode:absolute,to:'2017-02-25T20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9" s="197" t="str">
        <f t="shared" si="45"/>
        <v>N</v>
      </c>
      <c r="X189" s="197">
        <f t="shared" si="46"/>
        <v>1</v>
      </c>
      <c r="Y189" s="197">
        <f t="shared" si="47"/>
        <v>5.8628</v>
      </c>
      <c r="Z189" s="62">
        <f t="shared" si="48"/>
        <v>7.5399999999999995E-2</v>
      </c>
      <c r="AA189" s="62">
        <f t="shared" si="49"/>
        <v>5.7873999999999999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0"/>
        <v>1828-25</v>
      </c>
      <c r="AE189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89" s="82" t="str">
        <f t="shared" si="52"/>
        <v>"C:\Program Files (x86)\AstroGrep\AstroGrep.exe" /spath="%USERPROFILE%\AppData\Local\Temp\OnboardLogs" /stypes="app*4004*20170226*" /stext=" 02:.+((SYSTEM_STATE.+slice.+state.+changed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1828-25 --locoid 4004 --swversion DE.1.0.9.0 --startMP 300:58628 --initTime 2017-02-25T19:37:43 --startdatetime 2017-02-25T19:41:05 --delay 1 --endMP 204:754 --enddatetime 2017-02-25T19:55:30 --enforcementcount 1 &gt;&gt;C:\Users\stu\Documents\GitHub\eaglep3-reporting\EC\2017-02-25-refined-times.txt</v>
      </c>
      <c r="AI189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{"issue":{"subject":"","project_id":79,"tracker_id":40,"status_id":1,"priority_id":2,"assigned_to_id":23,"start_date":"2017-02-25","description":"","custom_fields":[{"id":1,"name":"Subdivision","value":"NW"},{"id":4,"name":"Milepost","value":"0.0754"},{"id":17,"name":"Train ID","value":"1828-25"},{"id":16,"name":"Locomotive ID","value":"4004"},{"id":130,"name":"Impact","value":""},{"id":150,"name":"Time of Event (Mountain Time)","value":"19:55:30"},{"id":151,"name":"Denver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6"/>
        <v>start /low /b %USERPROFILE%\Documents\GitHub\eaglep3\Utilities\DownloadLogsFromS3.py --loco 4004 --day 2017-02-25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190" spans="1:40" x14ac:dyDescent="0.25">
      <c r="A190" s="33" t="s">
        <v>611</v>
      </c>
      <c r="B190" s="7">
        <v>4003</v>
      </c>
      <c r="C190" s="21" t="s">
        <v>275</v>
      </c>
      <c r="D190" s="21" t="s">
        <v>389</v>
      </c>
      <c r="E190" s="13">
        <v>42791.845277777778</v>
      </c>
      <c r="F190" s="13">
        <v>42791.86209490741</v>
      </c>
      <c r="G190" s="7">
        <v>1</v>
      </c>
      <c r="H190" s="21" t="s">
        <v>612</v>
      </c>
      <c r="I190" s="13">
        <v>42791.871157407404</v>
      </c>
      <c r="J190" s="7">
        <v>1</v>
      </c>
      <c r="K190" s="98" t="str">
        <f t="shared" si="39"/>
        <v>4003/4004</v>
      </c>
      <c r="L190" s="21" t="str">
        <f>VLOOKUP(A190,'Trips&amp;Operators'!$C$1:$G$99999,5,FALSE)</f>
        <v>HELVIE ADAM</v>
      </c>
      <c r="M190" s="6">
        <f t="shared" si="40"/>
        <v>9.0624999938881956E-3</v>
      </c>
      <c r="N190" s="7">
        <f t="shared" si="41"/>
        <v>13.049999991199002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4"/>
        <v>https://d0f6bd738d7f1b3e5a7ca70fe4ff75f0.us-east-1.aws.found.io/app/kibana#/discover/Steve-Slow-Train-Analysis-(2080s-and-2083s)?_g=(refreshInterval:(display:Off,pause:!f,section:0,value:0),time:(from:'2017-02-25T19:17:12-0700',mode:absolute,to:'2017-02-25T21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0" s="197" t="str">
        <f t="shared" si="45"/>
        <v>N</v>
      </c>
      <c r="X190" s="197">
        <f t="shared" si="46"/>
        <v>1</v>
      </c>
      <c r="Y190" s="197">
        <f t="shared" si="47"/>
        <v>0.1027</v>
      </c>
      <c r="Z190" s="62">
        <f t="shared" si="48"/>
        <v>5.8921999999999999</v>
      </c>
      <c r="AA190" s="62">
        <f t="shared" si="49"/>
        <v>5.7895000000000003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0"/>
        <v>1829-25</v>
      </c>
      <c r="AE190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90" s="82" t="str">
        <f t="shared" si="52"/>
        <v>"C:\Program Files (x86)\AstroGrep\AstroGrep.exe" /spath="%USERPROFILE%\AppData\Local\Temp\OnboardLogs" /stypes="app*4003*20170226*" /stext=" 03:.+((SYSTEM_STATE.+slice.+state.+changed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1829-25 --locoid 4003 --swversion DE.1.0.9.0 --startMP 204:1027 --initTime 2017-02-25T20:17:12 --startdatetime 2017-02-25T20:41:25 --delay 1 --endMP 300:58922 --enddatetime 2017-02-25T20:54:28 --enforcementcount 1 &gt;&gt;C:\Users\stu\Documents\GitHub\eaglep3-reporting\EC\2017-02-25-refined-times.txt</v>
      </c>
      <c r="AI190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{"issue":{"subject":"","project_id":79,"tracker_id":40,"status_id":1,"priority_id":2,"assigned_to_id":23,"start_date":"2017-02-25","description":"","custom_fields":[{"id":1,"name":"Subdivision","value":"NW"},{"id":4,"name":"Milepost","value":"5.8922"},{"id":17,"name":"Train ID","value":"1829-25"},{"id":16,"name":"Locomotive ID","value":"4003"},{"id":130,"name":"Impact","value":""},{"id":150,"name":"Time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6"/>
        <v>start /low /b %USERPROFILE%\Documents\GitHub\eaglep3\Utilities\DownloadLogsFromS3.py --loco 4003 --day 2017-02-25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91" spans="1:40" x14ac:dyDescent="0.25">
      <c r="A191" s="33" t="s">
        <v>615</v>
      </c>
      <c r="B191" s="7">
        <v>4004</v>
      </c>
      <c r="C191" s="21" t="s">
        <v>275</v>
      </c>
      <c r="D191" s="21" t="s">
        <v>616</v>
      </c>
      <c r="E191" s="13">
        <v>42791.860509259262</v>
      </c>
      <c r="F191" s="13">
        <v>42791.86209490741</v>
      </c>
      <c r="G191" s="7">
        <v>1</v>
      </c>
      <c r="H191" s="21" t="s">
        <v>606</v>
      </c>
      <c r="I191" s="13">
        <v>42791.871157407404</v>
      </c>
      <c r="J191" s="7">
        <v>1</v>
      </c>
      <c r="K191" s="98" t="str">
        <f t="shared" si="39"/>
        <v>4003/4004</v>
      </c>
      <c r="L191" s="21" t="str">
        <f>VLOOKUP(A191,'Trips&amp;Operators'!$C$1:$G$99999,5,FALSE)</f>
        <v>HELVIE ADAM</v>
      </c>
      <c r="M191" s="6">
        <f t="shared" si="40"/>
        <v>9.0624999938881956E-3</v>
      </c>
      <c r="N191" s="7">
        <f t="shared" si="41"/>
        <v>13.049999991199002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4"/>
        <v>https://d0f6bd738d7f1b3e5a7ca70fe4ff75f0.us-east-1.aws.found.io/app/kibana#/discover/Steve-Slow-Train-Analysis-(2080s-and-2083s)?_g=(refreshInterval:(display:Off,pause:!f,section:0,value:0),time:(from:'2017-02-25T19:39:08-0700',mode:absolute,to:'2017-02-25T21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1" s="197" t="str">
        <f t="shared" si="45"/>
        <v>N</v>
      </c>
      <c r="X191" s="197">
        <f t="shared" si="46"/>
        <v>1</v>
      </c>
      <c r="Y191" s="197">
        <f t="shared" si="47"/>
        <v>5.8613</v>
      </c>
      <c r="Z191" s="62">
        <f t="shared" si="48"/>
        <v>7.6600000000000001E-2</v>
      </c>
      <c r="AA191" s="62">
        <f t="shared" si="49"/>
        <v>5.7847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0"/>
        <v>1830-25</v>
      </c>
      <c r="AE191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91" s="82" t="str">
        <f t="shared" si="52"/>
        <v>"C:\Program Files (x86)\AstroGrep\AstroGrep.exe" /spath="%USERPROFILE%\AppData\Local\Temp\OnboardLogs" /stypes="app*4004*20170226*" /stext=" 03:.+((SYSTEM_STATE.+slice.+state.+changed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1830-25 --locoid 4004 --swversion DE.1.0.9.0 --startMP 300:58613 --initTime 2017-02-25T20:39:08 --startdatetime 2017-02-25T20:41:25 --delay 1 --endMP 204:766 --enddatetime 2017-02-25T20:54:28 --enforcementcount 1 &gt;&gt;C:\Users\stu\Documents\GitHub\eaglep3-reporting\EC\2017-02-25-refined-times.txt</v>
      </c>
      <c r="AI191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{"issue":{"subject":"","project_id":79,"tracker_id":40,"status_id":1,"priority_id":2,"assigned_to_id":23,"start_date":"2017-02-25","description":"","custom_fields":[{"id":1,"name":"Subdivision","value":"NW"},{"id":4,"name":"Milepost","value":"0.0766"},{"id":17,"name":"Train ID","value":"1830-25"},{"id":16,"name":"Locomotive ID","value":"4004"},{"id":130,"name":"Impact","value":""},{"id":150,"name":"Time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6"/>
        <v>start /low /b %USERPROFILE%\Documents\GitHub\eaglep3\Utilities\DownloadLogsFromS3.py --loco 4004 --day 2017-02-25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192" spans="1:40" x14ac:dyDescent="0.25">
      <c r="A192" s="33" t="s">
        <v>617</v>
      </c>
      <c r="B192" s="7">
        <v>4003</v>
      </c>
      <c r="C192" s="21" t="s">
        <v>275</v>
      </c>
      <c r="D192" s="21" t="s">
        <v>618</v>
      </c>
      <c r="E192" s="13">
        <v>42791.886331018519</v>
      </c>
      <c r="F192" s="13">
        <v>42791.889918981484</v>
      </c>
      <c r="G192" s="7">
        <v>1</v>
      </c>
      <c r="H192" s="21" t="s">
        <v>619</v>
      </c>
      <c r="I192" s="13">
        <v>42791.899594907409</v>
      </c>
      <c r="J192" s="7">
        <v>1</v>
      </c>
      <c r="K192" s="98" t="str">
        <f t="shared" si="39"/>
        <v>4003/4004</v>
      </c>
      <c r="L192" s="21" t="str">
        <f>VLOOKUP(A192,'Trips&amp;Operators'!$C$1:$G$99999,5,FALSE)</f>
        <v>PERKINS DARREN</v>
      </c>
      <c r="M192" s="6">
        <f t="shared" si="40"/>
        <v>9.6759259249665774E-3</v>
      </c>
      <c r="N192" s="7">
        <f t="shared" si="41"/>
        <v>13.933333331951872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4"/>
        <v>https://d0f6bd738d7f1b3e5a7ca70fe4ff75f0.us-east-1.aws.found.io/app/kibana#/discover/Steve-Slow-Train-Analysis-(2080s-and-2083s)?_g=(refreshInterval:(display:Off,pause:!f,section:0,value:0),time:(from:'2017-02-25T20:16:19-0700',mode:absolute,to:'2017-02-25T22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2" s="197" t="str">
        <f t="shared" si="45"/>
        <v>N</v>
      </c>
      <c r="X192" s="197">
        <f t="shared" si="46"/>
        <v>1</v>
      </c>
      <c r="Y192" s="197">
        <f t="shared" si="47"/>
        <v>0.1051</v>
      </c>
      <c r="Z192" s="62">
        <f t="shared" si="48"/>
        <v>5.8925999999999998</v>
      </c>
      <c r="AA192" s="62">
        <f t="shared" si="49"/>
        <v>5.7874999999999996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0"/>
        <v>1831-25</v>
      </c>
      <c r="AE192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92" s="82" t="str">
        <f t="shared" si="52"/>
        <v>"C:\Program Files (x86)\AstroGrep\AstroGrep.exe" /spath="%USERPROFILE%\AppData\Local\Temp\OnboardLogs" /stypes="app*4003*20170226*" /stext=" 04:.+((SYSTEM_STATE.+slice.+state.+changed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1831-25 --locoid 4003 --swversion DE.1.0.9.0 --startMP 204:1051 --initTime 2017-02-25T21:16:19 --startdatetime 2017-02-25T21:21:29 --delay 1 --endMP 300:58926 --enddatetime 2017-02-25T21:35:25 --enforcementcount 1 &gt;&gt;C:\Users\stu\Documents\GitHub\eaglep3-reporting\EC\2017-02-25-refined-times.txt</v>
      </c>
      <c r="AI192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{"issue":{"subject":"","project_id":79,"tracker_id":40,"status_id":1,"priority_id":2,"assigned_to_id":23,"start_date":"2017-02-25","description":"","custom_fields":[{"id":1,"name":"Subdivision","value":"NW"},{"id":4,"name":"Milepost","value":"5.8926"},{"id":17,"name":"Train ID","value":"1831-25"},{"id":16,"name":"Locomotive ID","value":"4003"},{"id":130,"name":"Impact","value":""},{"id":150,"name":"Time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6"/>
        <v>start /low /b %USERPROFILE%\Documents\GitHub\eaglep3\Utilities\DownloadLogsFromS3.py --loco 4003 --day 2017-02-25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93" spans="1:40" x14ac:dyDescent="0.25">
      <c r="A193" s="33" t="s">
        <v>620</v>
      </c>
      <c r="B193" s="7">
        <v>4004</v>
      </c>
      <c r="C193" s="21" t="s">
        <v>275</v>
      </c>
      <c r="D193" s="21" t="s">
        <v>391</v>
      </c>
      <c r="E193" s="13">
        <v>42791.900752314818</v>
      </c>
      <c r="F193" s="13">
        <v>42791.902870370373</v>
      </c>
      <c r="G193" s="7">
        <v>1</v>
      </c>
      <c r="H193" s="21" t="s">
        <v>621</v>
      </c>
      <c r="I193" s="13">
        <v>42791.91337962963</v>
      </c>
      <c r="J193" s="7">
        <v>1</v>
      </c>
      <c r="K193" s="98" t="str">
        <f t="shared" si="39"/>
        <v>4003/4004</v>
      </c>
      <c r="L193" s="21" t="str">
        <f>VLOOKUP(A193,'Trips&amp;Operators'!$C$1:$G$99999,5,FALSE)</f>
        <v>PERKINS DARREN</v>
      </c>
      <c r="M193" s="6">
        <f t="shared" si="40"/>
        <v>1.0509259256650694E-2</v>
      </c>
      <c r="N193" s="7">
        <f t="shared" si="41"/>
        <v>15.133333329576999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4"/>
        <v>https://d0f6bd738d7f1b3e5a7ca70fe4ff75f0.us-east-1.aws.found.io/app/kibana#/discover/Steve-Slow-Train-Analysis-(2080s-and-2083s)?_g=(refreshInterval:(display:Off,pause:!f,section:0,value:0),time:(from:'2017-02-25T20:37:05-0700',mode:absolute,to:'2017-02-25T22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3" s="197" t="str">
        <f t="shared" si="45"/>
        <v>N</v>
      </c>
      <c r="X193" s="197">
        <f t="shared" si="46"/>
        <v>1</v>
      </c>
      <c r="Y193" s="197">
        <f t="shared" si="47"/>
        <v>5.8605999999999998</v>
      </c>
      <c r="Z193" s="62">
        <f t="shared" si="48"/>
        <v>7.4099999999999999E-2</v>
      </c>
      <c r="AA193" s="62">
        <f t="shared" si="49"/>
        <v>5.7865000000000002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0"/>
        <v>1832-25</v>
      </c>
      <c r="AE193" s="85" t="str">
        <f t="shared" si="51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193" s="82" t="str">
        <f t="shared" si="52"/>
        <v>"C:\Program Files (x86)\AstroGrep\AstroGrep.exe" /spath="%USERPROFILE%\AppData\Local\Temp\OnboardLogs" /stypes="app*4004*20170226*" /stext=" 04:.+((SYSTEM_STATE.+slice.+state.+changed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1832-25 --locoid 4004 --swversion DE.1.0.9.0 --startMP 300:58606 --initTime 2017-02-25T21:37:05 --startdatetime 2017-02-25T21:40:08 --delay 1 --endMP 204:741 --enddatetime 2017-02-25T21:55:16 --enforcementcount 1 &gt;&gt;C:\Users\stu\Documents\GitHub\eaglep3-reporting\EC\2017-02-25-refined-times.txt</v>
      </c>
      <c r="AI193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{"issue":{"subject":"","project_id":79,"tracker_id":40,"status_id":1,"priority_id":2,"assigned_to_id":23,"start_date":"2017-02-25","description":"","custom_fields":[{"id":1,"name":"Subdivision","value":"NW"},{"id":4,"name":"Milepost","value":"0.0741"},{"id":17,"name":"Train ID","value":"1832-25"},{"id":16,"name":"Locomotive ID","value":"4004"},{"id":130,"name":"Impact","value":""},{"id":150,"name":"Time of Event (Mountain Time)","value":"21:55:16"},{"id":151,"name":"Denver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6"/>
        <v>start /low /b %USERPROFILE%\Documents\GitHub\eaglep3\Utilities\DownloadLogsFromS3.py --loco 4004 --day 2017-02-25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194" spans="1:40" x14ac:dyDescent="0.25">
      <c r="A194" s="33" t="s">
        <v>622</v>
      </c>
      <c r="B194" s="7">
        <v>4003</v>
      </c>
      <c r="C194" s="21" t="s">
        <v>275</v>
      </c>
      <c r="D194" s="21" t="s">
        <v>389</v>
      </c>
      <c r="E194" s="13">
        <v>42791.923657407409</v>
      </c>
      <c r="F194" s="13">
        <v>42791.931435185186</v>
      </c>
      <c r="G194" s="7">
        <v>1</v>
      </c>
      <c r="H194" s="21" t="s">
        <v>288</v>
      </c>
      <c r="I194" s="13">
        <v>42791.941238425927</v>
      </c>
      <c r="J194" s="7">
        <v>1</v>
      </c>
      <c r="K194" s="98" t="str">
        <f t="shared" si="39"/>
        <v>4003/4004</v>
      </c>
      <c r="L194" s="21" t="str">
        <f>VLOOKUP(A194,'Trips&amp;Operators'!$C$1:$G$99999,5,FALSE)</f>
        <v>HELVIE ADAM</v>
      </c>
      <c r="M194" s="6">
        <f t="shared" si="40"/>
        <v>9.8032407404389232E-3</v>
      </c>
      <c r="N194" s="7">
        <f t="shared" si="41"/>
        <v>14.116666666232049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4"/>
        <v>https://d0f6bd738d7f1b3e5a7ca70fe4ff75f0.us-east-1.aws.found.io/app/kibana#/discover/Steve-Slow-Train-Analysis-(2080s-and-2083s)?_g=(refreshInterval:(display:Off,pause:!f,section:0,value:0),time:(from:'2017-02-25T21:10:04-0700',mode:absolute,to:'2017-02-25T23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97" t="str">
        <f t="shared" si="45"/>
        <v>N</v>
      </c>
      <c r="X194" s="197">
        <f t="shared" si="46"/>
        <v>1</v>
      </c>
      <c r="Y194" s="197">
        <f t="shared" si="47"/>
        <v>0.1027</v>
      </c>
      <c r="Z194" s="62">
        <f t="shared" si="48"/>
        <v>5.8930999999999996</v>
      </c>
      <c r="AA194" s="62">
        <f t="shared" si="49"/>
        <v>5.7904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0"/>
        <v>1833-25</v>
      </c>
      <c r="AE194" s="85" t="str">
        <f t="shared" si="51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194" s="82" t="str">
        <f t="shared" si="52"/>
        <v>"C:\Program Files (x86)\AstroGrep\AstroGrep.exe" /spath="%USERPROFILE%\AppData\Local\Temp\OnboardLogs" /stypes="app*4003*20170226*" /stext=" 05:.+((SYSTEM_STATE.+slice.+state.+changed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6" t="str">
        <f t="shared" si="54"/>
        <v>"%USERPROFILE%\Documents\GitHub\eaglep3\Utilities\RefineRTDCRunTimes.py" --tripid 1833-25 --locoid 4003 --swversion DE.1.0.9.0 --startMP 204:1027 --initTime 2017-02-25T22:10:04 --startdatetime 2017-02-25T22:21:16 --delay 1 --endMP 300:58931 --enddatetime 2017-02-25T22:35:23 --enforcementcount 1 &gt;&gt;C:\Users\stu\Documents\GitHub\eaglep3-reporting\EC\2017-02-25-refined-times.txt</v>
      </c>
      <c r="AI194" s="108" t="str">
        <f t="shared" si="55"/>
        <v>echo {"issue":{"subject":"","project_id":79,"tracker_id":40,"status_id":1,"priority_id":2,"assigned_to_id":23,"start_date":"2017-02-25","description":"","custom_fields":[{"id":1,"name":"Subdivision","value":"NW"},{"id":4,"name":"Milepost","value":"5.8931"},{"id":17,"name":"Train ID","value":"1833-25"},{"id":16,"name":"Locomotive ID","value":"4003"},{"id":130,"name":"Impact","value":""},{"id":150,"name":"Time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6"/>
        <v>start /low /b %USERPROFILE%\Documents\GitHub\eaglep3\Utilities\DownloadLogsFromS3.py --loco 4003 --day 2017-02-25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2017-02-25-UncaughtWiMAX.txt</v>
      </c>
    </row>
    <row r="195" spans="1:40" x14ac:dyDescent="0.25">
      <c r="A195" s="33" t="s">
        <v>703</v>
      </c>
      <c r="B195" s="7">
        <v>4005</v>
      </c>
      <c r="C195" s="21" t="s">
        <v>275</v>
      </c>
      <c r="D195" s="21" t="s">
        <v>704</v>
      </c>
      <c r="E195" s="13">
        <v>42791.121932870374</v>
      </c>
      <c r="F195" s="13">
        <v>42791.123171296298</v>
      </c>
      <c r="G195" s="7">
        <v>1</v>
      </c>
      <c r="H195" s="21" t="s">
        <v>258</v>
      </c>
      <c r="I195" s="13">
        <v>42791.128645833334</v>
      </c>
      <c r="J195" s="7">
        <v>1</v>
      </c>
      <c r="K195" s="98" t="str">
        <f t="shared" si="39"/>
        <v>4005/4006</v>
      </c>
      <c r="L195" s="21" t="str">
        <f>VLOOKUP(A195,'Trips&amp;Operators'!$C$1:$G$99999,5,FALSE)</f>
        <v>BADERTSCHER DIANE</v>
      </c>
      <c r="M195" s="6">
        <f t="shared" si="40"/>
        <v>5.4745370362070389E-3</v>
      </c>
      <c r="N195" s="7">
        <f t="shared" si="41"/>
        <v>7.883333332138136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4"/>
        <v>https://d0f6bd738d7f1b3e5a7ca70fe4ff75f0.us-east-1.aws.found.io/app/kibana#/discover/Steve-Slow-Train-Analysis-(2080s-and-2083s)?_g=(refreshInterval:(display:Off,pause:!f,section:0,value:0),time:(from:'2017-02-25T01:55:35-0700',mode:absolute,to:'2017-02-25T04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197" t="str">
        <f t="shared" si="45"/>
        <v>Y</v>
      </c>
      <c r="X195" s="197">
        <f t="shared" si="46"/>
        <v>-1531</v>
      </c>
      <c r="Y195" s="197">
        <f t="shared" si="47"/>
        <v>2.2783000000000002</v>
      </c>
      <c r="Z195" s="62">
        <f t="shared" si="48"/>
        <v>1.47E-2</v>
      </c>
      <c r="AA195" s="62">
        <f t="shared" si="49"/>
        <v>2.2636000000000003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0"/>
        <v>0302-25</v>
      </c>
      <c r="AE195" s="85" t="str">
        <f t="shared" si="51"/>
        <v>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 &amp; aws s3 cp s3://rtdc.mdm.uploadarchive.raw/RTDC4005/ "%USERPROFILE%\AppData\Local\Temp\OnboardLogs"\RTDC4005\2017-02-26 --exclude "*" --recursive --include "*20170226*" &amp; "%USERPROFILE%\Documents\GitHub\mrs-test-scripts\Headless Mode &amp; Sideloading\WalkAndUnGZ.bat" "%USERPROFILE%\AppData\Local\Temp\OnboardLogs"\RTDC4005\2017-02-26</v>
      </c>
      <c r="AF195" s="82" t="str">
        <f t="shared" si="52"/>
        <v>"C:\Program Files (x86)\AstroGrep\AstroGrep.exe" /spath="%USERPROFILE%\AppData\Local\Temp\OnboardLogs" /stypes="app*4005*20170225*" /stext=" 10:.+((SYSTEM_STATE.+slice.+state.+changed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6" t="str">
        <f t="shared" si="54"/>
        <v>"%USERPROFILE%\Documents\GitHub\eaglep3\Utilities\RefineRTDCRunTimes.py" --tripid 302-25 --locoid 4005 --swversion DE.1.0.9.0 --startMP 300:22783 --initTime 2017-02-25T02:55:35 --startdatetime 2017-02-25T02:57:22 --delay 1 --endMP 204:147 --enddatetime 2017-02-25T03:05:15 --enforcementcount 1 &gt;&gt;C:\Users\stu\Documents\GitHub\eaglep3-reporting\EC\2017-02-25-refined-times.txt</v>
      </c>
      <c r="AI195" s="108" t="str">
        <f t="shared" si="55"/>
        <v>echo {"issue":{"subject":"","project_id":79,"tracker_id":40,"status_id":1,"priority_id":2,"assigned_to_id":23,"start_date":"2017-02-25","description":"","custom_fields":[{"id":1,"name":"Subdivision","value":"Other"},{"id":4,"name":"Milepost","value":"0.0147"},{"id":17,"name":"Train ID","value":"302-25"},{"id":16,"name":"Locomotive ID","value":"4005"},{"id":130,"name":"Impact","value":""},{"id":150,"name":"Time of Event (Mountain Time)","value":"03:05:15"},{"id":151,"name":"Denver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6"/>
        <v>start /low /b %USERPROFILE%\Documents\GitHub\eaglep3\Utilities\DownloadLogsFromS3.py --loco 4005 --day 2017-02-25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"%USERPROFILE%\AppData\Local\Temp\OnboardLogs"\RTDC4005\*4005*20170225* | grep -SE "(Enforcement Action)|(\[TIMEOUT)|(CHR.+\|PRM\|1\|D.+(SWITCH|SIGNAL).+UNKNOWN)" - &gt;&gt; 2017-02-25-UncaughtWiMAX.txt</v>
      </c>
    </row>
    <row r="196" spans="1:40" x14ac:dyDescent="0.25">
      <c r="A196" s="33" t="s">
        <v>705</v>
      </c>
      <c r="B196" s="7">
        <v>4053</v>
      </c>
      <c r="C196" s="21" t="s">
        <v>275</v>
      </c>
      <c r="D196" s="21" t="s">
        <v>222</v>
      </c>
      <c r="E196" s="13">
        <v>42791.778414351851</v>
      </c>
      <c r="F196" s="13">
        <v>25568.708333333332</v>
      </c>
      <c r="G196" s="7">
        <v>1</v>
      </c>
      <c r="H196" s="21" t="s">
        <v>259</v>
      </c>
      <c r="I196" s="13">
        <v>25568.708333333332</v>
      </c>
      <c r="J196" s="7">
        <v>1</v>
      </c>
      <c r="K196" s="98" t="str">
        <f t="shared" si="39"/>
        <v>4053/4054</v>
      </c>
      <c r="L196" s="21" t="str">
        <f>VLOOKUP(A196,'Trips&amp;Operators'!$C$1:$G$99999,5,FALSE)</f>
        <v>KILLION DAVID</v>
      </c>
      <c r="M196" s="6">
        <f t="shared" si="40"/>
        <v>0</v>
      </c>
      <c r="N196" s="7">
        <f t="shared" si="41"/>
        <v>0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4"/>
        <v>https://d0f6bd738d7f1b3e5a7ca70fe4ff75f0.us-east-1.aws.found.io/app/kibana#/discover/Steve-Slow-Train-Analysis-(2080s-and-2083s)?_g=(refreshInterval:(display:Off,pause:!f,section:0,value:0),time:(from:'2017-02-25T17:40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7" t="str">
        <f t="shared" si="45"/>
        <v>Y</v>
      </c>
      <c r="X196" s="197">
        <f t="shared" si="46"/>
        <v>1</v>
      </c>
      <c r="Y196" s="197">
        <f t="shared" si="47"/>
        <v>4.5999999999999999E-2</v>
      </c>
      <c r="Z196" s="62">
        <f t="shared" si="48"/>
        <v>2.3346</v>
      </c>
      <c r="AA196" s="62">
        <f t="shared" si="49"/>
        <v>2.2886000000000002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0"/>
        <v>0303-25</v>
      </c>
      <c r="AE196" s="85" t="str">
        <f t="shared" si="5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6" s="82" t="str">
        <f t="shared" si="52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6" t="str">
        <f t="shared" si="54"/>
        <v>"%USERPROFILE%\Documents\GitHub\eaglep3\Utilities\RefineRTDCRunTimes.py" --tripid 303-25 --locoid 4053 --swversion DE.1.0.9.0 --startMP 204:460 --initTime 2017-02-25T18:40:55 --startdatetime 1969-12-31T17:00:00 --delay 1 --endMP 300:23346 --enddatetime 1969-12-31T17:00:00 --enforcementcount 1 &gt;&gt;C:\Users\stu\Documents\GitHub\eaglep3-reporting\EC\2017-02-25-refined-times.txt</v>
      </c>
      <c r="AI196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6"/>
        <v>start /low /b %USERPROFILE%\Documents\GitHub\eaglep3\Utilities\DownloadLogsFromS3.py --loco 4053 --day 1969-12-31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2017-02-25-UncaughtWiMAX.txt</v>
      </c>
    </row>
    <row r="197" spans="1:40" x14ac:dyDescent="0.25">
      <c r="A197" s="33" t="s">
        <v>706</v>
      </c>
      <c r="B197" s="7">
        <v>4028</v>
      </c>
      <c r="C197" s="21" t="s">
        <v>275</v>
      </c>
      <c r="D197" s="21" t="s">
        <v>707</v>
      </c>
      <c r="E197" s="13">
        <v>42791.135428240741</v>
      </c>
      <c r="F197" s="13">
        <v>42791.139085648145</v>
      </c>
      <c r="G197" s="7">
        <v>4</v>
      </c>
      <c r="H197" s="21" t="s">
        <v>239</v>
      </c>
      <c r="I197" s="13">
        <v>42791.14466435185</v>
      </c>
      <c r="J197" s="7">
        <v>1</v>
      </c>
      <c r="K197" s="98" t="str">
        <f t="shared" si="39"/>
        <v>4027/4028</v>
      </c>
      <c r="L197" s="21" t="str">
        <f>VLOOKUP(A197,'Trips&amp;Operators'!$C$1:$G$99999,5,FALSE)</f>
        <v>ROBINSON KADDIBA</v>
      </c>
      <c r="M197" s="6">
        <f t="shared" si="40"/>
        <v>5.5787037053960375E-3</v>
      </c>
      <c r="N197" s="7">
        <f t="shared" si="41"/>
        <v>8.0333333357702941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4"/>
        <v>https://d0f6bd738d7f1b3e5a7ca70fe4ff75f0.us-east-1.aws.found.io/app/kibana#/discover/Steve-Slow-Train-Analysis-(2080s-and-2083s)?_g=(refreshInterval:(display:Off,pause:!f,section:0,value:0),time:(from:'2017-02-25T02:15:01-0700',mode:absolute,to:'2017-02-25T04:28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197" t="str">
        <f t="shared" si="45"/>
        <v>Y</v>
      </c>
      <c r="X197" s="197">
        <f t="shared" si="46"/>
        <v>1</v>
      </c>
      <c r="Y197" s="197">
        <f t="shared" si="47"/>
        <v>2.1932999999999998</v>
      </c>
      <c r="Z197" s="62">
        <f t="shared" si="48"/>
        <v>1.3899999999999999E-2</v>
      </c>
      <c r="AA197" s="62">
        <f t="shared" si="49"/>
        <v>2.1793999999999998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0"/>
        <v>0304-25</v>
      </c>
      <c r="AE197" s="85" t="str">
        <f t="shared" si="51"/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AF197" s="82" t="str">
        <f t="shared" si="52"/>
        <v>"C:\Program Files (x86)\AstroGrep\AstroGrep.exe" /spath="%USERPROFILE%\AppData\Local\Temp\OnboardLogs" /stypes="app*4028*20170225*" /stext=" 10:.+((SYSTEM_STATE.+slice.+state.+changed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6" t="str">
        <f t="shared" si="54"/>
        <v>"%USERPROFILE%\Documents\GitHub\eaglep3\Utilities\RefineRTDCRunTimes.py" --tripid 304-25 --locoid 4028 --swversion DE.1.0.9.0 --startMP 300:21933 --initTime 2017-02-25T03:15:01 --startdatetime 2017-02-25T03:20:17 --delay 4 --endMP 204:139 --enddatetime 2017-02-25T03:28:19 --enforcementcount 1 &gt;&gt;C:\Users\stu\Documents\GitHub\eaglep3-reporting\EC\2017-02-25-refined-times.txt</v>
      </c>
      <c r="AI197" s="108" t="str">
        <f t="shared" si="55"/>
        <v>echo {"issue":{"subject":"","project_id":79,"tracker_id":40,"status_id":1,"priority_id":2,"assigned_to_id":23,"start_date":"2017-02-25","description":"","custom_fields":[{"id":1,"name":"Subdivision","value":"Other"},{"id":4,"name":"Milepost","value":"0.0139"},{"id":17,"name":"Train ID","value":"304-25"},{"id":16,"name":"Locomotive ID","value":"4028"},{"id":130,"name":"Impact","value":""},{"id":150,"name":"Time of Event (Mountain Time)","value":"03:28:19"},{"id":151,"name":"Denver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6"/>
        <v>start /low /b %USERPROFILE%\Documents\GitHub\eaglep3\Utilities\DownloadLogsFromS3.py --loco 4028 --day 2017-02-25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2017-02-25-UncaughtWiMAX.txt</v>
      </c>
    </row>
    <row r="198" spans="1:40" x14ac:dyDescent="0.25">
      <c r="A198" s="33" t="s">
        <v>708</v>
      </c>
      <c r="B198" s="7">
        <v>4018</v>
      </c>
      <c r="C198" s="21" t="s">
        <v>275</v>
      </c>
      <c r="D198" s="21" t="s">
        <v>237</v>
      </c>
      <c r="E198" s="13">
        <v>42791.798252314817</v>
      </c>
      <c r="F198" s="13">
        <v>25568.708333333332</v>
      </c>
      <c r="G198" s="7">
        <v>1</v>
      </c>
      <c r="H198" s="21" t="s">
        <v>384</v>
      </c>
      <c r="I198" s="13">
        <v>25568.708333333332</v>
      </c>
      <c r="J198" s="7">
        <v>1</v>
      </c>
      <c r="K198" s="98" t="str">
        <f t="shared" si="39"/>
        <v>4017/4018</v>
      </c>
      <c r="L198" s="21" t="str">
        <f>VLOOKUP(A198,'Trips&amp;Operators'!$C$1:$G$99999,5,FALSE)</f>
        <v>HOLCOMB KAMDEN</v>
      </c>
      <c r="M198" s="6">
        <f t="shared" si="40"/>
        <v>0</v>
      </c>
      <c r="N198" s="7">
        <f t="shared" si="41"/>
        <v>0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4"/>
        <v>https://d0f6bd738d7f1b3e5a7ca70fe4ff75f0.us-east-1.aws.found.io/app/kibana#/discover/Steve-Slow-Train-Analysis-(2080s-and-2083s)?_g=(refreshInterval:(display:Off,pause:!f,section:0,value:0),time:(from:'2017-02-25T18:09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97" t="str">
        <f t="shared" si="45"/>
        <v>Y</v>
      </c>
      <c r="X198" s="197">
        <f t="shared" si="46"/>
        <v>1</v>
      </c>
      <c r="Y198" s="197">
        <f t="shared" si="47"/>
        <v>4.4600000000000001E-2</v>
      </c>
      <c r="Z198" s="62">
        <f t="shared" si="48"/>
        <v>2.3300999999999998</v>
      </c>
      <c r="AA198" s="62">
        <f t="shared" si="49"/>
        <v>2.2854999999999999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0"/>
        <v>0305-25</v>
      </c>
      <c r="AE198" s="85" t="str">
        <f t="shared" si="5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8" s="82" t="str">
        <f t="shared" si="5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6" t="str">
        <f t="shared" si="54"/>
        <v>"%USERPROFILE%\Documents\GitHub\eaglep3\Utilities\RefineRTDCRunTimes.py" --tripid 305-25 --locoid 4018 --swversion DE.1.0.9.0 --startMP 204:446 --initTime 2017-02-25T19:09:29 --startdatetime 1969-12-31T17:00:00 --delay 1 --endMP 300:23301 --enddatetime 1969-12-31T17:00:00 --enforcementcount 1 &gt;&gt;C:\Users\stu\Documents\GitHub\eaglep3-reporting\EC\2017-02-25-refined-times.txt</v>
      </c>
      <c r="AI198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ID","value":"305-25"},{"id":16,"name":"Locomotive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6"/>
        <v>start /low /b %USERPROFILE%\Documents\GitHub\eaglep3\Utilities\DownloadLogsFromS3.py --loco 4018 --day 1969-12-31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2017-02-25-UncaughtWiMAX.txt</v>
      </c>
    </row>
    <row r="199" spans="1:40" x14ac:dyDescent="0.25">
      <c r="A199" s="33" t="s">
        <v>709</v>
      </c>
      <c r="B199" s="7">
        <v>4017</v>
      </c>
      <c r="C199" s="21" t="s">
        <v>275</v>
      </c>
      <c r="D199" s="21" t="s">
        <v>710</v>
      </c>
      <c r="E199" s="13">
        <v>42791.158622685187</v>
      </c>
      <c r="F199" s="13">
        <v>42791.161354166667</v>
      </c>
      <c r="G199" s="7">
        <v>3</v>
      </c>
      <c r="H199" s="21" t="s">
        <v>258</v>
      </c>
      <c r="I199" s="13">
        <v>42791.167337962965</v>
      </c>
      <c r="J199" s="7">
        <v>1</v>
      </c>
      <c r="K199" s="98" t="str">
        <f t="shared" si="39"/>
        <v>4017/4018</v>
      </c>
      <c r="L199" s="21" t="str">
        <f>VLOOKUP(A199,'Trips&amp;Operators'!$C$1:$G$99999,5,FALSE)</f>
        <v>DE LA ROSA ALEX</v>
      </c>
      <c r="M199" s="6">
        <f t="shared" si="40"/>
        <v>5.9837962980964221E-3</v>
      </c>
      <c r="N199" s="7">
        <f t="shared" si="41"/>
        <v>8.6166666692588478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4"/>
        <v>https://d0f6bd738d7f1b3e5a7ca70fe4ff75f0.us-east-1.aws.found.io/app/kibana#/discover/Steve-Slow-Train-Analysis-(2080s-and-2083s)?_g=(refreshInterval:(display:Off,pause:!f,section:0,value:0),time:(from:'2017-02-25T02:48:25-0700',mode:absolute,to:'2017-02-25T05:00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7" t="str">
        <f t="shared" si="45"/>
        <v>Y</v>
      </c>
      <c r="X199" s="197">
        <f t="shared" si="46"/>
        <v>1</v>
      </c>
      <c r="Y199" s="197">
        <f t="shared" si="47"/>
        <v>2.2496999999999998</v>
      </c>
      <c r="Z199" s="62">
        <f t="shared" si="48"/>
        <v>1.47E-2</v>
      </c>
      <c r="AA199" s="62">
        <f t="shared" si="49"/>
        <v>2.2349999999999999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0"/>
        <v>0306-25</v>
      </c>
      <c r="AE199" s="85" t="str">
        <f t="shared" si="51"/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AF199" s="82" t="str">
        <f t="shared" si="52"/>
        <v>"C:\Program Files (x86)\AstroGrep\AstroGrep.exe" /spath="%USERPROFILE%\AppData\Local\Temp\OnboardLogs" /stypes="app*4017*20170225*" /stext=" 11:.+((SYSTEM_STATE.+slice.+state.+changed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6" t="str">
        <f t="shared" si="54"/>
        <v>"%USERPROFILE%\Documents\GitHub\eaglep3\Utilities\RefineRTDCRunTimes.py" --tripid 306-25 --locoid 4017 --swversion DE.1.0.9.0 --startMP 300:22497 --initTime 2017-02-25T03:48:25 --startdatetime 2017-02-25T03:52:21 --delay 3 --endMP 204:147 --enddatetime 2017-02-25T04:00:58 --enforcementcount 1 &gt;&gt;C:\Users\stu\Documents\GitHub\eaglep3-reporting\EC\2017-02-25-refined-times.txt</v>
      </c>
      <c r="AI199" s="108" t="str">
        <f t="shared" si="55"/>
        <v>echo {"issue":{"subject":"","project_id":79,"tracker_id":40,"status_id":1,"priority_id":2,"assigned_to_id":23,"start_date":"2017-02-25","description":"","custom_fields":[{"id":1,"name":"Subdivision","value":"Other"},{"id":4,"name":"Milepost","value":"0.0147"},{"id":17,"name":"Train ID","value":"306-25"},{"id":16,"name":"Locomotive ID","value":"4017"},{"id":130,"name":"Impact","value":""},{"id":150,"name":"Time of Event (Mountain Time)","value":"04:00:58"},{"id":151,"name":"Denver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6"/>
        <v>start /low /b %USERPROFILE%\Documents\GitHub\eaglep3\Utilities\DownloadLogsFromS3.py --loco 4017 --day 2017-02-25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"%USERPROFILE%\AppData\Local\Temp\OnboardLogs"\RTDC4017\*4017*20170225* | grep -SE "(Enforcement Action)|(\[TIMEOUT)|(CHR.+\|PRM\|1\|D.+(SWITCH|SIGNAL).+UNKNOWN)" - &gt;&gt; 2017-02-25-UncaughtWiMAX.txt</v>
      </c>
    </row>
    <row r="200" spans="1:40" x14ac:dyDescent="0.25">
      <c r="A200" s="33" t="s">
        <v>711</v>
      </c>
      <c r="B200" s="7">
        <v>4043</v>
      </c>
      <c r="C200" s="21" t="s">
        <v>275</v>
      </c>
      <c r="D200" s="21" t="s">
        <v>712</v>
      </c>
      <c r="E200" s="13">
        <v>42791.170138888891</v>
      </c>
      <c r="F200" s="13">
        <v>42791.173530092594</v>
      </c>
      <c r="G200" s="7">
        <v>4</v>
      </c>
      <c r="H200" s="21" t="s">
        <v>258</v>
      </c>
      <c r="I200" s="13">
        <v>42791.179074074076</v>
      </c>
      <c r="J200" s="7">
        <v>1</v>
      </c>
      <c r="K200" s="98" t="str">
        <f t="shared" si="39"/>
        <v>4043/4044</v>
      </c>
      <c r="L200" s="21" t="str">
        <f>VLOOKUP(A200,'Trips&amp;Operators'!$C$1:$G$99999,5,FALSE)</f>
        <v>BRANDNER MELINDA</v>
      </c>
      <c r="M200" s="6">
        <f t="shared" si="40"/>
        <v>5.543981482333038E-3</v>
      </c>
      <c r="N200" s="7">
        <f t="shared" si="41"/>
        <v>7.9833333345595747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4"/>
        <v>https://d0f6bd738d7f1b3e5a7ca70fe4ff75f0.us-east-1.aws.found.io/app/kibana#/discover/Steve-Slow-Train-Analysis-(2080s-and-2083s)?_g=(refreshInterval:(display:Off,pause:!f,section:0,value:0),time:(from:'2017-02-25T03:05:00-0700',mode:absolute,to:'2017-02-25T05:17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 t="shared" si="45"/>
        <v>Y</v>
      </c>
      <c r="X200" s="197">
        <f t="shared" si="46"/>
        <v>2</v>
      </c>
      <c r="Y200" s="197">
        <f t="shared" si="47"/>
        <v>2.2749000000000001</v>
      </c>
      <c r="Z200" s="62">
        <f t="shared" si="48"/>
        <v>1.47E-2</v>
      </c>
      <c r="AA200" s="62">
        <f t="shared" si="49"/>
        <v>2.2602000000000002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0"/>
        <v>0308-25</v>
      </c>
      <c r="AE200" s="85" t="str">
        <f t="shared" si="51"/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AF200" s="82" t="str">
        <f t="shared" si="52"/>
        <v>"C:\Program Files (x86)\AstroGrep\AstroGrep.exe" /spath="%USERPROFILE%\AppData\Local\Temp\OnboardLogs" /stypes="app*4043*20170225*" /stext=" 11:.+((SYSTEM_STATE.+slice.+state.+changed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6" t="str">
        <f t="shared" si="54"/>
        <v>"%USERPROFILE%\Documents\GitHub\eaglep3\Utilities\RefineRTDCRunTimes.py" --tripid 308-25 --locoid 4043 --swversion DE.1.0.9.0 --startMP 300:22749 --initTime 2017-02-25T04:05:00 --startdatetime 2017-02-25T04:09:53 --delay 4 --endMP 204:147 --enddatetime 2017-02-25T04:17:52 --enforcementcount 1 &gt;&gt;C:\Users\stu\Documents\GitHub\eaglep3-reporting\EC\2017-02-25-refined-times.txt</v>
      </c>
      <c r="AI200" s="108" t="str">
        <f t="shared" si="55"/>
        <v>echo {"issue":{"subject":"","project_id":79,"tracker_id":40,"status_id":1,"priority_id":2,"assigned_to_id":23,"start_date":"2017-02-25","description":"","custom_fields":[{"id":1,"name":"Subdivision","value":"Other"},{"id":4,"name":"Milepost","value":"0.0147"},{"id":17,"name":"Train ID","value":"308-25"},{"id":16,"name":"Locomotive ID","value":"4043"},{"id":130,"name":"Impact","value":""},{"id":150,"name":"Time of Event (Mountain Time)","value":"04:17:52"},{"id":151,"name":"Denver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6"/>
        <v>start /low /b %USERPROFILE%\Documents\GitHub\eaglep3\Utilities\DownloadLogsFromS3.py --loco 4043 --day 2017-02-25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2017-02-25-UncaughtWiMAX.txt</v>
      </c>
    </row>
    <row r="201" spans="1:40" x14ac:dyDescent="0.25">
      <c r="A201" s="33" t="s">
        <v>713</v>
      </c>
      <c r="B201" s="7">
        <v>4051</v>
      </c>
      <c r="C201" s="21" t="s">
        <v>275</v>
      </c>
      <c r="D201" s="21" t="s">
        <v>488</v>
      </c>
      <c r="E201" s="13">
        <v>42792.047337962962</v>
      </c>
      <c r="F201" s="13">
        <v>42792.04896990741</v>
      </c>
      <c r="G201" s="7">
        <v>1</v>
      </c>
      <c r="H201" s="21" t="s">
        <v>714</v>
      </c>
      <c r="I201" s="13">
        <v>42792.053657407407</v>
      </c>
      <c r="J201" s="7">
        <v>1</v>
      </c>
      <c r="K201" s="98" t="str">
        <f t="shared" si="39"/>
        <v>4051/4052</v>
      </c>
      <c r="L201" s="21" t="str">
        <f>VLOOKUP(A201,'Trips&amp;Operators'!$C$1:$G$99999,5,FALSE)</f>
        <v>SMITH MICHAEL</v>
      </c>
      <c r="M201" s="6">
        <f t="shared" si="40"/>
        <v>4.687499997089617E-3</v>
      </c>
      <c r="N201" s="7">
        <f t="shared" si="41"/>
        <v>6.7499999958090484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4"/>
        <v>https://d0f6bd738d7f1b3e5a7ca70fe4ff75f0.us-east-1.aws.found.io/app/kibana#/discover/Steve-Slow-Train-Analysis-(2080s-and-2083s)?_g=(refreshInterval:(display:Off,pause:!f,section:0,value:0),time:(from:'2017-02-26T00:08:10-0700',mode:absolute,to:'2017-02-26T02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197" t="str">
        <f t="shared" si="45"/>
        <v>Y</v>
      </c>
      <c r="X201" s="197">
        <f t="shared" si="46"/>
        <v>1</v>
      </c>
      <c r="Y201" s="197">
        <f t="shared" si="47"/>
        <v>4.3499999999999997E-2</v>
      </c>
      <c r="Z201" s="62">
        <f t="shared" si="48"/>
        <v>2.3308</v>
      </c>
      <c r="AA201" s="62">
        <f t="shared" si="49"/>
        <v>2.2873000000000001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0"/>
        <v>0309-25</v>
      </c>
      <c r="AE201" s="85" t="str">
        <f t="shared" si="51"/>
        <v>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 &amp; aws s3 cp s3://rtdc.mdm.uploadarchive.raw/RTDC4051/ "%USERPROFILE%\AppData\Local\Temp\OnboardLogs"\RTDC4051\2017-02-27 --exclude "*" --recursive --include "*20170227*" &amp; "%USERPROFILE%\Documents\GitHub\mrs-test-scripts\Headless Mode &amp; Sideloading\WalkAndUnGZ.bat" "%USERPROFILE%\AppData\Local\Temp\OnboardLogs"\RTDC4051\2017-02-27</v>
      </c>
      <c r="AF201" s="82" t="str">
        <f t="shared" si="52"/>
        <v>"C:\Program Files (x86)\AstroGrep\AstroGrep.exe" /spath="%USERPROFILE%\AppData\Local\Temp\OnboardLogs" /stypes="app*4051*20170226*" /stext=" 08:.+((SYSTEM_STATE.+slice.+state.+changed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6" t="str">
        <f t="shared" si="54"/>
        <v>"%USERPROFILE%\Documents\GitHub\eaglep3\Utilities\RefineRTDCRunTimes.py" --tripid 309-25 --locoid 4051 --swversion DE.1.0.9.0 --startMP 204:435 --initTime 2017-02-26T01:08:10 --startdatetime 2017-02-26T01:10:31 --delay 1 --endMP 300:23308 --enddatetime 2017-02-26T01:17:16 --enforcementcount 1 &gt;&gt;C:\Users\stu\Documents\GitHub\eaglep3-reporting\EC\2017-02-25-refined-times.txt</v>
      </c>
      <c r="AI201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{"issue":{"subject":"","project_id":79,"tracker_id":40,"status_id":1,"priority_id":2,"assigned_to_id":23,"start_date":"2017-02-26","description":"","custom_fields":[{"id":1,"name":"Subdivision","value":"Other"},{"id":4,"name":"Milepost","value":"2.3308"},{"id":17,"name":"Train ID","value":"309-25"},{"id":16,"name":"Locomotive ID","value":"4051"},{"id":130,"name":"Impact","value":""},{"id":150,"name":"Time of Event (Mountain Time)","value":"01:17:16"},{"id":151,"name":"Denver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6"/>
        <v>start /low /b %USERPROFILE%\Documents\GitHub\eaglep3\Utilities\DownloadLogsFromS3.py --loco 4051 --day 2017-02-26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"%USERPROFILE%\AppData\Local\Temp\OnboardLogs"\RTDC4051\*4051*20170226* | grep -SE "(Enforcement Action)|(\[TIMEOUT)|(CHR.+\|PRM\|1\|D.+(SWITCH|SIGNAL).+UNKNOWN)" - &gt;&gt; 2017-02-25-UncaughtWiMAX.txt</v>
      </c>
    </row>
    <row r="202" spans="1:40" x14ac:dyDescent="0.25">
      <c r="A202" s="33" t="s">
        <v>715</v>
      </c>
      <c r="B202" s="7">
        <v>4054</v>
      </c>
      <c r="C202" s="21" t="s">
        <v>275</v>
      </c>
      <c r="D202" s="21" t="s">
        <v>716</v>
      </c>
      <c r="E202" s="13">
        <v>42791.181539351855</v>
      </c>
      <c r="F202" s="13">
        <v>42791.184618055559</v>
      </c>
      <c r="G202" s="7">
        <v>4</v>
      </c>
      <c r="H202" s="21" t="s">
        <v>206</v>
      </c>
      <c r="I202" s="13">
        <v>42791.191134259258</v>
      </c>
      <c r="J202" s="7">
        <v>1</v>
      </c>
      <c r="K202" s="98" t="str">
        <f t="shared" si="39"/>
        <v>4053/4054</v>
      </c>
      <c r="L202" s="21" t="str">
        <f>VLOOKUP(A202,'Trips&amp;Operators'!$C$1:$G$99999,5,FALSE)</f>
        <v>SANTIZO D. EDY</v>
      </c>
      <c r="M202" s="6">
        <f t="shared" si="40"/>
        <v>6.5162036989931948E-3</v>
      </c>
      <c r="N202" s="7">
        <f t="shared" si="41"/>
        <v>9.3833333265502006</v>
      </c>
      <c r="O202" s="7"/>
      <c r="P202" s="7"/>
      <c r="Q202" s="22"/>
      <c r="R202" s="22"/>
      <c r="S202" s="31">
        <f t="shared" si="42"/>
        <v>1</v>
      </c>
      <c r="T202" s="46" t="str">
        <f t="shared" si="4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4"/>
        <v>https://d0f6bd738d7f1b3e5a7ca70fe4ff75f0.us-east-1.aws.found.io/app/kibana#/discover/Steve-Slow-Train-Analysis-(2080s-and-2083s)?_g=(refreshInterval:(display:Off,pause:!f,section:0,value:0),time:(from:'2017-02-25T03:21:25-0700',mode:absolute,to:'2017-02-25T05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97" t="str">
        <f t="shared" si="45"/>
        <v>Y</v>
      </c>
      <c r="X202" s="197">
        <f t="shared" si="46"/>
        <v>1</v>
      </c>
      <c r="Y202" s="197">
        <f t="shared" si="47"/>
        <v>1.972</v>
      </c>
      <c r="Z202" s="62">
        <f t="shared" si="48"/>
        <v>1.54E-2</v>
      </c>
      <c r="AA202" s="62">
        <f t="shared" si="49"/>
        <v>1.9565999999999999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0"/>
        <v>0310-25</v>
      </c>
      <c r="AE202" s="85" t="str">
        <f t="shared" si="51"/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AF202" s="82" t="str">
        <f t="shared" si="52"/>
        <v>"C:\Program Files (x86)\AstroGrep\AstroGrep.exe" /spath="%USERPROFILE%\AppData\Local\Temp\OnboardLogs" /stypes="app*4054*20170225*" /stext=" 11:.+((SYSTEM_STATE.+slice.+state.+changed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6" t="str">
        <f t="shared" si="54"/>
        <v>"%USERPROFILE%\Documents\GitHub\eaglep3\Utilities\RefineRTDCRunTimes.py" --tripid 310-25 --locoid 4054 --swversion DE.1.0.9.0 --startMP 300:19720 --initTime 2017-02-25T04:21:25 --startdatetime 2017-02-25T04:25:51 --delay 4 --endMP 204:154 --enddatetime 2017-02-25T04:35:14 --enforcementcount 1 &gt;&gt;C:\Users\stu\Documents\GitHub\eaglep3-reporting\EC\2017-02-25-refined-times.txt</v>
      </c>
      <c r="AI202" s="108" t="str">
        <f t="shared" si="55"/>
        <v>echo {"issue":{"subject":"","project_id":79,"tracker_id":40,"status_id":1,"priority_id":2,"assigned_to_id":23,"start_date":"2017-02-25","description":"","custom_fields":[{"id":1,"name":"Subdivision","value":"Other"},{"id":4,"name":"Milepost","value":"0.0154"},{"id":17,"name":"Train ID","value":"310-25"},{"id":16,"name":"Locomotive ID","value":"4054"},{"id":130,"name":"Impact","value":""},{"id":150,"name":"Time of Event (Mountain Time)","value":"04:35:14"},{"id":151,"name":"Denver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6"/>
        <v>start /low /b %USERPROFILE%\Documents\GitHub\eaglep3\Utilities\DownloadLogsFromS3.py --loco 4054 --day 2017-02-25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2017-02-25-UncaughtWiMAX.txt</v>
      </c>
    </row>
    <row r="203" spans="1:40" x14ac:dyDescent="0.25">
      <c r="A203" s="33" t="s">
        <v>717</v>
      </c>
      <c r="B203" s="7">
        <v>4009</v>
      </c>
      <c r="C203" s="21" t="s">
        <v>275</v>
      </c>
      <c r="D203" s="21" t="s">
        <v>718</v>
      </c>
      <c r="E203" s="13">
        <v>42791.088796296295</v>
      </c>
      <c r="F203" s="13">
        <v>25568.708333333332</v>
      </c>
      <c r="G203" s="7">
        <v>1</v>
      </c>
      <c r="H203" s="21" t="s">
        <v>384</v>
      </c>
      <c r="I203" s="13">
        <v>25568.708333333332</v>
      </c>
      <c r="J203" s="7">
        <v>1</v>
      </c>
      <c r="K203" s="98" t="str">
        <f t="shared" si="39"/>
        <v>4009/4010</v>
      </c>
      <c r="L203" s="21" t="str">
        <f>VLOOKUP(A203,'Trips&amp;Operators'!$C$1:$G$99999,5,FALSE)</f>
        <v>HILLS DUSTIN</v>
      </c>
      <c r="M203" s="6">
        <f t="shared" si="40"/>
        <v>0</v>
      </c>
      <c r="N203" s="7">
        <f t="shared" si="41"/>
        <v>0</v>
      </c>
      <c r="O203" s="7"/>
      <c r="P203" s="7"/>
      <c r="Q203" s="22"/>
      <c r="R203" s="22"/>
      <c r="S203" s="31">
        <f t="shared" si="42"/>
        <v>1</v>
      </c>
      <c r="T203" s="46" t="str">
        <f t="shared" si="4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4"/>
        <v>https://d0f6bd738d7f1b3e5a7ca70fe4ff75f0.us-east-1.aws.found.io/app/kibana#/discover/Steve-Slow-Train-Analysis-(2080s-and-2083s)?_g=(refreshInterval:(display:Off,pause:!f,section:0,value:0),time:(from:'2017-02-25T01:07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97" t="str">
        <f t="shared" si="45"/>
        <v>Y</v>
      </c>
      <c r="X203" s="197">
        <f t="shared" si="46"/>
        <v>3</v>
      </c>
      <c r="Y203" s="197">
        <f t="shared" si="47"/>
        <v>4.1500000000000002E-2</v>
      </c>
      <c r="Z203" s="62">
        <f t="shared" si="48"/>
        <v>2.3300999999999998</v>
      </c>
      <c r="AA203" s="62">
        <f t="shared" si="49"/>
        <v>2.2885999999999997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0"/>
        <v>0313-24</v>
      </c>
      <c r="AE203" s="85" t="str">
        <f t="shared" si="5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3" s="82" t="str">
        <f t="shared" si="5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3" s="1" t="str">
        <f t="shared" si="53"/>
        <v>Other</v>
      </c>
      <c r="AH203" s="86" t="str">
        <f t="shared" si="54"/>
        <v>"%USERPROFILE%\Documents\GitHub\eaglep3\Utilities\RefineRTDCRunTimes.py" --tripid 313-24 --locoid 4009 --swversion DE.1.0.9.0 --startMP 204:415 --initTime 2017-02-25T02:07:52 --startdatetime 1969-12-31T17:00:00 --delay 1 --endMP 300:23301 --enddatetime 1969-12-31T17:00:00 --enforcementcount 1 &gt;&gt;C:\Users\stu\Documents\GitHub\eaglep3-reporting\EC\2017-02-25-refined-times.txt</v>
      </c>
      <c r="AI203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56"/>
        <v>start /low /b %USERPROFILE%\Documents\GitHub\eaglep3\Utilities\DownloadLogsFromS3.py --loco 4009 --day 1969-12-31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2017-02-25-UncaughtWiMAX.txt</v>
      </c>
    </row>
    <row r="204" spans="1:40" x14ac:dyDescent="0.25">
      <c r="A204" s="33" t="s">
        <v>719</v>
      </c>
      <c r="B204" s="7">
        <v>4044</v>
      </c>
      <c r="C204" s="21" t="s">
        <v>275</v>
      </c>
      <c r="D204" s="21" t="s">
        <v>232</v>
      </c>
      <c r="E204" s="13">
        <v>42792.090115740742</v>
      </c>
      <c r="F204" s="13">
        <v>25568.708333333332</v>
      </c>
      <c r="G204" s="7">
        <v>2</v>
      </c>
      <c r="H204" s="21" t="s">
        <v>720</v>
      </c>
      <c r="I204" s="13">
        <v>25568.708333333332</v>
      </c>
      <c r="J204" s="7">
        <v>1</v>
      </c>
      <c r="K204" s="98" t="str">
        <f t="shared" si="39"/>
        <v>4043/4044</v>
      </c>
      <c r="L204" s="21" t="str">
        <f>VLOOKUP(A204,'Trips&amp;Operators'!$C$1:$G$99999,5,FALSE)</f>
        <v>SAFIEF AEIMEN</v>
      </c>
      <c r="M204" s="6">
        <f t="shared" si="40"/>
        <v>0</v>
      </c>
      <c r="N204" s="7">
        <f t="shared" si="41"/>
        <v>0</v>
      </c>
      <c r="O204" s="7"/>
      <c r="P204" s="7"/>
      <c r="Q204" s="22"/>
      <c r="R204" s="22"/>
      <c r="S204" s="31">
        <f t="shared" si="42"/>
        <v>1</v>
      </c>
      <c r="T204" s="46" t="str">
        <f t="shared" si="43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4"/>
        <v>https://d0f6bd738d7f1b3e5a7ca70fe4ff75f0.us-east-1.aws.found.io/app/kibana#/discover/Steve-Slow-Train-Analysis-(2080s-and-2083s)?_g=(refreshInterval:(display:Off,pause:!f,section:0,value:0),time:(from:'2017-02-26T01:09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 t="shared" si="45"/>
        <v>Y</v>
      </c>
      <c r="X204" s="197">
        <f t="shared" si="46"/>
        <v>0</v>
      </c>
      <c r="Y204" s="197">
        <f t="shared" si="47"/>
        <v>4.53E-2</v>
      </c>
      <c r="Z204" s="62">
        <f t="shared" si="48"/>
        <v>2.3298999999999999</v>
      </c>
      <c r="AA204" s="62">
        <f t="shared" si="49"/>
        <v>2.2845999999999997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0"/>
        <v>0313-25</v>
      </c>
      <c r="AE204" s="85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4" s="82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6" t="str">
        <f t="shared" si="54"/>
        <v>"%USERPROFILE%\Documents\GitHub\eaglep3\Utilities\RefineRTDCRunTimes.py" --tripid 313-25 --locoid 4044 --swversion DE.1.0.9.0 --startMP 204:453 --initTime 2017-02-26T02:09:46 --startdatetime 1969-12-31T17:00:00 --delay 2 --endMP 300:23299 --enddatetime 1969-12-31T17:00:00 --enforcementcount 1 &gt;&gt;C:\Users\stu\Documents\GitHub\eaglep3-reporting\EC\2017-02-25-refined-times.txt</v>
      </c>
      <c r="AI204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ID","value":"313-25"},{"id":16,"name":"Locomotive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56"/>
        <v>start /low /b %USERPROFILE%\Documents\GitHub\eaglep3\Utilities\DownloadLogsFromS3.py --loco 4044 --day 1969-12-31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2017-02-25-UncaughtWiMAX.txt</v>
      </c>
    </row>
    <row r="205" spans="1:40" x14ac:dyDescent="0.25">
      <c r="A205" s="33" t="s">
        <v>721</v>
      </c>
      <c r="B205" s="7">
        <v>4025</v>
      </c>
      <c r="C205" s="21" t="s">
        <v>275</v>
      </c>
      <c r="D205" s="21" t="s">
        <v>488</v>
      </c>
      <c r="E205" s="13">
        <v>42791.111932870372</v>
      </c>
      <c r="F205" s="13">
        <v>25568.708333333332</v>
      </c>
      <c r="G205" s="7">
        <v>1</v>
      </c>
      <c r="H205" s="21" t="s">
        <v>327</v>
      </c>
      <c r="I205" s="13">
        <v>25568.708333333332</v>
      </c>
      <c r="J205" s="7">
        <v>1</v>
      </c>
      <c r="K205" s="98" t="str">
        <f t="shared" ref="K205:K226" si="57">IF(ISEVEN(B205),(B205-1)&amp;"/"&amp;B205,B205&amp;"/"&amp;(B205+1))</f>
        <v>4025/4026</v>
      </c>
      <c r="L205" s="21" t="str">
        <f>VLOOKUP(A205,'Trips&amp;Operators'!$C$1:$G$99999,5,FALSE)</f>
        <v>BROWN JACOB</v>
      </c>
      <c r="M205" s="6">
        <f t="shared" ref="M205:M226" si="58">I205-F205</f>
        <v>0</v>
      </c>
      <c r="N205" s="7">
        <f t="shared" ref="N205:N226" si="59">24*60*SUM($M205:$M205)</f>
        <v>0</v>
      </c>
      <c r="O205" s="7"/>
      <c r="P205" s="7"/>
      <c r="Q205" s="22"/>
      <c r="R205" s="22"/>
      <c r="S205" s="31">
        <f t="shared" ref="S205:S226" si="60">SUM(U205:U205)/IF(AG205="EC",12,1)</f>
        <v>1</v>
      </c>
      <c r="T205" s="46" t="str">
        <f t="shared" ref="T205:T226" si="61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6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-25T01:41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97" t="str">
        <f t="shared" ref="W205:W226" si="63">IF(AA205&lt;IF(AG205="EC",23,5.65),"Y","N")</f>
        <v>Y</v>
      </c>
      <c r="X205" s="197">
        <f t="shared" ref="X205:X226" si="64">VALUE(LEFT(AD205,4))-VALUE(LEFT(AD204,4))</f>
        <v>2</v>
      </c>
      <c r="Y205" s="197">
        <f t="shared" ref="Y205:Y226" si="65">RIGHT(D205,LEN(D205)-4)/10000</f>
        <v>4.3499999999999997E-2</v>
      </c>
      <c r="Z205" s="62">
        <f t="shared" ref="Z205:Z226" si="66">RIGHT(H205,LEN(H205)-4)/10000</f>
        <v>2.3313999999999999</v>
      </c>
      <c r="AA205" s="62">
        <f t="shared" ref="AA205:AA226" si="67">ABS(Z205-Y205)</f>
        <v>2.2879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6" si="68">IF(LEN(A205)=6,"0"&amp;A205,A205)</f>
        <v>0315-24</v>
      </c>
      <c r="AE205" s="85" t="str">
        <f t="shared" ref="AE205:AE226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5" s="82" t="str">
        <f t="shared" ref="AF205:AF226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5" s="1" t="str">
        <f t="shared" ref="AG205:AG226" si="71">IFERROR(IF(VALUE(LEFT(AD205,2))&lt;=2,"EC",IF(OR(VALUE(LEFT(AD205,2))=8,VALUE(LEFT(AD205,2))=18),"NW","Other")),"Other")</f>
        <v>Other</v>
      </c>
      <c r="AH205" s="86" t="str">
        <f t="shared" si="54"/>
        <v>"%USERPROFILE%\Documents\GitHub\eaglep3\Utilities\RefineRTDCRunTimes.py" --tripid 315-24 --locoid 4025 --swversion DE.1.0.9.0 --startMP 204:435 --initTime 2017-02-25T02:41:11 --startdatetime 1969-12-31T17:00:00 --delay 1 --endMP 300:23314 --enddatetime 1969-12-31T17:00:00 --enforcementcount 1 &gt;&gt;C:\Users\stu\Documents\GitHub\eaglep3-reporting\EC\2017-02-25-refined-times.txt</v>
      </c>
      <c r="AI20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ID","value":"315-24"},{"id":16,"name":"Locomotive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56"/>
        <v>start /low /b %USERPROFILE%\Documents\GitHub\eaglep3\Utilities\DownloadLogsFromS3.py --loco 4025 --day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2017-02-25-UncaughtWiMAX.txt</v>
      </c>
    </row>
    <row r="206" spans="1:40" x14ac:dyDescent="0.25">
      <c r="A206" s="33" t="s">
        <v>632</v>
      </c>
      <c r="B206" s="7">
        <v>4003</v>
      </c>
      <c r="C206" s="21" t="s">
        <v>275</v>
      </c>
      <c r="D206" s="21" t="s">
        <v>633</v>
      </c>
      <c r="E206" s="13">
        <v>42791.220937500002</v>
      </c>
      <c r="F206" s="13">
        <v>42791.222361111111</v>
      </c>
      <c r="G206" s="7">
        <v>1</v>
      </c>
      <c r="H206" s="21" t="s">
        <v>393</v>
      </c>
      <c r="I206" s="13">
        <v>42791.228576388887</v>
      </c>
      <c r="J206" s="7">
        <v>1</v>
      </c>
      <c r="K206" s="98" t="str">
        <f t="shared" si="57"/>
        <v>4003/4004</v>
      </c>
      <c r="L206" s="21" t="str">
        <f>VLOOKUP(A206,'Trips&amp;Operators'!$C$1:$G$99999,5,FALSE)</f>
        <v>SHOOK JOHN</v>
      </c>
      <c r="M206" s="6">
        <f t="shared" si="58"/>
        <v>6.2152777754818089E-3</v>
      </c>
      <c r="N206" s="7">
        <f t="shared" si="59"/>
        <v>8.9499999966938049</v>
      </c>
      <c r="O206" s="7"/>
      <c r="P206" s="7"/>
      <c r="Q206" s="22"/>
      <c r="R206" s="22"/>
      <c r="S206" s="31">
        <f t="shared" si="60"/>
        <v>0</v>
      </c>
      <c r="T206" s="46" t="str">
        <f t="shared" si="6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 t="shared" si="62"/>
        <v>https://d0f6bd738d7f1b3e5a7ca70fe4ff75f0.us-east-1.aws.found.io/app/kibana#/discover/Steve-Slow-Train-Analysis-(2080s-and-2083s)?_g=(refreshInterval:(display:Off,pause:!f,section:0,value:0),time:(from:'2017-02-25T04:18:09-0700',mode:absolute,to:'2017-02-25T06:29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6" s="197" t="str">
        <f t="shared" si="63"/>
        <v>Y</v>
      </c>
      <c r="X206" s="197">
        <f t="shared" si="64"/>
        <v>1586</v>
      </c>
      <c r="Y206" s="197">
        <f t="shared" si="65"/>
        <v>3.0042</v>
      </c>
      <c r="Z206" s="62">
        <f t="shared" si="66"/>
        <v>5.8994</v>
      </c>
      <c r="AA206" s="62">
        <f t="shared" si="67"/>
        <v>2.8952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68"/>
        <v>1901-25</v>
      </c>
      <c r="AE206" s="85" t="str">
        <f t="shared" si="69"/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AF206" s="82" t="str">
        <f t="shared" si="70"/>
        <v>"C:\Program Files (x86)\AstroGrep\AstroGrep.exe" /spath="%USERPROFILE%\AppData\Local\Temp\OnboardLogs" /stypes="app*4003*20170225*" /stext=" 12:.+((SYSTEM_STATE.+slice.+state.+changed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6" t="str">
        <f t="shared" ref="AH206:AH226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1901-25 --locoid 4003 --swversion DE.1.0.9.0 --startMP 300:30042 --initTime 2017-02-25T05:18:09 --startdatetime 2017-02-25T05:20:12 --delay 1 --endMP 300:58994 --enddatetime 2017-02-25T05:29:09 --enforcementcount 1 &gt;&gt;C:\Users\stu\Documents\GitHub\eaglep3-reporting\EC\2017-02-25-refined-times.txt</v>
      </c>
      <c r="AI206" s="108" t="str">
        <f t="shared" ref="AI206:AI226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{"issue":{"subject":"","project_id":79,"tracker_id":40,"status_id":1,"priority_id":2,"assigned_to_id":23,"start_date":"2017-02-25","description":"","custom_fields":[{"id":1,"name":"Subdivision","value":"Other"},{"id":4,"name":"Milepost","value":"5.8994"},{"id":17,"name":"Train ID","value":"1901-25"},{"id":16,"name":"Locomotive ID","value":"4003"},{"id":130,"name":"Impact","value":""},{"id":150,"name":"Time of Event (Mountain Time)","value":"05:29:09"},{"id":151,"name":"Denver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26" si="74">"start /low /b "&amp;dls3logs&amp;" --loco "&amp;B206&amp;" --day "&amp;TEXT(F206,"YYYY-MM-DD")</f>
        <v>start /low /b %USERPROFILE%\Documents\GitHub\eaglep3\Utilities\DownloadLogsFromS3.py --loco 4003 --day 2017-02-25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2017-02-25-UncaughtWiMAX.txt</v>
      </c>
    </row>
    <row r="207" spans="1:40" x14ac:dyDescent="0.25">
      <c r="A207" s="33" t="s">
        <v>634</v>
      </c>
      <c r="B207" s="7">
        <v>4004</v>
      </c>
      <c r="C207" s="21" t="s">
        <v>275</v>
      </c>
      <c r="D207" s="21" t="s">
        <v>390</v>
      </c>
      <c r="E207" s="13">
        <v>42791.942129629628</v>
      </c>
      <c r="F207" s="13">
        <v>42791.943368055552</v>
      </c>
      <c r="G207" s="7">
        <v>1</v>
      </c>
      <c r="H207" s="21" t="s">
        <v>635</v>
      </c>
      <c r="I207" s="13">
        <v>42791.947754629633</v>
      </c>
      <c r="J207" s="7">
        <v>1</v>
      </c>
      <c r="K207" s="98" t="str">
        <f t="shared" si="57"/>
        <v>4003/4004</v>
      </c>
      <c r="L207" s="21" t="str">
        <f>VLOOKUP(A207,'Trips&amp;Operators'!$C$1:$G$99999,5,FALSE)</f>
        <v>HELVIE ADAM</v>
      </c>
      <c r="M207" s="6">
        <f t="shared" si="58"/>
        <v>4.3865740808541887E-3</v>
      </c>
      <c r="N207" s="7">
        <f t="shared" si="59"/>
        <v>6.3166666764300317</v>
      </c>
      <c r="O207" s="7"/>
      <c r="P207" s="7"/>
      <c r="Q207" s="22"/>
      <c r="R207" s="22"/>
      <c r="S207" s="31">
        <f t="shared" si="60"/>
        <v>0</v>
      </c>
      <c r="T207" s="46" t="str">
        <f t="shared" si="61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6" t="str">
        <f t="shared" si="62"/>
        <v>https://d0f6bd738d7f1b3e5a7ca70fe4ff75f0.us-east-1.aws.found.io/app/kibana#/discover/Steve-Slow-Train-Analysis-(2080s-and-2083s)?_g=(refreshInterval:(display:Off,pause:!f,section:0,value:0),time:(from:'2017-02-25T21:36:40-0700',mode:absolute,to:'2017-02-25T23:44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7" s="197" t="str">
        <f t="shared" si="63"/>
        <v>Y</v>
      </c>
      <c r="X207" s="197">
        <f t="shared" si="64"/>
        <v>1</v>
      </c>
      <c r="Y207" s="197">
        <f t="shared" si="65"/>
        <v>5.8619000000000003</v>
      </c>
      <c r="Z207" s="62">
        <f t="shared" si="66"/>
        <v>2.1781999999999999</v>
      </c>
      <c r="AA207" s="62">
        <f t="shared" si="67"/>
        <v>3.6837000000000004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68"/>
        <v>1902-25</v>
      </c>
      <c r="AE207" s="85" t="str">
        <f t="shared" si="69"/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AF207" s="82" t="str">
        <f t="shared" si="70"/>
        <v>"C:\Program Files (x86)\AstroGrep\AstroGrep.exe" /spath="%USERPROFILE%\AppData\Local\Temp\OnboardLogs" /stypes="app*4004*20170226*" /stext=" 05:.+((SYSTEM_STATE.+slice.+state.+changed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1902-25 --locoid 4004 --swversion DE.1.0.9.0 --startMP 300:58619 --initTime 2017-02-25T22:36:40 --startdatetime 2017-02-25T22:38:27 --delay 1 --endMP 300:21782 --enddatetime 2017-02-25T22:44:46 --enforcementcount 1 &gt;&gt;C:\Users\stu\Documents\GitHub\eaglep3-reporting\EC\2017-02-25-refined-times.txt</v>
      </c>
      <c r="AI207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{"issue":{"subject":"","project_id":79,"tracker_id":40,"status_id":1,"priority_id":2,"assigned_to_id":23,"start_date":"2017-02-25","description":"","custom_fields":[{"id":1,"name":"Subdivision","value":"Other"},{"id":4,"name":"Milepost","value":"2.1782"},{"id":17,"name":"Train ID","value":"1902-25"},{"id":16,"name":"Locomotive ID","value":"4004"},{"id":130,"name":"Impact","value":""},{"id":150,"name":"Time of Event (Mountain Time)","value":"22:44:46"},{"id":151,"name":"Denver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4"/>
        <v>start /low /b %USERPROFILE%\Documents\GitHub\eaglep3\Utilities\DownloadLogsFromS3.py --loco 4004 --day 2017-02-25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2017-02-25-UncaughtWiMAX.txt</v>
      </c>
    </row>
    <row r="208" spans="1:40" x14ac:dyDescent="0.25">
      <c r="A208" s="33" t="s">
        <v>722</v>
      </c>
      <c r="B208" s="7">
        <v>4030</v>
      </c>
      <c r="C208" s="21" t="s">
        <v>275</v>
      </c>
      <c r="D208" s="21" t="s">
        <v>723</v>
      </c>
      <c r="E208" s="13">
        <v>42791.500300925924</v>
      </c>
      <c r="F208" s="13">
        <v>42791.501469907409</v>
      </c>
      <c r="G208" s="7">
        <v>1</v>
      </c>
      <c r="H208" s="21" t="s">
        <v>724</v>
      </c>
      <c r="I208" s="13">
        <v>42791.506574074076</v>
      </c>
      <c r="J208" s="7">
        <v>1</v>
      </c>
      <c r="K208" s="98" t="str">
        <f t="shared" si="57"/>
        <v>4029/4030</v>
      </c>
      <c r="L208" s="21" t="str">
        <f>VLOOKUP(A208,'Trips&amp;Operators'!$C$1:$G$99999,5,FALSE)</f>
        <v>MCREYNOLDS KYLE</v>
      </c>
      <c r="M208" s="6">
        <f t="shared" si="58"/>
        <v>5.1041666665696539E-3</v>
      </c>
      <c r="N208" s="7">
        <f t="shared" si="59"/>
        <v>7.3499999998603016</v>
      </c>
      <c r="O208" s="7"/>
      <c r="P208" s="7"/>
      <c r="Q208" s="22"/>
      <c r="R208" s="22"/>
      <c r="S208" s="31">
        <f t="shared" si="60"/>
        <v>0</v>
      </c>
      <c r="T208" s="46" t="e">
        <f t="shared" si="61"/>
        <v>#VALUE!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62"/>
        <v>https://d0f6bd738d7f1b3e5a7ca70fe4ff75f0.us-east-1.aws.found.io/app/kibana#/discover/Steve-Slow-Train-Analysis-(2080s-and-2083s)?_g=(refreshInterval:(display:Off,pause:!f,section:0,value:0),time:(from:'2017-02-25T11:00:26-0700',mode:absolute,to:'2017-02-25T13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197" t="str">
        <f t="shared" si="63"/>
        <v>Y</v>
      </c>
      <c r="X208" s="197" t="e">
        <f t="shared" si="64"/>
        <v>#VALUE!</v>
      </c>
      <c r="Y208" s="197">
        <f t="shared" si="65"/>
        <v>2.1884000000000001</v>
      </c>
      <c r="Z208" s="62">
        <f t="shared" si="66"/>
        <v>1.2800000000000001E-2</v>
      </c>
      <c r="AA208" s="62">
        <f t="shared" si="67"/>
        <v>2.1756000000000002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68"/>
        <v>50-25</v>
      </c>
      <c r="AE208" s="85" t="str">
        <f t="shared" si="69"/>
        <v>aws s3 cp s3://rtdc.mdm.uploadarchive.raw/RTDC4030/ "%USERPROFILE%\AppData\Local\Temp\OnboardLogs"\RTDC4030\2017-02-25 --exclude "*" --recursive --include "*20170225*" &amp; "%USERPROFILE%\Documents\GitHub\mrs-test-scripts\Headless Mode &amp; Sideloading\WalkAndUnGZ.bat" "%USERPROFILE%\AppData\Local\Temp\OnboardLogs"\RTDC4030\2017-02-25 &amp; 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</v>
      </c>
      <c r="AF208" s="82" t="str">
        <f t="shared" si="70"/>
        <v>"C:\Program Files (x86)\AstroGrep\AstroGrep.exe" /spath="%USERPROFILE%\AppData\Local\Temp\OnboardLogs" /stypes="app*4030*20170225*" /stext=" 19:.+((SYSTEM_STATE.+slice.+state.+changed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50-25 --locoid 4030 --swversion DE.1.0.9.0 --startMP 300:21884 --initTime 2017-02-25T12:00:26 --startdatetime 2017-02-25T12:02:07 --delay 1 --endMP 204:128 --enddatetime 2017-02-25T12:09:28 --enforcementcount 1 &gt;&gt;C:\Users\stu\Documents\GitHub\eaglep3-reporting\EC\2017-02-25-refined-times.txt</v>
      </c>
      <c r="AI208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{"issue":{"subject":"","project_id":79,"tracker_id":40,"status_id":1,"priority_id":2,"assigned_to_id":23,"start_date":"2017-02-25","description":"","custom_fields":[{"id":1,"name":"Subdivision","value":"Other"},{"id":4,"name":"Milepost","value":"0.0128"},{"id":17,"name":"Train ID","value":"50-25"},{"id":16,"name":"Locomotive ID","value":"4030"},{"id":130,"name":"Impact","value":""},{"id":150,"name":"Time of Event (Mountain Time)","value":"12:09:28"},{"id":151,"name":"Denver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4"/>
        <v>start /low /b %USERPROFILE%\Documents\GitHub\eaglep3\Utilities\DownloadLogsFromS3.py --loco 4030 --day 2017-02-25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"%USERPROFILE%\AppData\Local\Temp\OnboardLogs"\RTDC4030\*4030*20170225* | grep -SE "(Enforcement Action)|(\[TIMEOUT)|(CHR.+\|PRM\|1\|D.+(SWITCH|SIGNAL).+UNKNOWN)" - &gt;&gt; 2017-02-25-UncaughtWiMAX.txt</v>
      </c>
    </row>
    <row r="209" spans="1:40" x14ac:dyDescent="0.25">
      <c r="A209" s="33" t="s">
        <v>725</v>
      </c>
      <c r="B209" s="7">
        <v>4029</v>
      </c>
      <c r="C209" s="21" t="s">
        <v>275</v>
      </c>
      <c r="D209" s="21" t="s">
        <v>237</v>
      </c>
      <c r="E209" s="13">
        <v>42791.520682870374</v>
      </c>
      <c r="F209" s="13">
        <v>25568.708333333332</v>
      </c>
      <c r="G209" s="7">
        <v>1</v>
      </c>
      <c r="H209" s="21" t="s">
        <v>327</v>
      </c>
      <c r="I209" s="13">
        <v>25568.708333333332</v>
      </c>
      <c r="J209" s="7">
        <v>1</v>
      </c>
      <c r="K209" s="98" t="str">
        <f t="shared" si="57"/>
        <v>4029/4030</v>
      </c>
      <c r="L209" s="21" t="str">
        <f>VLOOKUP(A209,'Trips&amp;Operators'!$C$1:$G$99999,5,FALSE)</f>
        <v>GEBRETEKLE DAGNEW</v>
      </c>
      <c r="M209" s="6">
        <f t="shared" si="58"/>
        <v>0</v>
      </c>
      <c r="N209" s="7">
        <f t="shared" si="59"/>
        <v>0</v>
      </c>
      <c r="O209" s="7"/>
      <c r="P209" s="7"/>
      <c r="Q209" s="22"/>
      <c r="R209" s="22"/>
      <c r="S209" s="31">
        <f t="shared" si="60"/>
        <v>0</v>
      </c>
      <c r="T209" s="46" t="e">
        <f t="shared" si="61"/>
        <v>#VALUE!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62"/>
        <v>https://d0f6bd738d7f1b3e5a7ca70fe4ff75f0.us-east-1.aws.found.io/app/kibana#/discover/Steve-Slow-Train-Analysis-(2080s-and-2083s)?_g=(refreshInterval:(display:Off,pause:!f,section:0,value:0),time:(from:'2017-02-25T11:29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97" t="str">
        <f t="shared" si="63"/>
        <v>Y</v>
      </c>
      <c r="X209" s="197" t="e">
        <f t="shared" si="64"/>
        <v>#VALUE!</v>
      </c>
      <c r="Y209" s="197">
        <f t="shared" si="65"/>
        <v>4.4600000000000001E-2</v>
      </c>
      <c r="Z209" s="62">
        <f t="shared" si="66"/>
        <v>2.3313999999999999</v>
      </c>
      <c r="AA209" s="62">
        <f t="shared" si="67"/>
        <v>2.2867999999999999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68"/>
        <v>51-25</v>
      </c>
      <c r="AE209" s="85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2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51-25 --locoid 4029 --swversion DE.1.0.9.0 --startMP 204:446 --initTime 2017-02-25T12:29:47 --startdatetime 1969-12-31T17:00:00 --delay 1 --endMP 300:23314 --enddatetime 1969-12-31T17:00:00 --enforcementcount 1 &gt;&gt;C:\Users\stu\Documents\GitHub\eaglep3-reporting\EC\2017-02-25-refined-times.txt</v>
      </c>
      <c r="AI20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ID","value":"51-25"},{"id":16,"name":"Locomotive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4"/>
        <v>start /low /b %USERPROFILE%\Documents\GitHub\eaglep3\Utilities\DownloadLogsFromS3.py --loco 4029 --day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2017-02-25-UncaughtWiMAX.txt</v>
      </c>
    </row>
    <row r="210" spans="1:40" x14ac:dyDescent="0.25">
      <c r="A210" s="33" t="s">
        <v>419</v>
      </c>
      <c r="B210" s="7">
        <v>4006</v>
      </c>
      <c r="C210" s="21" t="s">
        <v>275</v>
      </c>
      <c r="D210" s="21" t="s">
        <v>726</v>
      </c>
      <c r="E210" s="13">
        <v>42791.718692129631</v>
      </c>
      <c r="F210" s="13">
        <v>25568.708333333332</v>
      </c>
      <c r="G210" s="7">
        <v>1</v>
      </c>
      <c r="H210" s="21" t="s">
        <v>383</v>
      </c>
      <c r="I210" s="13">
        <v>25568.708333333332</v>
      </c>
      <c r="J210" s="7">
        <v>1</v>
      </c>
      <c r="K210" s="98" t="str">
        <f t="shared" si="57"/>
        <v>4005/4006</v>
      </c>
      <c r="L210" s="21" t="str">
        <f>VLOOKUP(A210,'Trips&amp;Operators'!$C$1:$G$99999,5,FALSE)</f>
        <v>LOPES KIMBERLY</v>
      </c>
      <c r="M210" s="6">
        <f t="shared" si="58"/>
        <v>0</v>
      </c>
      <c r="N210" s="7">
        <f t="shared" si="59"/>
        <v>0</v>
      </c>
      <c r="O210" s="7"/>
      <c r="P210" s="7"/>
      <c r="Q210" s="22"/>
      <c r="R210" s="22"/>
      <c r="S210" s="31">
        <f t="shared" si="60"/>
        <v>0</v>
      </c>
      <c r="T210" s="46" t="e">
        <f t="shared" si="61"/>
        <v>#VALUE!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62"/>
        <v>https://d0f6bd738d7f1b3e5a7ca70fe4ff75f0.us-east-1.aws.found.io/app/kibana#/discover/Steve-Slow-Train-Analysis-(2080s-and-2083s)?_g=(refreshInterval:(display:Off,pause:!f,section:0,value:0),time:(from:'2017-02-25T16:14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197" t="str">
        <f t="shared" si="63"/>
        <v>Y</v>
      </c>
      <c r="X210" s="197" t="e">
        <f t="shared" si="64"/>
        <v>#VALUE!</v>
      </c>
      <c r="Y210" s="197">
        <f t="shared" si="65"/>
        <v>0.1462</v>
      </c>
      <c r="Z210" s="62">
        <f t="shared" si="66"/>
        <v>2.3294999999999999</v>
      </c>
      <c r="AA210" s="62">
        <f t="shared" si="67"/>
        <v>2.1833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68"/>
        <v>53-25</v>
      </c>
      <c r="AE210" s="85" t="str">
        <f t="shared" si="69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0" s="82" t="str">
        <f t="shared" si="70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53-25 --locoid 4006 --swversion DE.1.0.9.0 --startMP 204:1462 --initTime 2017-02-25T17:14:55 --startdatetime 1969-12-31T17:00:00 --delay 1 --endMP 300:23295 --enddatetime 1969-12-31T17:00:00 --enforcementcount 1 &gt;&gt;C:\Users\stu\Documents\GitHub\eaglep3-reporting\EC\2017-02-25-refined-times.txt</v>
      </c>
      <c r="AI21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ID","value":"53-25"},{"id":16,"name":"Locomotive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4"/>
        <v>start /low /b %USERPROFILE%\Documents\GitHub\eaglep3\Utilities\DownloadLogsFromS3.py --loco 4006 --day 1969-12-31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2017-02-25-UncaughtWiMAX.txt</v>
      </c>
    </row>
    <row r="211" spans="1:40" x14ac:dyDescent="0.25">
      <c r="A211" s="33" t="s">
        <v>727</v>
      </c>
      <c r="B211" s="7">
        <v>4012</v>
      </c>
      <c r="C211" s="21" t="s">
        <v>275</v>
      </c>
      <c r="D211" s="21" t="s">
        <v>728</v>
      </c>
      <c r="E211" s="13">
        <v>42791.733495370368</v>
      </c>
      <c r="F211" s="13">
        <v>42791.736122685186</v>
      </c>
      <c r="G211" s="7">
        <v>3</v>
      </c>
      <c r="H211" s="21" t="s">
        <v>729</v>
      </c>
      <c r="I211" s="13">
        <v>42791.741307870368</v>
      </c>
      <c r="J211" s="7">
        <v>1</v>
      </c>
      <c r="K211" s="98" t="str">
        <f t="shared" si="57"/>
        <v>4011/4012</v>
      </c>
      <c r="L211" s="21" t="str">
        <f>VLOOKUP(A211,'Trips&amp;Operators'!$C$1:$G$99999,5,FALSE)</f>
        <v>STAMBAUGH JAMES</v>
      </c>
      <c r="M211" s="6">
        <f t="shared" si="58"/>
        <v>5.1851851821993478E-3</v>
      </c>
      <c r="N211" s="7">
        <f t="shared" si="59"/>
        <v>7.4666666623670608</v>
      </c>
      <c r="O211" s="7"/>
      <c r="P211" s="7"/>
      <c r="Q211" s="22"/>
      <c r="R211" s="22"/>
      <c r="S211" s="31">
        <f t="shared" si="60"/>
        <v>0</v>
      </c>
      <c r="T211" s="46" t="e">
        <f t="shared" si="61"/>
        <v>#VALUE!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62"/>
        <v>https://d0f6bd738d7f1b3e5a7ca70fe4ff75f0.us-east-1.aws.found.io/app/kibana#/discover/Steve-Slow-Train-Analysis-(2080s-and-2083s)?_g=(refreshInterval:(display:Off,pause:!f,section:0,value:0),time:(from:'2017-02-25T16:36:14-0700',mode:absolute,to:'2017-02-25T18:47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7" t="str">
        <f t="shared" si="63"/>
        <v>Y</v>
      </c>
      <c r="X211" s="197" t="e">
        <f t="shared" si="64"/>
        <v>#VALUE!</v>
      </c>
      <c r="Y211" s="197">
        <f t="shared" si="65"/>
        <v>2.3873000000000002</v>
      </c>
      <c r="Z211" s="62">
        <f t="shared" si="66"/>
        <v>1.5699999999999999E-2</v>
      </c>
      <c r="AA211" s="62">
        <f t="shared" si="67"/>
        <v>2.3716000000000004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68"/>
        <v>70-25</v>
      </c>
      <c r="AE211" s="85" t="str">
        <f t="shared" si="69"/>
        <v>aws s3 cp s3://rtdc.mdm.uploadarchive.raw/RTDC4012/ "%USERPROFILE%\AppData\Local\Temp\OnboardLogs"\RTDC4012\2017-02-25 --exclude "*" --recursive --include "*20170225*" &amp; "%USERPROFILE%\Documents\GitHub\mrs-test-scripts\Headless Mode &amp; Sideloading\WalkAndUnGZ.bat" "%USERPROFILE%\AppData\Local\Temp\OnboardLogs"\RTDC4012\2017-02-25 &amp; 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</v>
      </c>
      <c r="AF211" s="82" t="str">
        <f t="shared" si="70"/>
        <v>"C:\Program Files (x86)\AstroGrep\AstroGrep.exe" /spath="%USERPROFILE%\AppData\Local\Temp\OnboardLogs" /stypes="app*4012*20170226*" /stext=" 00:.+((SYSTEM_STATE.+slice.+state.+changed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70-25 --locoid 4012 --swversion DE.1.0.9.0 --startMP 300:23873 --initTime 2017-02-25T17:36:14 --startdatetime 2017-02-25T17:40:01 --delay 3 --endMP 204:157 --enddatetime 2017-02-25T17:47:29 --enforcementcount 1 &gt;&gt;C:\Users\stu\Documents\GitHub\eaglep3-reporting\EC\2017-02-25-refined-times.txt</v>
      </c>
      <c r="AI211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{"issue":{"subject":"","project_id":79,"tracker_id":40,"status_id":1,"priority_id":2,"assigned_to_id":23,"start_date":"2017-02-25","description":"","custom_fields":[{"id":1,"name":"Subdivision","value":"Other"},{"id":4,"name":"Milepost","value":"0.0157"},{"id":17,"name":"Train ID","value":"70-25"},{"id":16,"name":"Locomotive ID","value":"4012"},{"id":130,"name":"Impact","value":""},{"id":150,"name":"Time of Event (Mountain Time)","value":"17:47:29"},{"id":151,"name":"Denver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4"/>
        <v>start /low /b %USERPROFILE%\Documents\GitHub\eaglep3\Utilities\DownloadLogsFromS3.py --loco 4012 --day 2017-02-25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2017-02-25-UncaughtWiMAX.txt</v>
      </c>
    </row>
    <row r="212" spans="1:40" x14ac:dyDescent="0.25">
      <c r="A212" s="33" t="s">
        <v>730</v>
      </c>
      <c r="B212" s="7">
        <v>4011</v>
      </c>
      <c r="C212" s="21" t="s">
        <v>275</v>
      </c>
      <c r="D212" s="21" t="s">
        <v>504</v>
      </c>
      <c r="E212" s="13">
        <v>42791.764965277776</v>
      </c>
      <c r="F212" s="13">
        <v>42791.766689814816</v>
      </c>
      <c r="G212" s="7">
        <v>1</v>
      </c>
      <c r="H212" s="21" t="s">
        <v>259</v>
      </c>
      <c r="I212" s="13">
        <v>42791.772199074076</v>
      </c>
      <c r="J212" s="7">
        <v>1</v>
      </c>
      <c r="K212" s="98" t="str">
        <f t="shared" si="57"/>
        <v>4011/4012</v>
      </c>
      <c r="L212" s="21" t="str">
        <f>VLOOKUP(A212,'Trips&amp;Operators'!$C$1:$G$99999,5,FALSE)</f>
        <v>DAVIS MICHAEL</v>
      </c>
      <c r="M212" s="6">
        <f t="shared" si="58"/>
        <v>5.5092592592700385E-3</v>
      </c>
      <c r="N212" s="7">
        <f t="shared" si="59"/>
        <v>7.9333333333488554</v>
      </c>
      <c r="O212" s="7"/>
      <c r="P212" s="7"/>
      <c r="Q212" s="22"/>
      <c r="R212" s="22"/>
      <c r="S212" s="31">
        <f t="shared" si="60"/>
        <v>0</v>
      </c>
      <c r="T212" s="46" t="e">
        <f t="shared" si="61"/>
        <v>#VALUE!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62"/>
        <v>https://d0f6bd738d7f1b3e5a7ca70fe4ff75f0.us-east-1.aws.found.io/app/kibana#/discover/Steve-Slow-Train-Analysis-(2080s-and-2083s)?_g=(refreshInterval:(display:Off,pause:!f,section:0,value:0),time:(from:'2017-02-25T17:21:33-0700',mode:absolute,to:'2017-02-25T19:31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2" s="197" t="str">
        <f t="shared" si="63"/>
        <v>Y</v>
      </c>
      <c r="X212" s="197" t="e">
        <f t="shared" si="64"/>
        <v>#VALUE!</v>
      </c>
      <c r="Y212" s="197">
        <f t="shared" si="65"/>
        <v>4.3700000000000003E-2</v>
      </c>
      <c r="Z212" s="62">
        <f t="shared" si="66"/>
        <v>2.3346</v>
      </c>
      <c r="AA212" s="62">
        <f t="shared" si="67"/>
        <v>2.2909000000000002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68"/>
        <v>71-25</v>
      </c>
      <c r="AE212" s="85" t="str">
        <f t="shared" si="69"/>
        <v>aws s3 cp s3://rtdc.mdm.uploadarchive.raw/RTDC4011/ "%USERPROFILE%\AppData\Local\Temp\OnboardLogs"\RTDC4011\2017-02-25 --exclude "*" --recursive --include "*20170225*" &amp; "%USERPROFILE%\Documents\GitHub\mrs-test-scripts\Headless Mode &amp; Sideloading\WalkAndUnGZ.bat" "%USERPROFILE%\AppData\Local\Temp\OnboardLogs"\RTDC4011\2017-02-25 &amp; 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</v>
      </c>
      <c r="AF212" s="82" t="str">
        <f t="shared" si="70"/>
        <v>"C:\Program Files (x86)\AstroGrep\AstroGrep.exe" /spath="%USERPROFILE%\AppData\Local\Temp\OnboardLogs" /stypes="app*4011*20170226*" /stext=" 01:.+((SYSTEM_STATE.+slice.+state.+changed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71-25 --locoid 4011 --swversion DE.1.0.9.0 --startMP 204:437 --initTime 2017-02-25T18:21:33 --startdatetime 2017-02-25T18:24:02 --delay 1 --endMP 300:23346 --enddatetime 2017-02-25T18:31:58 --enforcementcount 1 &gt;&gt;C:\Users\stu\Documents\GitHub\eaglep3-reporting\EC\2017-02-25-refined-times.txt</v>
      </c>
      <c r="AI212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{"issue":{"subject":"","project_id":79,"tracker_id":40,"status_id":1,"priority_id":2,"assigned_to_id":23,"start_date":"2017-02-25","description":"","custom_fields":[{"id":1,"name":"Subdivision","value":"Other"},{"id":4,"name":"Milepost","value":"2.3346"},{"id":17,"name":"Train ID","value":"71-25"},{"id":16,"name":"Locomotive ID","value":"4011"},{"id":130,"name":"Impact","value":""},{"id":150,"name":"Time of Event (Mountain Time)","value":"18:31:58"},{"id":151,"name":"Denver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4"/>
        <v>start /low /b %USERPROFILE%\Documents\GitHub\eaglep3\Utilities\DownloadLogsFromS3.py --loco 4011 --day 2017-02-25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2017-02-25-UncaughtWiMAX.txt</v>
      </c>
    </row>
    <row r="213" spans="1:40" x14ac:dyDescent="0.25">
      <c r="A213" s="33" t="s">
        <v>730</v>
      </c>
      <c r="B213" s="7">
        <v>4011</v>
      </c>
      <c r="C213" s="21" t="s">
        <v>275</v>
      </c>
      <c r="D213" s="21" t="s">
        <v>259</v>
      </c>
      <c r="E213" s="13">
        <v>42791.764965277776</v>
      </c>
      <c r="F213" s="13">
        <v>42791.766689814816</v>
      </c>
      <c r="G213" s="7">
        <v>15</v>
      </c>
      <c r="H213" s="21" t="s">
        <v>259</v>
      </c>
      <c r="I213" s="13">
        <v>42791.772199074076</v>
      </c>
      <c r="J213" s="7">
        <v>1</v>
      </c>
      <c r="K213" s="98" t="str">
        <f t="shared" si="57"/>
        <v>4011/4012</v>
      </c>
      <c r="L213" s="21" t="str">
        <f>VLOOKUP(A213,'Trips&amp;Operators'!$C$1:$G$99999,5,FALSE)</f>
        <v>DAVIS MICHAEL</v>
      </c>
      <c r="M213" s="6">
        <f t="shared" si="58"/>
        <v>5.5092592592700385E-3</v>
      </c>
      <c r="N213" s="7">
        <f t="shared" si="59"/>
        <v>7.9333333333488554</v>
      </c>
      <c r="O213" s="7"/>
      <c r="P213" s="7"/>
      <c r="Q213" s="22"/>
      <c r="R213" s="22"/>
      <c r="S213" s="31">
        <f t="shared" si="60"/>
        <v>0</v>
      </c>
      <c r="T213" s="46" t="e">
        <f t="shared" si="61"/>
        <v>#VALUE!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62"/>
        <v>https://d0f6bd738d7f1b3e5a7ca70fe4ff75f0.us-east-1.aws.found.io/app/kibana#/discover/Steve-Slow-Train-Analysis-(2080s-and-2083s)?_g=(refreshInterval:(display:Off,pause:!f,section:0,value:0),time:(from:'2017-02-25T17:21:33-0700',mode:absolute,to:'2017-02-25T19:31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197" t="str">
        <f t="shared" si="63"/>
        <v>Y</v>
      </c>
      <c r="X213" s="197" t="e">
        <f t="shared" si="64"/>
        <v>#VALUE!</v>
      </c>
      <c r="Y213" s="197">
        <f t="shared" si="65"/>
        <v>2.3346</v>
      </c>
      <c r="Z213" s="62">
        <f t="shared" si="66"/>
        <v>2.3346</v>
      </c>
      <c r="AA213" s="62">
        <f t="shared" si="67"/>
        <v>0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68"/>
        <v>71-25</v>
      </c>
      <c r="AE213" s="85" t="str">
        <f t="shared" si="69"/>
        <v>aws s3 cp s3://rtdc.mdm.uploadarchive.raw/RTDC4011/ "%USERPROFILE%\AppData\Local\Temp\OnboardLogs"\RTDC4011\2017-02-25 --exclude "*" --recursive --include "*20170225*" &amp; "%USERPROFILE%\Documents\GitHub\mrs-test-scripts\Headless Mode &amp; Sideloading\WalkAndUnGZ.bat" "%USERPROFILE%\AppData\Local\Temp\OnboardLogs"\RTDC4011\2017-02-25 &amp; 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</v>
      </c>
      <c r="AF213" s="82" t="str">
        <f t="shared" si="70"/>
        <v>"C:\Program Files (x86)\AstroGrep\AstroGrep.exe" /spath="%USERPROFILE%\AppData\Local\Temp\OnboardLogs" /stypes="app*4011*20170226*" /stext=" 01:.+((SYSTEM_STATE.+slice.+state.+changed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71-25 --locoid 4011 --swversion DE.1.0.9.0 --startMP 300:23346 --initTime 2017-02-25T18:21:33 --startdatetime 2017-02-25T18:24:02 --delay 15 --endMP 300:23346 --enddatetime 2017-02-25T18:31:58 --enforcementcount 1 &gt;&gt;C:\Users\stu\Documents\GitHub\eaglep3-reporting\EC\2017-02-25-refined-times.txt</v>
      </c>
      <c r="AI213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{"issue":{"subject":"","project_id":79,"tracker_id":40,"status_id":1,"priority_id":2,"assigned_to_id":23,"start_date":"2017-02-25","description":"","custom_fields":[{"id":1,"name":"Subdivision","value":"Other"},{"id":4,"name":"Milepost","value":"2.3346"},{"id":17,"name":"Train ID","value":"71-25"},{"id":16,"name":"Locomotive ID","value":"4011"},{"id":130,"name":"Impact","value":""},{"id":150,"name":"Time of Event (Mountain Time)","value":"18:31:58"},{"id":151,"name":"Denver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4"/>
        <v>start /low /b %USERPROFILE%\Documents\GitHub\eaglep3\Utilities\DownloadLogsFromS3.py --loco 4011 --day 2017-02-25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2017-02-25-UncaughtWiMAX.txt</v>
      </c>
    </row>
    <row r="214" spans="1:40" x14ac:dyDescent="0.25">
      <c r="A214" s="33" t="s">
        <v>731</v>
      </c>
      <c r="B214" s="7">
        <v>4021</v>
      </c>
      <c r="C214" s="21" t="s">
        <v>275</v>
      </c>
      <c r="D214" s="21" t="s">
        <v>732</v>
      </c>
      <c r="E214" s="13">
        <v>42791.760115740741</v>
      </c>
      <c r="F214" s="13">
        <v>42791.761053240742</v>
      </c>
      <c r="G214" s="7">
        <v>0</v>
      </c>
      <c r="H214" s="21" t="s">
        <v>733</v>
      </c>
      <c r="I214" s="13">
        <v>42791.765590277777</v>
      </c>
      <c r="J214" s="7">
        <v>1</v>
      </c>
      <c r="K214" s="98" t="str">
        <f t="shared" si="57"/>
        <v>4021/4022</v>
      </c>
      <c r="L214" s="21" t="str">
        <f>VLOOKUP(A214,'Trips&amp;Operators'!$C$1:$G$99999,5,FALSE)</f>
        <v>MAGEE KENYA</v>
      </c>
      <c r="M214" s="6">
        <f t="shared" si="58"/>
        <v>4.537037035333924E-3</v>
      </c>
      <c r="N214" s="7">
        <f t="shared" si="59"/>
        <v>6.5333333308808506</v>
      </c>
      <c r="O214" s="7"/>
      <c r="P214" s="7"/>
      <c r="Q214" s="22"/>
      <c r="R214" s="22"/>
      <c r="S214" s="31">
        <f t="shared" si="60"/>
        <v>0</v>
      </c>
      <c r="T214" s="46" t="e">
        <f t="shared" si="61"/>
        <v>#VALUE!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62"/>
        <v>https://d0f6bd738d7f1b3e5a7ca70fe4ff75f0.us-east-1.aws.found.io/app/kibana#/discover/Steve-Slow-Train-Analysis-(2080s-and-2083s)?_g=(refreshInterval:(display:Off,pause:!f,section:0,value:0),time:(from:'2017-02-25T17:14:34-0700',mode:absolute,to:'2017-02-25T19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7" t="str">
        <f t="shared" si="63"/>
        <v>Y</v>
      </c>
      <c r="X214" s="197" t="e">
        <f t="shared" si="64"/>
        <v>#VALUE!</v>
      </c>
      <c r="Y214" s="197">
        <f t="shared" si="65"/>
        <v>2.1861000000000002</v>
      </c>
      <c r="Z214" s="62">
        <f t="shared" si="66"/>
        <v>0.17399999999999999</v>
      </c>
      <c r="AA214" s="62">
        <f t="shared" si="67"/>
        <v>2.0121000000000002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68"/>
        <v>72-25</v>
      </c>
      <c r="AE214" s="85" t="str">
        <f t="shared" si="69"/>
        <v>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 &amp; aws s3 cp s3://rtdc.mdm.uploadarchive.raw/RTDC4021/ "%USERPROFILE%\AppData\Local\Temp\OnboardLogs"\RTDC4021\2017-02-26 --exclude "*" --recursive --include "*20170226*" &amp; "%USERPROFILE%\Documents\GitHub\mrs-test-scripts\Headless Mode &amp; Sideloading\WalkAndUnGZ.bat" "%USERPROFILE%\AppData\Local\Temp\OnboardLogs"\RTDC4021\2017-02-26</v>
      </c>
      <c r="AF214" s="82" t="str">
        <f t="shared" si="70"/>
        <v>"C:\Program Files (x86)\AstroGrep\AstroGrep.exe" /spath="%USERPROFILE%\AppData\Local\Temp\OnboardLogs" /stypes="app*4021*20170226*" /stext=" 01:.+((SYSTEM_STATE.+slice.+state.+changed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72-25 --locoid 4021 --swversion DE.1.0.9.0 --startMP 300:21861 --initTime 2017-02-25T18:14:34 --startdatetime 2017-02-25T18:15:55 --delay 0 --endMP 204:1740 --enddatetime 2017-02-25T18:22:27 --enforcementcount 1 &gt;&gt;C:\Users\stu\Documents\GitHub\eaglep3-reporting\EC\2017-02-25-refined-times.txt</v>
      </c>
      <c r="AI214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{"issue":{"subject":"","project_id":79,"tracker_id":40,"status_id":1,"priority_id":2,"assigned_to_id":23,"start_date":"2017-02-25","description":"","custom_fields":[{"id":1,"name":"Subdivision","value":"Other"},{"id":4,"name":"Milepost","value":"0.174"},{"id":17,"name":"Train ID","value":"72-25"},{"id":16,"name":"Locomotive ID","value":"4021"},{"id":130,"name":"Impact","value":""},{"id":150,"name":"Time of Event (Mountain Time)","value":"18:22:27"},{"id":151,"name":"Denver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4"/>
        <v>start /low /b %USERPROFILE%\Documents\GitHub\eaglep3\Utilities\DownloadLogsFromS3.py --loco 4021 --day 2017-02-25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"%USERPROFILE%\AppData\Local\Temp\OnboardLogs"\RTDC4021\*4021*20170226* | grep -SE "(Enforcement Action)|(\[TIMEOUT)|(CHR.+\|PRM\|1\|D.+(SWITCH|SIGNAL).+UNKNOWN)" - &gt;&gt; 2017-02-25-UncaughtWiMAX.txt</v>
      </c>
    </row>
    <row r="215" spans="1:40" x14ac:dyDescent="0.25">
      <c r="A215" s="33" t="s">
        <v>734</v>
      </c>
      <c r="B215" s="7">
        <v>4050</v>
      </c>
      <c r="C215" s="21" t="s">
        <v>275</v>
      </c>
      <c r="D215" s="21" t="s">
        <v>735</v>
      </c>
      <c r="E215" s="13">
        <v>42791.090520833335</v>
      </c>
      <c r="F215" s="13">
        <v>42791.091608796298</v>
      </c>
      <c r="G215" s="7">
        <v>1</v>
      </c>
      <c r="H215" s="21" t="s">
        <v>736</v>
      </c>
      <c r="I215" s="13">
        <v>42791.100694444445</v>
      </c>
      <c r="J215" s="7">
        <v>1</v>
      </c>
      <c r="K215" s="98" t="str">
        <f t="shared" si="57"/>
        <v>4049/4050</v>
      </c>
      <c r="L215" s="21" t="str">
        <f>VLOOKUP(A215,'Trips&amp;Operators'!$C$1:$G$99999,5,FALSE)</f>
        <v xml:space="preserve"> </v>
      </c>
      <c r="M215" s="6">
        <f t="shared" si="58"/>
        <v>9.0856481474475004E-3</v>
      </c>
      <c r="N215" s="7">
        <f t="shared" si="59"/>
        <v>13.083333332324401</v>
      </c>
      <c r="O215" s="7"/>
      <c r="P215" s="7"/>
      <c r="Q215" s="22"/>
      <c r="R215" s="22"/>
      <c r="S215" s="31">
        <f t="shared" si="60"/>
        <v>0</v>
      </c>
      <c r="T215" s="46" t="e">
        <f t="shared" si="61"/>
        <v>#VALUE!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62"/>
        <v>https://d0f6bd738d7f1b3e5a7ca70fe4ff75f0.us-east-1.aws.found.io/app/kibana#/discover/Steve-Slow-Train-Analysis-(2080s-and-2083s)?_g=(refreshInterval:(display:Off,pause:!f,section:0,value:0),time:(from:'2017-02-25T01:10:21-0700',mode:absolute,to:'2017-02-25T03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197" t="str">
        <f t="shared" si="63"/>
        <v>Y</v>
      </c>
      <c r="X215" s="197" t="e">
        <f t="shared" si="64"/>
        <v>#VALUE!</v>
      </c>
      <c r="Y215" s="197">
        <f t="shared" si="65"/>
        <v>3.1229</v>
      </c>
      <c r="Z215" s="62">
        <f t="shared" si="66"/>
        <v>0.1203</v>
      </c>
      <c r="AA215" s="62">
        <f t="shared" si="67"/>
        <v>3.0026000000000002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68"/>
        <v>80-24</v>
      </c>
      <c r="AE215" s="85" t="str">
        <f t="shared" si="69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15" s="82" t="str">
        <f t="shared" si="70"/>
        <v>"C:\Program Files (x86)\AstroGrep\AstroGrep.exe" /spath="%USERPROFILE%\AppData\Local\Temp\OnboardLogs" /stypes="app*4050*20170225*" /stext=" 09:.+((SYSTEM_STATE.+slice.+state.+changed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80-24 --locoid 4050 --swversion DE.1.0.9.0 --startMP 300:31229 --initTime 2017-02-25T02:10:21 --startdatetime 2017-02-25T02:11:55 --delay 1 --endMP 204:1203 --enddatetime 2017-02-25T02:25:00 --enforcementcount 1 &gt;&gt;C:\Users\stu\Documents\GitHub\eaglep3-reporting\EC\2017-02-25-refined-times.txt</v>
      </c>
      <c r="AI215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{"issue":{"subject":"","project_id":79,"tracker_id":40,"status_id":1,"priority_id":2,"assigned_to_id":23,"start_date":"2017-02-25","description":"","custom_fields":[{"id":1,"name":"Subdivision","value":"Other"},{"id":4,"name":"Milepost","value":"0.1203"},{"id":17,"name":"Train ID","value":"80-24"},{"id":16,"name":"Locomotive ID","value":"4050"},{"id":130,"name":"Impact","value":""},{"id":150,"name":"Time of Event (Mountain Time)","value":"02:25:00"},{"id":151,"name":"Denver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4"/>
        <v>start /low /b %USERPROFILE%\Documents\GitHub\eaglep3\Utilities\DownloadLogsFromS3.py --loco 4050 --day 2017-02-25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2017-02-25-UncaughtWiMAX.txt</v>
      </c>
    </row>
    <row r="216" spans="1:40" x14ac:dyDescent="0.25">
      <c r="A216" s="33" t="s">
        <v>737</v>
      </c>
      <c r="B216" s="7">
        <v>4050</v>
      </c>
      <c r="C216" s="21" t="s">
        <v>275</v>
      </c>
      <c r="D216" s="21" t="s">
        <v>738</v>
      </c>
      <c r="E216" s="13">
        <v>42792.086030092592</v>
      </c>
      <c r="F216" s="13">
        <v>42792.087453703702</v>
      </c>
      <c r="G216" s="7">
        <v>0</v>
      </c>
      <c r="H216" s="21" t="s">
        <v>739</v>
      </c>
      <c r="I216" s="13">
        <v>42792.112141203703</v>
      </c>
      <c r="J216" s="7">
        <v>1</v>
      </c>
      <c r="K216" s="98" t="str">
        <f t="shared" si="57"/>
        <v>4049/4050</v>
      </c>
      <c r="L216" s="21" t="str">
        <f>VLOOKUP(A216,'Trips&amp;Operators'!$C$1:$G$99999,5,FALSE)</f>
        <v>COMELLA JUSTIN</v>
      </c>
      <c r="M216" s="6">
        <f t="shared" si="58"/>
        <v>2.4687500001164153E-2</v>
      </c>
      <c r="N216" s="7">
        <f t="shared" si="59"/>
        <v>35.550000001676381</v>
      </c>
      <c r="O216" s="7"/>
      <c r="P216" s="7"/>
      <c r="Q216" s="22"/>
      <c r="R216" s="22"/>
      <c r="S216" s="31">
        <f t="shared" si="60"/>
        <v>0</v>
      </c>
      <c r="T216" s="46" t="e">
        <f t="shared" si="61"/>
        <v>#VALUE!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62"/>
        <v>https://d0f6bd738d7f1b3e5a7ca70fe4ff75f0.us-east-1.aws.found.io/app/kibana#/discover/Steve-Slow-Train-Analysis-(2080s-and-2083s)?_g=(refreshInterval:(display:Off,pause:!f,section:0,value:0),time:(from:'2017-02-26T01:03:53-0700',mode:absolute,to:'2017-02-26T03:41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197" t="str">
        <f t="shared" si="63"/>
        <v>N</v>
      </c>
      <c r="X216" s="197" t="e">
        <f t="shared" si="64"/>
        <v>#VALUE!</v>
      </c>
      <c r="Y216" s="197">
        <f t="shared" si="65"/>
        <v>23.261900000000001</v>
      </c>
      <c r="Z216" s="62">
        <f t="shared" si="66"/>
        <v>0.91039999999999999</v>
      </c>
      <c r="AA216" s="62">
        <f t="shared" si="67"/>
        <v>22.351500000000001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68"/>
        <v>80-25</v>
      </c>
      <c r="AE216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16" s="82" t="str">
        <f t="shared" si="70"/>
        <v>"C:\Program Files (x86)\AstroGrep\AstroGrep.exe" /spath="%USERPROFILE%\AppData\Local\Temp\OnboardLogs" /stypes="app*4050*20170226*" /stext=" 09:.+((SYSTEM_STATE.+slice.+state.+changed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80-25 --locoid 4050 --swversion DE.1.0.9.0 --startMP 204:232619 --initTime 2017-02-26T02:03:53 --startdatetime 2017-02-26T02:05:56 --delay 0 --endMP 204:9104 --enddatetime 2017-02-26T02:41:29 --enforcementcount 1 &gt;&gt;C:\Users\stu\Documents\GitHub\eaglep3-reporting\EC\2017-02-25-refined-times.txt</v>
      </c>
      <c r="AI216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{"issue":{"subject":"","project_id":79,"tracker_id":40,"status_id":1,"priority_id":2,"assigned_to_id":23,"start_date":"2017-02-26","description":"","custom_fields":[{"id":1,"name":"Subdivision","value":"Other"},{"id":4,"name":"Milepost","value":"0.9104"},{"id":17,"name":"Train ID","value":"80-25"},{"id":16,"name":"Locomotive ID","value":"4050"},{"id":130,"name":"Impact","value":""},{"id":150,"name":"Time of Event (Mountain Time)","value":"02:41:29"},{"id":151,"name":"Denver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4"/>
        <v>start /low /b %USERPROFILE%\Documents\GitHub\eaglep3\Utilities\DownloadLogsFromS3.py --loco 4050 --day 2017-02-26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2017-02-25-UncaughtWiMAX.txt</v>
      </c>
    </row>
    <row r="217" spans="1:40" x14ac:dyDescent="0.25">
      <c r="A217" s="33" t="s">
        <v>737</v>
      </c>
      <c r="B217" s="7">
        <v>4050</v>
      </c>
      <c r="C217" s="21" t="s">
        <v>275</v>
      </c>
      <c r="D217" s="21" t="s">
        <v>740</v>
      </c>
      <c r="E217" s="13">
        <v>42791.859409722223</v>
      </c>
      <c r="F217" s="13">
        <v>42791.861793981479</v>
      </c>
      <c r="G217" s="7">
        <v>0</v>
      </c>
      <c r="H217" s="21" t="s">
        <v>741</v>
      </c>
      <c r="I217" s="13">
        <v>42791.888831018521</v>
      </c>
      <c r="J217" s="7">
        <v>1</v>
      </c>
      <c r="K217" s="98" t="str">
        <f t="shared" si="57"/>
        <v>4049/4050</v>
      </c>
      <c r="L217" s="21" t="str">
        <f>VLOOKUP(A217,'Trips&amp;Operators'!$C$1:$G$99999,5,FALSE)</f>
        <v>COMELLA JUSTIN</v>
      </c>
      <c r="M217" s="6">
        <f t="shared" si="58"/>
        <v>2.7037037041736767E-2</v>
      </c>
      <c r="N217" s="7">
        <f t="shared" si="59"/>
        <v>38.933333340100944</v>
      </c>
      <c r="O217" s="7"/>
      <c r="P217" s="7"/>
      <c r="Q217" s="22"/>
      <c r="R217" s="22"/>
      <c r="S217" s="31">
        <f t="shared" si="60"/>
        <v>0</v>
      </c>
      <c r="T217" s="46" t="e">
        <f t="shared" si="61"/>
        <v>#VALUE!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62"/>
        <v>https://d0f6bd738d7f1b3e5a7ca70fe4ff75f0.us-east-1.aws.found.io/app/kibana#/discover/Steve-Slow-Train-Analysis-(2080s-and-2083s)?_g=(refreshInterval:(display:Off,pause:!f,section:0,value:0),time:(from:'2017-02-25T19:37:33-0700',mode:absolute,to:'2017-02-25T22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7" s="197" t="str">
        <f t="shared" si="63"/>
        <v>N</v>
      </c>
      <c r="X217" s="197" t="e">
        <f t="shared" si="64"/>
        <v>#VALUE!</v>
      </c>
      <c r="Y217" s="197">
        <f t="shared" si="65"/>
        <v>23.296399999999998</v>
      </c>
      <c r="Z217" s="62">
        <f t="shared" si="66"/>
        <v>0.1545</v>
      </c>
      <c r="AA217" s="62">
        <f t="shared" si="67"/>
        <v>23.1419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68"/>
        <v>80-25</v>
      </c>
      <c r="AE217" s="85" t="str">
        <f t="shared" si="69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17" s="82" t="str">
        <f t="shared" si="70"/>
        <v>"C:\Program Files (x86)\AstroGrep\AstroGrep.exe" /spath="%USERPROFILE%\AppData\Local\Temp\OnboardLogs" /stypes="app*4050*20170226*" /stext=" 04:.+((SYSTEM_STATE.+slice.+state.+changed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80-25 --locoid 4050 --swversion DE.1.0.9.0 --startMP 204:232964 --initTime 2017-02-25T20:37:33 --startdatetime 2017-02-25T20:40:59 --delay 0 --endMP 204:1545 --enddatetime 2017-02-25T21:19:55 --enforcementcount 1 &gt;&gt;C:\Users\stu\Documents\GitHub\eaglep3-reporting\EC\2017-02-25-refined-times.txt</v>
      </c>
      <c r="AI217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{"issue":{"subject":"","project_id":79,"tracker_id":40,"status_id":1,"priority_id":2,"assigned_to_id":23,"start_date":"2017-02-25","description":"","custom_fields":[{"id":1,"name":"Subdivision","value":"Other"},{"id":4,"name":"Milepost","value":"0.1545"},{"id":17,"name":"Train ID","value":"80-25"},{"id":16,"name":"Locomotive ID","value":"4050"},{"id":130,"name":"Impact","value":""},{"id":150,"name":"Time of Event (Mountain Time)","value":"21:19:55"},{"id":151,"name":"Denver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4"/>
        <v>start /low /b %USERPROFILE%\Documents\GitHub\eaglep3\Utilities\DownloadLogsFromS3.py --loco 4050 --day 2017-02-25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2017-02-25-UncaughtWiMAX.txt</v>
      </c>
    </row>
    <row r="218" spans="1:40" x14ac:dyDescent="0.25">
      <c r="A218" s="33" t="s">
        <v>737</v>
      </c>
      <c r="B218" s="7">
        <v>4050</v>
      </c>
      <c r="C218" s="21" t="s">
        <v>275</v>
      </c>
      <c r="D218" s="21" t="s">
        <v>283</v>
      </c>
      <c r="E218" s="13">
        <v>42792.02548611111</v>
      </c>
      <c r="F218" s="13">
        <v>42792.027430555558</v>
      </c>
      <c r="G218" s="7">
        <v>1</v>
      </c>
      <c r="H218" s="21" t="s">
        <v>742</v>
      </c>
      <c r="I218" s="13">
        <v>42792.055300925924</v>
      </c>
      <c r="J218" s="7">
        <v>1</v>
      </c>
      <c r="K218" s="98" t="str">
        <f t="shared" si="57"/>
        <v>4049/4050</v>
      </c>
      <c r="L218" s="21" t="str">
        <f>VLOOKUP(A218,'Trips&amp;Operators'!$C$1:$G$99999,5,FALSE)</f>
        <v>COMELLA JUSTIN</v>
      </c>
      <c r="M218" s="6">
        <f t="shared" si="58"/>
        <v>2.7870370366144925E-2</v>
      </c>
      <c r="N218" s="7">
        <f t="shared" si="59"/>
        <v>40.133333327248693</v>
      </c>
      <c r="O218" s="7"/>
      <c r="P218" s="7"/>
      <c r="Q218" s="22"/>
      <c r="R218" s="22"/>
      <c r="S218" s="31">
        <f t="shared" si="60"/>
        <v>0</v>
      </c>
      <c r="T218" s="46" t="e">
        <f t="shared" si="61"/>
        <v>#VALUE!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62"/>
        <v>https://d0f6bd738d7f1b3e5a7ca70fe4ff75f0.us-east-1.aws.found.io/app/kibana#/discover/Steve-Slow-Train-Analysis-(2080s-and-2083s)?_g=(refreshInterval:(display:Off,pause:!f,section:0,value:0),time:(from:'2017-02-25T23:36:42-0700',mode:absolute,to:'2017-02-26T02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197" t="str">
        <f t="shared" si="63"/>
        <v>N</v>
      </c>
      <c r="X218" s="197" t="e">
        <f t="shared" si="64"/>
        <v>#VALUE!</v>
      </c>
      <c r="Y218" s="197">
        <f t="shared" si="65"/>
        <v>23.2971</v>
      </c>
      <c r="Z218" s="62">
        <f t="shared" si="66"/>
        <v>8.0500000000000002E-2</v>
      </c>
      <c r="AA218" s="62">
        <f t="shared" si="67"/>
        <v>23.2166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68"/>
        <v>80-25</v>
      </c>
      <c r="AE218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18" s="82" t="str">
        <f t="shared" si="70"/>
        <v>"C:\Program Files (x86)\AstroGrep\AstroGrep.exe" /spath="%USERPROFILE%\AppData\Local\Temp\OnboardLogs" /stypes="app*4050*20170226*" /stext=" 08:.+((SYSTEM_STATE.+slice.+state.+changed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80-25 --locoid 4050 --swversion DE.1.0.9.0 --startMP 204:232971 --initTime 2017-02-26T00:36:42 --startdatetime 2017-02-26T00:39:30 --delay 1 --endMP 204:805 --enddatetime 2017-02-26T01:19:38 --enforcementcount 1 &gt;&gt;C:\Users\stu\Documents\GitHub\eaglep3-reporting\EC\2017-02-25-refined-times.txt</v>
      </c>
      <c r="AI218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{"issue":{"subject":"","project_id":79,"tracker_id":40,"status_id":1,"priority_id":2,"assigned_to_id":23,"start_date":"2017-02-26","description":"","custom_fields":[{"id":1,"name":"Subdivision","value":"Other"},{"id":4,"name":"Milepost","value":"0.0805"},{"id":17,"name":"Train ID","value":"80-25"},{"id":16,"name":"Locomotive ID","value":"4050"},{"id":130,"name":"Impact","value":""},{"id":150,"name":"Time of Event (Mountain Time)","value":"01:19:38"},{"id":151,"name":"Denver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4"/>
        <v>start /low /b %USERPROFILE%\Documents\GitHub\eaglep3\Utilities\DownloadLogsFromS3.py --loco 4050 --day 2017-02-26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2017-02-25-UncaughtWiMAX.txt</v>
      </c>
    </row>
    <row r="219" spans="1:40" x14ac:dyDescent="0.25">
      <c r="A219" s="33" t="s">
        <v>737</v>
      </c>
      <c r="B219" s="7">
        <v>4050</v>
      </c>
      <c r="C219" s="21" t="s">
        <v>275</v>
      </c>
      <c r="D219" s="21" t="s">
        <v>368</v>
      </c>
      <c r="E219" s="13">
        <v>42791.933530092596</v>
      </c>
      <c r="F219" s="13">
        <v>42791.939629629633</v>
      </c>
      <c r="G219" s="7">
        <v>1</v>
      </c>
      <c r="H219" s="21" t="s">
        <v>743</v>
      </c>
      <c r="I219" s="13">
        <v>42791.970868055556</v>
      </c>
      <c r="J219" s="7">
        <v>1</v>
      </c>
      <c r="K219" s="98" t="str">
        <f t="shared" si="57"/>
        <v>4049/4050</v>
      </c>
      <c r="L219" s="21" t="str">
        <f>VLOOKUP(A219,'Trips&amp;Operators'!$C$1:$G$99999,5,FALSE)</f>
        <v>COMELLA JUSTIN</v>
      </c>
      <c r="M219" s="6">
        <f t="shared" si="58"/>
        <v>3.1238425923220348E-2</v>
      </c>
      <c r="N219" s="7">
        <f t="shared" si="59"/>
        <v>44.983333329437301</v>
      </c>
      <c r="O219" s="7"/>
      <c r="P219" s="7"/>
      <c r="Q219" s="22"/>
      <c r="R219" s="22"/>
      <c r="S219" s="31">
        <f t="shared" si="60"/>
        <v>0</v>
      </c>
      <c r="T219" s="46" t="e">
        <f t="shared" si="61"/>
        <v>#VALUE!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62"/>
        <v>https://d0f6bd738d7f1b3e5a7ca70fe4ff75f0.us-east-1.aws.found.io/app/kibana#/discover/Steve-Slow-Train-Analysis-(2080s-and-2083s)?_g=(refreshInterval:(display:Off,pause:!f,section:0,value:0),time:(from:'2017-02-25T21:24:17-0700',mode:absolute,to:'2017-02-26T00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9" s="197" t="str">
        <f t="shared" si="63"/>
        <v>N</v>
      </c>
      <c r="X219" s="197" t="e">
        <f t="shared" si="64"/>
        <v>#VALUE!</v>
      </c>
      <c r="Y219" s="197">
        <f t="shared" si="65"/>
        <v>23.297699999999999</v>
      </c>
      <c r="Z219" s="62">
        <f t="shared" si="66"/>
        <v>0.13669999999999999</v>
      </c>
      <c r="AA219" s="62">
        <f t="shared" si="67"/>
        <v>23.160999999999998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68"/>
        <v>80-25</v>
      </c>
      <c r="AE219" s="85" t="str">
        <f t="shared" si="69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19" s="82" t="str">
        <f t="shared" si="70"/>
        <v>"C:\Program Files (x86)\AstroGrep\AstroGrep.exe" /spath="%USERPROFILE%\AppData\Local\Temp\OnboardLogs" /stypes="app*4050*20170226*" /stext=" 06:.+((SYSTEM_STATE.+slice.+state.+changed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80-25 --locoid 4050 --swversion DE.1.0.9.0 --startMP 204:232977 --initTime 2017-02-25T22:24:17 --startdatetime 2017-02-25T22:33:04 --delay 1 --endMP 204:1367 --enddatetime 2017-02-25T23:18:03 --enforcementcount 1 &gt;&gt;C:\Users\stu\Documents\GitHub\eaglep3-reporting\EC\2017-02-25-refined-times.txt</v>
      </c>
      <c r="AI219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{"issue":{"subject":"","project_id":79,"tracker_id":40,"status_id":1,"priority_id":2,"assigned_to_id":23,"start_date":"2017-02-25","description":"","custom_fields":[{"id":1,"name":"Subdivision","value":"Other"},{"id":4,"name":"Milepost","value":"0.1367"},{"id":17,"name":"Train ID","value":"80-25"},{"id":16,"name":"Locomotive ID","value":"4050"},{"id":130,"name":"Impact","value":""},{"id":150,"name":"Time of Event (Mountain Time)","value":"23:18:03"},{"id":151,"name":"Denver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4"/>
        <v>start /low /b %USERPROFILE%\Documents\GitHub\eaglep3\Utilities\DownloadLogsFromS3.py --loco 4050 --day 2017-02-25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2017-02-25-UncaughtWiMAX.txt</v>
      </c>
    </row>
    <row r="220" spans="1:40" x14ac:dyDescent="0.25">
      <c r="A220" s="33" t="s">
        <v>737</v>
      </c>
      <c r="B220" s="7">
        <v>4050</v>
      </c>
      <c r="C220" s="21" t="s">
        <v>275</v>
      </c>
      <c r="D220" s="21" t="s">
        <v>744</v>
      </c>
      <c r="E220" s="13">
        <v>42791.811574074076</v>
      </c>
      <c r="F220" s="13">
        <v>42791.812754629631</v>
      </c>
      <c r="G220" s="7">
        <v>1</v>
      </c>
      <c r="H220" s="21" t="s">
        <v>560</v>
      </c>
      <c r="I220" s="13">
        <v>42791.817974537036</v>
      </c>
      <c r="J220" s="7">
        <v>1</v>
      </c>
      <c r="K220" s="98" t="str">
        <f t="shared" si="57"/>
        <v>4049/4050</v>
      </c>
      <c r="L220" s="21" t="str">
        <f>VLOOKUP(A220,'Trips&amp;Operators'!$C$1:$G$99999,5,FALSE)</f>
        <v>COMELLA JUSTIN</v>
      </c>
      <c r="M220" s="6">
        <f t="shared" si="58"/>
        <v>5.2199074052623473E-3</v>
      </c>
      <c r="N220" s="7">
        <f t="shared" si="59"/>
        <v>7.5166666635777801</v>
      </c>
      <c r="O220" s="7"/>
      <c r="P220" s="7"/>
      <c r="Q220" s="22"/>
      <c r="R220" s="22"/>
      <c r="S220" s="31">
        <f t="shared" si="60"/>
        <v>0</v>
      </c>
      <c r="T220" s="46" t="e">
        <f t="shared" si="61"/>
        <v>#VALUE!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62"/>
        <v>https://d0f6bd738d7f1b3e5a7ca70fe4ff75f0.us-east-1.aws.found.io/app/kibana#/discover/Steve-Slow-Train-Analysis-(2080s-and-2083s)?_g=(refreshInterval:(display:Off,pause:!f,section:0,value:0),time:(from:'2017-02-25T18:28:40-0700',mode:absolute,to:'2017-02-25T20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0" s="197" t="str">
        <f t="shared" si="63"/>
        <v>Y</v>
      </c>
      <c r="X220" s="197" t="e">
        <f t="shared" si="64"/>
        <v>#VALUE!</v>
      </c>
      <c r="Y220" s="197">
        <f t="shared" si="65"/>
        <v>2.3129</v>
      </c>
      <c r="Z220" s="62">
        <f t="shared" si="66"/>
        <v>0.10299999999999999</v>
      </c>
      <c r="AA220" s="62">
        <f t="shared" si="67"/>
        <v>2.2098999999999998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68"/>
        <v>80-25</v>
      </c>
      <c r="AE220" s="85" t="str">
        <f t="shared" si="69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20" s="82" t="str">
        <f t="shared" si="70"/>
        <v>"C:\Program Files (x86)\AstroGrep\AstroGrep.exe" /spath="%USERPROFILE%\AppData\Local\Temp\OnboardLogs" /stypes="app*4050*20170226*" /stext=" 02:.+((SYSTEM_STATE.+slice.+state.+changed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80-25 --locoid 4050 --swversion DE.1.0.9.0 --startMP 300:23129 --initTime 2017-02-25T19:28:40 --startdatetime 2017-02-25T19:30:22 --delay 1 --endMP 204:1030 --enddatetime 2017-02-25T19:37:53 --enforcementcount 1 &gt;&gt;C:\Users\stu\Documents\GitHub\eaglep3-reporting\EC\2017-02-25-refined-times.txt</v>
      </c>
      <c r="AI220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{"issue":{"subject":"","project_id":79,"tracker_id":40,"status_id":1,"priority_id":2,"assigned_to_id":23,"start_date":"2017-02-25","description":"","custom_fields":[{"id":1,"name":"Subdivision","value":"Other"},{"id":4,"name":"Milepost","value":"0.103"},{"id":17,"name":"Train ID","value":"80-25"},{"id":16,"name":"Locomotive ID","value":"4050"},{"id":130,"name":"Impact","value":""},{"id":150,"name":"Time of Event (Mountain Time)","value":"19:37:53"},{"id":151,"name":"Denver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4"/>
        <v>start /low /b %USERPROFILE%\Documents\GitHub\eaglep3\Utilities\DownloadLogsFromS3.py --loco 4050 --day 2017-02-25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2017-02-25-UncaughtWiMAX.txt</v>
      </c>
    </row>
    <row r="221" spans="1:40" x14ac:dyDescent="0.25">
      <c r="A221" s="33" t="s">
        <v>432</v>
      </c>
      <c r="B221" s="7">
        <v>4049</v>
      </c>
      <c r="C221" s="21" t="s">
        <v>275</v>
      </c>
      <c r="D221" s="21" t="s">
        <v>745</v>
      </c>
      <c r="E221" s="13">
        <v>42791.081203703703</v>
      </c>
      <c r="F221" s="13">
        <v>25568.708333333332</v>
      </c>
      <c r="G221" s="7">
        <v>1</v>
      </c>
      <c r="H221" s="21" t="s">
        <v>746</v>
      </c>
      <c r="I221" s="13">
        <v>25568.708333333332</v>
      </c>
      <c r="J221" s="7">
        <v>1</v>
      </c>
      <c r="K221" s="98" t="str">
        <f t="shared" si="57"/>
        <v>4049/4050</v>
      </c>
      <c r="L221" s="21" t="str">
        <f>VLOOKUP(A221,'Trips&amp;Operators'!$C$1:$G$99999,5,FALSE)</f>
        <v>COMELLA JUSTIN</v>
      </c>
      <c r="M221" s="6">
        <f t="shared" si="58"/>
        <v>0</v>
      </c>
      <c r="N221" s="7">
        <f t="shared" si="59"/>
        <v>0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62"/>
        <v>https://d0f6bd738d7f1b3e5a7ca70fe4ff75f0.us-east-1.aws.found.io/app/kibana#/discover/Steve-Slow-Train-Analysis-(2080s-and-2083s)?_g=(refreshInterval:(display:Off,pause:!f,section:0,value:0),time:(from:'2017-02-25T00:56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1" s="197" t="str">
        <f t="shared" si="63"/>
        <v>Y</v>
      </c>
      <c r="X221" s="197" t="e">
        <f t="shared" si="64"/>
        <v>#VALUE!</v>
      </c>
      <c r="Y221" s="197">
        <f t="shared" si="65"/>
        <v>0.129</v>
      </c>
      <c r="Z221" s="62">
        <f t="shared" si="66"/>
        <v>3.1545000000000001</v>
      </c>
      <c r="AA221" s="62">
        <f t="shared" si="67"/>
        <v>3.0255000000000001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68"/>
        <v>81-24</v>
      </c>
      <c r="AE221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21" s="82" t="str">
        <f t="shared" si="70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81-24 --locoid 4049 --swversion DE.1.0.9.0 --startMP 204:1290 --initTime 2017-02-25T01:56:56 --startdatetime 1969-12-31T17:00:00 --delay 1 --endMP 300:31545 --enddatetime 1969-12-31T17:00:00 --enforcementcount 1 &gt;&gt;C:\Users\stu\Documents\GitHub\eaglep3-reporting\EC\2017-02-25-refined-times.txt</v>
      </c>
      <c r="AI221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{"issue":{"subject":"","project_id":79,"tracker_id":40,"status_id":1,"priority_id":2,"assigned_to_id":23,"start_date":"1969-12-31","description":"","custom_fields":[{"id":1,"name":"Subdivision","value":"Other"},{"id":4,"name":"Milepost","value":"3.1545"},{"id":17,"name":"Train ID","value":"81-24"},{"id":16,"name":"Locomotive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4"/>
        <v>start /low /b %USERPROFILE%\Documents\GitHub\eaglep3\Utilities\DownloadLogsFromS3.py --loco 4049 --day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2017-02-25-UncaughtWiMAX.txt</v>
      </c>
    </row>
    <row r="222" spans="1:40" x14ac:dyDescent="0.25">
      <c r="A222" s="33" t="s">
        <v>432</v>
      </c>
      <c r="B222" s="7">
        <v>4049</v>
      </c>
      <c r="C222" s="21" t="s">
        <v>275</v>
      </c>
      <c r="D222" s="21" t="s">
        <v>747</v>
      </c>
      <c r="E222" s="13">
        <v>42791.102210648147</v>
      </c>
      <c r="F222" s="13">
        <v>25568.708333333332</v>
      </c>
      <c r="G222" s="7">
        <v>0</v>
      </c>
      <c r="H222" s="21" t="s">
        <v>748</v>
      </c>
      <c r="I222" s="13">
        <v>25568.708333333332</v>
      </c>
      <c r="J222" s="7">
        <v>1</v>
      </c>
      <c r="K222" s="98" t="str">
        <f t="shared" si="57"/>
        <v>4049/4050</v>
      </c>
      <c r="L222" s="21" t="str">
        <f>VLOOKUP(A222,'Trips&amp;Operators'!$C$1:$G$99999,5,FALSE)</f>
        <v>COMELLA JUSTIN</v>
      </c>
      <c r="M222" s="6">
        <f t="shared" si="58"/>
        <v>0</v>
      </c>
      <c r="N222" s="7">
        <f t="shared" si="59"/>
        <v>0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62"/>
        <v>https://d0f6bd738d7f1b3e5a7ca70fe4ff75f0.us-east-1.aws.found.io/app/kibana#/discover/Steve-Slow-Train-Analysis-(2080s-and-2083s)?_g=(refreshInterval:(display:Off,pause:!f,section:0,value:0),time:(from:'2017-02-25T01:27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197" t="str">
        <f t="shared" si="63"/>
        <v>Y</v>
      </c>
      <c r="X222" s="197" t="e">
        <f t="shared" si="64"/>
        <v>#VALUE!</v>
      </c>
      <c r="Y222" s="197">
        <f t="shared" si="65"/>
        <v>0.15240000000000001</v>
      </c>
      <c r="Z222" s="62">
        <f t="shared" si="66"/>
        <v>2.3290999999999999</v>
      </c>
      <c r="AA222" s="62">
        <f t="shared" si="67"/>
        <v>2.1766999999999999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68"/>
        <v>81-24</v>
      </c>
      <c r="AE222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22" s="82" t="str">
        <f t="shared" si="70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81-24 --locoid 4049 --swversion DE.1.0.9.0 --startMP 204:1524 --initTime 2017-02-25T02:27:11 --startdatetime 1969-12-31T17:00:00 --delay 0 --endMP 300:23291 --enddatetime 1969-12-31T17:00:00 --enforcementcount 1 &gt;&gt;C:\Users\stu\Documents\GitHub\eaglep3-reporting\EC\2017-02-25-refined-times.txt</v>
      </c>
      <c r="AI22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ID","value":"81-24"},{"id":16,"name":"Locomotive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4"/>
        <v>start /low /b %USERPROFILE%\Documents\GitHub\eaglep3\Utilities\DownloadLogsFromS3.py --loco 4049 --day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2017-02-25-UncaughtWiMAX.txt</v>
      </c>
    </row>
    <row r="223" spans="1:40" x14ac:dyDescent="0.25">
      <c r="A223" s="33" t="s">
        <v>749</v>
      </c>
      <c r="B223" s="7">
        <v>4049</v>
      </c>
      <c r="C223" s="21" t="s">
        <v>275</v>
      </c>
      <c r="D223" s="21" t="s">
        <v>750</v>
      </c>
      <c r="E223" s="13">
        <v>42792.056643518517</v>
      </c>
      <c r="F223" s="13">
        <v>42792.058136574073</v>
      </c>
      <c r="G223" s="7">
        <v>1</v>
      </c>
      <c r="H223" s="21" t="s">
        <v>751</v>
      </c>
      <c r="I223" s="13">
        <v>42792.084363425929</v>
      </c>
      <c r="J223" s="7">
        <v>1</v>
      </c>
      <c r="K223" s="98" t="str">
        <f t="shared" si="57"/>
        <v>4049/4050</v>
      </c>
      <c r="L223" s="21" t="str">
        <f>VLOOKUP(A223,'Trips&amp;Operators'!$C$1:$G$99999,5,FALSE)</f>
        <v>COMELLA JUSTIN</v>
      </c>
      <c r="M223" s="6">
        <f t="shared" si="58"/>
        <v>2.6226851856335998E-2</v>
      </c>
      <c r="N223" s="7">
        <f t="shared" si="59"/>
        <v>37.766666673123837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62"/>
        <v>https://d0f6bd738d7f1b3e5a7ca70fe4ff75f0.us-east-1.aws.found.io/app/kibana#/discover/Steve-Slow-Train-Analysis-(2080s-and-2083s)?_g=(refreshInterval:(display:Off,pause:!f,section:0,value:0),time:(from:'2017-02-26T00:21:34-0700',mode:absolute,to:'2017-02-26T03:01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3" s="197" t="str">
        <f t="shared" si="63"/>
        <v>N</v>
      </c>
      <c r="X223" s="197" t="e">
        <f t="shared" si="64"/>
        <v>#VALUE!</v>
      </c>
      <c r="Y223" s="197">
        <f t="shared" si="65"/>
        <v>0.11020000000000001</v>
      </c>
      <c r="Z223" s="62">
        <f t="shared" si="66"/>
        <v>23.294799999999999</v>
      </c>
      <c r="AA223" s="62">
        <f t="shared" si="67"/>
        <v>23.1846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68"/>
        <v>81-25</v>
      </c>
      <c r="AE223" s="85" t="str">
        <f t="shared" si="69"/>
        <v>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 &amp; 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</v>
      </c>
      <c r="AF223" s="82" t="str">
        <f t="shared" si="70"/>
        <v>"C:\Program Files (x86)\AstroGrep\AstroGrep.exe" /spath="%USERPROFILE%\AppData\Local\Temp\OnboardLogs" /stypes="app*4049*20170226*" /stext=" 09:.+((SYSTEM_STATE.+slice.+state.+changed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81-25 --locoid 4049 --swversion DE.1.0.9.0 --startMP 204:1102 --initTime 2017-02-26T01:21:34 --startdatetime 2017-02-26T01:23:43 --delay 1 --endMP 204:232948 --enddatetime 2017-02-26T02:01:29 --enforcementcount 1 &gt;&gt;C:\Users\stu\Documents\GitHub\eaglep3-reporting\EC\2017-02-25-refined-times.txt</v>
      </c>
      <c r="AI223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{"issue":{"subject":"","project_id":79,"tracker_id":40,"status_id":1,"priority_id":2,"assigned_to_id":23,"start_date":"2017-02-26","description":"","custom_fields":[{"id":1,"name":"Subdivision","value":"Other"},{"id":4,"name":"Milepost","value":"23.2948"},{"id":17,"name":"Train ID","value":"81-25"},{"id":16,"name":"Locomotive ID","value":"4049"},{"id":130,"name":"Impact","value":""},{"id":150,"name":"Time of Event (Mountain Time)","value":"02:01:29"},{"id":151,"name":"Denver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4"/>
        <v>start /low /b %USERPROFILE%\Documents\GitHub\eaglep3\Utilities\DownloadLogsFromS3.py --loco 4049 --day 2017-02-26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"%USERPROFILE%\AppData\Local\Temp\OnboardLogs"\RTDC4049\*4049*20170226* | grep -SE "(Enforcement Action)|(\[TIMEOUT)|(CHR.+\|PRM\|1\|D.+(SWITCH|SIGNAL).+UNKNOWN)" - &gt;&gt; 2017-02-25-UncaughtWiMAX.txt</v>
      </c>
    </row>
    <row r="224" spans="1:40" x14ac:dyDescent="0.25">
      <c r="A224" s="33" t="s">
        <v>749</v>
      </c>
      <c r="B224" s="7">
        <v>4049</v>
      </c>
      <c r="C224" s="21" t="s">
        <v>275</v>
      </c>
      <c r="D224" s="21" t="s">
        <v>752</v>
      </c>
      <c r="E224" s="13">
        <v>42791.819861111115</v>
      </c>
      <c r="F224" s="13">
        <v>42791.824652777781</v>
      </c>
      <c r="G224" s="7">
        <v>1</v>
      </c>
      <c r="H224" s="21" t="s">
        <v>676</v>
      </c>
      <c r="I224" s="13">
        <v>42791.85560185185</v>
      </c>
      <c r="J224" s="7">
        <v>1</v>
      </c>
      <c r="K224" s="98" t="str">
        <f t="shared" si="57"/>
        <v>4049/4050</v>
      </c>
      <c r="L224" s="21" t="str">
        <f>VLOOKUP(A224,'Trips&amp;Operators'!$C$1:$G$99999,5,FALSE)</f>
        <v>COMELLA JUSTIN</v>
      </c>
      <c r="M224" s="6">
        <f t="shared" si="58"/>
        <v>3.0949074069212656E-2</v>
      </c>
      <c r="N224" s="7">
        <f t="shared" si="59"/>
        <v>44.566666659666225</v>
      </c>
      <c r="O224" s="7"/>
      <c r="P224" s="7"/>
      <c r="Q224" s="22"/>
      <c r="R224" s="22"/>
      <c r="S224" s="31">
        <f t="shared" si="60"/>
        <v>0</v>
      </c>
      <c r="T224" s="46" t="e">
        <f t="shared" si="61"/>
        <v>#VALUE!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62"/>
        <v>https://d0f6bd738d7f1b3e5a7ca70fe4ff75f0.us-east-1.aws.found.io/app/kibana#/discover/Steve-Slow-Train-Analysis-(2080s-and-2083s)?_g=(refreshInterval:(display:Off,pause:!f,section:0,value:0),time:(from:'2017-02-25T18:40:36-0700',mode:absolute,to:'2017-02-25T21:32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4" s="197" t="str">
        <f t="shared" si="63"/>
        <v>N</v>
      </c>
      <c r="X224" s="197" t="e">
        <f t="shared" si="64"/>
        <v>#VALUE!</v>
      </c>
      <c r="Y224" s="197">
        <f t="shared" si="65"/>
        <v>0.1341</v>
      </c>
      <c r="Z224" s="62">
        <f t="shared" si="66"/>
        <v>23.327200000000001</v>
      </c>
      <c r="AA224" s="62">
        <f t="shared" si="67"/>
        <v>23.193100000000001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68"/>
        <v>81-25</v>
      </c>
      <c r="AE224" s="85" t="str">
        <f t="shared" si="69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24" s="82" t="str">
        <f t="shared" si="70"/>
        <v>"C:\Program Files (x86)\AstroGrep\AstroGrep.exe" /spath="%USERPROFILE%\AppData\Local\Temp\OnboardLogs" /stypes="app*4049*20170226*" /stext=" 03:.+((SYSTEM_STATE.+slice.+state.+changed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6" t="str">
        <f t="shared" si="72"/>
        <v>"%USERPROFILE%\Documents\GitHub\eaglep3\Utilities\RefineRTDCRunTimes.py" --tripid 81-25 --locoid 4049 --swversion DE.1.0.9.0 --startMP 204:1341 --initTime 2017-02-25T19:40:36 --startdatetime 2017-02-25T19:47:30 --delay 1 --endMP 204:233272 --enddatetime 2017-02-25T20:32:04 --enforcementcount 1 &gt;&gt;C:\Users\stu\Documents\GitHub\eaglep3-reporting\EC\2017-02-25-refined-times.txt</v>
      </c>
      <c r="AI224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{"issue":{"subject":"","project_id":79,"tracker_id":40,"status_id":1,"priority_id":2,"assigned_to_id":23,"start_date":"2017-02-25","description":"","custom_fields":[{"id":1,"name":"Subdivision","value":"Other"},{"id":4,"name":"Milepost","value":"23.3272"},{"id":17,"name":"Train ID","value":"81-25"},{"id":16,"name":"Locomotive ID","value":"4049"},{"id":130,"name":"Impact","value":""},{"id":150,"name":"Time of Event (Mountain Time)","value":"20:32:04"},{"id":151,"name":"Denver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4"/>
        <v>start /low /b %USERPROFILE%\Documents\GitHub\eaglep3\Utilities\DownloadLogsFromS3.py --loco 4049 --day 2017-02-25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"%USERPROFILE%\AppData\Local\Temp\OnboardLogs"\RTDC4049\*4049*20170226* | grep -SE "(Enforcement Action)|(\[TIMEOUT)|(CHR.+\|PRM\|1\|D.+(SWITCH|SIGNAL).+UNKNOWN)" - &gt;&gt; 2017-02-25-UncaughtWiMAX.txt</v>
      </c>
    </row>
    <row r="225" spans="1:40" x14ac:dyDescent="0.25">
      <c r="A225" s="33" t="s">
        <v>749</v>
      </c>
      <c r="B225" s="7">
        <v>4049</v>
      </c>
      <c r="C225" s="21" t="s">
        <v>275</v>
      </c>
      <c r="D225" s="21" t="s">
        <v>753</v>
      </c>
      <c r="E225" s="13">
        <v>42791.890694444446</v>
      </c>
      <c r="F225" s="13">
        <v>42791.900891203702</v>
      </c>
      <c r="G225" s="7">
        <v>1</v>
      </c>
      <c r="H225" s="21" t="s">
        <v>286</v>
      </c>
      <c r="I225" s="13">
        <v>42791.928541666668</v>
      </c>
      <c r="J225" s="7">
        <v>1</v>
      </c>
      <c r="K225" s="98" t="str">
        <f t="shared" si="57"/>
        <v>4049/4050</v>
      </c>
      <c r="L225" s="21" t="str">
        <f>VLOOKUP(A225,'Trips&amp;Operators'!$C$1:$G$99999,5,FALSE)</f>
        <v>COMELLA JUSTIN</v>
      </c>
      <c r="M225" s="6">
        <f t="shared" si="58"/>
        <v>2.7650462965539191E-2</v>
      </c>
      <c r="N225" s="7">
        <f t="shared" si="59"/>
        <v>39.816666670376435</v>
      </c>
      <c r="O225" s="7"/>
      <c r="P225" s="7"/>
      <c r="Q225" s="22"/>
      <c r="R225" s="22"/>
      <c r="S225" s="31">
        <f t="shared" si="60"/>
        <v>0</v>
      </c>
      <c r="T225" s="46" t="e">
        <f t="shared" si="61"/>
        <v>#VALUE!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2"/>
        <v>https://d0f6bd738d7f1b3e5a7ca70fe4ff75f0.us-east-1.aws.found.io/app/kibana#/discover/Steve-Slow-Train-Analysis-(2080s-and-2083s)?_g=(refreshInterval:(display:Off,pause:!f,section:0,value:0),time:(from:'2017-02-25T20:22:36-0700',mode:absolute,to:'2017-02-25T23:17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197" t="str">
        <f t="shared" si="63"/>
        <v>N</v>
      </c>
      <c r="X225" s="197" t="e">
        <f t="shared" si="64"/>
        <v>#VALUE!</v>
      </c>
      <c r="Y225" s="197">
        <f t="shared" si="65"/>
        <v>0.14940000000000001</v>
      </c>
      <c r="Z225" s="62">
        <f t="shared" si="66"/>
        <v>23.329699999999999</v>
      </c>
      <c r="AA225" s="62">
        <f t="shared" si="67"/>
        <v>23.180299999999999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68"/>
        <v>81-25</v>
      </c>
      <c r="AE225" s="85" t="str">
        <f t="shared" si="69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25" s="82" t="str">
        <f t="shared" si="70"/>
        <v>"C:\Program Files (x86)\AstroGrep\AstroGrep.exe" /spath="%USERPROFILE%\AppData\Local\Temp\OnboardLogs" /stypes="app*4049*20170226*" /stext=" 05:.+((SYSTEM_STATE.+slice.+state.+changed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6" t="str">
        <f t="shared" si="72"/>
        <v>"%USERPROFILE%\Documents\GitHub\eaglep3\Utilities\RefineRTDCRunTimes.py" --tripid 81-25 --locoid 4049 --swversion DE.1.0.9.0 --startMP 204:1494 --initTime 2017-02-25T21:22:36 --startdatetime 2017-02-25T21:37:17 --delay 1 --endMP 204:233297 --enddatetime 2017-02-25T22:17:06 --enforcementcount 1 &gt;&gt;C:\Users\stu\Documents\GitHub\eaglep3-reporting\EC\2017-02-25-refined-times.txt</v>
      </c>
      <c r="AI225" s="108" t="str">
        <f t="shared" si="73"/>
        <v>echo {"issue":{"subject":"","project_id":79,"tracker_id":40,"status_id":1,"priority_id":2,"assigned_to_id":23,"start_date":"2017-02-25","description":"","custom_fields":[{"id":1,"name":"Subdivision","value":"Other"},{"id":4,"name":"Milepost","value":"23.3297"},{"id":17,"name":"Train ID","value":"81-25"},{"id":16,"name":"Locomotive ID","value":"4049"},{"id":130,"name":"Impact","value":""},{"id":150,"name":"Time of Event (Mountain Time)","value":"22:17:06"},{"id":151,"name":"Denver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4"/>
        <v>start /low /b %USERPROFILE%\Documents\GitHub\eaglep3\Utilities\DownloadLogsFromS3.py --loco 4049 --day 2017-02-25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"%USERPROFILE%\AppData\Local\Temp\OnboardLogs"\RTDC4049\*4049*20170226* | grep -SE "(Enforcement Action)|(\[TIMEOUT)|(CHR.+\|PRM\|1\|D.+(SWITCH|SIGNAL).+UNKNOWN)" - &gt;&gt; 2017-02-25-UncaughtWiMAX.txt</v>
      </c>
    </row>
    <row r="226" spans="1:40" x14ac:dyDescent="0.25">
      <c r="A226" s="33" t="s">
        <v>749</v>
      </c>
      <c r="B226" s="7">
        <v>4049</v>
      </c>
      <c r="C226" s="21" t="s">
        <v>275</v>
      </c>
      <c r="D226" s="21" t="s">
        <v>754</v>
      </c>
      <c r="E226" s="13">
        <v>42791.974745370368</v>
      </c>
      <c r="F226" s="13">
        <v>42791.988078703704</v>
      </c>
      <c r="G226" s="7">
        <v>0</v>
      </c>
      <c r="H226" s="21" t="s">
        <v>294</v>
      </c>
      <c r="I226" s="13">
        <v>42792.014479166668</v>
      </c>
      <c r="J226" s="7">
        <v>1</v>
      </c>
      <c r="K226" s="98" t="str">
        <f t="shared" si="57"/>
        <v>4049/4050</v>
      </c>
      <c r="L226" s="21" t="str">
        <f>VLOOKUP(A226,'Trips&amp;Operators'!$C$1:$G$99999,5,FALSE)</f>
        <v>COMELLA JUSTIN</v>
      </c>
      <c r="M226" s="6">
        <f t="shared" si="58"/>
        <v>2.6400462964375038E-2</v>
      </c>
      <c r="N226" s="7">
        <f t="shared" si="59"/>
        <v>38.016666668700054</v>
      </c>
      <c r="O226" s="7"/>
      <c r="P226" s="7"/>
      <c r="Q226" s="22"/>
      <c r="R226" s="22"/>
      <c r="S226" s="31">
        <f t="shared" si="60"/>
        <v>0</v>
      </c>
      <c r="T226" s="46" t="e">
        <f t="shared" si="61"/>
        <v>#VALUE!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2"/>
        <v>https://d0f6bd738d7f1b3e5a7ca70fe4ff75f0.us-east-1.aws.found.io/app/kibana#/discover/Steve-Slow-Train-Analysis-(2080s-and-2083s)?_g=(refreshInterval:(display:Off,pause:!f,section:0,value:0),time:(from:'2017-02-25T22:23:38-0700',mode:absolute,to:'2017-02-26T01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6" s="197" t="str">
        <f t="shared" si="63"/>
        <v>N</v>
      </c>
      <c r="X226" s="197" t="e">
        <f t="shared" si="64"/>
        <v>#VALUE!</v>
      </c>
      <c r="Y226" s="197">
        <f t="shared" si="65"/>
        <v>0.1515</v>
      </c>
      <c r="Z226" s="62">
        <f t="shared" si="66"/>
        <v>23.329499999999999</v>
      </c>
      <c r="AA226" s="62">
        <f t="shared" si="67"/>
        <v>23.178000000000001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68"/>
        <v>81-25</v>
      </c>
      <c r="AE226" s="85" t="str">
        <f t="shared" si="69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26" s="82" t="str">
        <f t="shared" si="70"/>
        <v>"C:\Program Files (x86)\AstroGrep\AstroGrep.exe" /spath="%USERPROFILE%\AppData\Local\Temp\OnboardLogs" /stypes="app*4049*20170226*" /stext=" 07:.+((SYSTEM_STATE.+slice.+state.+changed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6" t="str">
        <f t="shared" si="72"/>
        <v>"%USERPROFILE%\Documents\GitHub\eaglep3\Utilities\RefineRTDCRunTimes.py" --tripid 81-25 --locoid 4049 --swversion DE.1.0.9.0 --startMP 204:1515 --initTime 2017-02-25T23:23:38 --startdatetime 2017-02-25T23:42:50 --delay 0 --endMP 204:233295 --enddatetime 2017-02-26T00:20:51 --enforcementcount 1 &gt;&gt;C:\Users\stu\Documents\GitHub\eaglep3-reporting\EC\2017-02-25-refined-times.txt</v>
      </c>
      <c r="AI226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{"issue":{"subject":"","project_id":79,"tracker_id":40,"status_id":1,"priority_id":2,"assigned_to_id":23,"start_date":"2017-02-26","description":"","custom_fields":[{"id":1,"name":"Subdivision","value":"Other"},{"id":4,"name":"Milepost","value":"23.3295"},{"id":17,"name":"Train ID","value":"81-25"},{"id":16,"name":"Locomotive ID","value":"4049"},{"id":130,"name":"Impact","value":""},{"id":150,"name":"Time of Event (Mountain Time)","value":"00:20:51"},{"id":151,"name":"Denver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4"/>
        <v>start /low /b %USERPROFILE%\Documents\GitHub\eaglep3\Utilities\DownloadLogsFromS3.py --loco 4049 --day 2017-02-25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"%USERPROFILE%\AppData\Local\Temp\OnboardLogs"\RTDC4049\*4049*20170226* | grep -SE "(Enforcement Action)|(\[TIMEOUT)|(CHR.+\|PRM\|1\|D.+(SWITCH|SIGNAL).+UNKNOWN)" - &gt;&gt; 2017-02-25-UncaughtWiMAX.txt</v>
      </c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V227" s="178"/>
      <c r="W227" s="178"/>
      <c r="X227" s="178"/>
      <c r="Y227" s="178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V228" s="178"/>
      <c r="W228" s="178"/>
      <c r="X228" s="178"/>
      <c r="Y228" s="17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V229" s="178"/>
      <c r="W229" s="178"/>
      <c r="X229" s="178"/>
      <c r="Y229" s="178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V230" s="178"/>
      <c r="W230" s="178"/>
      <c r="X230" s="178"/>
      <c r="Y230" s="178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 s="178"/>
      <c r="W231" s="178"/>
      <c r="X231" s="178"/>
      <c r="Y231" s="178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 s="178"/>
      <c r="W232" s="178"/>
      <c r="X232" s="178"/>
      <c r="Y232" s="178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 s="178"/>
      <c r="W233" s="178"/>
      <c r="X233" s="178"/>
      <c r="Y233" s="178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 s="178"/>
      <c r="W234" s="178"/>
      <c r="X234" s="178"/>
      <c r="Y234" s="178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 s="178"/>
      <c r="W235" s="178"/>
      <c r="X235" s="178"/>
      <c r="Y235" s="178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 s="178"/>
      <c r="W236" s="178"/>
      <c r="X236" s="178"/>
      <c r="Y236" s="178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 s="178"/>
      <c r="W237" s="178"/>
      <c r="X237" s="178"/>
      <c r="Y237" s="178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 s="178"/>
      <c r="W238" s="178"/>
      <c r="X238" s="178"/>
      <c r="Y238" s="17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 s="178"/>
      <c r="W239" s="178"/>
      <c r="X239" s="178"/>
      <c r="Y239" s="178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 s="178"/>
      <c r="W240" s="178"/>
      <c r="X240" s="178"/>
      <c r="Y240" s="178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 s="178"/>
      <c r="W241" s="178"/>
      <c r="X241" s="178"/>
      <c r="Y241" s="178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 s="178"/>
      <c r="W242" s="178"/>
      <c r="X242" s="178"/>
      <c r="Y242" s="178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 s="178"/>
      <c r="W243" s="178"/>
      <c r="X243" s="178"/>
      <c r="Y243" s="178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 s="178"/>
      <c r="W244" s="178"/>
      <c r="X244" s="178"/>
      <c r="Y244" s="178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 s="178"/>
      <c r="W245" s="178"/>
      <c r="X245" s="178"/>
      <c r="Y245" s="178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 s="178"/>
      <c r="W246" s="178"/>
      <c r="X246" s="178"/>
      <c r="Y246" s="178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8"/>
      <c r="W247" s="178"/>
      <c r="X247" s="178"/>
      <c r="Y247" s="178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8"/>
      <c r="W248" s="178"/>
      <c r="X248" s="178"/>
      <c r="Y248" s="17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8"/>
      <c r="W249" s="178"/>
      <c r="X249" s="178"/>
      <c r="Y249" s="178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8"/>
      <c r="W250" s="178"/>
      <c r="X250" s="178"/>
      <c r="Y250" s="178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8"/>
      <c r="W251" s="178"/>
      <c r="X251" s="178"/>
      <c r="Y251" s="178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8"/>
      <c r="W252" s="178"/>
      <c r="X252" s="178"/>
      <c r="Y252" s="178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8"/>
      <c r="W253" s="178"/>
      <c r="X253" s="178"/>
      <c r="Y253" s="178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8"/>
      <c r="W254" s="178"/>
      <c r="X254" s="178"/>
      <c r="Y254" s="178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8"/>
      <c r="W255" s="178"/>
      <c r="X255" s="178"/>
      <c r="Y255" s="178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8"/>
      <c r="W256" s="178"/>
      <c r="X256" s="178"/>
      <c r="Y256" s="178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8"/>
      <c r="W257" s="178"/>
      <c r="X257" s="178"/>
      <c r="Y257" s="178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8"/>
      <c r="W258" s="178"/>
      <c r="X258" s="178"/>
      <c r="Y258" s="17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8"/>
      <c r="W259" s="178"/>
      <c r="X259" s="178"/>
      <c r="Y259" s="178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8"/>
      <c r="W260" s="178"/>
      <c r="X260" s="178"/>
      <c r="Y260" s="178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 s="178"/>
      <c r="W261" s="178"/>
      <c r="X261" s="178"/>
      <c r="Y261" s="178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 s="178"/>
      <c r="W262" s="178"/>
      <c r="X262" s="178"/>
      <c r="Y262" s="178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 s="178"/>
      <c r="W263" s="178"/>
      <c r="X263" s="178"/>
      <c r="Y263" s="178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V264" s="178"/>
      <c r="W264" s="178"/>
      <c r="X264" s="178"/>
      <c r="Y264" s="178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V265" s="178"/>
      <c r="W265" s="178"/>
      <c r="X265" s="178"/>
      <c r="Y265" s="178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V266" s="178"/>
      <c r="W266" s="178"/>
      <c r="X266" s="178"/>
      <c r="Y266" s="178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V267" s="178"/>
      <c r="W267" s="178"/>
      <c r="X267" s="178"/>
      <c r="Y267" s="178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V268" s="178"/>
      <c r="W268" s="178"/>
      <c r="X268" s="178"/>
      <c r="Y268" s="17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V269" s="178"/>
      <c r="W269" s="178"/>
      <c r="X269" s="178"/>
      <c r="Y269" s="178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V270" s="178"/>
      <c r="W270" s="178"/>
      <c r="X270" s="178"/>
      <c r="Y270" s="178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V271" s="178"/>
      <c r="W271" s="178"/>
      <c r="X271" s="178"/>
      <c r="Y271" s="178"/>
      <c r="Z271"/>
      <c r="AA271"/>
      <c r="AB271"/>
      <c r="AC271"/>
      <c r="AD271"/>
      <c r="AE271"/>
      <c r="AF271"/>
      <c r="AH271"/>
      <c r="AI271"/>
      <c r="AM271"/>
    </row>
  </sheetData>
  <autoFilter ref="A12:AG253">
    <sortState ref="A13:AG253">
      <sortCondition ref="AG13:AG226"/>
      <sortCondition ref="AD13:AD226"/>
    </sortState>
  </autoFilter>
  <sortState ref="A13:AH200">
    <sortCondition ref="AG13:AG200"/>
    <sortCondition ref="AD13:AD200"/>
  </sortState>
  <mergeCells count="1">
    <mergeCell ref="A11:P11"/>
  </mergeCells>
  <conditionalFormatting sqref="W11:W12 W272:X1048576 W13:X226">
    <cfRule type="cellIs" dxfId="10" priority="356" operator="equal">
      <formula>"Y"</formula>
    </cfRule>
  </conditionalFormatting>
  <conditionalFormatting sqref="X272:X1048576 X13:X226">
    <cfRule type="cellIs" dxfId="9" priority="339" operator="greaterThan">
      <formula>1</formula>
    </cfRule>
  </conditionalFormatting>
  <conditionalFormatting sqref="X272:X1048576 X12:X226">
    <cfRule type="cellIs" dxfId="8" priority="336" operator="equal">
      <formula>0</formula>
    </cfRule>
  </conditionalFormatting>
  <conditionalFormatting sqref="A13:S22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opLeftCell="A2" zoomScaleNormal="100" workbookViewId="0">
      <selection activeCell="N19" sqref="N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6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6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70">
        <f>COUNTIF($O$7:$O$315,"=Y")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71">
        <f>COUNTA($O$7:$O$315)-O2</f>
        <v>34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6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74" t="str">
        <f>"Eagle P3 Braking Events - "&amp;TEXT(Variables!$A$2,"YYYY-mm-dd")</f>
        <v>Eagle P3 Braking Events - 2017-02-25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72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191</v>
      </c>
      <c r="AE6" s="155" t="s">
        <v>202</v>
      </c>
    </row>
    <row r="7" spans="1:32" s="1" customFormat="1" x14ac:dyDescent="0.25">
      <c r="A7" s="32">
        <v>42791.275578703702</v>
      </c>
      <c r="B7" s="30" t="s">
        <v>229</v>
      </c>
      <c r="C7" s="30" t="s">
        <v>400</v>
      </c>
      <c r="D7" s="30" t="s">
        <v>49</v>
      </c>
      <c r="E7" s="30" t="s">
        <v>193</v>
      </c>
      <c r="F7" s="43">
        <v>140</v>
      </c>
      <c r="G7" s="43">
        <v>220</v>
      </c>
      <c r="H7" s="43">
        <v>26522</v>
      </c>
      <c r="I7" s="43">
        <v>26983</v>
      </c>
      <c r="J7" s="30" t="s">
        <v>194</v>
      </c>
      <c r="K7" s="43">
        <v>27053</v>
      </c>
      <c r="L7" s="143" t="s">
        <v>50</v>
      </c>
      <c r="M7" s="144">
        <f t="shared" ref="M7:M44" si="0">CONVERT((I7-K7)/10000,"mi","ft")*IF(L7="Increasing Mileposts (1)",-1,1)</f>
        <v>36.96</v>
      </c>
      <c r="N7" s="145" t="str">
        <f>VLOOKUP(C7,'Trips&amp;Operators'!$C$1:$G$99999,5,FALSE)</f>
        <v>SANTIZO D. EDY</v>
      </c>
      <c r="O7" s="173" t="s">
        <v>181</v>
      </c>
      <c r="P7" s="146" t="s">
        <v>810</v>
      </c>
      <c r="Q7" s="30"/>
      <c r="R7" s="89" t="str">
        <f>VLOOKUP(C7,'Train Runs'!$A$13:$AE$9941,31,0)</f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-02-25T05:23:03-0700',mode:absolute,to:'2017-02-25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/stypes="*4053*201702251*" /stext=" 13:.+((SYSTEM_STATE.+slice.+state.+changed )|(ment ac)|(multiple cpu faults)|(system.+state.+changed )|(\[timeout)|(PRM\|1\|D)|(kpr)|(kdp)|(\|lc)|(penalty))" /e /r /s</v>
      </c>
      <c r="U7" s="9" t="str">
        <f t="shared" ref="U7:U44" si="2">MID(B7,13,4)</f>
        <v>4053</v>
      </c>
      <c r="V7" s="32">
        <f t="shared" ref="V7:V44" si="3">A7-utc_offset/24</f>
        <v>42791.567245370366</v>
      </c>
      <c r="W7" s="46" t="str">
        <f t="shared" ref="W7:W44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4" si="5">IF(AND(E7="TRACK WARRANT AUTHORITY",G7&lt;10),"OMIT","KEEP")</f>
        <v>KEEP</v>
      </c>
      <c r="Y7" s="108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arrival","project_id":79,"tracker_id":40,"status_id":1,"priority_id":2,"assigned_to_id":23,"start_date":"2017-02-25","description":"","custom_fields":[{"id":1,"name":"Subdivision","value":"EC"},{"id":4,"name":"Milepost","value":"2.7053"},{"id":17,"name":"Train ID","value":"123-25"},{"id":16,"name":"Locomotive ID","value":"4053"},{"id":130,"name":"Impact","value":""},{"id":150,"name":"Time of Event (Mountain Time)","value":"06:36:50"},{"id":151,"name":"Denver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"%USERPROFILE%\AppData\Local\Temp\OnboardLogs"\RTDC4053\*4053*201702251*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"%USERPROFILE%\AppData\Local\Temp\OnboardLogs"\RTDC4053\*4053*201702251* &gt;&gt; 2017-02-25-SliceDisagreementCheck.txt</v>
      </c>
      <c r="AE7" s="157" t="str">
        <f t="shared" ref="AE7:AE44" si="8">"start /low /b "&amp;dls3logs&amp;" --loco "&amp;U7&amp;" --day "&amp;TEXT(V7,"YYYY-MM-DD")</f>
        <v>start /low /b %USERPROFILE%\Documents\GitHub\eaglep3\Utilities\DownloadLogsFromS3.py --loco 4053 --day 2017-02-25</v>
      </c>
    </row>
    <row r="8" spans="1:32" s="1" customFormat="1" x14ac:dyDescent="0.25">
      <c r="A8" s="32">
        <v>42791.389849537038</v>
      </c>
      <c r="B8" s="30" t="s">
        <v>213</v>
      </c>
      <c r="C8" s="30" t="s">
        <v>403</v>
      </c>
      <c r="D8" s="30" t="s">
        <v>49</v>
      </c>
      <c r="E8" s="30" t="s">
        <v>193</v>
      </c>
      <c r="F8" s="43">
        <v>0</v>
      </c>
      <c r="G8" s="43">
        <v>222</v>
      </c>
      <c r="H8" s="43">
        <v>26750</v>
      </c>
      <c r="I8" s="43">
        <v>27138</v>
      </c>
      <c r="J8" s="30" t="s">
        <v>194</v>
      </c>
      <c r="K8" s="43">
        <v>27053</v>
      </c>
      <c r="L8" s="143" t="s">
        <v>50</v>
      </c>
      <c r="M8" s="144">
        <f t="shared" si="0"/>
        <v>-44.88</v>
      </c>
      <c r="N8" s="145" t="str">
        <f>VLOOKUP(C8,'Trips&amp;Operators'!$C$1:$G$99999,5,FALSE)</f>
        <v>ROBINSON KADDIBA</v>
      </c>
      <c r="O8" s="173" t="s">
        <v>181</v>
      </c>
      <c r="P8" s="146" t="s">
        <v>810</v>
      </c>
      <c r="Q8" s="30"/>
      <c r="R8" s="89" t="str">
        <f>VLOOKUP(C8,'Train Runs'!$A$13:$AE$9941,31,0)</f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-02-25T08:09:45-0700',mode:absolute,to:'2017-02-25T10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94" t="str">
        <f t="shared" si="1"/>
        <v>"C:\Program Files (x86)\AstroGrep\AstroGrep.exe" /spath="%USERPROFILE%\AppData\Local\Temp\OnboardLogs" /stypes="*4027*201702251*" /stext=" 16:.+((SYSTEM_STATE.+slice.+state.+changed )|(ment ac)|(multiple cpu faults)|(system.+state.+changed )|(\[timeout)|(PRM\|1\|D)|(kpr)|(kdp)|(\|lc)|(penalty))" /e /r /s</v>
      </c>
      <c r="U8" s="9" t="str">
        <f t="shared" si="2"/>
        <v>4027</v>
      </c>
      <c r="V8" s="32">
        <f t="shared" si="3"/>
        <v>42791.681516203702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arrival","project_id":79,"tracker_id":40,"status_id":1,"priority_id":2,"assigned_to_id":23,"start_date":"2017-02-25","description":"","custom_fields":[{"id":1,"name":"Subdivision","value":"EC"},{"id":4,"name":"Milepost","value":"2.7053"},{"id":17,"name":"Train ID","value":"145-25"},{"id":16,"name":"Locomotive ID","value":"4027"},{"id":130,"name":"Impact","value":""},{"id":150,"name":"Time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"%USERPROFILE%\AppData\Local\Temp\OnboardLogs"\RTDC4027\*4027*201702251*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"%USERPROFILE%\AppData\Local\Temp\OnboardLogs"\RTDC4027\*4027*201702251* &gt;&gt; 2017-02-25-SliceDisagreementCheck.txt</v>
      </c>
      <c r="AE8" s="157" t="str">
        <f t="shared" si="8"/>
        <v>start /low /b %USERPROFILE%\Documents\GitHub\eaglep3\Utilities\DownloadLogsFromS3.py --loco 4027 --day 2017-02-25</v>
      </c>
    </row>
    <row r="9" spans="1:32" s="1" customFormat="1" x14ac:dyDescent="0.25">
      <c r="A9" s="32">
        <v>42791.550949074073</v>
      </c>
      <c r="B9" s="30" t="s">
        <v>226</v>
      </c>
      <c r="C9" s="30" t="s">
        <v>409</v>
      </c>
      <c r="D9" s="30" t="s">
        <v>98</v>
      </c>
      <c r="E9" s="30" t="s">
        <v>193</v>
      </c>
      <c r="F9" s="43">
        <v>0</v>
      </c>
      <c r="G9" s="43">
        <v>138</v>
      </c>
      <c r="H9" s="43">
        <v>27338</v>
      </c>
      <c r="I9" s="43">
        <v>27255</v>
      </c>
      <c r="J9" s="30" t="s">
        <v>194</v>
      </c>
      <c r="K9" s="43">
        <v>27350</v>
      </c>
      <c r="L9" s="143" t="s">
        <v>51</v>
      </c>
      <c r="M9" s="144">
        <f t="shared" si="0"/>
        <v>-50.16</v>
      </c>
      <c r="N9" s="145" t="str">
        <f>VLOOKUP(C9,'Trips&amp;Operators'!$C$1:$G$99999,5,FALSE)</f>
        <v>KILLION DAVID</v>
      </c>
      <c r="O9" s="173" t="s">
        <v>181</v>
      </c>
      <c r="P9" s="146" t="s">
        <v>810</v>
      </c>
      <c r="Q9" s="30"/>
      <c r="R9" s="89" t="str">
        <f>VLOOKUP(C9,'Train Runs'!$A$13:$AE$9941,31,0)</f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-02-25T11:32:53-0700',mode:absolute,to:'2017-02-25T14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9" s="94" t="str">
        <f t="shared" si="1"/>
        <v>"C:\Program Files (x86)\AstroGrep\AstroGrep.exe" /spath="%USERPROFILE%\AppData\Local\Temp\OnboardLogs" /stypes="*4054*201702252*" /stext=" 20:.+((SYSTEM_STATE.+slice.+state.+changed )|(ment ac)|(multiple cpu faults)|(system.+state.+changed )|(\[timeout)|(PRM\|1\|D)|(kpr)|(kdp)|(\|lc)|(penalty))" /e /r /s</v>
      </c>
      <c r="U9" s="9" t="str">
        <f t="shared" si="2"/>
        <v>4054</v>
      </c>
      <c r="V9" s="32">
        <f t="shared" si="3"/>
        <v>42791.842615740738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arrival","project_id":79,"tracker_id":40,"status_id":1,"priority_id":2,"assigned_to_id":23,"start_date":"2017-02-25","description":"","custom_fields":[{"id":1,"name":"Subdivision","value":"EC"},{"id":4,"name":"Milepost","value":"2.735"},{"id":17,"name":"Train ID","value":"166-25"},{"id":16,"name":"Locomotive ID","value":"4054"},{"id":130,"name":"Impact","value":""},{"id":150,"name":"Time of Event (Mountain Time)","value":"13:13:22"},{"id":151,"name":"Denver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"%USERPROFILE%\AppData\Local\Temp\OnboardLogs"\RTDC4054\*4054*201702252*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"%USERPROFILE%\AppData\Local\Temp\OnboardLogs"\RTDC4054\*4054*201702252* &gt;&gt; 2017-02-25-SliceDisagreementCheck.txt</v>
      </c>
      <c r="AE9" s="157" t="str">
        <f t="shared" si="8"/>
        <v>start /low /b %USERPROFILE%\Documents\GitHub\eaglep3\Utilities\DownloadLogsFromS3.py --loco 4054 --day 2017-02-25</v>
      </c>
    </row>
    <row r="10" spans="1:32" s="1" customFormat="1" x14ac:dyDescent="0.25">
      <c r="A10" s="32">
        <v>42791.265960648147</v>
      </c>
      <c r="B10" s="30" t="s">
        <v>247</v>
      </c>
      <c r="C10" s="30" t="s">
        <v>398</v>
      </c>
      <c r="D10" s="30" t="s">
        <v>98</v>
      </c>
      <c r="E10" s="30" t="s">
        <v>193</v>
      </c>
      <c r="F10" s="43">
        <v>220</v>
      </c>
      <c r="G10" s="43">
        <v>274</v>
      </c>
      <c r="H10" s="43">
        <v>30936</v>
      </c>
      <c r="I10" s="43">
        <v>31465</v>
      </c>
      <c r="J10" s="30" t="s">
        <v>194</v>
      </c>
      <c r="K10" s="43">
        <v>30830</v>
      </c>
      <c r="L10" s="143" t="s">
        <v>50</v>
      </c>
      <c r="M10" s="144">
        <f t="shared" si="0"/>
        <v>-335.28</v>
      </c>
      <c r="N10" s="145" t="str">
        <f>VLOOKUP(C10,'Trips&amp;Operators'!$C$1:$G$99999,5,FALSE)</f>
        <v>BRANDNER MELINDA</v>
      </c>
      <c r="O10" s="173" t="s">
        <v>181</v>
      </c>
      <c r="P10" s="146" t="s">
        <v>810</v>
      </c>
      <c r="Q10" s="30"/>
      <c r="R10" s="89" t="str">
        <f>VLOOKUP(C10,'Train Runs'!$A$13:$AE$9941,31,0)</f>
        <v>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 &amp; aws s3 cp s3://rtdc.mdm.uploadarchive.raw/RTDC4044/ "%USERPROFILE%\AppData\Local\Temp\OnboardLogs"\RTDC4044\2017-02-26 --exclude "*" --recursive --include "*20170226*" &amp; "%USERPROFILE%\Documents\GitHub\mrs-test-scripts\Headless Mode &amp; Sideloading\WalkAndUnGZ.bat" "%USERPROFILE%\AppData\Local\Temp\OnboardLogs"\RTDC4044\2017-02-26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-02-25T05:10:29-0700',mode:absolute,to:'2017-02-25T07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94" t="str">
        <f t="shared" si="1"/>
        <v>"C:\Program Files (x86)\AstroGrep\AstroGrep.exe" /spath="%USERPROFILE%\AppData\Local\Temp\OnboardLogs" /stypes="*4044*201702251*" /stext=" 13:.+((SYSTEM_STATE.+slice.+state.+changed )|(ment ac)|(multiple cpu faults)|(system.+state.+changed )|(\[timeout)|(PRM\|1\|D)|(kpr)|(kdp)|(\|lc)|(penalty))" /e /r /s</v>
      </c>
      <c r="U10" s="9" t="str">
        <f t="shared" si="2"/>
        <v>4044</v>
      </c>
      <c r="V10" s="32">
        <f t="shared" si="3"/>
        <v>42791.557627314811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arrival","project_id":79,"tracker_id":40,"status_id":1,"priority_id":2,"assigned_to_id":23,"start_date":"2017-02-25","description":"","custom_fields":[{"id":1,"name":"Subdivision","value":"EC"},{"id":4,"name":"Milepost","value":"3.083"},{"id":17,"name":"Train ID","value":"121-25"},{"id":16,"name":"Locomotive ID","value":"4044"},{"id":130,"name":"Impact","value":""},{"id":150,"name":"Time of Event (Mountain Time)","value":"06:22:59"},{"id":151,"name":"Denver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"%USERPROFILE%\AppData\Local\Temp\OnboardLogs"\RTDC4044\*4044*201702251*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"%USERPROFILE%\AppData\Local\Temp\OnboardLogs"\RTDC4044\*4044*201702251* &gt;&gt; 2017-02-25-SliceDisagreementCheck.txt</v>
      </c>
      <c r="AE10" s="157" t="str">
        <f t="shared" si="8"/>
        <v>start /low /b %USERPROFILE%\Documents\GitHub\eaglep3\Utilities\DownloadLogsFromS3.py --loco 4044 --day 2017-02-25</v>
      </c>
    </row>
    <row r="11" spans="1:32" s="1" customFormat="1" x14ac:dyDescent="0.25">
      <c r="A11" s="32">
        <v>42791.840520833335</v>
      </c>
      <c r="B11" s="30" t="s">
        <v>246</v>
      </c>
      <c r="C11" s="30" t="s">
        <v>424</v>
      </c>
      <c r="D11" s="30" t="s">
        <v>98</v>
      </c>
      <c r="E11" s="30" t="s">
        <v>193</v>
      </c>
      <c r="F11" s="43">
        <v>160</v>
      </c>
      <c r="G11" s="43">
        <v>217</v>
      </c>
      <c r="H11" s="43">
        <v>30967</v>
      </c>
      <c r="I11" s="43">
        <v>31571</v>
      </c>
      <c r="J11" s="30" t="s">
        <v>194</v>
      </c>
      <c r="K11" s="43">
        <v>30830</v>
      </c>
      <c r="L11" s="143" t="s">
        <v>50</v>
      </c>
      <c r="M11" s="144">
        <f t="shared" si="0"/>
        <v>-391.24799999999999</v>
      </c>
      <c r="N11" s="145" t="str">
        <f>VLOOKUP(C11,'Trips&amp;Operators'!$C$1:$G$99999,5,FALSE)</f>
        <v>STAMBAUGH JAMES</v>
      </c>
      <c r="O11" s="173" t="s">
        <v>181</v>
      </c>
      <c r="P11" s="146" t="s">
        <v>810</v>
      </c>
      <c r="Q11" s="30"/>
      <c r="R11" s="89" t="str">
        <f>VLOOKUP(C11,'Train Runs'!$A$13:$AE$9941,31,0)</f>
        <v>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 &amp; 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-02-25T19:00:36-0700',mode:absolute,to:'2017-02-25T21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94" t="str">
        <f t="shared" si="1"/>
        <v>"C:\Program Files (x86)\AstroGrep\AstroGrep.exe" /spath="%USERPROFILE%\AppData\Local\Temp\OnboardLogs" /stypes="*4020*201702260*" /stext=" 03:.+((SYSTEM_STATE.+slice.+state.+changed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2">
        <f t="shared" si="3"/>
        <v>42792.132187499999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arrival","project_id":79,"tracker_id":40,"status_id":1,"priority_id":2,"assigned_to_id":23,"start_date":"2017-02-25","description":"","custom_fields":[{"id":1,"name":"Subdivision","value":"EC"},{"id":4,"name":"Milepost","value":"3.083"},{"id":17,"name":"Train ID","value":"225-25"},{"id":16,"name":"Locomotive ID","value":"4020"},{"id":130,"name":"Impact","value":""},{"id":150,"name":"Time of Event (Mountain Time)","value":"20:10:21"},{"id":151,"name":"Denver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"%USERPROFILE%\AppData\Local\Temp\OnboardLogs"\RTDC4020\*4020*201702260*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"%USERPROFILE%\AppData\Local\Temp\OnboardLogs"\RTDC4020\*4020*201702260* &gt;&gt; 2017-02-25-SliceDisagreementCheck.txt</v>
      </c>
      <c r="AE11" s="157" t="str">
        <f t="shared" si="8"/>
        <v>start /low /b %USERPROFILE%\Documents\GitHub\eaglep3\Utilities\DownloadLogsFromS3.py --loco 4020 --day 2017-02-26</v>
      </c>
    </row>
    <row r="12" spans="1:32" s="1" customFormat="1" x14ac:dyDescent="0.25">
      <c r="A12" s="32">
        <v>42791.49895833333</v>
      </c>
      <c r="B12" s="30" t="s">
        <v>251</v>
      </c>
      <c r="C12" s="30" t="s">
        <v>406</v>
      </c>
      <c r="D12" s="30" t="s">
        <v>98</v>
      </c>
      <c r="E12" s="30" t="s">
        <v>193</v>
      </c>
      <c r="F12" s="43">
        <v>0</v>
      </c>
      <c r="G12" s="43">
        <v>223</v>
      </c>
      <c r="H12" s="43">
        <v>30969</v>
      </c>
      <c r="I12" s="43">
        <v>30695</v>
      </c>
      <c r="J12" s="30" t="s">
        <v>194</v>
      </c>
      <c r="K12" s="43">
        <v>30970</v>
      </c>
      <c r="L12" s="143" t="s">
        <v>51</v>
      </c>
      <c r="M12" s="144">
        <f t="shared" si="0"/>
        <v>-145.19999999999999</v>
      </c>
      <c r="N12" s="145" t="str">
        <f>VLOOKUP(C12,'Trips&amp;Operators'!$C$1:$G$99999,5,FALSE)</f>
        <v>HOLCOMB KAMDEN</v>
      </c>
      <c r="O12" s="173" t="s">
        <v>181</v>
      </c>
      <c r="P12" s="146" t="s">
        <v>810</v>
      </c>
      <c r="Q12" s="30"/>
      <c r="R12" s="89" t="str">
        <f>VLOOKUP(C12,'Train Runs'!$A$13:$AE$9941,31,0)</f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-02-25T10:08:28-0700',mode:absolute,to:'2017-02-25T13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94" t="str">
        <f t="shared" si="1"/>
        <v>"C:\Program Files (x86)\AstroGrep\AstroGrep.exe" /spath="%USERPROFILE%\AppData\Local\Temp\OnboardLogs" /stypes="*4017*201702251*" /stext=" 18:.+((SYSTEM_STATE.+slice.+state.+changed )|(ment ac)|(multiple cpu faults)|(system.+state.+changed )|(\[timeout)|(PRM\|1\|D)|(kpr)|(kdp)|(\|lc)|(penalty))" /e /r /s</v>
      </c>
      <c r="U12" s="9" t="str">
        <f t="shared" si="2"/>
        <v>4017</v>
      </c>
      <c r="V12" s="32">
        <f t="shared" si="3"/>
        <v>42791.790624999994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arrival","project_id":79,"tracker_id":40,"status_id":1,"priority_id":2,"assigned_to_id":23,"start_date":"2017-02-25","description":"","custom_fields":[{"id":1,"name":"Subdivision","value":"EC"},{"id":4,"name":"Milepost","value":"3.097"},{"id":17,"name":"Train ID","value":"156-25"},{"id":16,"name":"Locomotive ID","value":"4017"},{"id":130,"name":"Impact","value":""},{"id":150,"name":"Time of Event (Mountain Time)","value":"11:58:30"},{"id":151,"name":"Denver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"%USERPROFILE%\AppData\Local\Temp\OnboardLogs"\RTDC4017\*4017*201702251*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"%USERPROFILE%\AppData\Local\Temp\OnboardLogs"\RTDC4017\*4017*201702251* &gt;&gt; 2017-02-25-SliceDisagreementCheck.txt</v>
      </c>
      <c r="AE12" s="157" t="str">
        <f t="shared" si="8"/>
        <v>start /low /b %USERPROFILE%\Documents\GitHub\eaglep3\Utilities\DownloadLogsFromS3.py --loco 4017 --day 2017-02-25</v>
      </c>
    </row>
    <row r="13" spans="1:32" s="1" customFormat="1" x14ac:dyDescent="0.25">
      <c r="A13" s="32">
        <v>42791.141712962963</v>
      </c>
      <c r="B13" s="30" t="s">
        <v>209</v>
      </c>
      <c r="C13" s="30" t="s">
        <v>396</v>
      </c>
      <c r="D13" s="30" t="s">
        <v>98</v>
      </c>
      <c r="E13" s="30" t="s">
        <v>193</v>
      </c>
      <c r="F13" s="43">
        <v>0</v>
      </c>
      <c r="G13" s="43">
        <v>267</v>
      </c>
      <c r="H13" s="43">
        <v>33164</v>
      </c>
      <c r="I13" s="43">
        <v>33391</v>
      </c>
      <c r="J13" s="30" t="s">
        <v>194</v>
      </c>
      <c r="K13" s="43">
        <v>33137</v>
      </c>
      <c r="L13" s="143" t="s">
        <v>50</v>
      </c>
      <c r="M13" s="144">
        <f t="shared" si="0"/>
        <v>-134.11199999999999</v>
      </c>
      <c r="N13" s="145" t="str">
        <f>VLOOKUP(C13,'Trips&amp;Operators'!$C$1:$G$99999,5,FALSE)</f>
        <v>BADERTSCHER DIANE</v>
      </c>
      <c r="O13" s="173" t="s">
        <v>181</v>
      </c>
      <c r="P13" s="146" t="s">
        <v>810</v>
      </c>
      <c r="Q13" s="30"/>
      <c r="R13" s="89" t="str">
        <f>VLOOKUP(C13,'Train Runs'!$A$13:$AE$9941,31,0)</f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-02-25T02:08:27-0700',mode:absolute,to:'2017-02-25T04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 t="shared" si="1"/>
        <v>"C:\Program Files (x86)\AstroGrep\AstroGrep.exe" /spath="%USERPROFILE%\AppData\Local\Temp\OnboardLogs" /stypes="*4046*201702251*" /stext=" 10:.+((SYSTEM_STATE.+slice.+state.+changed )|(ment ac)|(multiple cpu faults)|(system.+state.+changed )|(\[timeout)|(PRM\|1\|D)|(kpr)|(kdp)|(\|lc)|(penalty))" /e /r /s</v>
      </c>
      <c r="U13" s="9" t="str">
        <f t="shared" si="2"/>
        <v>4046</v>
      </c>
      <c r="V13" s="32">
        <f t="shared" si="3"/>
        <v>42791.433379629627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arrival","project_id":79,"tracker_id":40,"status_id":1,"priority_id":2,"assigned_to_id":23,"start_date":"2017-02-25","description":"","custom_fields":[{"id":1,"name":"Subdivision","value":"EC"},{"id":4,"name":"Milepost","value":"3.3137"},{"id":17,"name":"Train ID","value":"101-25"},{"id":16,"name":"Locomotive ID","value":"4046"},{"id":130,"name":"Impact","value":""},{"id":150,"name":"Time of Event (Mountain Time)","value":"03:24:04"},{"id":151,"name":"Denver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"%USERPROFILE%\AppData\Local\Temp\OnboardLogs"\RTDC4046\*4046*201702251*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"%USERPROFILE%\AppData\Local\Temp\OnboardLogs"\RTDC4046\*4046*201702251* &gt;&gt; 2017-02-25-SliceDisagreementCheck.txt</v>
      </c>
      <c r="AE13" s="157" t="str">
        <f t="shared" si="8"/>
        <v>start /low /b %USERPROFILE%\Documents\GitHub\eaglep3\Utilities\DownloadLogsFromS3.py --loco 4046 --day 2017-02-25</v>
      </c>
    </row>
    <row r="14" spans="1:32" x14ac:dyDescent="0.25">
      <c r="A14" s="32">
        <v>42792.005601851852</v>
      </c>
      <c r="B14" s="30" t="s">
        <v>246</v>
      </c>
      <c r="C14" s="30" t="s">
        <v>429</v>
      </c>
      <c r="D14" s="30" t="s">
        <v>49</v>
      </c>
      <c r="E14" s="30" t="s">
        <v>193</v>
      </c>
      <c r="F14" s="43">
        <v>260</v>
      </c>
      <c r="G14" s="43">
        <v>318</v>
      </c>
      <c r="H14" s="43">
        <v>31670</v>
      </c>
      <c r="I14" s="43">
        <v>32334</v>
      </c>
      <c r="J14" s="30" t="s">
        <v>194</v>
      </c>
      <c r="K14" s="43">
        <v>33137</v>
      </c>
      <c r="L14" s="143" t="s">
        <v>50</v>
      </c>
      <c r="M14" s="144">
        <f t="shared" si="0"/>
        <v>423.98399999999998</v>
      </c>
      <c r="N14" s="145" t="str">
        <f>VLOOKUP(C14,'Trips&amp;Operators'!$C$1:$G$99999,5,FALSE)</f>
        <v>STAMBAUGH JAMES</v>
      </c>
      <c r="O14" s="173" t="s">
        <v>181</v>
      </c>
      <c r="P14" s="146" t="s">
        <v>810</v>
      </c>
      <c r="Q14" s="30"/>
      <c r="R14" s="89" t="str">
        <f>VLOOKUP(C14,'Train Runs'!$A$13:$AE$9941,31,0)</f>
        <v>aws s3 cp s3://rtdc.mdm.uploadarchive.raw/RTDC4020/ "%USERPROFILE%\AppData\Local\Temp\OnboardLogs"\RTDC4020\2017-02-26 --exclude "*" --recursive --include "*20170226*" &amp; "%USERPROFILE%\Documents\GitHub\mrs-test-scripts\Headless Mode &amp; Sideloading\WalkAndUnGZ.bat" "%USERPROFILE%\AppData\Local\Temp\OnboardLogs"\RTDC4020\2017-02-26 &amp; 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-02-25T22:39:06-0700',mode:absolute,to:'2017-02-26T01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94" t="str">
        <f t="shared" si="1"/>
        <v>"C:\Program Files (x86)\AstroGrep\AstroGrep.exe" /spath="%USERPROFILE%\AppData\Local\Temp\OnboardLogs" /stypes="*4020*201702260*" /stext=" 07:.+((SYSTEM_STATE.+slice.+state.+changed )|(ment ac)|(multiple cpu faults)|(system.+state.+changed )|(\[timeout)|(PRM\|1\|D)|(kpr)|(kdp)|(\|lc)|(penalty))" /e /r /s</v>
      </c>
      <c r="U14" s="9" t="str">
        <f t="shared" si="2"/>
        <v>4020</v>
      </c>
      <c r="V14" s="32">
        <f t="shared" si="3"/>
        <v>42792.297268518516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arrival","project_id":79,"tracker_id":40,"status_id":1,"priority_id":2,"assigned_to_id":23,"start_date":"2017-02-26","description":"","custom_fields":[{"id":1,"name":"Subdivision","value":"EC"},{"id":4,"name":"Milepost","value":"3.3137"},{"id":17,"name":"Train ID","value":"241-25"},{"id":16,"name":"Locomotive ID","value":"4020"},{"id":130,"name":"Impact","value":""},{"id":150,"name":"Time of Event (Mountain Time)","value":"00:08:04"},{"id":151,"name":"Denver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"%USERPROFILE%\AppData\Local\Temp\OnboardLogs"\RTDC4020\*4020*201702260*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"%USERPROFILE%\AppData\Local\Temp\OnboardLogs"\RTDC4020\*4020*201702260* &gt;&gt; 2017-02-25-SliceDisagreementCheck.txt</v>
      </c>
      <c r="AE14" s="157" t="str">
        <f t="shared" si="8"/>
        <v>start /low /b %USERPROFILE%\Documents\GitHub\eaglep3\Utilities\DownloadLogsFromS3.py --loco 4020 --day 2017-02-26</v>
      </c>
      <c r="AF14" s="1"/>
    </row>
    <row r="15" spans="1:32" x14ac:dyDescent="0.25">
      <c r="A15" s="32">
        <v>42791.97587962963</v>
      </c>
      <c r="B15" s="30" t="s">
        <v>244</v>
      </c>
      <c r="C15" s="30" t="s">
        <v>426</v>
      </c>
      <c r="D15" s="30" t="s">
        <v>49</v>
      </c>
      <c r="E15" s="30" t="s">
        <v>193</v>
      </c>
      <c r="F15" s="43">
        <v>280</v>
      </c>
      <c r="G15" s="43">
        <v>333</v>
      </c>
      <c r="H15" s="43">
        <v>35913</v>
      </c>
      <c r="I15" s="43">
        <v>35143</v>
      </c>
      <c r="J15" s="30" t="s">
        <v>194</v>
      </c>
      <c r="K15" s="43">
        <v>33257</v>
      </c>
      <c r="L15" s="143" t="s">
        <v>51</v>
      </c>
      <c r="M15" s="144">
        <f t="shared" si="0"/>
        <v>995.80799999999999</v>
      </c>
      <c r="N15" s="145" t="str">
        <f>VLOOKUP(C15,'Trips&amp;Operators'!$C$1:$G$99999,5,FALSE)</f>
        <v>STAMBAUGH JAMES</v>
      </c>
      <c r="O15" s="173" t="s">
        <v>181</v>
      </c>
      <c r="P15" s="146" t="s">
        <v>810</v>
      </c>
      <c r="Q15" s="30"/>
      <c r="R15" s="89" t="str">
        <f>VLOOKUP(C15,'Train Runs'!$A$13:$AE$9941,31,0)</f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-02-25T21:38:22-0700',mode:absolute,to:'2017-02-26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/spath="%USERPROFILE%\AppData\Local\Temp\OnboardLogs" /stypes="*4019*201702260*" /stext=" 06:.+((SYSTEM_STATE.+slice.+state.+changed )|(ment ac)|(multiple cpu faults)|(system.+state.+changed )|(\[timeout)|(PRM\|1\|D)|(kpr)|(kdp)|(\|lc)|(penalty))" /e /r /s</v>
      </c>
      <c r="U15" s="9" t="str">
        <f t="shared" si="2"/>
        <v>4019</v>
      </c>
      <c r="V15" s="32">
        <f t="shared" si="3"/>
        <v>42792.267546296294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arrival","project_id":79,"tracker_id":40,"status_id":1,"priority_id":2,"assigned_to_id":23,"start_date":"2017-02-25","description":"","custom_fields":[{"id":1,"name":"Subdivision","value":"EC"},{"id":4,"name":"Milepost","value":"3.3257"},{"id":17,"name":"Train ID","value":"234-25"},{"id":16,"name":"Locomotive ID","value":"4019"},{"id":130,"name":"Impact","value":""},{"id":150,"name":"Time of Event (Mountain Time)","value":"23:25:16"},{"id":151,"name":"Denver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"%USERPROFILE%\AppData\Local\Temp\OnboardLogs"\RTDC4019\*4019*201702260*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"%USERPROFILE%\AppData\Local\Temp\OnboardLogs"\RTDC4019\*4019*201702260* &gt;&gt; 2017-02-25-SliceDisagreementCheck.txt</v>
      </c>
      <c r="AE15" s="157" t="str">
        <f t="shared" si="8"/>
        <v>start /low /b %USERPROFILE%\Documents\GitHub\eaglep3\Utilities\DownloadLogsFromS3.py --loco 4019 --day 2017-02-26</v>
      </c>
      <c r="AF15" s="1"/>
    </row>
    <row r="16" spans="1:32" x14ac:dyDescent="0.25">
      <c r="A16" s="32">
        <v>42791.328217592592</v>
      </c>
      <c r="B16" s="30" t="s">
        <v>226</v>
      </c>
      <c r="C16" s="30" t="s">
        <v>402</v>
      </c>
      <c r="D16" s="30" t="s">
        <v>98</v>
      </c>
      <c r="E16" s="30" t="s">
        <v>193</v>
      </c>
      <c r="F16" s="43">
        <v>0</v>
      </c>
      <c r="G16" s="43">
        <v>317</v>
      </c>
      <c r="H16" s="43">
        <v>58246</v>
      </c>
      <c r="I16" s="43">
        <v>57625</v>
      </c>
      <c r="J16" s="30" t="s">
        <v>194</v>
      </c>
      <c r="K16" s="43">
        <v>58301</v>
      </c>
      <c r="L16" s="143" t="s">
        <v>51</v>
      </c>
      <c r="M16" s="144">
        <f t="shared" si="0"/>
        <v>-356.92799999999994</v>
      </c>
      <c r="N16" s="145" t="str">
        <f>VLOOKUP(C16,'Trips&amp;Operators'!$C$1:$G$99999,5,FALSE)</f>
        <v>DELGADO DIANAH</v>
      </c>
      <c r="O16" s="173" t="s">
        <v>181</v>
      </c>
      <c r="P16" s="146" t="s">
        <v>810</v>
      </c>
      <c r="Q16" s="30"/>
      <c r="R16" s="89" t="str">
        <f>VLOOKUP(C16,'Train Runs'!$A$13:$AE$9941,31,0)</f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-02-25T06:11:17-0700',mode:absolute,to:'2017-02-25T09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6" s="94" t="str">
        <f t="shared" si="1"/>
        <v>"C:\Program Files (x86)\AstroGrep\AstroGrep.exe" /spath="%USERPROFILE%\AppData\Local\Temp\OnboardLogs" /stypes="*4054*201702251*" /stext=" 14:.+((SYSTEM_STATE.+slice.+state.+changed )|(ment ac)|(multiple cpu faults)|(system.+state.+changed )|(\[timeout)|(PRM\|1\|D)|(kpr)|(kdp)|(\|lc)|(penalty))" /e /r /s</v>
      </c>
      <c r="U16" s="9" t="str">
        <f t="shared" si="2"/>
        <v>4054</v>
      </c>
      <c r="V16" s="32">
        <f t="shared" si="3"/>
        <v>42791.619884259257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arrival","project_id":79,"tracker_id":40,"status_id":1,"priority_id":2,"assigned_to_id":23,"start_date":"2017-02-25","description":"","custom_fields":[{"id":1,"name":"Subdivision","value":"EC"},{"id":4,"name":"Milepost","value":"5.8301"},{"id":17,"name":"Train ID","value":"124-25"},{"id":16,"name":"Locomotive ID","value":"4054"},{"id":130,"name":"Impact","value":""},{"id":150,"name":"Time of Event (Mountain Time)","value":"07:52:38"},{"id":151,"name":"Denver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"%USERPROFILE%\AppData\Local\Temp\OnboardLogs"\RTDC4054\*4054*201702251*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"%USERPROFILE%\AppData\Local\Temp\OnboardLogs"\RTDC4054\*4054*201702251* &gt;&gt; 2017-02-25-SliceDisagreementCheck.txt</v>
      </c>
      <c r="AE16" s="157" t="str">
        <f t="shared" si="8"/>
        <v>start /low /b %USERPROFILE%\Documents\GitHub\eaglep3\Utilities\DownloadLogsFromS3.py --loco 4054 --day 2017-02-25</v>
      </c>
      <c r="AF16" s="1"/>
    </row>
    <row r="17" spans="1:32" x14ac:dyDescent="0.25">
      <c r="A17" s="32">
        <v>42791.69259259259</v>
      </c>
      <c r="B17" s="30" t="s">
        <v>226</v>
      </c>
      <c r="C17" s="30" t="s">
        <v>416</v>
      </c>
      <c r="D17" s="30" t="s">
        <v>49</v>
      </c>
      <c r="E17" s="30" t="s">
        <v>193</v>
      </c>
      <c r="F17" s="43">
        <v>290</v>
      </c>
      <c r="G17" s="43">
        <v>342</v>
      </c>
      <c r="H17" s="43">
        <v>58726</v>
      </c>
      <c r="I17" s="43">
        <v>57662</v>
      </c>
      <c r="J17" s="30" t="s">
        <v>194</v>
      </c>
      <c r="K17" s="43">
        <v>58301</v>
      </c>
      <c r="L17" s="143" t="s">
        <v>51</v>
      </c>
      <c r="M17" s="144">
        <f t="shared" si="0"/>
        <v>-337.392</v>
      </c>
      <c r="N17" s="145" t="str">
        <f>VLOOKUP(C17,'Trips&amp;Operators'!$C$1:$G$99999,5,FALSE)</f>
        <v>KILLION DAVID</v>
      </c>
      <c r="O17" s="173" t="s">
        <v>181</v>
      </c>
      <c r="P17" s="146" t="s">
        <v>810</v>
      </c>
      <c r="Q17" s="30"/>
      <c r="R17" s="89" t="str">
        <f>VLOOKUP(C17,'Train Runs'!$A$13:$AE$9941,31,0)</f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-02-25T15:03:59-0700',mode:absolute,to:'2017-02-25T17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94" t="str">
        <f t="shared" si="1"/>
        <v>"C:\Program Files (x86)\AstroGrep\AstroGrep.exe" /spath="%USERPROFILE%\AppData\Local\Temp\OnboardLogs" /stypes="*4054*201702252*" /stext=" 23:.+((SYSTEM_STATE.+slice.+state.+changed )|(ment ac)|(multiple cpu faults)|(system.+state.+changed )|(\[timeout)|(PRM\|1\|D)|(kpr)|(kdp)|(\|lc)|(penalty))" /e /r /s</v>
      </c>
      <c r="U17" s="9" t="str">
        <f t="shared" si="2"/>
        <v>4054</v>
      </c>
      <c r="V17" s="32">
        <f t="shared" si="3"/>
        <v>42791.984259259254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arrival","project_id":79,"tracker_id":40,"status_id":1,"priority_id":2,"assigned_to_id":23,"start_date":"2017-02-25","description":"","custom_fields":[{"id":1,"name":"Subdivision","value":"EC"},{"id":4,"name":"Milepost","value":"5.8301"},{"id":17,"name":"Train ID","value":"194-25"},{"id":16,"name":"Locomotive ID","value":"4054"},{"id":130,"name":"Impact","value":""},{"id":150,"name":"Time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"%USERPROFILE%\AppData\Local\Temp\OnboardLogs"\RTDC4054\*4054*201702252*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"%USERPROFILE%\AppData\Local\Temp\OnboardLogs"\RTDC4054\*4054*201702252* &gt;&gt; 2017-02-25-SliceDisagreementCheck.txt</v>
      </c>
      <c r="AE17" s="157" t="str">
        <f t="shared" si="8"/>
        <v>start /low /b %USERPROFILE%\Documents\GitHub\eaglep3\Utilities\DownloadLogsFromS3.py --loco 4054 --day 2017-02-25</v>
      </c>
      <c r="AF17" s="1"/>
    </row>
    <row r="18" spans="1:32" ht="15" customHeight="1" x14ac:dyDescent="0.25">
      <c r="A18" s="32">
        <v>42791.508692129632</v>
      </c>
      <c r="B18" s="30" t="s">
        <v>209</v>
      </c>
      <c r="C18" s="30" t="s">
        <v>407</v>
      </c>
      <c r="D18" s="30" t="s">
        <v>49</v>
      </c>
      <c r="E18" s="30" t="s">
        <v>193</v>
      </c>
      <c r="F18" s="43">
        <v>430</v>
      </c>
      <c r="G18" s="43">
        <v>510</v>
      </c>
      <c r="H18" s="43">
        <v>57835</v>
      </c>
      <c r="I18" s="43">
        <v>59319</v>
      </c>
      <c r="J18" s="30" t="s">
        <v>194</v>
      </c>
      <c r="K18" s="43">
        <v>58783</v>
      </c>
      <c r="L18" s="143" t="s">
        <v>50</v>
      </c>
      <c r="M18" s="144">
        <f t="shared" si="0"/>
        <v>-283.00799999999998</v>
      </c>
      <c r="N18" s="145" t="str">
        <f>VLOOKUP(C18,'Trips&amp;Operators'!$C$1:$G$99999,5,FALSE)</f>
        <v>LEVIN SCOTT</v>
      </c>
      <c r="O18" s="173" t="s">
        <v>181</v>
      </c>
      <c r="P18" s="146" t="s">
        <v>810</v>
      </c>
      <c r="Q18" s="30"/>
      <c r="R18" s="89" t="str">
        <f>VLOOKUP(C18,'Train Runs'!$A$13:$AE$9941,31,0)</f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-02-25T10:53:55-0700',mode:absolute,to:'2017-02-25T13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8" s="94" t="str">
        <f t="shared" si="1"/>
        <v>"C:\Program Files (x86)\AstroGrep\AstroGrep.exe" /spath="%USERPROFILE%\AppData\Local\Temp\OnboardLogs" /stypes="*4046*201702251*" /stext=" 19:.+((SYSTEM_STATE.+slice.+state.+changed )|(ment ac)|(multiple cpu faults)|(system.+state.+changed )|(\[timeout)|(PRM\|1\|D)|(kpr)|(kdp)|(\|lc)|(penalty))" /e /r /s</v>
      </c>
      <c r="U18" s="9" t="str">
        <f t="shared" si="2"/>
        <v>4046</v>
      </c>
      <c r="V18" s="32">
        <f t="shared" si="3"/>
        <v>42791.800358796296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arrival","project_id":79,"tracker_id":40,"status_id":1,"priority_id":2,"assigned_to_id":23,"start_date":"2017-02-25","description":"","custom_fields":[{"id":1,"name":"Subdivision","value":"EC"},{"id":4,"name":"Milepost","value":"5.8783"},{"id":17,"name":"Train ID","value":"167-25"},{"id":16,"name":"Locomotive ID","value":"4046"},{"id":130,"name":"Impact","value":""},{"id":150,"name":"Time of Event (Mountain Time)","value":"12:12:31"},{"id":151,"name":"Denver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"%USERPROFILE%\AppData\Local\Temp\OnboardLogs"\RTDC4046\*4046*201702251*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"%USERPROFILE%\AppData\Local\Temp\OnboardLogs"\RTDC4046\*4046*201702251* &gt;&gt; 2017-02-25-SliceDisagreementCheck.txt</v>
      </c>
      <c r="AE18" s="157" t="str">
        <f t="shared" si="8"/>
        <v>start /low /b %USERPROFILE%\Documents\GitHub\eaglep3\Utilities\DownloadLogsFromS3.py --loco 4046 --day 2017-02-25</v>
      </c>
      <c r="AF18" s="1"/>
    </row>
    <row r="19" spans="1:32" x14ac:dyDescent="0.25">
      <c r="A19" s="32">
        <v>42791.274872685186</v>
      </c>
      <c r="B19" s="30" t="s">
        <v>290</v>
      </c>
      <c r="C19" s="30" t="s">
        <v>399</v>
      </c>
      <c r="D19" s="30" t="s">
        <v>49</v>
      </c>
      <c r="E19" s="30" t="s">
        <v>193</v>
      </c>
      <c r="F19" s="43">
        <v>100</v>
      </c>
      <c r="G19" s="43">
        <v>158</v>
      </c>
      <c r="H19" s="43">
        <v>63981</v>
      </c>
      <c r="I19" s="43">
        <v>63788</v>
      </c>
      <c r="J19" s="30" t="s">
        <v>194</v>
      </c>
      <c r="K19" s="43">
        <v>63309</v>
      </c>
      <c r="L19" s="143" t="s">
        <v>51</v>
      </c>
      <c r="M19" s="144">
        <f t="shared" si="0"/>
        <v>252.91200000000001</v>
      </c>
      <c r="N19" s="145" t="str">
        <f>VLOOKUP(C19,'Trips&amp;Operators'!$C$1:$G$99999,5,FALSE)</f>
        <v>BADERTSCHER DIANE</v>
      </c>
      <c r="O19" s="173" t="s">
        <v>181</v>
      </c>
      <c r="P19" s="146" t="s">
        <v>810</v>
      </c>
      <c r="Q19" s="30"/>
      <c r="R19" s="89" t="str">
        <f>VLOOKUP(C19,'Train Runs'!$A$13:$AE$9941,31,0)</f>
        <v>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 &amp; aws s3 cp s3://rtdc.mdm.uploadarchive.raw/RTDC4005/ "%USERPROFILE%\AppData\Local\Temp\OnboardLogs"\RTDC4005\2017-02-26 --exclude "*" --recursive --include "*20170226*" &amp; "%USERPROFILE%\Documents\GitHub\mrs-test-scripts\Headless Mode &amp; Sideloading\WalkAndUnGZ.bat" "%USERPROFILE%\AppData\Local\Temp\OnboardLogs"\RTDC4005\2017-02-26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-02-25T05:02:25-0700',mode:absolute,to:'2017-02-25T07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94" t="str">
        <f t="shared" si="1"/>
        <v>"C:\Program Files (x86)\AstroGrep\AstroGrep.exe" /spath="%USERPROFILE%\AppData\Local\Temp\OnboardLogs" /stypes="*4005*201702251*" /stext=" 13:.+((SYSTEM_STATE.+slice.+state.+changed )|(ment ac)|(multiple cpu faults)|(system.+state.+changed )|(\[timeout)|(PRM\|1\|D)|(kpr)|(kdp)|(\|lc)|(penalty))" /e /r /s</v>
      </c>
      <c r="U19" s="9" t="str">
        <f t="shared" si="2"/>
        <v>4005</v>
      </c>
      <c r="V19" s="32">
        <f t="shared" si="3"/>
        <v>42791.56653935185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arrival","project_id":79,"tracker_id":40,"status_id":1,"priority_id":2,"assigned_to_id":23,"start_date":"2017-02-25","description":"","custom_fields":[{"id":1,"name":"Subdivision","value":"EC"},{"id":4,"name":"Milepost","value":"6.3309"},{"id":17,"name":"Train ID","value":"114-25"},{"id":16,"name":"Locomotive ID","value":"4005"},{"id":130,"name":"Impact","value":""},{"id":150,"name":"Time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"%USERPROFILE%\AppData\Local\Temp\OnboardLogs"\RTDC4005\*4005*201702251*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"%USERPROFILE%\AppData\Local\Temp\OnboardLogs"\RTDC4005\*4005*201702251* &gt;&gt; 2017-02-25-SliceDisagreementCheck.txt</v>
      </c>
      <c r="AE19" s="157" t="str">
        <f t="shared" si="8"/>
        <v>start /low /b %USERPROFILE%\Documents\GitHub\eaglep3\Utilities\DownloadLogsFromS3.py --loco 4005 --day 2017-02-25</v>
      </c>
      <c r="AF19" s="1"/>
    </row>
    <row r="20" spans="1:32" x14ac:dyDescent="0.25">
      <c r="A20" s="32">
        <v>42791.316400462965</v>
      </c>
      <c r="B20" s="30" t="s">
        <v>230</v>
      </c>
      <c r="C20" s="30" t="s">
        <v>401</v>
      </c>
      <c r="D20" s="30" t="s">
        <v>98</v>
      </c>
      <c r="E20" s="30" t="s">
        <v>193</v>
      </c>
      <c r="F20" s="43">
        <v>140</v>
      </c>
      <c r="G20" s="43">
        <v>194</v>
      </c>
      <c r="H20" s="43">
        <v>63068</v>
      </c>
      <c r="I20" s="43">
        <v>62649</v>
      </c>
      <c r="J20" s="30" t="s">
        <v>194</v>
      </c>
      <c r="K20" s="43">
        <v>63309</v>
      </c>
      <c r="L20" s="143" t="s">
        <v>51</v>
      </c>
      <c r="M20" s="144">
        <f t="shared" si="0"/>
        <v>-348.48</v>
      </c>
      <c r="N20" s="145" t="str">
        <f>VLOOKUP(C20,'Trips&amp;Operators'!$C$1:$G$99999,5,FALSE)</f>
        <v>BRANDNER MELINDA</v>
      </c>
      <c r="O20" s="173" t="s">
        <v>181</v>
      </c>
      <c r="P20" s="146" t="s">
        <v>810</v>
      </c>
      <c r="Q20" s="30"/>
      <c r="R20" s="89" t="str">
        <f>VLOOKUP(C20,'Train Runs'!$A$13:$AE$9941,31,0)</f>
        <v>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 &amp; aws s3 cp s3://rtdc.mdm.uploadarchive.raw/RTDC4043/ "%USERPROFILE%\AppData\Local\Temp\OnboardLogs"\RTDC4043\2017-02-26 --exclude "*" --recursive --include "*20170226*" &amp; "%USERPROFILE%\Documents\GitHub\mrs-test-scripts\Headless Mode &amp; Sideloading\WalkAndUnGZ.bat" "%USERPROFILE%\AppData\Local\Temp\OnboardLogs"\RTDC4043\2017-02-26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-02-25T06:03:09-0700',mode:absolute,to:'2017-02-25T08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94" t="str">
        <f t="shared" si="1"/>
        <v>"C:\Program Files (x86)\AstroGrep\AstroGrep.exe" /spath="%USERPROFILE%\AppData\Local\Temp\OnboardLogs" /stypes="*4043*201702251*" /stext=" 14:.+((SYSTEM_STATE.+slice.+state.+changed )|(ment ac)|(multiple cpu faults)|(system.+state.+changed )|(\[timeout)|(PRM\|1\|D)|(kpr)|(kdp)|(\|lc)|(penalty))" /e /r /s</v>
      </c>
      <c r="U20" s="9" t="str">
        <f t="shared" si="2"/>
        <v>4043</v>
      </c>
      <c r="V20" s="32">
        <f t="shared" si="3"/>
        <v>42791.608067129629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arrival","project_id":79,"tracker_id":40,"status_id":1,"priority_id":2,"assigned_to_id":23,"start_date":"2017-02-25","description":"","custom_fields":[{"id":1,"name":"Subdivision","value":"EC"},{"id":4,"name":"Milepost","value":"6.3309"},{"id":17,"name":"Train ID","value":"122-25"},{"id":16,"name":"Locomotive ID","value":"4043"},{"id":130,"name":"Impact","value":""},{"id":150,"name":"Time of Event (Mountain Time)","value":"07:35:37"},{"id":151,"name":"Denver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"%USERPROFILE%\AppData\Local\Temp\OnboardLogs"\RTDC4043\*4043*201702251*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"%USERPROFILE%\AppData\Local\Temp\OnboardLogs"\RTDC4043\*4043*201702251* &gt;&gt; 2017-02-25-SliceDisagreementCheck.txt</v>
      </c>
      <c r="AE20" s="157" t="str">
        <f t="shared" si="8"/>
        <v>start /low /b %USERPROFILE%\Documents\GitHub\eaglep3\Utilities\DownloadLogsFromS3.py --loco 4043 --day 2017-02-25</v>
      </c>
      <c r="AF20" s="1"/>
    </row>
    <row r="21" spans="1:32" x14ac:dyDescent="0.25">
      <c r="A21" s="32">
        <v>42791.972662037035</v>
      </c>
      <c r="B21" s="30" t="s">
        <v>244</v>
      </c>
      <c r="C21" s="30" t="s">
        <v>426</v>
      </c>
      <c r="D21" s="30" t="s">
        <v>98</v>
      </c>
      <c r="E21" s="30" t="s">
        <v>193</v>
      </c>
      <c r="F21" s="43">
        <v>140</v>
      </c>
      <c r="G21" s="43">
        <v>193</v>
      </c>
      <c r="H21" s="43">
        <v>63029</v>
      </c>
      <c r="I21" s="43">
        <v>62586</v>
      </c>
      <c r="J21" s="30" t="s">
        <v>194</v>
      </c>
      <c r="K21" s="43">
        <v>63309</v>
      </c>
      <c r="L21" s="143" t="s">
        <v>51</v>
      </c>
      <c r="M21" s="144">
        <f t="shared" si="0"/>
        <v>-381.74400000000003</v>
      </c>
      <c r="N21" s="145" t="str">
        <f>VLOOKUP(C21,'Trips&amp;Operators'!$C$1:$G$99999,5,FALSE)</f>
        <v>STAMBAUGH JAMES</v>
      </c>
      <c r="O21" s="173" t="s">
        <v>181</v>
      </c>
      <c r="P21" s="146" t="s">
        <v>810</v>
      </c>
      <c r="Q21" s="30"/>
      <c r="R21" s="89" t="str">
        <f>VLOOKUP(C21,'Train Runs'!$A$13:$AE$9941,31,0)</f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-02-25T21:38:22-0700',mode:absolute,to:'2017-02-26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94" t="str">
        <f t="shared" si="1"/>
        <v>"C:\Program Files (x86)\AstroGrep\AstroGrep.exe" /spath="%USERPROFILE%\AppData\Local\Temp\OnboardLogs" /stypes="*4019*201702260*" /stext=" 06:.+((SYSTEM_STATE.+slice.+state.+changed )|(ment ac)|(multiple cpu faults)|(system.+state.+changed )|(\[timeout)|(PRM\|1\|D)|(kpr)|(kdp)|(\|lc)|(penalty))" /e /r /s</v>
      </c>
      <c r="U21" s="9" t="str">
        <f t="shared" si="2"/>
        <v>4019</v>
      </c>
      <c r="V21" s="32">
        <f t="shared" si="3"/>
        <v>42792.264328703699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arrival","project_id":79,"tracker_id":40,"status_id":1,"priority_id":2,"assigned_to_id":23,"start_date":"2017-02-25","description":"","custom_fields":[{"id":1,"name":"Subdivision","value":"EC"},{"id":4,"name":"Milepost","value":"6.3309"},{"id":17,"name":"Train ID","value":"234-25"},{"id":16,"name":"Locomotive ID","value":"4019"},{"id":130,"name":"Impact","value":""},{"id":150,"name":"Time of Event (Mountain Time)","value":"23:20:38"},{"id":151,"name":"Denver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"%USERPROFILE%\AppData\Local\Temp\OnboardLogs"\RTDC4019\*4019*201702260*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"%USERPROFILE%\AppData\Local\Temp\OnboardLogs"\RTDC4019\*4019*201702260* &gt;&gt; 2017-02-25-SliceDisagreementCheck.txt</v>
      </c>
      <c r="AE21" s="157" t="str">
        <f t="shared" si="8"/>
        <v>start /low /b %USERPROFILE%\Documents\GitHub\eaglep3\Utilities\DownloadLogsFromS3.py --loco 4019 --day 2017-02-26</v>
      </c>
      <c r="AF21" s="1"/>
    </row>
    <row r="22" spans="1:32" x14ac:dyDescent="0.25">
      <c r="A22" s="32">
        <v>42791.760648148149</v>
      </c>
      <c r="B22" s="30" t="s">
        <v>226</v>
      </c>
      <c r="C22" s="30" t="s">
        <v>422</v>
      </c>
      <c r="D22" s="30" t="s">
        <v>98</v>
      </c>
      <c r="E22" s="30" t="s">
        <v>193</v>
      </c>
      <c r="F22" s="43">
        <v>0</v>
      </c>
      <c r="G22" s="43">
        <v>98</v>
      </c>
      <c r="H22" s="43">
        <v>103794</v>
      </c>
      <c r="I22" s="43">
        <v>103750</v>
      </c>
      <c r="J22" s="30" t="s">
        <v>194</v>
      </c>
      <c r="K22" s="43">
        <v>103800</v>
      </c>
      <c r="L22" s="143" t="s">
        <v>51</v>
      </c>
      <c r="M22" s="144">
        <f t="shared" si="0"/>
        <v>-26.4</v>
      </c>
      <c r="N22" s="145" t="str">
        <f>VLOOKUP(C22,'Trips&amp;Operators'!$C$1:$G$99999,5,FALSE)</f>
        <v>KILLION DAVID</v>
      </c>
      <c r="O22" s="173" t="s">
        <v>181</v>
      </c>
      <c r="P22" s="146" t="s">
        <v>810</v>
      </c>
      <c r="Q22" s="30"/>
      <c r="R22" s="89" t="str">
        <f>VLOOKUP(C22,'Train Runs'!$A$13:$AE$9941,31,0)</f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-02-25T16:46:24-0700',mode:absolute,to:'2017-02-25T19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94" t="str">
        <f t="shared" si="1"/>
        <v>"C:\Program Files (x86)\AstroGrep\AstroGrep.exe" /spath="%USERPROFILE%\AppData\Local\Temp\OnboardLogs" /stypes="*4054*201702260*" /stext=" 01:.+((SYSTEM_STATE.+slice.+state.+changed )|(ment ac)|(multiple cpu faults)|(system.+state.+changed )|(\[timeout)|(PRM\|1\|D)|(kpr)|(kdp)|(\|lc)|(penalty))" /e /r /s</v>
      </c>
      <c r="U22" s="9" t="str">
        <f t="shared" si="2"/>
        <v>4054</v>
      </c>
      <c r="V22" s="32">
        <f t="shared" si="3"/>
        <v>42792.052314814813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arrival","project_id":79,"tracker_id":40,"status_id":1,"priority_id":2,"assigned_to_id":23,"start_date":"2017-02-25","description":"","custom_fields":[{"id":1,"name":"Subdivision","value":"EC"},{"id":4,"name":"Milepost","value":"10.38"},{"id":17,"name":"Train ID","value":"208-25"},{"id":16,"name":"Locomotive ID","value":"4054"},{"id":130,"name":"Impact","value":""},{"id":150,"name":"Time of Event (Mountain Time)","value":"18:15:20"},{"id":151,"name":"Denver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"%USERPROFILE%\AppData\Local\Temp\OnboardLogs"\RTDC4054\*4054*201702260*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"%USERPROFILE%\AppData\Local\Temp\OnboardLogs"\RTDC4054\*4054*201702260* &gt;&gt; 2017-02-25-SliceDisagreementCheck.txt</v>
      </c>
      <c r="AE22" s="157" t="str">
        <f t="shared" si="8"/>
        <v>start /low /b %USERPROFILE%\Documents\GitHub\eaglep3\Utilities\DownloadLogsFromS3.py --loco 4054 --day 2017-02-26</v>
      </c>
      <c r="AF22" s="1"/>
    </row>
    <row r="23" spans="1:32" x14ac:dyDescent="0.25">
      <c r="A23" s="32">
        <v>42791.760092592594</v>
      </c>
      <c r="B23" s="30" t="s">
        <v>226</v>
      </c>
      <c r="C23" s="30" t="s">
        <v>422</v>
      </c>
      <c r="D23" s="30" t="s">
        <v>49</v>
      </c>
      <c r="E23" s="30" t="s">
        <v>193</v>
      </c>
      <c r="F23" s="43">
        <v>550</v>
      </c>
      <c r="G23" s="43">
        <v>616</v>
      </c>
      <c r="H23" s="43">
        <v>106206</v>
      </c>
      <c r="I23" s="43">
        <v>103870</v>
      </c>
      <c r="J23" s="30" t="s">
        <v>194</v>
      </c>
      <c r="K23" s="43">
        <v>103800</v>
      </c>
      <c r="L23" s="143" t="s">
        <v>51</v>
      </c>
      <c r="M23" s="144">
        <f t="shared" si="0"/>
        <v>36.96</v>
      </c>
      <c r="N23" s="145" t="str">
        <f>VLOOKUP(C23,'Trips&amp;Operators'!$C$1:$G$99999,5,FALSE)</f>
        <v>KILLION DAVID</v>
      </c>
      <c r="O23" s="173" t="s">
        <v>181</v>
      </c>
      <c r="P23" s="146" t="s">
        <v>810</v>
      </c>
      <c r="Q23" s="30"/>
      <c r="R23" s="89" t="str">
        <f>VLOOKUP(C23,'Train Runs'!$A$13:$AE$9941,31,0)</f>
        <v>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 &amp; 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-02-25T16:46:24-0700',mode:absolute,to:'2017-02-25T19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 t="shared" si="1"/>
        <v>"C:\Program Files (x86)\AstroGrep\AstroGrep.exe" /spath="%USERPROFILE%\AppData\Local\Temp\OnboardLogs" /stypes="*4054*201702260*" /stext=" 01:.+((SYSTEM_STATE.+slice.+state.+changed )|(ment ac)|(multiple cpu faults)|(system.+state.+changed )|(\[timeout)|(PRM\|1\|D)|(kpr)|(kdp)|(\|lc)|(penalty))" /e /r /s</v>
      </c>
      <c r="U23" s="9" t="str">
        <f t="shared" si="2"/>
        <v>4054</v>
      </c>
      <c r="V23" s="32">
        <f t="shared" si="3"/>
        <v>42792.051759259259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arrival","project_id":79,"tracker_id":40,"status_id":1,"priority_id":2,"assigned_to_id":23,"start_date":"2017-02-25","description":"","custom_fields":[{"id":1,"name":"Subdivision","value":"EC"},{"id":4,"name":"Milepost","value":"10.38"},{"id":17,"name":"Train ID","value":"208-25"},{"id":16,"name":"Locomotive ID","value":"4054"},{"id":130,"name":"Impact","value":""},{"id":150,"name":"Time of Event (Mountain Time)","value":"18:14:32"},{"id":151,"name":"Denver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"%USERPROFILE%\AppData\Local\Temp\OnboardLogs"\RTDC4054\*4054*201702260*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"%USERPROFILE%\AppData\Local\Temp\OnboardLogs"\RTDC4054\*4054*201702260* &gt;&gt; 2017-02-25-SliceDisagreementCheck.txt</v>
      </c>
      <c r="AE23" s="157" t="str">
        <f t="shared" si="8"/>
        <v>start /low /b %USERPROFILE%\Documents\GitHub\eaglep3\Utilities\DownloadLogsFromS3.py --loco 4054 --day 2017-02-26</v>
      </c>
      <c r="AF23" s="1"/>
    </row>
    <row r="24" spans="1:32" x14ac:dyDescent="0.25">
      <c r="A24" s="32">
        <v>42792.00980324074</v>
      </c>
      <c r="B24" s="30" t="s">
        <v>210</v>
      </c>
      <c r="C24" s="30" t="s">
        <v>430</v>
      </c>
      <c r="D24" s="30" t="s">
        <v>49</v>
      </c>
      <c r="E24" s="30" t="s">
        <v>193</v>
      </c>
      <c r="F24" s="43">
        <v>480</v>
      </c>
      <c r="G24" s="43">
        <v>608</v>
      </c>
      <c r="H24" s="43">
        <v>104937</v>
      </c>
      <c r="I24" s="43">
        <v>102443</v>
      </c>
      <c r="J24" s="30" t="s">
        <v>194</v>
      </c>
      <c r="K24" s="43">
        <v>103800</v>
      </c>
      <c r="L24" s="143" t="s">
        <v>51</v>
      </c>
      <c r="M24" s="144">
        <f t="shared" si="0"/>
        <v>-716.49599999999987</v>
      </c>
      <c r="N24" s="145" t="str">
        <f>VLOOKUP(C24,'Trips&amp;Operators'!$C$1:$G$99999,5,FALSE)</f>
        <v>BROWN JACOB</v>
      </c>
      <c r="O24" s="173" t="s">
        <v>181</v>
      </c>
      <c r="P24" s="146" t="s">
        <v>810</v>
      </c>
      <c r="Q24" s="30"/>
      <c r="R24" s="89" t="str">
        <f>VLOOKUP(C24,'Train Runs'!$A$13:$AE$9941,31,0)</f>
        <v>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 &amp; aws s3 cp s3://rtdc.mdm.uploadarchive.raw/RTDC4045/ "%USERPROFILE%\AppData\Local\Temp\OnboardLogs"\RTDC4045\2017-02-26 --exclude "*" --recursive --include "*20170226*" &amp; "%USERPROFILE%\Documents\GitHub\mrs-test-scripts\Headless Mode &amp; Sideloading\WalkAndUnGZ.bat" "%USERPROFILE%\AppData\Local\Temp\OnboardLogs"\RTDC4045\2017-02-26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-02-25T22:46:45-0700',mode:absolute,to:'2017-02-26T01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4" s="94" t="str">
        <f t="shared" si="1"/>
        <v>"C:\Program Files (x86)\AstroGrep\AstroGrep.exe" /spath="%USERPROFILE%\AppData\Local\Temp\OnboardLogs" /stypes="*4045*201702260*" /stext=" 07:.+((SYSTEM_STATE.+slice.+state.+changed )|(ment ac)|(multiple cpu faults)|(system.+state.+changed )|(\[timeout)|(PRM\|1\|D)|(kpr)|(kdp)|(\|lc)|(penalty))" /e /r /s</v>
      </c>
      <c r="U24" s="9" t="str">
        <f t="shared" si="2"/>
        <v>4045</v>
      </c>
      <c r="V24" s="32">
        <f t="shared" si="3"/>
        <v>42792.301469907405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arrival","project_id":79,"tracker_id":40,"status_id":1,"priority_id":2,"assigned_to_id":23,"start_date":"2017-02-26","description":"","custom_fields":[{"id":1,"name":"Subdivision","value":"EC"},{"id":4,"name":"Milepost","value":"10.38"},{"id":17,"name":"Train ID","value":"238-25"},{"id":16,"name":"Locomotive ID","value":"4045"},{"id":130,"name":"Impact","value":""},{"id":150,"name":"Time of Event (Mountain Time)","value":"00:14:07"},{"id":151,"name":"Denver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"%USERPROFILE%\AppData\Local\Temp\OnboardLogs"\RTDC4045\*4045*201702260*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"%USERPROFILE%\AppData\Local\Temp\OnboardLogs"\RTDC4045\*4045*201702260* &gt;&gt; 2017-02-25-SliceDisagreementCheck.txt</v>
      </c>
      <c r="AE24" s="157" t="str">
        <f t="shared" si="8"/>
        <v>start /low /b %USERPROFILE%\Documents\GitHub\eaglep3\Utilities\DownloadLogsFromS3.py --loco 4045 --day 2017-02-26</v>
      </c>
      <c r="AF24" s="1"/>
    </row>
    <row r="25" spans="1:32" x14ac:dyDescent="0.25">
      <c r="A25" s="32">
        <v>42791.961087962962</v>
      </c>
      <c r="B25" s="30" t="s">
        <v>209</v>
      </c>
      <c r="C25" s="30" t="s">
        <v>425</v>
      </c>
      <c r="D25" s="30" t="s">
        <v>49</v>
      </c>
      <c r="E25" s="30" t="s">
        <v>271</v>
      </c>
      <c r="F25" s="43">
        <v>400</v>
      </c>
      <c r="G25" s="43">
        <v>578</v>
      </c>
      <c r="H25" s="43">
        <v>14585</v>
      </c>
      <c r="I25" s="43">
        <v>17658</v>
      </c>
      <c r="J25" s="30" t="s">
        <v>272</v>
      </c>
      <c r="K25" s="43">
        <v>17867</v>
      </c>
      <c r="L25" s="143" t="s">
        <v>50</v>
      </c>
      <c r="M25" s="144">
        <f t="shared" si="0"/>
        <v>110.352</v>
      </c>
      <c r="N25" s="145" t="str">
        <f>VLOOKUP(C25,'Trips&amp;Operators'!$C$1:$G$99999,5,FALSE)</f>
        <v>BROWN JACOB</v>
      </c>
      <c r="O25" s="173" t="s">
        <v>181</v>
      </c>
      <c r="P25" s="146"/>
      <c r="Q25" s="30"/>
      <c r="R25" s="89" t="str">
        <f>VLOOKUP(C25,'Train Runs'!$A$13:$AE$9941,31,0)</f>
        <v>aws s3 cp s3://rtdc.mdm.uploadarchive.raw/RTDC4046/ "%USERPROFILE%\AppData\Local\Temp\OnboardLogs"\RTDC4046\2017-02-25 --exclude "*" --recursive --include "*20170225*" &amp; "%USERPROFILE%\Documents\GitHub\mrs-test-scripts\Headless Mode &amp; Sideloading\WalkAndUnGZ.bat" "%USERPROFILE%\AppData\Local\Temp\OnboardLogs"\RTDC4046\2017-02-25 &amp; 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-02-25T21:39:39-0700',mode:absolute,to:'2017-02-26T00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5" s="94" t="str">
        <f t="shared" si="1"/>
        <v>"C:\Program Files (x86)\AstroGrep\AstroGrep.exe" /spath="%USERPROFILE%\AppData\Local\Temp\OnboardLogs" /stypes="*4046*201702260*" /stext=" 06:.+((SYSTEM_STATE.+slice.+state.+changed )|(ment ac)|(multiple cpu faults)|(system.+state.+changed )|(\[timeout)|(PRM\|1\|D)|(kpr)|(kdp)|(\|lc)|(penalty))" /e /r /s</v>
      </c>
      <c r="U25" s="9" t="str">
        <f t="shared" si="2"/>
        <v>4046</v>
      </c>
      <c r="V25" s="32">
        <f t="shared" si="3"/>
        <v>42792.252754629626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{"issue":{"subject":"","project_id":79,"tracker_id":40,"status_id":1,"priority_id":2,"assigned_to_id":23,"start_date":"2017-02-25","description":"","custom_fields":[{"id":1,"name":"Subdivision","value":"EC"},{"id":4,"name":"Milepost","value":"1.7867"},{"id":17,"name":"Train ID","value":"237-25"},{"id":16,"name":"Locomotive ID","value":"4046"},{"id":130,"name":"Impact","value":""},{"id":150,"name":"Time of Event (Mountain Time)","value":"23:03:58"},{"id":151,"name":"Denver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"%USERPROFILE%\AppData\Local\Temp\OnboardLogs"\RTDC4046\*4046*201702260*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"%USERPROFILE%\AppData\Local\Temp\OnboardLogs"\RTDC4046\*4046*201702260* &gt;&gt; 2017-02-25-SliceDisagreementCheck.txt</v>
      </c>
      <c r="AE25" s="157" t="str">
        <f t="shared" si="8"/>
        <v>start /low /b %USERPROFILE%\Documents\GitHub\eaglep3\Utilities\DownloadLogsFromS3.py --loco 4046 --day 2017-02-26</v>
      </c>
      <c r="AF25" s="1"/>
    </row>
    <row r="26" spans="1:32" x14ac:dyDescent="0.25">
      <c r="A26" s="32">
        <v>42791.738599537035</v>
      </c>
      <c r="B26" s="30" t="s">
        <v>212</v>
      </c>
      <c r="C26" s="30" t="s">
        <v>418</v>
      </c>
      <c r="D26" s="30" t="s">
        <v>49</v>
      </c>
      <c r="E26" s="30" t="s">
        <v>271</v>
      </c>
      <c r="F26" s="43">
        <v>300</v>
      </c>
      <c r="G26" s="43">
        <v>436</v>
      </c>
      <c r="H26" s="43">
        <v>23561</v>
      </c>
      <c r="I26" s="43">
        <v>22274</v>
      </c>
      <c r="J26" s="30" t="s">
        <v>272</v>
      </c>
      <c r="K26" s="43">
        <v>21848</v>
      </c>
      <c r="L26" s="143" t="s">
        <v>51</v>
      </c>
      <c r="M26" s="144">
        <f t="shared" si="0"/>
        <v>224.928</v>
      </c>
      <c r="N26" s="145" t="str">
        <f>VLOOKUP(C26,'Trips&amp;Operators'!$C$1:$G$99999,5,FALSE)</f>
        <v>STEWART MICHAEL</v>
      </c>
      <c r="O26" s="173" t="s">
        <v>181</v>
      </c>
      <c r="P26" s="146"/>
      <c r="Q26" s="30"/>
      <c r="R26" s="89" t="str">
        <f>VLOOKUP(C26,'Train Runs'!$A$13:$AE$9941,31,0)</f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-02-25T16:05:02-0700',mode:absolute,to:'2017-02-25T18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/spath="%USERPROFILE%\AppData\Local\Temp\OnboardLogs" /stypes="*4028*201702260*" /stext=" 00:.+((SYSTEM_STATE.+slice.+state.+changed )|(ment ac)|(multiple cpu faults)|(system.+state.+changed )|(\[timeout)|(PRM\|1\|D)|(kpr)|(kdp)|(\|lc)|(penalty))" /e /r /s</v>
      </c>
      <c r="U26" s="9" t="str">
        <f t="shared" si="2"/>
        <v>4028</v>
      </c>
      <c r="V26" s="32">
        <f t="shared" si="3"/>
        <v>42792.030266203699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{"issue":{"subject":"","project_id":79,"tracker_id":40,"status_id":1,"priority_id":2,"assigned_to_id":23,"start_date":"2017-02-25","description":"","custom_fields":[{"id":1,"name":"Subdivision","value":"EC"},{"id":4,"name":"Milepost","value":"2.1848"},{"id":17,"name":"Train ID","value":"202-25"},{"id":16,"name":"Locomotive ID","value":"4028"},{"id":130,"name":"Impact","value":""},{"id":150,"name":"Time of Event (Mountain Time)","value":"17:43:35"},{"id":151,"name":"Denver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"%USERPROFILE%\AppData\Local\Temp\OnboardLogs"\RTDC4028\*4028*201702260*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"%USERPROFILE%\AppData\Local\Temp\OnboardLogs"\RTDC4028\*4028*201702260* &gt;&gt; 2017-02-25-SliceDisagreementCheck.txt</v>
      </c>
      <c r="AE26" s="157" t="str">
        <f t="shared" si="8"/>
        <v>start /low /b %USERPROFILE%\Documents\GitHub\eaglep3\Utilities\DownloadLogsFromS3.py --loco 4028 --day 2017-02-26</v>
      </c>
      <c r="AF26" s="1"/>
    </row>
    <row r="27" spans="1:32" x14ac:dyDescent="0.25">
      <c r="A27" s="32">
        <v>42791.478912037041</v>
      </c>
      <c r="B27" s="30" t="s">
        <v>251</v>
      </c>
      <c r="C27" s="30" t="s">
        <v>406</v>
      </c>
      <c r="D27" s="30" t="s">
        <v>98</v>
      </c>
      <c r="E27" s="30" t="s">
        <v>271</v>
      </c>
      <c r="F27" s="43">
        <v>550</v>
      </c>
      <c r="G27" s="43">
        <v>601</v>
      </c>
      <c r="H27" s="43">
        <v>222025</v>
      </c>
      <c r="I27" s="43">
        <v>219630</v>
      </c>
      <c r="J27" s="30" t="s">
        <v>272</v>
      </c>
      <c r="K27" s="43">
        <v>224581</v>
      </c>
      <c r="L27" s="143" t="s">
        <v>51</v>
      </c>
      <c r="M27" s="144">
        <f t="shared" si="0"/>
        <v>-2614.1280000000002</v>
      </c>
      <c r="N27" s="145" t="str">
        <f>VLOOKUP(C27,'Trips&amp;Operators'!$C$1:$G$99999,5,FALSE)</f>
        <v>HOLCOMB KAMDEN</v>
      </c>
      <c r="O27" s="173" t="s">
        <v>181</v>
      </c>
      <c r="P27" s="146"/>
      <c r="Q27" s="30"/>
      <c r="R27" s="89" t="str">
        <f>VLOOKUP(C27,'Train Runs'!$A$13:$AE$9941,31,0)</f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-02-25T10:08:28-0700',mode:absolute,to:'2017-02-25T13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94" t="str">
        <f t="shared" si="1"/>
        <v>"C:\Program Files (x86)\AstroGrep\AstroGrep.exe" /spath="%USERPROFILE%\AppData\Local\Temp\OnboardLogs" /stypes="*4017*201702251*" /stext=" 18:.+((SYSTEM_STATE.+slice.+state.+changed )|(ment ac)|(multiple cpu faults)|(system.+state.+changed )|(\[timeout)|(PRM\|1\|D)|(kpr)|(kdp)|(\|lc)|(penalty))" /e /r /s</v>
      </c>
      <c r="U27" s="9" t="str">
        <f t="shared" si="2"/>
        <v>4017</v>
      </c>
      <c r="V27" s="32">
        <f t="shared" si="3"/>
        <v>42791.770578703705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{"issue":{"subject":"","project_id":79,"tracker_id":40,"status_id":1,"priority_id":2,"assigned_to_id":23,"start_date":"2017-02-25","description":"","custom_fields":[{"id":1,"name":"Subdivision","value":"EC"},{"id":4,"name":"Milepost","value":"22.4581"},{"id":17,"name":"Train ID","value":"156-25"},{"id":16,"name":"Locomotive ID","value":"4017"},{"id":130,"name":"Impact","value":""},{"id":150,"name":"Time of Event (Mountain Time)","value":"11:29:38"},{"id":151,"name":"Denver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"%USERPROFILE%\AppData\Local\Temp\OnboardLogs"\RTDC4017\*4017*201702251*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"%USERPROFILE%\AppData\Local\Temp\OnboardLogs"\RTDC4017\*4017*201702251* &gt;&gt; 2017-02-25-SliceDisagreementCheck.txt</v>
      </c>
      <c r="AE27" s="157" t="str">
        <f t="shared" si="8"/>
        <v>start /low /b %USERPROFILE%\Documents\GitHub\eaglep3\Utilities\DownloadLogsFromS3.py --loco 4017 --day 2017-02-25</v>
      </c>
      <c r="AF27" s="1"/>
    </row>
    <row r="28" spans="1:32" x14ac:dyDescent="0.25">
      <c r="A28" s="32">
        <v>42791.984976851854</v>
      </c>
      <c r="B28" s="30" t="s">
        <v>427</v>
      </c>
      <c r="C28" s="30" t="s">
        <v>428</v>
      </c>
      <c r="D28" s="30" t="s">
        <v>49</v>
      </c>
      <c r="E28" s="30" t="s">
        <v>182</v>
      </c>
      <c r="F28" s="43">
        <v>0</v>
      </c>
      <c r="G28" s="43">
        <v>13</v>
      </c>
      <c r="H28" s="43">
        <v>1646</v>
      </c>
      <c r="I28" s="43">
        <v>1656</v>
      </c>
      <c r="J28" s="30" t="s">
        <v>183</v>
      </c>
      <c r="K28" s="43">
        <v>1692</v>
      </c>
      <c r="L28" s="143" t="s">
        <v>50</v>
      </c>
      <c r="M28" s="144">
        <f t="shared" si="0"/>
        <v>19.007999999999999</v>
      </c>
      <c r="N28" s="145" t="str">
        <f>VLOOKUP(C28,'Trips&amp;Operators'!$C$1:$G$99999,5,FALSE)</f>
        <v>SMITH MICHAEL</v>
      </c>
      <c r="O28" s="173" t="s">
        <v>181</v>
      </c>
      <c r="P28" s="146" t="s">
        <v>812</v>
      </c>
      <c r="Q28" s="30"/>
      <c r="R28" s="89" t="str">
        <f>VLOOKUP(C28,'Train Runs'!$A$13:$AE$9941,31,0)</f>
        <v>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 &amp; aws s3 cp s3://rtdc.mdm.uploadarchive.raw/RTDC4051/ "%USERPROFILE%\AppData\Local\Temp\OnboardLogs"\RTDC4051\2017-02-26 --exclude "*" --recursive --include "*20170226*" &amp; "%USERPROFILE%\Documents\GitHub\mrs-test-scripts\Headless Mode &amp; Sideloading\WalkAndUnGZ.bat" "%USERPROFILE%\AppData\Local\Temp\OnboardLogs"\RTDC4051\2017-02-26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-02-25T22:10:04-0700',mode:absolute,to:'2017-02-26T01:16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8" s="94" t="str">
        <f t="shared" si="1"/>
        <v>"C:\Program Files (x86)\AstroGrep\AstroGrep.exe" /spath="%USERPROFILE%\AppData\Local\Temp\OnboardLogs" /stypes="*4051*201702260*" /stext=" 06:.+((SYSTEM_STATE.+slice.+state.+changed )|(ment ac)|(multiple cpu faults)|(system.+state.+changed )|(\[timeout)|(PRM\|1\|D)|(kpr)|(kdp)|(\|lc)|(penalty))" /e /r /s</v>
      </c>
      <c r="U28" s="9" t="str">
        <f t="shared" si="2"/>
        <v>4051</v>
      </c>
      <c r="V28" s="32">
        <f t="shared" si="3"/>
        <v>42792.276643518519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{"issue":{"subject":"DUS 4N STOP","project_id":79,"tracker_id":40,"status_id":1,"priority_id":2,"assigned_to_id":23,"start_date":"2017-02-25","description":"","custom_fields":[{"id":1,"name":"Subdivision","value":"EC"},{"id":4,"name":"Milepost","value":"0.1692"},{"id":17,"name":"Train ID","value":"239-25"},{"id":16,"name":"Locomotive ID","value":"4051"},{"id":130,"name":"Impact","value":""},{"id":150,"name":"Time of Event (Mountain Time)","value":"23:38:22"},{"id":151,"name":"Denver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"%USERPROFILE%\AppData\Local\Temp\OnboardLogs"\RTDC4051\*4051*201702260*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"%USERPROFILE%\AppData\Local\Temp\OnboardLogs"\RTDC4051\*4051*201702260* &gt;&gt; 2017-02-25-SliceDisagreementCheck.txt</v>
      </c>
      <c r="AE28" s="157" t="str">
        <f t="shared" si="8"/>
        <v>start /low /b %USERPROFILE%\Documents\GitHub\eaglep3\Utilities\DownloadLogsFromS3.py --loco 4051 --day 2017-02-26</v>
      </c>
      <c r="AF28" s="1"/>
    </row>
    <row r="29" spans="1:32" x14ac:dyDescent="0.25">
      <c r="A29" s="32">
        <v>42791.432615740741</v>
      </c>
      <c r="B29" s="30" t="s">
        <v>229</v>
      </c>
      <c r="C29" s="30" t="s">
        <v>405</v>
      </c>
      <c r="D29" s="30" t="s">
        <v>49</v>
      </c>
      <c r="E29" s="30" t="s">
        <v>182</v>
      </c>
      <c r="F29" s="43">
        <v>0</v>
      </c>
      <c r="G29" s="43">
        <v>415</v>
      </c>
      <c r="H29" s="43">
        <v>126110</v>
      </c>
      <c r="I29" s="43">
        <v>127866</v>
      </c>
      <c r="J29" s="30" t="s">
        <v>183</v>
      </c>
      <c r="K29" s="43">
        <v>126585</v>
      </c>
      <c r="L29" s="143" t="s">
        <v>50</v>
      </c>
      <c r="M29" s="144">
        <f t="shared" si="0"/>
        <v>-676.36799999999994</v>
      </c>
      <c r="N29" s="145" t="str">
        <f>VLOOKUP(C29,'Trips&amp;Operators'!$C$1:$G$99999,5,FALSE)</f>
        <v>SANTIZO D. EDY</v>
      </c>
      <c r="O29" s="173" t="s">
        <v>336</v>
      </c>
      <c r="P29" s="146" t="s">
        <v>808</v>
      </c>
      <c r="Q29" s="30"/>
      <c r="R29" s="89" t="str">
        <f>VLOOKUP(C29,'Train Runs'!$A$13:$AE$9941,31,0)</f>
        <v>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 &amp; 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-02-25T08:51:36-0700',mode:absolute,to:'2017-02-25T11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94" t="str">
        <f t="shared" si="1"/>
        <v>"C:\Program Files (x86)\AstroGrep\AstroGrep.exe" /spath="%USERPROFILE%\AppData\Local\Temp\OnboardLogs" /stypes="*4053*201702251*" /stext=" 17:.+((SYSTEM_STATE.+slice.+state.+changed )|(ment ac)|(multiple cpu faults)|(system.+state.+changed )|(\[timeout)|(PRM\|1\|D)|(kpr)|(kdp)|(\|lc)|(penalty))" /e /r /s</v>
      </c>
      <c r="U29" s="9" t="str">
        <f t="shared" si="2"/>
        <v>4053</v>
      </c>
      <c r="V29" s="32">
        <f t="shared" si="3"/>
        <v>42791.724282407406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{"issue":{"subject":"Premature downgrade at 40th 2N","project_id":79,"tracker_id":40,"status_id":1,"priority_id":2,"assigned_to_id":23,"start_date":"2017-02-25","description":"","custom_fields":[{"id":1,"name":"Subdivision","value":"EC"},{"id":4,"name":"Milepost","value":"12.6585"},{"id":17,"name":"Train ID","value":"151-25"},{"id":16,"name":"Locomotive ID","value":"4053"},{"id":130,"name":"Impact","value":""},{"id":150,"name":"Time of Event (Mountain Time)","value":"10:22:58"},{"id":151,"name":"Denver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"%USERPROFILE%\AppData\Local\Temp\OnboardLogs"\RTDC4053\*4053*201702251*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"%USERPROFILE%\AppData\Local\Temp\OnboardLogs"\RTDC4053\*4053*201702251* &gt;&gt; 2017-02-25-SliceDisagreementCheck.txt</v>
      </c>
      <c r="AE29" s="157" t="str">
        <f t="shared" si="8"/>
        <v>start /low /b %USERPROFILE%\Documents\GitHub\eaglep3\Utilities\DownloadLogsFromS3.py --loco 4053 --day 2017-02-25</v>
      </c>
      <c r="AF29" s="1"/>
    </row>
    <row r="30" spans="1:32" x14ac:dyDescent="0.25">
      <c r="A30" s="32">
        <v>42791.202893518515</v>
      </c>
      <c r="B30" s="30" t="s">
        <v>290</v>
      </c>
      <c r="C30" s="30" t="s">
        <v>397</v>
      </c>
      <c r="D30" s="30" t="s">
        <v>49</v>
      </c>
      <c r="E30" s="30" t="s">
        <v>184</v>
      </c>
      <c r="F30" s="43">
        <v>0</v>
      </c>
      <c r="G30" s="43">
        <v>18</v>
      </c>
      <c r="H30" s="43">
        <v>114</v>
      </c>
      <c r="I30" s="43">
        <v>105</v>
      </c>
      <c r="J30" s="30" t="s">
        <v>185</v>
      </c>
      <c r="K30" s="43">
        <v>1</v>
      </c>
      <c r="L30" s="143" t="s">
        <v>51</v>
      </c>
      <c r="M30" s="144">
        <f t="shared" si="0"/>
        <v>54.911999999999999</v>
      </c>
      <c r="N30" s="145" t="str">
        <f>VLOOKUP(C30,'Trips&amp;Operators'!$C$1:$G$99999,5,FALSE)</f>
        <v>BADERTSCHER DIANE</v>
      </c>
      <c r="O30" s="173" t="s">
        <v>181</v>
      </c>
      <c r="P30" s="146"/>
      <c r="Q30" s="30"/>
      <c r="R30" s="89" t="str">
        <f>VLOOKUP(C30,'Train Runs'!$A$13:$AE$9941,31,0)</f>
        <v>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 &amp; aws s3 cp s3://rtdc.mdm.uploadarchive.raw/RTDC4005/ "%USERPROFILE%\AppData\Local\Temp\OnboardLogs"\RTDC4005\2017-02-26 --exclude "*" --recursive --include "*20170226*" &amp; "%USERPROFILE%\Documents\GitHub\mrs-test-scripts\Headless Mode &amp; Sideloading\WalkAndUnGZ.bat" "%USERPROFILE%\AppData\Local\Temp\OnboardLogs"\RTDC4005\2017-02-26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-02-25T03:00:02-0700',mode:absolute,to:'2017-02-25T05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0" s="94" t="str">
        <f t="shared" si="1"/>
        <v>"C:\Program Files (x86)\AstroGrep\AstroGrep.exe" /spath="%USERPROFILE%\AppData\Local\Temp\OnboardLogs" /stypes="*4005*201702251*" /stext=" 11:.+((SYSTEM_STATE.+slice.+state.+changed )|(ment ac)|(multiple cpu faults)|(system.+state.+changed )|(\[timeout)|(PRM\|1\|D)|(kpr)|(kdp)|(\|lc)|(penalty))" /e /r /s</v>
      </c>
      <c r="U30" s="9" t="str">
        <f t="shared" si="2"/>
        <v>4005</v>
      </c>
      <c r="V30" s="32">
        <f t="shared" si="3"/>
        <v>42791.49456018518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{"issue":{"subject":"","project_id":79,"tracker_id":40,"status_id":1,"priority_id":2,"assigned_to_id":23,"start_date":"2017-02-25","description":"","custom_fields":[{"id":1,"name":"Subdivision","value":"EC"},{"id":4,"name":"Milepost","value":"0.0001"},{"id":17,"name":"Train ID","value":"102-25"},{"id":16,"name":"Locomotive ID","value":"4005"},{"id":130,"name":"Impact","value":""},{"id":150,"name":"Time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"%USERPROFILE%\AppData\Local\Temp\OnboardLogs"\RTDC4005\*4005*201702251*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"%USERPROFILE%\AppData\Local\Temp\OnboardLogs"\RTDC4005\*4005*201702251* &gt;&gt; 2017-02-25-SliceDisagreementCheck.txt</v>
      </c>
      <c r="AE30" s="157" t="str">
        <f t="shared" si="8"/>
        <v>start /low /b %USERPROFILE%\Documents\GitHub\eaglep3\Utilities\DownloadLogsFromS3.py --loco 4005 --day 2017-02-25</v>
      </c>
      <c r="AF30" s="1"/>
    </row>
    <row r="31" spans="1:32" x14ac:dyDescent="0.25">
      <c r="A31" s="32">
        <v>42791.431701388887</v>
      </c>
      <c r="B31" s="30" t="s">
        <v>251</v>
      </c>
      <c r="C31" s="30" t="s">
        <v>404</v>
      </c>
      <c r="D31" s="30" t="s">
        <v>49</v>
      </c>
      <c r="E31" s="30" t="s">
        <v>184</v>
      </c>
      <c r="F31" s="43">
        <v>0</v>
      </c>
      <c r="G31" s="43">
        <v>47</v>
      </c>
      <c r="H31" s="43">
        <v>167</v>
      </c>
      <c r="I31" s="43">
        <v>143</v>
      </c>
      <c r="J31" s="30" t="s">
        <v>185</v>
      </c>
      <c r="K31" s="43">
        <v>1</v>
      </c>
      <c r="L31" s="143" t="s">
        <v>51</v>
      </c>
      <c r="M31" s="144">
        <f t="shared" si="0"/>
        <v>74.975999999999999</v>
      </c>
      <c r="N31" s="145" t="str">
        <f>VLOOKUP(C31,'Trips&amp;Operators'!$C$1:$G$99999,5,FALSE)</f>
        <v>BADERTSCHER DIANE</v>
      </c>
      <c r="O31" s="173" t="s">
        <v>181</v>
      </c>
      <c r="P31" s="146"/>
      <c r="Q31" s="30"/>
      <c r="R31" s="89" t="str">
        <f>VLOOKUP(C31,'Train Runs'!$A$13:$AE$9941,31,0)</f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-02-25T08:31:39-0700',mode:absolute,to:'2017-02-25T11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94" t="str">
        <f t="shared" si="1"/>
        <v>"C:\Program Files (x86)\AstroGrep\AstroGrep.exe" /spath="%USERPROFILE%\AppData\Local\Temp\OnboardLogs" /stypes="*4017*201702251*" /stext=" 17:.+((SYSTEM_STATE.+slice.+state.+changed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2">
        <f t="shared" si="3"/>
        <v>42791.723368055551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{"issue":{"subject":"","project_id":79,"tracker_id":40,"status_id":1,"priority_id":2,"assigned_to_id":23,"start_date":"2017-02-25","description":"","custom_fields":[{"id":1,"name":"Subdivision","value":"EC"},{"id":4,"name":"Milepost","value":"0.0001"},{"id":17,"name":"Train ID","value":"142-25"},{"id":16,"name":"Locomotive ID","value":"4017"},{"id":130,"name":"Impact","value":""},{"id":150,"name":"Time of Event (Mountain Time)","value":"10:21:39"},{"id":151,"name":"Denver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"%USERPROFILE%\AppData\Local\Temp\OnboardLogs"\RTDC4017\*4017*201702251*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"%USERPROFILE%\AppData\Local\Temp\OnboardLogs"\RTDC4017\*4017*201702251* &gt;&gt; 2017-02-25-SliceDisagreementCheck.txt</v>
      </c>
      <c r="AE31" s="157" t="str">
        <f t="shared" si="8"/>
        <v>start /low /b %USERPROFILE%\Documents\GitHub\eaglep3\Utilities\DownloadLogsFromS3.py --loco 4017 --day 2017-02-25</v>
      </c>
      <c r="AF31" s="1"/>
    </row>
    <row r="32" spans="1:32" x14ac:dyDescent="0.25">
      <c r="A32" s="32">
        <v>42791.660474537035</v>
      </c>
      <c r="B32" s="30" t="s">
        <v>412</v>
      </c>
      <c r="C32" s="30" t="s">
        <v>413</v>
      </c>
      <c r="D32" s="30" t="s">
        <v>49</v>
      </c>
      <c r="E32" s="30" t="s">
        <v>184</v>
      </c>
      <c r="F32" s="43">
        <v>0</v>
      </c>
      <c r="G32" s="43">
        <v>41</v>
      </c>
      <c r="H32" s="43">
        <v>147</v>
      </c>
      <c r="I32" s="43">
        <v>130</v>
      </c>
      <c r="J32" s="30" t="s">
        <v>185</v>
      </c>
      <c r="K32" s="43">
        <v>1</v>
      </c>
      <c r="L32" s="143" t="s">
        <v>51</v>
      </c>
      <c r="M32" s="144">
        <f t="shared" si="0"/>
        <v>68.111999999999995</v>
      </c>
      <c r="N32" s="145" t="str">
        <f>VLOOKUP(C32,'Trips&amp;Operators'!$C$1:$G$99999,5,FALSE)</f>
        <v>MCREYNOLDS KYLE</v>
      </c>
      <c r="O32" s="173" t="s">
        <v>336</v>
      </c>
      <c r="P32" s="146" t="s">
        <v>916</v>
      </c>
      <c r="Q32" s="30"/>
      <c r="R32" s="89" t="str">
        <f>VLOOKUP(C32,'Train Runs'!$A$13:$AE$9941,31,0)</f>
        <v>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 &amp; aws s3 cp s3://rtdc.mdm.uploadarchive.raw/RTDC4052/ "%USERPROFILE%\AppData\Local\Temp\OnboardLogs"\RTDC4052\2017-02-26 --exclude "*" --recursive --include "*20170226*" &amp; "%USERPROFILE%\Documents\GitHub\mrs-test-scripts\Headless Mode &amp; Sideloading\WalkAndUnGZ.bat" "%USERPROFILE%\AppData\Local\Temp\OnboardLogs"\RTDC4052\2017-02-26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-02-25T13:57:42-0700',mode:absolute,to:'2017-02-25T16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94" t="str">
        <f t="shared" si="1"/>
        <v>"C:\Program Files (x86)\AstroGrep\AstroGrep.exe" /spath="%USERPROFILE%\AppData\Local\Temp\OnboardLogs" /stypes="*4052*201702252*" /stext=" 22:.+((SYSTEM_STATE.+slice.+state.+changed )|(ment ac)|(multiple cpu faults)|(system.+state.+changed )|(\[timeout)|(PRM\|1\|D)|(kpr)|(kdp)|(\|lc)|(penalty))" /e /r /s</v>
      </c>
      <c r="U32" s="9" t="str">
        <f t="shared" si="2"/>
        <v>4052</v>
      </c>
      <c r="V32" s="32">
        <f t="shared" si="3"/>
        <v>42791.952141203699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{"issue":{"subject":"Banner w/o braking","project_id":79,"tracker_id":40,"status_id":1,"priority_id":2,"assigned_to_id":23,"start_date":"2017-02-25","description":"","custom_fields":[{"id":1,"name":"Subdivision","value":"EC"},{"id":4,"name":"Milepost","value":"0.0001"},{"id":17,"name":"Train ID","value":"186-25"},{"id":16,"name":"Locomotive ID","value":"4052"},{"id":130,"name":"Impact","value":""},{"id":150,"name":"Time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"%USERPROFILE%\AppData\Local\Temp\OnboardLogs"\RTDC4052\*4052*201702252*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"%USERPROFILE%\AppData\Local\Temp\OnboardLogs"\RTDC4052\*4052*201702252* &gt;&gt; 2017-02-25-SliceDisagreementCheck.txt</v>
      </c>
      <c r="AE32" s="157" t="str">
        <f t="shared" si="8"/>
        <v>start /low /b %USERPROFILE%\Documents\GitHub\eaglep3\Utilities\DownloadLogsFromS3.py --loco 4052 --day 2017-02-25</v>
      </c>
      <c r="AF32" s="1"/>
    </row>
    <row r="33" spans="1:32" x14ac:dyDescent="0.25">
      <c r="A33" s="32">
        <v>42791.745821759258</v>
      </c>
      <c r="B33" s="30" t="s">
        <v>212</v>
      </c>
      <c r="C33" s="30" t="s">
        <v>418</v>
      </c>
      <c r="D33" s="30" t="s">
        <v>49</v>
      </c>
      <c r="E33" s="30" t="s">
        <v>184</v>
      </c>
      <c r="F33" s="43">
        <v>0</v>
      </c>
      <c r="G33" s="43">
        <v>57</v>
      </c>
      <c r="H33" s="43">
        <v>238</v>
      </c>
      <c r="I33" s="43">
        <v>181</v>
      </c>
      <c r="J33" s="30" t="s">
        <v>185</v>
      </c>
      <c r="K33" s="43">
        <v>1</v>
      </c>
      <c r="L33" s="143" t="s">
        <v>51</v>
      </c>
      <c r="M33" s="144">
        <f t="shared" si="0"/>
        <v>95.04</v>
      </c>
      <c r="N33" s="145" t="str">
        <f>VLOOKUP(C33,'Trips&amp;Operators'!$C$1:$G$99999,5,FALSE)</f>
        <v>STEWART MICHAEL</v>
      </c>
      <c r="O33" s="173" t="s">
        <v>181</v>
      </c>
      <c r="P33" s="146"/>
      <c r="Q33" s="30"/>
      <c r="R33" s="89" t="str">
        <f>VLOOKUP(C33,'Train Runs'!$A$13:$AE$9941,31,0)</f>
        <v>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 &amp; 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-02-25T16:05:02-0700',mode:absolute,to:'2017-02-25T18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94" t="str">
        <f t="shared" si="1"/>
        <v>"C:\Program Files (x86)\AstroGrep\AstroGrep.exe" /spath="%USERPROFILE%\AppData\Local\Temp\OnboardLogs" /stypes="*4028*201702260*" /stext=" 00:.+((SYSTEM_STATE.+slice.+state.+changed )|(ment ac)|(multiple cpu faults)|(system.+state.+changed )|(\[timeout)|(PRM\|1\|D)|(kpr)|(kdp)|(\|lc)|(penalty))" /e /r /s</v>
      </c>
      <c r="U33" s="9" t="str">
        <f t="shared" si="2"/>
        <v>4028</v>
      </c>
      <c r="V33" s="32">
        <f t="shared" si="3"/>
        <v>42792.037488425922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{"issue":{"subject":"","project_id":79,"tracker_id":40,"status_id":1,"priority_id":2,"assigned_to_id":23,"start_date":"2017-02-25","description":"","custom_fields":[{"id":1,"name":"Subdivision","value":"EC"},{"id":4,"name":"Milepost","value":"0.0001"},{"id":17,"name":"Train ID","value":"202-25"},{"id":16,"name":"Locomotive ID","value":"4028"},{"id":130,"name":"Impact","value":""},{"id":150,"name":"Time of Event (Mountain Time)","value":"17:53:59"},{"id":151,"name":"Denver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"%USERPROFILE%\AppData\Local\Temp\OnboardLogs"\RTDC4028\*4028*201702260*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"%USERPROFILE%\AppData\Local\Temp\OnboardLogs"\RTDC4028\*4028*201702260* &gt;&gt; 2017-02-25-SliceDisagreementCheck.txt</v>
      </c>
      <c r="AE33" s="157" t="str">
        <f t="shared" si="8"/>
        <v>start /low /b %USERPROFILE%\Documents\GitHub\eaglep3\Utilities\DownloadLogsFromS3.py --loco 4028 --day 2017-02-26</v>
      </c>
      <c r="AF33" s="1"/>
    </row>
    <row r="34" spans="1:32" x14ac:dyDescent="0.25">
      <c r="A34" s="32">
        <v>42791.756284722222</v>
      </c>
      <c r="B34" s="30" t="s">
        <v>244</v>
      </c>
      <c r="C34" s="30" t="s">
        <v>421</v>
      </c>
      <c r="D34" s="30" t="s">
        <v>49</v>
      </c>
      <c r="E34" s="30" t="s">
        <v>184</v>
      </c>
      <c r="F34" s="43">
        <v>0</v>
      </c>
      <c r="G34" s="43">
        <v>79</v>
      </c>
      <c r="H34" s="43">
        <v>214</v>
      </c>
      <c r="I34" s="43">
        <v>154</v>
      </c>
      <c r="J34" s="30" t="s">
        <v>185</v>
      </c>
      <c r="K34" s="43">
        <v>1</v>
      </c>
      <c r="L34" s="143" t="s">
        <v>51</v>
      </c>
      <c r="M34" s="144">
        <f t="shared" si="0"/>
        <v>80.784000000000006</v>
      </c>
      <c r="N34" s="145" t="str">
        <f>VLOOKUP(C34,'Trips&amp;Operators'!$C$1:$G$99999,5,FALSE)</f>
        <v>DAVIS MICHAEL</v>
      </c>
      <c r="O34" s="173" t="s">
        <v>181</v>
      </c>
      <c r="P34" s="146"/>
      <c r="Q34" s="30"/>
      <c r="R34" s="89" t="str">
        <f>VLOOKUP(C34,'Train Runs'!$A$13:$AE$9941,31,0)</f>
        <v>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 &amp; 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-02-25T16:22:27-0700',mode:absolute,to:'2017-02-25T19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4" s="94" t="str">
        <f t="shared" si="1"/>
        <v>"C:\Program Files (x86)\AstroGrep\AstroGrep.exe" /spath="%USERPROFILE%\AppData\Local\Temp\OnboardLogs" /stypes="*4019*201702260*" /stext=" 01:.+((SYSTEM_STATE.+slice.+state.+changed )|(ment ac)|(multiple cpu faults)|(system.+state.+changed )|(\[timeout)|(PRM\|1\|D)|(kpr)|(kdp)|(\|lc)|(penalty))" /e /r /s</v>
      </c>
      <c r="U34" s="9" t="str">
        <f t="shared" si="2"/>
        <v>4019</v>
      </c>
      <c r="V34" s="32">
        <f t="shared" si="3"/>
        <v>42792.047951388886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{"issue":{"subject":"","project_id":79,"tracker_id":40,"status_id":1,"priority_id":2,"assigned_to_id":23,"start_date":"2017-02-25","description":"","custom_fields":[{"id":1,"name":"Subdivision","value":"EC"},{"id":4,"name":"Milepost","value":"0.0001"},{"id":17,"name":"Train ID","value":"204-25"},{"id":16,"name":"Locomotive ID","value":"4019"},{"id":130,"name":"Impact","value":""},{"id":150,"name":"Time of Event (Mountain Time)","value":"18:09:03"},{"id":151,"name":"Denver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"%USERPROFILE%\AppData\Local\Temp\OnboardLogs"\RTDC4019\*4019*201702260*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"%USERPROFILE%\AppData\Local\Temp\OnboardLogs"\RTDC4019\*4019*201702260* &gt;&gt; 2017-02-25-SliceDisagreementCheck.txt</v>
      </c>
      <c r="AE34" s="157" t="str">
        <f t="shared" si="8"/>
        <v>start /low /b %USERPROFILE%\Documents\GitHub\eaglep3\Utilities\DownloadLogsFromS3.py --loco 4019 --day 2017-02-26</v>
      </c>
      <c r="AF34" s="1"/>
    </row>
    <row r="35" spans="1:32" x14ac:dyDescent="0.25">
      <c r="A35" s="32">
        <v>42791.796307870369</v>
      </c>
      <c r="B35" s="30" t="s">
        <v>251</v>
      </c>
      <c r="C35" s="30" t="s">
        <v>423</v>
      </c>
      <c r="D35" s="30" t="s">
        <v>49</v>
      </c>
      <c r="E35" s="30" t="s">
        <v>184</v>
      </c>
      <c r="F35" s="43">
        <v>0</v>
      </c>
      <c r="G35" s="43">
        <v>56</v>
      </c>
      <c r="H35" s="43">
        <v>150</v>
      </c>
      <c r="I35" s="43">
        <v>101</v>
      </c>
      <c r="J35" s="30" t="s">
        <v>185</v>
      </c>
      <c r="K35" s="43">
        <v>1</v>
      </c>
      <c r="L35" s="143" t="s">
        <v>51</v>
      </c>
      <c r="M35" s="144">
        <f t="shared" si="0"/>
        <v>52.8</v>
      </c>
      <c r="N35" s="145" t="str">
        <f>VLOOKUP(C35,'Trips&amp;Operators'!$C$1:$G$99999,5,FALSE)</f>
        <v>HOLCOMB KAMDEN</v>
      </c>
      <c r="O35" s="173" t="s">
        <v>181</v>
      </c>
      <c r="P35" s="146"/>
      <c r="Q35" s="30"/>
      <c r="R35" s="89" t="str">
        <f>VLOOKUP(C35,'Train Runs'!$A$13:$AE$9941,31,0)</f>
        <v>aws s3 cp s3://rtdc.mdm.uploadarchive.raw/RTDC4017/ "%USERPROFILE%\AppData\Local\Temp\OnboardLogs"\RTDC4017\2017-02-25 --exclude "*" --recursive --include "*20170225*" &amp; "%USERPROFILE%\Documents\GitHub\mrs-test-scripts\Headless Mode &amp; Sideloading\WalkAndUnGZ.bat" "%USERPROFILE%\AppData\Local\Temp\OnboardLogs"\RTDC4017\2017-02-25 &amp; 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-02-25T17:16:33-0700',mode:absolute,to:'2017-02-25T20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5" s="94" t="str">
        <f t="shared" si="1"/>
        <v>"C:\Program Files (x86)\AstroGrep\AstroGrep.exe" /spath="%USERPROFILE%\AppData\Local\Temp\OnboardLogs" /stypes="*4017*201702260*" /stext=" 02:.+((SYSTEM_STATE.+slice.+state.+changed )|(ment ac)|(multiple cpu faults)|(system.+state.+changed )|(\[timeout)|(PRM\|1\|D)|(kpr)|(kdp)|(\|lc)|(penalty))" /e /r /s</v>
      </c>
      <c r="U35" s="9" t="str">
        <f t="shared" si="2"/>
        <v>4017</v>
      </c>
      <c r="V35" s="32">
        <f t="shared" si="3"/>
        <v>42792.087974537033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{"issue":{"subject":"","project_id":79,"tracker_id":40,"status_id":1,"priority_id":2,"assigned_to_id":23,"start_date":"2017-02-25","description":"","custom_fields":[{"id":1,"name":"Subdivision","value":"EC"},{"id":4,"name":"Milepost","value":"0.0001"},{"id":17,"name":"Train ID","value":"212-25"},{"id":16,"name":"Locomotive ID","value":"4017"},{"id":130,"name":"Impact","value":""},{"id":150,"name":"Time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"%USERPROFILE%\AppData\Local\Temp\OnboardLogs"\RTDC4017\*4017*201702260*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"%USERPROFILE%\AppData\Local\Temp\OnboardLogs"\RTDC4017\*4017*201702260* &gt;&gt; 2017-02-25-SliceDisagreementCheck.txt</v>
      </c>
      <c r="AE35" s="157" t="str">
        <f t="shared" si="8"/>
        <v>start /low /b %USERPROFILE%\Documents\GitHub\eaglep3\Utilities\DownloadLogsFromS3.py --loco 4017 --day 2017-02-26</v>
      </c>
      <c r="AF35" s="1"/>
    </row>
    <row r="36" spans="1:32" x14ac:dyDescent="0.25">
      <c r="A36" s="32">
        <v>42792.065659722219</v>
      </c>
      <c r="B36" s="30" t="s">
        <v>244</v>
      </c>
      <c r="C36" s="30" t="s">
        <v>431</v>
      </c>
      <c r="D36" s="30" t="s">
        <v>49</v>
      </c>
      <c r="E36" s="30" t="s">
        <v>184</v>
      </c>
      <c r="F36" s="43">
        <v>0</v>
      </c>
      <c r="G36" s="43">
        <v>50</v>
      </c>
      <c r="H36" s="43">
        <v>152</v>
      </c>
      <c r="I36" s="43">
        <v>127</v>
      </c>
      <c r="J36" s="30" t="s">
        <v>185</v>
      </c>
      <c r="K36" s="43">
        <v>1</v>
      </c>
      <c r="L36" s="143" t="s">
        <v>51</v>
      </c>
      <c r="M36" s="144">
        <f t="shared" si="0"/>
        <v>66.528000000000006</v>
      </c>
      <c r="N36" s="145" t="str">
        <f>VLOOKUP(C36,'Trips&amp;Operators'!$C$1:$G$99999,5,FALSE)</f>
        <v>STAMBAUGH JAMES</v>
      </c>
      <c r="O36" s="173" t="s">
        <v>181</v>
      </c>
      <c r="P36" s="146"/>
      <c r="Q36" s="30"/>
      <c r="R36" s="89" t="str">
        <f>VLOOKUP(C36,'Train Runs'!$A$13:$AE$9941,31,0)</f>
        <v>aws s3 cp s3://rtdc.mdm.uploadarchive.raw/RTDC4019/ "%USERPROFILE%\AppData\Local\Temp\OnboardLogs"\RTDC4019\2017-02-26 --exclude "*" --recursive --include "*20170226*" &amp; "%USERPROFILE%\Documents\GitHub\mrs-test-scripts\Headless Mode &amp; Sideloading\WalkAndUnGZ.bat" "%USERPROFILE%\AppData\Local\Temp\OnboardLogs"\RTDC4019\2017-02-26 &amp; 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-02-25T23:37:55-0700',mode:absolute,to:'2017-02-26T02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94" t="str">
        <f t="shared" si="1"/>
        <v>"C:\Program Files (x86)\AstroGrep\AstroGrep.exe" /spath="%USERPROFILE%\AppData\Local\Temp\OnboardLogs" /stypes="*4019*201702260*" /stext=" 08:.+((SYSTEM_STATE.+slice.+state.+changed )|(ment ac)|(multiple cpu faults)|(system.+state.+changed )|(\[timeout)|(PRM\|1\|D)|(kpr)|(kdp)|(\|lc)|(penalty))" /e /r /s</v>
      </c>
      <c r="U36" s="9" t="str">
        <f t="shared" si="2"/>
        <v>4019</v>
      </c>
      <c r="V36" s="32">
        <f t="shared" si="3"/>
        <v>42792.357326388883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{"issue":{"subject":"","project_id":79,"tracker_id":40,"status_id":1,"priority_id":2,"assigned_to_id":23,"start_date":"2017-02-26","description":"","custom_fields":[{"id":1,"name":"Subdivision","value":"EC"},{"id":4,"name":"Milepost","value":"0.0001"},{"id":17,"name":"Train ID","value":"242-25"},{"id":16,"name":"Locomotive ID","value":"4019"},{"id":130,"name":"Impact","value":""},{"id":150,"name":"Time of Event (Mountain Time)","value":"01:34:33"},{"id":151,"name":"Denver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"%USERPROFILE%\AppData\Local\Temp\OnboardLogs"\RTDC4019\*4019*201702260*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"%USERPROFILE%\AppData\Local\Temp\OnboardLogs"\RTDC4019\*4019*201702260* &gt;&gt; 2017-02-25-SliceDisagreementCheck.txt</v>
      </c>
      <c r="AE36" s="157" t="str">
        <f t="shared" si="8"/>
        <v>start /low /b %USERPROFILE%\Documents\GitHub\eaglep3\Utilities\DownloadLogsFromS3.py --loco 4019 --day 2017-02-26</v>
      </c>
      <c r="AF36" s="1"/>
    </row>
    <row r="37" spans="1:32" x14ac:dyDescent="0.25">
      <c r="A37" s="32">
        <v>42791.629710648151</v>
      </c>
      <c r="B37" s="30" t="s">
        <v>213</v>
      </c>
      <c r="C37" s="30" t="s">
        <v>411</v>
      </c>
      <c r="D37" s="30" t="s">
        <v>49</v>
      </c>
      <c r="E37" s="30" t="s">
        <v>184</v>
      </c>
      <c r="F37" s="43">
        <v>0</v>
      </c>
      <c r="G37" s="43">
        <v>82</v>
      </c>
      <c r="H37" s="43">
        <v>233201</v>
      </c>
      <c r="I37" s="43">
        <v>233301</v>
      </c>
      <c r="J37" s="30" t="s">
        <v>185</v>
      </c>
      <c r="K37" s="43">
        <v>233491</v>
      </c>
      <c r="L37" s="143" t="s">
        <v>50</v>
      </c>
      <c r="M37" s="144">
        <f t="shared" si="0"/>
        <v>100.32</v>
      </c>
      <c r="N37" s="145" t="str">
        <f>VLOOKUP(C37,'Trips&amp;Operators'!$C$1:$G$99999,5,FALSE)</f>
        <v>STEWART MICHAEL</v>
      </c>
      <c r="O37" s="173" t="s">
        <v>181</v>
      </c>
      <c r="P37" s="146"/>
      <c r="Q37" s="30"/>
      <c r="R37" s="89" t="str">
        <f>VLOOKUP(C37,'Train Runs'!$A$13:$AE$9941,31,0)</f>
        <v>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 &amp; 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-02-25T13:27:19-0700',mode:absolute,to:'2017-02-25T16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94" t="str">
        <f t="shared" si="1"/>
        <v>"C:\Program Files (x86)\AstroGrep\AstroGrep.exe" /spath="%USERPROFILE%\AppData\Local\Temp\OnboardLogs" /stypes="*4027*201702252*" /stext=" 22:.+((SYSTEM_STATE.+slice.+state.+changed )|(ment ac)|(multiple cpu faults)|(system.+state.+changed )|(\[timeout)|(PRM\|1\|D)|(kpr)|(kdp)|(\|lc)|(penalty))" /e /r /s</v>
      </c>
      <c r="U37" s="9" t="str">
        <f t="shared" si="2"/>
        <v>4027</v>
      </c>
      <c r="V37" s="32">
        <f t="shared" si="3"/>
        <v>42791.921377314815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{"issue":{"subject":"","project_id":79,"tracker_id":40,"status_id":1,"priority_id":2,"assigned_to_id":23,"start_date":"2017-02-25","description":"","custom_fields":[{"id":1,"name":"Subdivision","value":"EC"},{"id":4,"name":"Milepost","value":"23.3491"},{"id":17,"name":"Train ID","value":"187-25"},{"id":16,"name":"Locomotive ID","value":"4027"},{"id":130,"name":"Impact","value":""},{"id":150,"name":"Time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"%USERPROFILE%\AppData\Local\Temp\OnboardLogs"\RTDC4027\*4027*201702252*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"%USERPROFILE%\AppData\Local\Temp\OnboardLogs"\RTDC4027\*4027*201702252* &gt;&gt; 2017-02-25-SliceDisagreementCheck.txt</v>
      </c>
      <c r="AE37" s="157" t="str">
        <f t="shared" si="8"/>
        <v>start /low /b %USERPROFILE%\Documents\GitHub\eaglep3\Utilities\DownloadLogsFromS3.py --loco 4027 --day 2017-02-25</v>
      </c>
      <c r="AF37" s="1"/>
    </row>
    <row r="38" spans="1:32" x14ac:dyDescent="0.25">
      <c r="A38" s="32">
        <v>42791.681608796294</v>
      </c>
      <c r="B38" s="30" t="s">
        <v>250</v>
      </c>
      <c r="C38" s="30" t="s">
        <v>414</v>
      </c>
      <c r="D38" s="30" t="s">
        <v>49</v>
      </c>
      <c r="E38" s="30" t="s">
        <v>184</v>
      </c>
      <c r="F38" s="43">
        <v>0</v>
      </c>
      <c r="G38" s="43">
        <v>53</v>
      </c>
      <c r="H38" s="43">
        <v>233291</v>
      </c>
      <c r="I38" s="43">
        <v>233336</v>
      </c>
      <c r="J38" s="30" t="s">
        <v>185</v>
      </c>
      <c r="K38" s="43">
        <v>233491</v>
      </c>
      <c r="L38" s="143" t="s">
        <v>50</v>
      </c>
      <c r="M38" s="144">
        <f t="shared" si="0"/>
        <v>81.84</v>
      </c>
      <c r="N38" s="145" t="str">
        <f>VLOOKUP(C38,'Trips&amp;Operators'!$C$1:$G$99999,5,FALSE)</f>
        <v>HOLCOMB KAMDEN</v>
      </c>
      <c r="O38" s="173" t="s">
        <v>181</v>
      </c>
      <c r="P38" s="146"/>
      <c r="Q38" s="30"/>
      <c r="R38" s="89" t="str">
        <f>VLOOKUP(C38,'Train Runs'!$A$13:$AE$9941,31,0)</f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-02-25T14:39:08-0700',mode:absolute,to:'2017-02-25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94" t="str">
        <f t="shared" si="1"/>
        <v>"C:\Program Files (x86)\AstroGrep\AstroGrep.exe" /spath="%USERPROFILE%\AppData\Local\Temp\OnboardLogs" /stypes="*4018*201702252*" /stext=" 23:.+((SYSTEM_STATE.+slice.+state.+changed )|(ment ac)|(multiple cpu faults)|(system.+state.+changed )|(\[timeout)|(PRM\|1\|D)|(kpr)|(kdp)|(\|lc)|(penalty))" /e /r /s</v>
      </c>
      <c r="U38" s="9" t="str">
        <f t="shared" si="2"/>
        <v>4018</v>
      </c>
      <c r="V38" s="32">
        <f t="shared" si="3"/>
        <v>42791.973275462959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{"issue":{"subject":"","project_id":79,"tracker_id":40,"status_id":1,"priority_id":2,"assigned_to_id":23,"start_date":"2017-02-25","description":"","custom_fields":[{"id":1,"name":"Subdivision","value":"EC"},{"id":4,"name":"Milepost","value":"23.3491"},{"id":17,"name":"Train ID","value":"197-25"},{"id":16,"name":"Locomotive ID","value":"4018"},{"id":130,"name":"Impact","value":""},{"id":150,"name":"Time of Event (Mountain Time)","value":"16:21:31"},{"id":151,"name":"Denver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"%USERPROFILE%\AppData\Local\Temp\OnboardLogs"\RTDC4018\*4018*201702252*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"%USERPROFILE%\AppData\Local\Temp\OnboardLogs"\RTDC4018\*4018*201702252* &gt;&gt; 2017-02-25-SliceDisagreementCheck.txt</v>
      </c>
      <c r="AE38" s="157" t="str">
        <f t="shared" si="8"/>
        <v>start /low /b %USERPROFILE%\Documents\GitHub\eaglep3\Utilities\DownloadLogsFromS3.py --loco 4018 --day 2017-02-25</v>
      </c>
      <c r="AF38" s="1"/>
    </row>
    <row r="39" spans="1:32" x14ac:dyDescent="0.25">
      <c r="A39" s="32">
        <v>42791.754363425927</v>
      </c>
      <c r="B39" s="30" t="s">
        <v>250</v>
      </c>
      <c r="C39" s="30" t="s">
        <v>420</v>
      </c>
      <c r="D39" s="30" t="s">
        <v>49</v>
      </c>
      <c r="E39" s="30" t="s">
        <v>184</v>
      </c>
      <c r="F39" s="43">
        <v>0</v>
      </c>
      <c r="G39" s="43">
        <v>59</v>
      </c>
      <c r="H39" s="43">
        <v>233293</v>
      </c>
      <c r="I39" s="43">
        <v>233378</v>
      </c>
      <c r="J39" s="30" t="s">
        <v>185</v>
      </c>
      <c r="K39" s="43">
        <v>233491</v>
      </c>
      <c r="L39" s="143" t="s">
        <v>50</v>
      </c>
      <c r="M39" s="144">
        <f t="shared" si="0"/>
        <v>59.664000000000001</v>
      </c>
      <c r="N39" s="145" t="str">
        <f>VLOOKUP(C39,'Trips&amp;Operators'!$C$1:$G$99999,5,FALSE)</f>
        <v>HOLCOMB KAMDEN</v>
      </c>
      <c r="O39" s="173" t="s">
        <v>181</v>
      </c>
      <c r="P39" s="146"/>
      <c r="Q39" s="30"/>
      <c r="R39" s="89" t="str">
        <f>VLOOKUP(C39,'Train Runs'!$A$13:$AE$9941,31,0)</f>
        <v>aws s3 cp s3://rtdc.mdm.uploadarchive.raw/RTDC4018/ "%USERPROFILE%\AppData\Local\Temp\OnboardLogs"\RTDC4018\2017-02-25 --exclude "*" --recursive --include "*20170225*" &amp; "%USERPROFILE%\Documents\GitHub\mrs-test-scripts\Headless Mode &amp; Sideloading\WalkAndUnGZ.bat" "%USERPROFILE%\AppData\Local\Temp\OnboardLogs"\RTDC4018\2017-02-25 &amp; 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</v>
      </c>
      <c r="S39" s="92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-02-25T16:25:04-0700',mode:absolute,to:'2017-02-25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94" t="str">
        <f t="shared" si="1"/>
        <v>"C:\Program Files (x86)\AstroGrep\AstroGrep.exe" /spath="%USERPROFILE%\AppData\Local\Temp\OnboardLogs" /stypes="*4018*201702260*" /stext=" 01:.+((SYSTEM_STATE.+slice.+state.+changed )|(ment ac)|(multiple cpu faults)|(system.+state.+changed )|(\[timeout)|(PRM\|1\|D)|(kpr)|(kdp)|(\|lc)|(penalty))" /e /r /s</v>
      </c>
      <c r="U39" s="9" t="str">
        <f t="shared" si="2"/>
        <v>4018</v>
      </c>
      <c r="V39" s="32">
        <f t="shared" si="3"/>
        <v>42792.046030092592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{"issue":{"subject":"","project_id":79,"tracker_id":40,"status_id":1,"priority_id":2,"assigned_to_id":23,"start_date":"2017-02-25","description":"","custom_fields":[{"id":1,"name":"Subdivision","value":"EC"},{"id":4,"name":"Milepost","value":"23.3491"},{"id":17,"name":"Train ID","value":"211-25"},{"id":16,"name":"Locomotive ID","value":"4018"},{"id":130,"name":"Impact","value":""},{"id":150,"name":"Time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"%USERPROFILE%\AppData\Local\Temp\OnboardLogs"\RTDC4018\*4018*201702260*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"%USERPROFILE%\AppData\Local\Temp\OnboardLogs"\RTDC4018\*4018*201702260* &gt;&gt; 2017-02-25-SliceDisagreementCheck.txt</v>
      </c>
      <c r="AE39" s="157" t="str">
        <f t="shared" si="8"/>
        <v>start /low /b %USERPROFILE%\Documents\GitHub\eaglep3\Utilities\DownloadLogsFromS3.py --loco 4018 --day 2017-02-26</v>
      </c>
      <c r="AF39" s="1"/>
    </row>
    <row r="40" spans="1:32" x14ac:dyDescent="0.25">
      <c r="A40" s="32">
        <v>42791.579780092594</v>
      </c>
      <c r="B40" s="30" t="s">
        <v>234</v>
      </c>
      <c r="C40" s="30" t="s">
        <v>410</v>
      </c>
      <c r="D40" s="30" t="s">
        <v>49</v>
      </c>
      <c r="E40" s="30" t="s">
        <v>184</v>
      </c>
      <c r="F40" s="43">
        <v>0</v>
      </c>
      <c r="G40" s="43">
        <v>50</v>
      </c>
      <c r="H40" s="43">
        <v>759</v>
      </c>
      <c r="I40" s="43">
        <v>703</v>
      </c>
      <c r="J40" s="30" t="s">
        <v>185</v>
      </c>
      <c r="K40" s="43">
        <v>575</v>
      </c>
      <c r="L40" s="143" t="s">
        <v>51</v>
      </c>
      <c r="M40" s="144">
        <f t="shared" si="0"/>
        <v>67.584000000000003</v>
      </c>
      <c r="N40" s="145" t="str">
        <f>VLOOKUP(C40,'Trips&amp;Operators'!$C$1:$G$99999,5,FALSE)</f>
        <v>SHOOK JOHN</v>
      </c>
      <c r="O40" s="173" t="s">
        <v>336</v>
      </c>
      <c r="P40" s="146" t="s">
        <v>916</v>
      </c>
      <c r="Q40" s="30"/>
      <c r="R40" s="89" t="str">
        <f>VLOOKUP(C40,'Train Runs'!$A$13:$AE$9941,31,0)</f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S40" s="92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-02-25T12:36:46-0700',mode:absolute,to:'2017-02-25T14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0" s="94" t="str">
        <f t="shared" si="1"/>
        <v>"C:\Program Files (x86)\AstroGrep\AstroGrep.exe" /spath="%USERPROFILE%\AppData\Local\Temp\OnboardLogs" /stypes="*4004*201702252*" /stext=" 20:.+((SYSTEM_STATE.+slice.+state.+changed )|(ment ac)|(multiple cpu faults)|(system.+state.+changed )|(\[timeout)|(PRM\|1\|D)|(kpr)|(kdp)|(\|lc)|(penalty))" /e /r /s</v>
      </c>
      <c r="U40" s="9" t="str">
        <f t="shared" si="2"/>
        <v>4004</v>
      </c>
      <c r="V40" s="32">
        <f t="shared" si="3"/>
        <v>42791.871446759258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{"issue":{"subject":"Banner w/o braking","project_id":79,"tracker_id":40,"status_id":1,"priority_id":2,"assigned_to_id":23,"start_date":"2017-02-25","description":"","custom_fields":[{"id":1,"name":"Subdivision","value":"NW"},{"id":4,"name":"Milepost","value":"0.0575"},{"id":17,"name":"Train ID","value":"1816-25"},{"id":16,"name":"Locomotive ID","value":"4004"},{"id":130,"name":"Impact","value":""},{"id":150,"name":"Time of Event (Mountain Time)","value":"13:54:53"},{"id":151,"name":"Denver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"%USERPROFILE%\AppData\Local\Temp\OnboardLogs"\RTDC4004\*4004*201702252*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"%USERPROFILE%\AppData\Local\Temp\OnboardLogs"\RTDC4004\*4004*201702252* &gt;&gt; 2017-02-25-SliceDisagreementCheck.txt</v>
      </c>
      <c r="AE40" s="157" t="str">
        <f t="shared" si="8"/>
        <v>start /low /b %USERPROFILE%\Documents\GitHub\eaglep3\Utilities\DownloadLogsFromS3.py --loco 4004 --day 2017-02-25</v>
      </c>
      <c r="AF40" s="1"/>
    </row>
    <row r="41" spans="1:32" x14ac:dyDescent="0.25">
      <c r="A41" s="32">
        <v>42791.70480324074</v>
      </c>
      <c r="B41" s="30" t="s">
        <v>234</v>
      </c>
      <c r="C41" s="30" t="s">
        <v>417</v>
      </c>
      <c r="D41" s="30" t="s">
        <v>49</v>
      </c>
      <c r="E41" s="30" t="s">
        <v>184</v>
      </c>
      <c r="F41" s="43">
        <v>0</v>
      </c>
      <c r="G41" s="43">
        <v>45</v>
      </c>
      <c r="H41" s="43">
        <v>715</v>
      </c>
      <c r="I41" s="43">
        <v>691</v>
      </c>
      <c r="J41" s="30" t="s">
        <v>185</v>
      </c>
      <c r="K41" s="43">
        <v>575</v>
      </c>
      <c r="L41" s="143" t="s">
        <v>51</v>
      </c>
      <c r="M41" s="144">
        <f t="shared" si="0"/>
        <v>61.247999999999998</v>
      </c>
      <c r="N41" s="145" t="str">
        <f>VLOOKUP(C41,'Trips&amp;Operators'!$C$1:$G$99999,5,FALSE)</f>
        <v>HELVIE ADAM</v>
      </c>
      <c r="O41" s="173" t="s">
        <v>336</v>
      </c>
      <c r="P41" s="146" t="s">
        <v>916</v>
      </c>
      <c r="Q41" s="30"/>
      <c r="R41" s="89" t="str">
        <f>VLOOKUP(C41,'Train Runs'!$A$13:$AE$9941,31,0)</f>
        <v>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 &amp; 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</v>
      </c>
      <c r="S41" s="92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-02-25T15:36:45-0700',mode:absolute,to:'2017-02-25T17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1" s="94" t="str">
        <f t="shared" si="1"/>
        <v>"C:\Program Files (x86)\AstroGrep\AstroGrep.exe" /spath="%USERPROFILE%\AppData\Local\Temp\OnboardLogs" /stypes="*4004*201702252*" /stext=" 23:.+((SYSTEM_STATE.+slice.+state.+changed )|(ment ac)|(multiple cpu faults)|(system.+state.+changed )|(\[timeout)|(PRM\|1\|D)|(kpr)|(kdp)|(\|lc)|(penalty))" /e /r /s</v>
      </c>
      <c r="U41" s="9" t="str">
        <f t="shared" si="2"/>
        <v>4004</v>
      </c>
      <c r="V41" s="32">
        <f t="shared" si="3"/>
        <v>42791.996469907404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{"issue":{"subject":"Banner w/o braking","project_id":79,"tracker_id":40,"status_id":1,"priority_id":2,"assigned_to_id":23,"start_date":"2017-02-25","description":"","custom_fields":[{"id":1,"name":"Subdivision","value":"NW"},{"id":4,"name":"Milepost","value":"0.0575"},{"id":17,"name":"Train ID","value":"1822-25"},{"id":16,"name":"Locomotive ID","value":"4004"},{"id":130,"name":"Impact","value":""},{"id":150,"name":"Time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"%USERPROFILE%\AppData\Local\Temp\OnboardLogs"\RTDC4004\*4004*201702252*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"%USERPROFILE%\AppData\Local\Temp\OnboardLogs"\RTDC4004\*4004*201702252* &gt;&gt; 2017-02-25-SliceDisagreementCheck.txt</v>
      </c>
      <c r="AE41" s="157" t="str">
        <f t="shared" si="8"/>
        <v>start /low /b %USERPROFILE%\Documents\GitHub\eaglep3\Utilities\DownloadLogsFromS3.py --loco 4004 --day 2017-02-25</v>
      </c>
      <c r="AF41" s="1"/>
    </row>
    <row r="42" spans="1:32" x14ac:dyDescent="0.25">
      <c r="A42" s="32">
        <v>42791.524050925924</v>
      </c>
      <c r="B42" s="30" t="s">
        <v>233</v>
      </c>
      <c r="C42" s="30" t="s">
        <v>408</v>
      </c>
      <c r="D42" s="30" t="s">
        <v>49</v>
      </c>
      <c r="E42" s="30" t="s">
        <v>184</v>
      </c>
      <c r="F42" s="43">
        <v>0</v>
      </c>
      <c r="G42" s="43">
        <v>22</v>
      </c>
      <c r="H42" s="43">
        <v>58980</v>
      </c>
      <c r="I42" s="43">
        <v>58997</v>
      </c>
      <c r="J42" s="30" t="s">
        <v>185</v>
      </c>
      <c r="K42" s="43">
        <v>59048</v>
      </c>
      <c r="L42" s="143" t="s">
        <v>50</v>
      </c>
      <c r="M42" s="144">
        <f t="shared" si="0"/>
        <v>26.928000000000001</v>
      </c>
      <c r="N42" s="145" t="str">
        <f>VLOOKUP(C42,'Trips&amp;Operators'!$C$1:$G$99999,5,FALSE)</f>
        <v>SHOOK JOHN</v>
      </c>
      <c r="O42" s="173" t="s">
        <v>181</v>
      </c>
      <c r="P42" s="146"/>
      <c r="Q42" s="30"/>
      <c r="R42" s="89" t="str">
        <f>VLOOKUP(C42,'Train Runs'!$A$13:$AE$9941,31,0)</f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S42" s="92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-02-25T10:57:05-0700',mode:absolute,to:'2017-02-25T13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2" s="94" t="str">
        <f t="shared" si="1"/>
        <v>"C:\Program Files (x86)\AstroGrep\AstroGrep.exe" /spath="%USERPROFILE%\AppData\Local\Temp\OnboardLogs" /stypes="*4003*201702251*" /stext=" 19:.+((SYSTEM_STATE.+slice.+state.+changed )|(ment ac)|(multiple cpu faults)|(system.+state.+changed )|(\[timeout)|(PRM\|1\|D)|(kpr)|(kdp)|(\|lc)|(penalty))" /e /r /s</v>
      </c>
      <c r="U42" s="9" t="str">
        <f t="shared" si="2"/>
        <v>4003</v>
      </c>
      <c r="V42" s="32">
        <f t="shared" si="3"/>
        <v>42791.815717592588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{"issue":{"subject":"","project_id":79,"tracker_id":40,"status_id":1,"priority_id":2,"assigned_to_id":23,"start_date":"2017-02-25","description":"","custom_fields":[{"id":1,"name":"Subdivision","value":"NW"},{"id":4,"name":"Milepost","value":"5.9048"},{"id":17,"name":"Train ID","value":"1813-25"},{"id":16,"name":"Locomotive ID","value":"4003"},{"id":130,"name":"Impact","value":""},{"id":150,"name":"Time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"%USERPROFILE%\AppData\Local\Temp\OnboardLogs"\RTDC4003\*4003*201702251*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"%USERPROFILE%\AppData\Local\Temp\OnboardLogs"\RTDC4003\*4003*201702251* &gt;&gt; 2017-02-25-SliceDisagreementCheck.txt</v>
      </c>
      <c r="AE42" s="157" t="str">
        <f t="shared" si="8"/>
        <v>start /low /b %USERPROFILE%\Documents\GitHub\eaglep3\Utilities\DownloadLogsFromS3.py --loco 4003 --day 2017-02-25</v>
      </c>
      <c r="AF42" s="1"/>
    </row>
    <row r="43" spans="1:32" x14ac:dyDescent="0.25">
      <c r="A43" s="32">
        <v>42791.690740740742</v>
      </c>
      <c r="B43" s="30" t="s">
        <v>233</v>
      </c>
      <c r="C43" s="30" t="s">
        <v>415</v>
      </c>
      <c r="D43" s="30" t="s">
        <v>49</v>
      </c>
      <c r="E43" s="30" t="s">
        <v>184</v>
      </c>
      <c r="F43" s="43">
        <v>0</v>
      </c>
      <c r="G43" s="43">
        <v>22</v>
      </c>
      <c r="H43" s="43">
        <v>58976</v>
      </c>
      <c r="I43" s="43">
        <v>58984</v>
      </c>
      <c r="J43" s="30" t="s">
        <v>185</v>
      </c>
      <c r="K43" s="43">
        <v>59048</v>
      </c>
      <c r="L43" s="143" t="s">
        <v>50</v>
      </c>
      <c r="M43" s="144">
        <f t="shared" si="0"/>
        <v>33.792000000000002</v>
      </c>
      <c r="N43" s="145" t="str">
        <f>VLOOKUP(C43,'Trips&amp;Operators'!$C$1:$G$99999,5,FALSE)</f>
        <v>HELVIE ADAM</v>
      </c>
      <c r="O43" s="173" t="s">
        <v>181</v>
      </c>
      <c r="P43" s="146"/>
      <c r="Q43" s="30"/>
      <c r="R43" s="89" t="str">
        <f>VLOOKUP(C43,'Train Runs'!$A$13:$AE$9941,31,0)</f>
        <v>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 &amp; 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</v>
      </c>
      <c r="S43" s="92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-02-25T15:18:27-0700',mode:absolute,to:'2017-02-25T17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3" s="94" t="str">
        <f t="shared" si="1"/>
        <v>"C:\Program Files (x86)\AstroGrep\AstroGrep.exe" /spath="%USERPROFILE%\AppData\Local\Temp\OnboardLogs" /stypes="*4003*201702252*" /stext=" 23:.+((SYSTEM_STATE.+slice.+state.+changed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2">
        <f t="shared" si="3"/>
        <v>42791.982407407406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{"issue":{"subject":"","project_id":79,"tracker_id":40,"status_id":1,"priority_id":2,"assigned_to_id":23,"start_date":"2017-02-25","description":"","custom_fields":[{"id":1,"name":"Subdivision","value":"NW"},{"id":4,"name":"Milepost","value":"5.9048"},{"id":17,"name":"Train ID","value":"1821-25"},{"id":16,"name":"Locomotive ID","value":"4003"},{"id":130,"name":"Impact","value":""},{"id":150,"name":"Time of Event (Mountain Time)","value":"16:34:40"},{"id":151,"name":"Denver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"%USERPROFILE%\AppData\Local\Temp\OnboardLogs"\RTDC4003\*4003*201702252*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"%USERPROFILE%\AppData\Local\Temp\OnboardLogs"\RTDC4003\*4003*201702252* &gt;&gt; 2017-02-25-SliceDisagreementCheck.txt</v>
      </c>
      <c r="AE43" s="157" t="str">
        <f t="shared" si="8"/>
        <v>start /low /b %USERPROFILE%\Documents\GitHub\eaglep3\Utilities\DownloadLogsFromS3.py --loco 4003 --day 2017-02-25</v>
      </c>
      <c r="AF43" s="1"/>
    </row>
    <row r="44" spans="1:32" x14ac:dyDescent="0.25">
      <c r="A44" s="32">
        <v>42791.752060185187</v>
      </c>
      <c r="B44" s="30" t="s">
        <v>266</v>
      </c>
      <c r="C44" s="30" t="s">
        <v>419</v>
      </c>
      <c r="D44" s="30" t="s">
        <v>49</v>
      </c>
      <c r="E44" s="30" t="s">
        <v>193</v>
      </c>
      <c r="F44" s="43">
        <v>340</v>
      </c>
      <c r="G44" s="43">
        <v>399</v>
      </c>
      <c r="H44" s="43">
        <v>8210</v>
      </c>
      <c r="I44" s="43">
        <v>9189</v>
      </c>
      <c r="J44" s="30" t="s">
        <v>194</v>
      </c>
      <c r="K44" s="43">
        <v>10716</v>
      </c>
      <c r="L44" s="143" t="s">
        <v>50</v>
      </c>
      <c r="M44" s="144">
        <f t="shared" si="0"/>
        <v>806.25599999999997</v>
      </c>
      <c r="N44" s="145" t="str">
        <f>VLOOKUP(C44,'Trips&amp;Operators'!$C$1:$G$99999,5,FALSE)</f>
        <v>LOPES KIMBERLY</v>
      </c>
      <c r="O44" s="173" t="s">
        <v>181</v>
      </c>
      <c r="P44" s="146"/>
      <c r="Q44" s="30"/>
      <c r="R44" s="89" t="str">
        <f>VLOOKUP(C44,'Train Runs'!$A$13:$AE$9941,31,0)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S44" s="92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-02-25T16:14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4" s="94" t="str">
        <f t="shared" si="1"/>
        <v>"C:\Program Files (x86)\AstroGrep\AstroGrep.exe" /spath="%USERPROFILE%\AppData\Local\Temp\OnboardLogs" /stypes="*4006*201702260*" /stext=" 01:.+((SYSTEM_STATE.+slice.+state.+changed )|(ment ac)|(multiple cpu faults)|(system.+state.+changed )|(\[timeout)|(PRM\|1\|D)|(kpr)|(kdp)|(\|lc)|(penalty))" /e /r /s</v>
      </c>
      <c r="U44" s="9" t="str">
        <f t="shared" si="2"/>
        <v>4006</v>
      </c>
      <c r="V44" s="32">
        <f t="shared" si="3"/>
        <v>42792.043726851851</v>
      </c>
      <c r="W44" s="46" t="str">
        <f t="shared" si="4"/>
        <v>Other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{"issue":{"subject":"","project_id":79,"tracker_id":40,"status_id":1,"priority_id":2,"assigned_to_id":23,"start_date":"2017-02-25","description":"","custom_fields":[{"id":1,"name":"Subdivision","value":"Other"},{"id":4,"name":"Milepost","value":"1.0716"},{"id":17,"name":"Train ID","value":"53-25"},{"id":16,"name":"Locomotive ID","value":"4006"},{"id":130,"name":"Impact","value":""},{"id":150,"name":"Time of Event (Mountain Time)","value":"18:02:58"},{"id":151,"name":"Denver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"%USERPROFILE%\AppData\Local\Temp\OnboardLogs"\RTDC4006\*4006*201702260*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"%USERPROFILE%\AppData\Local\Temp\OnboardLogs"\RTDC4006\*4006*201702260* &gt;&gt; 2017-02-25-SliceDisagreementCheck.txt</v>
      </c>
      <c r="AE44" s="157" t="str">
        <f t="shared" si="8"/>
        <v>start /low /b %USERPROFILE%\Documents\GitHub\eaglep3\Utilities\DownloadLogsFromS3.py --loco 4006 --day 2017-02-26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</sheetData>
  <autoFilter ref="A6:AC69"/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0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3" sqref="A3:XFD3"/>
    </sheetView>
  </sheetViews>
  <sheetFormatPr defaultRowHeight="15" x14ac:dyDescent="0.25"/>
  <cols>
    <col min="1" max="1" width="9.140625" style="166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6"/>
      <c r="B1" s="175" t="str">
        <f>"Trips that did not appear in PTC Data "&amp;TEXT(Variables!$A$2,"YYYY-mm-dd")</f>
        <v>Trips that did not appear in PTC Data 2017-02-25</v>
      </c>
      <c r="C1" s="175"/>
      <c r="D1" s="175"/>
      <c r="E1" s="175"/>
      <c r="F1" s="175"/>
    </row>
    <row r="2" spans="1:10" s="23" customFormat="1" ht="45" x14ac:dyDescent="0.25">
      <c r="A2" s="168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67"/>
      <c r="B3" s="43" t="str">
        <f>A3&amp;"-"&amp;IF(DAY(Variables!$A$2)&lt;10,0,"")&amp;DAY(Variables!$A$2)</f>
        <v>-25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Runs'!$A$13:$A$99938,1,FALSE)</f>
        <v>#N/A</v>
      </c>
    </row>
    <row r="4" spans="1:10" x14ac:dyDescent="0.25">
      <c r="A4" s="167"/>
      <c r="B4" s="43" t="str">
        <f>A4&amp;"-"&amp;IF(DAY(Variables!$A$2)&lt;10,0,"")&amp;DAY(Variables!$A$2)</f>
        <v>-25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Runs'!$A$13:$A$99938,1,FALSE)</f>
        <v>#N/A</v>
      </c>
    </row>
    <row r="5" spans="1:10" x14ac:dyDescent="0.25">
      <c r="A5" s="167"/>
      <c r="B5" s="43" t="str">
        <f>A5&amp;"-"&amp;IF(DAY(Variables!$A$2)&lt;10,0,"")&amp;DAY(Variables!$A$2)</f>
        <v>-25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Runs'!$A$13:$A$99938,1,FALSE)</f>
        <v>#N/A</v>
      </c>
    </row>
    <row r="6" spans="1:10" x14ac:dyDescent="0.25">
      <c r="A6" s="167"/>
      <c r="B6" s="43" t="str">
        <f>A6&amp;"-"&amp;IF(DAY(Variables!$A$2)&lt;10,0,"")&amp;DAY(Variables!$A$2)</f>
        <v>-25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Runs'!$A$13:$A$99938,1,FALSE)</f>
        <v>#N/A</v>
      </c>
    </row>
    <row r="7" spans="1:10" x14ac:dyDescent="0.25">
      <c r="A7" s="167"/>
      <c r="B7" s="43" t="str">
        <f>A7&amp;"-"&amp;IF(DAY(Variables!$A$2)&lt;10,0,"")&amp;DAY(Variables!$A$2)</f>
        <v>-25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Runs'!$A$13:$A$99938,1,FALSE)</f>
        <v>#N/A</v>
      </c>
    </row>
    <row r="8" spans="1:10" x14ac:dyDescent="0.25">
      <c r="A8" s="167"/>
      <c r="B8" s="43" t="str">
        <f>A8&amp;"-"&amp;IF(DAY(Variables!$A$2)&lt;10,0,"")&amp;DAY(Variables!$A$2)</f>
        <v>-25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Runs'!$A$13:$A$99938,1,FALSE)</f>
        <v>#N/A</v>
      </c>
    </row>
    <row r="9" spans="1:10" x14ac:dyDescent="0.25">
      <c r="A9" s="167"/>
      <c r="B9" s="43" t="str">
        <f>A9&amp;"-"&amp;IF(DAY(Variables!$A$2)&lt;10,0,"")&amp;DAY(Variables!$A$2)</f>
        <v>-25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Runs'!$A$13:$A$99938,1,FALSE)</f>
        <v>#N/A</v>
      </c>
    </row>
    <row r="10" spans="1:10" x14ac:dyDescent="0.25">
      <c r="A10" s="167"/>
      <c r="B10" s="43" t="str">
        <f>A10&amp;"-"&amp;IF(DAY(Variables!$A$2)&lt;10,0,"")&amp;DAY(Variables!$A$2)</f>
        <v>-25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Runs'!$A$13:$A$99938,1,FALSE)</f>
        <v>#N/A</v>
      </c>
    </row>
    <row r="11" spans="1:10" x14ac:dyDescent="0.25">
      <c r="A11" s="167"/>
      <c r="B11" s="43" t="str">
        <f>A11&amp;"-"&amp;IF(DAY(Variables!$A$2)&lt;10,0,"")&amp;DAY(Variables!$A$2)</f>
        <v>-25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Runs'!$A$13:$A$99938,1,FALSE)</f>
        <v>#N/A</v>
      </c>
    </row>
    <row r="12" spans="1:10" x14ac:dyDescent="0.25">
      <c r="A12" s="167"/>
      <c r="B12" s="43" t="str">
        <f>A12&amp;"-"&amp;IF(DAY(Variables!$A$2)&lt;10,0,"")&amp;DAY(Variables!$A$2)</f>
        <v>-25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Runs'!$A$13:$A$99938,1,FALSE)</f>
        <v>#N/A</v>
      </c>
    </row>
    <row r="13" spans="1:10" x14ac:dyDescent="0.25">
      <c r="A13" s="167"/>
      <c r="B13" s="43" t="str">
        <f>A13&amp;"-"&amp;IF(DAY(Variables!$A$2)&lt;10,0,"")&amp;DAY(Variables!$A$2)</f>
        <v>-25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Runs'!$A$13:$A$99938,1,FALSE)</f>
        <v>#N/A</v>
      </c>
    </row>
    <row r="14" spans="1:10" x14ac:dyDescent="0.25">
      <c r="A14" s="167"/>
      <c r="B14" s="43" t="str">
        <f>A14&amp;"-"&amp;IF(DAY(Variables!$A$2)&lt;10,0,"")&amp;DAY(Variables!$A$2)</f>
        <v>-25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Runs'!$A$13:$A$99938,1,FALSE)</f>
        <v>#N/A</v>
      </c>
    </row>
    <row r="15" spans="1:10" x14ac:dyDescent="0.25">
      <c r="A15" s="167"/>
      <c r="B15" s="43" t="str">
        <f>A15&amp;"-"&amp;IF(DAY(Variables!$A$2)&lt;10,0,"")&amp;DAY(Variables!$A$2)</f>
        <v>-25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Runs'!$A$13:$A$99938,1,FALSE)</f>
        <v>#N/A</v>
      </c>
    </row>
    <row r="16" spans="1:10" x14ac:dyDescent="0.25">
      <c r="A16" s="167"/>
      <c r="B16" s="43" t="str">
        <f>A16&amp;"-"&amp;IF(DAY(Variables!$A$2)&lt;10,0,"")&amp;DAY(Variables!$A$2)</f>
        <v>-25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Runs'!$A$13:$A$99938,1,FALSE)</f>
        <v>#N/A</v>
      </c>
    </row>
    <row r="17" spans="1:10" x14ac:dyDescent="0.25">
      <c r="A17" s="167"/>
      <c r="B17" s="43" t="str">
        <f>A17&amp;"-"&amp;IF(DAY(Variables!$A$2)&lt;10,0,"")&amp;DAY(Variables!$A$2)</f>
        <v>-25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Runs'!$A$13:$A$99938,1,FALSE)</f>
        <v>#N/A</v>
      </c>
    </row>
    <row r="18" spans="1:10" x14ac:dyDescent="0.25">
      <c r="A18" s="167"/>
      <c r="B18" s="43" t="str">
        <f>A18&amp;"-"&amp;IF(DAY(Variables!$A$2)&lt;10,0,"")&amp;DAY(Variables!$A$2)</f>
        <v>-25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Runs'!$A$13:$A$99938,1,FALSE)</f>
        <v>#N/A</v>
      </c>
    </row>
    <row r="19" spans="1:10" x14ac:dyDescent="0.25">
      <c r="A19" s="167"/>
      <c r="B19" s="43" t="str">
        <f>A19&amp;"-"&amp;IF(DAY(Variables!$A$2)&lt;10,0,"")&amp;DAY(Variables!$A$2)</f>
        <v>-25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Runs'!$A$13:$A$99938,1,FALSE)</f>
        <v>#N/A</v>
      </c>
    </row>
    <row r="20" spans="1:10" x14ac:dyDescent="0.25">
      <c r="A20" s="167"/>
      <c r="B20" s="43" t="str">
        <f>A20&amp;"-"&amp;IF(DAY(Variables!$A$2)&lt;10,0,"")&amp;DAY(Variables!$A$2)</f>
        <v>-25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Runs'!$A$13:$A$99938,1,FALSE)</f>
        <v>#N/A</v>
      </c>
    </row>
    <row r="21" spans="1:10" x14ac:dyDescent="0.25">
      <c r="A21" s="167"/>
      <c r="B21" s="43" t="str">
        <f>A21&amp;"-"&amp;IF(DAY(Variables!$A$2)&lt;10,0,"")&amp;DAY(Variables!$A$2)</f>
        <v>-25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Runs'!$A$13:$A$99938,1,FALSE)</f>
        <v>#N/A</v>
      </c>
    </row>
    <row r="22" spans="1:10" x14ac:dyDescent="0.25">
      <c r="A22" s="167"/>
      <c r="B22" s="43" t="str">
        <f>A22&amp;"-"&amp;IF(DAY(Variables!$A$2)&lt;10,0,"")&amp;DAY(Variables!$A$2)</f>
        <v>-25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Runs'!$A$13:$A$99938,1,FALSE)</f>
        <v>#N/A</v>
      </c>
    </row>
    <row r="23" spans="1:10" x14ac:dyDescent="0.25">
      <c r="A23" s="167"/>
      <c r="B23" s="43" t="str">
        <f>A23&amp;"-"&amp;IF(DAY(Variables!$A$2)&lt;10,0,"")&amp;DAY(Variables!$A$2)</f>
        <v>-25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Runs'!$A$13:$A$99938,1,FALSE)</f>
        <v>#N/A</v>
      </c>
    </row>
    <row r="24" spans="1:10" x14ac:dyDescent="0.25">
      <c r="A24" s="167"/>
      <c r="B24" s="43" t="str">
        <f>A24&amp;"-"&amp;IF(DAY(Variables!$A$2)&lt;10,0,"")&amp;DAY(Variables!$A$2)</f>
        <v>-25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Runs'!$A$13:$A$99938,1,FALSE)</f>
        <v>#N/A</v>
      </c>
    </row>
    <row r="25" spans="1:10" x14ac:dyDescent="0.25">
      <c r="A25" s="167"/>
      <c r="B25" s="43" t="str">
        <f>A25&amp;"-"&amp;IF(DAY(Variables!$A$2)&lt;10,0,"")&amp;DAY(Variables!$A$2)</f>
        <v>-25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Runs'!$A$13:$A$99938,1,FALSE)</f>
        <v>#N/A</v>
      </c>
    </row>
    <row r="26" spans="1:10" x14ac:dyDescent="0.25">
      <c r="A26" s="167"/>
      <c r="B26" s="43" t="str">
        <f>A26&amp;"-"&amp;IF(DAY(Variables!$A$2)&lt;10,0,"")&amp;DAY(Variables!$A$2)</f>
        <v>-25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Runs'!$A$13:$A$99938,1,FALSE)</f>
        <v>#N/A</v>
      </c>
    </row>
    <row r="27" spans="1:10" x14ac:dyDescent="0.25">
      <c r="A27" s="167"/>
      <c r="B27" s="43" t="str">
        <f>A27&amp;"-"&amp;IF(DAY(Variables!$A$2)&lt;10,0,"")&amp;DAY(Variables!$A$2)</f>
        <v>-25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Runs'!$A$13:$A$99938,1,FALSE)</f>
        <v>#N/A</v>
      </c>
    </row>
    <row r="28" spans="1:10" x14ac:dyDescent="0.25">
      <c r="A28" s="167"/>
      <c r="B28" s="43" t="str">
        <f>A28&amp;"-"&amp;IF(DAY(Variables!$A$2)&lt;10,0,"")&amp;DAY(Variables!$A$2)</f>
        <v>-25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Runs'!$A$13:$A$99938,1,FALSE)</f>
        <v>#N/A</v>
      </c>
    </row>
    <row r="29" spans="1:10" x14ac:dyDescent="0.25">
      <c r="A29" s="167"/>
      <c r="B29" s="43" t="str">
        <f>A29&amp;"-"&amp;IF(DAY(Variables!$A$2)&lt;10,0,"")&amp;DAY(Variables!$A$2)</f>
        <v>-25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0" t="e">
        <f>VLOOKUP(B29,'Train Runs'!$A$13:$A$99938,1,FALSE)</f>
        <v>#N/A</v>
      </c>
    </row>
    <row r="30" spans="1:10" x14ac:dyDescent="0.25">
      <c r="A30" s="167"/>
      <c r="B30" s="43" t="str">
        <f>A30&amp;"-"&amp;IF(DAY(Variables!$A$2)&lt;10,0,"")&amp;DAY(Variables!$A$2)</f>
        <v>-25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0" t="e">
        <f>VLOOKUP(B30,'Train Runs'!$A$13:$A$99938,1,FALSE)</f>
        <v>#N/A</v>
      </c>
    </row>
    <row r="31" spans="1:10" x14ac:dyDescent="0.25">
      <c r="A31" s="167"/>
      <c r="B31" s="43" t="str">
        <f>A31&amp;"-"&amp;IF(DAY(Variables!$A$2)&lt;10,0,"")&amp;DAY(Variables!$A$2)</f>
        <v>-25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0" t="e">
        <f>VLOOKUP(B31,'Train Runs'!$A$13:$A$99938,1,FALSE)</f>
        <v>#N/A</v>
      </c>
    </row>
    <row r="32" spans="1:10" x14ac:dyDescent="0.25">
      <c r="A32" s="167"/>
      <c r="B32" s="43" t="str">
        <f>A32&amp;"-"&amp;IF(DAY(Variables!$A$2)&lt;10,0,"")&amp;DAY(Variables!$A$2)</f>
        <v>-25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0" t="e">
        <f>VLOOKUP(B32,'Train Runs'!$A$13:$A$99938,1,FALSE)</f>
        <v>#N/A</v>
      </c>
    </row>
    <row r="33" spans="1:10" x14ac:dyDescent="0.25">
      <c r="A33" s="167"/>
      <c r="B33" s="43" t="str">
        <f>A33&amp;"-"&amp;IF(DAY(Variables!$A$2)&lt;10,0,"")&amp;DAY(Variables!$A$2)</f>
        <v>-25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0" t="e">
        <f>VLOOKUP(B33,'Train Runs'!$A$13:$A$99938,1,FALSE)</f>
        <v>#N/A</v>
      </c>
    </row>
    <row r="34" spans="1:10" x14ac:dyDescent="0.25">
      <c r="A34" s="167"/>
      <c r="B34" s="43" t="str">
        <f>A34&amp;"-"&amp;IF(DAY(Variables!$A$2)&lt;10,0,"")&amp;DAY(Variables!$A$2)</f>
        <v>-25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0" t="e">
        <f>VLOOKUP(B34,'Train Runs'!$A$13:$A$99938,1,FALSE)</f>
        <v>#N/A</v>
      </c>
    </row>
    <row r="35" spans="1:10" x14ac:dyDescent="0.25">
      <c r="A35" s="167"/>
      <c r="B35" s="43" t="str">
        <f>A35&amp;"-"&amp;IF(DAY(Variables!$A$2)&lt;10,0,"")&amp;DAY(Variables!$A$2)</f>
        <v>-25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0" t="e">
        <f>VLOOKUP(B35,'Train Runs'!$A$13:$A$99938,1,FALSE)</f>
        <v>#N/A</v>
      </c>
    </row>
    <row r="36" spans="1:10" x14ac:dyDescent="0.25">
      <c r="A36" s="167"/>
      <c r="B36" s="43" t="str">
        <f>A36&amp;"-"&amp;IF(DAY(Variables!$A$2)&lt;10,0,"")&amp;DAY(Variables!$A$2)</f>
        <v>-25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0" t="e">
        <f>VLOOKUP(B36,'Train Runs'!$A$13:$A$99938,1,FALSE)</f>
        <v>#N/A</v>
      </c>
    </row>
    <row r="37" spans="1:10" x14ac:dyDescent="0.25">
      <c r="A37" s="167"/>
      <c r="B37" s="43" t="str">
        <f>A37&amp;"-"&amp;IF(DAY(Variables!$A$2)&lt;10,0,"")&amp;DAY(Variables!$A$2)</f>
        <v>-25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0" t="e">
        <f>VLOOKUP(B37,'Train Runs'!$A$13:$A$99938,1,FALSE)</f>
        <v>#N/A</v>
      </c>
    </row>
    <row r="38" spans="1:10" x14ac:dyDescent="0.25">
      <c r="A38" s="167"/>
      <c r="B38" s="43" t="str">
        <f>A38&amp;"-"&amp;IF(DAY(Variables!$A$2)&lt;10,0,"")&amp;DAY(Variables!$A$2)</f>
        <v>-25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0" t="e">
        <f>VLOOKUP(B38,'Train Runs'!$A$13:$A$99938,1,FALSE)</f>
        <v>#N/A</v>
      </c>
    </row>
    <row r="39" spans="1:10" x14ac:dyDescent="0.25">
      <c r="A39" s="167"/>
      <c r="B39" s="43" t="str">
        <f>A39&amp;"-"&amp;IF(DAY(Variables!$A$2)&lt;10,0,"")&amp;DAY(Variables!$A$2)</f>
        <v>-25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0" t="e">
        <f>VLOOKUP(B39,'Train Runs'!$A$13:$A$99938,1,FALSE)</f>
        <v>#N/A</v>
      </c>
    </row>
    <row r="40" spans="1:10" x14ac:dyDescent="0.25">
      <c r="A40" s="167"/>
      <c r="B40" s="43" t="str">
        <f>A40&amp;"-"&amp;IF(DAY(Variables!$A$2)&lt;10,0,"")&amp;DAY(Variables!$A$2)</f>
        <v>-25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0" t="e">
        <f>VLOOKUP(B40,'Train Runs'!$A$13:$A$99938,1,FALSE)</f>
        <v>#N/A</v>
      </c>
    </row>
    <row r="41" spans="1:10" x14ac:dyDescent="0.25">
      <c r="A41" s="167"/>
      <c r="B41" s="43" t="str">
        <f>A41&amp;"-"&amp;IF(DAY(Variables!$A$2)&lt;10,0,"")&amp;DAY(Variables!$A$2)</f>
        <v>-25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0" t="e">
        <f>VLOOKUP(B41,'Train Runs'!$A$13:$A$99938,1,FALSE)</f>
        <v>#N/A</v>
      </c>
    </row>
    <row r="42" spans="1:10" x14ac:dyDescent="0.25">
      <c r="A42" s="167"/>
      <c r="B42" s="43" t="str">
        <f>A42&amp;"-"&amp;IF(DAY(Variables!$A$2)&lt;10,0,"")&amp;DAY(Variables!$A$2)</f>
        <v>-25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0" t="e">
        <f>VLOOKUP(B42,'Train Runs'!$A$13:$A$99938,1,FALSE)</f>
        <v>#N/A</v>
      </c>
    </row>
    <row r="43" spans="1:10" x14ac:dyDescent="0.25">
      <c r="A43" s="167"/>
      <c r="B43" s="43" t="str">
        <f>A43&amp;"-"&amp;IF(DAY(Variables!$A$2)&lt;10,0,"")&amp;DAY(Variables!$A$2)</f>
        <v>-25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0" t="e">
        <f>VLOOKUP(B43,'Train Runs'!$A$13:$A$99938,1,FALSE)</f>
        <v>#N/A</v>
      </c>
    </row>
    <row r="44" spans="1:10" x14ac:dyDescent="0.25">
      <c r="A44" s="167"/>
      <c r="B44" s="43" t="str">
        <f>A44&amp;"-"&amp;IF(DAY(Variables!$A$2)&lt;10,0,"")&amp;DAY(Variables!$A$2)</f>
        <v>-25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0" t="e">
        <f>VLOOKUP(B44,'Train Runs'!$A$13:$A$99938,1,FALSE)</f>
        <v>#N/A</v>
      </c>
    </row>
    <row r="45" spans="1:10" x14ac:dyDescent="0.25">
      <c r="A45" s="167"/>
      <c r="B45" s="43" t="str">
        <f>A45&amp;"-"&amp;IF(DAY(Variables!$A$2)&lt;10,0,"")&amp;DAY(Variables!$A$2)</f>
        <v>-25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0" t="e">
        <f>VLOOKUP(B45,'Train Runs'!$A$13:$A$99938,1,FALSE)</f>
        <v>#N/A</v>
      </c>
    </row>
    <row r="46" spans="1:10" x14ac:dyDescent="0.25">
      <c r="A46" s="167"/>
      <c r="B46" s="43" t="str">
        <f>A46&amp;"-"&amp;IF(DAY(Variables!$A$2)&lt;10,0,"")&amp;DAY(Variables!$A$2)</f>
        <v>-25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0" t="e">
        <f>VLOOKUP(B46,'Train Runs'!$A$13:$A$99938,1,FALSE)</f>
        <v>#N/A</v>
      </c>
    </row>
    <row r="47" spans="1:10" x14ac:dyDescent="0.25">
      <c r="A47" s="167"/>
      <c r="B47" s="43" t="str">
        <f>A47&amp;"-"&amp;IF(DAY(Variables!$A$2)&lt;10,0,"")&amp;DAY(Variables!$A$2)</f>
        <v>-25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0" t="e">
        <f>VLOOKUP(B47,'Train Runs'!$A$13:$A$99938,1,FALSE)</f>
        <v>#N/A</v>
      </c>
    </row>
    <row r="48" spans="1:10" x14ac:dyDescent="0.25">
      <c r="A48" s="167"/>
      <c r="B48" s="43" t="str">
        <f>A48&amp;"-"&amp;IF(DAY(Variables!$A$2)&lt;10,0,"")&amp;DAY(Variables!$A$2)</f>
        <v>-25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8" s="30" t="e">
        <f>VLOOKUP(B48,'Train Runs'!$A$13:$A$99938,1,FALSE)</f>
        <v>#N/A</v>
      </c>
    </row>
    <row r="49" spans="1:10" x14ac:dyDescent="0.25">
      <c r="A49" s="167"/>
      <c r="B49" s="43" t="str">
        <f>A49&amp;"-"&amp;IF(DAY(Variables!$A$2)&lt;10,0,"")&amp;DAY(Variables!$A$2)</f>
        <v>-25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9" s="30" t="e">
        <f>VLOOKUP(B49,'Train Runs'!$A$13:$A$99938,1,FALSE)</f>
        <v>#N/A</v>
      </c>
    </row>
    <row r="50" spans="1:10" x14ac:dyDescent="0.25">
      <c r="A50" s="167"/>
      <c r="B50" s="43" t="str">
        <f>A50&amp;"-"&amp;IF(DAY(Variables!$A$2)&lt;10,0,"")&amp;DAY(Variables!$A$2)</f>
        <v>-25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0" s="30" t="e">
        <f>VLOOKUP(B50,'Train Runs'!$A$13:$A$99938,1,FALSE)</f>
        <v>#N/A</v>
      </c>
    </row>
    <row r="51" spans="1:10" x14ac:dyDescent="0.25">
      <c r="A51" s="167"/>
      <c r="B51" s="43" t="str">
        <f>A51&amp;"-"&amp;IF(DAY(Variables!$A$2)&lt;10,0,"")&amp;DAY(Variables!$A$2)</f>
        <v>-25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1" s="30" t="e">
        <f>VLOOKUP(B51,'Train Runs'!$A$13:$A$99938,1,FALSE)</f>
        <v>#N/A</v>
      </c>
    </row>
    <row r="52" spans="1:10" x14ac:dyDescent="0.25">
      <c r="A52" s="167"/>
      <c r="B52" s="43" t="str">
        <f>A52&amp;"-"&amp;IF(DAY(Variables!$A$2)&lt;10,0,"")&amp;DAY(Variables!$A$2)</f>
        <v>-25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2" s="30" t="e">
        <f>VLOOKUP(B52,'Train Runs'!$A$13:$A$99938,1,FALSE)</f>
        <v>#N/A</v>
      </c>
    </row>
    <row r="53" spans="1:10" x14ac:dyDescent="0.25">
      <c r="A53" s="167"/>
      <c r="B53" s="43" t="str">
        <f>A53&amp;"-"&amp;IF(DAY(Variables!$A$2)&lt;10,0,"")&amp;DAY(Variables!$A$2)</f>
        <v>-25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3" s="30" t="e">
        <f>VLOOKUP(B53,'Train Runs'!$A$13:$A$99938,1,FALSE)</f>
        <v>#N/A</v>
      </c>
    </row>
    <row r="54" spans="1:10" x14ac:dyDescent="0.25">
      <c r="A54" s="167"/>
      <c r="B54" s="43" t="str">
        <f>A54&amp;"-"&amp;IF(DAY(Variables!$A$2)&lt;10,0,"")&amp;DAY(Variables!$A$2)</f>
        <v>-25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4" s="30" t="e">
        <f>VLOOKUP(B54,'Train Runs'!$A$13:$A$99938,1,FALSE)</f>
        <v>#N/A</v>
      </c>
    </row>
    <row r="55" spans="1:10" x14ac:dyDescent="0.25">
      <c r="A55" s="167"/>
      <c r="B55" s="43" t="str">
        <f>A55&amp;"-"&amp;IF(DAY(Variables!$A$2)&lt;10,0,"")&amp;DAY(Variables!$A$2)</f>
        <v>-25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5" s="30" t="e">
        <f>VLOOKUP(B55,'Train Runs'!$A$13:$A$99938,1,FALSE)</f>
        <v>#N/A</v>
      </c>
    </row>
    <row r="56" spans="1:10" x14ac:dyDescent="0.25">
      <c r="A56" s="167"/>
      <c r="B56" s="43" t="str">
        <f>A56&amp;"-"&amp;IF(DAY(Variables!$A$2)&lt;10,0,"")&amp;DAY(Variables!$A$2)</f>
        <v>-25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6" s="30" t="e">
        <f>VLOOKUP(B56,'Train Runs'!$A$13:$A$99938,1,FALSE)</f>
        <v>#N/A</v>
      </c>
    </row>
    <row r="57" spans="1:10" x14ac:dyDescent="0.25">
      <c r="A57" s="167"/>
      <c r="B57" s="43" t="str">
        <f>A57&amp;"-"&amp;IF(DAY(Variables!$A$2)&lt;10,0,"")&amp;DAY(Variables!$A$2)</f>
        <v>-25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7" s="30" t="e">
        <f>VLOOKUP(B57,'Train Runs'!$A$13:$A$99938,1,FALSE)</f>
        <v>#N/A</v>
      </c>
    </row>
    <row r="58" spans="1:10" x14ac:dyDescent="0.25">
      <c r="A58" s="167"/>
      <c r="B58" s="43" t="str">
        <f>A58&amp;"-"&amp;IF(DAY(Variables!$A$2)&lt;10,0,"")&amp;DAY(Variables!$A$2)</f>
        <v>-25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8" s="30" t="e">
        <f>VLOOKUP(B58,'Train Runs'!$A$13:$A$99938,1,FALSE)</f>
        <v>#N/A</v>
      </c>
    </row>
    <row r="59" spans="1:10" x14ac:dyDescent="0.25">
      <c r="A59" s="167"/>
      <c r="B59" s="43" t="str">
        <f>A59&amp;"-"&amp;IF(DAY(Variables!$A$2)&lt;10,0,"")&amp;DAY(Variables!$A$2)</f>
        <v>-25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9" s="30" t="e">
        <f>VLOOKUP(B59,'Train Runs'!$A$13:$A$99938,1,FALSE)</f>
        <v>#N/A</v>
      </c>
    </row>
    <row r="60" spans="1:10" x14ac:dyDescent="0.25">
      <c r="A60" s="167"/>
      <c r="B60" s="43" t="str">
        <f>A60&amp;"-"&amp;IF(DAY(Variables!$A$2)&lt;10,0,"")&amp;DAY(Variables!$A$2)</f>
        <v>-25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0" s="30" t="e">
        <f>VLOOKUP(B60,'Train Runs'!$A$13:$A$99938,1,FALSE)</f>
        <v>#N/A</v>
      </c>
    </row>
    <row r="61" spans="1:10" x14ac:dyDescent="0.25">
      <c r="A61" s="167"/>
      <c r="B61" s="43" t="str">
        <f>A61&amp;"-"&amp;IF(DAY(Variables!$A$2)&lt;10,0,"")&amp;DAY(Variables!$A$2)</f>
        <v>-25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1" s="30" t="e">
        <f>VLOOKUP(B61,'Train Runs'!$A$13:$A$99938,1,FALSE)</f>
        <v>#N/A</v>
      </c>
    </row>
    <row r="62" spans="1:10" x14ac:dyDescent="0.25">
      <c r="A62" s="167"/>
      <c r="B62" s="43" t="str">
        <f>A62&amp;"-"&amp;IF(DAY(Variables!$A$2)&lt;10,0,"")&amp;DAY(Variables!$A$2)</f>
        <v>-25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2" s="30" t="e">
        <f>VLOOKUP(B62,'Train Runs'!$A$13:$A$99938,1,FALSE)</f>
        <v>#N/A</v>
      </c>
    </row>
    <row r="63" spans="1:10" x14ac:dyDescent="0.25">
      <c r="A63" s="167"/>
      <c r="B63" s="43" t="str">
        <f>A63&amp;"-"&amp;IF(DAY(Variables!$A$2)&lt;10,0,"")&amp;DAY(Variables!$A$2)</f>
        <v>-25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3" s="30" t="e">
        <f>VLOOKUP(B63,'Train Runs'!$A$13:$A$99938,1,FALSE)</f>
        <v>#N/A</v>
      </c>
    </row>
    <row r="64" spans="1:10" x14ac:dyDescent="0.25">
      <c r="A64" s="167"/>
      <c r="B64" s="43" t="str">
        <f>A64&amp;"-"&amp;IF(DAY(Variables!$A$2)&lt;10,0,"")&amp;DAY(Variables!$A$2)</f>
        <v>-25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4" s="30" t="e">
        <f>VLOOKUP(B64,'Train Runs'!$A$13:$A$99938,1,FALSE)</f>
        <v>#N/A</v>
      </c>
    </row>
    <row r="65" spans="1:10" x14ac:dyDescent="0.25">
      <c r="A65" s="167"/>
      <c r="B65" s="43" t="str">
        <f>A65&amp;"-"&amp;IF(DAY(Variables!$A$2)&lt;10,0,"")&amp;DAY(Variables!$A$2)</f>
        <v>-25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5" s="30" t="e">
        <f>VLOOKUP(B65,'Train Runs'!$A$13:$A$99938,1,FALSE)</f>
        <v>#N/A</v>
      </c>
    </row>
    <row r="66" spans="1:10" x14ac:dyDescent="0.25">
      <c r="A66" s="167"/>
      <c r="B66" s="43" t="str">
        <f>A66&amp;"-"&amp;IF(DAY(Variables!$A$2)&lt;10,0,"")&amp;DAY(Variables!$A$2)</f>
        <v>-25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6" s="30" t="e">
        <f>VLOOKUP(B66,'Train Runs'!$A$13:$A$99938,1,FALSE)</f>
        <v>#N/A</v>
      </c>
    </row>
    <row r="67" spans="1:10" x14ac:dyDescent="0.25">
      <c r="A67" s="167"/>
      <c r="B67" s="43" t="str">
        <f>A67&amp;"-"&amp;IF(DAY(Variables!$A$2)&lt;10,0,"")&amp;DAY(Variables!$A$2)</f>
        <v>-25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7" s="30" t="e">
        <f>VLOOKUP(B67,'Train Runs'!$A$13:$A$99938,1,FALSE)</f>
        <v>#N/A</v>
      </c>
    </row>
    <row r="68" spans="1:10" x14ac:dyDescent="0.25">
      <c r="A68" s="167"/>
      <c r="B68" s="43" t="str">
        <f>A68&amp;"-"&amp;IF(DAY(Variables!$A$2)&lt;10,0,"")&amp;DAY(Variables!$A$2)</f>
        <v>-25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8" s="30" t="e">
        <f>VLOOKUP(B68,'Train Runs'!$A$13:$A$99938,1,FALSE)</f>
        <v>#N/A</v>
      </c>
    </row>
    <row r="69" spans="1:10" x14ac:dyDescent="0.25">
      <c r="A69" s="167"/>
      <c r="B69" s="43" t="str">
        <f>A69&amp;"-"&amp;IF(DAY(Variables!$A$2)&lt;10,0,"")&amp;DAY(Variables!$A$2)</f>
        <v>-25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9" s="30" t="e">
        <f>VLOOKUP(B69,'Train Runs'!$A$13:$A$99938,1,FALSE)</f>
        <v>#N/A</v>
      </c>
    </row>
    <row r="70" spans="1:10" x14ac:dyDescent="0.25">
      <c r="A70" s="167"/>
      <c r="B70" s="43" t="str">
        <f>A70&amp;"-"&amp;IF(DAY(Variables!$A$2)&lt;10,0,"")&amp;DAY(Variables!$A$2)</f>
        <v>-25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0" s="30" t="e">
        <f>VLOOKUP(B70,'Train Runs'!$A$13:$A$99938,1,FALSE)</f>
        <v>#N/A</v>
      </c>
    </row>
    <row r="71" spans="1:10" x14ac:dyDescent="0.25">
      <c r="A71" s="167"/>
      <c r="B71" s="43" t="str">
        <f>A71&amp;"-"&amp;IF(DAY(Variables!$A$2)&lt;10,0,"")&amp;DAY(Variables!$A$2)</f>
        <v>-25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1" s="30" t="e">
        <f>VLOOKUP(B71,'Train Runs'!$A$13:$A$99938,1,FALSE)</f>
        <v>#N/A</v>
      </c>
    </row>
    <row r="72" spans="1:10" x14ac:dyDescent="0.25">
      <c r="A72" s="167"/>
      <c r="B72" s="43" t="str">
        <f>A72&amp;"-"&amp;IF(DAY(Variables!$A$2)&lt;10,0,"")&amp;DAY(Variables!$A$2)</f>
        <v>-25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2" s="30" t="e">
        <f>VLOOKUP(B72,'Train Runs'!$A$13:$A$99938,1,FALSE)</f>
        <v>#N/A</v>
      </c>
    </row>
    <row r="73" spans="1:10" x14ac:dyDescent="0.25">
      <c r="A73" s="167"/>
      <c r="B73" s="43" t="str">
        <f>A73&amp;"-"&amp;IF(DAY(Variables!$A$2)&lt;10,0,"")&amp;DAY(Variables!$A$2)</f>
        <v>-25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3" s="30" t="e">
        <f>VLOOKUP(B73,'Train Runs'!$A$13:$A$99938,1,FALSE)</f>
        <v>#N/A</v>
      </c>
    </row>
    <row r="74" spans="1:10" x14ac:dyDescent="0.25">
      <c r="A74" s="167"/>
      <c r="B74" s="43" t="str">
        <f>A74&amp;"-"&amp;IF(DAY(Variables!$A$2)&lt;10,0,"")&amp;DAY(Variables!$A$2)</f>
        <v>-25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4" s="30" t="e">
        <f>VLOOKUP(B74,'Train Runs'!$A$13:$A$99938,1,FALSE)</f>
        <v>#N/A</v>
      </c>
    </row>
    <row r="75" spans="1:10" x14ac:dyDescent="0.25">
      <c r="A75" s="167"/>
      <c r="B75" s="43" t="str">
        <f>A75&amp;"-"&amp;IF(DAY(Variables!$A$2)&lt;10,0,"")&amp;DAY(Variables!$A$2)</f>
        <v>-25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5" s="30" t="e">
        <f>VLOOKUP(B75,'Train Runs'!$A$13:$A$99938,1,FALSE)</f>
        <v>#N/A</v>
      </c>
    </row>
    <row r="76" spans="1:10" x14ac:dyDescent="0.25">
      <c r="A76" s="167"/>
      <c r="B76" s="43" t="str">
        <f>A76&amp;"-"&amp;IF(DAY(Variables!$A$2)&lt;10,0,"")&amp;DAY(Variables!$A$2)</f>
        <v>-25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6" s="30" t="e">
        <f>VLOOKUP(B76,'Train Runs'!$A$13:$A$99938,1,FALSE)</f>
        <v>#N/A</v>
      </c>
    </row>
    <row r="77" spans="1:10" x14ac:dyDescent="0.25">
      <c r="A77" s="167"/>
      <c r="B77" s="43" t="str">
        <f>A77&amp;"-"&amp;IF(DAY(Variables!$A$2)&lt;10,0,"")&amp;DAY(Variables!$A$2)</f>
        <v>-25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7" s="30" t="e">
        <f>VLOOKUP(B77,'Train Runs'!$A$13:$A$99938,1,FALSE)</f>
        <v>#N/A</v>
      </c>
    </row>
    <row r="78" spans="1:10" x14ac:dyDescent="0.25">
      <c r="A78" s="167"/>
      <c r="B78" s="43" t="str">
        <f>A78&amp;"-"&amp;IF(DAY(Variables!$A$2)&lt;10,0,"")&amp;DAY(Variables!$A$2)</f>
        <v>-25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8" s="30" t="e">
        <f>VLOOKUP(B78,'Train Runs'!$A$13:$A$99938,1,FALSE)</f>
        <v>#N/A</v>
      </c>
    </row>
    <row r="79" spans="1:10" x14ac:dyDescent="0.25">
      <c r="A79" s="167"/>
      <c r="B79" s="43" t="str">
        <f>A79&amp;"-"&amp;IF(DAY(Variables!$A$2)&lt;10,0,"")&amp;DAY(Variables!$A$2)</f>
        <v>-25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9" s="30" t="e">
        <f>VLOOKUP(B79,'Train Runs'!$A$13:$A$99938,1,FALSE)</f>
        <v>#N/A</v>
      </c>
    </row>
    <row r="80" spans="1:10" x14ac:dyDescent="0.25">
      <c r="A80" s="167"/>
      <c r="B80" s="43" t="str">
        <f>A80&amp;"-"&amp;IF(DAY(Variables!$A$2)&lt;10,0,"")&amp;DAY(Variables!$A$2)</f>
        <v>-25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0" s="30" t="e">
        <f>VLOOKUP(B80,'Train Runs'!$A$13:$A$99938,1,FALSE)</f>
        <v>#N/A</v>
      </c>
    </row>
    <row r="81" spans="1:10" x14ac:dyDescent="0.25">
      <c r="A81" s="167"/>
      <c r="B81" s="43" t="str">
        <f>A81&amp;"-"&amp;IF(DAY(Variables!$A$2)&lt;10,0,"")&amp;DAY(Variables!$A$2)</f>
        <v>-25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1" s="30" t="e">
        <f>VLOOKUP(B81,'Train Runs'!$A$13:$A$99938,1,FALSE)</f>
        <v>#N/A</v>
      </c>
    </row>
    <row r="82" spans="1:10" x14ac:dyDescent="0.25">
      <c r="A82" s="167"/>
      <c r="B82" s="43" t="str">
        <f>A82&amp;"-"&amp;IF(DAY(Variables!$A$2)&lt;10,0,"")&amp;DAY(Variables!$A$2)</f>
        <v>-25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2" s="30" t="e">
        <f>VLOOKUP(B82,'Train Runs'!$A$13:$A$99938,1,FALSE)</f>
        <v>#N/A</v>
      </c>
    </row>
    <row r="83" spans="1:10" x14ac:dyDescent="0.25">
      <c r="A83" s="167"/>
      <c r="B83" s="43" t="str">
        <f>A83&amp;"-"&amp;IF(DAY(Variables!$A$2)&lt;10,0,"")&amp;DAY(Variables!$A$2)</f>
        <v>-25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3" s="30" t="e">
        <f>VLOOKUP(B83,'Train Runs'!$A$13:$A$99938,1,FALSE)</f>
        <v>#N/A</v>
      </c>
    </row>
    <row r="84" spans="1:10" x14ac:dyDescent="0.25">
      <c r="A84" s="167"/>
      <c r="B84" s="43" t="str">
        <f>A84&amp;"-"&amp;IF(DAY(Variables!$A$2)&lt;10,0,"")&amp;DAY(Variables!$A$2)</f>
        <v>-25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4" s="30" t="e">
        <f>VLOOKUP(B84,'Train Runs'!$A$13:$A$99938,1,FALSE)</f>
        <v>#N/A</v>
      </c>
    </row>
    <row r="85" spans="1:10" x14ac:dyDescent="0.25">
      <c r="A85" s="167"/>
      <c r="B85" s="43" t="str">
        <f>A85&amp;"-"&amp;IF(DAY(Variables!$A$2)&lt;10,0,"")&amp;DAY(Variables!$A$2)</f>
        <v>-25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5" s="30" t="e">
        <f>VLOOKUP(B85,'Train Runs'!$A$13:$A$99938,1,FALSE)</f>
        <v>#N/A</v>
      </c>
    </row>
    <row r="86" spans="1:10" x14ac:dyDescent="0.25">
      <c r="A86" s="167"/>
      <c r="B86" s="43" t="str">
        <f>A86&amp;"-"&amp;IF(DAY(Variables!$A$2)&lt;10,0,"")&amp;DAY(Variables!$A$2)</f>
        <v>-25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6" s="30" t="e">
        <f>VLOOKUP(B86,'Train Runs'!$A$13:$A$99938,1,FALSE)</f>
        <v>#N/A</v>
      </c>
    </row>
    <row r="87" spans="1:10" x14ac:dyDescent="0.25">
      <c r="A87" s="167"/>
      <c r="B87" s="43" t="str">
        <f>A87&amp;"-"&amp;IF(DAY(Variables!$A$2)&lt;10,0,"")&amp;DAY(Variables!$A$2)</f>
        <v>-25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7" s="30" t="e">
        <f>VLOOKUP(B87,'Train Runs'!$A$13:$A$99938,1,FALSE)</f>
        <v>#N/A</v>
      </c>
    </row>
    <row r="88" spans="1:10" x14ac:dyDescent="0.25">
      <c r="A88" s="167"/>
      <c r="B88" s="43" t="str">
        <f>A88&amp;"-"&amp;IF(DAY(Variables!$A$2)&lt;10,0,"")&amp;DAY(Variables!$A$2)</f>
        <v>-25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8" s="30" t="e">
        <f>VLOOKUP(B88,'Train Runs'!$A$13:$A$99938,1,FALSE)</f>
        <v>#N/A</v>
      </c>
    </row>
    <row r="89" spans="1:10" x14ac:dyDescent="0.25">
      <c r="A89" s="167"/>
      <c r="B89" s="43" t="str">
        <f>A89&amp;"-"&amp;IF(DAY(Variables!$A$2)&lt;10,0,"")&amp;DAY(Variables!$A$2)</f>
        <v>-25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9" s="30" t="e">
        <f>VLOOKUP(B89,'Train Runs'!$A$13:$A$99938,1,FALSE)</f>
        <v>#N/A</v>
      </c>
    </row>
    <row r="90" spans="1:10" x14ac:dyDescent="0.25">
      <c r="A90" s="167"/>
      <c r="B90" s="43" t="str">
        <f>A90&amp;"-"&amp;IF(DAY(Variables!$A$2)&lt;10,0,"")&amp;DAY(Variables!$A$2)</f>
        <v>-25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0" s="30" t="e">
        <f>VLOOKUP(B90,'Train Runs'!$A$13:$A$99938,1,FALSE)</f>
        <v>#N/A</v>
      </c>
    </row>
    <row r="91" spans="1:10" x14ac:dyDescent="0.25">
      <c r="A91" s="167"/>
      <c r="B91" s="43" t="str">
        <f>A91&amp;"-"&amp;IF(DAY(Variables!$A$2)&lt;10,0,"")&amp;DAY(Variables!$A$2)</f>
        <v>-25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1" s="30" t="e">
        <f>VLOOKUP(B91,'Train Runs'!$A$13:$A$99938,1,FALSE)</f>
        <v>#N/A</v>
      </c>
    </row>
    <row r="92" spans="1:10" x14ac:dyDescent="0.25">
      <c r="A92" s="167"/>
      <c r="B92" s="43" t="str">
        <f>A92&amp;"-"&amp;IF(DAY(Variables!$A$2)&lt;10,0,"")&amp;DAY(Variables!$A$2)</f>
        <v>-25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2" s="30" t="e">
        <f>VLOOKUP(B92,'Train Runs'!$A$13:$A$99938,1,FALSE)</f>
        <v>#N/A</v>
      </c>
    </row>
    <row r="93" spans="1:10" x14ac:dyDescent="0.25">
      <c r="A93" s="167"/>
      <c r="B93" s="43" t="str">
        <f>A93&amp;"-"&amp;IF(DAY(Variables!$A$2)&lt;10,0,"")&amp;DAY(Variables!$A$2)</f>
        <v>-25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3" s="30" t="e">
        <f>VLOOKUP(B93,'Train Runs'!$A$13:$A$99938,1,FALSE)</f>
        <v>#N/A</v>
      </c>
    </row>
    <row r="94" spans="1:10" x14ac:dyDescent="0.25">
      <c r="A94" s="167"/>
      <c r="B94" s="43" t="str">
        <f>A94&amp;"-"&amp;IF(DAY(Variables!$A$2)&lt;10,0,"")&amp;DAY(Variables!$A$2)</f>
        <v>-25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4" s="30" t="e">
        <f>VLOOKUP(B94,'Train Runs'!$A$13:$A$99938,1,FALSE)</f>
        <v>#N/A</v>
      </c>
    </row>
    <row r="95" spans="1:10" x14ac:dyDescent="0.25">
      <c r="A95" s="167"/>
      <c r="B95" s="43" t="str">
        <f>A95&amp;"-"&amp;IF(DAY(Variables!$A$2)&lt;10,0,"")&amp;DAY(Variables!$A$2)</f>
        <v>-25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5" s="30" t="e">
        <f>VLOOKUP(B95,'Train Runs'!$A$13:$A$99938,1,FALSE)</f>
        <v>#N/A</v>
      </c>
    </row>
    <row r="96" spans="1:10" x14ac:dyDescent="0.25">
      <c r="A96" s="167"/>
      <c r="B96" s="43" t="str">
        <f>A96&amp;"-"&amp;IF(DAY(Variables!$A$2)&lt;10,0,"")&amp;DAY(Variables!$A$2)</f>
        <v>-25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6" s="30" t="e">
        <f>VLOOKUP(B96,'Train Runs'!$A$13:$A$99938,1,FALSE)</f>
        <v>#N/A</v>
      </c>
    </row>
    <row r="97" spans="1:10" x14ac:dyDescent="0.25">
      <c r="A97" s="167"/>
      <c r="B97" s="43" t="str">
        <f>A97&amp;"-"&amp;IF(DAY(Variables!$A$2)&lt;10,0,"")&amp;DAY(Variables!$A$2)</f>
        <v>-25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7" s="30" t="e">
        <f>VLOOKUP(B97,'Train Runs'!$A$13:$A$99938,1,FALSE)</f>
        <v>#N/A</v>
      </c>
    </row>
    <row r="98" spans="1:10" x14ac:dyDescent="0.25">
      <c r="A98" s="167"/>
      <c r="B98" s="43" t="str">
        <f>A98&amp;"-"&amp;IF(DAY(Variables!$A$2)&lt;10,0,"")&amp;DAY(Variables!$A$2)</f>
        <v>-25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8" s="30" t="e">
        <f>VLOOKUP(B98,'Train Runs'!$A$13:$A$99938,1,FALSE)</f>
        <v>#N/A</v>
      </c>
    </row>
    <row r="99" spans="1:10" x14ac:dyDescent="0.25">
      <c r="A99" s="167"/>
      <c r="B99" s="43" t="str">
        <f>A99&amp;"-"&amp;IF(DAY(Variables!$A$2)&lt;10,0,"")&amp;DAY(Variables!$A$2)</f>
        <v>-25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9" s="30" t="e">
        <f>VLOOKUP(B99,'Train Runs'!$A$13:$A$99938,1,FALSE)</f>
        <v>#N/A</v>
      </c>
    </row>
    <row r="100" spans="1:10" x14ac:dyDescent="0.25">
      <c r="A100" s="167"/>
      <c r="B100" s="43" t="str">
        <f>A100&amp;"-"&amp;IF(DAY(Variables!$A$2)&lt;10,0,"")&amp;DAY(Variables!$A$2)</f>
        <v>-25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0" s="30" t="e">
        <f>VLOOKUP(B100,'Train Runs'!$A$13:$A$99938,1,FALSE)</f>
        <v>#N/A</v>
      </c>
    </row>
    <row r="101" spans="1:10" x14ac:dyDescent="0.25">
      <c r="A101" s="167"/>
      <c r="B101" s="43" t="str">
        <f>A101&amp;"-"&amp;IF(DAY(Variables!$A$2)&lt;10,0,"")&amp;DAY(Variables!$A$2)</f>
        <v>-25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1" s="30" t="e">
        <f>VLOOKUP(B101,'Train Runs'!$A$13:$A$99938,1,FALSE)</f>
        <v>#N/A</v>
      </c>
    </row>
    <row r="102" spans="1:10" x14ac:dyDescent="0.25">
      <c r="A102" s="167"/>
      <c r="B102" s="43" t="str">
        <f>A102&amp;"-"&amp;IF(DAY(Variables!$A$2)&lt;10,0,"")&amp;DAY(Variables!$A$2)</f>
        <v>-25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2" s="30" t="e">
        <f>VLOOKUP(B102,'Train Runs'!$A$13:$A$99938,1,FALSE)</f>
        <v>#N/A</v>
      </c>
    </row>
    <row r="103" spans="1:10" x14ac:dyDescent="0.25">
      <c r="A103" s="167"/>
      <c r="B103" s="43" t="str">
        <f>A103&amp;"-"&amp;IF(DAY(Variables!$A$2)&lt;10,0,"")&amp;DAY(Variables!$A$2)</f>
        <v>-25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3" s="30" t="e">
        <f>VLOOKUP(B103,'Train Runs'!$A$13:$A$99938,1,FALSE)</f>
        <v>#N/A</v>
      </c>
    </row>
    <row r="104" spans="1:10" x14ac:dyDescent="0.25">
      <c r="A104" s="167"/>
      <c r="B104" s="43" t="str">
        <f>A104&amp;"-"&amp;IF(DAY(Variables!$A$2)&lt;10,0,"")&amp;DAY(Variables!$A$2)</f>
        <v>-25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4" s="30" t="e">
        <f>VLOOKUP(B104,'Train Runs'!$A$13:$A$99938,1,FALSE)</f>
        <v>#N/A</v>
      </c>
    </row>
    <row r="105" spans="1:10" x14ac:dyDescent="0.25">
      <c r="A105" s="167"/>
      <c r="B105" s="43" t="str">
        <f>A105&amp;"-"&amp;IF(DAY(Variables!$A$2)&lt;10,0,"")&amp;DAY(Variables!$A$2)</f>
        <v>-25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5" s="30" t="e">
        <f>VLOOKUP(B105,'Train Runs'!$A$13:$A$99938,1,FALSE)</f>
        <v>#N/A</v>
      </c>
    </row>
    <row r="106" spans="1:10" x14ac:dyDescent="0.25">
      <c r="A106" s="167"/>
      <c r="B106" s="43" t="str">
        <f>A106&amp;"-"&amp;IF(DAY(Variables!$A$2)&lt;10,0,"")&amp;DAY(Variables!$A$2)</f>
        <v>-25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6" s="30" t="e">
        <f>VLOOKUP(B106,'Train Runs'!$A$13:$A$99938,1,FALSE)</f>
        <v>#N/A</v>
      </c>
    </row>
    <row r="107" spans="1:10" x14ac:dyDescent="0.25">
      <c r="A107" s="167"/>
      <c r="B107" s="43" t="str">
        <f>A107&amp;"-"&amp;IF(DAY(Variables!$A$2)&lt;10,0,"")&amp;DAY(Variables!$A$2)</f>
        <v>-25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7" s="30" t="e">
        <f>VLOOKUP(B107,'Train Runs'!$A$13:$A$99938,1,FALSE)</f>
        <v>#N/A</v>
      </c>
    </row>
    <row r="108" spans="1:10" x14ac:dyDescent="0.25">
      <c r="A108" s="167"/>
      <c r="B108" s="43" t="str">
        <f>A108&amp;"-"&amp;IF(DAY(Variables!$A$2)&lt;10,0,"")&amp;DAY(Variables!$A$2)</f>
        <v>-25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8" s="30" t="e">
        <f>VLOOKUP(B108,'Train Runs'!$A$13:$A$99938,1,FALSE)</f>
        <v>#N/A</v>
      </c>
    </row>
    <row r="109" spans="1:10" x14ac:dyDescent="0.25">
      <c r="A109" s="167"/>
      <c r="B109" s="43" t="str">
        <f>A109&amp;"-"&amp;IF(DAY(Variables!$A$2)&lt;10,0,"")&amp;DAY(Variables!$A$2)</f>
        <v>-25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9" s="30" t="e">
        <f>VLOOKUP(B109,'Train Runs'!$A$13:$A$99938,1,FALSE)</f>
        <v>#N/A</v>
      </c>
    </row>
    <row r="110" spans="1:10" x14ac:dyDescent="0.25">
      <c r="A110" s="167"/>
      <c r="B110" s="43" t="str">
        <f>A110&amp;"-"&amp;IF(DAY(Variables!$A$2)&lt;10,0,"")&amp;DAY(Variables!$A$2)</f>
        <v>-25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0" s="30" t="e">
        <f>VLOOKUP(B110,'Train Runs'!$A$13:$A$99938,1,FALSE)</f>
        <v>#N/A</v>
      </c>
    </row>
    <row r="111" spans="1:10" x14ac:dyDescent="0.25">
      <c r="A111" s="167"/>
      <c r="B111" s="43" t="str">
        <f>A111&amp;"-"&amp;IF(DAY(Variables!$A$2)&lt;10,0,"")&amp;DAY(Variables!$A$2)</f>
        <v>-25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1" s="30" t="e">
        <f>VLOOKUP(B111,'Train Runs'!$A$13:$A$99938,1,FALSE)</f>
        <v>#N/A</v>
      </c>
    </row>
    <row r="112" spans="1:10" x14ac:dyDescent="0.25">
      <c r="A112" s="167"/>
      <c r="B112" s="43" t="str">
        <f>A112&amp;"-"&amp;IF(DAY(Variables!$A$2)&lt;10,0,"")&amp;DAY(Variables!$A$2)</f>
        <v>-25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2" s="30" t="e">
        <f>VLOOKUP(B112,'Train Runs'!$A$13:$A$99938,1,FALSE)</f>
        <v>#N/A</v>
      </c>
    </row>
    <row r="113" spans="1:10" x14ac:dyDescent="0.25">
      <c r="A113" s="167"/>
      <c r="B113" s="43" t="str">
        <f>A113&amp;"-"&amp;IF(DAY(Variables!$A$2)&lt;10,0,"")&amp;DAY(Variables!$A$2)</f>
        <v>-25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3" s="30" t="e">
        <f>VLOOKUP(B113,'Train Runs'!$A$13:$A$99938,1,FALSE)</f>
        <v>#N/A</v>
      </c>
    </row>
    <row r="114" spans="1:10" x14ac:dyDescent="0.25">
      <c r="A114" s="167"/>
      <c r="B114" s="43" t="str">
        <f>A114&amp;"-"&amp;IF(DAY(Variables!$A$2)&lt;10,0,"")&amp;DAY(Variables!$A$2)</f>
        <v>-25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4" s="30" t="e">
        <f>VLOOKUP(B114,'Train Runs'!$A$13:$A$99938,1,FALSE)</f>
        <v>#N/A</v>
      </c>
    </row>
    <row r="115" spans="1:10" x14ac:dyDescent="0.25">
      <c r="A115" s="167"/>
      <c r="B115" s="43" t="str">
        <f>A115&amp;"-"&amp;IF(DAY(Variables!$A$2)&lt;10,0,"")&amp;DAY(Variables!$A$2)</f>
        <v>-25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5" s="30" t="e">
        <f>VLOOKUP(B115,'Train Runs'!$A$13:$A$99938,1,FALSE)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G1" sqref="G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>
        <v>42791.032175925924</v>
      </c>
      <c r="B1" s="20" t="s">
        <v>282</v>
      </c>
      <c r="C1" s="20" t="s">
        <v>432</v>
      </c>
      <c r="D1" s="150">
        <v>2670000</v>
      </c>
      <c r="E1" s="20" t="s">
        <v>227</v>
      </c>
      <c r="F1" s="20" t="s">
        <v>228</v>
      </c>
      <c r="G1" s="8" t="str">
        <f>E1&amp;" "&amp;F1</f>
        <v>COMELLA JUSTIN</v>
      </c>
    </row>
    <row r="2" spans="1:7" x14ac:dyDescent="0.25">
      <c r="A2" s="8">
        <v>42791.037361111114</v>
      </c>
      <c r="B2" s="20" t="s">
        <v>225</v>
      </c>
      <c r="C2" s="20" t="s">
        <v>433</v>
      </c>
      <c r="D2" s="150">
        <v>2270000</v>
      </c>
      <c r="E2" s="20" t="s">
        <v>223</v>
      </c>
      <c r="F2" s="20" t="s">
        <v>224</v>
      </c>
      <c r="G2" s="8" t="str">
        <f>E2&amp;" "&amp;F2</f>
        <v>BROWN JACOB</v>
      </c>
    </row>
    <row r="3" spans="1:7" x14ac:dyDescent="0.25">
      <c r="A3" s="8">
        <v>42791.038668981484</v>
      </c>
      <c r="B3" s="20" t="s">
        <v>281</v>
      </c>
      <c r="C3" s="20" t="s">
        <v>734</v>
      </c>
      <c r="E3" s="20"/>
      <c r="G3" s="8" t="str">
        <f t="shared" ref="G3:G66" si="0">E3&amp;" "&amp;F3</f>
        <v xml:space="preserve"> </v>
      </c>
    </row>
    <row r="4" spans="1:7" x14ac:dyDescent="0.25">
      <c r="A4" s="8">
        <v>42791.046805555554</v>
      </c>
      <c r="B4" s="20" t="s">
        <v>282</v>
      </c>
      <c r="C4" s="20" t="s">
        <v>432</v>
      </c>
      <c r="D4" s="150">
        <v>2670000</v>
      </c>
      <c r="E4" s="20" t="s">
        <v>227</v>
      </c>
      <c r="F4" s="20" t="s">
        <v>228</v>
      </c>
      <c r="G4" s="8" t="str">
        <f t="shared" si="0"/>
        <v>COMELLA JUSTIN</v>
      </c>
    </row>
    <row r="5" spans="1:7" x14ac:dyDescent="0.25">
      <c r="A5" s="8">
        <v>42791.047905092593</v>
      </c>
      <c r="B5" s="20" t="s">
        <v>282</v>
      </c>
      <c r="C5" s="20" t="s">
        <v>432</v>
      </c>
      <c r="D5" s="150">
        <v>2670000</v>
      </c>
      <c r="E5" s="20" t="s">
        <v>227</v>
      </c>
      <c r="F5" s="20" t="s">
        <v>228</v>
      </c>
      <c r="G5" s="8" t="str">
        <f t="shared" si="0"/>
        <v>COMELLA JUSTIN</v>
      </c>
    </row>
    <row r="6" spans="1:7" x14ac:dyDescent="0.25">
      <c r="A6" s="8">
        <v>42791.048634259256</v>
      </c>
      <c r="B6" s="20" t="s">
        <v>291</v>
      </c>
      <c r="C6" s="20" t="s">
        <v>777</v>
      </c>
      <c r="D6" s="150">
        <v>1740000</v>
      </c>
      <c r="E6" s="20" t="s">
        <v>220</v>
      </c>
      <c r="F6" s="20" t="s">
        <v>221</v>
      </c>
      <c r="G6" s="8" t="str">
        <f t="shared" si="0"/>
        <v>STORY SAMANTHA</v>
      </c>
    </row>
    <row r="7" spans="1:7" x14ac:dyDescent="0.25">
      <c r="A7" s="8">
        <v>42791.050243055557</v>
      </c>
      <c r="B7" s="20" t="s">
        <v>332</v>
      </c>
      <c r="C7" s="20" t="s">
        <v>778</v>
      </c>
      <c r="D7" s="150">
        <v>2220000</v>
      </c>
      <c r="E7" s="20" t="s">
        <v>207</v>
      </c>
      <c r="F7" s="20" t="s">
        <v>208</v>
      </c>
      <c r="G7" s="8" t="str">
        <f t="shared" si="0"/>
        <v>HILLS DUSTIN</v>
      </c>
    </row>
    <row r="8" spans="1:7" x14ac:dyDescent="0.25">
      <c r="A8" s="8">
        <v>42791.054027777776</v>
      </c>
      <c r="B8" s="20" t="s">
        <v>281</v>
      </c>
      <c r="C8" s="20" t="s">
        <v>734</v>
      </c>
      <c r="E8" s="20"/>
      <c r="G8" s="8" t="str">
        <f t="shared" si="0"/>
        <v xml:space="preserve"> </v>
      </c>
    </row>
    <row r="9" spans="1:7" ht="15.75" thickBot="1" x14ac:dyDescent="0.3">
      <c r="A9" s="24">
        <v>42791.061851851853</v>
      </c>
      <c r="B9" s="20" t="s">
        <v>282</v>
      </c>
      <c r="C9" s="20" t="s">
        <v>432</v>
      </c>
      <c r="D9" s="150">
        <v>2670000</v>
      </c>
      <c r="E9" s="20" t="s">
        <v>227</v>
      </c>
      <c r="F9" s="20" t="s">
        <v>228</v>
      </c>
      <c r="G9" s="8" t="str">
        <f t="shared" si="0"/>
        <v>COMELLA JUSTIN</v>
      </c>
    </row>
    <row r="10" spans="1:7" x14ac:dyDescent="0.25">
      <c r="A10" s="8">
        <v>42791.068483796298</v>
      </c>
      <c r="B10" s="20" t="s">
        <v>281</v>
      </c>
      <c r="C10" s="20" t="s">
        <v>734</v>
      </c>
      <c r="E10" s="20"/>
      <c r="G10" s="8" t="str">
        <f t="shared" si="0"/>
        <v xml:space="preserve"> </v>
      </c>
    </row>
    <row r="11" spans="1:7" x14ac:dyDescent="0.25">
      <c r="A11" s="8">
        <v>42791.069768518515</v>
      </c>
      <c r="B11" s="20" t="s">
        <v>779</v>
      </c>
      <c r="C11" s="20" t="s">
        <v>780</v>
      </c>
      <c r="D11" s="150">
        <v>2000000</v>
      </c>
      <c r="E11" s="20" t="s">
        <v>781</v>
      </c>
      <c r="F11" s="20" t="s">
        <v>195</v>
      </c>
      <c r="G11" s="8" t="str">
        <f t="shared" si="0"/>
        <v>STAMBAUGH JAMES</v>
      </c>
    </row>
    <row r="12" spans="1:7" x14ac:dyDescent="0.25">
      <c r="A12" s="8">
        <v>42791.0778125</v>
      </c>
      <c r="B12" s="20" t="s">
        <v>205</v>
      </c>
      <c r="C12" s="20" t="s">
        <v>698</v>
      </c>
      <c r="D12" s="150">
        <v>2270000</v>
      </c>
      <c r="E12" s="20" t="s">
        <v>223</v>
      </c>
      <c r="F12" s="20" t="s">
        <v>224</v>
      </c>
      <c r="G12" s="8" t="str">
        <f t="shared" si="0"/>
        <v>BROWN JACOB</v>
      </c>
    </row>
    <row r="13" spans="1:7" x14ac:dyDescent="0.25">
      <c r="A13" s="8">
        <v>42791.081388888888</v>
      </c>
      <c r="B13" s="20" t="s">
        <v>282</v>
      </c>
      <c r="C13" s="20" t="s">
        <v>432</v>
      </c>
      <c r="D13" s="150">
        <v>2670000</v>
      </c>
      <c r="E13" s="20" t="s">
        <v>227</v>
      </c>
      <c r="F13" s="20" t="s">
        <v>228</v>
      </c>
      <c r="G13" s="8" t="str">
        <f t="shared" si="0"/>
        <v>COMELLA JUSTIN</v>
      </c>
    </row>
    <row r="14" spans="1:7" x14ac:dyDescent="0.25">
      <c r="A14" s="8">
        <v>42791.089328703703</v>
      </c>
      <c r="B14" s="20" t="s">
        <v>333</v>
      </c>
      <c r="C14" s="20" t="s">
        <v>717</v>
      </c>
      <c r="D14" s="150">
        <v>2220000</v>
      </c>
      <c r="E14" s="20" t="s">
        <v>207</v>
      </c>
      <c r="F14" s="20" t="s">
        <v>208</v>
      </c>
      <c r="G14" s="8" t="str">
        <f t="shared" si="0"/>
        <v>HILLS DUSTIN</v>
      </c>
    </row>
    <row r="15" spans="1:7" x14ac:dyDescent="0.25">
      <c r="A15" s="8">
        <v>42791.090694444443</v>
      </c>
      <c r="B15" s="20" t="s">
        <v>281</v>
      </c>
      <c r="C15" s="20" t="s">
        <v>734</v>
      </c>
      <c r="E15" s="20"/>
      <c r="G15" s="8" t="str">
        <f t="shared" si="0"/>
        <v xml:space="preserve"> </v>
      </c>
    </row>
    <row r="16" spans="1:7" x14ac:dyDescent="0.25">
      <c r="A16" s="8">
        <v>42791.102395833332</v>
      </c>
      <c r="B16" s="20" t="s">
        <v>282</v>
      </c>
      <c r="C16" s="20" t="s">
        <v>432</v>
      </c>
      <c r="D16" s="150">
        <v>2670000</v>
      </c>
      <c r="E16" s="20" t="s">
        <v>227</v>
      </c>
      <c r="F16" s="20" t="s">
        <v>228</v>
      </c>
      <c r="G16" s="8" t="str">
        <f t="shared" si="0"/>
        <v>COMELLA JUSTIN</v>
      </c>
    </row>
    <row r="17" spans="1:7" x14ac:dyDescent="0.25">
      <c r="A17" s="8">
        <v>42791.112314814818</v>
      </c>
      <c r="B17" s="20" t="s">
        <v>225</v>
      </c>
      <c r="C17" s="20" t="s">
        <v>721</v>
      </c>
      <c r="D17" s="150">
        <v>2270000</v>
      </c>
      <c r="E17" s="20" t="s">
        <v>223</v>
      </c>
      <c r="F17" s="20" t="s">
        <v>224</v>
      </c>
      <c r="G17" s="8" t="str">
        <f t="shared" si="0"/>
        <v>BROWN JACOB</v>
      </c>
    </row>
    <row r="18" spans="1:7" x14ac:dyDescent="0.25">
      <c r="A18" s="8">
        <v>42791.120335648149</v>
      </c>
      <c r="B18" s="20" t="s">
        <v>290</v>
      </c>
      <c r="C18" s="20" t="s">
        <v>703</v>
      </c>
      <c r="D18" s="150">
        <v>2550000</v>
      </c>
      <c r="E18" s="20" t="s">
        <v>306</v>
      </c>
      <c r="F18" s="20" t="s">
        <v>307</v>
      </c>
      <c r="G18" s="8" t="str">
        <f t="shared" si="0"/>
        <v>BADERTSCHER DIANE</v>
      </c>
    </row>
    <row r="19" spans="1:7" x14ac:dyDescent="0.25">
      <c r="A19" s="8">
        <v>42791.12122685185</v>
      </c>
      <c r="B19" s="20" t="s">
        <v>290</v>
      </c>
      <c r="C19" s="20" t="s">
        <v>703</v>
      </c>
      <c r="D19" s="150">
        <v>2550000</v>
      </c>
      <c r="E19" s="20" t="s">
        <v>306</v>
      </c>
      <c r="F19" s="20" t="s">
        <v>307</v>
      </c>
      <c r="G19" s="8" t="str">
        <f t="shared" si="0"/>
        <v>BADERTSCHER DIANE</v>
      </c>
    </row>
    <row r="20" spans="1:7" x14ac:dyDescent="0.25">
      <c r="A20" s="8">
        <v>42791.122233796297</v>
      </c>
      <c r="B20" s="20" t="s">
        <v>290</v>
      </c>
      <c r="C20" s="20" t="s">
        <v>703</v>
      </c>
      <c r="D20" s="150">
        <v>2550000</v>
      </c>
      <c r="E20" s="20" t="s">
        <v>306</v>
      </c>
      <c r="F20" s="20" t="s">
        <v>307</v>
      </c>
      <c r="G20" s="8" t="str">
        <f t="shared" si="0"/>
        <v>BADERTSCHER DIANE</v>
      </c>
    </row>
    <row r="21" spans="1:7" x14ac:dyDescent="0.25">
      <c r="A21" s="8">
        <v>42791.131608796299</v>
      </c>
      <c r="B21" s="20" t="s">
        <v>209</v>
      </c>
      <c r="C21" s="20" t="s">
        <v>396</v>
      </c>
      <c r="D21" s="150">
        <v>2550000</v>
      </c>
      <c r="E21" s="20" t="s">
        <v>306</v>
      </c>
      <c r="F21" s="20" t="s">
        <v>307</v>
      </c>
      <c r="G21" s="8" t="str">
        <f t="shared" si="0"/>
        <v>BADERTSCHER DIANE</v>
      </c>
    </row>
    <row r="22" spans="1:7" x14ac:dyDescent="0.25">
      <c r="A22" s="26">
        <v>42791.138391203705</v>
      </c>
      <c r="B22" s="20" t="s">
        <v>212</v>
      </c>
      <c r="C22" s="20" t="s">
        <v>706</v>
      </c>
      <c r="D22" s="150">
        <v>2140000</v>
      </c>
      <c r="E22" s="20" t="s">
        <v>337</v>
      </c>
      <c r="F22" s="20" t="s">
        <v>338</v>
      </c>
      <c r="G22" s="8" t="str">
        <f t="shared" si="0"/>
        <v>ROBINSON KADDIBA</v>
      </c>
    </row>
    <row r="23" spans="1:7" x14ac:dyDescent="0.25">
      <c r="A23" s="8">
        <v>42791.149571759262</v>
      </c>
      <c r="B23" s="20" t="s">
        <v>427</v>
      </c>
      <c r="C23" s="20" t="s">
        <v>442</v>
      </c>
      <c r="D23" s="150">
        <v>2140000</v>
      </c>
      <c r="E23" s="20" t="s">
        <v>337</v>
      </c>
      <c r="F23" s="20" t="s">
        <v>338</v>
      </c>
      <c r="G23" s="8" t="str">
        <f t="shared" si="0"/>
        <v>ROBINSON KADDIBA</v>
      </c>
    </row>
    <row r="24" spans="1:7" x14ac:dyDescent="0.25">
      <c r="A24" s="8">
        <v>42791.160567129627</v>
      </c>
      <c r="B24" s="20" t="s">
        <v>251</v>
      </c>
      <c r="C24" s="20" t="s">
        <v>709</v>
      </c>
      <c r="D24" s="150">
        <v>1780000</v>
      </c>
      <c r="E24" s="20" t="s">
        <v>292</v>
      </c>
      <c r="F24" s="20" t="s">
        <v>293</v>
      </c>
      <c r="G24" s="8" t="str">
        <f t="shared" si="0"/>
        <v>DE LA ROSA ALEX</v>
      </c>
    </row>
    <row r="25" spans="1:7" x14ac:dyDescent="0.25">
      <c r="A25" s="8">
        <v>42791.167615740742</v>
      </c>
      <c r="B25" s="20" t="s">
        <v>290</v>
      </c>
      <c r="C25" s="20" t="s">
        <v>397</v>
      </c>
      <c r="D25" s="150">
        <v>2550000</v>
      </c>
      <c r="E25" s="20" t="s">
        <v>306</v>
      </c>
      <c r="F25" s="20" t="s">
        <v>307</v>
      </c>
      <c r="G25" s="8" t="str">
        <f t="shared" si="0"/>
        <v>BADERTSCHER DIANE</v>
      </c>
    </row>
    <row r="26" spans="1:7" x14ac:dyDescent="0.25">
      <c r="A26" s="8">
        <v>42791.17083333333</v>
      </c>
      <c r="B26" s="20" t="s">
        <v>246</v>
      </c>
      <c r="C26" s="20" t="s">
        <v>447</v>
      </c>
      <c r="D26" s="150">
        <v>1780000</v>
      </c>
      <c r="E26" s="20" t="s">
        <v>292</v>
      </c>
      <c r="F26" s="20" t="s">
        <v>293</v>
      </c>
      <c r="G26" s="8" t="str">
        <f t="shared" si="0"/>
        <v>DE LA ROSA ALEX</v>
      </c>
    </row>
    <row r="27" spans="1:7" x14ac:dyDescent="0.25">
      <c r="A27" s="8">
        <v>42791.171296296299</v>
      </c>
      <c r="B27" s="20" t="s">
        <v>230</v>
      </c>
      <c r="C27" s="20" t="s">
        <v>711</v>
      </c>
      <c r="D27" s="150">
        <v>2360000</v>
      </c>
      <c r="E27" s="20" t="s">
        <v>782</v>
      </c>
      <c r="F27" s="20" t="s">
        <v>783</v>
      </c>
      <c r="G27" s="8" t="str">
        <f t="shared" si="0"/>
        <v>BRANDNER MELINDA</v>
      </c>
    </row>
    <row r="28" spans="1:7" x14ac:dyDescent="0.25">
      <c r="A28" s="8">
        <v>42791.182164351849</v>
      </c>
      <c r="B28" s="20" t="s">
        <v>226</v>
      </c>
      <c r="C28" s="20" t="s">
        <v>715</v>
      </c>
      <c r="D28" s="150">
        <v>1360000</v>
      </c>
      <c r="E28" s="20" t="s">
        <v>784</v>
      </c>
      <c r="F28" s="20" t="s">
        <v>785</v>
      </c>
      <c r="G28" s="8" t="str">
        <f t="shared" si="0"/>
        <v>SANTIZO D. EDY</v>
      </c>
    </row>
    <row r="29" spans="1:7" x14ac:dyDescent="0.25">
      <c r="A29" s="8">
        <v>42791.18378472222</v>
      </c>
      <c r="B29" s="20" t="s">
        <v>247</v>
      </c>
      <c r="C29" s="20" t="s">
        <v>450</v>
      </c>
      <c r="D29" s="150">
        <v>2360000</v>
      </c>
      <c r="E29" s="20" t="s">
        <v>782</v>
      </c>
      <c r="F29" s="20" t="s">
        <v>783</v>
      </c>
      <c r="G29" s="8" t="str">
        <f t="shared" si="0"/>
        <v>BRANDNER MELINDA</v>
      </c>
    </row>
    <row r="30" spans="1:7" x14ac:dyDescent="0.25">
      <c r="A30" s="8">
        <v>42791.188946759263</v>
      </c>
      <c r="B30" s="20" t="s">
        <v>212</v>
      </c>
      <c r="C30" s="20" t="s">
        <v>445</v>
      </c>
      <c r="D30" s="150">
        <v>2140000</v>
      </c>
      <c r="E30" s="20" t="s">
        <v>337</v>
      </c>
      <c r="F30" s="20" t="s">
        <v>338</v>
      </c>
      <c r="G30" s="8" t="str">
        <f t="shared" si="0"/>
        <v>ROBINSON KADDIBA</v>
      </c>
    </row>
    <row r="31" spans="1:7" x14ac:dyDescent="0.25">
      <c r="A31" s="8">
        <v>42791.193599537037</v>
      </c>
      <c r="B31" s="20" t="s">
        <v>229</v>
      </c>
      <c r="C31" s="20" t="s">
        <v>452</v>
      </c>
      <c r="D31" s="150">
        <v>1360000</v>
      </c>
      <c r="E31" s="20" t="s">
        <v>784</v>
      </c>
      <c r="F31" s="20" t="s">
        <v>785</v>
      </c>
      <c r="G31" s="8" t="str">
        <f t="shared" si="0"/>
        <v>SANTIZO D. EDY</v>
      </c>
    </row>
    <row r="32" spans="1:7" x14ac:dyDescent="0.25">
      <c r="A32" s="8">
        <v>42791.207372685189</v>
      </c>
      <c r="B32" s="20" t="s">
        <v>209</v>
      </c>
      <c r="C32" s="20" t="s">
        <v>454</v>
      </c>
      <c r="D32" s="150">
        <v>890000</v>
      </c>
      <c r="E32" s="20" t="s">
        <v>310</v>
      </c>
      <c r="F32" s="20" t="s">
        <v>311</v>
      </c>
      <c r="G32" s="8" t="str">
        <f t="shared" si="0"/>
        <v>LOZA FIDEL</v>
      </c>
    </row>
    <row r="33" spans="1:7" x14ac:dyDescent="0.25">
      <c r="A33" s="8">
        <v>42791.207835648151</v>
      </c>
      <c r="B33" s="20" t="s">
        <v>266</v>
      </c>
      <c r="C33" s="20" t="s">
        <v>458</v>
      </c>
      <c r="D33" s="150">
        <v>2550000</v>
      </c>
      <c r="E33" s="20" t="s">
        <v>306</v>
      </c>
      <c r="F33" s="20" t="s">
        <v>307</v>
      </c>
      <c r="G33" s="8" t="str">
        <f t="shared" si="0"/>
        <v>BADERTSCHER DIANE</v>
      </c>
    </row>
    <row r="34" spans="1:7" x14ac:dyDescent="0.25">
      <c r="A34" s="8">
        <v>42791.20994212963</v>
      </c>
      <c r="B34" s="20" t="s">
        <v>251</v>
      </c>
      <c r="C34" s="20" t="s">
        <v>448</v>
      </c>
      <c r="D34" s="150">
        <v>1780000</v>
      </c>
      <c r="E34" s="20" t="s">
        <v>292</v>
      </c>
      <c r="F34" s="20" t="s">
        <v>293</v>
      </c>
      <c r="G34" s="8" t="str">
        <f t="shared" si="0"/>
        <v>DE LA ROSA ALEX</v>
      </c>
    </row>
    <row r="35" spans="1:7" x14ac:dyDescent="0.25">
      <c r="A35" s="8">
        <v>42791.220949074072</v>
      </c>
      <c r="B35" s="20" t="s">
        <v>230</v>
      </c>
      <c r="C35" s="20" t="s">
        <v>451</v>
      </c>
      <c r="D35" s="150">
        <v>2360000</v>
      </c>
      <c r="E35" s="20" t="s">
        <v>782</v>
      </c>
      <c r="F35" s="20" t="s">
        <v>783</v>
      </c>
      <c r="G35" s="8" t="str">
        <f t="shared" si="0"/>
        <v>BRANDNER MELINDA</v>
      </c>
    </row>
    <row r="36" spans="1:7" x14ac:dyDescent="0.25">
      <c r="A36" s="8">
        <v>42791.22142361111</v>
      </c>
      <c r="B36" s="20" t="s">
        <v>233</v>
      </c>
      <c r="C36" s="20" t="s">
        <v>632</v>
      </c>
      <c r="D36" s="150">
        <v>2020000</v>
      </c>
      <c r="E36" s="20" t="s">
        <v>339</v>
      </c>
      <c r="F36" s="20" t="s">
        <v>253</v>
      </c>
      <c r="G36" s="8" t="str">
        <f t="shared" si="0"/>
        <v>SHOOK JOHN</v>
      </c>
    </row>
    <row r="37" spans="1:7" x14ac:dyDescent="0.25">
      <c r="A37" s="8">
        <v>42791.2262962963</v>
      </c>
      <c r="B37" s="20" t="s">
        <v>226</v>
      </c>
      <c r="C37" s="20" t="s">
        <v>453</v>
      </c>
      <c r="D37" s="150">
        <v>1360000</v>
      </c>
      <c r="E37" s="20" t="s">
        <v>784</v>
      </c>
      <c r="F37" s="20" t="s">
        <v>785</v>
      </c>
      <c r="G37" s="8" t="str">
        <f t="shared" si="0"/>
        <v>SANTIZO D. EDY</v>
      </c>
    </row>
    <row r="38" spans="1:7" x14ac:dyDescent="0.25">
      <c r="A38" s="8">
        <v>42791.226759259262</v>
      </c>
      <c r="B38" s="20" t="s">
        <v>427</v>
      </c>
      <c r="C38" s="20" t="s">
        <v>463</v>
      </c>
      <c r="D38" s="150">
        <v>1100000</v>
      </c>
      <c r="E38" s="20" t="s">
        <v>308</v>
      </c>
      <c r="F38" s="20" t="s">
        <v>309</v>
      </c>
      <c r="G38" s="8" t="str">
        <f t="shared" si="0"/>
        <v>GEBRETEKLE DAGNEW</v>
      </c>
    </row>
    <row r="39" spans="1:7" x14ac:dyDescent="0.25">
      <c r="A39" s="8">
        <v>42791.231203703705</v>
      </c>
      <c r="B39" s="20" t="s">
        <v>234</v>
      </c>
      <c r="C39" s="20" t="s">
        <v>551</v>
      </c>
      <c r="D39" s="150">
        <v>2020000</v>
      </c>
      <c r="E39" s="20" t="s">
        <v>339</v>
      </c>
      <c r="F39" s="20" t="s">
        <v>253</v>
      </c>
      <c r="G39" s="8" t="str">
        <f t="shared" si="0"/>
        <v>SHOOK JOHN</v>
      </c>
    </row>
    <row r="40" spans="1:7" x14ac:dyDescent="0.25">
      <c r="A40" s="8">
        <v>42791.231412037036</v>
      </c>
      <c r="B40" s="25" t="s">
        <v>213</v>
      </c>
      <c r="C40" s="20" t="s">
        <v>466</v>
      </c>
      <c r="D40" s="150">
        <v>2140000</v>
      </c>
      <c r="E40" s="20" t="s">
        <v>337</v>
      </c>
      <c r="F40" s="20" t="s">
        <v>338</v>
      </c>
      <c r="G40" s="8" t="str">
        <f t="shared" si="0"/>
        <v>ROBINSON KADDIBA</v>
      </c>
    </row>
    <row r="41" spans="1:7" x14ac:dyDescent="0.25">
      <c r="A41" s="8">
        <v>42791.236909722225</v>
      </c>
      <c r="B41" s="20" t="s">
        <v>210</v>
      </c>
      <c r="C41" s="20" t="s">
        <v>457</v>
      </c>
      <c r="D41" s="150">
        <v>890000</v>
      </c>
      <c r="E41" s="20" t="s">
        <v>310</v>
      </c>
      <c r="F41" s="20" t="s">
        <v>311</v>
      </c>
      <c r="G41" s="8" t="str">
        <f t="shared" si="0"/>
        <v>LOZA FIDEL</v>
      </c>
    </row>
    <row r="42" spans="1:7" x14ac:dyDescent="0.25">
      <c r="A42" s="8">
        <v>42791.246932870374</v>
      </c>
      <c r="B42" s="20" t="s">
        <v>246</v>
      </c>
      <c r="C42" s="20" t="s">
        <v>469</v>
      </c>
      <c r="D42" s="150">
        <v>1780000</v>
      </c>
      <c r="E42" s="20" t="s">
        <v>292</v>
      </c>
      <c r="F42" s="20" t="s">
        <v>293</v>
      </c>
      <c r="G42" s="8" t="str">
        <f t="shared" si="0"/>
        <v>DE LA ROSA ALEX</v>
      </c>
    </row>
    <row r="43" spans="1:7" x14ac:dyDescent="0.25">
      <c r="A43" s="8">
        <v>42791.249328703707</v>
      </c>
      <c r="B43" s="20" t="s">
        <v>233</v>
      </c>
      <c r="C43" s="20" t="s">
        <v>553</v>
      </c>
      <c r="D43" s="150">
        <v>2020000</v>
      </c>
      <c r="E43" s="20" t="s">
        <v>339</v>
      </c>
      <c r="F43" s="20" t="s">
        <v>253</v>
      </c>
      <c r="G43" s="8" t="str">
        <f t="shared" si="0"/>
        <v>SHOOK JOHN</v>
      </c>
    </row>
    <row r="44" spans="1:7" x14ac:dyDescent="0.25">
      <c r="A44" s="8">
        <v>42791.252303240741</v>
      </c>
      <c r="B44" s="20" t="s">
        <v>290</v>
      </c>
      <c r="C44" s="20" t="s">
        <v>399</v>
      </c>
      <c r="D44" s="150">
        <v>2550000</v>
      </c>
      <c r="E44" s="20" t="s">
        <v>306</v>
      </c>
      <c r="F44" s="20" t="s">
        <v>307</v>
      </c>
      <c r="G44" s="8" t="str">
        <f t="shared" si="0"/>
        <v>BADERTSCHER DIANE</v>
      </c>
    </row>
    <row r="45" spans="1:7" x14ac:dyDescent="0.25">
      <c r="A45" s="8">
        <v>42791.2577662037</v>
      </c>
      <c r="B45" s="20" t="s">
        <v>247</v>
      </c>
      <c r="C45" s="20" t="s">
        <v>398</v>
      </c>
      <c r="D45" s="150">
        <v>2360000</v>
      </c>
      <c r="E45" s="20" t="s">
        <v>782</v>
      </c>
      <c r="F45" s="20" t="s">
        <v>783</v>
      </c>
      <c r="G45" s="8" t="str">
        <f t="shared" si="0"/>
        <v>BRANDNER MELINDA</v>
      </c>
    </row>
    <row r="46" spans="1:7" x14ac:dyDescent="0.25">
      <c r="A46" s="8">
        <v>42791.265104166669</v>
      </c>
      <c r="B46" s="20" t="s">
        <v>412</v>
      </c>
      <c r="C46" s="20" t="s">
        <v>465</v>
      </c>
      <c r="D46" s="150">
        <v>1100000</v>
      </c>
      <c r="E46" s="20" t="s">
        <v>308</v>
      </c>
      <c r="F46" s="20" t="s">
        <v>309</v>
      </c>
      <c r="G46" s="8" t="str">
        <f t="shared" si="0"/>
        <v>GEBRETEKLE DAGNEW</v>
      </c>
    </row>
    <row r="47" spans="1:7" x14ac:dyDescent="0.25">
      <c r="A47" s="8">
        <v>42791.266412037039</v>
      </c>
      <c r="B47" s="20" t="s">
        <v>229</v>
      </c>
      <c r="C47" s="20" t="s">
        <v>400</v>
      </c>
      <c r="D47" s="150">
        <v>1360000</v>
      </c>
      <c r="E47" s="20" t="s">
        <v>784</v>
      </c>
      <c r="F47" s="20" t="s">
        <v>785</v>
      </c>
      <c r="G47" s="8" t="str">
        <f t="shared" si="0"/>
        <v>SANTIZO D. EDY</v>
      </c>
    </row>
    <row r="48" spans="1:7" x14ac:dyDescent="0.25">
      <c r="A48" s="8">
        <v>42791.274861111109</v>
      </c>
      <c r="B48" s="20" t="s">
        <v>212</v>
      </c>
      <c r="C48" s="20" t="s">
        <v>468</v>
      </c>
      <c r="D48" s="150">
        <v>2140000</v>
      </c>
      <c r="E48" s="20" t="s">
        <v>337</v>
      </c>
      <c r="F48" s="20" t="s">
        <v>338</v>
      </c>
      <c r="G48" s="8" t="str">
        <f t="shared" si="0"/>
        <v>ROBINSON KADDIBA</v>
      </c>
    </row>
    <row r="49" spans="1:7" x14ac:dyDescent="0.25">
      <c r="A49" s="8">
        <v>42791.276516203703</v>
      </c>
      <c r="B49" s="20" t="s">
        <v>234</v>
      </c>
      <c r="C49" s="20" t="s">
        <v>556</v>
      </c>
      <c r="D49" s="150">
        <v>2020000</v>
      </c>
      <c r="E49" s="20" t="s">
        <v>339</v>
      </c>
      <c r="F49" s="20" t="s">
        <v>253</v>
      </c>
      <c r="G49" s="8" t="str">
        <f t="shared" si="0"/>
        <v>SHOOK JOHN</v>
      </c>
    </row>
    <row r="50" spans="1:7" x14ac:dyDescent="0.25">
      <c r="A50" s="8">
        <v>42791.277546296296</v>
      </c>
      <c r="B50" s="20" t="s">
        <v>209</v>
      </c>
      <c r="C50" s="20" t="s">
        <v>475</v>
      </c>
      <c r="D50" s="150">
        <v>890000</v>
      </c>
      <c r="E50" s="20" t="s">
        <v>310</v>
      </c>
      <c r="F50" s="20" t="s">
        <v>311</v>
      </c>
      <c r="G50" s="8" t="str">
        <f t="shared" si="0"/>
        <v>LOZA FIDEL</v>
      </c>
    </row>
    <row r="51" spans="1:7" x14ac:dyDescent="0.25">
      <c r="A51" s="8">
        <v>42791.285000000003</v>
      </c>
      <c r="B51" s="20" t="s">
        <v>244</v>
      </c>
      <c r="C51" s="20" t="s">
        <v>472</v>
      </c>
      <c r="D51" s="150">
        <v>1780000</v>
      </c>
      <c r="E51" s="20" t="s">
        <v>292</v>
      </c>
      <c r="F51" s="20" t="s">
        <v>293</v>
      </c>
      <c r="G51" s="8" t="str">
        <f t="shared" si="0"/>
        <v>DE LA ROSA ALEX</v>
      </c>
    </row>
    <row r="52" spans="1:7" x14ac:dyDescent="0.25">
      <c r="A52" s="8">
        <v>42791.285763888889</v>
      </c>
      <c r="B52" s="20" t="s">
        <v>250</v>
      </c>
      <c r="C52" s="20" t="s">
        <v>478</v>
      </c>
      <c r="D52" s="150">
        <v>2550000</v>
      </c>
      <c r="E52" s="20" t="s">
        <v>306</v>
      </c>
      <c r="F52" s="20" t="s">
        <v>307</v>
      </c>
      <c r="G52" s="8" t="str">
        <f t="shared" si="0"/>
        <v>BADERTSCHER DIANE</v>
      </c>
    </row>
    <row r="53" spans="1:7" x14ac:dyDescent="0.25">
      <c r="A53" s="8">
        <v>42791.286099537036</v>
      </c>
      <c r="B53" s="20" t="s">
        <v>244</v>
      </c>
      <c r="C53" s="20" t="s">
        <v>472</v>
      </c>
      <c r="D53" s="150">
        <v>1780000</v>
      </c>
      <c r="E53" s="20" t="s">
        <v>292</v>
      </c>
      <c r="F53" s="20" t="s">
        <v>293</v>
      </c>
      <c r="G53" s="8" t="str">
        <f t="shared" si="0"/>
        <v>DE LA ROSA ALEX</v>
      </c>
    </row>
    <row r="54" spans="1:7" x14ac:dyDescent="0.25">
      <c r="A54" s="8">
        <v>42791.287164351852</v>
      </c>
      <c r="B54" s="20" t="s">
        <v>244</v>
      </c>
      <c r="C54" s="20" t="s">
        <v>472</v>
      </c>
      <c r="D54" s="150">
        <v>1780000</v>
      </c>
      <c r="E54" s="20" t="s">
        <v>292</v>
      </c>
      <c r="F54" s="20" t="s">
        <v>293</v>
      </c>
      <c r="G54" s="8" t="str">
        <f t="shared" si="0"/>
        <v>DE LA ROSA ALEX</v>
      </c>
    </row>
    <row r="55" spans="1:7" x14ac:dyDescent="0.25">
      <c r="A55" s="8">
        <v>42791.29105324074</v>
      </c>
      <c r="B55" s="20" t="s">
        <v>233</v>
      </c>
      <c r="C55" s="20" t="s">
        <v>559</v>
      </c>
      <c r="D55" s="150">
        <v>2020000</v>
      </c>
      <c r="E55" s="20" t="s">
        <v>339</v>
      </c>
      <c r="F55" s="20" t="s">
        <v>253</v>
      </c>
      <c r="G55" s="8" t="str">
        <f t="shared" si="0"/>
        <v>SHOOK JOHN</v>
      </c>
    </row>
    <row r="56" spans="1:7" x14ac:dyDescent="0.25">
      <c r="A56" s="8">
        <v>42791.294363425928</v>
      </c>
      <c r="B56" s="20" t="s">
        <v>230</v>
      </c>
      <c r="C56" s="20" t="s">
        <v>401</v>
      </c>
      <c r="D56" s="150">
        <v>2360000</v>
      </c>
      <c r="E56" s="20" t="s">
        <v>782</v>
      </c>
      <c r="F56" s="20" t="s">
        <v>783</v>
      </c>
      <c r="G56" s="8" t="str">
        <f t="shared" si="0"/>
        <v>BRANDNER MELINDA</v>
      </c>
    </row>
    <row r="57" spans="1:7" x14ac:dyDescent="0.25">
      <c r="A57" s="8">
        <v>42791.298310185186</v>
      </c>
      <c r="B57" s="20" t="s">
        <v>427</v>
      </c>
      <c r="C57" s="20" t="s">
        <v>480</v>
      </c>
      <c r="D57" s="150">
        <v>1100000</v>
      </c>
      <c r="E57" s="20" t="s">
        <v>308</v>
      </c>
      <c r="F57" s="20" t="s">
        <v>309</v>
      </c>
      <c r="G57" s="8" t="str">
        <f t="shared" si="0"/>
        <v>GEBRETEKLE DAGNEW</v>
      </c>
    </row>
    <row r="58" spans="1:7" x14ac:dyDescent="0.25">
      <c r="A58" s="8">
        <v>42791.300138888888</v>
      </c>
      <c r="B58" s="20" t="s">
        <v>226</v>
      </c>
      <c r="C58" s="20" t="s">
        <v>402</v>
      </c>
      <c r="D58" s="150">
        <v>2370000</v>
      </c>
      <c r="E58" s="20" t="s">
        <v>347</v>
      </c>
      <c r="F58" s="20" t="s">
        <v>348</v>
      </c>
      <c r="G58" s="8" t="str">
        <f t="shared" si="0"/>
        <v>DELGADO DIANAH</v>
      </c>
    </row>
    <row r="59" spans="1:7" x14ac:dyDescent="0.25">
      <c r="A59" s="8">
        <v>42791.308715277781</v>
      </c>
      <c r="B59" s="20" t="s">
        <v>213</v>
      </c>
      <c r="C59" s="20" t="s">
        <v>483</v>
      </c>
      <c r="D59" s="150">
        <v>2140000</v>
      </c>
      <c r="E59" s="20" t="s">
        <v>337</v>
      </c>
      <c r="F59" s="20" t="s">
        <v>338</v>
      </c>
      <c r="G59" s="8" t="str">
        <f t="shared" si="0"/>
        <v>ROBINSON KADDIBA</v>
      </c>
    </row>
    <row r="60" spans="1:7" x14ac:dyDescent="0.25">
      <c r="A60" s="8">
        <v>42791.316423611112</v>
      </c>
      <c r="B60" s="20" t="s">
        <v>210</v>
      </c>
      <c r="C60" s="20" t="s">
        <v>476</v>
      </c>
      <c r="D60" s="150">
        <v>890000</v>
      </c>
      <c r="E60" s="20" t="s">
        <v>310</v>
      </c>
      <c r="F60" s="20" t="s">
        <v>311</v>
      </c>
      <c r="G60" s="8" t="str">
        <f t="shared" si="0"/>
        <v>LOZA FIDEL</v>
      </c>
    </row>
    <row r="61" spans="1:7" x14ac:dyDescent="0.25">
      <c r="A61" s="8">
        <v>42791.317719907405</v>
      </c>
      <c r="B61" s="20" t="s">
        <v>234</v>
      </c>
      <c r="C61" s="20" t="s">
        <v>562</v>
      </c>
      <c r="D61" s="150">
        <v>2020000</v>
      </c>
      <c r="E61" s="20" t="s">
        <v>339</v>
      </c>
      <c r="F61" s="20" t="s">
        <v>253</v>
      </c>
      <c r="G61" s="8" t="str">
        <f t="shared" si="0"/>
        <v>SHOOK JOHN</v>
      </c>
    </row>
    <row r="62" spans="1:7" x14ac:dyDescent="0.25">
      <c r="A62" s="8">
        <v>42791.319803240738</v>
      </c>
      <c r="B62" s="20" t="s">
        <v>246</v>
      </c>
      <c r="C62" s="20" t="s">
        <v>487</v>
      </c>
      <c r="D62" s="150">
        <v>1780000</v>
      </c>
      <c r="E62" s="20" t="s">
        <v>292</v>
      </c>
      <c r="F62" s="20" t="s">
        <v>293</v>
      </c>
      <c r="G62" s="8" t="str">
        <f t="shared" si="0"/>
        <v>DE LA ROSA ALEX</v>
      </c>
    </row>
    <row r="63" spans="1:7" x14ac:dyDescent="0.25">
      <c r="A63" s="8">
        <v>42791.322372685187</v>
      </c>
      <c r="B63" s="20" t="s">
        <v>251</v>
      </c>
      <c r="C63" s="20" t="s">
        <v>479</v>
      </c>
      <c r="D63" s="150">
        <v>2550000</v>
      </c>
      <c r="E63" s="20" t="s">
        <v>306</v>
      </c>
      <c r="F63" s="20" t="s">
        <v>307</v>
      </c>
      <c r="G63" s="8" t="str">
        <f t="shared" si="0"/>
        <v>BADERTSCHER DIANE</v>
      </c>
    </row>
    <row r="64" spans="1:7" x14ac:dyDescent="0.25">
      <c r="A64" s="26">
        <v>42791.330138888887</v>
      </c>
      <c r="B64" s="20" t="s">
        <v>247</v>
      </c>
      <c r="C64" s="20" t="s">
        <v>490</v>
      </c>
      <c r="D64" s="150">
        <v>1760000</v>
      </c>
      <c r="E64" s="20" t="s">
        <v>786</v>
      </c>
      <c r="F64" s="20" t="s">
        <v>787</v>
      </c>
      <c r="G64" s="8" t="str">
        <f t="shared" si="0"/>
        <v>STRICKLAND EVAN</v>
      </c>
    </row>
    <row r="65" spans="1:7" x14ac:dyDescent="0.25">
      <c r="A65" s="8">
        <v>42791.332384259258</v>
      </c>
      <c r="B65" s="20" t="s">
        <v>233</v>
      </c>
      <c r="C65" s="20" t="s">
        <v>563</v>
      </c>
      <c r="D65" s="150">
        <v>2020000</v>
      </c>
      <c r="E65" s="20" t="s">
        <v>339</v>
      </c>
      <c r="F65" s="20" t="s">
        <v>253</v>
      </c>
      <c r="G65" s="8" t="str">
        <f t="shared" si="0"/>
        <v>SHOOK JOHN</v>
      </c>
    </row>
    <row r="66" spans="1:7" x14ac:dyDescent="0.25">
      <c r="A66" s="8">
        <v>42791.338113425925</v>
      </c>
      <c r="B66" s="20" t="s">
        <v>412</v>
      </c>
      <c r="C66" s="20" t="s">
        <v>481</v>
      </c>
      <c r="D66" s="150">
        <v>1100000</v>
      </c>
      <c r="E66" s="20" t="s">
        <v>308</v>
      </c>
      <c r="F66" s="20" t="s">
        <v>309</v>
      </c>
      <c r="G66" s="8" t="str">
        <f t="shared" si="0"/>
        <v>GEBRETEKLE DAGNEW</v>
      </c>
    </row>
    <row r="67" spans="1:7" x14ac:dyDescent="0.25">
      <c r="A67" s="8">
        <v>42791.339918981481</v>
      </c>
      <c r="B67" s="20" t="s">
        <v>229</v>
      </c>
      <c r="C67" s="20" t="s">
        <v>493</v>
      </c>
      <c r="D67" s="150">
        <v>2370000</v>
      </c>
      <c r="E67" s="20" t="s">
        <v>347</v>
      </c>
      <c r="F67" s="20" t="s">
        <v>348</v>
      </c>
      <c r="G67" s="8" t="str">
        <f t="shared" ref="G67:G130" si="1">E67&amp;" "&amp;F67</f>
        <v>DELGADO DIANAH</v>
      </c>
    </row>
    <row r="68" spans="1:7" x14ac:dyDescent="0.25">
      <c r="A68" s="8">
        <v>42791.343506944446</v>
      </c>
      <c r="B68" s="20" t="s">
        <v>212</v>
      </c>
      <c r="C68" s="20" t="s">
        <v>484</v>
      </c>
      <c r="D68" s="150">
        <v>2140000</v>
      </c>
      <c r="E68" s="20" t="s">
        <v>337</v>
      </c>
      <c r="F68" s="20" t="s">
        <v>338</v>
      </c>
      <c r="G68" s="8" t="str">
        <f t="shared" si="1"/>
        <v>ROBINSON KADDIBA</v>
      </c>
    </row>
    <row r="69" spans="1:7" x14ac:dyDescent="0.25">
      <c r="A69" s="8">
        <v>42791.351805555554</v>
      </c>
      <c r="B69" s="20" t="s">
        <v>209</v>
      </c>
      <c r="C69" s="20" t="s">
        <v>496</v>
      </c>
      <c r="D69" s="150">
        <v>890000</v>
      </c>
      <c r="E69" s="20" t="s">
        <v>310</v>
      </c>
      <c r="F69" s="20" t="s">
        <v>311</v>
      </c>
      <c r="G69" s="8" t="str">
        <f t="shared" si="1"/>
        <v>LOZA FIDEL</v>
      </c>
    </row>
    <row r="70" spans="1:7" x14ac:dyDescent="0.25">
      <c r="A70" s="8">
        <v>42791.357627314814</v>
      </c>
      <c r="B70" s="20" t="s">
        <v>244</v>
      </c>
      <c r="C70" s="20" t="s">
        <v>489</v>
      </c>
      <c r="D70" s="150">
        <v>1780000</v>
      </c>
      <c r="E70" s="20" t="s">
        <v>292</v>
      </c>
      <c r="F70" s="20" t="s">
        <v>293</v>
      </c>
      <c r="G70" s="8" t="str">
        <f t="shared" si="1"/>
        <v>DE LA ROSA ALEX</v>
      </c>
    </row>
    <row r="71" spans="1:7" x14ac:dyDescent="0.25">
      <c r="A71" s="8">
        <v>42791.360601851855</v>
      </c>
      <c r="B71" s="20" t="s">
        <v>234</v>
      </c>
      <c r="C71" s="20" t="s">
        <v>565</v>
      </c>
      <c r="D71" s="150">
        <v>2020000</v>
      </c>
      <c r="E71" s="20" t="s">
        <v>339</v>
      </c>
      <c r="F71" s="20" t="s">
        <v>253</v>
      </c>
      <c r="G71" s="8" t="str">
        <f t="shared" si="1"/>
        <v>SHOOK JOHN</v>
      </c>
    </row>
    <row r="72" spans="1:7" x14ac:dyDescent="0.25">
      <c r="A72" s="8">
        <v>42791.362442129626</v>
      </c>
      <c r="B72" s="20" t="s">
        <v>250</v>
      </c>
      <c r="C72" s="20" t="s">
        <v>498</v>
      </c>
      <c r="D72" s="150">
        <v>2550000</v>
      </c>
      <c r="E72" s="20" t="s">
        <v>306</v>
      </c>
      <c r="F72" s="20" t="s">
        <v>307</v>
      </c>
      <c r="G72" s="8" t="str">
        <f t="shared" si="1"/>
        <v>BADERTSCHER DIANE</v>
      </c>
    </row>
    <row r="73" spans="1:7" x14ac:dyDescent="0.25">
      <c r="A73" s="8">
        <v>42791.364236111112</v>
      </c>
      <c r="B73" s="20" t="s">
        <v>230</v>
      </c>
      <c r="C73" s="20" t="s">
        <v>492</v>
      </c>
      <c r="D73" s="150">
        <v>1760000</v>
      </c>
      <c r="E73" s="20" t="s">
        <v>786</v>
      </c>
      <c r="F73" s="20" t="s">
        <v>787</v>
      </c>
      <c r="G73" s="8" t="str">
        <f t="shared" si="1"/>
        <v>STRICKLAND EVAN</v>
      </c>
    </row>
    <row r="74" spans="1:7" x14ac:dyDescent="0.25">
      <c r="A74" s="8">
        <v>42791.370520833334</v>
      </c>
      <c r="B74" s="20" t="s">
        <v>427</v>
      </c>
      <c r="C74" s="20" t="s">
        <v>502</v>
      </c>
      <c r="D74" s="150">
        <v>1100000</v>
      </c>
      <c r="E74" s="20" t="s">
        <v>308</v>
      </c>
      <c r="F74" s="20" t="s">
        <v>309</v>
      </c>
      <c r="G74" s="8" t="str">
        <f t="shared" si="1"/>
        <v>GEBRETEKLE DAGNEW</v>
      </c>
    </row>
    <row r="75" spans="1:7" x14ac:dyDescent="0.25">
      <c r="A75" s="8">
        <v>42791.373310185183</v>
      </c>
      <c r="B75" s="20" t="s">
        <v>226</v>
      </c>
      <c r="C75" s="20" t="s">
        <v>494</v>
      </c>
      <c r="D75" s="150">
        <v>2370000</v>
      </c>
      <c r="E75" s="20" t="s">
        <v>347</v>
      </c>
      <c r="F75" s="20" t="s">
        <v>348</v>
      </c>
      <c r="G75" s="8" t="str">
        <f t="shared" si="1"/>
        <v>DELGADO DIANAH</v>
      </c>
    </row>
    <row r="76" spans="1:7" x14ac:dyDescent="0.25">
      <c r="A76" s="8">
        <v>42791.374513888892</v>
      </c>
      <c r="B76" s="20" t="s">
        <v>233</v>
      </c>
      <c r="C76" s="20" t="s">
        <v>568</v>
      </c>
      <c r="D76" s="150">
        <v>2020000</v>
      </c>
      <c r="E76" s="20" t="s">
        <v>339</v>
      </c>
      <c r="F76" s="20" t="s">
        <v>253</v>
      </c>
      <c r="G76" s="8" t="str">
        <f t="shared" si="1"/>
        <v>SHOOK JOHN</v>
      </c>
    </row>
    <row r="77" spans="1:7" x14ac:dyDescent="0.25">
      <c r="A77" s="8">
        <v>42791.382071759261</v>
      </c>
      <c r="B77" s="20" t="s">
        <v>213</v>
      </c>
      <c r="C77" s="20" t="s">
        <v>403</v>
      </c>
      <c r="D77" s="150">
        <v>2140000</v>
      </c>
      <c r="E77" s="20" t="s">
        <v>337</v>
      </c>
      <c r="F77" s="20" t="s">
        <v>338</v>
      </c>
      <c r="G77" s="8" t="str">
        <f t="shared" si="1"/>
        <v>ROBINSON KADDIBA</v>
      </c>
    </row>
    <row r="78" spans="1:7" x14ac:dyDescent="0.25">
      <c r="A78" s="8">
        <v>42791.391250000001</v>
      </c>
      <c r="B78" s="20" t="s">
        <v>210</v>
      </c>
      <c r="C78" s="20" t="s">
        <v>497</v>
      </c>
      <c r="D78" s="150">
        <v>890000</v>
      </c>
      <c r="E78" s="20" t="s">
        <v>310</v>
      </c>
      <c r="F78" s="20" t="s">
        <v>311</v>
      </c>
      <c r="G78" s="8" t="str">
        <f t="shared" si="1"/>
        <v>LOZA FIDEL</v>
      </c>
    </row>
    <row r="79" spans="1:7" x14ac:dyDescent="0.25">
      <c r="A79" s="8">
        <v>42791.393113425926</v>
      </c>
      <c r="B79" s="20" t="s">
        <v>246</v>
      </c>
      <c r="C79" s="20" t="s">
        <v>506</v>
      </c>
      <c r="D79" s="150">
        <v>1780000</v>
      </c>
      <c r="E79" s="20" t="s">
        <v>292</v>
      </c>
      <c r="F79" s="20" t="s">
        <v>293</v>
      </c>
      <c r="G79" s="8" t="str">
        <f t="shared" si="1"/>
        <v>DE LA ROSA ALEX</v>
      </c>
    </row>
    <row r="80" spans="1:7" x14ac:dyDescent="0.25">
      <c r="A80" s="8">
        <v>42791.397372685184</v>
      </c>
      <c r="B80" s="20" t="s">
        <v>251</v>
      </c>
      <c r="C80" s="20" t="s">
        <v>404</v>
      </c>
      <c r="D80" s="150">
        <v>2550000</v>
      </c>
      <c r="E80" s="20" t="s">
        <v>306</v>
      </c>
      <c r="F80" s="20" t="s">
        <v>307</v>
      </c>
      <c r="G80" s="8" t="str">
        <f t="shared" si="1"/>
        <v>BADERTSCHER DIANE</v>
      </c>
    </row>
    <row r="81" spans="1:7" x14ac:dyDescent="0.25">
      <c r="A81" s="8">
        <v>42791.401296296295</v>
      </c>
      <c r="B81" s="20" t="s">
        <v>234</v>
      </c>
      <c r="C81" s="20" t="s">
        <v>568</v>
      </c>
      <c r="D81" s="150">
        <v>2020000</v>
      </c>
      <c r="E81" s="20" t="s">
        <v>339</v>
      </c>
      <c r="F81" s="20" t="s">
        <v>253</v>
      </c>
      <c r="G81" s="8" t="str">
        <f t="shared" si="1"/>
        <v>SHOOK JOHN</v>
      </c>
    </row>
    <row r="82" spans="1:7" x14ac:dyDescent="0.25">
      <c r="A82" s="8">
        <v>42791.401909722219</v>
      </c>
      <c r="B82" s="20" t="s">
        <v>234</v>
      </c>
      <c r="C82" s="20" t="s">
        <v>568</v>
      </c>
      <c r="D82" s="150">
        <v>2020000</v>
      </c>
      <c r="E82" s="20" t="s">
        <v>339</v>
      </c>
      <c r="F82" s="20" t="s">
        <v>253</v>
      </c>
      <c r="G82" s="8" t="str">
        <f t="shared" si="1"/>
        <v>SHOOK JOHN</v>
      </c>
    </row>
    <row r="83" spans="1:7" x14ac:dyDescent="0.25">
      <c r="A83" s="8">
        <v>42791.403263888889</v>
      </c>
      <c r="B83" s="20" t="s">
        <v>234</v>
      </c>
      <c r="C83" s="20" t="s">
        <v>571</v>
      </c>
      <c r="D83" s="150">
        <v>2020000</v>
      </c>
      <c r="E83" s="20" t="s">
        <v>339</v>
      </c>
      <c r="F83" s="20" t="s">
        <v>253</v>
      </c>
      <c r="G83" s="8" t="str">
        <f t="shared" si="1"/>
        <v>SHOOK JOHN</v>
      </c>
    </row>
    <row r="84" spans="1:7" x14ac:dyDescent="0.25">
      <c r="A84" s="8">
        <v>42791.404085648152</v>
      </c>
      <c r="B84" s="20" t="s">
        <v>247</v>
      </c>
      <c r="C84" s="20" t="s">
        <v>509</v>
      </c>
      <c r="D84" s="150">
        <v>2360000</v>
      </c>
      <c r="E84" s="20" t="s">
        <v>782</v>
      </c>
      <c r="F84" s="20" t="s">
        <v>783</v>
      </c>
      <c r="G84" s="8" t="str">
        <f t="shared" si="1"/>
        <v>BRANDNER MELINDA</v>
      </c>
    </row>
    <row r="85" spans="1:7" x14ac:dyDescent="0.25">
      <c r="A85" s="8">
        <v>42791.408865740741</v>
      </c>
      <c r="B85" s="20" t="s">
        <v>412</v>
      </c>
      <c r="C85" s="20" t="s">
        <v>503</v>
      </c>
      <c r="D85" s="150">
        <v>1100000</v>
      </c>
      <c r="E85" s="20" t="s">
        <v>308</v>
      </c>
      <c r="F85" s="20" t="s">
        <v>309</v>
      </c>
      <c r="G85" s="8" t="str">
        <f t="shared" si="1"/>
        <v>GEBRETEKLE DAGNEW</v>
      </c>
    </row>
    <row r="86" spans="1:7" x14ac:dyDescent="0.25">
      <c r="A86" s="8">
        <v>42791.411319444444</v>
      </c>
      <c r="B86" s="20" t="s">
        <v>229</v>
      </c>
      <c r="C86" s="20" t="s">
        <v>405</v>
      </c>
      <c r="D86" s="150">
        <v>1360000</v>
      </c>
      <c r="E86" s="20" t="s">
        <v>784</v>
      </c>
      <c r="F86" s="20" t="s">
        <v>785</v>
      </c>
      <c r="G86" s="8" t="str">
        <f t="shared" si="1"/>
        <v>SANTIZO D. EDY</v>
      </c>
    </row>
    <row r="87" spans="1:7" x14ac:dyDescent="0.25">
      <c r="A87" s="8">
        <v>42791.415219907409</v>
      </c>
      <c r="B87" s="20" t="s">
        <v>233</v>
      </c>
      <c r="C87" s="20" t="s">
        <v>573</v>
      </c>
      <c r="D87" s="150">
        <v>2020000</v>
      </c>
      <c r="E87" s="20" t="s">
        <v>339</v>
      </c>
      <c r="F87" s="20" t="s">
        <v>253</v>
      </c>
      <c r="G87" s="8" t="str">
        <f t="shared" si="1"/>
        <v>SHOOK JOHN</v>
      </c>
    </row>
    <row r="88" spans="1:7" x14ac:dyDescent="0.25">
      <c r="A88" s="8">
        <v>42791.421168981484</v>
      </c>
      <c r="B88" s="20" t="s">
        <v>212</v>
      </c>
      <c r="C88" s="20" t="s">
        <v>505</v>
      </c>
      <c r="D88" s="150">
        <v>2140000</v>
      </c>
      <c r="E88" s="20" t="s">
        <v>337</v>
      </c>
      <c r="F88" s="20" t="s">
        <v>338</v>
      </c>
      <c r="G88" s="8" t="str">
        <f t="shared" si="1"/>
        <v>ROBINSON KADDIBA</v>
      </c>
    </row>
    <row r="89" spans="1:7" x14ac:dyDescent="0.25">
      <c r="A89" s="8">
        <v>42791.425162037034</v>
      </c>
      <c r="B89" s="20" t="s">
        <v>209</v>
      </c>
      <c r="C89" s="20" t="s">
        <v>514</v>
      </c>
      <c r="D89" s="150">
        <v>890000</v>
      </c>
      <c r="E89" s="20" t="s">
        <v>310</v>
      </c>
      <c r="F89" s="20" t="s">
        <v>311</v>
      </c>
      <c r="G89" s="8" t="str">
        <f t="shared" si="1"/>
        <v>LOZA FIDEL</v>
      </c>
    </row>
    <row r="90" spans="1:7" x14ac:dyDescent="0.25">
      <c r="A90" s="8">
        <v>42791.430972222224</v>
      </c>
      <c r="B90" s="20" t="s">
        <v>244</v>
      </c>
      <c r="C90" s="20" t="s">
        <v>507</v>
      </c>
      <c r="D90" s="150">
        <v>1780000</v>
      </c>
      <c r="E90" s="20" t="s">
        <v>292</v>
      </c>
      <c r="F90" s="20" t="s">
        <v>293</v>
      </c>
      <c r="G90" s="8" t="str">
        <f t="shared" si="1"/>
        <v>DE LA ROSA ALEX</v>
      </c>
    </row>
    <row r="91" spans="1:7" x14ac:dyDescent="0.25">
      <c r="A91" s="8">
        <v>42791.434398148151</v>
      </c>
      <c r="B91" s="20" t="s">
        <v>250</v>
      </c>
      <c r="C91" s="20" t="s">
        <v>518</v>
      </c>
      <c r="D91" s="150">
        <v>2420000</v>
      </c>
      <c r="E91" s="20" t="s">
        <v>788</v>
      </c>
      <c r="F91" s="20" t="s">
        <v>789</v>
      </c>
      <c r="G91" s="8" t="str">
        <f t="shared" si="1"/>
        <v>HOLCOMB KAMDEN</v>
      </c>
    </row>
    <row r="92" spans="1:7" x14ac:dyDescent="0.25">
      <c r="A92" s="8">
        <v>42791.439375000002</v>
      </c>
      <c r="B92" s="20" t="s">
        <v>230</v>
      </c>
      <c r="C92" s="20" t="s">
        <v>510</v>
      </c>
      <c r="D92" s="150">
        <v>2360000</v>
      </c>
      <c r="E92" s="20" t="s">
        <v>782</v>
      </c>
      <c r="F92" s="20" t="s">
        <v>783</v>
      </c>
      <c r="G92" s="8" t="str">
        <f t="shared" si="1"/>
        <v>BRANDNER MELINDA</v>
      </c>
    </row>
    <row r="93" spans="1:7" x14ac:dyDescent="0.25">
      <c r="A93" s="8">
        <v>42791.442777777775</v>
      </c>
      <c r="B93" s="20" t="s">
        <v>234</v>
      </c>
      <c r="C93" s="20" t="s">
        <v>578</v>
      </c>
      <c r="D93" s="150">
        <v>2020000</v>
      </c>
      <c r="E93" s="20" t="s">
        <v>339</v>
      </c>
      <c r="F93" s="20" t="s">
        <v>253</v>
      </c>
      <c r="G93" s="8" t="str">
        <f t="shared" si="1"/>
        <v>SHOOK JOHN</v>
      </c>
    </row>
    <row r="94" spans="1:7" x14ac:dyDescent="0.25">
      <c r="A94" s="8">
        <v>42791.444456018522</v>
      </c>
      <c r="B94" s="20" t="s">
        <v>226</v>
      </c>
      <c r="C94" s="20" t="s">
        <v>512</v>
      </c>
      <c r="D94" s="150">
        <v>1360000</v>
      </c>
      <c r="E94" s="20" t="s">
        <v>784</v>
      </c>
      <c r="F94" s="20" t="s">
        <v>785</v>
      </c>
      <c r="G94" s="8" t="str">
        <f t="shared" si="1"/>
        <v>SANTIZO D. EDY</v>
      </c>
    </row>
    <row r="95" spans="1:7" x14ac:dyDescent="0.25">
      <c r="A95" s="8">
        <v>42791.445451388892</v>
      </c>
      <c r="B95" s="20" t="s">
        <v>427</v>
      </c>
      <c r="C95" s="20" t="s">
        <v>521</v>
      </c>
      <c r="D95" s="150">
        <v>1100000</v>
      </c>
      <c r="E95" s="20" t="s">
        <v>308</v>
      </c>
      <c r="F95" s="20" t="s">
        <v>309</v>
      </c>
      <c r="G95" s="8" t="str">
        <f t="shared" si="1"/>
        <v>GEBRETEKLE DAGNEW</v>
      </c>
    </row>
    <row r="96" spans="1:7" x14ac:dyDescent="0.25">
      <c r="A96" s="8">
        <v>42791.454965277779</v>
      </c>
      <c r="B96" s="20" t="s">
        <v>213</v>
      </c>
      <c r="C96" s="20" t="s">
        <v>523</v>
      </c>
      <c r="D96" s="150">
        <v>880000</v>
      </c>
      <c r="E96" s="20" t="s">
        <v>790</v>
      </c>
      <c r="F96" s="20" t="s">
        <v>196</v>
      </c>
      <c r="G96" s="8" t="str">
        <f t="shared" si="1"/>
        <v>STEWART MICHAEL</v>
      </c>
    </row>
    <row r="97" spans="1:7" x14ac:dyDescent="0.25">
      <c r="A97" s="8">
        <v>42791.456759259258</v>
      </c>
      <c r="B97" s="20" t="s">
        <v>233</v>
      </c>
      <c r="C97" s="20" t="s">
        <v>580</v>
      </c>
      <c r="D97" s="150">
        <v>2020000</v>
      </c>
      <c r="E97" s="20" t="s">
        <v>339</v>
      </c>
      <c r="F97" s="20" t="s">
        <v>253</v>
      </c>
      <c r="G97" s="8" t="str">
        <f t="shared" si="1"/>
        <v>SHOOK JOHN</v>
      </c>
    </row>
    <row r="98" spans="1:7" x14ac:dyDescent="0.25">
      <c r="A98" s="8">
        <v>42791.457499999997</v>
      </c>
      <c r="B98" s="20" t="s">
        <v>210</v>
      </c>
      <c r="C98" s="20" t="s">
        <v>516</v>
      </c>
      <c r="D98" s="150">
        <v>890000</v>
      </c>
      <c r="E98" s="20" t="s">
        <v>310</v>
      </c>
      <c r="F98" s="20" t="s">
        <v>311</v>
      </c>
      <c r="G98" s="8" t="str">
        <f t="shared" si="1"/>
        <v>LOZA FIDEL</v>
      </c>
    </row>
    <row r="99" spans="1:7" x14ac:dyDescent="0.25">
      <c r="A99" s="8">
        <v>42791.46471064815</v>
      </c>
      <c r="B99" s="20" t="s">
        <v>251</v>
      </c>
      <c r="C99" s="20" t="s">
        <v>406</v>
      </c>
      <c r="D99" s="150">
        <v>2420000</v>
      </c>
      <c r="E99" s="20" t="s">
        <v>788</v>
      </c>
      <c r="F99" s="20" t="s">
        <v>789</v>
      </c>
      <c r="G99" s="8" t="str">
        <f t="shared" si="1"/>
        <v>HOLCOMB KAMDEN</v>
      </c>
    </row>
    <row r="100" spans="1:7" x14ac:dyDescent="0.25">
      <c r="A100" s="8">
        <v>42791.466145833336</v>
      </c>
      <c r="B100" s="20" t="s">
        <v>246</v>
      </c>
      <c r="C100" s="20" t="s">
        <v>526</v>
      </c>
      <c r="D100" s="150">
        <v>920000</v>
      </c>
      <c r="E100" s="20" t="s">
        <v>791</v>
      </c>
      <c r="F100" s="20" t="s">
        <v>196</v>
      </c>
      <c r="G100" s="8" t="str">
        <f t="shared" si="1"/>
        <v>DAVIS MICHAEL</v>
      </c>
    </row>
    <row r="101" spans="1:7" x14ac:dyDescent="0.25">
      <c r="A101" s="8">
        <v>42791.477789351855</v>
      </c>
      <c r="B101" s="20" t="s">
        <v>247</v>
      </c>
      <c r="C101" s="20" t="s">
        <v>530</v>
      </c>
      <c r="D101" s="150">
        <v>1770000</v>
      </c>
      <c r="E101" s="20" t="s">
        <v>314</v>
      </c>
      <c r="F101" s="20" t="s">
        <v>315</v>
      </c>
      <c r="G101" s="8" t="str">
        <f t="shared" si="1"/>
        <v>BRUDER RICHARD</v>
      </c>
    </row>
    <row r="102" spans="1:7" x14ac:dyDescent="0.25">
      <c r="A102" s="8">
        <v>42791.482465277775</v>
      </c>
      <c r="B102" s="20" t="s">
        <v>412</v>
      </c>
      <c r="C102" s="20" t="s">
        <v>522</v>
      </c>
      <c r="D102" s="150">
        <v>1100000</v>
      </c>
      <c r="E102" s="20" t="s">
        <v>308</v>
      </c>
      <c r="F102" s="20" t="s">
        <v>309</v>
      </c>
      <c r="G102" s="8" t="str">
        <f t="shared" si="1"/>
        <v>GEBRETEKLE DAGNEW</v>
      </c>
    </row>
    <row r="103" spans="1:7" x14ac:dyDescent="0.25">
      <c r="A103" s="8">
        <v>42791.484386574077</v>
      </c>
      <c r="B103" s="20" t="s">
        <v>229</v>
      </c>
      <c r="C103" s="20" t="s">
        <v>532</v>
      </c>
      <c r="D103" s="150">
        <v>2030000</v>
      </c>
      <c r="E103" s="20" t="s">
        <v>341</v>
      </c>
      <c r="F103" s="20" t="s">
        <v>342</v>
      </c>
      <c r="G103" s="8" t="str">
        <f t="shared" si="1"/>
        <v>KILLION DAVID</v>
      </c>
    </row>
    <row r="104" spans="1:7" x14ac:dyDescent="0.25">
      <c r="A104" s="8">
        <v>42791.484525462962</v>
      </c>
      <c r="B104" s="20" t="s">
        <v>234</v>
      </c>
      <c r="C104" s="20" t="s">
        <v>582</v>
      </c>
      <c r="D104" s="150">
        <v>2020000</v>
      </c>
      <c r="E104" s="20" t="s">
        <v>339</v>
      </c>
      <c r="F104" s="20" t="s">
        <v>253</v>
      </c>
      <c r="G104" s="8" t="str">
        <f t="shared" si="1"/>
        <v>SHOOK JOHN</v>
      </c>
    </row>
    <row r="105" spans="1:7" x14ac:dyDescent="0.25">
      <c r="A105" s="8">
        <v>42791.49386574074</v>
      </c>
      <c r="B105" s="20" t="s">
        <v>212</v>
      </c>
      <c r="C105" s="20" t="s">
        <v>524</v>
      </c>
      <c r="D105" s="150">
        <v>880000</v>
      </c>
      <c r="E105" s="20" t="s">
        <v>790</v>
      </c>
      <c r="F105" s="20" t="s">
        <v>196</v>
      </c>
      <c r="G105" s="8" t="str">
        <f t="shared" si="1"/>
        <v>STEWART MICHAEL</v>
      </c>
    </row>
    <row r="106" spans="1:7" x14ac:dyDescent="0.25">
      <c r="A106" s="8">
        <v>42791.496724537035</v>
      </c>
      <c r="B106" s="20" t="s">
        <v>209</v>
      </c>
      <c r="C106" s="20" t="s">
        <v>407</v>
      </c>
      <c r="D106" s="150">
        <v>1300000</v>
      </c>
      <c r="E106" s="20" t="s">
        <v>792</v>
      </c>
      <c r="F106" s="20" t="s">
        <v>793</v>
      </c>
      <c r="G106" s="8" t="str">
        <f t="shared" si="1"/>
        <v>LEVIN SCOTT</v>
      </c>
    </row>
    <row r="107" spans="1:7" x14ac:dyDescent="0.25">
      <c r="A107" s="8">
        <v>42791.498402777775</v>
      </c>
      <c r="B107" s="20" t="s">
        <v>233</v>
      </c>
      <c r="C107" s="20" t="s">
        <v>408</v>
      </c>
      <c r="D107" s="150">
        <v>2020000</v>
      </c>
      <c r="E107" s="20" t="s">
        <v>339</v>
      </c>
      <c r="F107" s="20" t="s">
        <v>253</v>
      </c>
      <c r="G107" s="8" t="str">
        <f t="shared" si="1"/>
        <v>SHOOK JOHN</v>
      </c>
    </row>
    <row r="108" spans="1:7" x14ac:dyDescent="0.25">
      <c r="A108" s="8">
        <v>42791.500856481478</v>
      </c>
      <c r="B108" s="20" t="s">
        <v>201</v>
      </c>
      <c r="C108" s="20" t="s">
        <v>722</v>
      </c>
      <c r="D108" s="150">
        <v>2540000</v>
      </c>
      <c r="E108" s="20" t="s">
        <v>214</v>
      </c>
      <c r="F108" s="20" t="s">
        <v>215</v>
      </c>
      <c r="G108" s="8" t="str">
        <f t="shared" si="1"/>
        <v>MCREYNOLDS KYLE</v>
      </c>
    </row>
    <row r="109" spans="1:7" x14ac:dyDescent="0.25">
      <c r="A109" s="8">
        <v>42791.504652777781</v>
      </c>
      <c r="B109" s="20" t="s">
        <v>244</v>
      </c>
      <c r="C109" s="20" t="s">
        <v>527</v>
      </c>
      <c r="D109" s="150">
        <v>920000</v>
      </c>
      <c r="E109" s="20" t="s">
        <v>791</v>
      </c>
      <c r="F109" s="20" t="s">
        <v>196</v>
      </c>
      <c r="G109" s="8" t="str">
        <f t="shared" si="1"/>
        <v>DAVIS MICHAEL</v>
      </c>
    </row>
    <row r="110" spans="1:7" x14ac:dyDescent="0.25">
      <c r="A110" s="8">
        <v>42791.507164351853</v>
      </c>
      <c r="B110" s="20" t="s">
        <v>250</v>
      </c>
      <c r="C110" s="20" t="s">
        <v>536</v>
      </c>
      <c r="D110" s="150">
        <v>2480000</v>
      </c>
      <c r="E110" s="20" t="s">
        <v>350</v>
      </c>
      <c r="F110" s="20" t="s">
        <v>208</v>
      </c>
      <c r="G110" s="8" t="str">
        <f t="shared" si="1"/>
        <v>WHITED DUSTIN</v>
      </c>
    </row>
    <row r="111" spans="1:7" x14ac:dyDescent="0.25">
      <c r="A111" s="8">
        <v>42791.515231481484</v>
      </c>
      <c r="B111" s="20" t="s">
        <v>230</v>
      </c>
      <c r="C111" s="20" t="s">
        <v>531</v>
      </c>
      <c r="D111" s="150">
        <v>1770000</v>
      </c>
      <c r="E111" s="20" t="s">
        <v>314</v>
      </c>
      <c r="F111" s="20" t="s">
        <v>315</v>
      </c>
      <c r="G111" s="8" t="str">
        <f t="shared" si="1"/>
        <v>BRUDER RICHARD</v>
      </c>
    </row>
    <row r="112" spans="1:7" x14ac:dyDescent="0.25">
      <c r="A112" s="8">
        <v>42791.518414351849</v>
      </c>
      <c r="B112" s="20" t="s">
        <v>427</v>
      </c>
      <c r="C112" s="20" t="s">
        <v>540</v>
      </c>
      <c r="D112" s="150">
        <v>2540000</v>
      </c>
      <c r="E112" s="20" t="s">
        <v>214</v>
      </c>
      <c r="F112" s="20" t="s">
        <v>215</v>
      </c>
      <c r="G112" s="8" t="str">
        <f t="shared" si="1"/>
        <v>MCREYNOLDS KYLE</v>
      </c>
    </row>
    <row r="113" spans="1:7" x14ac:dyDescent="0.25">
      <c r="A113" s="8">
        <v>42791.521134259259</v>
      </c>
      <c r="B113" s="20" t="s">
        <v>217</v>
      </c>
      <c r="C113" s="20" t="s">
        <v>725</v>
      </c>
      <c r="D113" s="150">
        <v>1100000</v>
      </c>
      <c r="E113" s="20" t="s">
        <v>308</v>
      </c>
      <c r="F113" s="20" t="s">
        <v>309</v>
      </c>
      <c r="G113" s="8" t="str">
        <f t="shared" si="1"/>
        <v>GEBRETEKLE DAGNEW</v>
      </c>
    </row>
    <row r="114" spans="1:7" x14ac:dyDescent="0.25">
      <c r="A114" s="8">
        <v>42791.523333333331</v>
      </c>
      <c r="B114" s="20" t="s">
        <v>226</v>
      </c>
      <c r="C114" s="20" t="s">
        <v>409</v>
      </c>
      <c r="D114" s="150">
        <v>2030000</v>
      </c>
      <c r="E114" s="20" t="s">
        <v>341</v>
      </c>
      <c r="F114" s="20" t="s">
        <v>342</v>
      </c>
      <c r="G114" s="8" t="str">
        <f t="shared" si="1"/>
        <v>KILLION DAVID</v>
      </c>
    </row>
    <row r="115" spans="1:7" x14ac:dyDescent="0.25">
      <c r="A115" s="8">
        <v>42791.526030092595</v>
      </c>
      <c r="B115" s="20" t="s">
        <v>234</v>
      </c>
      <c r="C115" s="20" t="s">
        <v>585</v>
      </c>
      <c r="D115" s="150">
        <v>2020000</v>
      </c>
      <c r="E115" s="20" t="s">
        <v>339</v>
      </c>
      <c r="F115" s="20" t="s">
        <v>253</v>
      </c>
      <c r="G115" s="8" t="str">
        <f t="shared" si="1"/>
        <v>SHOOK JOHN</v>
      </c>
    </row>
    <row r="116" spans="1:7" x14ac:dyDescent="0.25">
      <c r="A116" s="8">
        <v>42791.528124999997</v>
      </c>
      <c r="B116" s="20" t="s">
        <v>213</v>
      </c>
      <c r="C116" s="20" t="s">
        <v>543</v>
      </c>
      <c r="D116" s="150">
        <v>880000</v>
      </c>
      <c r="E116" s="20" t="s">
        <v>790</v>
      </c>
      <c r="F116" s="20" t="s">
        <v>196</v>
      </c>
      <c r="G116" s="8" t="str">
        <f t="shared" si="1"/>
        <v>STEWART MICHAEL</v>
      </c>
    </row>
    <row r="117" spans="1:7" x14ac:dyDescent="0.25">
      <c r="A117" s="8">
        <v>42791.531898148147</v>
      </c>
      <c r="B117" s="20" t="s">
        <v>210</v>
      </c>
      <c r="C117" s="20" t="s">
        <v>534</v>
      </c>
      <c r="D117" s="150">
        <v>1300000</v>
      </c>
      <c r="E117" s="20" t="s">
        <v>792</v>
      </c>
      <c r="F117" s="20" t="s">
        <v>793</v>
      </c>
      <c r="G117" s="8" t="str">
        <f t="shared" si="1"/>
        <v>LEVIN SCOTT</v>
      </c>
    </row>
    <row r="118" spans="1:7" x14ac:dyDescent="0.25">
      <c r="A118" s="8">
        <v>42791.539652777778</v>
      </c>
      <c r="B118" s="20" t="s">
        <v>246</v>
      </c>
      <c r="C118" s="20" t="s">
        <v>545</v>
      </c>
      <c r="D118" s="150">
        <v>920000</v>
      </c>
      <c r="E118" s="20" t="s">
        <v>791</v>
      </c>
      <c r="F118" s="20" t="s">
        <v>196</v>
      </c>
      <c r="G118" s="8" t="str">
        <f t="shared" si="1"/>
        <v>DAVIS MICHAEL</v>
      </c>
    </row>
    <row r="119" spans="1:7" x14ac:dyDescent="0.25">
      <c r="A119" s="8">
        <v>42791.540543981479</v>
      </c>
      <c r="B119" s="20" t="s">
        <v>233</v>
      </c>
      <c r="C119" s="20" t="s">
        <v>588</v>
      </c>
      <c r="D119" s="150">
        <v>2020000</v>
      </c>
      <c r="E119" s="20" t="s">
        <v>339</v>
      </c>
      <c r="F119" s="20" t="s">
        <v>253</v>
      </c>
      <c r="G119" s="8" t="str">
        <f t="shared" si="1"/>
        <v>SHOOK JOHN</v>
      </c>
    </row>
    <row r="120" spans="1:7" x14ac:dyDescent="0.25">
      <c r="A120" s="8">
        <v>42791.542534722219</v>
      </c>
      <c r="B120" s="20" t="s">
        <v>251</v>
      </c>
      <c r="C120" s="20" t="s">
        <v>538</v>
      </c>
      <c r="D120" s="150">
        <v>2480000</v>
      </c>
      <c r="E120" s="20" t="s">
        <v>350</v>
      </c>
      <c r="F120" s="20" t="s">
        <v>208</v>
      </c>
      <c r="G120" s="8" t="str">
        <f t="shared" si="1"/>
        <v>WHITED DUSTIN</v>
      </c>
    </row>
    <row r="121" spans="1:7" x14ac:dyDescent="0.25">
      <c r="A121" s="8">
        <v>42791.547210648147</v>
      </c>
      <c r="B121" s="20" t="s">
        <v>247</v>
      </c>
      <c r="C121" s="20" t="s">
        <v>547</v>
      </c>
      <c r="D121" s="150">
        <v>1770000</v>
      </c>
      <c r="E121" s="20" t="s">
        <v>314</v>
      </c>
      <c r="F121" s="20" t="s">
        <v>315</v>
      </c>
      <c r="G121" s="8" t="str">
        <f t="shared" si="1"/>
        <v>BRUDER RICHARD</v>
      </c>
    </row>
    <row r="122" spans="1:7" x14ac:dyDescent="0.25">
      <c r="A122" s="8">
        <v>42791.555173611108</v>
      </c>
      <c r="B122" s="25" t="s">
        <v>412</v>
      </c>
      <c r="C122" s="20" t="s">
        <v>542</v>
      </c>
      <c r="D122" s="150">
        <v>2540000</v>
      </c>
      <c r="E122" s="20" t="s">
        <v>214</v>
      </c>
      <c r="F122" s="20" t="s">
        <v>215</v>
      </c>
      <c r="G122" s="8" t="str">
        <f t="shared" si="1"/>
        <v>MCREYNOLDS KYLE</v>
      </c>
    </row>
    <row r="123" spans="1:7" x14ac:dyDescent="0.25">
      <c r="A123" s="8">
        <v>42791.559050925927</v>
      </c>
      <c r="B123" s="20" t="s">
        <v>229</v>
      </c>
      <c r="C123" s="20" t="s">
        <v>549</v>
      </c>
      <c r="D123" s="150">
        <v>2030000</v>
      </c>
      <c r="E123" s="20" t="s">
        <v>341</v>
      </c>
      <c r="F123" s="20" t="s">
        <v>342</v>
      </c>
      <c r="G123" s="8" t="str">
        <f t="shared" si="1"/>
        <v>KILLION DAVID</v>
      </c>
    </row>
    <row r="124" spans="1:7" x14ac:dyDescent="0.25">
      <c r="A124" s="8">
        <v>42791.566817129627</v>
      </c>
      <c r="B124" s="20" t="s">
        <v>212</v>
      </c>
      <c r="C124" s="20" t="s">
        <v>544</v>
      </c>
      <c r="D124" s="150">
        <v>880000</v>
      </c>
      <c r="E124" s="20" t="s">
        <v>790</v>
      </c>
      <c r="F124" s="20" t="s">
        <v>196</v>
      </c>
      <c r="G124" s="8" t="str">
        <f t="shared" si="1"/>
        <v>STEWART MICHAEL</v>
      </c>
    </row>
    <row r="125" spans="1:7" x14ac:dyDescent="0.25">
      <c r="A125" s="8">
        <v>42791.56759259259</v>
      </c>
      <c r="B125" s="20" t="s">
        <v>234</v>
      </c>
      <c r="C125" s="20" t="s">
        <v>410</v>
      </c>
      <c r="D125" s="150">
        <v>2020000</v>
      </c>
      <c r="E125" s="20" t="s">
        <v>339</v>
      </c>
      <c r="F125" s="20" t="s">
        <v>253</v>
      </c>
      <c r="G125" s="8" t="str">
        <f t="shared" si="1"/>
        <v>SHOOK JOHN</v>
      </c>
    </row>
    <row r="126" spans="1:7" x14ac:dyDescent="0.25">
      <c r="A126" s="8">
        <v>42791.569236111114</v>
      </c>
      <c r="B126" s="20" t="s">
        <v>209</v>
      </c>
      <c r="C126" s="20" t="s">
        <v>576</v>
      </c>
      <c r="D126" s="150">
        <v>1300000</v>
      </c>
      <c r="E126" s="20" t="s">
        <v>792</v>
      </c>
      <c r="F126" s="20" t="s">
        <v>793</v>
      </c>
      <c r="G126" s="8" t="str">
        <f t="shared" si="1"/>
        <v>LEVIN SCOTT</v>
      </c>
    </row>
    <row r="127" spans="1:7" x14ac:dyDescent="0.25">
      <c r="A127" s="8">
        <v>42791.576782407406</v>
      </c>
      <c r="B127" s="20" t="s">
        <v>244</v>
      </c>
      <c r="C127" s="20" t="s">
        <v>546</v>
      </c>
      <c r="D127" s="150">
        <v>530000</v>
      </c>
      <c r="E127" s="20" t="s">
        <v>794</v>
      </c>
      <c r="F127" s="20" t="s">
        <v>795</v>
      </c>
      <c r="G127" s="8" t="str">
        <f t="shared" si="1"/>
        <v>POLLOCK JASON</v>
      </c>
    </row>
    <row r="128" spans="1:7" x14ac:dyDescent="0.25">
      <c r="A128" s="8">
        <v>42791.578715277778</v>
      </c>
      <c r="B128" s="20" t="s">
        <v>250</v>
      </c>
      <c r="C128" s="20" t="s">
        <v>613</v>
      </c>
      <c r="D128" s="150">
        <v>2420000</v>
      </c>
      <c r="E128" s="20" t="s">
        <v>788</v>
      </c>
      <c r="F128" s="20" t="s">
        <v>789</v>
      </c>
      <c r="G128" s="8" t="str">
        <f t="shared" si="1"/>
        <v>HOLCOMB KAMDEN</v>
      </c>
    </row>
    <row r="129" spans="1:7" x14ac:dyDescent="0.25">
      <c r="A129" s="8">
        <v>42791.586388888885</v>
      </c>
      <c r="B129" s="20" t="s">
        <v>230</v>
      </c>
      <c r="C129" s="20" t="s">
        <v>548</v>
      </c>
      <c r="D129" s="150">
        <v>1770000</v>
      </c>
      <c r="E129" s="20" t="s">
        <v>314</v>
      </c>
      <c r="F129" s="20" t="s">
        <v>315</v>
      </c>
      <c r="G129" s="8" t="str">
        <f t="shared" si="1"/>
        <v>BRUDER RICHARD</v>
      </c>
    </row>
    <row r="130" spans="1:7" x14ac:dyDescent="0.25">
      <c r="A130" s="8">
        <v>42791.590462962966</v>
      </c>
      <c r="B130" s="20" t="s">
        <v>427</v>
      </c>
      <c r="C130" s="20" t="s">
        <v>624</v>
      </c>
      <c r="D130" s="150">
        <v>2540000</v>
      </c>
      <c r="E130" s="20" t="s">
        <v>214</v>
      </c>
      <c r="F130" s="20" t="s">
        <v>215</v>
      </c>
      <c r="G130" s="8" t="str">
        <f t="shared" si="1"/>
        <v>MCREYNOLDS KYLE</v>
      </c>
    </row>
    <row r="131" spans="1:7" x14ac:dyDescent="0.25">
      <c r="A131" s="8">
        <v>42791.595706018517</v>
      </c>
      <c r="B131" s="20" t="s">
        <v>233</v>
      </c>
      <c r="C131" s="20" t="s">
        <v>590</v>
      </c>
      <c r="D131" s="150">
        <v>1540000</v>
      </c>
      <c r="E131" s="20" t="s">
        <v>312</v>
      </c>
      <c r="F131" s="20" t="s">
        <v>313</v>
      </c>
      <c r="G131" s="8" t="str">
        <f t="shared" ref="G131:G194" si="2">E131&amp;" "&amp;F131</f>
        <v>HELVIE ADAM</v>
      </c>
    </row>
    <row r="132" spans="1:7" x14ac:dyDescent="0.25">
      <c r="A132" s="8">
        <v>42791.596504629626</v>
      </c>
      <c r="B132" s="20" t="s">
        <v>226</v>
      </c>
      <c r="C132" s="20" t="s">
        <v>550</v>
      </c>
      <c r="D132" s="150">
        <v>2030000</v>
      </c>
      <c r="E132" s="20" t="s">
        <v>341</v>
      </c>
      <c r="F132" s="20" t="s">
        <v>342</v>
      </c>
      <c r="G132" s="8" t="str">
        <f t="shared" si="2"/>
        <v>KILLION DAVID</v>
      </c>
    </row>
    <row r="133" spans="1:7" x14ac:dyDescent="0.25">
      <c r="A133" s="8">
        <v>42791.602083333331</v>
      </c>
      <c r="B133" s="20" t="s">
        <v>213</v>
      </c>
      <c r="C133" s="20" t="s">
        <v>544</v>
      </c>
      <c r="D133" s="150">
        <v>880000</v>
      </c>
      <c r="E133" s="20" t="s">
        <v>790</v>
      </c>
      <c r="F133" s="20" t="s">
        <v>196</v>
      </c>
      <c r="G133" s="8" t="str">
        <f t="shared" si="2"/>
        <v>STEWART MICHAEL</v>
      </c>
    </row>
    <row r="134" spans="1:7" x14ac:dyDescent="0.25">
      <c r="A134" s="8">
        <v>42791.602685185186</v>
      </c>
      <c r="B134" s="20" t="s">
        <v>213</v>
      </c>
      <c r="C134" s="20" t="s">
        <v>411</v>
      </c>
      <c r="D134" s="150">
        <v>880000</v>
      </c>
      <c r="E134" s="20" t="s">
        <v>790</v>
      </c>
      <c r="F134" s="20" t="s">
        <v>196</v>
      </c>
      <c r="G134" s="8" t="str">
        <f t="shared" si="2"/>
        <v>STEWART MICHAEL</v>
      </c>
    </row>
    <row r="135" spans="1:7" x14ac:dyDescent="0.25">
      <c r="A135" s="8">
        <v>42791.608113425929</v>
      </c>
      <c r="B135" s="20" t="s">
        <v>210</v>
      </c>
      <c r="C135" s="20" t="s">
        <v>594</v>
      </c>
      <c r="D135" s="150">
        <v>1300000</v>
      </c>
      <c r="E135" s="20" t="s">
        <v>792</v>
      </c>
      <c r="F135" s="20" t="s">
        <v>793</v>
      </c>
      <c r="G135" s="8" t="str">
        <f t="shared" si="2"/>
        <v>LEVIN SCOTT</v>
      </c>
    </row>
    <row r="136" spans="1:7" x14ac:dyDescent="0.25">
      <c r="A136" s="8">
        <v>42791.609502314815</v>
      </c>
      <c r="B136" s="20" t="s">
        <v>234</v>
      </c>
      <c r="C136" s="20" t="s">
        <v>592</v>
      </c>
      <c r="D136" s="150">
        <v>1540000</v>
      </c>
      <c r="E136" s="20" t="s">
        <v>312</v>
      </c>
      <c r="F136" s="20" t="s">
        <v>313</v>
      </c>
      <c r="G136" s="8" t="str">
        <f t="shared" si="2"/>
        <v>HELVIE ADAM</v>
      </c>
    </row>
    <row r="137" spans="1:7" x14ac:dyDescent="0.25">
      <c r="A137" s="8">
        <v>42791.610879629632</v>
      </c>
      <c r="B137" s="20" t="s">
        <v>246</v>
      </c>
      <c r="C137" s="20" t="s">
        <v>628</v>
      </c>
      <c r="D137" s="150">
        <v>530000</v>
      </c>
      <c r="E137" s="20" t="s">
        <v>794</v>
      </c>
      <c r="F137" s="20" t="s">
        <v>795</v>
      </c>
      <c r="G137" s="8" t="str">
        <f t="shared" si="2"/>
        <v>POLLOCK JASON</v>
      </c>
    </row>
    <row r="138" spans="1:7" x14ac:dyDescent="0.25">
      <c r="A138" s="8">
        <v>42791.612696759257</v>
      </c>
      <c r="B138" s="20" t="s">
        <v>251</v>
      </c>
      <c r="C138" s="20" t="s">
        <v>623</v>
      </c>
      <c r="D138" s="150">
        <v>2420000</v>
      </c>
      <c r="E138" s="20" t="s">
        <v>788</v>
      </c>
      <c r="F138" s="20" t="s">
        <v>789</v>
      </c>
      <c r="G138" s="8" t="str">
        <f t="shared" si="2"/>
        <v>HOLCOMB KAMDEN</v>
      </c>
    </row>
    <row r="139" spans="1:7" x14ac:dyDescent="0.25">
      <c r="A139" s="8">
        <v>42791.620613425926</v>
      </c>
      <c r="B139" s="20" t="s">
        <v>247</v>
      </c>
      <c r="C139" s="20" t="s">
        <v>636</v>
      </c>
      <c r="D139" s="150">
        <v>1770000</v>
      </c>
      <c r="E139" s="20" t="s">
        <v>314</v>
      </c>
      <c r="F139" s="20" t="s">
        <v>315</v>
      </c>
      <c r="G139" s="8" t="str">
        <f t="shared" si="2"/>
        <v>BRUDER RICHARD</v>
      </c>
    </row>
    <row r="140" spans="1:7" x14ac:dyDescent="0.25">
      <c r="A140" s="8">
        <v>42791.624201388891</v>
      </c>
      <c r="B140" s="20" t="s">
        <v>412</v>
      </c>
      <c r="C140" s="20" t="s">
        <v>413</v>
      </c>
      <c r="D140" s="150">
        <v>2540000</v>
      </c>
      <c r="E140" s="20" t="s">
        <v>214</v>
      </c>
      <c r="F140" s="20" t="s">
        <v>215</v>
      </c>
      <c r="G140" s="8" t="str">
        <f t="shared" si="2"/>
        <v>MCREYNOLDS KYLE</v>
      </c>
    </row>
    <row r="141" spans="1:7" x14ac:dyDescent="0.25">
      <c r="A141" s="8">
        <v>42791.634201388886</v>
      </c>
      <c r="B141" s="20" t="s">
        <v>229</v>
      </c>
      <c r="C141" s="20" t="s">
        <v>638</v>
      </c>
      <c r="D141" s="150">
        <v>2030000</v>
      </c>
      <c r="E141" s="20" t="s">
        <v>341</v>
      </c>
      <c r="F141" s="20" t="s">
        <v>342</v>
      </c>
      <c r="G141" s="8" t="str">
        <f t="shared" si="2"/>
        <v>KILLION DAVID</v>
      </c>
    </row>
    <row r="142" spans="1:7" x14ac:dyDescent="0.25">
      <c r="A142" s="8">
        <v>42791.638032407405</v>
      </c>
      <c r="B142" s="20" t="s">
        <v>212</v>
      </c>
      <c r="C142" s="20" t="s">
        <v>626</v>
      </c>
      <c r="D142" s="150">
        <v>880000</v>
      </c>
      <c r="E142" s="20" t="s">
        <v>790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42791.638391203705</v>
      </c>
      <c r="B143" s="20" t="s">
        <v>233</v>
      </c>
      <c r="C143" s="20" t="s">
        <v>593</v>
      </c>
      <c r="D143" s="150">
        <v>1540000</v>
      </c>
      <c r="E143" s="20" t="s">
        <v>312</v>
      </c>
      <c r="F143" s="20" t="s">
        <v>313</v>
      </c>
      <c r="G143" s="8" t="str">
        <f t="shared" si="2"/>
        <v>HELVIE ADAM</v>
      </c>
    </row>
    <row r="144" spans="1:7" x14ac:dyDescent="0.25">
      <c r="A144" s="8">
        <v>42791.644375000003</v>
      </c>
      <c r="B144" s="20" t="s">
        <v>209</v>
      </c>
      <c r="C144" s="20" t="s">
        <v>639</v>
      </c>
      <c r="D144" s="150">
        <v>1300000</v>
      </c>
      <c r="E144" s="20" t="s">
        <v>792</v>
      </c>
      <c r="F144" s="20" t="s">
        <v>793</v>
      </c>
      <c r="G144" s="8" t="str">
        <f t="shared" si="2"/>
        <v>LEVIN SCOTT</v>
      </c>
    </row>
    <row r="145" spans="1:7" x14ac:dyDescent="0.25">
      <c r="A145" s="8">
        <v>42791.650405092594</v>
      </c>
      <c r="B145" s="20" t="s">
        <v>244</v>
      </c>
      <c r="C145" s="20" t="s">
        <v>630</v>
      </c>
      <c r="D145" s="150">
        <v>920000</v>
      </c>
      <c r="E145" s="20" t="s">
        <v>791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42791.65111111111</v>
      </c>
      <c r="B146" s="20" t="s">
        <v>234</v>
      </c>
      <c r="C146" s="20" t="s">
        <v>595</v>
      </c>
      <c r="D146" s="150">
        <v>1540000</v>
      </c>
      <c r="E146" s="20" t="s">
        <v>312</v>
      </c>
      <c r="F146" s="20" t="s">
        <v>313</v>
      </c>
      <c r="G146" s="8" t="str">
        <f t="shared" si="2"/>
        <v>HELVIE ADAM</v>
      </c>
    </row>
    <row r="147" spans="1:7" x14ac:dyDescent="0.25">
      <c r="A147" s="8">
        <v>42791.652696759258</v>
      </c>
      <c r="B147" s="20" t="s">
        <v>250</v>
      </c>
      <c r="C147" s="20" t="s">
        <v>414</v>
      </c>
      <c r="D147" s="150">
        <v>2420000</v>
      </c>
      <c r="E147" s="20" t="s">
        <v>788</v>
      </c>
      <c r="F147" s="20" t="s">
        <v>789</v>
      </c>
      <c r="G147" s="8" t="str">
        <f t="shared" si="2"/>
        <v>HOLCOMB KAMDEN</v>
      </c>
    </row>
    <row r="148" spans="1:7" x14ac:dyDescent="0.25">
      <c r="A148" s="8">
        <v>42791.660208333335</v>
      </c>
      <c r="B148" s="20" t="s">
        <v>230</v>
      </c>
      <c r="C148" s="20" t="s">
        <v>637</v>
      </c>
      <c r="D148" s="150">
        <v>1770000</v>
      </c>
      <c r="E148" s="20" t="s">
        <v>314</v>
      </c>
      <c r="F148" s="20" t="s">
        <v>315</v>
      </c>
      <c r="G148" s="8" t="str">
        <f t="shared" si="2"/>
        <v>BRUDER RICHARD</v>
      </c>
    </row>
    <row r="149" spans="1:7" x14ac:dyDescent="0.25">
      <c r="A149" s="8">
        <v>42791.662870370368</v>
      </c>
      <c r="B149" s="20" t="s">
        <v>427</v>
      </c>
      <c r="C149" s="20" t="s">
        <v>644</v>
      </c>
      <c r="D149" s="150">
        <v>2540000</v>
      </c>
      <c r="E149" s="20" t="s">
        <v>214</v>
      </c>
      <c r="F149" s="20" t="s">
        <v>215</v>
      </c>
      <c r="G149" s="8" t="str">
        <f t="shared" si="2"/>
        <v>MCREYNOLDS KYLE</v>
      </c>
    </row>
    <row r="150" spans="1:7" x14ac:dyDescent="0.25">
      <c r="A150" s="8">
        <v>42791.669768518521</v>
      </c>
      <c r="B150" s="20" t="s">
        <v>226</v>
      </c>
      <c r="C150" s="20" t="s">
        <v>416</v>
      </c>
      <c r="D150" s="150">
        <v>2030000</v>
      </c>
      <c r="E150" s="20" t="s">
        <v>341</v>
      </c>
      <c r="F150" s="20" t="s">
        <v>342</v>
      </c>
      <c r="G150" s="8" t="str">
        <f t="shared" si="2"/>
        <v>KILLION DAVID</v>
      </c>
    </row>
    <row r="151" spans="1:7" x14ac:dyDescent="0.25">
      <c r="A151" s="8">
        <v>42791.675057870372</v>
      </c>
      <c r="B151" s="20" t="s">
        <v>213</v>
      </c>
      <c r="C151" s="20" t="s">
        <v>646</v>
      </c>
      <c r="D151" s="150">
        <v>880000</v>
      </c>
      <c r="E151" s="20" t="s">
        <v>790</v>
      </c>
      <c r="F151" s="20" t="s">
        <v>196</v>
      </c>
      <c r="G151" s="8" t="str">
        <f t="shared" si="2"/>
        <v>STEWART MICHAEL</v>
      </c>
    </row>
    <row r="152" spans="1:7" x14ac:dyDescent="0.25">
      <c r="A152" s="8">
        <v>42791.679780092592</v>
      </c>
      <c r="B152" s="20" t="s">
        <v>233</v>
      </c>
      <c r="C152" s="20" t="s">
        <v>415</v>
      </c>
      <c r="D152" s="150">
        <v>1540000</v>
      </c>
      <c r="E152" s="20" t="s">
        <v>312</v>
      </c>
      <c r="F152" s="20" t="s">
        <v>313</v>
      </c>
      <c r="G152" s="8" t="str">
        <f t="shared" si="2"/>
        <v>HELVIE ADAM</v>
      </c>
    </row>
    <row r="153" spans="1:7" x14ac:dyDescent="0.25">
      <c r="A153" s="8">
        <v>42791.681064814817</v>
      </c>
      <c r="B153" s="20" t="s">
        <v>210</v>
      </c>
      <c r="C153" s="20" t="s">
        <v>641</v>
      </c>
      <c r="D153" s="150">
        <v>1300000</v>
      </c>
      <c r="E153" s="20" t="s">
        <v>792</v>
      </c>
      <c r="F153" s="20" t="s">
        <v>793</v>
      </c>
      <c r="G153" s="8" t="str">
        <f t="shared" si="2"/>
        <v>LEVIN SCOTT</v>
      </c>
    </row>
    <row r="154" spans="1:7" x14ac:dyDescent="0.25">
      <c r="A154" s="8">
        <v>42791.686006944445</v>
      </c>
      <c r="B154" s="20" t="s">
        <v>246</v>
      </c>
      <c r="C154" s="20" t="s">
        <v>648</v>
      </c>
      <c r="D154" s="150">
        <v>920000</v>
      </c>
      <c r="E154" s="20" t="s">
        <v>791</v>
      </c>
      <c r="F154" s="20" t="s">
        <v>196</v>
      </c>
      <c r="G154" s="8" t="str">
        <f t="shared" si="2"/>
        <v>DAVIS MICHAEL</v>
      </c>
    </row>
    <row r="155" spans="1:7" x14ac:dyDescent="0.25">
      <c r="A155" s="8">
        <v>42791.690613425926</v>
      </c>
      <c r="B155" s="20" t="s">
        <v>251</v>
      </c>
      <c r="C155" s="20" t="s">
        <v>643</v>
      </c>
      <c r="D155" s="150">
        <v>2420000</v>
      </c>
      <c r="E155" s="20" t="s">
        <v>788</v>
      </c>
      <c r="F155" s="20" t="s">
        <v>789</v>
      </c>
      <c r="G155" s="8" t="str">
        <f t="shared" si="2"/>
        <v>HOLCOMB KAMDEN</v>
      </c>
    </row>
    <row r="156" spans="1:7" x14ac:dyDescent="0.25">
      <c r="A156" s="8">
        <v>42791.692800925928</v>
      </c>
      <c r="B156" s="20" t="s">
        <v>234</v>
      </c>
      <c r="C156" s="20" t="s">
        <v>417</v>
      </c>
      <c r="D156" s="150">
        <v>1540000</v>
      </c>
      <c r="E156" s="20" t="s">
        <v>312</v>
      </c>
      <c r="F156" s="20" t="s">
        <v>313</v>
      </c>
      <c r="G156" s="8" t="str">
        <f t="shared" si="2"/>
        <v>HELVIE ADAM</v>
      </c>
    </row>
    <row r="157" spans="1:7" x14ac:dyDescent="0.25">
      <c r="A157" s="8">
        <v>42791.693287037036</v>
      </c>
      <c r="B157" s="20" t="s">
        <v>247</v>
      </c>
      <c r="C157" s="20" t="s">
        <v>650</v>
      </c>
      <c r="D157" s="150">
        <v>1770000</v>
      </c>
      <c r="E157" s="20" t="s">
        <v>314</v>
      </c>
      <c r="F157" s="20" t="s">
        <v>315</v>
      </c>
      <c r="G157" s="8" t="str">
        <f t="shared" si="2"/>
        <v>BRUDER RICHARD</v>
      </c>
    </row>
    <row r="158" spans="1:7" x14ac:dyDescent="0.25">
      <c r="A158" s="8">
        <v>42791.701203703706</v>
      </c>
      <c r="B158" s="20" t="s">
        <v>412</v>
      </c>
      <c r="C158" s="20" t="s">
        <v>645</v>
      </c>
      <c r="D158" s="150">
        <v>2540000</v>
      </c>
      <c r="E158" s="20" t="s">
        <v>214</v>
      </c>
      <c r="F158" s="20" t="s">
        <v>215</v>
      </c>
      <c r="G158" s="8" t="str">
        <f t="shared" si="2"/>
        <v>MCREYNOLDS KYLE</v>
      </c>
    </row>
    <row r="159" spans="1:7" x14ac:dyDescent="0.25">
      <c r="A159" s="8">
        <v>42791.704745370371</v>
      </c>
      <c r="B159" s="20" t="s">
        <v>229</v>
      </c>
      <c r="C159" s="20" t="s">
        <v>652</v>
      </c>
      <c r="D159" s="150">
        <v>2030000</v>
      </c>
      <c r="E159" s="20" t="s">
        <v>341</v>
      </c>
      <c r="F159" s="20" t="s">
        <v>342</v>
      </c>
      <c r="G159" s="8" t="str">
        <f t="shared" si="2"/>
        <v>KILLION DAVID</v>
      </c>
    </row>
    <row r="160" spans="1:7" x14ac:dyDescent="0.25">
      <c r="A160" s="8">
        <v>42791.712604166663</v>
      </c>
      <c r="B160" s="20" t="s">
        <v>212</v>
      </c>
      <c r="C160" s="20" t="s">
        <v>418</v>
      </c>
      <c r="D160" s="150">
        <v>880000</v>
      </c>
      <c r="E160" s="20" t="s">
        <v>790</v>
      </c>
      <c r="F160" s="20" t="s">
        <v>196</v>
      </c>
      <c r="G160" s="8" t="str">
        <f t="shared" si="2"/>
        <v>STEWART MICHAEL</v>
      </c>
    </row>
    <row r="161" spans="1:7" x14ac:dyDescent="0.25">
      <c r="A161" s="8">
        <v>42791.717615740738</v>
      </c>
      <c r="B161" s="20" t="s">
        <v>209</v>
      </c>
      <c r="C161" s="20" t="s">
        <v>654</v>
      </c>
      <c r="D161" s="150">
        <v>1300000</v>
      </c>
      <c r="E161" s="20" t="s">
        <v>792</v>
      </c>
      <c r="F161" s="20" t="s">
        <v>793</v>
      </c>
      <c r="G161" s="8" t="str">
        <f t="shared" si="2"/>
        <v>LEVIN SCOTT</v>
      </c>
    </row>
    <row r="162" spans="1:7" x14ac:dyDescent="0.25">
      <c r="A162" s="8">
        <v>42791.719259259262</v>
      </c>
      <c r="B162" s="20" t="s">
        <v>266</v>
      </c>
      <c r="C162" s="20" t="s">
        <v>419</v>
      </c>
      <c r="D162" s="150">
        <v>2440000</v>
      </c>
      <c r="E162" s="20" t="s">
        <v>344</v>
      </c>
      <c r="F162" s="20" t="s">
        <v>345</v>
      </c>
      <c r="G162" s="8" t="str">
        <f t="shared" si="2"/>
        <v>LOPES KIMBERLY</v>
      </c>
    </row>
    <row r="163" spans="1:7" x14ac:dyDescent="0.25">
      <c r="A163" s="8">
        <v>42791.721307870372</v>
      </c>
      <c r="B163" s="20" t="s">
        <v>233</v>
      </c>
      <c r="C163" s="20" t="s">
        <v>598</v>
      </c>
      <c r="D163" s="150">
        <v>1540000</v>
      </c>
      <c r="E163" s="20" t="s">
        <v>312</v>
      </c>
      <c r="F163" s="20" t="s">
        <v>313</v>
      </c>
      <c r="G163" s="8" t="str">
        <f t="shared" si="2"/>
        <v>HELVIE ADAM</v>
      </c>
    </row>
    <row r="164" spans="1:7" x14ac:dyDescent="0.25">
      <c r="A164" s="8">
        <v>42791.724386574075</v>
      </c>
      <c r="B164" s="20" t="s">
        <v>244</v>
      </c>
      <c r="C164" s="20" t="s">
        <v>421</v>
      </c>
      <c r="D164" s="150">
        <v>920000</v>
      </c>
      <c r="E164" s="20" t="s">
        <v>791</v>
      </c>
      <c r="F164" s="20" t="s">
        <v>196</v>
      </c>
      <c r="G164" s="8" t="str">
        <f t="shared" si="2"/>
        <v>DAVIS MICHAEL</v>
      </c>
    </row>
    <row r="165" spans="1:7" x14ac:dyDescent="0.25">
      <c r="A165" s="8">
        <v>42791.726099537038</v>
      </c>
      <c r="B165" s="20" t="s">
        <v>250</v>
      </c>
      <c r="C165" s="20" t="s">
        <v>420</v>
      </c>
      <c r="D165" s="150">
        <v>2420000</v>
      </c>
      <c r="E165" s="20" t="s">
        <v>788</v>
      </c>
      <c r="F165" s="20" t="s">
        <v>789</v>
      </c>
      <c r="G165" s="8" t="str">
        <f t="shared" si="2"/>
        <v>HOLCOMB KAMDEN</v>
      </c>
    </row>
    <row r="166" spans="1:7" x14ac:dyDescent="0.25">
      <c r="A166" s="8">
        <v>42791.73196759259</v>
      </c>
      <c r="B166" s="20" t="s">
        <v>230</v>
      </c>
      <c r="C166" s="20" t="s">
        <v>651</v>
      </c>
      <c r="D166" s="150">
        <v>1770000</v>
      </c>
      <c r="E166" s="20" t="s">
        <v>314</v>
      </c>
      <c r="F166" s="20" t="s">
        <v>315</v>
      </c>
      <c r="G166" s="8" t="str">
        <f t="shared" si="2"/>
        <v>BRUDER RICHARD</v>
      </c>
    </row>
    <row r="167" spans="1:7" x14ac:dyDescent="0.25">
      <c r="A167" s="8">
        <v>42791.733831018515</v>
      </c>
      <c r="B167" s="20" t="s">
        <v>234</v>
      </c>
      <c r="C167" s="20" t="s">
        <v>601</v>
      </c>
      <c r="D167" s="150">
        <v>1540000</v>
      </c>
      <c r="E167" s="20" t="s">
        <v>312</v>
      </c>
      <c r="F167" s="20" t="s">
        <v>313</v>
      </c>
      <c r="G167" s="8" t="str">
        <f t="shared" si="2"/>
        <v>HELVIE ADAM</v>
      </c>
    </row>
    <row r="168" spans="1:7" x14ac:dyDescent="0.25">
      <c r="A168" s="8">
        <v>42791.734305555554</v>
      </c>
      <c r="B168" s="20" t="s">
        <v>252</v>
      </c>
      <c r="C168" s="20" t="s">
        <v>727</v>
      </c>
      <c r="D168" s="150">
        <v>2000000</v>
      </c>
      <c r="E168" s="20" t="s">
        <v>781</v>
      </c>
      <c r="F168" s="20" t="s">
        <v>195</v>
      </c>
      <c r="G168" s="8" t="str">
        <f t="shared" si="2"/>
        <v>STAMBAUGH JAMES</v>
      </c>
    </row>
    <row r="169" spans="1:7" x14ac:dyDescent="0.25">
      <c r="A169" s="8">
        <v>42791.737696759257</v>
      </c>
      <c r="B169" s="20" t="s">
        <v>427</v>
      </c>
      <c r="C169" s="20" t="s">
        <v>659</v>
      </c>
      <c r="D169" s="150">
        <v>2230000</v>
      </c>
      <c r="E169" s="20" t="s">
        <v>343</v>
      </c>
      <c r="F169" s="20" t="s">
        <v>196</v>
      </c>
      <c r="G169" s="8" t="str">
        <f t="shared" si="2"/>
        <v>SMITH MICHAEL</v>
      </c>
    </row>
    <row r="170" spans="1:7" x14ac:dyDescent="0.25">
      <c r="A170" s="8">
        <v>42791.738912037035</v>
      </c>
      <c r="B170" s="20" t="s">
        <v>796</v>
      </c>
      <c r="C170" s="20" t="s">
        <v>731</v>
      </c>
      <c r="D170" s="150">
        <v>2610000</v>
      </c>
      <c r="E170" s="20" t="s">
        <v>797</v>
      </c>
      <c r="F170" s="20" t="s">
        <v>798</v>
      </c>
      <c r="G170" s="8" t="str">
        <f t="shared" si="2"/>
        <v>MAGEE KENYA</v>
      </c>
    </row>
    <row r="171" spans="1:7" x14ac:dyDescent="0.25">
      <c r="A171" s="8">
        <v>42791.740937499999</v>
      </c>
      <c r="B171" s="20" t="s">
        <v>226</v>
      </c>
      <c r="C171" s="20" t="s">
        <v>422</v>
      </c>
      <c r="D171" s="150">
        <v>2030000</v>
      </c>
      <c r="E171" s="20" t="s">
        <v>341</v>
      </c>
      <c r="F171" s="20" t="s">
        <v>342</v>
      </c>
      <c r="G171" s="8" t="str">
        <f t="shared" si="2"/>
        <v>KILLION DAVID</v>
      </c>
    </row>
    <row r="172" spans="1:7" x14ac:dyDescent="0.25">
      <c r="A172" s="8">
        <v>42791.748136574075</v>
      </c>
      <c r="B172" s="20" t="s">
        <v>213</v>
      </c>
      <c r="C172" s="20" t="s">
        <v>661</v>
      </c>
      <c r="D172" s="150">
        <v>2540000</v>
      </c>
      <c r="E172" s="20" t="s">
        <v>214</v>
      </c>
      <c r="F172" s="20" t="s">
        <v>215</v>
      </c>
      <c r="G172" s="8" t="str">
        <f t="shared" si="2"/>
        <v>MCREYNOLDS KYLE</v>
      </c>
    </row>
    <row r="173" spans="1:7" x14ac:dyDescent="0.25">
      <c r="A173" s="8">
        <v>42791.753437500003</v>
      </c>
      <c r="B173" s="20" t="s">
        <v>210</v>
      </c>
      <c r="C173" s="20" t="s">
        <v>656</v>
      </c>
      <c r="D173" s="150">
        <v>1300000</v>
      </c>
      <c r="E173" s="20" t="s">
        <v>792</v>
      </c>
      <c r="F173" s="20" t="s">
        <v>793</v>
      </c>
      <c r="G173" s="8" t="str">
        <f t="shared" si="2"/>
        <v>LEVIN SCOTT</v>
      </c>
    </row>
    <row r="174" spans="1:7" x14ac:dyDescent="0.25">
      <c r="A174" s="8">
        <v>42791.759456018517</v>
      </c>
      <c r="B174" s="20" t="s">
        <v>246</v>
      </c>
      <c r="C174" s="20" t="s">
        <v>664</v>
      </c>
      <c r="D174" s="150">
        <v>2000000</v>
      </c>
      <c r="E174" s="20" t="s">
        <v>781</v>
      </c>
      <c r="F174" s="20" t="s">
        <v>195</v>
      </c>
      <c r="G174" s="8" t="str">
        <f t="shared" si="2"/>
        <v>STAMBAUGH JAMES</v>
      </c>
    </row>
    <row r="175" spans="1:7" x14ac:dyDescent="0.25">
      <c r="A175" s="8">
        <v>42791.760393518518</v>
      </c>
      <c r="B175" s="20" t="s">
        <v>796</v>
      </c>
      <c r="C175" s="20" t="s">
        <v>731</v>
      </c>
      <c r="D175" s="150">
        <v>2610000</v>
      </c>
      <c r="E175" s="20" t="s">
        <v>797</v>
      </c>
      <c r="F175" s="20" t="s">
        <v>798</v>
      </c>
      <c r="G175" s="8" t="str">
        <f t="shared" si="2"/>
        <v>MAGEE KENYA</v>
      </c>
    </row>
    <row r="176" spans="1:7" x14ac:dyDescent="0.25">
      <c r="A176" s="8">
        <v>42791.761805555558</v>
      </c>
      <c r="B176" s="20" t="s">
        <v>251</v>
      </c>
      <c r="C176" s="20" t="s">
        <v>423</v>
      </c>
      <c r="D176" s="150">
        <v>2420000</v>
      </c>
      <c r="E176" s="20" t="s">
        <v>788</v>
      </c>
      <c r="F176" s="20" t="s">
        <v>789</v>
      </c>
      <c r="G176" s="8" t="str">
        <f t="shared" si="2"/>
        <v>HOLCOMB KAMDEN</v>
      </c>
    </row>
    <row r="177" spans="1:7" x14ac:dyDescent="0.25">
      <c r="A177" s="8">
        <v>42791.761944444443</v>
      </c>
      <c r="B177" s="20" t="s">
        <v>233</v>
      </c>
      <c r="C177" s="20" t="s">
        <v>602</v>
      </c>
      <c r="D177" s="150">
        <v>1540000</v>
      </c>
      <c r="E177" s="20" t="s">
        <v>312</v>
      </c>
      <c r="F177" s="20" t="s">
        <v>313</v>
      </c>
      <c r="G177" s="8" t="str">
        <f t="shared" si="2"/>
        <v>HELVIE ADAM</v>
      </c>
    </row>
    <row r="178" spans="1:7" x14ac:dyDescent="0.25">
      <c r="A178" s="8">
        <v>42791.765682870369</v>
      </c>
      <c r="B178" s="20" t="s">
        <v>188</v>
      </c>
      <c r="C178" s="20" t="s">
        <v>730</v>
      </c>
      <c r="D178" s="150">
        <v>920000</v>
      </c>
      <c r="E178" s="20" t="s">
        <v>791</v>
      </c>
      <c r="F178" s="20" t="s">
        <v>196</v>
      </c>
      <c r="G178" s="8" t="str">
        <f t="shared" si="2"/>
        <v>DAVIS MICHAEL</v>
      </c>
    </row>
    <row r="179" spans="1:7" x14ac:dyDescent="0.25">
      <c r="A179" s="8">
        <v>42791.767951388887</v>
      </c>
      <c r="B179" s="20" t="s">
        <v>247</v>
      </c>
      <c r="C179" s="20" t="s">
        <v>669</v>
      </c>
      <c r="D179" s="150">
        <v>2220000</v>
      </c>
      <c r="E179" s="20" t="s">
        <v>207</v>
      </c>
      <c r="F179" s="20" t="s">
        <v>208</v>
      </c>
      <c r="G179" s="8" t="str">
        <f t="shared" si="2"/>
        <v>HILLS DUSTIN</v>
      </c>
    </row>
    <row r="180" spans="1:7" x14ac:dyDescent="0.25">
      <c r="A180" s="8">
        <v>42791.772893518515</v>
      </c>
      <c r="B180" s="20" t="s">
        <v>412</v>
      </c>
      <c r="C180" s="20" t="s">
        <v>660</v>
      </c>
      <c r="D180" s="150">
        <v>2230000</v>
      </c>
      <c r="E180" s="20" t="s">
        <v>343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42791.776516203703</v>
      </c>
      <c r="B181" s="20" t="s">
        <v>234</v>
      </c>
      <c r="C181" s="20" t="s">
        <v>604</v>
      </c>
      <c r="D181" s="150">
        <v>1540000</v>
      </c>
      <c r="E181" s="20" t="s">
        <v>312</v>
      </c>
      <c r="F181" s="20" t="s">
        <v>313</v>
      </c>
      <c r="G181" s="8" t="str">
        <f t="shared" si="2"/>
        <v>HELVIE ADAM</v>
      </c>
    </row>
    <row r="182" spans="1:7" x14ac:dyDescent="0.25">
      <c r="A182" s="8">
        <v>42791.778761574074</v>
      </c>
      <c r="B182" s="20" t="s">
        <v>229</v>
      </c>
      <c r="C182" s="20" t="s">
        <v>705</v>
      </c>
      <c r="D182" s="150">
        <v>2030000</v>
      </c>
      <c r="E182" s="20" t="s">
        <v>341</v>
      </c>
      <c r="F182" s="20" t="s">
        <v>342</v>
      </c>
      <c r="G182" s="8" t="str">
        <f t="shared" si="2"/>
        <v>KILLION DAVID</v>
      </c>
    </row>
    <row r="183" spans="1:7" x14ac:dyDescent="0.25">
      <c r="A183" s="8">
        <v>42791.783761574072</v>
      </c>
      <c r="B183" s="20" t="s">
        <v>212</v>
      </c>
      <c r="C183" s="20" t="s">
        <v>663</v>
      </c>
      <c r="D183" s="150">
        <v>2540000</v>
      </c>
      <c r="E183" s="20" t="s">
        <v>214</v>
      </c>
      <c r="F183" s="20" t="s">
        <v>215</v>
      </c>
      <c r="G183" s="8" t="str">
        <f t="shared" si="2"/>
        <v>MCREYNOLDS KYLE</v>
      </c>
    </row>
    <row r="184" spans="1:7" x14ac:dyDescent="0.25">
      <c r="A184" s="8">
        <v>42791.789027777777</v>
      </c>
      <c r="B184" s="20" t="s">
        <v>209</v>
      </c>
      <c r="C184" s="20" t="s">
        <v>673</v>
      </c>
      <c r="D184" s="150">
        <v>2610000</v>
      </c>
      <c r="E184" s="20" t="s">
        <v>797</v>
      </c>
      <c r="F184" s="20" t="s">
        <v>798</v>
      </c>
      <c r="G184" s="8" t="str">
        <f t="shared" si="2"/>
        <v>MAGEE KENYA</v>
      </c>
    </row>
    <row r="185" spans="1:7" x14ac:dyDescent="0.25">
      <c r="A185" s="8">
        <v>42791.790439814817</v>
      </c>
      <c r="B185" s="20" t="s">
        <v>244</v>
      </c>
      <c r="C185" s="20" t="s">
        <v>667</v>
      </c>
      <c r="D185" s="150">
        <v>0</v>
      </c>
      <c r="E185" s="20" t="s">
        <v>799</v>
      </c>
      <c r="F185" s="20" t="s">
        <v>800</v>
      </c>
      <c r="G185" s="8" t="str">
        <f t="shared" si="2"/>
        <v>HAUSER FRANK</v>
      </c>
    </row>
    <row r="186" spans="1:7" x14ac:dyDescent="0.25">
      <c r="A186" s="8">
        <v>42791.797974537039</v>
      </c>
      <c r="B186" s="20" t="s">
        <v>230</v>
      </c>
      <c r="C186" s="20" t="s">
        <v>671</v>
      </c>
      <c r="D186" s="150">
        <v>2220000</v>
      </c>
      <c r="E186" s="20" t="s">
        <v>207</v>
      </c>
      <c r="F186" s="20" t="s">
        <v>208</v>
      </c>
      <c r="G186" s="8" t="str">
        <f t="shared" si="2"/>
        <v>HILLS DUSTIN</v>
      </c>
    </row>
    <row r="187" spans="1:7" x14ac:dyDescent="0.25">
      <c r="A187" s="8">
        <v>42791.798541666663</v>
      </c>
      <c r="B187" s="20" t="s">
        <v>250</v>
      </c>
      <c r="C187" s="20" t="s">
        <v>708</v>
      </c>
      <c r="D187" s="150">
        <v>2420000</v>
      </c>
      <c r="E187" s="20" t="s">
        <v>788</v>
      </c>
      <c r="F187" s="20" t="s">
        <v>789</v>
      </c>
      <c r="G187" s="8" t="str">
        <f t="shared" si="2"/>
        <v>HOLCOMB KAMDEN</v>
      </c>
    </row>
    <row r="188" spans="1:7" x14ac:dyDescent="0.25">
      <c r="A188" s="8">
        <v>42791.803032407406</v>
      </c>
      <c r="B188" s="20" t="s">
        <v>233</v>
      </c>
      <c r="C188" s="20" t="s">
        <v>607</v>
      </c>
      <c r="D188" s="150">
        <v>1540000</v>
      </c>
      <c r="E188" s="20" t="s">
        <v>312</v>
      </c>
      <c r="F188" s="20" t="s">
        <v>313</v>
      </c>
      <c r="G188" s="8" t="str">
        <f t="shared" si="2"/>
        <v>HELVIE ADAM</v>
      </c>
    </row>
    <row r="189" spans="1:7" x14ac:dyDescent="0.25">
      <c r="A189" s="8">
        <v>42791.80872685185</v>
      </c>
      <c r="B189" s="20" t="s">
        <v>427</v>
      </c>
      <c r="C189" s="20" t="s">
        <v>675</v>
      </c>
      <c r="D189" s="150">
        <v>2230000</v>
      </c>
      <c r="E189" s="20" t="s">
        <v>343</v>
      </c>
      <c r="F189" s="20" t="s">
        <v>196</v>
      </c>
      <c r="G189" s="8" t="str">
        <f t="shared" si="2"/>
        <v>SMITH MICHAEL</v>
      </c>
    </row>
    <row r="190" spans="1:7" x14ac:dyDescent="0.25">
      <c r="A190" s="8">
        <v>42791.811990740738</v>
      </c>
      <c r="B190" s="20" t="s">
        <v>281</v>
      </c>
      <c r="C190" s="20" t="s">
        <v>737</v>
      </c>
      <c r="D190" s="150">
        <v>2670000</v>
      </c>
      <c r="E190" s="20" t="s">
        <v>227</v>
      </c>
      <c r="F190" s="20" t="s">
        <v>228</v>
      </c>
      <c r="G190" s="8" t="str">
        <f t="shared" si="2"/>
        <v>COMELLA JUSTIN</v>
      </c>
    </row>
    <row r="191" spans="1:7" x14ac:dyDescent="0.25">
      <c r="A191" s="8">
        <v>42791.818298611113</v>
      </c>
      <c r="B191" s="20" t="s">
        <v>234</v>
      </c>
      <c r="C191" s="20" t="s">
        <v>610</v>
      </c>
      <c r="D191" s="150">
        <v>1540000</v>
      </c>
      <c r="E191" s="20" t="s">
        <v>312</v>
      </c>
      <c r="F191" s="20" t="s">
        <v>313</v>
      </c>
      <c r="G191" s="8" t="str">
        <f t="shared" si="2"/>
        <v>HELVIE ADAM</v>
      </c>
    </row>
    <row r="192" spans="1:7" x14ac:dyDescent="0.25">
      <c r="A192" s="8">
        <v>42791.819340277776</v>
      </c>
      <c r="B192" s="20" t="s">
        <v>213</v>
      </c>
      <c r="C192" s="20" t="s">
        <v>801</v>
      </c>
      <c r="D192" s="150">
        <v>2540000</v>
      </c>
      <c r="E192" s="20" t="s">
        <v>214</v>
      </c>
      <c r="F192" s="20" t="s">
        <v>215</v>
      </c>
      <c r="G192" s="8" t="str">
        <f t="shared" si="2"/>
        <v>MCREYNOLDS KYLE</v>
      </c>
    </row>
    <row r="193" spans="1:7" x14ac:dyDescent="0.25">
      <c r="A193" s="8">
        <v>42791.820347222223</v>
      </c>
      <c r="B193" s="20" t="s">
        <v>282</v>
      </c>
      <c r="C193" s="20" t="s">
        <v>749</v>
      </c>
      <c r="D193" s="150">
        <v>2670000</v>
      </c>
      <c r="E193" s="20" t="s">
        <v>227</v>
      </c>
      <c r="F193" s="20" t="s">
        <v>228</v>
      </c>
      <c r="G193" s="8" t="str">
        <f t="shared" si="2"/>
        <v>COMELLA JUSTIN</v>
      </c>
    </row>
    <row r="194" spans="1:7" x14ac:dyDescent="0.25">
      <c r="A194" s="8">
        <v>42791.828344907408</v>
      </c>
      <c r="B194" s="20" t="s">
        <v>210</v>
      </c>
      <c r="C194" s="20" t="s">
        <v>674</v>
      </c>
      <c r="D194" s="150">
        <v>2610000</v>
      </c>
      <c r="E194" s="20" t="s">
        <v>797</v>
      </c>
      <c r="F194" s="20" t="s">
        <v>798</v>
      </c>
      <c r="G194" s="8" t="str">
        <f t="shared" si="2"/>
        <v>MAGEE KENYA</v>
      </c>
    </row>
    <row r="195" spans="1:7" x14ac:dyDescent="0.25">
      <c r="A195" s="8">
        <v>42791.834085648145</v>
      </c>
      <c r="B195" s="20" t="s">
        <v>246</v>
      </c>
      <c r="C195" s="20" t="s">
        <v>424</v>
      </c>
      <c r="D195" s="150">
        <v>2000000</v>
      </c>
      <c r="E195" s="20" t="s">
        <v>781</v>
      </c>
      <c r="F195" s="20" t="s">
        <v>195</v>
      </c>
      <c r="G195" s="8" t="str">
        <f t="shared" ref="G195:G258" si="3">E195&amp;" "&amp;F195</f>
        <v>STAMBAUGH JAMES</v>
      </c>
    </row>
    <row r="196" spans="1:7" x14ac:dyDescent="0.25">
      <c r="A196" s="8">
        <v>42791.844768518517</v>
      </c>
      <c r="B196" s="20" t="s">
        <v>412</v>
      </c>
      <c r="C196" s="20" t="s">
        <v>677</v>
      </c>
      <c r="D196" s="150">
        <v>2230000</v>
      </c>
      <c r="E196" s="20" t="s">
        <v>343</v>
      </c>
      <c r="F196" s="20" t="s">
        <v>196</v>
      </c>
      <c r="G196" s="8" t="str">
        <f t="shared" si="3"/>
        <v>SMITH MICHAEL</v>
      </c>
    </row>
    <row r="197" spans="1:7" x14ac:dyDescent="0.25">
      <c r="A197" s="8">
        <v>42791.84547453704</v>
      </c>
      <c r="B197" s="20" t="s">
        <v>247</v>
      </c>
      <c r="C197" s="20" t="s">
        <v>679</v>
      </c>
      <c r="D197" s="150">
        <v>2630000</v>
      </c>
      <c r="E197" s="20" t="s">
        <v>802</v>
      </c>
      <c r="F197" s="20" t="s">
        <v>803</v>
      </c>
      <c r="G197" s="8" t="str">
        <f t="shared" si="3"/>
        <v>SAFIEF AEIMEN</v>
      </c>
    </row>
    <row r="198" spans="1:7" x14ac:dyDescent="0.25">
      <c r="A198" s="8">
        <v>42791.845763888887</v>
      </c>
      <c r="B198" s="20" t="s">
        <v>233</v>
      </c>
      <c r="C198" s="20" t="s">
        <v>611</v>
      </c>
      <c r="D198" s="150">
        <v>1540000</v>
      </c>
      <c r="E198" s="20" t="s">
        <v>312</v>
      </c>
      <c r="F198" s="20" t="s">
        <v>313</v>
      </c>
      <c r="G198" s="8" t="str">
        <f t="shared" si="3"/>
        <v>HELVIE ADAM</v>
      </c>
    </row>
    <row r="199" spans="1:7" x14ac:dyDescent="0.25">
      <c r="A199" s="8">
        <v>42791.859583333331</v>
      </c>
      <c r="B199" s="20" t="s">
        <v>281</v>
      </c>
      <c r="C199" s="20" t="s">
        <v>737</v>
      </c>
      <c r="D199" s="150">
        <v>2670000</v>
      </c>
      <c r="E199" s="20" t="s">
        <v>227</v>
      </c>
      <c r="F199" s="20" t="s">
        <v>228</v>
      </c>
      <c r="G199" s="8" t="str">
        <f t="shared" si="3"/>
        <v>COMELLA JUSTIN</v>
      </c>
    </row>
    <row r="200" spans="1:7" x14ac:dyDescent="0.25">
      <c r="A200" s="8">
        <v>42791.860185185185</v>
      </c>
      <c r="B200" s="20" t="s">
        <v>234</v>
      </c>
      <c r="C200" s="20" t="s">
        <v>611</v>
      </c>
      <c r="D200" s="150">
        <v>1540000</v>
      </c>
      <c r="E200" s="20" t="s">
        <v>312</v>
      </c>
      <c r="F200" s="20" t="s">
        <v>313</v>
      </c>
      <c r="G200" s="8" t="str">
        <f t="shared" si="3"/>
        <v>HELVIE ADAM</v>
      </c>
    </row>
    <row r="201" spans="1:7" x14ac:dyDescent="0.25">
      <c r="A201" s="8">
        <v>42791.860300925924</v>
      </c>
      <c r="B201" s="20" t="s">
        <v>209</v>
      </c>
      <c r="C201" s="20" t="s">
        <v>682</v>
      </c>
      <c r="D201" s="150">
        <v>2270000</v>
      </c>
      <c r="E201" s="20" t="s">
        <v>223</v>
      </c>
      <c r="F201" s="20" t="s">
        <v>224</v>
      </c>
      <c r="G201" s="8" t="str">
        <f t="shared" si="3"/>
        <v>BROWN JACOB</v>
      </c>
    </row>
    <row r="202" spans="1:7" x14ac:dyDescent="0.25">
      <c r="A202" s="26">
        <v>42791.860856481479</v>
      </c>
      <c r="B202" s="20" t="s">
        <v>234</v>
      </c>
      <c r="C202" s="20" t="s">
        <v>615</v>
      </c>
      <c r="D202" s="150">
        <v>1540000</v>
      </c>
      <c r="E202" s="20" t="s">
        <v>312</v>
      </c>
      <c r="F202" s="20" t="s">
        <v>313</v>
      </c>
      <c r="G202" s="8" t="str">
        <f t="shared" si="3"/>
        <v>HELVIE ADAM</v>
      </c>
    </row>
    <row r="203" spans="1:7" x14ac:dyDescent="0.25">
      <c r="A203" s="8">
        <v>42791.87</v>
      </c>
      <c r="B203" s="20" t="s">
        <v>244</v>
      </c>
      <c r="C203" s="20" t="s">
        <v>678</v>
      </c>
      <c r="D203" s="150">
        <v>2000000</v>
      </c>
      <c r="E203" s="20" t="s">
        <v>781</v>
      </c>
      <c r="F203" s="20" t="s">
        <v>195</v>
      </c>
      <c r="G203" s="8" t="str">
        <f t="shared" si="3"/>
        <v>STAMBAUGH JAMES</v>
      </c>
    </row>
    <row r="204" spans="1:7" x14ac:dyDescent="0.25">
      <c r="A204" s="8">
        <v>42791.883715277778</v>
      </c>
      <c r="B204" s="20" t="s">
        <v>230</v>
      </c>
      <c r="C204" s="20" t="s">
        <v>680</v>
      </c>
      <c r="D204" s="150">
        <v>2630000</v>
      </c>
      <c r="E204" s="20" t="s">
        <v>802</v>
      </c>
      <c r="F204" s="20" t="s">
        <v>803</v>
      </c>
      <c r="G204" s="8" t="str">
        <f t="shared" si="3"/>
        <v>SAFIEF AEIMEN</v>
      </c>
    </row>
    <row r="205" spans="1:7" x14ac:dyDescent="0.25">
      <c r="A205" s="8">
        <v>42791.885983796295</v>
      </c>
      <c r="B205" s="20" t="s">
        <v>427</v>
      </c>
      <c r="C205" s="20" t="s">
        <v>685</v>
      </c>
      <c r="D205" s="150">
        <v>2230000</v>
      </c>
      <c r="E205" s="20" t="s">
        <v>343</v>
      </c>
      <c r="F205" s="20" t="s">
        <v>196</v>
      </c>
      <c r="G205" s="8" t="str">
        <f t="shared" si="3"/>
        <v>SMITH MICHAEL</v>
      </c>
    </row>
    <row r="206" spans="1:7" x14ac:dyDescent="0.25">
      <c r="A206" s="8">
        <v>42791.88690972222</v>
      </c>
      <c r="B206" s="20" t="s">
        <v>233</v>
      </c>
      <c r="C206" s="20" t="s">
        <v>617</v>
      </c>
      <c r="D206" s="150">
        <v>2620000</v>
      </c>
      <c r="E206" s="20" t="s">
        <v>804</v>
      </c>
      <c r="F206" s="20" t="s">
        <v>805</v>
      </c>
      <c r="G206" s="8" t="str">
        <f t="shared" si="3"/>
        <v>PERKINS DARREN</v>
      </c>
    </row>
    <row r="207" spans="1:7" x14ac:dyDescent="0.25">
      <c r="A207" s="8">
        <v>42791.890868055554</v>
      </c>
      <c r="B207" s="20" t="s">
        <v>282</v>
      </c>
      <c r="C207" s="20" t="s">
        <v>749</v>
      </c>
      <c r="D207" s="150">
        <v>2670000</v>
      </c>
      <c r="E207" s="20" t="s">
        <v>227</v>
      </c>
      <c r="F207" s="20" t="s">
        <v>228</v>
      </c>
      <c r="G207" s="8" t="str">
        <f t="shared" si="3"/>
        <v>COMELLA JUSTIN</v>
      </c>
    </row>
    <row r="208" spans="1:7" x14ac:dyDescent="0.25">
      <c r="A208" s="8">
        <v>42791.901620370372</v>
      </c>
      <c r="B208" s="20" t="s">
        <v>234</v>
      </c>
      <c r="C208" s="20" t="s">
        <v>620</v>
      </c>
      <c r="D208" s="150">
        <v>2620000</v>
      </c>
      <c r="E208" s="20" t="s">
        <v>804</v>
      </c>
      <c r="F208" s="20" t="s">
        <v>805</v>
      </c>
      <c r="G208" s="8" t="str">
        <f t="shared" si="3"/>
        <v>PERKINS DARREN</v>
      </c>
    </row>
    <row r="209" spans="1:7" x14ac:dyDescent="0.25">
      <c r="A209" s="8">
        <v>42791.903437499997</v>
      </c>
      <c r="B209" s="20" t="s">
        <v>246</v>
      </c>
      <c r="C209" s="20" t="s">
        <v>687</v>
      </c>
      <c r="D209" s="150">
        <v>2000000</v>
      </c>
      <c r="E209" s="20" t="s">
        <v>781</v>
      </c>
      <c r="F209" s="20" t="s">
        <v>195</v>
      </c>
      <c r="G209" s="8" t="str">
        <f t="shared" si="3"/>
        <v>STAMBAUGH JAMES</v>
      </c>
    </row>
    <row r="210" spans="1:7" x14ac:dyDescent="0.25">
      <c r="A210" s="8">
        <v>42791.91065972222</v>
      </c>
      <c r="B210" s="20" t="s">
        <v>210</v>
      </c>
      <c r="C210" s="20" t="s">
        <v>684</v>
      </c>
      <c r="D210" s="150">
        <v>2270000</v>
      </c>
      <c r="E210" s="20" t="s">
        <v>223</v>
      </c>
      <c r="F210" s="20" t="s">
        <v>224</v>
      </c>
      <c r="G210" s="8" t="str">
        <f t="shared" si="3"/>
        <v>BROWN JACOB</v>
      </c>
    </row>
    <row r="211" spans="1:7" x14ac:dyDescent="0.25">
      <c r="A211" s="8">
        <v>42791.924143518518</v>
      </c>
      <c r="B211" s="20" t="s">
        <v>233</v>
      </c>
      <c r="C211" s="20" t="s">
        <v>622</v>
      </c>
      <c r="D211" s="150">
        <v>1540000</v>
      </c>
      <c r="E211" s="20" t="s">
        <v>312</v>
      </c>
      <c r="F211" s="20" t="s">
        <v>313</v>
      </c>
      <c r="G211" s="8" t="str">
        <f t="shared" si="3"/>
        <v>HELVIE ADAM</v>
      </c>
    </row>
    <row r="212" spans="1:7" x14ac:dyDescent="0.25">
      <c r="A212" s="8">
        <v>42791.92696759259</v>
      </c>
      <c r="B212" s="20" t="s">
        <v>247</v>
      </c>
      <c r="C212" s="20" t="s">
        <v>689</v>
      </c>
      <c r="D212" s="150">
        <v>2630000</v>
      </c>
      <c r="E212" s="20" t="s">
        <v>802</v>
      </c>
      <c r="F212" s="20" t="s">
        <v>803</v>
      </c>
      <c r="G212" s="8" t="str">
        <f t="shared" si="3"/>
        <v>SAFIEF AEIMEN</v>
      </c>
    </row>
    <row r="213" spans="1:7" x14ac:dyDescent="0.25">
      <c r="A213" s="8">
        <v>42791.927743055552</v>
      </c>
      <c r="B213" s="20" t="s">
        <v>412</v>
      </c>
      <c r="C213" s="20" t="s">
        <v>686</v>
      </c>
      <c r="D213" s="150">
        <v>2230000</v>
      </c>
      <c r="E213" s="20" t="s">
        <v>343</v>
      </c>
      <c r="F213" s="20" t="s">
        <v>196</v>
      </c>
      <c r="G213" s="8" t="str">
        <f t="shared" si="3"/>
        <v>SMITH MICHAEL</v>
      </c>
    </row>
    <row r="214" spans="1:7" x14ac:dyDescent="0.25">
      <c r="A214" s="8">
        <v>42791.933715277781</v>
      </c>
      <c r="B214" s="20" t="s">
        <v>281</v>
      </c>
      <c r="C214" s="20" t="s">
        <v>737</v>
      </c>
      <c r="D214" s="150">
        <v>2670000</v>
      </c>
      <c r="E214" s="20" t="s">
        <v>227</v>
      </c>
      <c r="F214" s="20" t="s">
        <v>228</v>
      </c>
      <c r="G214" s="8" t="str">
        <f t="shared" si="3"/>
        <v>COMELLA JUSTIN</v>
      </c>
    </row>
    <row r="215" spans="1:7" x14ac:dyDescent="0.25">
      <c r="A215" s="8">
        <v>42791.94253472222</v>
      </c>
      <c r="B215" s="20" t="s">
        <v>234</v>
      </c>
      <c r="C215" s="20" t="s">
        <v>634</v>
      </c>
      <c r="D215" s="150">
        <v>1540000</v>
      </c>
      <c r="E215" s="20" t="s">
        <v>312</v>
      </c>
      <c r="F215" s="20" t="s">
        <v>313</v>
      </c>
      <c r="G215" s="8" t="str">
        <f t="shared" si="3"/>
        <v>HELVIE ADAM</v>
      </c>
    </row>
    <row r="216" spans="1:7" x14ac:dyDescent="0.25">
      <c r="A216" s="8">
        <v>42791.943657407406</v>
      </c>
      <c r="B216" s="20" t="s">
        <v>244</v>
      </c>
      <c r="C216" s="20" t="s">
        <v>426</v>
      </c>
      <c r="D216" s="150">
        <v>2000000</v>
      </c>
      <c r="E216" s="20" t="s">
        <v>781</v>
      </c>
      <c r="F216" s="20" t="s">
        <v>195</v>
      </c>
      <c r="G216" s="8" t="str">
        <f t="shared" si="3"/>
        <v>STAMBAUGH JAMES</v>
      </c>
    </row>
    <row r="217" spans="1:7" x14ac:dyDescent="0.25">
      <c r="A217" s="8">
        <v>42791.94462962963</v>
      </c>
      <c r="B217" s="20" t="s">
        <v>209</v>
      </c>
      <c r="C217" s="20" t="s">
        <v>425</v>
      </c>
      <c r="D217" s="150">
        <v>2270000</v>
      </c>
      <c r="E217" s="20" t="s">
        <v>223</v>
      </c>
      <c r="F217" s="20" t="s">
        <v>224</v>
      </c>
      <c r="G217" s="8" t="str">
        <f t="shared" si="3"/>
        <v>BROWN JACOB</v>
      </c>
    </row>
    <row r="218" spans="1:7" x14ac:dyDescent="0.25">
      <c r="A218" s="8">
        <v>42791.965983796297</v>
      </c>
      <c r="B218" s="20" t="s">
        <v>427</v>
      </c>
      <c r="C218" s="20" t="s">
        <v>428</v>
      </c>
      <c r="D218" s="150">
        <v>2230000</v>
      </c>
      <c r="E218" s="20" t="s">
        <v>343</v>
      </c>
      <c r="F218" s="20" t="s">
        <v>196</v>
      </c>
      <c r="G218" s="8" t="str">
        <f t="shared" si="3"/>
        <v>SMITH MICHAEL</v>
      </c>
    </row>
    <row r="219" spans="1:7" x14ac:dyDescent="0.25">
      <c r="A219" s="8">
        <v>42791.96974537037</v>
      </c>
      <c r="B219" s="20" t="s">
        <v>230</v>
      </c>
      <c r="C219" s="20" t="s">
        <v>690</v>
      </c>
      <c r="D219" s="150">
        <v>2630000</v>
      </c>
      <c r="E219" s="20" t="s">
        <v>802</v>
      </c>
      <c r="F219" s="20" t="s">
        <v>803</v>
      </c>
      <c r="G219" s="8" t="str">
        <f t="shared" si="3"/>
        <v>SAFIEF AEIMEN</v>
      </c>
    </row>
    <row r="220" spans="1:7" x14ac:dyDescent="0.25">
      <c r="A220" s="8">
        <v>42791.974918981483</v>
      </c>
      <c r="B220" s="20" t="s">
        <v>282</v>
      </c>
      <c r="C220" s="20" t="s">
        <v>749</v>
      </c>
      <c r="D220" s="150">
        <v>2670000</v>
      </c>
      <c r="E220" s="20" t="s">
        <v>227</v>
      </c>
      <c r="F220" s="20" t="s">
        <v>228</v>
      </c>
      <c r="G220" s="8" t="str">
        <f t="shared" si="3"/>
        <v>COMELLA JUSTIN</v>
      </c>
    </row>
    <row r="221" spans="1:7" x14ac:dyDescent="0.25">
      <c r="A221" s="8">
        <v>42791.985844907409</v>
      </c>
      <c r="B221" s="20" t="s">
        <v>246</v>
      </c>
      <c r="C221" s="20" t="s">
        <v>429</v>
      </c>
      <c r="D221" s="150">
        <v>2000000</v>
      </c>
      <c r="E221" s="20" t="s">
        <v>781</v>
      </c>
      <c r="F221" s="20" t="s">
        <v>195</v>
      </c>
      <c r="G221" s="8" t="str">
        <f t="shared" si="3"/>
        <v>STAMBAUGH JAMES</v>
      </c>
    </row>
    <row r="222" spans="1:7" x14ac:dyDescent="0.25">
      <c r="A222" s="8">
        <v>42791.99113425926</v>
      </c>
      <c r="B222" s="20" t="s">
        <v>210</v>
      </c>
      <c r="C222" s="20" t="s">
        <v>430</v>
      </c>
      <c r="D222" s="150">
        <v>2270000</v>
      </c>
      <c r="E222" s="20" t="s">
        <v>223</v>
      </c>
      <c r="F222" s="20" t="s">
        <v>224</v>
      </c>
      <c r="G222" s="8" t="str">
        <f t="shared" si="3"/>
        <v>BROWN JACOB</v>
      </c>
    </row>
    <row r="223" spans="1:7" x14ac:dyDescent="0.25">
      <c r="A223" s="8">
        <v>42792.011250000003</v>
      </c>
      <c r="B223" s="20" t="s">
        <v>247</v>
      </c>
      <c r="C223" s="20" t="s">
        <v>694</v>
      </c>
      <c r="D223" s="150">
        <v>2630000</v>
      </c>
      <c r="E223" s="20" t="s">
        <v>802</v>
      </c>
      <c r="F223" s="20" t="s">
        <v>803</v>
      </c>
      <c r="G223" s="8" t="str">
        <f t="shared" si="3"/>
        <v>SAFIEF AEIMEN</v>
      </c>
    </row>
    <row r="224" spans="1:7" x14ac:dyDescent="0.25">
      <c r="A224" s="8">
        <v>42792.013472222221</v>
      </c>
      <c r="B224" t="s">
        <v>412</v>
      </c>
      <c r="C224" t="s">
        <v>692</v>
      </c>
      <c r="D224" s="150">
        <v>2230000</v>
      </c>
      <c r="E224" t="s">
        <v>343</v>
      </c>
      <c r="F224" s="20" t="s">
        <v>196</v>
      </c>
      <c r="G224" s="8" t="str">
        <f t="shared" si="3"/>
        <v>SMITH MICHAEL</v>
      </c>
    </row>
    <row r="225" spans="1:7" x14ac:dyDescent="0.25">
      <c r="A225" s="8">
        <v>42792.025659722225</v>
      </c>
      <c r="B225" t="s">
        <v>281</v>
      </c>
      <c r="C225" t="s">
        <v>737</v>
      </c>
      <c r="D225" s="150">
        <v>2670000</v>
      </c>
      <c r="E225" t="s">
        <v>227</v>
      </c>
      <c r="F225" s="20" t="s">
        <v>228</v>
      </c>
      <c r="G225" s="8" t="str">
        <f t="shared" si="3"/>
        <v>COMELLA JUSTIN</v>
      </c>
    </row>
    <row r="226" spans="1:7" x14ac:dyDescent="0.25">
      <c r="A226" s="8">
        <v>42792.026678240742</v>
      </c>
      <c r="B226" t="s">
        <v>244</v>
      </c>
      <c r="C226" t="s">
        <v>431</v>
      </c>
      <c r="D226" s="150">
        <v>2000000</v>
      </c>
      <c r="E226" t="s">
        <v>781</v>
      </c>
      <c r="F226" s="20" t="s">
        <v>195</v>
      </c>
      <c r="G226" s="8" t="str">
        <f t="shared" si="3"/>
        <v>STAMBAUGH JAMES</v>
      </c>
    </row>
    <row r="227" spans="1:7" x14ac:dyDescent="0.25">
      <c r="A227" s="8">
        <v>42792.039247685185</v>
      </c>
      <c r="B227" t="s">
        <v>209</v>
      </c>
      <c r="C227" t="s">
        <v>696</v>
      </c>
      <c r="D227" s="150">
        <v>2270000</v>
      </c>
      <c r="E227" t="s">
        <v>223</v>
      </c>
      <c r="F227" s="20" t="s">
        <v>224</v>
      </c>
      <c r="G227" s="8" t="str">
        <f t="shared" si="3"/>
        <v>BROWN JACOB</v>
      </c>
    </row>
    <row r="228" spans="1:7" x14ac:dyDescent="0.25">
      <c r="A228" s="8">
        <v>42792.047881944447</v>
      </c>
      <c r="B228" t="s">
        <v>427</v>
      </c>
      <c r="C228" t="s">
        <v>713</v>
      </c>
      <c r="D228" s="150">
        <v>2230000</v>
      </c>
      <c r="E228" t="s">
        <v>343</v>
      </c>
      <c r="F228" s="20" t="s">
        <v>196</v>
      </c>
      <c r="G228" s="8" t="str">
        <f t="shared" si="3"/>
        <v>SMITH MICHAEL</v>
      </c>
    </row>
    <row r="229" spans="1:7" x14ac:dyDescent="0.25">
      <c r="A229" s="8">
        <v>42792.05568287037</v>
      </c>
      <c r="B229" t="s">
        <v>230</v>
      </c>
      <c r="C229" t="s">
        <v>695</v>
      </c>
      <c r="D229" s="150">
        <v>2630000</v>
      </c>
      <c r="E229" t="s">
        <v>802</v>
      </c>
      <c r="F229" s="20" t="s">
        <v>803</v>
      </c>
      <c r="G229" s="8" t="str">
        <f t="shared" si="3"/>
        <v>SAFIEF AEIMEN</v>
      </c>
    </row>
    <row r="230" spans="1:7" x14ac:dyDescent="0.25">
      <c r="A230" s="8">
        <v>42792.056817129633</v>
      </c>
      <c r="B230" t="s">
        <v>282</v>
      </c>
      <c r="C230" t="s">
        <v>749</v>
      </c>
      <c r="D230" s="150">
        <v>2670000</v>
      </c>
      <c r="E230" t="s">
        <v>227</v>
      </c>
      <c r="F230" s="20" t="s">
        <v>228</v>
      </c>
      <c r="G230" s="8" t="str">
        <f t="shared" si="3"/>
        <v>COMELLA JUSTIN</v>
      </c>
    </row>
    <row r="231" spans="1:7" x14ac:dyDescent="0.25">
      <c r="A231" s="8">
        <v>42792.067569444444</v>
      </c>
      <c r="B231" t="s">
        <v>246</v>
      </c>
      <c r="C231" t="s">
        <v>806</v>
      </c>
      <c r="D231" s="150">
        <v>2000000</v>
      </c>
      <c r="E231" t="s">
        <v>781</v>
      </c>
      <c r="F231" s="20" t="s">
        <v>195</v>
      </c>
      <c r="G231" s="8" t="str">
        <f t="shared" si="3"/>
        <v>STAMBAUGH JAMES</v>
      </c>
    </row>
    <row r="232" spans="1:7" x14ac:dyDescent="0.25">
      <c r="A232" s="8">
        <v>42792.078634259262</v>
      </c>
      <c r="B232" t="s">
        <v>210</v>
      </c>
      <c r="C232" t="s">
        <v>699</v>
      </c>
      <c r="D232" s="150">
        <v>2270000</v>
      </c>
      <c r="E232" t="s">
        <v>223</v>
      </c>
      <c r="F232" s="20" t="s">
        <v>224</v>
      </c>
      <c r="G232" s="8" t="str">
        <f t="shared" si="3"/>
        <v>BROWN JACOB</v>
      </c>
    </row>
    <row r="233" spans="1:7" x14ac:dyDescent="0.25">
      <c r="A233" s="8">
        <v>42792.0862037037</v>
      </c>
      <c r="B233" t="s">
        <v>281</v>
      </c>
      <c r="C233" t="s">
        <v>737</v>
      </c>
      <c r="D233" s="150">
        <v>2670000</v>
      </c>
      <c r="E233" t="s">
        <v>227</v>
      </c>
      <c r="F233" s="20" t="s">
        <v>228</v>
      </c>
      <c r="G233" s="8" t="str">
        <f t="shared" si="3"/>
        <v>COMELLA JUSTIN</v>
      </c>
    </row>
    <row r="234" spans="1:7" x14ac:dyDescent="0.25">
      <c r="A234" s="8">
        <v>42792.090740740743</v>
      </c>
      <c r="B234" t="s">
        <v>247</v>
      </c>
      <c r="C234" t="s">
        <v>719</v>
      </c>
      <c r="D234" s="150">
        <v>2630000</v>
      </c>
      <c r="E234" t="s">
        <v>802</v>
      </c>
      <c r="F234" s="20" t="s">
        <v>803</v>
      </c>
      <c r="G234" s="8" t="str">
        <f t="shared" si="3"/>
        <v>SAFIEF AEIMEN</v>
      </c>
    </row>
    <row r="235" spans="1:7" x14ac:dyDescent="0.25">
      <c r="A235" s="8">
        <v>42792.091134259259</v>
      </c>
      <c r="B235" t="s">
        <v>210</v>
      </c>
      <c r="C235" t="s">
        <v>699</v>
      </c>
      <c r="D235" s="150">
        <v>2270000</v>
      </c>
      <c r="E235" t="s">
        <v>223</v>
      </c>
      <c r="F235" s="20" t="s">
        <v>224</v>
      </c>
      <c r="G235" s="8" t="str">
        <f t="shared" si="3"/>
        <v>BROWN JACOB</v>
      </c>
    </row>
    <row r="236" spans="1:7" x14ac:dyDescent="0.25">
      <c r="G236" s="8" t="str">
        <f t="shared" si="3"/>
        <v xml:space="preserve"> </v>
      </c>
    </row>
    <row r="237" spans="1:7" x14ac:dyDescent="0.25">
      <c r="A237" s="8">
        <v>42789.939768518518</v>
      </c>
      <c r="B237" t="s">
        <v>281</v>
      </c>
      <c r="C237" t="s">
        <v>346</v>
      </c>
      <c r="D237" s="150">
        <v>2670000</v>
      </c>
      <c r="E237" t="s">
        <v>227</v>
      </c>
      <c r="F237" s="20" t="s">
        <v>228</v>
      </c>
      <c r="G237" s="8" t="str">
        <f t="shared" si="3"/>
        <v>COMELLA JUSTIN</v>
      </c>
    </row>
    <row r="238" spans="1:7" x14ac:dyDescent="0.25">
      <c r="A238" s="8">
        <v>42789.942557870374</v>
      </c>
      <c r="B238" t="s">
        <v>244</v>
      </c>
      <c r="C238" t="s">
        <v>351</v>
      </c>
      <c r="D238" s="150">
        <v>1740000</v>
      </c>
      <c r="E238" t="s">
        <v>220</v>
      </c>
      <c r="F238" s="20" t="s">
        <v>221</v>
      </c>
      <c r="G238" s="8" t="str">
        <f t="shared" si="3"/>
        <v>STORY SAMANTHA</v>
      </c>
    </row>
    <row r="239" spans="1:7" x14ac:dyDescent="0.25">
      <c r="A239" s="8">
        <v>42789.957303240742</v>
      </c>
      <c r="B239" t="s">
        <v>282</v>
      </c>
      <c r="C239" t="s">
        <v>349</v>
      </c>
      <c r="D239" s="150">
        <v>2730000</v>
      </c>
      <c r="E239" t="s">
        <v>273</v>
      </c>
      <c r="F239" s="20" t="s">
        <v>274</v>
      </c>
      <c r="G239" s="8" t="str">
        <f t="shared" si="3"/>
        <v>YANG JAN</v>
      </c>
    </row>
    <row r="240" spans="1:7" x14ac:dyDescent="0.25">
      <c r="A240" s="8">
        <v>42789.957453703704</v>
      </c>
      <c r="B240" t="s">
        <v>213</v>
      </c>
      <c r="C240" t="s">
        <v>352</v>
      </c>
      <c r="D240" s="150">
        <v>1800000</v>
      </c>
      <c r="E240" t="s">
        <v>235</v>
      </c>
      <c r="F240" s="20" t="s">
        <v>236</v>
      </c>
      <c r="G240" s="8" t="str">
        <f t="shared" si="3"/>
        <v>CHANDLER KELVIN</v>
      </c>
    </row>
    <row r="241" spans="1:7" x14ac:dyDescent="0.25">
      <c r="A241" s="8">
        <v>42789.959374999999</v>
      </c>
      <c r="B241" t="s">
        <v>334</v>
      </c>
      <c r="C241" t="s">
        <v>353</v>
      </c>
      <c r="D241" s="150">
        <v>2270000</v>
      </c>
      <c r="E241" t="s">
        <v>223</v>
      </c>
      <c r="F241" s="20" t="s">
        <v>224</v>
      </c>
      <c r="G241" s="8" t="str">
        <f t="shared" si="3"/>
        <v>BROWN JACOB</v>
      </c>
    </row>
    <row r="242" spans="1:7" x14ac:dyDescent="0.25">
      <c r="A242" s="8">
        <v>42789.96298611111</v>
      </c>
      <c r="B242" t="s">
        <v>281</v>
      </c>
      <c r="C242" t="s">
        <v>346</v>
      </c>
      <c r="D242" s="150">
        <v>2670000</v>
      </c>
      <c r="E242" t="s">
        <v>227</v>
      </c>
      <c r="F242" s="20" t="s">
        <v>228</v>
      </c>
      <c r="G242" s="8" t="str">
        <f t="shared" si="3"/>
        <v>COMELLA JUSTIN</v>
      </c>
    </row>
    <row r="243" spans="1:7" x14ac:dyDescent="0.25">
      <c r="A243" s="8">
        <v>42789.970636574071</v>
      </c>
      <c r="B243" t="s">
        <v>282</v>
      </c>
      <c r="C243" t="s">
        <v>349</v>
      </c>
      <c r="D243" s="150">
        <v>2730000</v>
      </c>
      <c r="E243" t="s">
        <v>273</v>
      </c>
      <c r="F243" s="20" t="s">
        <v>274</v>
      </c>
      <c r="G243" s="8" t="str">
        <f t="shared" si="3"/>
        <v>YANG JAN</v>
      </c>
    </row>
    <row r="244" spans="1:7" x14ac:dyDescent="0.25">
      <c r="A244" s="8">
        <v>42789.973611111112</v>
      </c>
      <c r="B244" t="s">
        <v>252</v>
      </c>
      <c r="C244" t="s">
        <v>354</v>
      </c>
      <c r="D244" s="150">
        <v>2370000</v>
      </c>
      <c r="E244" t="s">
        <v>347</v>
      </c>
      <c r="F244" s="20" t="s">
        <v>348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209</v>
      </c>
      <c r="C245" t="s">
        <v>355</v>
      </c>
      <c r="D245" s="150">
        <v>2540000</v>
      </c>
      <c r="E245" t="s">
        <v>214</v>
      </c>
      <c r="F245" s="20" t="s">
        <v>215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281</v>
      </c>
      <c r="C246" t="s">
        <v>346</v>
      </c>
      <c r="D246" s="150">
        <v>2670000</v>
      </c>
      <c r="E246" t="s">
        <v>227</v>
      </c>
      <c r="F246" s="20" t="s">
        <v>228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282</v>
      </c>
      <c r="C247" t="s">
        <v>349</v>
      </c>
      <c r="D247" s="150">
        <v>2730000</v>
      </c>
      <c r="E247" t="s">
        <v>273</v>
      </c>
      <c r="F247" s="20" t="s">
        <v>274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281</v>
      </c>
      <c r="C248" t="s">
        <v>346</v>
      </c>
      <c r="D248" s="150">
        <v>2670000</v>
      </c>
      <c r="E248" t="s">
        <v>227</v>
      </c>
      <c r="F248" s="20" t="s">
        <v>228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212</v>
      </c>
      <c r="C249" t="s">
        <v>356</v>
      </c>
      <c r="D249" s="150">
        <v>1800000</v>
      </c>
      <c r="E249" t="s">
        <v>235</v>
      </c>
      <c r="F249" s="20" t="s">
        <v>236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340</v>
      </c>
      <c r="C250" t="s">
        <v>357</v>
      </c>
      <c r="D250" s="150">
        <v>2270000</v>
      </c>
      <c r="E250" t="s">
        <v>223</v>
      </c>
      <c r="F250" s="20" t="s">
        <v>224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282</v>
      </c>
      <c r="C251" t="s">
        <v>349</v>
      </c>
      <c r="D251" s="150">
        <v>2730000</v>
      </c>
      <c r="E251" t="s">
        <v>273</v>
      </c>
      <c r="F251" s="20" t="s">
        <v>274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281</v>
      </c>
      <c r="C252" t="s">
        <v>346</v>
      </c>
      <c r="D252" s="150">
        <v>2670000</v>
      </c>
      <c r="E252" t="s">
        <v>227</v>
      </c>
      <c r="F252" s="20" t="s">
        <v>228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282</v>
      </c>
      <c r="C253" t="s">
        <v>349</v>
      </c>
      <c r="D253" s="150">
        <v>2730000</v>
      </c>
      <c r="E253" t="s">
        <v>273</v>
      </c>
      <c r="F253" s="20" t="s">
        <v>274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188</v>
      </c>
      <c r="C254" t="s">
        <v>358</v>
      </c>
      <c r="D254" s="150">
        <v>2220000</v>
      </c>
      <c r="E254" t="s">
        <v>207</v>
      </c>
      <c r="F254" s="20" t="s">
        <v>208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210</v>
      </c>
      <c r="C255" t="s">
        <v>359</v>
      </c>
      <c r="D255" s="150">
        <v>2540000</v>
      </c>
      <c r="E255" t="s">
        <v>214</v>
      </c>
      <c r="F255" s="20" t="s">
        <v>215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281</v>
      </c>
      <c r="C256" t="s">
        <v>346</v>
      </c>
      <c r="D256" s="150">
        <v>2670000</v>
      </c>
      <c r="E256" t="s">
        <v>227</v>
      </c>
      <c r="F256" s="20" t="s">
        <v>228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282</v>
      </c>
      <c r="C257" t="s">
        <v>349</v>
      </c>
      <c r="D257" s="150">
        <v>2730000</v>
      </c>
      <c r="E257" t="s">
        <v>273</v>
      </c>
      <c r="F257" s="20" t="s">
        <v>274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281</v>
      </c>
      <c r="C258" t="s">
        <v>346</v>
      </c>
      <c r="D258" s="150">
        <v>2670000</v>
      </c>
      <c r="E258" t="s">
        <v>227</v>
      </c>
      <c r="F258" s="20" t="s">
        <v>228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213</v>
      </c>
      <c r="C259" t="s">
        <v>360</v>
      </c>
      <c r="D259" s="150">
        <v>1800000</v>
      </c>
      <c r="E259" t="s">
        <v>235</v>
      </c>
      <c r="F259" s="20" t="s">
        <v>236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282</v>
      </c>
      <c r="C260" t="s">
        <v>349</v>
      </c>
      <c r="D260" s="150">
        <v>2730000</v>
      </c>
      <c r="E260" t="s">
        <v>273</v>
      </c>
      <c r="F260" s="20" t="s">
        <v>274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334</v>
      </c>
      <c r="C261" t="s">
        <v>335</v>
      </c>
      <c r="D261" s="150">
        <v>2270000</v>
      </c>
      <c r="E261" t="s">
        <v>223</v>
      </c>
      <c r="F261" s="20" t="s">
        <v>224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281</v>
      </c>
      <c r="C262" t="s">
        <v>346</v>
      </c>
      <c r="D262" s="150">
        <v>2670000</v>
      </c>
      <c r="E262" t="s">
        <v>227</v>
      </c>
      <c r="F262" s="20" t="s">
        <v>228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209</v>
      </c>
      <c r="C263" t="s">
        <v>361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282</v>
      </c>
      <c r="C264" t="s">
        <v>349</v>
      </c>
      <c r="D264" s="150">
        <v>2730000</v>
      </c>
      <c r="E264" t="s">
        <v>273</v>
      </c>
      <c r="F264" s="20" t="s">
        <v>274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252</v>
      </c>
      <c r="C265" t="s">
        <v>362</v>
      </c>
      <c r="D265" s="150">
        <v>2220000</v>
      </c>
      <c r="E265" t="s">
        <v>207</v>
      </c>
      <c r="F265" s="20" t="s">
        <v>208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281</v>
      </c>
      <c r="C266" t="s">
        <v>346</v>
      </c>
      <c r="D266" s="150">
        <v>2670000</v>
      </c>
      <c r="E266" t="s">
        <v>227</v>
      </c>
      <c r="F266" s="20" t="s">
        <v>228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282</v>
      </c>
      <c r="C267" t="s">
        <v>349</v>
      </c>
      <c r="D267" s="150">
        <v>2730000</v>
      </c>
      <c r="E267" t="s">
        <v>273</v>
      </c>
      <c r="F267" s="20" t="s">
        <v>274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340</v>
      </c>
      <c r="C268" t="s">
        <v>363</v>
      </c>
      <c r="D268" s="150">
        <v>2270000</v>
      </c>
      <c r="E268" t="s">
        <v>223</v>
      </c>
      <c r="F268" s="20" t="s">
        <v>224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281</v>
      </c>
      <c r="C269" t="s">
        <v>346</v>
      </c>
      <c r="D269" s="150">
        <v>2670000</v>
      </c>
      <c r="E269" t="s">
        <v>227</v>
      </c>
      <c r="F269" s="20" t="s">
        <v>228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282</v>
      </c>
      <c r="C270" t="s">
        <v>349</v>
      </c>
      <c r="D270" s="150">
        <v>2730000</v>
      </c>
      <c r="E270" t="s">
        <v>273</v>
      </c>
      <c r="F270" s="20" t="s">
        <v>274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188</v>
      </c>
      <c r="C271" t="s">
        <v>364</v>
      </c>
      <c r="D271" s="150">
        <v>2220000</v>
      </c>
      <c r="E271" t="s">
        <v>207</v>
      </c>
      <c r="F271" s="20" t="s">
        <v>208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281</v>
      </c>
      <c r="C272" t="s">
        <v>346</v>
      </c>
      <c r="D272" s="150">
        <v>2670000</v>
      </c>
      <c r="E272" t="s">
        <v>227</v>
      </c>
      <c r="F272" s="20" t="s">
        <v>228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282</v>
      </c>
      <c r="C273" t="s">
        <v>349</v>
      </c>
      <c r="D273" s="150">
        <v>2730000</v>
      </c>
      <c r="E273" t="s">
        <v>273</v>
      </c>
      <c r="F273" s="20" t="s">
        <v>274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9" t="s">
        <v>162</v>
      </c>
      <c r="B1" s="169" t="s">
        <v>165</v>
      </c>
      <c r="C1" s="169" t="s">
        <v>158</v>
      </c>
      <c r="D1" s="148" t="s">
        <v>170</v>
      </c>
      <c r="E1" s="169" t="s">
        <v>159</v>
      </c>
      <c r="F1" s="169" t="s">
        <v>157</v>
      </c>
      <c r="G1" s="169" t="s">
        <v>155</v>
      </c>
      <c r="H1" s="169" t="s">
        <v>168</v>
      </c>
      <c r="I1" s="169" t="s">
        <v>169</v>
      </c>
      <c r="J1" s="169" t="s">
        <v>163</v>
      </c>
      <c r="K1" s="169" t="s">
        <v>161</v>
      </c>
      <c r="L1" s="169" t="s">
        <v>156</v>
      </c>
      <c r="M1" s="169" t="s">
        <v>166</v>
      </c>
      <c r="N1" s="169" t="s">
        <v>160</v>
      </c>
      <c r="O1" s="169" t="s">
        <v>167</v>
      </c>
      <c r="P1" s="169" t="s">
        <v>164</v>
      </c>
      <c r="Q1"/>
      <c r="R1"/>
    </row>
    <row r="2" spans="1:18" x14ac:dyDescent="0.25">
      <c r="A2" s="166">
        <v>18.46</v>
      </c>
      <c r="B2" s="166">
        <v>0.65</v>
      </c>
      <c r="C2" s="166">
        <v>12.59</v>
      </c>
      <c r="D2" s="8">
        <v>42791</v>
      </c>
      <c r="E2" s="166">
        <v>0.77</v>
      </c>
      <c r="F2" s="166" t="s">
        <v>231</v>
      </c>
      <c r="G2" s="166">
        <v>372.05</v>
      </c>
      <c r="H2" s="166">
        <v>0</v>
      </c>
      <c r="I2" s="166">
        <v>0</v>
      </c>
      <c r="J2" s="166">
        <v>1024.1500000000001</v>
      </c>
      <c r="K2" s="166" t="s">
        <v>365</v>
      </c>
      <c r="L2" s="166">
        <v>18.46</v>
      </c>
      <c r="M2" s="166">
        <v>1488006000</v>
      </c>
      <c r="N2" s="166">
        <v>6.14</v>
      </c>
      <c r="O2" s="166">
        <v>217</v>
      </c>
      <c r="P2" s="166">
        <v>1.9</v>
      </c>
      <c r="Q2"/>
      <c r="R2"/>
    </row>
    <row r="3" spans="1:18" x14ac:dyDescent="0.25">
      <c r="A3" s="166">
        <v>17.920000000000002</v>
      </c>
      <c r="B3" s="166">
        <v>0.49</v>
      </c>
      <c r="C3" s="166">
        <v>12.24</v>
      </c>
      <c r="D3" s="8">
        <v>42791.041666666664</v>
      </c>
      <c r="E3" s="166">
        <v>0.78</v>
      </c>
      <c r="F3" s="166" t="s">
        <v>231</v>
      </c>
      <c r="G3" s="166">
        <v>372.15</v>
      </c>
      <c r="H3" s="166">
        <v>0</v>
      </c>
      <c r="I3" s="166">
        <v>0</v>
      </c>
      <c r="J3" s="166">
        <v>1023.98</v>
      </c>
      <c r="K3" s="166" t="s">
        <v>434</v>
      </c>
      <c r="L3" s="166">
        <v>17.920000000000002</v>
      </c>
      <c r="M3" s="166">
        <v>1488009600</v>
      </c>
      <c r="N3" s="166">
        <v>6.36</v>
      </c>
      <c r="O3" s="166">
        <v>214</v>
      </c>
      <c r="P3" s="166">
        <v>2.71</v>
      </c>
      <c r="Q3"/>
      <c r="R3"/>
    </row>
    <row r="4" spans="1:18" x14ac:dyDescent="0.25">
      <c r="A4" s="166">
        <v>10.76</v>
      </c>
      <c r="B4" s="166">
        <v>0.28000000000000003</v>
      </c>
      <c r="C4" s="166">
        <v>11.46</v>
      </c>
      <c r="D4" s="8">
        <v>42791.083333333336</v>
      </c>
      <c r="E4" s="166">
        <v>0.79</v>
      </c>
      <c r="F4" s="166" t="s">
        <v>231</v>
      </c>
      <c r="G4" s="166">
        <v>372.25</v>
      </c>
      <c r="H4" s="166">
        <v>0</v>
      </c>
      <c r="I4" s="166">
        <v>0</v>
      </c>
      <c r="J4" s="166">
        <v>1023.79</v>
      </c>
      <c r="K4" s="166" t="s">
        <v>434</v>
      </c>
      <c r="L4" s="166">
        <v>16.77</v>
      </c>
      <c r="M4" s="166">
        <v>1488013200</v>
      </c>
      <c r="N4" s="166">
        <v>6.46</v>
      </c>
      <c r="O4" s="166">
        <v>222</v>
      </c>
      <c r="P4" s="166">
        <v>3.81</v>
      </c>
      <c r="Q4"/>
      <c r="R4"/>
    </row>
    <row r="5" spans="1:18" x14ac:dyDescent="0.25">
      <c r="A5" s="166">
        <v>9.89</v>
      </c>
      <c r="B5" s="166">
        <v>0.18</v>
      </c>
      <c r="C5" s="166">
        <v>10.050000000000001</v>
      </c>
      <c r="D5" s="8">
        <v>42791.125</v>
      </c>
      <c r="E5" s="166">
        <v>0.77</v>
      </c>
      <c r="F5" s="166" t="s">
        <v>435</v>
      </c>
      <c r="G5" s="166">
        <v>370.64</v>
      </c>
      <c r="H5" s="166">
        <v>0</v>
      </c>
      <c r="I5" s="166">
        <v>0</v>
      </c>
      <c r="J5" s="166">
        <v>1024.0999999999999</v>
      </c>
      <c r="K5" s="166" t="s">
        <v>436</v>
      </c>
      <c r="L5" s="166">
        <v>15.9</v>
      </c>
      <c r="M5" s="166">
        <v>1488016800</v>
      </c>
      <c r="N5" s="166">
        <v>7.43</v>
      </c>
      <c r="O5" s="166">
        <v>225</v>
      </c>
      <c r="P5" s="166">
        <v>3.72</v>
      </c>
      <c r="Q5"/>
      <c r="R5"/>
    </row>
    <row r="6" spans="1:18" x14ac:dyDescent="0.25">
      <c r="A6" s="166">
        <v>9.32</v>
      </c>
      <c r="B6" s="166">
        <v>0.21</v>
      </c>
      <c r="C6" s="166">
        <v>9.92</v>
      </c>
      <c r="D6" s="8">
        <v>42791.166666666664</v>
      </c>
      <c r="E6" s="166">
        <v>0.76</v>
      </c>
      <c r="F6" s="166" t="s">
        <v>435</v>
      </c>
      <c r="G6" s="166">
        <v>368.47</v>
      </c>
      <c r="H6" s="166">
        <v>0</v>
      </c>
      <c r="I6" s="166">
        <v>0</v>
      </c>
      <c r="J6" s="166">
        <v>1024.56</v>
      </c>
      <c r="K6" s="166" t="s">
        <v>436</v>
      </c>
      <c r="L6" s="166">
        <v>16.059999999999999</v>
      </c>
      <c r="M6" s="166">
        <v>1488020400</v>
      </c>
      <c r="N6" s="166">
        <v>7.82</v>
      </c>
      <c r="O6" s="166">
        <v>231</v>
      </c>
      <c r="P6" s="166">
        <v>4.24</v>
      </c>
      <c r="Q6"/>
      <c r="R6"/>
    </row>
    <row r="7" spans="1:18" x14ac:dyDescent="0.25">
      <c r="A7" s="166">
        <v>10.199999999999999</v>
      </c>
      <c r="B7" s="166">
        <v>0.19</v>
      </c>
      <c r="C7" s="166">
        <v>9.1</v>
      </c>
      <c r="D7" s="8">
        <v>42791.208333333336</v>
      </c>
      <c r="E7" s="166">
        <v>0.72</v>
      </c>
      <c r="F7" s="166" t="s">
        <v>435</v>
      </c>
      <c r="G7" s="166">
        <v>367.51</v>
      </c>
      <c r="H7" s="166">
        <v>0</v>
      </c>
      <c r="I7" s="166">
        <v>0</v>
      </c>
      <c r="J7" s="166">
        <v>1024.79</v>
      </c>
      <c r="K7" s="166" t="s">
        <v>436</v>
      </c>
      <c r="L7" s="166">
        <v>16.57</v>
      </c>
      <c r="M7" s="166">
        <v>1488024000</v>
      </c>
      <c r="N7" s="166">
        <v>8.68</v>
      </c>
      <c r="O7" s="166">
        <v>241</v>
      </c>
      <c r="P7" s="166">
        <v>4.04</v>
      </c>
      <c r="Q7"/>
      <c r="R7"/>
    </row>
    <row r="8" spans="1:18" x14ac:dyDescent="0.25">
      <c r="A8" s="166">
        <v>10.43</v>
      </c>
      <c r="B8" s="166">
        <v>0.16</v>
      </c>
      <c r="C8" s="166">
        <v>6.65</v>
      </c>
      <c r="D8" s="8">
        <v>42791.25</v>
      </c>
      <c r="E8" s="166">
        <v>0.67</v>
      </c>
      <c r="F8" s="166" t="s">
        <v>435</v>
      </c>
      <c r="G8" s="166">
        <v>368.77</v>
      </c>
      <c r="H8" s="166">
        <v>0</v>
      </c>
      <c r="I8" s="166">
        <v>0</v>
      </c>
      <c r="J8" s="166">
        <v>1024.79</v>
      </c>
      <c r="K8" s="166" t="s">
        <v>436</v>
      </c>
      <c r="L8" s="166">
        <v>15.59</v>
      </c>
      <c r="M8" s="166">
        <v>1488027600</v>
      </c>
      <c r="N8" s="166">
        <v>8.42</v>
      </c>
      <c r="O8" s="166">
        <v>242</v>
      </c>
      <c r="P8" s="166">
        <v>3.18</v>
      </c>
      <c r="Q8"/>
      <c r="R8"/>
    </row>
    <row r="9" spans="1:18" x14ac:dyDescent="0.25">
      <c r="A9" s="166">
        <v>15.58</v>
      </c>
      <c r="B9" s="166">
        <v>0.13</v>
      </c>
      <c r="C9" s="166">
        <v>7.18</v>
      </c>
      <c r="D9" s="8">
        <v>42791.291666666664</v>
      </c>
      <c r="E9" s="166">
        <v>0.69</v>
      </c>
      <c r="F9" s="166" t="s">
        <v>437</v>
      </c>
      <c r="G9" s="166">
        <v>371.25</v>
      </c>
      <c r="H9" s="166">
        <v>0</v>
      </c>
      <c r="I9" s="166">
        <v>0</v>
      </c>
      <c r="J9" s="166">
        <v>1024.44</v>
      </c>
      <c r="K9" s="166" t="s">
        <v>436</v>
      </c>
      <c r="L9" s="166">
        <v>15.58</v>
      </c>
      <c r="M9" s="166">
        <v>1488031200</v>
      </c>
      <c r="N9" s="166">
        <v>7.98</v>
      </c>
      <c r="O9" s="166">
        <v>220</v>
      </c>
      <c r="P9" s="166">
        <v>2.71</v>
      </c>
      <c r="Q9"/>
      <c r="R9"/>
    </row>
    <row r="10" spans="1:18" x14ac:dyDescent="0.25">
      <c r="A10" s="166">
        <v>14.41</v>
      </c>
      <c r="B10" s="166">
        <v>0.13</v>
      </c>
      <c r="C10" s="166">
        <v>10.19</v>
      </c>
      <c r="D10" s="8">
        <v>42791.333333333336</v>
      </c>
      <c r="E10" s="166">
        <v>0.68</v>
      </c>
      <c r="F10" s="166" t="s">
        <v>437</v>
      </c>
      <c r="G10" s="166">
        <v>373.64</v>
      </c>
      <c r="H10" s="166">
        <v>0</v>
      </c>
      <c r="I10" s="166">
        <v>0</v>
      </c>
      <c r="J10" s="166">
        <v>1023.33</v>
      </c>
      <c r="K10" s="166" t="s">
        <v>436</v>
      </c>
      <c r="L10" s="166">
        <v>18.829999999999998</v>
      </c>
      <c r="M10" s="166">
        <v>1488034800</v>
      </c>
      <c r="N10" s="166">
        <v>7.88</v>
      </c>
      <c r="O10" s="166">
        <v>201</v>
      </c>
      <c r="P10" s="166">
        <v>3.01</v>
      </c>
      <c r="Q10"/>
      <c r="R10"/>
    </row>
    <row r="11" spans="1:18" x14ac:dyDescent="0.25">
      <c r="A11" s="166">
        <v>22.28</v>
      </c>
      <c r="B11" s="166">
        <v>0.19</v>
      </c>
      <c r="C11" s="166">
        <v>11.1</v>
      </c>
      <c r="D11" s="8">
        <v>42791.375</v>
      </c>
      <c r="E11" s="166">
        <v>0.62</v>
      </c>
      <c r="F11" s="166" t="s">
        <v>437</v>
      </c>
      <c r="G11" s="166">
        <v>375.67</v>
      </c>
      <c r="H11" s="166">
        <v>0</v>
      </c>
      <c r="I11" s="166">
        <v>0</v>
      </c>
      <c r="J11" s="166">
        <v>1021.22</v>
      </c>
      <c r="K11" s="166" t="s">
        <v>436</v>
      </c>
      <c r="L11" s="166">
        <v>22.28</v>
      </c>
      <c r="M11" s="166">
        <v>1488038400</v>
      </c>
      <c r="N11" s="166">
        <v>7.85</v>
      </c>
      <c r="O11" s="166">
        <v>215</v>
      </c>
      <c r="P11" s="166">
        <v>2.96</v>
      </c>
      <c r="Q11"/>
      <c r="R11"/>
    </row>
    <row r="12" spans="1:18" x14ac:dyDescent="0.25">
      <c r="A12" s="166">
        <v>27.41</v>
      </c>
      <c r="B12" s="166">
        <v>0.28999999999999998</v>
      </c>
      <c r="C12" s="166">
        <v>12.51</v>
      </c>
      <c r="D12" s="8">
        <v>42791.416666666664</v>
      </c>
      <c r="E12" s="166">
        <v>0.53</v>
      </c>
      <c r="F12" s="166" t="s">
        <v>438</v>
      </c>
      <c r="G12" s="166">
        <v>377.62</v>
      </c>
      <c r="H12" s="166">
        <v>0</v>
      </c>
      <c r="I12" s="166">
        <v>0</v>
      </c>
      <c r="J12" s="166">
        <v>1018.49</v>
      </c>
      <c r="K12" s="166" t="s">
        <v>434</v>
      </c>
      <c r="L12" s="166">
        <v>27.41</v>
      </c>
      <c r="M12" s="166">
        <v>1488042000</v>
      </c>
      <c r="N12" s="166">
        <v>7.89</v>
      </c>
      <c r="O12" s="166">
        <v>202</v>
      </c>
      <c r="P12" s="166">
        <v>2.83</v>
      </c>
      <c r="Q12"/>
      <c r="R12"/>
    </row>
    <row r="13" spans="1:18" x14ac:dyDescent="0.25">
      <c r="A13" s="166">
        <v>31.77</v>
      </c>
      <c r="B13" s="166">
        <v>0.35</v>
      </c>
      <c r="C13" s="166">
        <v>10.58</v>
      </c>
      <c r="D13" s="8">
        <v>42791.458333333336</v>
      </c>
      <c r="E13" s="166">
        <v>0.41</v>
      </c>
      <c r="F13" s="166" t="s">
        <v>438</v>
      </c>
      <c r="G13" s="166">
        <v>379.03</v>
      </c>
      <c r="H13" s="166">
        <v>0</v>
      </c>
      <c r="I13" s="166">
        <v>0</v>
      </c>
      <c r="J13" s="166">
        <v>1016.66</v>
      </c>
      <c r="K13" s="166" t="s">
        <v>434</v>
      </c>
      <c r="L13" s="166">
        <v>31.77</v>
      </c>
      <c r="M13" s="166">
        <v>1488045600</v>
      </c>
      <c r="N13" s="166">
        <v>7.79</v>
      </c>
      <c r="O13" s="166">
        <v>215</v>
      </c>
      <c r="P13" s="166">
        <v>2.33</v>
      </c>
      <c r="Q13"/>
      <c r="R13"/>
    </row>
    <row r="14" spans="1:18" x14ac:dyDescent="0.25">
      <c r="A14" s="166">
        <v>34.72</v>
      </c>
      <c r="B14" s="166">
        <v>0.32</v>
      </c>
      <c r="C14" s="166">
        <v>10.61</v>
      </c>
      <c r="D14" s="8">
        <v>42791.5</v>
      </c>
      <c r="E14" s="166">
        <v>0.36</v>
      </c>
      <c r="F14" s="166" t="s">
        <v>438</v>
      </c>
      <c r="G14" s="166">
        <v>379.74</v>
      </c>
      <c r="H14" s="166">
        <v>0</v>
      </c>
      <c r="I14" s="166">
        <v>0</v>
      </c>
      <c r="J14" s="166">
        <v>1015.62</v>
      </c>
      <c r="K14" s="166" t="s">
        <v>434</v>
      </c>
      <c r="L14" s="166">
        <v>34.72</v>
      </c>
      <c r="M14" s="166">
        <v>1488049200</v>
      </c>
      <c r="N14" s="166">
        <v>7.85</v>
      </c>
      <c r="O14" s="166">
        <v>246</v>
      </c>
      <c r="P14" s="166">
        <v>1.95</v>
      </c>
      <c r="Q14"/>
      <c r="R14"/>
    </row>
    <row r="15" spans="1:18" x14ac:dyDescent="0.25">
      <c r="A15" s="166">
        <v>37.049999999999997</v>
      </c>
      <c r="B15" s="166">
        <v>0.26</v>
      </c>
      <c r="C15" s="166">
        <v>10.84</v>
      </c>
      <c r="D15" s="8">
        <v>42791.541666666664</v>
      </c>
      <c r="E15" s="166">
        <v>0.33</v>
      </c>
      <c r="F15" s="166" t="s">
        <v>438</v>
      </c>
      <c r="G15" s="166">
        <v>379.9</v>
      </c>
      <c r="H15" s="166">
        <v>0</v>
      </c>
      <c r="I15" s="166">
        <v>0</v>
      </c>
      <c r="J15" s="166">
        <v>1014.94</v>
      </c>
      <c r="K15" s="166" t="s">
        <v>434</v>
      </c>
      <c r="L15" s="166">
        <v>37.049999999999997</v>
      </c>
      <c r="M15" s="166">
        <v>1488052800</v>
      </c>
      <c r="N15" s="166">
        <v>7.89</v>
      </c>
      <c r="O15" s="166">
        <v>317</v>
      </c>
      <c r="P15" s="166">
        <v>2.09</v>
      </c>
      <c r="Q15"/>
      <c r="R15"/>
    </row>
    <row r="16" spans="1:18" x14ac:dyDescent="0.25">
      <c r="A16" s="166">
        <v>35.26</v>
      </c>
      <c r="B16" s="166">
        <v>0.23</v>
      </c>
      <c r="C16" s="166">
        <v>10.75</v>
      </c>
      <c r="D16" s="8">
        <v>42791.583333333336</v>
      </c>
      <c r="E16" s="166">
        <v>0.33</v>
      </c>
      <c r="F16" s="166" t="s">
        <v>437</v>
      </c>
      <c r="G16" s="166">
        <v>379.51</v>
      </c>
      <c r="H16" s="166">
        <v>0</v>
      </c>
      <c r="I16" s="166">
        <v>0</v>
      </c>
      <c r="J16" s="166">
        <v>1014.37</v>
      </c>
      <c r="K16" s="166" t="s">
        <v>436</v>
      </c>
      <c r="L16" s="166">
        <v>37.409999999999997</v>
      </c>
      <c r="M16" s="166">
        <v>1488056400</v>
      </c>
      <c r="N16" s="166">
        <v>7.95</v>
      </c>
      <c r="O16" s="166">
        <v>332</v>
      </c>
      <c r="P16" s="166">
        <v>3.14</v>
      </c>
      <c r="Q16"/>
      <c r="R16"/>
    </row>
    <row r="17" spans="1:18" x14ac:dyDescent="0.25">
      <c r="A17" s="166">
        <v>32.1</v>
      </c>
      <c r="B17" s="166">
        <v>0.28999999999999998</v>
      </c>
      <c r="C17" s="166">
        <v>10.41</v>
      </c>
      <c r="D17" s="8">
        <v>42791.625</v>
      </c>
      <c r="E17" s="166">
        <v>0.32</v>
      </c>
      <c r="F17" s="166" t="s">
        <v>438</v>
      </c>
      <c r="G17" s="166">
        <v>377.93</v>
      </c>
      <c r="H17" s="166">
        <v>0</v>
      </c>
      <c r="I17" s="166">
        <v>0</v>
      </c>
      <c r="J17" s="166">
        <v>1013.75</v>
      </c>
      <c r="K17" s="166" t="s">
        <v>434</v>
      </c>
      <c r="L17" s="166">
        <v>37.42</v>
      </c>
      <c r="M17" s="166">
        <v>1488060000</v>
      </c>
      <c r="N17" s="166">
        <v>8.07</v>
      </c>
      <c r="O17" s="166">
        <v>304</v>
      </c>
      <c r="P17" s="166">
        <v>6.89</v>
      </c>
      <c r="Q17"/>
      <c r="R17"/>
    </row>
    <row r="18" spans="1:18" x14ac:dyDescent="0.25">
      <c r="A18" s="166">
        <v>28.89</v>
      </c>
      <c r="B18" s="166">
        <v>0.38</v>
      </c>
      <c r="C18" s="166">
        <v>8.25</v>
      </c>
      <c r="D18" s="8">
        <v>42791.666666666664</v>
      </c>
      <c r="E18" s="166">
        <v>0.32</v>
      </c>
      <c r="F18" s="166" t="s">
        <v>438</v>
      </c>
      <c r="G18" s="166">
        <v>375.79</v>
      </c>
      <c r="H18" s="166">
        <v>0</v>
      </c>
      <c r="I18" s="166">
        <v>0</v>
      </c>
      <c r="J18" s="166">
        <v>1013.27</v>
      </c>
      <c r="K18" s="166" t="s">
        <v>434</v>
      </c>
      <c r="L18" s="166">
        <v>35.299999999999997</v>
      </c>
      <c r="M18" s="166">
        <v>1488063600</v>
      </c>
      <c r="N18" s="166">
        <v>8.19</v>
      </c>
      <c r="O18" s="166">
        <v>304</v>
      </c>
      <c r="P18" s="166">
        <v>7.95</v>
      </c>
      <c r="Q18"/>
      <c r="R18"/>
    </row>
    <row r="19" spans="1:18" x14ac:dyDescent="0.25">
      <c r="A19" s="166">
        <v>27.03</v>
      </c>
      <c r="B19" s="166">
        <v>0.47</v>
      </c>
      <c r="C19" s="166">
        <v>6.45</v>
      </c>
      <c r="D19" s="8">
        <v>42791.708333333336</v>
      </c>
      <c r="E19" s="166">
        <v>0.32</v>
      </c>
      <c r="F19" s="166" t="s">
        <v>438</v>
      </c>
      <c r="G19" s="166">
        <v>374.93</v>
      </c>
      <c r="H19" s="166">
        <v>0</v>
      </c>
      <c r="I19" s="166">
        <v>0</v>
      </c>
      <c r="J19" s="166">
        <v>1013.19</v>
      </c>
      <c r="K19" s="166" t="s">
        <v>434</v>
      </c>
      <c r="L19" s="166">
        <v>32.99</v>
      </c>
      <c r="M19" s="166">
        <v>1488067200</v>
      </c>
      <c r="N19" s="166">
        <v>8.48</v>
      </c>
      <c r="O19" s="166">
        <v>300</v>
      </c>
      <c r="P19" s="166">
        <v>6.5</v>
      </c>
      <c r="Q19"/>
      <c r="R19"/>
    </row>
    <row r="20" spans="1:18" x14ac:dyDescent="0.25">
      <c r="A20" s="166">
        <v>25.71</v>
      </c>
      <c r="B20" s="166">
        <v>0.48</v>
      </c>
      <c r="C20" s="166">
        <v>6.12</v>
      </c>
      <c r="D20" s="8">
        <v>42791.75</v>
      </c>
      <c r="E20" s="166">
        <v>0.35</v>
      </c>
      <c r="F20" s="166" t="s">
        <v>231</v>
      </c>
      <c r="G20" s="166">
        <v>376.75</v>
      </c>
      <c r="H20" s="166">
        <v>0</v>
      </c>
      <c r="I20" s="166">
        <v>0</v>
      </c>
      <c r="J20" s="166">
        <v>1013.52</v>
      </c>
      <c r="K20" s="166" t="s">
        <v>434</v>
      </c>
      <c r="L20" s="166">
        <v>30.41</v>
      </c>
      <c r="M20" s="166">
        <v>1488070800</v>
      </c>
      <c r="N20" s="166">
        <v>8.8699999999999992</v>
      </c>
      <c r="O20" s="166">
        <v>289</v>
      </c>
      <c r="P20" s="166">
        <v>4.49</v>
      </c>
      <c r="Q20"/>
      <c r="R20"/>
    </row>
    <row r="21" spans="1:18" x14ac:dyDescent="0.25">
      <c r="A21" s="166">
        <v>24.42</v>
      </c>
      <c r="B21" s="166">
        <v>0.31</v>
      </c>
      <c r="C21" s="166">
        <v>7.09</v>
      </c>
      <c r="D21" s="8">
        <v>42791.791666666664</v>
      </c>
      <c r="E21" s="166">
        <v>0.4</v>
      </c>
      <c r="F21" s="166" t="s">
        <v>231</v>
      </c>
      <c r="G21" s="166">
        <v>379.85</v>
      </c>
      <c r="H21" s="166">
        <v>0</v>
      </c>
      <c r="I21" s="166">
        <v>0</v>
      </c>
      <c r="J21" s="166">
        <v>1014.59</v>
      </c>
      <c r="K21" s="166" t="s">
        <v>434</v>
      </c>
      <c r="L21" s="166">
        <v>28.57</v>
      </c>
      <c r="M21" s="166">
        <v>1488074400</v>
      </c>
      <c r="N21" s="166">
        <v>9.33</v>
      </c>
      <c r="O21" s="166">
        <v>255</v>
      </c>
      <c r="P21" s="166">
        <v>3.75</v>
      </c>
      <c r="Q21"/>
      <c r="R21"/>
    </row>
    <row r="22" spans="1:18" x14ac:dyDescent="0.25">
      <c r="A22" s="166">
        <v>21.92</v>
      </c>
      <c r="B22" s="166">
        <v>0.21</v>
      </c>
      <c r="C22" s="166">
        <v>7.98</v>
      </c>
      <c r="D22" s="8">
        <v>42791.833333333336</v>
      </c>
      <c r="E22" s="166">
        <v>0.44</v>
      </c>
      <c r="F22" s="166" t="s">
        <v>435</v>
      </c>
      <c r="G22" s="166">
        <v>381.88</v>
      </c>
      <c r="H22" s="166">
        <v>0</v>
      </c>
      <c r="I22" s="166">
        <v>0</v>
      </c>
      <c r="J22" s="166">
        <v>1015.45</v>
      </c>
      <c r="K22" s="166" t="s">
        <v>436</v>
      </c>
      <c r="L22" s="166">
        <v>26.93</v>
      </c>
      <c r="M22" s="166">
        <v>1488078000</v>
      </c>
      <c r="N22" s="166">
        <v>8.85</v>
      </c>
      <c r="O22" s="166">
        <v>221</v>
      </c>
      <c r="P22" s="166">
        <v>4.25</v>
      </c>
      <c r="Q22"/>
      <c r="R22"/>
    </row>
    <row r="23" spans="1:18" x14ac:dyDescent="0.25">
      <c r="A23" s="166">
        <v>22.42</v>
      </c>
      <c r="B23" s="166">
        <v>0.22</v>
      </c>
      <c r="C23" s="166">
        <v>8.32</v>
      </c>
      <c r="D23" s="8">
        <v>42791.875</v>
      </c>
      <c r="E23" s="166">
        <v>0.46</v>
      </c>
      <c r="F23" s="166" t="s">
        <v>435</v>
      </c>
      <c r="G23" s="166">
        <v>381.91</v>
      </c>
      <c r="H23" s="166">
        <v>0</v>
      </c>
      <c r="I23" s="166">
        <v>0</v>
      </c>
      <c r="J23" s="166">
        <v>1015.4</v>
      </c>
      <c r="K23" s="166" t="s">
        <v>436</v>
      </c>
      <c r="L23" s="166">
        <v>26.46</v>
      </c>
      <c r="M23" s="166">
        <v>1488081600</v>
      </c>
      <c r="N23" s="166">
        <v>8.4</v>
      </c>
      <c r="O23" s="166">
        <v>218</v>
      </c>
      <c r="P23" s="166">
        <v>3.43</v>
      </c>
      <c r="Q23"/>
      <c r="R23"/>
    </row>
    <row r="24" spans="1:18" x14ac:dyDescent="0.25">
      <c r="A24" s="166">
        <v>21.2</v>
      </c>
      <c r="B24" s="166">
        <v>0.2</v>
      </c>
      <c r="C24" s="166">
        <v>8.2200000000000006</v>
      </c>
      <c r="D24" s="8">
        <v>42791.916666666664</v>
      </c>
      <c r="E24" s="166">
        <v>0.47</v>
      </c>
      <c r="F24" s="166" t="s">
        <v>435</v>
      </c>
      <c r="G24" s="166">
        <v>380.86</v>
      </c>
      <c r="H24" s="166">
        <v>0</v>
      </c>
      <c r="I24" s="166">
        <v>0</v>
      </c>
      <c r="J24" s="166">
        <v>1014.95</v>
      </c>
      <c r="K24" s="166" t="s">
        <v>436</v>
      </c>
      <c r="L24" s="166">
        <v>25.44</v>
      </c>
      <c r="M24" s="166">
        <v>1488085200</v>
      </c>
      <c r="N24" s="166">
        <v>8.3699999999999992</v>
      </c>
      <c r="O24" s="166">
        <v>233</v>
      </c>
      <c r="P24" s="166">
        <v>3.46</v>
      </c>
      <c r="Q24"/>
      <c r="R24"/>
    </row>
    <row r="25" spans="1:18" x14ac:dyDescent="0.25">
      <c r="A25" s="166">
        <v>20.2</v>
      </c>
      <c r="B25" s="166">
        <v>0.21</v>
      </c>
      <c r="C25" s="166">
        <v>7.53</v>
      </c>
      <c r="D25" s="8">
        <v>42791.958333333336</v>
      </c>
      <c r="E25" s="166">
        <v>0.47</v>
      </c>
      <c r="F25" s="166" t="s">
        <v>435</v>
      </c>
      <c r="G25" s="166">
        <v>379.18</v>
      </c>
      <c r="H25" s="166">
        <v>0</v>
      </c>
      <c r="I25" s="166">
        <v>0</v>
      </c>
      <c r="J25" s="166">
        <v>1014.89</v>
      </c>
      <c r="K25" s="166" t="s">
        <v>436</v>
      </c>
      <c r="L25" s="166">
        <v>24.67</v>
      </c>
      <c r="M25" s="166">
        <v>1488088800</v>
      </c>
      <c r="N25" s="166">
        <v>8.5399999999999991</v>
      </c>
      <c r="O25" s="166">
        <v>213</v>
      </c>
      <c r="P25" s="166">
        <v>3.55</v>
      </c>
      <c r="Q25"/>
      <c r="R25"/>
    </row>
    <row r="26" spans="1:18" x14ac:dyDescent="0.25">
      <c r="A26" s="166">
        <v>22.1</v>
      </c>
      <c r="B26" s="166">
        <v>0.25</v>
      </c>
      <c r="C26" s="166">
        <v>5.19</v>
      </c>
      <c r="D26" s="8">
        <v>42792</v>
      </c>
      <c r="E26" s="166">
        <v>0.47</v>
      </c>
      <c r="F26" s="166" t="s">
        <v>231</v>
      </c>
      <c r="G26" s="166">
        <v>376.36</v>
      </c>
      <c r="H26" s="166">
        <v>0</v>
      </c>
      <c r="I26" s="166">
        <v>0</v>
      </c>
      <c r="J26" s="166">
        <v>1015.92</v>
      </c>
      <c r="K26" s="166" t="s">
        <v>434</v>
      </c>
      <c r="L26" s="166">
        <v>22.1</v>
      </c>
      <c r="M26" s="166">
        <v>1488092400</v>
      </c>
      <c r="N26" s="166">
        <v>8.6</v>
      </c>
      <c r="O26" s="166">
        <v>246</v>
      </c>
      <c r="P26" s="166">
        <v>2.5</v>
      </c>
      <c r="Q26"/>
      <c r="R26"/>
    </row>
    <row r="27" spans="1:18" x14ac:dyDescent="0.25">
      <c r="A27" s="166">
        <v>17.440000000000001</v>
      </c>
      <c r="B27" s="166">
        <v>0.14000000000000001</v>
      </c>
      <c r="C27" s="166">
        <v>4.21</v>
      </c>
      <c r="D27" s="8">
        <v>42792.041666666664</v>
      </c>
      <c r="E27" s="166">
        <v>0.46</v>
      </c>
      <c r="F27" s="166" t="s">
        <v>435</v>
      </c>
      <c r="G27" s="166">
        <v>373.55</v>
      </c>
      <c r="H27" s="166">
        <v>0</v>
      </c>
      <c r="I27" s="166">
        <v>0</v>
      </c>
      <c r="J27" s="166">
        <v>1016.86</v>
      </c>
      <c r="K27" s="166" t="s">
        <v>436</v>
      </c>
      <c r="L27" s="166">
        <v>21.89</v>
      </c>
      <c r="M27" s="166">
        <v>1488096000</v>
      </c>
      <c r="N27" s="166">
        <v>8.5399999999999991</v>
      </c>
      <c r="O27" s="166">
        <v>252</v>
      </c>
      <c r="P27" s="166">
        <v>3.27</v>
      </c>
      <c r="Q27"/>
      <c r="R27"/>
    </row>
    <row r="28" spans="1:18" x14ac:dyDescent="0.25">
      <c r="A28" s="166">
        <v>21.32</v>
      </c>
      <c r="B28" s="166">
        <v>0.11</v>
      </c>
      <c r="C28" s="166">
        <v>3.62</v>
      </c>
      <c r="D28" s="8">
        <v>42792.083333333336</v>
      </c>
      <c r="E28" s="166">
        <v>0.46</v>
      </c>
      <c r="F28" s="166" t="s">
        <v>435</v>
      </c>
      <c r="G28" s="166">
        <v>370.73</v>
      </c>
      <c r="H28" s="166">
        <v>0</v>
      </c>
      <c r="I28" s="166">
        <v>0</v>
      </c>
      <c r="J28" s="166">
        <v>1017.89</v>
      </c>
      <c r="K28" s="166" t="s">
        <v>436</v>
      </c>
      <c r="L28" s="166">
        <v>21.32</v>
      </c>
      <c r="M28" s="166">
        <v>1488099600</v>
      </c>
      <c r="N28" s="166">
        <v>7.36</v>
      </c>
      <c r="O28" s="166">
        <v>245</v>
      </c>
      <c r="P28" s="166">
        <v>2.94</v>
      </c>
      <c r="Q28"/>
      <c r="R28"/>
    </row>
    <row r="29" spans="1:18" x14ac:dyDescent="0.25">
      <c r="A29" s="166">
        <v>12.39</v>
      </c>
      <c r="B29" s="166">
        <v>0.1</v>
      </c>
      <c r="C29" s="166">
        <v>3.95</v>
      </c>
      <c r="D29" s="8">
        <v>42792.125</v>
      </c>
      <c r="E29" s="166">
        <v>0.52</v>
      </c>
      <c r="F29" s="166" t="s">
        <v>435</v>
      </c>
      <c r="G29" s="166">
        <v>368.88</v>
      </c>
      <c r="H29" s="166">
        <v>0</v>
      </c>
      <c r="I29" s="166">
        <v>0</v>
      </c>
      <c r="J29" s="166">
        <v>1018.59</v>
      </c>
      <c r="K29" s="166" t="s">
        <v>436</v>
      </c>
      <c r="L29" s="166">
        <v>18.73</v>
      </c>
      <c r="M29" s="166">
        <v>1488103200</v>
      </c>
      <c r="N29" s="166">
        <v>8.51</v>
      </c>
      <c r="O29" s="166">
        <v>233</v>
      </c>
      <c r="P29" s="166">
        <v>4.2699999999999996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186</v>
      </c>
    </row>
    <row r="33" spans="1:1" x14ac:dyDescent="0.25">
      <c r="A33" s="153" t="s">
        <v>175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9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6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6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6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6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6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6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6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6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6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6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6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6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6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187</v>
      </c>
      <c r="J17" s="160"/>
      <c r="K17" s="161"/>
      <c r="L17" s="161"/>
    </row>
    <row r="18" spans="3:14" x14ac:dyDescent="0.25">
      <c r="C18" t="s">
        <v>755</v>
      </c>
      <c r="J18" s="160" t="s">
        <v>85</v>
      </c>
      <c r="K18" s="161"/>
      <c r="L18" s="161"/>
      <c r="M18" s="166" t="str">
        <f>"""C:\Program Files (x86)\AstroGrep\AstroGrep.exe"""</f>
        <v>"C:\Program Files (x86)\AstroGrep\AstroGrep.exe"</v>
      </c>
    </row>
    <row r="19" spans="3:14" x14ac:dyDescent="0.25">
      <c r="C19" t="s">
        <v>756</v>
      </c>
      <c r="J19" s="160" t="s">
        <v>86</v>
      </c>
      <c r="K19" s="161"/>
      <c r="L19" s="161"/>
      <c r="M19" s="166" t="s">
        <v>112</v>
      </c>
    </row>
    <row r="20" spans="3:14" x14ac:dyDescent="0.25">
      <c r="C20" t="s">
        <v>757</v>
      </c>
      <c r="J20" s="152" t="s">
        <v>87</v>
      </c>
      <c r="M20" s="166" t="s">
        <v>807</v>
      </c>
      <c r="N20" s="166" t="s">
        <v>331</v>
      </c>
    </row>
    <row r="21" spans="3:14" x14ac:dyDescent="0.25">
      <c r="C21" t="s">
        <v>760</v>
      </c>
      <c r="J21" s="152" t="s">
        <v>90</v>
      </c>
      <c r="K21" s="152" t="s">
        <v>91</v>
      </c>
      <c r="M21" s="166" t="s">
        <v>174</v>
      </c>
    </row>
    <row r="22" spans="3:14" x14ac:dyDescent="0.25">
      <c r="C22" t="s">
        <v>761</v>
      </c>
      <c r="J22" s="152" t="s">
        <v>92</v>
      </c>
      <c r="K22" s="152" t="s">
        <v>93</v>
      </c>
      <c r="M22" s="166" t="s">
        <v>111</v>
      </c>
    </row>
    <row r="23" spans="3:14" x14ac:dyDescent="0.25">
      <c r="C23" t="s">
        <v>762</v>
      </c>
      <c r="J23" s="162" t="s">
        <v>95</v>
      </c>
      <c r="M23" s="166" t="str">
        <f>"-07"</f>
        <v>-07</v>
      </c>
    </row>
    <row r="24" spans="3:14" x14ac:dyDescent="0.25">
      <c r="C24" t="s">
        <v>763</v>
      </c>
      <c r="J24" s="152" t="s">
        <v>108</v>
      </c>
      <c r="M24" s="166" t="s">
        <v>110</v>
      </c>
    </row>
    <row r="25" spans="3:14" x14ac:dyDescent="0.25">
      <c r="C25" t="s">
        <v>764</v>
      </c>
      <c r="J25" s="152" t="s">
        <v>150</v>
      </c>
      <c r="M25" s="166" t="b">
        <v>1</v>
      </c>
    </row>
    <row r="26" spans="3:14" x14ac:dyDescent="0.25">
      <c r="C26" t="s">
        <v>758</v>
      </c>
      <c r="J26" s="152" t="s">
        <v>151</v>
      </c>
      <c r="M26" s="166" t="str">
        <f>"C:\Users\stu\Documents\GitHub\eaglep3-reporting\EC\"&amp;TEXT(A2,"yyyy-mm-dd")&amp;"-refined-times.txt"</f>
        <v>C:\Users\stu\Documents\GitHub\eaglep3-reporting\EC\2017-02-25-refined-times.txt</v>
      </c>
    </row>
    <row r="27" spans="3:14" x14ac:dyDescent="0.25">
      <c r="C27" t="s">
        <v>765</v>
      </c>
      <c r="J27" s="152" t="s">
        <v>176</v>
      </c>
      <c r="M27" s="166" t="str">
        <f>"C:\Users\stu\Documents\GitHub\eaglep3-reporting\EC\"&amp;TEXT(A2,"YYYY-MM-DD")&amp;"-Enforcements.txt"</f>
        <v>C:\Users\stu\Documents\GitHub\eaglep3-reporting\EC\2017-02-25-Enforcements.txt</v>
      </c>
    </row>
    <row r="28" spans="3:14" x14ac:dyDescent="0.25">
      <c r="C28" t="s">
        <v>759</v>
      </c>
      <c r="J28" s="152" t="s">
        <v>177</v>
      </c>
      <c r="M28" s="166" t="str">
        <f>"C:\Users\stu\Documents\GitHub\eaglep3-reporting\EC\"&amp;TEXT(A2,"YYYY-MM-DD")&amp;"-Runs-refined.txt"</f>
        <v>C:\Users\stu\Documents\GitHub\eaglep3-reporting\EC\2017-02-25-Runs-refined.txt</v>
      </c>
    </row>
    <row r="29" spans="3:14" x14ac:dyDescent="0.25">
      <c r="C29" t="s">
        <v>766</v>
      </c>
      <c r="J29" s="152" t="s">
        <v>178</v>
      </c>
      <c r="M29" s="166" t="str">
        <f>"C:\Users\stu\Documents\GitHub\eaglep3-reporting\EC\"&amp;TEXT(A2,"YYYY-MM-DD")&amp;"-Trips.txt"</f>
        <v>C:\Users\stu\Documents\GitHub\eaglep3-reporting\EC\2017-02-25-Trips.txt</v>
      </c>
    </row>
    <row r="30" spans="3:14" x14ac:dyDescent="0.25">
      <c r="C30" t="s">
        <v>767</v>
      </c>
      <c r="J30" s="152" t="s">
        <v>179</v>
      </c>
      <c r="M30" s="166" t="str">
        <f>"C:\Users\stu\Documents\GitHub\eaglep3-reporting\EC\"&amp;TEXT(A2,"YYYY-MM-DD")&amp;"-Weather.txt"</f>
        <v>C:\Users\stu\Documents\GitHub\eaglep3-reporting\EC\2017-02-25-Weather.txt</v>
      </c>
    </row>
    <row r="31" spans="3:14" x14ac:dyDescent="0.25">
      <c r="C31" t="s">
        <v>768</v>
      </c>
      <c r="J31" s="152" t="s">
        <v>203</v>
      </c>
      <c r="M31" s="166" t="s">
        <v>204</v>
      </c>
    </row>
    <row r="32" spans="3:14" x14ac:dyDescent="0.25">
      <c r="C32" t="s">
        <v>769</v>
      </c>
    </row>
    <row r="33" spans="3:3" x14ac:dyDescent="0.25">
      <c r="C33" t="s">
        <v>770</v>
      </c>
    </row>
    <row r="34" spans="3:3" x14ac:dyDescent="0.25">
      <c r="C34" t="s">
        <v>771</v>
      </c>
    </row>
    <row r="35" spans="3:3" x14ac:dyDescent="0.25">
      <c r="C35" t="s">
        <v>772</v>
      </c>
    </row>
    <row r="36" spans="3:3" x14ac:dyDescent="0.25">
      <c r="C36" t="s">
        <v>773</v>
      </c>
    </row>
    <row r="37" spans="3:3" x14ac:dyDescent="0.25">
      <c r="C37" t="s">
        <v>774</v>
      </c>
    </row>
    <row r="38" spans="3:3" x14ac:dyDescent="0.25">
      <c r="C38" t="s">
        <v>775</v>
      </c>
    </row>
    <row r="39" spans="3:3" x14ac:dyDescent="0.25">
      <c r="C39" t="s">
        <v>776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813</v>
      </c>
      <c r="B1" t="str">
        <f t="shared" ref="B1:B30" si="0">MID(A1,6,23)</f>
        <v>2017/02/25 10:23:53.309</v>
      </c>
      <c r="C1" t="e">
        <f>ABS(B1-#REF!)</f>
        <v>#REF!</v>
      </c>
    </row>
    <row r="2" spans="1:3" x14ac:dyDescent="0.25">
      <c r="A2" t="s">
        <v>814</v>
      </c>
      <c r="B2" s="20" t="str">
        <f t="shared" si="0"/>
        <v>2017/02/25 10:23:53.642</v>
      </c>
      <c r="C2">
        <f>ABS(B2-B1)</f>
        <v>3.8541620597243309E-6</v>
      </c>
    </row>
    <row r="3" spans="1:3" x14ac:dyDescent="0.25">
      <c r="A3" t="s">
        <v>815</v>
      </c>
      <c r="B3" s="20" t="str">
        <f t="shared" si="0"/>
        <v>2017/02/25 10:23:53.705</v>
      </c>
      <c r="C3" s="20">
        <f t="shared" ref="C3:C30" si="1">ABS(B3-B2)</f>
        <v>7.2916736826300621E-7</v>
      </c>
    </row>
    <row r="4" spans="1:3" x14ac:dyDescent="0.25">
      <c r="A4" t="s">
        <v>816</v>
      </c>
      <c r="B4" s="20" t="str">
        <f t="shared" si="0"/>
        <v>2017/02/25 11:52:07.092</v>
      </c>
      <c r="C4" s="20">
        <f t="shared" si="1"/>
        <v>6.1266053242434282E-2</v>
      </c>
    </row>
    <row r="5" spans="1:3" x14ac:dyDescent="0.25">
      <c r="A5" t="s">
        <v>817</v>
      </c>
      <c r="B5" s="20" t="str">
        <f t="shared" si="0"/>
        <v>2017/02/25 11:52:07.346</v>
      </c>
      <c r="C5" s="20">
        <f t="shared" si="1"/>
        <v>2.9398142942227423E-6</v>
      </c>
    </row>
    <row r="6" spans="1:3" x14ac:dyDescent="0.25">
      <c r="A6" t="s">
        <v>818</v>
      </c>
      <c r="B6" s="20" t="str">
        <f t="shared" si="0"/>
        <v>2017/02/25 13:22:45.498</v>
      </c>
      <c r="C6" s="20">
        <f t="shared" si="1"/>
        <v>6.2941574076830875E-2</v>
      </c>
    </row>
    <row r="7" spans="1:3" x14ac:dyDescent="0.25">
      <c r="A7" t="s">
        <v>819</v>
      </c>
      <c r="B7" s="20" t="str">
        <f t="shared" si="0"/>
        <v>2017/02/25 13:22:45.574</v>
      </c>
      <c r="C7" s="20">
        <f t="shared" si="1"/>
        <v>8.7962689576670527E-7</v>
      </c>
    </row>
    <row r="8" spans="1:3" x14ac:dyDescent="0.25">
      <c r="A8" t="s">
        <v>820</v>
      </c>
      <c r="B8" s="20" t="str">
        <f t="shared" si="0"/>
        <v>2017/02/25 13:22:45.956</v>
      </c>
      <c r="C8" s="20">
        <f t="shared" si="1"/>
        <v>4.4212938519194722E-6</v>
      </c>
    </row>
    <row r="9" spans="1:3" x14ac:dyDescent="0.25">
      <c r="A9" t="s">
        <v>821</v>
      </c>
      <c r="B9" s="20" t="str">
        <f t="shared" si="0"/>
        <v>2017/02/25 13:35:40.109</v>
      </c>
      <c r="C9" s="20">
        <f t="shared" si="1"/>
        <v>8.9601041690912098E-3</v>
      </c>
    </row>
    <row r="10" spans="1:3" x14ac:dyDescent="0.25">
      <c r="A10" t="s">
        <v>822</v>
      </c>
      <c r="B10" s="20" t="str">
        <f t="shared" si="0"/>
        <v>2017/02/25 13:35:41.378</v>
      </c>
      <c r="C10" s="20">
        <f t="shared" si="1"/>
        <v>1.468750269850716E-5</v>
      </c>
    </row>
    <row r="11" spans="1:3" x14ac:dyDescent="0.25">
      <c r="A11" t="s">
        <v>823</v>
      </c>
      <c r="B11" s="20" t="str">
        <f t="shared" si="0"/>
        <v>2017/02/25 13:36:37.727</v>
      </c>
      <c r="C11" s="20">
        <f t="shared" si="1"/>
        <v>6.521874965983443E-4</v>
      </c>
    </row>
    <row r="12" spans="1:3" x14ac:dyDescent="0.25">
      <c r="A12" t="s">
        <v>824</v>
      </c>
      <c r="B12" s="20" t="str">
        <f t="shared" si="0"/>
        <v>2017/02/25 13:36:38.291</v>
      </c>
      <c r="C12" s="20">
        <f t="shared" si="1"/>
        <v>6.5277781686745584E-6</v>
      </c>
    </row>
    <row r="13" spans="1:3" x14ac:dyDescent="0.25">
      <c r="A13" t="s">
        <v>825</v>
      </c>
      <c r="B13" s="20" t="str">
        <f t="shared" si="0"/>
        <v>2017/02/25 13:36:38.316</v>
      </c>
      <c r="C13" s="20">
        <f t="shared" si="1"/>
        <v>2.8935028240084648E-7</v>
      </c>
    </row>
    <row r="14" spans="1:3" x14ac:dyDescent="0.25">
      <c r="A14" t="s">
        <v>826</v>
      </c>
      <c r="B14" s="20" t="str">
        <f t="shared" si="0"/>
        <v>2017/02/25 14:35:25.474</v>
      </c>
      <c r="C14" s="20">
        <f t="shared" si="1"/>
        <v>4.0823587965860497E-2</v>
      </c>
    </row>
    <row r="15" spans="1:3" x14ac:dyDescent="0.25">
      <c r="A15" t="s">
        <v>827</v>
      </c>
      <c r="B15" s="20" t="str">
        <f t="shared" si="0"/>
        <v>2017/02/25 14:35:25.641</v>
      </c>
      <c r="C15" s="20">
        <f t="shared" si="1"/>
        <v>1.9328726921230555E-6</v>
      </c>
    </row>
    <row r="16" spans="1:3" x14ac:dyDescent="0.25">
      <c r="A16" t="s">
        <v>828</v>
      </c>
      <c r="B16" s="20" t="str">
        <f t="shared" si="0"/>
        <v>2017/02/25 14:35:26.216</v>
      </c>
      <c r="C16" s="20">
        <f t="shared" si="1"/>
        <v>6.6550855990499258E-6</v>
      </c>
    </row>
    <row r="17" spans="1:3" x14ac:dyDescent="0.25">
      <c r="A17" t="s">
        <v>829</v>
      </c>
      <c r="B17" s="20" t="str">
        <f t="shared" si="0"/>
        <v>2017/02/25 14:52:24.285</v>
      </c>
      <c r="C17" s="20">
        <f t="shared" si="1"/>
        <v>1.1783206020481884E-2</v>
      </c>
    </row>
    <row r="18" spans="1:3" x14ac:dyDescent="0.25">
      <c r="A18" t="s">
        <v>830</v>
      </c>
      <c r="B18" s="20" t="str">
        <f t="shared" si="0"/>
        <v>2017/02/25 14:52:24.665</v>
      </c>
      <c r="C18" s="20">
        <f t="shared" si="1"/>
        <v>4.3981490307487547E-6</v>
      </c>
    </row>
    <row r="19" spans="1:3" x14ac:dyDescent="0.25">
      <c r="A19" t="s">
        <v>831</v>
      </c>
      <c r="B19" s="20" t="str">
        <f t="shared" si="0"/>
        <v>2017/02/25 14:52:25.554</v>
      </c>
      <c r="C19" s="20">
        <f t="shared" si="1"/>
        <v>1.0289353667758405E-5</v>
      </c>
    </row>
    <row r="20" spans="1:3" x14ac:dyDescent="0.25">
      <c r="A20" t="s">
        <v>832</v>
      </c>
      <c r="B20" s="20" t="str">
        <f t="shared" si="0"/>
        <v>2017/02/25 16:21:10.091</v>
      </c>
      <c r="C20" s="20">
        <f t="shared" si="1"/>
        <v>6.1626585644262377E-2</v>
      </c>
    </row>
    <row r="21" spans="1:3" x14ac:dyDescent="0.25">
      <c r="A21" t="s">
        <v>833</v>
      </c>
      <c r="B21" s="20" t="str">
        <f t="shared" si="0"/>
        <v>2017/02/25 16:21:11.033</v>
      </c>
      <c r="C21" s="20">
        <f t="shared" si="1"/>
        <v>1.0902782378252596E-5</v>
      </c>
    </row>
    <row r="22" spans="1:3" x14ac:dyDescent="0.25">
      <c r="A22" t="s">
        <v>834</v>
      </c>
      <c r="B22" s="20" t="str">
        <f t="shared" si="0"/>
        <v>2017/02/25 16:21:12.040</v>
      </c>
      <c r="C22" s="20">
        <f t="shared" si="1"/>
        <v>1.1655087291728705E-5</v>
      </c>
    </row>
    <row r="23" spans="1:3" x14ac:dyDescent="0.25">
      <c r="A23" t="s">
        <v>835</v>
      </c>
      <c r="B23" s="20" t="str">
        <f t="shared" si="0"/>
        <v>2017/02/25 17:21:33.766</v>
      </c>
      <c r="C23" s="20">
        <f t="shared" si="1"/>
        <v>4.1918125003576279E-2</v>
      </c>
    </row>
    <row r="24" spans="1:3" x14ac:dyDescent="0.25">
      <c r="A24" t="s">
        <v>836</v>
      </c>
      <c r="B24" s="20" t="str">
        <f t="shared" si="0"/>
        <v>2017/02/25 17:21:34.411</v>
      </c>
      <c r="C24" s="20">
        <f t="shared" si="1"/>
        <v>7.4652780313044786E-6</v>
      </c>
    </row>
    <row r="25" spans="1:3" x14ac:dyDescent="0.25">
      <c r="A25" t="s">
        <v>837</v>
      </c>
      <c r="B25" s="20" t="str">
        <f t="shared" si="0"/>
        <v>2017/02/25 17:21:34.942</v>
      </c>
      <c r="C25" s="20">
        <f t="shared" si="1"/>
        <v>6.1458340496756136E-6</v>
      </c>
    </row>
    <row r="26" spans="1:3" x14ac:dyDescent="0.25">
      <c r="A26" t="s">
        <v>838</v>
      </c>
      <c r="B26" s="20" t="str">
        <f t="shared" si="0"/>
        <v>2017/02/25 17:22:39.272</v>
      </c>
      <c r="C26" s="20">
        <f t="shared" si="1"/>
        <v>7.4456018774071708E-4</v>
      </c>
    </row>
    <row r="27" spans="1:3" x14ac:dyDescent="0.25">
      <c r="A27" t="s">
        <v>839</v>
      </c>
      <c r="B27" s="20" t="str">
        <f t="shared" si="0"/>
        <v>2017/02/25 17:22:40.294</v>
      </c>
      <c r="C27" s="20">
        <f t="shared" si="1"/>
        <v>1.1828698916360736E-5</v>
      </c>
    </row>
    <row r="28" spans="1:3" x14ac:dyDescent="0.25">
      <c r="A28" t="s">
        <v>840</v>
      </c>
      <c r="B28" s="20" t="str">
        <f t="shared" si="0"/>
        <v>2017/02/25 18:29:11.968</v>
      </c>
      <c r="C28" s="20">
        <f t="shared" si="1"/>
        <v>4.6199930555303581E-2</v>
      </c>
    </row>
    <row r="29" spans="1:3" x14ac:dyDescent="0.25">
      <c r="A29" t="s">
        <v>841</v>
      </c>
      <c r="B29" s="20" t="str">
        <f t="shared" si="0"/>
        <v>2017/02/25 18:29:12.431</v>
      </c>
      <c r="C29" s="20">
        <f t="shared" si="1"/>
        <v>5.3588009905070066E-6</v>
      </c>
    </row>
    <row r="30" spans="1:3" x14ac:dyDescent="0.25">
      <c r="A30" t="s">
        <v>842</v>
      </c>
      <c r="B30" s="20" t="str">
        <f t="shared" si="0"/>
        <v>2017/02/25 18:58:16.774</v>
      </c>
      <c r="C30" s="20">
        <f t="shared" si="1"/>
        <v>2.0189155089610722E-2</v>
      </c>
    </row>
    <row r="31" spans="1:3" x14ac:dyDescent="0.25">
      <c r="A31" t="s">
        <v>843</v>
      </c>
      <c r="B31" s="20" t="str">
        <f t="shared" ref="B31:B32" si="2">MID(A31,6,23)</f>
        <v>2017/02/25 18:58:16.955</v>
      </c>
      <c r="C31" s="20">
        <f t="shared" ref="C31:C32" si="3">ABS(B31-B30)</f>
        <v>2.0949082681909204E-6</v>
      </c>
    </row>
    <row r="32" spans="1:3" x14ac:dyDescent="0.25">
      <c r="A32" t="s">
        <v>844</v>
      </c>
      <c r="B32" s="20" t="str">
        <f t="shared" si="2"/>
        <v>2017/02/25 18:58:17.421</v>
      </c>
      <c r="C32" s="20">
        <f t="shared" si="3"/>
        <v>5.3935145842842758E-6</v>
      </c>
    </row>
    <row r="33" spans="1:3" x14ac:dyDescent="0.25">
      <c r="A33" t="s">
        <v>845</v>
      </c>
      <c r="B33" s="20" t="str">
        <f t="shared" ref="B33:B49" si="4">MID(A33,6,23)</f>
        <v>2017/02/25 19:12:09.307</v>
      </c>
      <c r="C33" s="20">
        <f t="shared" ref="C33:C49" si="5">ABS(B33-B32)</f>
        <v>9.6283101884182543E-3</v>
      </c>
    </row>
    <row r="34" spans="1:3" x14ac:dyDescent="0.25">
      <c r="A34" t="s">
        <v>846</v>
      </c>
      <c r="B34" s="20" t="str">
        <f t="shared" si="4"/>
        <v>2017/02/25 19:12:09.635</v>
      </c>
      <c r="C34" s="20">
        <f t="shared" si="5"/>
        <v>3.7962963688187301E-6</v>
      </c>
    </row>
    <row r="35" spans="1:3" x14ac:dyDescent="0.25">
      <c r="A35" t="s">
        <v>847</v>
      </c>
      <c r="B35" s="20" t="str">
        <f t="shared" si="4"/>
        <v>2017/02/25 19:12:09.714</v>
      </c>
      <c r="C35" s="20">
        <f t="shared" si="5"/>
        <v>9.1434776550158858E-7</v>
      </c>
    </row>
    <row r="36" spans="1:3" x14ac:dyDescent="0.25">
      <c r="A36" t="s">
        <v>848</v>
      </c>
      <c r="B36" s="20" t="str">
        <f t="shared" si="4"/>
        <v>2017/02/25 19:34:32.248</v>
      </c>
      <c r="C36" s="20">
        <f t="shared" si="5"/>
        <v>1.5538587969786022E-2</v>
      </c>
    </row>
    <row r="37" spans="1:3" x14ac:dyDescent="0.25">
      <c r="A37" t="s">
        <v>849</v>
      </c>
      <c r="B37" s="20" t="str">
        <f t="shared" si="4"/>
        <v>2017/02/25 19:34:32.746</v>
      </c>
      <c r="C37" s="20">
        <f t="shared" si="5"/>
        <v>5.7638826547190547E-6</v>
      </c>
    </row>
    <row r="38" spans="1:3" x14ac:dyDescent="0.25">
      <c r="A38" t="s">
        <v>850</v>
      </c>
      <c r="B38" s="20" t="str">
        <f t="shared" si="4"/>
        <v>2017/02/25 20:13:14.643</v>
      </c>
      <c r="C38" s="20">
        <f t="shared" si="5"/>
        <v>2.6873807873926125E-2</v>
      </c>
    </row>
    <row r="39" spans="1:3" x14ac:dyDescent="0.25">
      <c r="A39" t="s">
        <v>851</v>
      </c>
      <c r="B39" s="20" t="str">
        <f t="shared" si="4"/>
        <v>2017/02/25 20:13:15.268</v>
      </c>
      <c r="C39" s="20">
        <f t="shared" si="5"/>
        <v>7.233793439809233E-6</v>
      </c>
    </row>
    <row r="40" spans="1:3" x14ac:dyDescent="0.25">
      <c r="A40" t="s">
        <v>852</v>
      </c>
      <c r="B40" s="20" t="str">
        <f t="shared" si="4"/>
        <v>2017/02/25 20:13:15.548</v>
      </c>
      <c r="C40" s="20">
        <f t="shared" si="5"/>
        <v>3.2407406251877546E-6</v>
      </c>
    </row>
    <row r="41" spans="1:3" x14ac:dyDescent="0.25">
      <c r="A41" t="s">
        <v>853</v>
      </c>
      <c r="B41" s="20" t="str">
        <f t="shared" si="4"/>
        <v>2017/02/25 20:54:45.320</v>
      </c>
      <c r="C41" s="20">
        <f t="shared" si="5"/>
        <v>2.8816805555834435E-2</v>
      </c>
    </row>
    <row r="42" spans="1:3" x14ac:dyDescent="0.25">
      <c r="A42" t="s">
        <v>854</v>
      </c>
      <c r="B42" s="20" t="str">
        <f t="shared" si="4"/>
        <v>2017/02/25 22:06:39.022</v>
      </c>
      <c r="C42" s="20">
        <f t="shared" si="5"/>
        <v>4.9927106483664829E-2</v>
      </c>
    </row>
    <row r="43" spans="1:3" x14ac:dyDescent="0.25">
      <c r="A43" t="s">
        <v>855</v>
      </c>
      <c r="B43" s="20" t="str">
        <f t="shared" si="4"/>
        <v>2017/02/25 22:06:39.023</v>
      </c>
      <c r="C43" s="20">
        <f t="shared" si="5"/>
        <v>1.1576048564165831E-8</v>
      </c>
    </row>
    <row r="44" spans="1:3" x14ac:dyDescent="0.25">
      <c r="A44" t="s">
        <v>856</v>
      </c>
      <c r="B44" s="20" t="str">
        <f t="shared" si="4"/>
        <v>2017/02/25 22:06:39.089</v>
      </c>
      <c r="C44" s="20">
        <f t="shared" si="5"/>
        <v>7.6388823799788952E-7</v>
      </c>
    </row>
    <row r="45" spans="1:3" x14ac:dyDescent="0.25">
      <c r="A45" t="s">
        <v>857</v>
      </c>
      <c r="B45" s="20" t="str">
        <f t="shared" si="4"/>
        <v>2017/02/25 22:51:00.002</v>
      </c>
      <c r="C45" s="20">
        <f t="shared" si="5"/>
        <v>3.0797604165854864E-2</v>
      </c>
    </row>
    <row r="46" spans="1:3" x14ac:dyDescent="0.25">
      <c r="A46" t="s">
        <v>858</v>
      </c>
      <c r="B46" s="20" t="str">
        <f t="shared" si="4"/>
        <v>2017/02/25 23:21:24.017</v>
      </c>
      <c r="C46" s="20">
        <f t="shared" si="5"/>
        <v>2.1111284724611323E-2</v>
      </c>
    </row>
    <row r="47" spans="1:3" x14ac:dyDescent="0.25">
      <c r="A47" t="s">
        <v>859</v>
      </c>
      <c r="B47" s="20" t="str">
        <f t="shared" si="4"/>
        <v>2017/02/25 23:21:24.025</v>
      </c>
      <c r="C47" s="20">
        <f t="shared" si="5"/>
        <v>9.2586560640484095E-8</v>
      </c>
    </row>
    <row r="48" spans="1:3" x14ac:dyDescent="0.25">
      <c r="A48" t="s">
        <v>860</v>
      </c>
      <c r="B48" s="20" t="str">
        <f t="shared" si="4"/>
        <v>2017/02/25 23:34:36.744</v>
      </c>
      <c r="C48" s="20">
        <f t="shared" si="5"/>
        <v>9.1749884304590523E-3</v>
      </c>
    </row>
    <row r="49" spans="1:3" x14ac:dyDescent="0.25">
      <c r="A49" t="s">
        <v>861</v>
      </c>
      <c r="B49" s="20" t="str">
        <f t="shared" si="4"/>
        <v>2017/02/25 23:34:36.950</v>
      </c>
      <c r="C49" s="20">
        <f t="shared" si="5"/>
        <v>2.3842585505917668E-6</v>
      </c>
    </row>
    <row r="50" spans="1:3" x14ac:dyDescent="0.25">
      <c r="A50" t="s">
        <v>862</v>
      </c>
      <c r="B50" s="20" t="str">
        <f t="shared" ref="B50:B54" si="6">MID(A50,6,23)</f>
        <v>2017/02/25 23:34:37.257</v>
      </c>
      <c r="C50" s="20">
        <f t="shared" ref="C50:C54" si="7">ABS(B50-B49)</f>
        <v>3.5532430047169328E-6</v>
      </c>
    </row>
    <row r="51" spans="1:3" x14ac:dyDescent="0.25">
      <c r="A51" t="s">
        <v>863</v>
      </c>
      <c r="B51" s="20" t="str">
        <f t="shared" si="6"/>
        <v>2017/02/25 23:37:02.282</v>
      </c>
      <c r="C51" s="20">
        <f t="shared" si="7"/>
        <v>1.6785300904302858E-3</v>
      </c>
    </row>
    <row r="52" spans="1:3" x14ac:dyDescent="0.25">
      <c r="A52" t="s">
        <v>864</v>
      </c>
      <c r="B52" s="20" t="str">
        <f t="shared" si="6"/>
        <v>2017/02/25 23:37:02.567</v>
      </c>
      <c r="C52" s="20">
        <f t="shared" si="7"/>
        <v>3.2986135920509696E-6</v>
      </c>
    </row>
    <row r="53" spans="1:3" x14ac:dyDescent="0.25">
      <c r="A53" t="s">
        <v>865</v>
      </c>
      <c r="B53" s="20" t="str">
        <f t="shared" si="6"/>
        <v>2017/02/25 23:37:02.650</v>
      </c>
      <c r="C53" s="20">
        <f t="shared" si="7"/>
        <v>9.6064468380063772E-7</v>
      </c>
    </row>
    <row r="54" spans="1:3" x14ac:dyDescent="0.25">
      <c r="A54" t="s">
        <v>866</v>
      </c>
      <c r="B54" s="20" t="str">
        <f t="shared" si="6"/>
        <v>2017/02/25 23:54:49.178</v>
      </c>
      <c r="C54" s="20">
        <f t="shared" si="7"/>
        <v>1.2344074071734212E-2</v>
      </c>
    </row>
    <row r="55" spans="1:3" x14ac:dyDescent="0.25">
      <c r="A55" t="s">
        <v>867</v>
      </c>
      <c r="B55" s="20" t="str">
        <f t="shared" ref="B55:B62" si="8">MID(A55,6,23)</f>
        <v>2017/02/26 00:43:14.648</v>
      </c>
      <c r="C55" s="20">
        <f t="shared" ref="C55:C62" si="9">ABS(B55-B54)</f>
        <v>3.3628125005634502E-2</v>
      </c>
    </row>
    <row r="56" spans="1:3" x14ac:dyDescent="0.25">
      <c r="A56" t="s">
        <v>868</v>
      </c>
      <c r="B56" s="20" t="str">
        <f t="shared" si="8"/>
        <v>2017/02/26 00:43:14.988</v>
      </c>
      <c r="C56" s="20">
        <f t="shared" si="9"/>
        <v>3.9351798477582633E-6</v>
      </c>
    </row>
    <row r="57" spans="1:3" x14ac:dyDescent="0.25">
      <c r="A57" t="s">
        <v>869</v>
      </c>
      <c r="B57" s="20" t="str">
        <f t="shared" si="8"/>
        <v>2017/02/26 00:52:05.639</v>
      </c>
      <c r="C57" s="20">
        <f t="shared" si="9"/>
        <v>6.1417939868988469E-3</v>
      </c>
    </row>
    <row r="58" spans="1:3" x14ac:dyDescent="0.25">
      <c r="A58" t="s">
        <v>870</v>
      </c>
      <c r="B58" s="20" t="str">
        <f t="shared" si="8"/>
        <v>2017/02/26 00:52:05.681</v>
      </c>
      <c r="C58" s="20">
        <f t="shared" si="9"/>
        <v>4.8610672820359468E-7</v>
      </c>
    </row>
    <row r="59" spans="1:3" x14ac:dyDescent="0.25">
      <c r="A59" t="s">
        <v>871</v>
      </c>
      <c r="B59" s="20" t="str">
        <f t="shared" si="8"/>
        <v>2017/02/26 00:53:52.979</v>
      </c>
      <c r="C59" s="20">
        <f t="shared" si="9"/>
        <v>1.2418750047800131E-3</v>
      </c>
    </row>
    <row r="60" spans="1:3" x14ac:dyDescent="0.25">
      <c r="A60" t="s">
        <v>872</v>
      </c>
      <c r="B60" s="20" t="str">
        <f t="shared" si="8"/>
        <v>2017/02/26 00:53:53.643</v>
      </c>
      <c r="C60" s="20">
        <f t="shared" si="9"/>
        <v>7.6851792982779443E-6</v>
      </c>
    </row>
    <row r="61" spans="1:3" x14ac:dyDescent="0.25">
      <c r="A61" t="s">
        <v>873</v>
      </c>
      <c r="B61" s="20" t="str">
        <f t="shared" si="8"/>
        <v>2017/02/26 00:53:53.682</v>
      </c>
      <c r="C61" s="20">
        <f t="shared" si="9"/>
        <v>4.5139313442632556E-7</v>
      </c>
    </row>
    <row r="62" spans="1:3" x14ac:dyDescent="0.25">
      <c r="A62" t="s">
        <v>874</v>
      </c>
      <c r="B62" s="20" t="str">
        <f t="shared" si="8"/>
        <v>2017/02/26 01:06:09.017</v>
      </c>
      <c r="C62" s="20">
        <f t="shared" si="9"/>
        <v>8.5108217608649284E-3</v>
      </c>
    </row>
    <row r="63" spans="1:3" x14ac:dyDescent="0.25">
      <c r="A63" t="s">
        <v>875</v>
      </c>
      <c r="B63" s="20" t="str">
        <f t="shared" ref="B63:B86" si="10">MID(A63,6,23)</f>
        <v>2017/02/26 01:06:09.021</v>
      </c>
      <c r="C63" s="20">
        <f t="shared" ref="C63:C86" si="11">ABS(B63-B62)</f>
        <v>4.6289642341434956E-8</v>
      </c>
    </row>
    <row r="64" spans="1:3" x14ac:dyDescent="0.25">
      <c r="A64" t="s">
        <v>876</v>
      </c>
      <c r="B64" s="20" t="str">
        <f t="shared" si="10"/>
        <v>2017/02/26 01:08:55.362</v>
      </c>
      <c r="C64" s="20">
        <f t="shared" si="11"/>
        <v>1.9252430574852042E-3</v>
      </c>
    </row>
    <row r="65" spans="1:3" x14ac:dyDescent="0.25">
      <c r="A65" t="s">
        <v>877</v>
      </c>
      <c r="B65" s="20" t="str">
        <f t="shared" si="10"/>
        <v>2017/02/26 01:08:57.409</v>
      </c>
      <c r="C65" s="20">
        <f t="shared" si="11"/>
        <v>2.3692133254371583E-5</v>
      </c>
    </row>
    <row r="66" spans="1:3" x14ac:dyDescent="0.25">
      <c r="A66" t="s">
        <v>878</v>
      </c>
      <c r="B66" s="20" t="str">
        <f t="shared" si="10"/>
        <v>2017/02/26 01:08:57.878</v>
      </c>
      <c r="C66" s="20">
        <f t="shared" si="11"/>
        <v>5.4282354540191591E-6</v>
      </c>
    </row>
    <row r="67" spans="1:3" x14ac:dyDescent="0.25">
      <c r="A67" t="s">
        <v>879</v>
      </c>
      <c r="B67" s="20" t="str">
        <f t="shared" si="10"/>
        <v>2017/02/26 01:14:05.571</v>
      </c>
      <c r="C67" s="20">
        <f t="shared" si="11"/>
        <v>3.5612615756690502E-3</v>
      </c>
    </row>
    <row r="68" spans="1:3" x14ac:dyDescent="0.25">
      <c r="A68" t="s">
        <v>880</v>
      </c>
      <c r="B68" s="20" t="str">
        <f t="shared" si="10"/>
        <v>2017/02/26 01:14:05.666</v>
      </c>
      <c r="C68" s="20">
        <f t="shared" si="11"/>
        <v>1.0995354386977851E-6</v>
      </c>
    </row>
    <row r="69" spans="1:3" x14ac:dyDescent="0.25">
      <c r="A69" t="s">
        <v>881</v>
      </c>
      <c r="B69" s="20" t="str">
        <f t="shared" si="10"/>
        <v>2017/02/26 01:14:06.288</v>
      </c>
      <c r="C69" s="20">
        <f t="shared" si="11"/>
        <v>7.1990798460319638E-6</v>
      </c>
    </row>
    <row r="70" spans="1:3" x14ac:dyDescent="0.25">
      <c r="A70" t="s">
        <v>882</v>
      </c>
      <c r="B70" s="20" t="str">
        <f t="shared" si="10"/>
        <v>2017/02/26 01:15:10.290</v>
      </c>
      <c r="C70" s="20">
        <f t="shared" si="11"/>
        <v>7.4076388409594074E-4</v>
      </c>
    </row>
    <row r="71" spans="1:3" x14ac:dyDescent="0.25">
      <c r="A71" t="s">
        <v>883</v>
      </c>
      <c r="B71" s="20" t="str">
        <f t="shared" si="10"/>
        <v>2017/02/26 01:15:10.686</v>
      </c>
      <c r="C71" s="20">
        <f t="shared" si="11"/>
        <v>4.5833367039449513E-6</v>
      </c>
    </row>
    <row r="72" spans="1:3" x14ac:dyDescent="0.25">
      <c r="A72" t="s">
        <v>884</v>
      </c>
      <c r="B72" s="20" t="str">
        <f t="shared" si="10"/>
        <v>2017/02/26 01:15:11.568</v>
      </c>
      <c r="C72" s="20">
        <f t="shared" si="11"/>
        <v>1.0208328603766859E-5</v>
      </c>
    </row>
    <row r="73" spans="1:3" x14ac:dyDescent="0.25">
      <c r="A73" t="s">
        <v>885</v>
      </c>
      <c r="B73" s="20" t="str">
        <f t="shared" si="10"/>
        <v>2017/02/26 02:06:35.414</v>
      </c>
      <c r="C73" s="20">
        <f t="shared" si="11"/>
        <v>3.5692662037035916E-2</v>
      </c>
    </row>
    <row r="74" spans="1:3" x14ac:dyDescent="0.25">
      <c r="A74" t="s">
        <v>886</v>
      </c>
      <c r="B74" s="20" t="str">
        <f t="shared" si="10"/>
        <v>2017/02/26 02:06:35.940</v>
      </c>
      <c r="C74" s="20">
        <f t="shared" si="11"/>
        <v>6.0879683587700129E-6</v>
      </c>
    </row>
    <row r="75" spans="1:3" x14ac:dyDescent="0.25">
      <c r="A75" t="s">
        <v>887</v>
      </c>
      <c r="B75" s="20" t="str">
        <f t="shared" si="10"/>
        <v>2017/02/26 03:10:08.935</v>
      </c>
      <c r="C75" s="20">
        <f t="shared" si="11"/>
        <v>4.4131886570539791E-2</v>
      </c>
    </row>
    <row r="76" spans="1:3" x14ac:dyDescent="0.25">
      <c r="A76" t="s">
        <v>888</v>
      </c>
      <c r="B76" s="20" t="str">
        <f t="shared" si="10"/>
        <v>2017/02/26 03:10:09.079</v>
      </c>
      <c r="C76" s="20">
        <f t="shared" si="11"/>
        <v>1.6666672308929265E-6</v>
      </c>
    </row>
    <row r="77" spans="1:3" x14ac:dyDescent="0.25">
      <c r="A77" t="s">
        <v>889</v>
      </c>
      <c r="B77" s="20" t="str">
        <f t="shared" si="10"/>
        <v>2017/02/26 03:10:09.331</v>
      </c>
      <c r="C77" s="20">
        <f t="shared" si="11"/>
        <v>2.9166694730520248E-6</v>
      </c>
    </row>
    <row r="78" spans="1:3" x14ac:dyDescent="0.25">
      <c r="A78" t="s">
        <v>890</v>
      </c>
      <c r="B78" s="20" t="str">
        <f t="shared" si="10"/>
        <v>2017/02/26 04:24:41.908</v>
      </c>
      <c r="C78" s="20">
        <f t="shared" si="11"/>
        <v>5.176593749638414E-2</v>
      </c>
    </row>
    <row r="79" spans="1:3" x14ac:dyDescent="0.25">
      <c r="A79" t="s">
        <v>891</v>
      </c>
      <c r="B79" s="20" t="str">
        <f t="shared" si="10"/>
        <v>2017/02/26 06:03:34.315</v>
      </c>
      <c r="C79" s="20">
        <f t="shared" si="11"/>
        <v>6.866211805754574E-2</v>
      </c>
    </row>
    <row r="80" spans="1:3" x14ac:dyDescent="0.25">
      <c r="A80" t="s">
        <v>892</v>
      </c>
      <c r="B80" s="20" t="str">
        <f t="shared" si="10"/>
        <v>2017/02/26 06:03:34.647</v>
      </c>
      <c r="C80" s="20">
        <f t="shared" si="11"/>
        <v>3.8425932871177793E-6</v>
      </c>
    </row>
    <row r="81" spans="1:3" x14ac:dyDescent="0.25">
      <c r="A81" t="s">
        <v>893</v>
      </c>
      <c r="B81" s="20" t="str">
        <f t="shared" si="10"/>
        <v>2017/02/26 06:03:35.719</v>
      </c>
      <c r="C81" s="20">
        <f t="shared" si="11"/>
        <v>1.2407406757120043E-5</v>
      </c>
    </row>
    <row r="82" spans="1:3" x14ac:dyDescent="0.25">
      <c r="A82" t="s">
        <v>894</v>
      </c>
      <c r="B82" s="20" t="str">
        <f t="shared" si="10"/>
        <v>2017/02/26 06:20:25.425</v>
      </c>
      <c r="C82" s="20">
        <f t="shared" si="11"/>
        <v>1.1686412035487592E-2</v>
      </c>
    </row>
    <row r="83" spans="1:3" x14ac:dyDescent="0.25">
      <c r="A83" t="s">
        <v>895</v>
      </c>
      <c r="B83" s="20" t="str">
        <f t="shared" si="10"/>
        <v>2017/02/26 06:25:00.387</v>
      </c>
      <c r="C83" s="20">
        <f t="shared" si="11"/>
        <v>3.1824305551708676E-3</v>
      </c>
    </row>
    <row r="84" spans="1:3" x14ac:dyDescent="0.25">
      <c r="A84" t="s">
        <v>896</v>
      </c>
      <c r="B84" s="20" t="str">
        <f t="shared" si="10"/>
        <v>2017/02/26 06:25:00.433</v>
      </c>
      <c r="C84" s="20">
        <f t="shared" si="11"/>
        <v>5.3241092246025801E-7</v>
      </c>
    </row>
    <row r="85" spans="1:3" x14ac:dyDescent="0.25">
      <c r="A85" t="s">
        <v>897</v>
      </c>
      <c r="B85" s="20" t="str">
        <f t="shared" si="10"/>
        <v>2017/02/26 06:36:39.274</v>
      </c>
      <c r="C85" s="20">
        <f t="shared" si="11"/>
        <v>8.0884374983725138E-3</v>
      </c>
    </row>
    <row r="86" spans="1:3" x14ac:dyDescent="0.25">
      <c r="A86" t="s">
        <v>898</v>
      </c>
      <c r="B86" s="20" t="str">
        <f t="shared" si="10"/>
        <v>2017/02/26 06:38:18.208</v>
      </c>
      <c r="C86" s="20">
        <f t="shared" si="11"/>
        <v>1.1450694437371567E-3</v>
      </c>
    </row>
    <row r="87" spans="1:3" x14ac:dyDescent="0.25">
      <c r="A87" t="s">
        <v>899</v>
      </c>
      <c r="B87" s="20" t="str">
        <f t="shared" ref="B87:B103" si="12">MID(A87,6,23)</f>
        <v>2017/02/26 06:38:18.371</v>
      </c>
      <c r="C87" s="20">
        <f t="shared" ref="C87:C103" si="13">ABS(B87-B86)</f>
        <v>1.8865757738240063E-6</v>
      </c>
    </row>
    <row r="88" spans="1:3" x14ac:dyDescent="0.25">
      <c r="A88" t="s">
        <v>900</v>
      </c>
      <c r="B88" s="20" t="str">
        <f t="shared" si="12"/>
        <v>2017/02/26 06:38:18.499</v>
      </c>
      <c r="C88" s="20">
        <f t="shared" si="13"/>
        <v>1.4814795576967299E-6</v>
      </c>
    </row>
    <row r="89" spans="1:3" x14ac:dyDescent="0.25">
      <c r="A89" t="s">
        <v>901</v>
      </c>
      <c r="B89" s="20" t="str">
        <f t="shared" si="12"/>
        <v>2017/02/26 07:07:50.943</v>
      </c>
      <c r="C89" s="20">
        <f t="shared" si="13"/>
        <v>2.0514398151135538E-2</v>
      </c>
    </row>
    <row r="90" spans="1:3" x14ac:dyDescent="0.25">
      <c r="A90" t="s">
        <v>902</v>
      </c>
      <c r="B90" s="20" t="str">
        <f t="shared" si="12"/>
        <v>2017/02/26 07:07:51.312</v>
      </c>
      <c r="C90" s="20">
        <f t="shared" si="13"/>
        <v>4.2708343244157732E-6</v>
      </c>
    </row>
    <row r="91" spans="1:3" x14ac:dyDescent="0.25">
      <c r="A91" t="s">
        <v>903</v>
      </c>
      <c r="B91" s="20" t="str">
        <f t="shared" si="12"/>
        <v>2017/02/26 07:13:39.711</v>
      </c>
      <c r="C91" s="20">
        <f t="shared" si="13"/>
        <v>4.0323958310182206E-3</v>
      </c>
    </row>
    <row r="92" spans="1:3" x14ac:dyDescent="0.25">
      <c r="A92" t="s">
        <v>904</v>
      </c>
      <c r="B92" s="20" t="str">
        <f t="shared" si="12"/>
        <v>2017/02/26 07:13:40.148</v>
      </c>
      <c r="C92" s="20">
        <f t="shared" si="13"/>
        <v>5.0578673835843801E-6</v>
      </c>
    </row>
    <row r="93" spans="1:3" x14ac:dyDescent="0.25">
      <c r="A93" t="s">
        <v>905</v>
      </c>
      <c r="B93" s="20" t="str">
        <f t="shared" si="12"/>
        <v>2017/02/26 08:34:27.849</v>
      </c>
      <c r="C93" s="20">
        <f t="shared" si="13"/>
        <v>5.6107650467311032E-2</v>
      </c>
    </row>
    <row r="94" spans="1:3" x14ac:dyDescent="0.25">
      <c r="A94" t="s">
        <v>906</v>
      </c>
      <c r="B94" s="20" t="str">
        <f t="shared" si="12"/>
        <v>2017/02/26 08:34:28.368</v>
      </c>
      <c r="C94" s="20">
        <f t="shared" si="13"/>
        <v>6.0069432947784662E-6</v>
      </c>
    </row>
    <row r="95" spans="1:3" x14ac:dyDescent="0.25">
      <c r="A95" t="s">
        <v>907</v>
      </c>
      <c r="B95" s="20" t="str">
        <f t="shared" si="12"/>
        <v>2017/02/26 08:34:28.417</v>
      </c>
      <c r="C95" s="20">
        <f t="shared" si="13"/>
        <v>5.6713179219514132E-7</v>
      </c>
    </row>
    <row r="96" spans="1:3" x14ac:dyDescent="0.25">
      <c r="A96" t="s">
        <v>908</v>
      </c>
      <c r="B96" s="20" t="str">
        <f t="shared" si="12"/>
        <v>2017/02/26 09:03:36.686</v>
      </c>
      <c r="C96" s="20">
        <f t="shared" si="13"/>
        <v>2.0234594907378778E-2</v>
      </c>
    </row>
    <row r="97" spans="1:3" x14ac:dyDescent="0.25">
      <c r="A97" t="s">
        <v>909</v>
      </c>
      <c r="B97" s="20" t="str">
        <f t="shared" si="12"/>
        <v>2017/02/26 09:03:38.147</v>
      </c>
      <c r="C97" s="20">
        <f t="shared" si="13"/>
        <v>1.6909718397073448E-5</v>
      </c>
    </row>
    <row r="98" spans="1:3" x14ac:dyDescent="0.25">
      <c r="A98" t="s">
        <v>910</v>
      </c>
      <c r="B98" s="20" t="str">
        <f t="shared" si="12"/>
        <v>2017/02/26 09:25:04.175</v>
      </c>
      <c r="C98" s="20">
        <f t="shared" si="13"/>
        <v>1.4884583331877366E-2</v>
      </c>
    </row>
    <row r="99" spans="1:3" x14ac:dyDescent="0.25">
      <c r="A99" t="s">
        <v>911</v>
      </c>
      <c r="B99" s="20" t="str">
        <f t="shared" si="12"/>
        <v>2017/02/26 09:25:04.689</v>
      </c>
      <c r="C99" s="20">
        <f t="shared" si="13"/>
        <v>5.9490776038728654E-6</v>
      </c>
    </row>
    <row r="100" spans="1:3" x14ac:dyDescent="0.25">
      <c r="A100" t="s">
        <v>912</v>
      </c>
      <c r="B100" s="20" t="str">
        <f t="shared" si="12"/>
        <v>2017/02/26 09:26:20.153</v>
      </c>
      <c r="C100" s="20">
        <f t="shared" si="13"/>
        <v>8.7342592451022938E-4</v>
      </c>
    </row>
    <row r="101" spans="1:3" x14ac:dyDescent="0.25">
      <c r="A101" t="s">
        <v>913</v>
      </c>
      <c r="B101" s="20" t="str">
        <f t="shared" si="12"/>
        <v>2017/02/26 09:26:20.697</v>
      </c>
      <c r="C101" s="20">
        <f t="shared" si="13"/>
        <v>6.2962935771793127E-6</v>
      </c>
    </row>
    <row r="102" spans="1:3" x14ac:dyDescent="0.25">
      <c r="A102" t="s">
        <v>914</v>
      </c>
      <c r="B102" s="20" t="str">
        <f t="shared" si="12"/>
        <v>2017/02/26 09:50:02.628</v>
      </c>
      <c r="C102" s="20">
        <f t="shared" si="13"/>
        <v>1.6457534722576384E-2</v>
      </c>
    </row>
    <row r="103" spans="1:3" x14ac:dyDescent="0.25">
      <c r="A103" t="s">
        <v>915</v>
      </c>
      <c r="B103" s="20" t="str">
        <f t="shared" si="12"/>
        <v>2017/02/26 09:50:02.709</v>
      </c>
      <c r="C103" s="20">
        <f t="shared" si="13"/>
        <v>9.3749986262992024E-7</v>
      </c>
    </row>
    <row r="104" spans="1:3" x14ac:dyDescent="0.25">
      <c r="B104" s="20"/>
      <c r="C104" s="20"/>
    </row>
    <row r="105" spans="1:3" x14ac:dyDescent="0.25">
      <c r="B105" s="20"/>
      <c r="C105" s="20"/>
    </row>
    <row r="106" spans="1:3" x14ac:dyDescent="0.25">
      <c r="B106" s="20"/>
      <c r="C106" s="20"/>
    </row>
    <row r="107" spans="1:3" x14ac:dyDescent="0.25">
      <c r="B107" s="20"/>
      <c r="C107" s="20"/>
    </row>
    <row r="108" spans="1:3" x14ac:dyDescent="0.25">
      <c r="B108" s="20"/>
      <c r="C108" s="20"/>
    </row>
    <row r="109" spans="1:3" x14ac:dyDescent="0.25">
      <c r="B109" s="20"/>
      <c r="C109" s="20"/>
    </row>
    <row r="110" spans="1:3" x14ac:dyDescent="0.25">
      <c r="B110" s="20"/>
      <c r="C110" s="20"/>
    </row>
    <row r="111" spans="1:3" x14ac:dyDescent="0.25">
      <c r="B111" s="20"/>
      <c r="C111" s="20"/>
    </row>
    <row r="112" spans="1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2017-02-27T20:01:12Z</dcterms:modified>
</cp:coreProperties>
</file>